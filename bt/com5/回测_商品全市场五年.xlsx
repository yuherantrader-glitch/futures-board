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要" sheetId="1" state="visible" r:id="rId1"/>
    <sheet xmlns:r="http://schemas.openxmlformats.org/officeDocument/2006/relationships" name="净值曲线" sheetId="2" state="visible" r:id="rId2"/>
    <sheet xmlns:r="http://schemas.openxmlformats.org/officeDocument/2006/relationships" name="分组统计" sheetId="3" state="visible" r:id="rId3"/>
    <sheet xmlns:r="http://schemas.openxmlformats.org/officeDocument/2006/relationships" name="月度盈亏" sheetId="4" state="visible" r:id="rId4"/>
    <sheet xmlns:r="http://schemas.openxmlformats.org/officeDocument/2006/relationships" name="参数" sheetId="5" state="visible" r:id="rId5"/>
    <sheet xmlns:r="http://schemas.openxmlformats.org/officeDocument/2006/relationships" name="今日建议" sheetId="6" state="visible" r:id="rId6"/>
    <sheet xmlns:r="http://schemas.openxmlformats.org/officeDocument/2006/relationships" name="当前持仓" sheetId="7" state="visible" r:id="rId7"/>
    <sheet xmlns:r="http://schemas.openxmlformats.org/officeDocument/2006/relationships" name="当日平仓" sheetId="8" state="visible" r:id="rId8"/>
    <sheet xmlns:r="http://schemas.openxmlformats.org/officeDocument/2006/relationships" name="已平记录" sheetId="9" state="visible" r:id="rId9"/>
    <sheet xmlns:r="http://schemas.openxmlformats.org/officeDocument/2006/relationships" name="凯利统计" sheetId="10" state="visible" r:id="rId10"/>
    <sheet xmlns:r="http://schemas.openxmlformats.org/officeDocument/2006/relationships" name="每日信号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&quot;x&quot;"/>
    <numFmt numFmtId="166" formatCode="0.0%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color rgb="005E6966"/>
    </font>
    <font>
      <name val="Arial"/>
      <b val="1"/>
    </font>
    <font>
      <name val="Arial"/>
      <b val="1"/>
      <color rgb="00FFFFFF"/>
    </font>
    <font>
      <name val="Arial"/>
      <b val="1"/>
      <color rgb="001D7A4C"/>
    </font>
    <font>
      <name val="Arial"/>
      <color rgb="008A9490"/>
    </font>
    <font>
      <name val="Arial"/>
      <b val="1"/>
      <color rgb="00C23A2B"/>
    </font>
    <font>
      <name val="Arial"/>
      <color rgb="00008000"/>
    </font>
    <font>
      <name val="Arial"/>
      <b val="1"/>
      <sz val="12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8" fillId="0" borderId="0" pivotButton="0" quotePrefix="0" xfId="0"/>
    <xf numFmtId="4" fontId="8" fillId="0" borderId="0" pivotButton="0" quotePrefix="0" xfId="0"/>
    <xf numFmtId="9" fontId="8" fillId="0" borderId="0" pivotButton="0" quotePrefix="0" xfId="0"/>
    <xf numFmtId="3" fontId="8" fillId="0" borderId="0" pivotButton="0" quotePrefix="0" xfId="0"/>
    <xf numFmtId="10" fontId="8" fillId="0" borderId="0" pivotButton="0" quotePrefix="0" xfId="0"/>
    <xf numFmtId="0" fontId="9" fillId="0" borderId="0" pivotButton="0" quotePrefix="0" xfId="0"/>
    <xf numFmtId="9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4" fontId="8" fillId="0" borderId="0" pivotButton="0" quotePrefix="0" xfId="0"/>
    <xf numFmtId="2" fontId="8" fillId="0" borderId="0" pivotButton="0" quotePrefix="0" xfId="0"/>
    <xf numFmtId="164" fontId="5" fillId="0" borderId="0" pivotButton="0" quotePrefix="0" xfId="0"/>
    <xf numFmtId="9" fontId="10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2" fontId="3" fillId="0" borderId="0" pivotButton="0" quotePrefix="0" xfId="0"/>
    <xf numFmtId="1" fontId="2" fillId="0" borderId="0" pivotButton="0" quotePrefix="0" xfId="0"/>
    <xf numFmtId="166" fontId="5" fillId="0" borderId="0" pivotButton="0" quotePrefix="0" xfId="0"/>
    <xf numFmtId="0" fontId="12" fillId="3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权益曲线（本金 100 万）</a:t>
            </a:r>
          </a:p>
        </rich>
      </tx>
    </title>
    <plotArea>
      <lineChart>
        <grouping val="standard"/>
        <ser>
          <idx val="0"/>
          <order val="0"/>
          <tx>
            <strRef>
              <f>'净值曲线'!D1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'净值曲线'!$A$2:$A$1270</f>
            </numRef>
          </cat>
          <val>
            <numRef>
              <f>'净值曲线'!$D$2:$D$1270</f>
            </numRef>
          </val>
        </ser>
        <ser>
          <idx val="1"/>
          <order val="1"/>
          <tx>
            <strRef>
              <f>'净值曲线'!E1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'净值曲线'!$A$2:$A$1270</f>
            </numRef>
          </cat>
          <val>
            <numRef>
              <f>'净值曲线'!$E$2:$E$1270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05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月度盈亏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'月度盈亏'!B1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'月度盈亏'!$A$2:$A$64</f>
            </numRef>
          </cat>
          <val>
            <numRef>
              <f>'月度盈亏'!$B$2:$B$64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6" t="inlineStr">
        <is>
          <t>项目</t>
        </is>
      </c>
      <c r="B1" s="36" t="inlineStr">
        <is>
          <t>结果</t>
        </is>
      </c>
    </row>
    <row r="2">
      <c r="A2" s="37" t="inlineStr">
        <is>
          <t>回测范围</t>
        </is>
      </c>
      <c r="B2" t="inlineStr">
        <is>
          <t>商品全市场五年：2021-08-02 ~ 2026-10-29（1269 个交易日）</t>
        </is>
      </c>
    </row>
    <row r="3">
      <c r="A3" s="37" t="inlineStr">
        <is>
          <t>开过仓的品种</t>
        </is>
      </c>
      <c r="B3" t="inlineStr">
        <is>
          <t>豆一、沪银、沪铝、氧化铝、沪金、豆二、沥青、玉米、棉花、玉米淀粉、沪铜、苯乙烯、乙二醇、玻璃、燃料油、热卷、铁矿石、鸡蛋、焦煤、塑料、碳酸锂、生猪、豆粕、甲醇、沪镍、菜油、棕榈油、聚丙烯、对二甲苯、螺纹钢、菜粕、纯碱、硅铁、烧碱、工业硅、锰硅、纸浆、白糖、PTA、尿素、PVC、豆油、沪锌</t>
        </is>
      </c>
    </row>
    <row r="4">
      <c r="A4" s="37" t="inlineStr">
        <is>
          <t>规则</t>
        </is>
      </c>
      <c r="B4" t="inlineStr">
        <is>
          <t>v4.6 常胜将军打分 → 主表（大品种、≥4 分、无冲突/撤退/转向、≥2 个将军，多空各前 5）→ 跟踪台（按 ftrade/tracker.py 当前参数：v2.5 为顺 5 日线入场、3ATR 移动止损、不限时；¼凯利+星级上限、3% 硬止损、组合 10%/板块 6%/相关组 3%、次日开盘成交、转弱即平、凯利≤0 开 1% 影子仓）</t>
        </is>
      </c>
    </row>
    <row r="5">
      <c r="A5" s="37" t="inlineStr">
        <is>
          <t>本金（固定，不复利）</t>
        </is>
      </c>
      <c r="B5" t="inlineStr">
        <is>
          <t>1,000,000</t>
        </is>
      </c>
    </row>
    <row r="6">
      <c r="A6" s="37" t="inlineStr">
        <is>
          <t>计入组合的成交笔数</t>
        </is>
      </c>
      <c r="B6" t="n">
        <v>971</v>
      </c>
    </row>
    <row r="7">
      <c r="A7" s="37" t="inlineStr">
        <is>
          <t>胜率</t>
        </is>
      </c>
      <c r="B7" t="inlineStr">
        <is>
          <t>52.8%</t>
        </is>
      </c>
    </row>
    <row r="8">
      <c r="A8" s="37" t="inlineStr">
        <is>
          <t>平均盈利 / 平均亏损</t>
        </is>
      </c>
      <c r="B8" t="inlineStr">
        <is>
          <t>7,470 / 6,852（盈亏比 1.09）</t>
        </is>
      </c>
    </row>
    <row r="9">
      <c r="A9" s="37" t="inlineStr">
        <is>
          <t>盈亏因子</t>
        </is>
      </c>
      <c r="B9" t="n">
        <v>1.22</v>
      </c>
    </row>
    <row r="10">
      <c r="A10" s="37" t="inlineStr">
        <is>
          <t>毛收益</t>
        </is>
      </c>
      <c r="B10" t="inlineStr">
        <is>
          <t>714,263（71.4%，年化约 10.9%）</t>
        </is>
      </c>
    </row>
    <row r="11">
      <c r="A11" s="37" t="inlineStr">
        <is>
          <t>估算成本（每边 1 跳滑点 + 手续费万 0.5）</t>
        </is>
      </c>
      <c r="B11" t="inlineStr">
        <is>
          <t>278,004</t>
        </is>
      </c>
    </row>
    <row r="12">
      <c r="A12" s="37" t="inlineStr">
        <is>
          <t>净收益（扣成本）</t>
        </is>
      </c>
      <c r="B12" t="inlineStr">
        <is>
          <t>436,259（43.6%，年化约 7.2%）</t>
        </is>
      </c>
    </row>
    <row r="13">
      <c r="A13" s="37" t="inlineStr">
        <is>
          <t>最大回撤（毛 / 净）</t>
        </is>
      </c>
      <c r="B13" t="inlineStr">
        <is>
          <t>21.4% / 27.8%</t>
        </is>
      </c>
    </row>
    <row r="14">
      <c r="A14" s="37" t="inlineStr">
        <is>
          <t>影子仓（凯利≤0 时 1% 只统计）</t>
        </is>
      </c>
      <c r="B14" t="inlineStr">
        <is>
          <t>1138 笔，合计 -91,887</t>
        </is>
      </c>
    </row>
    <row r="15">
      <c r="A15" s="37" t="inlineStr">
        <is>
          <t>说明</t>
        </is>
      </c>
      <c r="B15" t="inlineStr">
        <is>
          <t>纸面回测，不含研报/人工调分/宏观事件限额；席位只取持仓占品种 ≥3% 的合约前 20 名；换月按前一日持仓最大合约且只向后换。不是实盘建议。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0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日期</t>
        </is>
      </c>
      <c r="B1" s="36" t="inlineStr">
        <is>
          <t>已实现</t>
        </is>
      </c>
      <c r="C1" s="36" t="inlineStr">
        <is>
          <t>浮动</t>
        </is>
      </c>
      <c r="D1" s="36" t="inlineStr">
        <is>
          <t>毛权益</t>
        </is>
      </c>
      <c r="E1" s="36" t="inlineStr">
        <is>
          <t>净权益(扣成本)</t>
        </is>
      </c>
      <c r="F1" s="36" t="inlineStr">
        <is>
          <t>回撤%(毛)</t>
        </is>
      </c>
      <c r="G1" s="36" t="inlineStr">
        <is>
          <t>持仓数</t>
        </is>
      </c>
      <c r="H1" s="36" t="inlineStr">
        <is>
          <t>风险占用%</t>
        </is>
      </c>
    </row>
    <row r="2">
      <c r="A2" t="inlineStr">
        <is>
          <t>2021-08-02</t>
        </is>
      </c>
      <c r="B2" t="n">
        <v>0</v>
      </c>
      <c r="C2" t="n">
        <v>0</v>
      </c>
      <c r="D2" t="n">
        <v>1000000</v>
      </c>
      <c r="E2" t="n">
        <v>1000000</v>
      </c>
      <c r="F2" t="n">
        <v>0</v>
      </c>
      <c r="G2" t="n">
        <v>2</v>
      </c>
      <c r="H2" t="n">
        <v>2</v>
      </c>
    </row>
    <row r="3">
      <c r="A3" t="inlineStr">
        <is>
          <t>2021-08-03</t>
        </is>
      </c>
      <c r="B3" t="n">
        <v>1300</v>
      </c>
      <c r="C3" t="n">
        <v>0</v>
      </c>
      <c r="D3" t="n">
        <v>1001300</v>
      </c>
      <c r="E3" t="n">
        <v>1001133</v>
      </c>
      <c r="F3" t="n">
        <v>0</v>
      </c>
      <c r="G3" t="n">
        <v>2</v>
      </c>
      <c r="H3" t="n">
        <v>2</v>
      </c>
    </row>
    <row r="4">
      <c r="A4" t="inlineStr">
        <is>
          <t>2021-08-04</t>
        </is>
      </c>
      <c r="B4" t="n">
        <v>1300</v>
      </c>
      <c r="C4" t="n">
        <v>-1200</v>
      </c>
      <c r="D4" t="n">
        <v>1000100</v>
      </c>
      <c r="E4" t="n">
        <v>999933</v>
      </c>
      <c r="F4" t="n">
        <v>-0.12</v>
      </c>
      <c r="G4" t="n">
        <v>2</v>
      </c>
      <c r="H4" t="n">
        <v>2</v>
      </c>
    </row>
    <row r="5">
      <c r="A5" t="inlineStr">
        <is>
          <t>2021-08-05</t>
        </is>
      </c>
      <c r="B5" t="n">
        <v>2020</v>
      </c>
      <c r="C5" t="n">
        <v>800</v>
      </c>
      <c r="D5" t="n">
        <v>1002820</v>
      </c>
      <c r="E5" t="n">
        <v>1002450</v>
      </c>
      <c r="F5" t="n">
        <v>0</v>
      </c>
      <c r="G5" t="n">
        <v>1</v>
      </c>
      <c r="H5" t="n">
        <v>1</v>
      </c>
    </row>
    <row r="6">
      <c r="A6" t="inlineStr">
        <is>
          <t>2021-08-06</t>
        </is>
      </c>
      <c r="B6" t="n">
        <v>2160</v>
      </c>
      <c r="C6" t="n">
        <v>0</v>
      </c>
      <c r="D6" t="n">
        <v>1002160</v>
      </c>
      <c r="E6" t="n">
        <v>1001745</v>
      </c>
      <c r="F6" t="n">
        <v>-0.07000000000000001</v>
      </c>
      <c r="G6" t="n">
        <v>4</v>
      </c>
      <c r="H6" t="n">
        <v>4</v>
      </c>
    </row>
    <row r="7">
      <c r="A7" t="inlineStr">
        <is>
          <t>2021-08-09</t>
        </is>
      </c>
      <c r="B7" t="n">
        <v>2860</v>
      </c>
      <c r="C7" t="n">
        <v>-3620</v>
      </c>
      <c r="D7" t="n">
        <v>999240</v>
      </c>
      <c r="E7" t="n">
        <v>998727</v>
      </c>
      <c r="F7" t="n">
        <v>-0.36</v>
      </c>
      <c r="G7" t="n">
        <v>2</v>
      </c>
      <c r="H7" t="n">
        <v>2</v>
      </c>
    </row>
    <row r="8">
      <c r="A8" t="inlineStr">
        <is>
          <t>2021-08-10</t>
        </is>
      </c>
      <c r="B8" t="n">
        <v>2550</v>
      </c>
      <c r="C8" t="n">
        <v>0</v>
      </c>
      <c r="D8" t="n">
        <v>1002550</v>
      </c>
      <c r="E8" t="n">
        <v>1001912</v>
      </c>
      <c r="F8" t="n">
        <v>-0.03</v>
      </c>
      <c r="G8" t="n">
        <v>2</v>
      </c>
      <c r="H8" t="n">
        <v>2</v>
      </c>
    </row>
    <row r="9">
      <c r="A9" t="inlineStr">
        <is>
          <t>2021-08-11</t>
        </is>
      </c>
      <c r="B9" t="n">
        <v>5330</v>
      </c>
      <c r="C9" t="n">
        <v>-1500</v>
      </c>
      <c r="D9" t="n">
        <v>1003830</v>
      </c>
      <c r="E9" t="n">
        <v>1003143</v>
      </c>
      <c r="F9" t="n">
        <v>0</v>
      </c>
      <c r="G9" t="n">
        <v>2</v>
      </c>
      <c r="H9" t="n">
        <v>2</v>
      </c>
    </row>
    <row r="10">
      <c r="A10" t="inlineStr">
        <is>
          <t>2021-08-12</t>
        </is>
      </c>
      <c r="B10" t="n">
        <v>5370</v>
      </c>
      <c r="C10" t="n">
        <v>-2070</v>
      </c>
      <c r="D10" t="n">
        <v>1003300</v>
      </c>
      <c r="E10" t="n">
        <v>1002564</v>
      </c>
      <c r="F10" t="n">
        <v>-0.05</v>
      </c>
      <c r="G10" t="n">
        <v>2</v>
      </c>
      <c r="H10" t="n">
        <v>3</v>
      </c>
    </row>
    <row r="11">
      <c r="A11" t="inlineStr">
        <is>
          <t>2021-08-13</t>
        </is>
      </c>
      <c r="B11" t="n">
        <v>5370</v>
      </c>
      <c r="C11" t="n">
        <v>-1700</v>
      </c>
      <c r="D11" t="n">
        <v>1003670</v>
      </c>
      <c r="E11" t="n">
        <v>1002934</v>
      </c>
      <c r="F11" t="n">
        <v>-0.02</v>
      </c>
      <c r="G11" t="n">
        <v>2</v>
      </c>
      <c r="H11" t="n">
        <v>3</v>
      </c>
    </row>
    <row r="12">
      <c r="A12" t="inlineStr">
        <is>
          <t>2021-08-16</t>
        </is>
      </c>
      <c r="B12" t="n">
        <v>5090</v>
      </c>
      <c r="C12" t="n">
        <v>-2820</v>
      </c>
      <c r="D12" t="n">
        <v>1002270</v>
      </c>
      <c r="E12" t="n">
        <v>1001499</v>
      </c>
      <c r="F12" t="n">
        <v>-0.16</v>
      </c>
      <c r="G12" t="n">
        <v>4</v>
      </c>
      <c r="H12" t="n">
        <v>7</v>
      </c>
    </row>
    <row r="13">
      <c r="A13" t="inlineStr">
        <is>
          <t>2021-08-17</t>
        </is>
      </c>
      <c r="B13" t="n">
        <v>2770</v>
      </c>
      <c r="C13" t="n">
        <v>6300</v>
      </c>
      <c r="D13" t="n">
        <v>1009070</v>
      </c>
      <c r="E13" t="n">
        <v>1008117</v>
      </c>
      <c r="F13" t="n">
        <v>0</v>
      </c>
      <c r="G13" t="n">
        <v>6</v>
      </c>
      <c r="H13" t="n">
        <v>10</v>
      </c>
    </row>
    <row r="14">
      <c r="A14" t="inlineStr">
        <is>
          <t>2021-08-18</t>
        </is>
      </c>
      <c r="B14" t="n">
        <v>-2470</v>
      </c>
      <c r="C14" t="n">
        <v>-3800</v>
      </c>
      <c r="D14" t="n">
        <v>993730</v>
      </c>
      <c r="E14" t="n">
        <v>992631</v>
      </c>
      <c r="F14" t="n">
        <v>-1.52</v>
      </c>
      <c r="G14" t="n">
        <v>4</v>
      </c>
      <c r="H14" t="n">
        <v>7</v>
      </c>
    </row>
    <row r="15">
      <c r="A15" t="inlineStr">
        <is>
          <t>2021-08-19</t>
        </is>
      </c>
      <c r="B15" t="n">
        <v>510</v>
      </c>
      <c r="C15" t="n">
        <v>-8100</v>
      </c>
      <c r="D15" t="n">
        <v>992410</v>
      </c>
      <c r="E15" t="n">
        <v>991000</v>
      </c>
      <c r="F15" t="n">
        <v>-1.65</v>
      </c>
      <c r="G15" t="n">
        <v>4</v>
      </c>
      <c r="H15" t="n">
        <v>8</v>
      </c>
    </row>
    <row r="16">
      <c r="A16" t="inlineStr">
        <is>
          <t>2021-08-20</t>
        </is>
      </c>
      <c r="B16" t="n">
        <v>-1070</v>
      </c>
      <c r="C16" t="n">
        <v>-5085</v>
      </c>
      <c r="D16" t="n">
        <v>993845</v>
      </c>
      <c r="E16" t="n">
        <v>992367</v>
      </c>
      <c r="F16" t="n">
        <v>-1.51</v>
      </c>
      <c r="G16" t="n">
        <v>4</v>
      </c>
      <c r="H16" t="n">
        <v>7.3</v>
      </c>
    </row>
    <row r="17">
      <c r="A17" t="inlineStr">
        <is>
          <t>2021-08-23</t>
        </is>
      </c>
      <c r="B17" t="n">
        <v>-1070</v>
      </c>
      <c r="C17" t="n">
        <v>-2765</v>
      </c>
      <c r="D17" t="n">
        <v>996165</v>
      </c>
      <c r="E17" t="n">
        <v>994687</v>
      </c>
      <c r="F17" t="n">
        <v>-1.28</v>
      </c>
      <c r="G17" t="n">
        <v>5</v>
      </c>
      <c r="H17" t="n">
        <v>8.5</v>
      </c>
    </row>
    <row r="18">
      <c r="A18" t="inlineStr">
        <is>
          <t>2021-08-24</t>
        </is>
      </c>
      <c r="B18" t="n">
        <v>-850</v>
      </c>
      <c r="C18" t="n">
        <v>-5820</v>
      </c>
      <c r="D18" t="n">
        <v>993330</v>
      </c>
      <c r="E18" t="n">
        <v>991598</v>
      </c>
      <c r="F18" t="n">
        <v>-1.56</v>
      </c>
      <c r="G18" t="n">
        <v>3</v>
      </c>
      <c r="H18" t="n">
        <v>5.3</v>
      </c>
    </row>
    <row r="19">
      <c r="A19" t="inlineStr">
        <is>
          <t>2021-08-25</t>
        </is>
      </c>
      <c r="B19" t="n">
        <v>1670</v>
      </c>
      <c r="C19" t="n">
        <v>-2700</v>
      </c>
      <c r="D19" t="n">
        <v>998970</v>
      </c>
      <c r="E19" t="n">
        <v>996906</v>
      </c>
      <c r="F19" t="n">
        <v>-1</v>
      </c>
      <c r="G19" t="n">
        <v>2</v>
      </c>
      <c r="H19" t="n">
        <v>4</v>
      </c>
    </row>
    <row r="20">
      <c r="A20" t="inlineStr">
        <is>
          <t>2021-08-26</t>
        </is>
      </c>
      <c r="B20" t="n">
        <v>7880</v>
      </c>
      <c r="C20" t="n">
        <v>-4400</v>
      </c>
      <c r="D20" t="n">
        <v>1003480</v>
      </c>
      <c r="E20" t="n">
        <v>1001289</v>
      </c>
      <c r="F20" t="n">
        <v>-0.55</v>
      </c>
      <c r="G20" t="n">
        <v>2</v>
      </c>
      <c r="H20" t="n">
        <v>4</v>
      </c>
    </row>
    <row r="21">
      <c r="A21" t="inlineStr">
        <is>
          <t>2021-08-27</t>
        </is>
      </c>
      <c r="B21" t="n">
        <v>7880</v>
      </c>
      <c r="C21" t="n">
        <v>-8500</v>
      </c>
      <c r="D21" t="n">
        <v>999380</v>
      </c>
      <c r="E21" t="n">
        <v>997189</v>
      </c>
      <c r="F21" t="n">
        <v>-0.96</v>
      </c>
      <c r="G21" t="n">
        <v>2</v>
      </c>
      <c r="H21" t="n">
        <v>4</v>
      </c>
    </row>
    <row r="22">
      <c r="A22" t="inlineStr">
        <is>
          <t>2021-08-30</t>
        </is>
      </c>
      <c r="B22" t="n">
        <v>7880</v>
      </c>
      <c r="C22" t="n">
        <v>-3960</v>
      </c>
      <c r="D22" t="n">
        <v>1003920</v>
      </c>
      <c r="E22" t="n">
        <v>1001612</v>
      </c>
      <c r="F22" t="n">
        <v>-0.51</v>
      </c>
      <c r="G22" t="n">
        <v>2</v>
      </c>
      <c r="H22" t="n">
        <v>4</v>
      </c>
    </row>
    <row r="23">
      <c r="A23" t="inlineStr">
        <is>
          <t>2021-08-31</t>
        </is>
      </c>
      <c r="B23" t="n">
        <v>7880</v>
      </c>
      <c r="C23" t="n">
        <v>-1160</v>
      </c>
      <c r="D23" t="n">
        <v>1006720</v>
      </c>
      <c r="E23" t="n">
        <v>1004412</v>
      </c>
      <c r="F23" t="n">
        <v>-0.23</v>
      </c>
      <c r="G23" t="n">
        <v>2</v>
      </c>
      <c r="H23" t="n">
        <v>4</v>
      </c>
    </row>
    <row r="24">
      <c r="A24" t="inlineStr">
        <is>
          <t>2021-09-01</t>
        </is>
      </c>
      <c r="B24" t="n">
        <v>7880</v>
      </c>
      <c r="C24" t="n">
        <v>-1280</v>
      </c>
      <c r="D24" t="n">
        <v>1006600</v>
      </c>
      <c r="E24" t="n">
        <v>1004292</v>
      </c>
      <c r="F24" t="n">
        <v>-0.24</v>
      </c>
      <c r="G24" t="n">
        <v>2</v>
      </c>
      <c r="H24" t="n">
        <v>4</v>
      </c>
    </row>
    <row r="25">
      <c r="A25" t="inlineStr">
        <is>
          <t>2021-09-02</t>
        </is>
      </c>
      <c r="B25" t="n">
        <v>7880</v>
      </c>
      <c r="C25" t="n">
        <v>-9220</v>
      </c>
      <c r="D25" t="n">
        <v>998660</v>
      </c>
      <c r="E25" t="n">
        <v>996352</v>
      </c>
      <c r="F25" t="n">
        <v>-1.03</v>
      </c>
      <c r="G25" t="n">
        <v>3</v>
      </c>
      <c r="H25" t="n">
        <v>6</v>
      </c>
    </row>
    <row r="26">
      <c r="A26" t="inlineStr">
        <is>
          <t>2021-09-03</t>
        </is>
      </c>
      <c r="B26" t="n">
        <v>2930</v>
      </c>
      <c r="C26" t="n">
        <v>-1080</v>
      </c>
      <c r="D26" t="n">
        <v>1001850</v>
      </c>
      <c r="E26" t="n">
        <v>999295</v>
      </c>
      <c r="F26" t="n">
        <v>-0.72</v>
      </c>
      <c r="G26" t="n">
        <v>2</v>
      </c>
      <c r="H26" t="n">
        <v>4</v>
      </c>
    </row>
    <row r="27">
      <c r="A27" t="inlineStr">
        <is>
          <t>2021-09-06</t>
        </is>
      </c>
      <c r="B27" t="n">
        <v>8210</v>
      </c>
      <c r="C27" t="n">
        <v>540</v>
      </c>
      <c r="D27" t="n">
        <v>1008750</v>
      </c>
      <c r="E27" t="n">
        <v>1005700</v>
      </c>
      <c r="F27" t="n">
        <v>-0.03</v>
      </c>
      <c r="G27" t="n">
        <v>1</v>
      </c>
      <c r="H27" t="n">
        <v>2</v>
      </c>
    </row>
    <row r="28">
      <c r="A28" t="inlineStr">
        <is>
          <t>2021-09-07</t>
        </is>
      </c>
      <c r="B28" t="n">
        <v>8210</v>
      </c>
      <c r="C28" t="n">
        <v>1860</v>
      </c>
      <c r="D28" t="n">
        <v>1010070</v>
      </c>
      <c r="E28" t="n">
        <v>1007020</v>
      </c>
      <c r="F28" t="n">
        <v>0</v>
      </c>
      <c r="G28" t="n">
        <v>3</v>
      </c>
      <c r="H28" t="n">
        <v>6</v>
      </c>
    </row>
    <row r="29">
      <c r="A29" t="inlineStr">
        <is>
          <t>2021-09-08</t>
        </is>
      </c>
      <c r="B29" t="n">
        <v>7490</v>
      </c>
      <c r="C29" t="n">
        <v>2640</v>
      </c>
      <c r="D29" t="n">
        <v>1010130</v>
      </c>
      <c r="E29" t="n">
        <v>1006541</v>
      </c>
      <c r="F29" t="n">
        <v>0</v>
      </c>
      <c r="G29" t="n">
        <v>3</v>
      </c>
      <c r="H29" t="n">
        <v>6</v>
      </c>
    </row>
    <row r="30">
      <c r="A30" t="inlineStr">
        <is>
          <t>2021-09-09</t>
        </is>
      </c>
      <c r="B30" t="n">
        <v>9330</v>
      </c>
      <c r="C30" t="n">
        <v>-1875</v>
      </c>
      <c r="D30" t="n">
        <v>1007455</v>
      </c>
      <c r="E30" t="n">
        <v>1003535</v>
      </c>
      <c r="F30" t="n">
        <v>-0.26</v>
      </c>
      <c r="G30" t="n">
        <v>5</v>
      </c>
      <c r="H30" t="n">
        <v>10</v>
      </c>
    </row>
    <row r="31">
      <c r="A31" t="inlineStr">
        <is>
          <t>2021-09-10</t>
        </is>
      </c>
      <c r="B31" t="n">
        <v>5010</v>
      </c>
      <c r="C31" t="n">
        <v>140</v>
      </c>
      <c r="D31" t="n">
        <v>1005150</v>
      </c>
      <c r="E31" t="n">
        <v>1000957</v>
      </c>
      <c r="F31" t="n">
        <v>-0.49</v>
      </c>
      <c r="G31" t="n">
        <v>4</v>
      </c>
      <c r="H31" t="n">
        <v>8</v>
      </c>
    </row>
    <row r="32">
      <c r="A32" t="inlineStr">
        <is>
          <t>2021-09-13</t>
        </is>
      </c>
      <c r="B32" t="n">
        <v>3060</v>
      </c>
      <c r="C32" t="n">
        <v>-10180</v>
      </c>
      <c r="D32" t="n">
        <v>992880</v>
      </c>
      <c r="E32" t="n">
        <v>988597</v>
      </c>
      <c r="F32" t="n">
        <v>-1.71</v>
      </c>
      <c r="G32" t="n">
        <v>3</v>
      </c>
      <c r="H32" t="n">
        <v>6</v>
      </c>
    </row>
    <row r="33">
      <c r="A33" t="inlineStr">
        <is>
          <t>2021-09-14</t>
        </is>
      </c>
      <c r="B33" t="n">
        <v>7500</v>
      </c>
      <c r="C33" t="n">
        <v>-8865</v>
      </c>
      <c r="D33" t="n">
        <v>998635</v>
      </c>
      <c r="E33" t="n">
        <v>994205</v>
      </c>
      <c r="F33" t="n">
        <v>-1.14</v>
      </c>
      <c r="G33" t="n">
        <v>2</v>
      </c>
      <c r="H33" t="n">
        <v>4</v>
      </c>
    </row>
    <row r="34">
      <c r="A34" t="inlineStr">
        <is>
          <t>2021-09-15</t>
        </is>
      </c>
      <c r="B34" t="n">
        <v>7500</v>
      </c>
      <c r="C34" t="n">
        <v>-8485</v>
      </c>
      <c r="D34" t="n">
        <v>999015</v>
      </c>
      <c r="E34" t="n">
        <v>994585</v>
      </c>
      <c r="F34" t="n">
        <v>-1.1</v>
      </c>
      <c r="G34" t="n">
        <v>3</v>
      </c>
      <c r="H34" t="n">
        <v>6</v>
      </c>
    </row>
    <row r="35">
      <c r="A35" t="inlineStr">
        <is>
          <t>2021-09-16</t>
        </is>
      </c>
      <c r="B35" t="n">
        <v>7500</v>
      </c>
      <c r="C35" t="n">
        <v>1720</v>
      </c>
      <c r="D35" t="n">
        <v>1009220</v>
      </c>
      <c r="E35" t="n">
        <v>1004790</v>
      </c>
      <c r="F35" t="n">
        <v>-0.09</v>
      </c>
      <c r="G35" t="n">
        <v>4</v>
      </c>
      <c r="H35" t="n">
        <v>8</v>
      </c>
    </row>
    <row r="36">
      <c r="A36" t="inlineStr">
        <is>
          <t>2021-09-17</t>
        </is>
      </c>
      <c r="B36" t="n">
        <v>1875</v>
      </c>
      <c r="C36" t="n">
        <v>-9660</v>
      </c>
      <c r="D36" t="n">
        <v>992215</v>
      </c>
      <c r="E36" t="n">
        <v>987710</v>
      </c>
      <c r="F36" t="n">
        <v>-1.77</v>
      </c>
      <c r="G36" t="n">
        <v>4</v>
      </c>
      <c r="H36" t="n">
        <v>8</v>
      </c>
    </row>
    <row r="37">
      <c r="A37" t="inlineStr">
        <is>
          <t>2021-09-22</t>
        </is>
      </c>
      <c r="B37" t="n">
        <v>-12375</v>
      </c>
      <c r="C37" t="n">
        <v>-5270</v>
      </c>
      <c r="D37" t="n">
        <v>982355</v>
      </c>
      <c r="E37" t="n">
        <v>977673</v>
      </c>
      <c r="F37" t="n">
        <v>-2.75</v>
      </c>
      <c r="G37" t="n">
        <v>4</v>
      </c>
      <c r="H37" t="n">
        <v>8</v>
      </c>
    </row>
    <row r="38">
      <c r="A38" t="inlineStr">
        <is>
          <t>2021-09-23</t>
        </is>
      </c>
      <c r="B38" t="n">
        <v>-8215</v>
      </c>
      <c r="C38" t="n">
        <v>-4540</v>
      </c>
      <c r="D38" t="n">
        <v>987245</v>
      </c>
      <c r="E38" t="n">
        <v>982466</v>
      </c>
      <c r="F38" t="n">
        <v>-2.27</v>
      </c>
      <c r="G38" t="n">
        <v>5</v>
      </c>
      <c r="H38" t="n">
        <v>10</v>
      </c>
    </row>
    <row r="39">
      <c r="A39" t="inlineStr">
        <is>
          <t>2021-09-24</t>
        </is>
      </c>
      <c r="B39" t="n">
        <v>-8565</v>
      </c>
      <c r="C39" t="n">
        <v>-10600</v>
      </c>
      <c r="D39" t="n">
        <v>980835</v>
      </c>
      <c r="E39" t="n">
        <v>975933</v>
      </c>
      <c r="F39" t="n">
        <v>-2.9</v>
      </c>
      <c r="G39" t="n">
        <v>5</v>
      </c>
      <c r="H39" t="n">
        <v>10</v>
      </c>
    </row>
    <row r="40">
      <c r="A40" t="inlineStr">
        <is>
          <t>2021-09-27</t>
        </is>
      </c>
      <c r="B40" t="n">
        <v>-10605</v>
      </c>
      <c r="C40" t="n">
        <v>-12780</v>
      </c>
      <c r="D40" t="n">
        <v>976615</v>
      </c>
      <c r="E40" t="n">
        <v>971616</v>
      </c>
      <c r="F40" t="n">
        <v>-3.32</v>
      </c>
      <c r="G40" t="n">
        <v>4</v>
      </c>
      <c r="H40" t="n">
        <v>8</v>
      </c>
    </row>
    <row r="41">
      <c r="A41" t="inlineStr">
        <is>
          <t>2021-09-28</t>
        </is>
      </c>
      <c r="B41" t="n">
        <v>-10605</v>
      </c>
      <c r="C41" t="n">
        <v>-17150</v>
      </c>
      <c r="D41" t="n">
        <v>972245</v>
      </c>
      <c r="E41" t="n">
        <v>967246</v>
      </c>
      <c r="F41" t="n">
        <v>-3.75</v>
      </c>
      <c r="G41" t="n">
        <v>5</v>
      </c>
      <c r="H41" t="n">
        <v>10</v>
      </c>
    </row>
    <row r="42">
      <c r="A42" t="inlineStr">
        <is>
          <t>2021-09-29</t>
        </is>
      </c>
      <c r="B42" t="n">
        <v>-10605</v>
      </c>
      <c r="C42" t="n">
        <v>-29070</v>
      </c>
      <c r="D42" t="n">
        <v>960325</v>
      </c>
      <c r="E42" t="n">
        <v>955326</v>
      </c>
      <c r="F42" t="n">
        <v>-4.93</v>
      </c>
      <c r="G42" t="n">
        <v>5</v>
      </c>
      <c r="H42" t="n">
        <v>10</v>
      </c>
    </row>
    <row r="43">
      <c r="A43" t="inlineStr">
        <is>
          <t>2021-09-30</t>
        </is>
      </c>
      <c r="B43" t="n">
        <v>-39171</v>
      </c>
      <c r="C43" t="n">
        <v>-6180</v>
      </c>
      <c r="D43" t="n">
        <v>954649</v>
      </c>
      <c r="E43" t="n">
        <v>948529</v>
      </c>
      <c r="F43" t="n">
        <v>-5.49</v>
      </c>
      <c r="G43" t="n">
        <v>4</v>
      </c>
      <c r="H43" t="n">
        <v>8</v>
      </c>
    </row>
    <row r="44">
      <c r="A44" t="inlineStr">
        <is>
          <t>2021-10-08</t>
        </is>
      </c>
      <c r="B44" t="n">
        <v>-37891</v>
      </c>
      <c r="C44" t="n">
        <v>-7120</v>
      </c>
      <c r="D44" t="n">
        <v>954989</v>
      </c>
      <c r="E44" t="n">
        <v>948649</v>
      </c>
      <c r="F44" t="n">
        <v>-5.46</v>
      </c>
      <c r="G44" t="n">
        <v>2</v>
      </c>
      <c r="H44" t="n">
        <v>4</v>
      </c>
    </row>
    <row r="45">
      <c r="A45" t="inlineStr">
        <is>
          <t>2021-10-11</t>
        </is>
      </c>
      <c r="B45" t="n">
        <v>-38991</v>
      </c>
      <c r="C45" t="n">
        <v>1700</v>
      </c>
      <c r="D45" t="n">
        <v>962709</v>
      </c>
      <c r="E45" t="n">
        <v>956309</v>
      </c>
      <c r="F45" t="n">
        <v>-4.69</v>
      </c>
      <c r="G45" t="n">
        <v>2</v>
      </c>
      <c r="H45" t="n">
        <v>4</v>
      </c>
    </row>
    <row r="46">
      <c r="A46" t="inlineStr">
        <is>
          <t>2021-10-12</t>
        </is>
      </c>
      <c r="B46" t="n">
        <v>-38991</v>
      </c>
      <c r="C46" t="n">
        <v>-1820</v>
      </c>
      <c r="D46" t="n">
        <v>959189</v>
      </c>
      <c r="E46" t="n">
        <v>952789</v>
      </c>
      <c r="F46" t="n">
        <v>-5.04</v>
      </c>
      <c r="G46" t="n">
        <v>2</v>
      </c>
      <c r="H46" t="n">
        <v>4</v>
      </c>
    </row>
    <row r="47">
      <c r="A47" t="inlineStr">
        <is>
          <t>2021-10-13</t>
        </is>
      </c>
      <c r="B47" t="n">
        <v>-38991</v>
      </c>
      <c r="C47" t="n">
        <v>-6520</v>
      </c>
      <c r="D47" t="n">
        <v>954489</v>
      </c>
      <c r="E47" t="n">
        <v>948089</v>
      </c>
      <c r="F47" t="n">
        <v>-5.51</v>
      </c>
      <c r="G47" t="n">
        <v>2</v>
      </c>
      <c r="H47" t="n">
        <v>4</v>
      </c>
    </row>
    <row r="48">
      <c r="A48" t="inlineStr">
        <is>
          <t>2021-10-14</t>
        </is>
      </c>
      <c r="B48" t="n">
        <v>-38991</v>
      </c>
      <c r="C48" t="n">
        <v>-4980</v>
      </c>
      <c r="D48" t="n">
        <v>956029</v>
      </c>
      <c r="E48" t="n">
        <v>949629</v>
      </c>
      <c r="F48" t="n">
        <v>-5.36</v>
      </c>
      <c r="G48" t="n">
        <v>3</v>
      </c>
      <c r="H48" t="n">
        <v>6</v>
      </c>
    </row>
    <row r="49">
      <c r="A49" t="inlineStr">
        <is>
          <t>2021-10-15</t>
        </is>
      </c>
      <c r="B49" t="n">
        <v>-38991</v>
      </c>
      <c r="C49" t="n">
        <v>-5035</v>
      </c>
      <c r="D49" t="n">
        <v>955974</v>
      </c>
      <c r="E49" t="n">
        <v>949574</v>
      </c>
      <c r="F49" t="n">
        <v>-5.36</v>
      </c>
      <c r="G49" t="n">
        <v>4</v>
      </c>
      <c r="H49" t="n">
        <v>8</v>
      </c>
    </row>
    <row r="50">
      <c r="A50" t="inlineStr">
        <is>
          <t>2021-10-18</t>
        </is>
      </c>
      <c r="B50" t="n">
        <v>-32251</v>
      </c>
      <c r="C50" t="n">
        <v>-4000</v>
      </c>
      <c r="D50" t="n">
        <v>963749</v>
      </c>
      <c r="E50" t="n">
        <v>957315</v>
      </c>
      <c r="F50" t="n">
        <v>-4.59</v>
      </c>
      <c r="G50" t="n">
        <v>4</v>
      </c>
      <c r="H50" t="n">
        <v>8</v>
      </c>
    </row>
    <row r="51">
      <c r="A51" t="inlineStr">
        <is>
          <t>2021-10-19</t>
        </is>
      </c>
      <c r="B51" t="n">
        <v>-28406</v>
      </c>
      <c r="C51" t="n">
        <v>-8550</v>
      </c>
      <c r="D51" t="n">
        <v>963044</v>
      </c>
      <c r="E51" t="n">
        <v>956278</v>
      </c>
      <c r="F51" t="n">
        <v>-4.66</v>
      </c>
      <c r="G51" t="n">
        <v>2</v>
      </c>
      <c r="H51" t="n">
        <v>4</v>
      </c>
    </row>
    <row r="52">
      <c r="A52" t="inlineStr">
        <is>
          <t>2021-10-20</t>
        </is>
      </c>
      <c r="B52" t="n">
        <v>-28406</v>
      </c>
      <c r="C52" t="n">
        <v>-14880</v>
      </c>
      <c r="D52" t="n">
        <v>956714</v>
      </c>
      <c r="E52" t="n">
        <v>949948</v>
      </c>
      <c r="F52" t="n">
        <v>-5.29</v>
      </c>
      <c r="G52" t="n">
        <v>2</v>
      </c>
      <c r="H52" t="n">
        <v>4</v>
      </c>
    </row>
    <row r="53">
      <c r="A53" t="inlineStr">
        <is>
          <t>2021-10-21</t>
        </is>
      </c>
      <c r="B53" t="n">
        <v>-55782</v>
      </c>
      <c r="C53" t="n">
        <v>0</v>
      </c>
      <c r="D53" t="n">
        <v>944218</v>
      </c>
      <c r="E53" t="n">
        <v>937267</v>
      </c>
      <c r="F53" t="n">
        <v>-6.53</v>
      </c>
      <c r="G53" t="n">
        <v>0</v>
      </c>
      <c r="H53" t="n">
        <v>0</v>
      </c>
    </row>
    <row r="54">
      <c r="A54" t="inlineStr">
        <is>
          <t>2021-10-22</t>
        </is>
      </c>
      <c r="B54" t="n">
        <v>-55782</v>
      </c>
      <c r="C54" t="n">
        <v>0</v>
      </c>
      <c r="D54" t="n">
        <v>944218</v>
      </c>
      <c r="E54" t="n">
        <v>937267</v>
      </c>
      <c r="F54" t="n">
        <v>-6.53</v>
      </c>
      <c r="G54" t="n">
        <v>0</v>
      </c>
      <c r="H54" t="n">
        <v>0</v>
      </c>
    </row>
    <row r="55">
      <c r="A55" t="inlineStr">
        <is>
          <t>2021-10-25</t>
        </is>
      </c>
      <c r="B55" t="n">
        <v>-55782</v>
      </c>
      <c r="C55" t="n">
        <v>0</v>
      </c>
      <c r="D55" t="n">
        <v>944218</v>
      </c>
      <c r="E55" t="n">
        <v>937267</v>
      </c>
      <c r="F55" t="n">
        <v>-6.53</v>
      </c>
      <c r="G55" t="n">
        <v>0</v>
      </c>
      <c r="H55" t="n">
        <v>0</v>
      </c>
    </row>
    <row r="56">
      <c r="A56" t="inlineStr">
        <is>
          <t>2021-10-26</t>
        </is>
      </c>
      <c r="B56" t="n">
        <v>-55782</v>
      </c>
      <c r="C56" t="n">
        <v>0</v>
      </c>
      <c r="D56" t="n">
        <v>944218</v>
      </c>
      <c r="E56" t="n">
        <v>937267</v>
      </c>
      <c r="F56" t="n">
        <v>-6.53</v>
      </c>
      <c r="G56" t="n">
        <v>0</v>
      </c>
      <c r="H56" t="n">
        <v>0</v>
      </c>
    </row>
    <row r="57">
      <c r="A57" t="inlineStr">
        <is>
          <t>2021-10-27</t>
        </is>
      </c>
      <c r="B57" t="n">
        <v>-55782</v>
      </c>
      <c r="C57" t="n">
        <v>0</v>
      </c>
      <c r="D57" t="n">
        <v>944218</v>
      </c>
      <c r="E57" t="n">
        <v>937267</v>
      </c>
      <c r="F57" t="n">
        <v>-6.53</v>
      </c>
      <c r="G57" t="n">
        <v>0</v>
      </c>
      <c r="H57" t="n">
        <v>0</v>
      </c>
    </row>
    <row r="58">
      <c r="A58" t="inlineStr">
        <is>
          <t>2021-10-28</t>
        </is>
      </c>
      <c r="B58" t="n">
        <v>-55782</v>
      </c>
      <c r="C58" t="n">
        <v>0</v>
      </c>
      <c r="D58" t="n">
        <v>944218</v>
      </c>
      <c r="E58" t="n">
        <v>937267</v>
      </c>
      <c r="F58" t="n">
        <v>-6.53</v>
      </c>
      <c r="G58" t="n">
        <v>1</v>
      </c>
      <c r="H58" t="n">
        <v>0.5</v>
      </c>
    </row>
    <row r="59">
      <c r="A59" t="inlineStr">
        <is>
          <t>2021-10-29</t>
        </is>
      </c>
      <c r="B59" t="n">
        <v>-55552</v>
      </c>
      <c r="C59" t="n">
        <v>0</v>
      </c>
      <c r="D59" t="n">
        <v>944448</v>
      </c>
      <c r="E59" t="n">
        <v>937474</v>
      </c>
      <c r="F59" t="n">
        <v>-6.5</v>
      </c>
      <c r="G59" t="n">
        <v>0</v>
      </c>
      <c r="H59" t="n">
        <v>0</v>
      </c>
    </row>
    <row r="60">
      <c r="A60" t="inlineStr">
        <is>
          <t>2021-11-01</t>
        </is>
      </c>
      <c r="B60" t="n">
        <v>-55552</v>
      </c>
      <c r="C60" t="n">
        <v>0</v>
      </c>
      <c r="D60" t="n">
        <v>944448</v>
      </c>
      <c r="E60" t="n">
        <v>937474</v>
      </c>
      <c r="F60" t="n">
        <v>-6.5</v>
      </c>
      <c r="G60" t="n">
        <v>0</v>
      </c>
      <c r="H60" t="n">
        <v>0</v>
      </c>
    </row>
    <row r="61">
      <c r="A61" t="inlineStr">
        <is>
          <t>2021-11-02</t>
        </is>
      </c>
      <c r="B61" t="n">
        <v>-55552</v>
      </c>
      <c r="C61" t="n">
        <v>0</v>
      </c>
      <c r="D61" t="n">
        <v>944448</v>
      </c>
      <c r="E61" t="n">
        <v>937474</v>
      </c>
      <c r="F61" t="n">
        <v>-6.5</v>
      </c>
      <c r="G61" t="n">
        <v>0</v>
      </c>
      <c r="H61" t="n">
        <v>0</v>
      </c>
    </row>
    <row r="62">
      <c r="A62" t="inlineStr">
        <is>
          <t>2021-11-03</t>
        </is>
      </c>
      <c r="B62" t="n">
        <v>-55552</v>
      </c>
      <c r="C62" t="n">
        <v>0</v>
      </c>
      <c r="D62" t="n">
        <v>944448</v>
      </c>
      <c r="E62" t="n">
        <v>937474</v>
      </c>
      <c r="F62" t="n">
        <v>-6.5</v>
      </c>
      <c r="G62" t="n">
        <v>0</v>
      </c>
      <c r="H62" t="n">
        <v>0</v>
      </c>
    </row>
    <row r="63">
      <c r="A63" t="inlineStr">
        <is>
          <t>2021-11-04</t>
        </is>
      </c>
      <c r="B63" t="n">
        <v>-55552</v>
      </c>
      <c r="C63" t="n">
        <v>0</v>
      </c>
      <c r="D63" t="n">
        <v>944448</v>
      </c>
      <c r="E63" t="n">
        <v>937474</v>
      </c>
      <c r="F63" t="n">
        <v>-6.5</v>
      </c>
      <c r="G63" t="n">
        <v>0</v>
      </c>
      <c r="H63" t="n">
        <v>0</v>
      </c>
    </row>
    <row r="64">
      <c r="A64" t="inlineStr">
        <is>
          <t>2021-11-05</t>
        </is>
      </c>
      <c r="B64" t="n">
        <v>-55552</v>
      </c>
      <c r="C64" t="n">
        <v>0</v>
      </c>
      <c r="D64" t="n">
        <v>944448</v>
      </c>
      <c r="E64" t="n">
        <v>937474</v>
      </c>
      <c r="F64" t="n">
        <v>-6.5</v>
      </c>
      <c r="G64" t="n">
        <v>2</v>
      </c>
      <c r="H64" t="n">
        <v>1.8</v>
      </c>
    </row>
    <row r="65">
      <c r="A65" t="inlineStr">
        <is>
          <t>2021-11-08</t>
        </is>
      </c>
      <c r="B65" t="n">
        <v>-55552</v>
      </c>
      <c r="C65" t="n">
        <v>-50</v>
      </c>
      <c r="D65" t="n">
        <v>944398</v>
      </c>
      <c r="E65" t="n">
        <v>937424</v>
      </c>
      <c r="F65" t="n">
        <v>-6.51</v>
      </c>
      <c r="G65" t="n">
        <v>3</v>
      </c>
      <c r="H65" t="n">
        <v>2.2</v>
      </c>
    </row>
    <row r="66">
      <c r="A66" t="inlineStr">
        <is>
          <t>2021-11-09</t>
        </is>
      </c>
      <c r="B66" t="n">
        <v>-54072</v>
      </c>
      <c r="C66" t="n">
        <v>100</v>
      </c>
      <c r="D66" t="n">
        <v>946028</v>
      </c>
      <c r="E66" t="n">
        <v>938984</v>
      </c>
      <c r="F66" t="n">
        <v>-6.35</v>
      </c>
      <c r="G66" t="n">
        <v>2</v>
      </c>
      <c r="H66" t="n">
        <v>1.8</v>
      </c>
    </row>
    <row r="67">
      <c r="A67" t="inlineStr">
        <is>
          <t>2021-11-10</t>
        </is>
      </c>
      <c r="B67" t="n">
        <v>-54072</v>
      </c>
      <c r="C67" t="n">
        <v>-90</v>
      </c>
      <c r="D67" t="n">
        <v>945838</v>
      </c>
      <c r="E67" t="n">
        <v>938794</v>
      </c>
      <c r="F67" t="n">
        <v>-6.36</v>
      </c>
      <c r="G67" t="n">
        <v>3</v>
      </c>
      <c r="H67" t="n">
        <v>3</v>
      </c>
    </row>
    <row r="68">
      <c r="A68" t="inlineStr">
        <is>
          <t>2021-11-11</t>
        </is>
      </c>
      <c r="B68" t="n">
        <v>-56232</v>
      </c>
      <c r="C68" t="n">
        <v>-1080</v>
      </c>
      <c r="D68" t="n">
        <v>942688</v>
      </c>
      <c r="E68" t="n">
        <v>935620</v>
      </c>
      <c r="F68" t="n">
        <v>-6.68</v>
      </c>
      <c r="G68" t="n">
        <v>4</v>
      </c>
      <c r="H68" t="n">
        <v>3.2</v>
      </c>
    </row>
    <row r="69">
      <c r="A69" t="inlineStr">
        <is>
          <t>2021-11-12</t>
        </is>
      </c>
      <c r="B69" t="n">
        <v>-56232</v>
      </c>
      <c r="C69" t="n">
        <v>-35</v>
      </c>
      <c r="D69" t="n">
        <v>943733</v>
      </c>
      <c r="E69" t="n">
        <v>936665</v>
      </c>
      <c r="F69" t="n">
        <v>-6.57</v>
      </c>
      <c r="G69" t="n">
        <v>5</v>
      </c>
      <c r="H69" t="n">
        <v>3.9</v>
      </c>
    </row>
    <row r="70">
      <c r="A70" t="inlineStr">
        <is>
          <t>2021-11-15</t>
        </is>
      </c>
      <c r="B70" t="n">
        <v>-56532</v>
      </c>
      <c r="C70" t="n">
        <v>-685</v>
      </c>
      <c r="D70" t="n">
        <v>942783</v>
      </c>
      <c r="E70" t="n">
        <v>935663</v>
      </c>
      <c r="F70" t="n">
        <v>-6.67</v>
      </c>
      <c r="G70" t="n">
        <v>5</v>
      </c>
      <c r="H70" t="n">
        <v>4.1</v>
      </c>
    </row>
    <row r="71">
      <c r="A71" t="inlineStr">
        <is>
          <t>2021-11-16</t>
        </is>
      </c>
      <c r="B71" t="n">
        <v>-60322</v>
      </c>
      <c r="C71" t="n">
        <v>2290</v>
      </c>
      <c r="D71" t="n">
        <v>941968</v>
      </c>
      <c r="E71" t="n">
        <v>934764</v>
      </c>
      <c r="F71" t="n">
        <v>-6.75</v>
      </c>
      <c r="G71" t="n">
        <v>3</v>
      </c>
      <c r="H71" t="n">
        <v>2.5</v>
      </c>
    </row>
    <row r="72">
      <c r="A72" t="inlineStr">
        <is>
          <t>2021-11-17</t>
        </is>
      </c>
      <c r="B72" t="n">
        <v>-60142</v>
      </c>
      <c r="C72" t="n">
        <v>2500</v>
      </c>
      <c r="D72" t="n">
        <v>942358</v>
      </c>
      <c r="E72" t="n">
        <v>935109</v>
      </c>
      <c r="F72" t="n">
        <v>-6.71</v>
      </c>
      <c r="G72" t="n">
        <v>2</v>
      </c>
      <c r="H72" t="n">
        <v>1.9</v>
      </c>
    </row>
    <row r="73">
      <c r="A73" t="inlineStr">
        <is>
          <t>2021-11-18</t>
        </is>
      </c>
      <c r="B73" t="n">
        <v>-57832</v>
      </c>
      <c r="C73" t="n">
        <v>1310</v>
      </c>
      <c r="D73" t="n">
        <v>943478</v>
      </c>
      <c r="E73" t="n">
        <v>936206</v>
      </c>
      <c r="F73" t="n">
        <v>-6.6</v>
      </c>
      <c r="G73" t="n">
        <v>4</v>
      </c>
      <c r="H73" t="n">
        <v>4.4</v>
      </c>
    </row>
    <row r="74">
      <c r="A74" t="inlineStr">
        <is>
          <t>2021-11-19</t>
        </is>
      </c>
      <c r="B74" t="n">
        <v>-60462</v>
      </c>
      <c r="C74" t="n">
        <v>-2920</v>
      </c>
      <c r="D74" t="n">
        <v>936618</v>
      </c>
      <c r="E74" t="n">
        <v>929297</v>
      </c>
      <c r="F74" t="n">
        <v>-7.28</v>
      </c>
      <c r="G74" t="n">
        <v>3</v>
      </c>
      <c r="H74" t="n">
        <v>2.7</v>
      </c>
    </row>
    <row r="75">
      <c r="A75" t="inlineStr">
        <is>
          <t>2021-11-22</t>
        </is>
      </c>
      <c r="B75" t="n">
        <v>-60462</v>
      </c>
      <c r="C75" t="n">
        <v>-6420</v>
      </c>
      <c r="D75" t="n">
        <v>933118</v>
      </c>
      <c r="E75" t="n">
        <v>925797</v>
      </c>
      <c r="F75" t="n">
        <v>-7.62</v>
      </c>
      <c r="G75" t="n">
        <v>3</v>
      </c>
      <c r="H75" t="n">
        <v>2.7</v>
      </c>
    </row>
    <row r="76">
      <c r="A76" t="inlineStr">
        <is>
          <t>2021-11-23</t>
        </is>
      </c>
      <c r="B76" t="n">
        <v>-60462</v>
      </c>
      <c r="C76" t="n">
        <v>-10860</v>
      </c>
      <c r="D76" t="n">
        <v>928678</v>
      </c>
      <c r="E76" t="n">
        <v>921357</v>
      </c>
      <c r="F76" t="n">
        <v>-8.06</v>
      </c>
      <c r="G76" t="n">
        <v>5</v>
      </c>
      <c r="H76" t="n">
        <v>3.8</v>
      </c>
    </row>
    <row r="77">
      <c r="A77" t="inlineStr">
        <is>
          <t>2021-11-24</t>
        </is>
      </c>
      <c r="B77" t="n">
        <v>-69336</v>
      </c>
      <c r="C77" t="n">
        <v>-6710</v>
      </c>
      <c r="D77" t="n">
        <v>923954</v>
      </c>
      <c r="E77" t="n">
        <v>916482</v>
      </c>
      <c r="F77" t="n">
        <v>-8.529999999999999</v>
      </c>
      <c r="G77" t="n">
        <v>3</v>
      </c>
      <c r="H77" t="n">
        <v>2.1</v>
      </c>
    </row>
    <row r="78">
      <c r="A78" t="inlineStr">
        <is>
          <t>2021-11-25</t>
        </is>
      </c>
      <c r="B78" t="n">
        <v>-69336</v>
      </c>
      <c r="C78" t="n">
        <v>-7110</v>
      </c>
      <c r="D78" t="n">
        <v>923554</v>
      </c>
      <c r="E78" t="n">
        <v>916082</v>
      </c>
      <c r="F78" t="n">
        <v>-8.57</v>
      </c>
      <c r="G78" t="n">
        <v>3</v>
      </c>
      <c r="H78" t="n">
        <v>2.1</v>
      </c>
    </row>
    <row r="79">
      <c r="A79" t="inlineStr">
        <is>
          <t>2021-11-26</t>
        </is>
      </c>
      <c r="B79" t="n">
        <v>-69336</v>
      </c>
      <c r="C79" t="n">
        <v>-3800</v>
      </c>
      <c r="D79" t="n">
        <v>926864</v>
      </c>
      <c r="E79" t="n">
        <v>919392</v>
      </c>
      <c r="F79" t="n">
        <v>-8.24</v>
      </c>
      <c r="G79" t="n">
        <v>3</v>
      </c>
      <c r="H79" t="n">
        <v>2.1</v>
      </c>
    </row>
    <row r="80">
      <c r="A80" t="inlineStr">
        <is>
          <t>2021-11-29</t>
        </is>
      </c>
      <c r="B80" t="n">
        <v>-67296</v>
      </c>
      <c r="C80" t="n">
        <v>-4210</v>
      </c>
      <c r="D80" t="n">
        <v>928494</v>
      </c>
      <c r="E80" t="n">
        <v>920977</v>
      </c>
      <c r="F80" t="n">
        <v>-8.08</v>
      </c>
      <c r="G80" t="n">
        <v>4</v>
      </c>
      <c r="H80" t="n">
        <v>3.3</v>
      </c>
    </row>
    <row r="81">
      <c r="A81" t="inlineStr">
        <is>
          <t>2021-11-30</t>
        </is>
      </c>
      <c r="B81" t="n">
        <v>-66746</v>
      </c>
      <c r="C81" t="n">
        <v>-5450</v>
      </c>
      <c r="D81" t="n">
        <v>927804</v>
      </c>
      <c r="E81" t="n">
        <v>920227</v>
      </c>
      <c r="F81" t="n">
        <v>-8.15</v>
      </c>
      <c r="G81" t="n">
        <v>3</v>
      </c>
      <c r="H81" t="n">
        <v>2.4</v>
      </c>
    </row>
    <row r="82">
      <c r="A82" t="inlineStr">
        <is>
          <t>2021-12-01</t>
        </is>
      </c>
      <c r="B82" t="n">
        <v>-71730</v>
      </c>
      <c r="C82" t="n">
        <v>-1860</v>
      </c>
      <c r="D82" t="n">
        <v>926410</v>
      </c>
      <c r="E82" t="n">
        <v>918718</v>
      </c>
      <c r="F82" t="n">
        <v>-8.289999999999999</v>
      </c>
      <c r="G82" t="n">
        <v>1</v>
      </c>
      <c r="H82" t="n">
        <v>0.9</v>
      </c>
    </row>
    <row r="83">
      <c r="A83" t="inlineStr">
        <is>
          <t>2021-12-02</t>
        </is>
      </c>
      <c r="B83" t="n">
        <v>-71730</v>
      </c>
      <c r="C83" t="n">
        <v>-1880</v>
      </c>
      <c r="D83" t="n">
        <v>926390</v>
      </c>
      <c r="E83" t="n">
        <v>918698</v>
      </c>
      <c r="F83" t="n">
        <v>-8.289999999999999</v>
      </c>
      <c r="G83" t="n">
        <v>1</v>
      </c>
      <c r="H83" t="n">
        <v>0.9</v>
      </c>
    </row>
    <row r="84">
      <c r="A84" t="inlineStr">
        <is>
          <t>2021-12-03</t>
        </is>
      </c>
      <c r="B84" t="n">
        <v>-71730</v>
      </c>
      <c r="C84" t="n">
        <v>-2790</v>
      </c>
      <c r="D84" t="n">
        <v>925480</v>
      </c>
      <c r="E84" t="n">
        <v>917788</v>
      </c>
      <c r="F84" t="n">
        <v>-8.380000000000001</v>
      </c>
      <c r="G84" t="n">
        <v>1</v>
      </c>
      <c r="H84" t="n">
        <v>0.9</v>
      </c>
    </row>
    <row r="85">
      <c r="A85" t="inlineStr">
        <is>
          <t>2021-12-06</t>
        </is>
      </c>
      <c r="B85" t="n">
        <v>-71730</v>
      </c>
      <c r="C85" t="n">
        <v>-2290</v>
      </c>
      <c r="D85" t="n">
        <v>925980</v>
      </c>
      <c r="E85" t="n">
        <v>918288</v>
      </c>
      <c r="F85" t="n">
        <v>-8.33</v>
      </c>
      <c r="G85" t="n">
        <v>1</v>
      </c>
      <c r="H85" t="n">
        <v>0.9</v>
      </c>
    </row>
    <row r="86">
      <c r="A86" t="inlineStr">
        <is>
          <t>2021-12-07</t>
        </is>
      </c>
      <c r="B86" t="n">
        <v>-71730</v>
      </c>
      <c r="C86" t="n">
        <v>-3170</v>
      </c>
      <c r="D86" t="n">
        <v>925100</v>
      </c>
      <c r="E86" t="n">
        <v>917408</v>
      </c>
      <c r="F86" t="n">
        <v>-8.42</v>
      </c>
      <c r="G86" t="n">
        <v>1</v>
      </c>
      <c r="H86" t="n">
        <v>0.9</v>
      </c>
    </row>
    <row r="87">
      <c r="A87" t="inlineStr">
        <is>
          <t>2021-12-08</t>
        </is>
      </c>
      <c r="B87" t="n">
        <v>-71730</v>
      </c>
      <c r="C87" t="n">
        <v>-2110</v>
      </c>
      <c r="D87" t="n">
        <v>926160</v>
      </c>
      <c r="E87" t="n">
        <v>918468</v>
      </c>
      <c r="F87" t="n">
        <v>-8.31</v>
      </c>
      <c r="G87" t="n">
        <v>1</v>
      </c>
      <c r="H87" t="n">
        <v>0.9</v>
      </c>
    </row>
    <row r="88">
      <c r="A88" t="inlineStr">
        <is>
          <t>2021-12-09</t>
        </is>
      </c>
      <c r="B88" t="n">
        <v>-71730</v>
      </c>
      <c r="C88" t="n">
        <v>-1260</v>
      </c>
      <c r="D88" t="n">
        <v>927010</v>
      </c>
      <c r="E88" t="n">
        <v>919318</v>
      </c>
      <c r="F88" t="n">
        <v>-8.23</v>
      </c>
      <c r="G88" t="n">
        <v>1</v>
      </c>
      <c r="H88" t="n">
        <v>0.9</v>
      </c>
    </row>
    <row r="89">
      <c r="A89" t="inlineStr">
        <is>
          <t>2021-12-10</t>
        </is>
      </c>
      <c r="B89" t="n">
        <v>-71730</v>
      </c>
      <c r="C89" t="n">
        <v>-1260</v>
      </c>
      <c r="D89" t="n">
        <v>927010</v>
      </c>
      <c r="E89" t="n">
        <v>919318</v>
      </c>
      <c r="F89" t="n">
        <v>-8.23</v>
      </c>
      <c r="G89" t="n">
        <v>2</v>
      </c>
      <c r="H89" t="n">
        <v>1.7</v>
      </c>
    </row>
    <row r="90">
      <c r="A90" t="inlineStr">
        <is>
          <t>2021-12-13</t>
        </is>
      </c>
      <c r="B90" t="n">
        <v>-69660</v>
      </c>
      <c r="C90" t="n">
        <v>-2180</v>
      </c>
      <c r="D90" t="n">
        <v>928160</v>
      </c>
      <c r="E90" t="n">
        <v>920264</v>
      </c>
      <c r="F90" t="n">
        <v>-8.109999999999999</v>
      </c>
      <c r="G90" t="n">
        <v>3</v>
      </c>
      <c r="H90" t="n">
        <v>3.8</v>
      </c>
    </row>
    <row r="91">
      <c r="A91" t="inlineStr">
        <is>
          <t>2021-12-14</t>
        </is>
      </c>
      <c r="B91" t="n">
        <v>-69810</v>
      </c>
      <c r="C91" t="n">
        <v>-2330</v>
      </c>
      <c r="D91" t="n">
        <v>927860</v>
      </c>
      <c r="E91" t="n">
        <v>919731</v>
      </c>
      <c r="F91" t="n">
        <v>-8.140000000000001</v>
      </c>
      <c r="G91" t="n">
        <v>1</v>
      </c>
      <c r="H91" t="n">
        <v>0.9</v>
      </c>
    </row>
    <row r="92">
      <c r="A92" t="inlineStr">
        <is>
          <t>2021-12-15</t>
        </is>
      </c>
      <c r="B92" t="n">
        <v>-69810</v>
      </c>
      <c r="C92" t="n">
        <v>-2920</v>
      </c>
      <c r="D92" t="n">
        <v>927270</v>
      </c>
      <c r="E92" t="n">
        <v>919141</v>
      </c>
      <c r="F92" t="n">
        <v>-8.199999999999999</v>
      </c>
      <c r="G92" t="n">
        <v>4</v>
      </c>
      <c r="H92" t="n">
        <v>5.1</v>
      </c>
    </row>
    <row r="93">
      <c r="A93" t="inlineStr">
        <is>
          <t>2021-12-16</t>
        </is>
      </c>
      <c r="B93" t="n">
        <v>-73276</v>
      </c>
      <c r="C93" t="n">
        <v>-9380</v>
      </c>
      <c r="D93" t="n">
        <v>917344</v>
      </c>
      <c r="E93" t="n">
        <v>909191</v>
      </c>
      <c r="F93" t="n">
        <v>-9.19</v>
      </c>
      <c r="G93" t="n">
        <v>3</v>
      </c>
      <c r="H93" t="n">
        <v>4.2</v>
      </c>
    </row>
    <row r="94">
      <c r="A94" t="inlineStr">
        <is>
          <t>2021-12-17</t>
        </is>
      </c>
      <c r="B94" t="n">
        <v>-73276</v>
      </c>
      <c r="C94" t="n">
        <v>-18220</v>
      </c>
      <c r="D94" t="n">
        <v>908504</v>
      </c>
      <c r="E94" t="n">
        <v>900351</v>
      </c>
      <c r="F94" t="n">
        <v>-10.06</v>
      </c>
      <c r="G94" t="n">
        <v>3</v>
      </c>
      <c r="H94" t="n">
        <v>4.2</v>
      </c>
    </row>
    <row r="95">
      <c r="A95" t="inlineStr">
        <is>
          <t>2021-12-20</t>
        </is>
      </c>
      <c r="B95" t="n">
        <v>-73276</v>
      </c>
      <c r="C95" t="n">
        <v>-14000</v>
      </c>
      <c r="D95" t="n">
        <v>912724</v>
      </c>
      <c r="E95" t="n">
        <v>904571</v>
      </c>
      <c r="F95" t="n">
        <v>-9.640000000000001</v>
      </c>
      <c r="G95" t="n">
        <v>3</v>
      </c>
      <c r="H95" t="n">
        <v>4.2</v>
      </c>
    </row>
    <row r="96">
      <c r="A96" t="inlineStr">
        <is>
          <t>2021-12-21</t>
        </is>
      </c>
      <c r="B96" t="n">
        <v>-73276</v>
      </c>
      <c r="C96" t="n">
        <v>-15160</v>
      </c>
      <c r="D96" t="n">
        <v>911564</v>
      </c>
      <c r="E96" t="n">
        <v>903411</v>
      </c>
      <c r="F96" t="n">
        <v>-9.76</v>
      </c>
      <c r="G96" t="n">
        <v>3</v>
      </c>
      <c r="H96" t="n">
        <v>4.2</v>
      </c>
    </row>
    <row r="97">
      <c r="A97" t="inlineStr">
        <is>
          <t>2021-12-22</t>
        </is>
      </c>
      <c r="B97" t="n">
        <v>-73276</v>
      </c>
      <c r="C97" t="n">
        <v>-15580</v>
      </c>
      <c r="D97" t="n">
        <v>911144</v>
      </c>
      <c r="E97" t="n">
        <v>902991</v>
      </c>
      <c r="F97" t="n">
        <v>-9.800000000000001</v>
      </c>
      <c r="G97" t="n">
        <v>3</v>
      </c>
      <c r="H97" t="n">
        <v>4.2</v>
      </c>
    </row>
    <row r="98">
      <c r="A98" t="inlineStr">
        <is>
          <t>2021-12-23</t>
        </is>
      </c>
      <c r="B98" t="n">
        <v>-83179</v>
      </c>
      <c r="C98" t="n">
        <v>-12700</v>
      </c>
      <c r="D98" t="n">
        <v>904121</v>
      </c>
      <c r="E98" t="n">
        <v>895876</v>
      </c>
      <c r="F98" t="n">
        <v>-10.49</v>
      </c>
      <c r="G98" t="n">
        <v>2</v>
      </c>
      <c r="H98" t="n">
        <v>2.8</v>
      </c>
    </row>
    <row r="99">
      <c r="A99" t="inlineStr">
        <is>
          <t>2021-12-24</t>
        </is>
      </c>
      <c r="B99" t="n">
        <v>-99185</v>
      </c>
      <c r="C99" t="n">
        <v>0</v>
      </c>
      <c r="D99" t="n">
        <v>900815</v>
      </c>
      <c r="E99" t="n">
        <v>892446</v>
      </c>
      <c r="F99" t="n">
        <v>-10.82</v>
      </c>
      <c r="G99" t="n">
        <v>0</v>
      </c>
      <c r="H99" t="n">
        <v>0</v>
      </c>
    </row>
    <row r="100">
      <c r="A100" t="inlineStr">
        <is>
          <t>2021-12-27</t>
        </is>
      </c>
      <c r="B100" t="n">
        <v>-99185</v>
      </c>
      <c r="C100" t="n">
        <v>0</v>
      </c>
      <c r="D100" t="n">
        <v>900815</v>
      </c>
      <c r="E100" t="n">
        <v>892446</v>
      </c>
      <c r="F100" t="n">
        <v>-10.82</v>
      </c>
      <c r="G100" t="n">
        <v>0</v>
      </c>
      <c r="H100" t="n">
        <v>0</v>
      </c>
    </row>
    <row r="101">
      <c r="A101" t="inlineStr">
        <is>
          <t>2021-12-28</t>
        </is>
      </c>
      <c r="B101" t="n">
        <v>-99185</v>
      </c>
      <c r="C101" t="n">
        <v>0</v>
      </c>
      <c r="D101" t="n">
        <v>900815</v>
      </c>
      <c r="E101" t="n">
        <v>892446</v>
      </c>
      <c r="F101" t="n">
        <v>-10.82</v>
      </c>
      <c r="G101" t="n">
        <v>0</v>
      </c>
      <c r="H101" t="n">
        <v>0</v>
      </c>
    </row>
    <row r="102">
      <c r="A102" t="inlineStr">
        <is>
          <t>2021-12-29</t>
        </is>
      </c>
      <c r="B102" t="n">
        <v>-99185</v>
      </c>
      <c r="C102" t="n">
        <v>0</v>
      </c>
      <c r="D102" t="n">
        <v>900815</v>
      </c>
      <c r="E102" t="n">
        <v>892446</v>
      </c>
      <c r="F102" t="n">
        <v>-10.82</v>
      </c>
      <c r="G102" t="n">
        <v>0</v>
      </c>
      <c r="H102" t="n">
        <v>0</v>
      </c>
    </row>
    <row r="103">
      <c r="A103" t="inlineStr">
        <is>
          <t>2021-12-30</t>
        </is>
      </c>
      <c r="B103" t="n">
        <v>-99185</v>
      </c>
      <c r="C103" t="n">
        <v>0</v>
      </c>
      <c r="D103" t="n">
        <v>900815</v>
      </c>
      <c r="E103" t="n">
        <v>892446</v>
      </c>
      <c r="F103" t="n">
        <v>-10.82</v>
      </c>
      <c r="G103" t="n">
        <v>0</v>
      </c>
      <c r="H103" t="n">
        <v>0</v>
      </c>
    </row>
    <row r="104">
      <c r="A104" t="inlineStr">
        <is>
          <t>2021-12-31</t>
        </is>
      </c>
      <c r="B104" t="n">
        <v>-99185</v>
      </c>
      <c r="C104" t="n">
        <v>0</v>
      </c>
      <c r="D104" t="n">
        <v>900815</v>
      </c>
      <c r="E104" t="n">
        <v>892446</v>
      </c>
      <c r="F104" t="n">
        <v>-10.82</v>
      </c>
      <c r="G104" t="n">
        <v>0</v>
      </c>
      <c r="H104" t="n">
        <v>0</v>
      </c>
    </row>
    <row r="105">
      <c r="A105" t="inlineStr">
        <is>
          <t>2022-01-04</t>
        </is>
      </c>
      <c r="B105" t="n">
        <v>-99185</v>
      </c>
      <c r="C105" t="n">
        <v>0</v>
      </c>
      <c r="D105" t="n">
        <v>900815</v>
      </c>
      <c r="E105" t="n">
        <v>892446</v>
      </c>
      <c r="F105" t="n">
        <v>-10.82</v>
      </c>
      <c r="G105" t="n">
        <v>1</v>
      </c>
      <c r="H105" t="n">
        <v>0.4</v>
      </c>
    </row>
    <row r="106">
      <c r="A106" t="inlineStr">
        <is>
          <t>2022-01-05</t>
        </is>
      </c>
      <c r="B106" t="n">
        <v>-98505</v>
      </c>
      <c r="C106" t="n">
        <v>0</v>
      </c>
      <c r="D106" t="n">
        <v>901495</v>
      </c>
      <c r="E106" t="n">
        <v>893081</v>
      </c>
      <c r="F106" t="n">
        <v>-10.75</v>
      </c>
      <c r="G106" t="n">
        <v>1</v>
      </c>
      <c r="H106" t="n">
        <v>0.7</v>
      </c>
    </row>
    <row r="107">
      <c r="A107" t="inlineStr">
        <is>
          <t>2022-01-06</t>
        </is>
      </c>
      <c r="B107" t="n">
        <v>-98505</v>
      </c>
      <c r="C107" t="n">
        <v>-2040</v>
      </c>
      <c r="D107" t="n">
        <v>899455</v>
      </c>
      <c r="E107" t="n">
        <v>891041</v>
      </c>
      <c r="F107" t="n">
        <v>-10.96</v>
      </c>
      <c r="G107" t="n">
        <v>1</v>
      </c>
      <c r="H107" t="n">
        <v>0.7</v>
      </c>
    </row>
    <row r="108">
      <c r="A108" t="inlineStr">
        <is>
          <t>2022-01-07</t>
        </is>
      </c>
      <c r="B108" t="n">
        <v>-98505</v>
      </c>
      <c r="C108" t="n">
        <v>-1740</v>
      </c>
      <c r="D108" t="n">
        <v>899755</v>
      </c>
      <c r="E108" t="n">
        <v>891341</v>
      </c>
      <c r="F108" t="n">
        <v>-10.93</v>
      </c>
      <c r="G108" t="n">
        <v>1</v>
      </c>
      <c r="H108" t="n">
        <v>0.7</v>
      </c>
    </row>
    <row r="109">
      <c r="A109" t="inlineStr">
        <is>
          <t>2022-01-10</t>
        </is>
      </c>
      <c r="B109" t="n">
        <v>-98505</v>
      </c>
      <c r="C109" t="n">
        <v>-1560</v>
      </c>
      <c r="D109" t="n">
        <v>899935</v>
      </c>
      <c r="E109" t="n">
        <v>891521</v>
      </c>
      <c r="F109" t="n">
        <v>-10.91</v>
      </c>
      <c r="G109" t="n">
        <v>1</v>
      </c>
      <c r="H109" t="n">
        <v>0.7</v>
      </c>
    </row>
    <row r="110">
      <c r="A110" t="inlineStr">
        <is>
          <t>2022-01-11</t>
        </is>
      </c>
      <c r="B110" t="n">
        <v>-98505</v>
      </c>
      <c r="C110" t="n">
        <v>-1620</v>
      </c>
      <c r="D110" t="n">
        <v>899875</v>
      </c>
      <c r="E110" t="n">
        <v>891461</v>
      </c>
      <c r="F110" t="n">
        <v>-10.91</v>
      </c>
      <c r="G110" t="n">
        <v>1</v>
      </c>
      <c r="H110" t="n">
        <v>0.7</v>
      </c>
    </row>
    <row r="111">
      <c r="A111" t="inlineStr">
        <is>
          <t>2022-01-12</t>
        </is>
      </c>
      <c r="B111" t="n">
        <v>-98505</v>
      </c>
      <c r="C111" t="n">
        <v>-1080</v>
      </c>
      <c r="D111" t="n">
        <v>900415</v>
      </c>
      <c r="E111" t="n">
        <v>892001</v>
      </c>
      <c r="F111" t="n">
        <v>-10.86</v>
      </c>
      <c r="G111" t="n">
        <v>3</v>
      </c>
      <c r="H111" t="n">
        <v>2</v>
      </c>
    </row>
    <row r="112">
      <c r="A112" t="inlineStr">
        <is>
          <t>2022-01-13</t>
        </is>
      </c>
      <c r="B112" t="n">
        <v>-98585</v>
      </c>
      <c r="C112" t="n">
        <v>-1200</v>
      </c>
      <c r="D112" t="n">
        <v>900215</v>
      </c>
      <c r="E112" t="n">
        <v>891705</v>
      </c>
      <c r="F112" t="n">
        <v>-10.88</v>
      </c>
      <c r="G112" t="n">
        <v>4</v>
      </c>
      <c r="H112" t="n">
        <v>2.6</v>
      </c>
    </row>
    <row r="113">
      <c r="A113" t="inlineStr">
        <is>
          <t>2022-01-14</t>
        </is>
      </c>
      <c r="B113" t="n">
        <v>-97535</v>
      </c>
      <c r="C113" t="n">
        <v>-180</v>
      </c>
      <c r="D113" t="n">
        <v>902285</v>
      </c>
      <c r="E113" t="n">
        <v>893746</v>
      </c>
      <c r="F113" t="n">
        <v>-10.68</v>
      </c>
      <c r="G113" t="n">
        <v>6</v>
      </c>
      <c r="H113" t="n">
        <v>4.5</v>
      </c>
    </row>
    <row r="114">
      <c r="A114" t="inlineStr">
        <is>
          <t>2022-01-17</t>
        </is>
      </c>
      <c r="B114" t="n">
        <v>-99965</v>
      </c>
      <c r="C114" t="n">
        <v>-4110</v>
      </c>
      <c r="D114" t="n">
        <v>895925</v>
      </c>
      <c r="E114" t="n">
        <v>887219</v>
      </c>
      <c r="F114" t="n">
        <v>-11.31</v>
      </c>
      <c r="G114" t="n">
        <v>4</v>
      </c>
      <c r="H114" t="n">
        <v>2.8</v>
      </c>
    </row>
    <row r="115">
      <c r="A115" t="inlineStr">
        <is>
          <t>2022-01-18</t>
        </is>
      </c>
      <c r="B115" t="n">
        <v>-103755</v>
      </c>
      <c r="C115" t="n">
        <v>1260</v>
      </c>
      <c r="D115" t="n">
        <v>897505</v>
      </c>
      <c r="E115" t="n">
        <v>888677</v>
      </c>
      <c r="F115" t="n">
        <v>-11.15</v>
      </c>
      <c r="G115" t="n">
        <v>4</v>
      </c>
      <c r="H115" t="n">
        <v>4.9</v>
      </c>
    </row>
    <row r="116">
      <c r="A116" t="inlineStr">
        <is>
          <t>2022-01-19</t>
        </is>
      </c>
      <c r="B116" t="n">
        <v>-103275</v>
      </c>
      <c r="C116" t="n">
        <v>8460</v>
      </c>
      <c r="D116" t="n">
        <v>905185</v>
      </c>
      <c r="E116" t="n">
        <v>896308</v>
      </c>
      <c r="F116" t="n">
        <v>-10.39</v>
      </c>
      <c r="G116" t="n">
        <v>6</v>
      </c>
      <c r="H116" t="n">
        <v>6.7</v>
      </c>
    </row>
    <row r="117">
      <c r="A117" t="inlineStr">
        <is>
          <t>2022-01-20</t>
        </is>
      </c>
      <c r="B117" t="n">
        <v>-103490</v>
      </c>
      <c r="C117" t="n">
        <v>17560</v>
      </c>
      <c r="D117" t="n">
        <v>914070</v>
      </c>
      <c r="E117" t="n">
        <v>905089</v>
      </c>
      <c r="F117" t="n">
        <v>-9.51</v>
      </c>
      <c r="G117" t="n">
        <v>4</v>
      </c>
      <c r="H117" t="n">
        <v>4.9</v>
      </c>
    </row>
    <row r="118">
      <c r="A118" t="inlineStr">
        <is>
          <t>2022-01-21</t>
        </is>
      </c>
      <c r="B118" t="n">
        <v>-100970</v>
      </c>
      <c r="C118" t="n">
        <v>9480</v>
      </c>
      <c r="D118" t="n">
        <v>908510</v>
      </c>
      <c r="E118" t="n">
        <v>899367</v>
      </c>
      <c r="F118" t="n">
        <v>-10.06</v>
      </c>
      <c r="G118" t="n">
        <v>5</v>
      </c>
      <c r="H118" t="n">
        <v>5.4</v>
      </c>
    </row>
    <row r="119">
      <c r="A119" t="inlineStr">
        <is>
          <t>2022-01-24</t>
        </is>
      </c>
      <c r="B119" t="n">
        <v>-99610</v>
      </c>
      <c r="C119" t="n">
        <v>2775</v>
      </c>
      <c r="D119" t="n">
        <v>903165</v>
      </c>
      <c r="E119" t="n">
        <v>893709</v>
      </c>
      <c r="F119" t="n">
        <v>-10.59</v>
      </c>
      <c r="G119" t="n">
        <v>2</v>
      </c>
      <c r="H119" t="n">
        <v>1.9</v>
      </c>
    </row>
    <row r="120">
      <c r="A120" t="inlineStr">
        <is>
          <t>2022-01-25</t>
        </is>
      </c>
      <c r="B120" t="n">
        <v>-99610</v>
      </c>
      <c r="C120" t="n">
        <v>2545</v>
      </c>
      <c r="D120" t="n">
        <v>902935</v>
      </c>
      <c r="E120" t="n">
        <v>893479</v>
      </c>
      <c r="F120" t="n">
        <v>-10.61</v>
      </c>
      <c r="G120" t="n">
        <v>4</v>
      </c>
      <c r="H120" t="n">
        <v>3.8</v>
      </c>
    </row>
    <row r="121">
      <c r="A121" t="inlineStr">
        <is>
          <t>2022-01-26</t>
        </is>
      </c>
      <c r="B121" t="n">
        <v>-99610</v>
      </c>
      <c r="C121" t="n">
        <v>9635</v>
      </c>
      <c r="D121" t="n">
        <v>910025</v>
      </c>
      <c r="E121" t="n">
        <v>900569</v>
      </c>
      <c r="F121" t="n">
        <v>-9.91</v>
      </c>
      <c r="G121" t="n">
        <v>5</v>
      </c>
      <c r="H121" t="n">
        <v>4.7</v>
      </c>
    </row>
    <row r="122">
      <c r="A122" t="inlineStr">
        <is>
          <t>2022-01-27</t>
        </is>
      </c>
      <c r="B122" t="n">
        <v>-92490</v>
      </c>
      <c r="C122" t="n">
        <v>2440</v>
      </c>
      <c r="D122" t="n">
        <v>909950</v>
      </c>
      <c r="E122" t="n">
        <v>900337</v>
      </c>
      <c r="F122" t="n">
        <v>-9.92</v>
      </c>
      <c r="G122" t="n">
        <v>5</v>
      </c>
      <c r="H122" t="n">
        <v>6.5</v>
      </c>
    </row>
    <row r="123">
      <c r="A123" t="inlineStr">
        <is>
          <t>2022-01-28</t>
        </is>
      </c>
      <c r="B123" t="n">
        <v>-92400</v>
      </c>
      <c r="C123" t="n">
        <v>-3720</v>
      </c>
      <c r="D123" t="n">
        <v>903880</v>
      </c>
      <c r="E123" t="n">
        <v>894059</v>
      </c>
      <c r="F123" t="n">
        <v>-10.52</v>
      </c>
      <c r="G123" t="n">
        <v>5</v>
      </c>
      <c r="H123" t="n">
        <v>7.3</v>
      </c>
    </row>
    <row r="124">
      <c r="A124" t="inlineStr">
        <is>
          <t>2022-02-07</t>
        </is>
      </c>
      <c r="B124" t="n">
        <v>-87500</v>
      </c>
      <c r="C124" t="n">
        <v>16370</v>
      </c>
      <c r="D124" t="n">
        <v>928870</v>
      </c>
      <c r="E124" t="n">
        <v>918988</v>
      </c>
      <c r="F124" t="n">
        <v>-8.039999999999999</v>
      </c>
      <c r="G124" t="n">
        <v>4</v>
      </c>
      <c r="H124" t="n">
        <v>6.2</v>
      </c>
    </row>
    <row r="125">
      <c r="A125" t="inlineStr">
        <is>
          <t>2022-02-08</t>
        </is>
      </c>
      <c r="B125" t="n">
        <v>-87500</v>
      </c>
      <c r="C125" t="n">
        <v>10800</v>
      </c>
      <c r="D125" t="n">
        <v>923300</v>
      </c>
      <c r="E125" t="n">
        <v>913418</v>
      </c>
      <c r="F125" t="n">
        <v>-8.6</v>
      </c>
      <c r="G125" t="n">
        <v>6</v>
      </c>
      <c r="H125" t="n">
        <v>10</v>
      </c>
    </row>
    <row r="126">
      <c r="A126" t="inlineStr">
        <is>
          <t>2022-02-09</t>
        </is>
      </c>
      <c r="B126" t="n">
        <v>-88770</v>
      </c>
      <c r="C126" t="n">
        <v>-4315</v>
      </c>
      <c r="D126" t="n">
        <v>906915</v>
      </c>
      <c r="E126" t="n">
        <v>896760</v>
      </c>
      <c r="F126" t="n">
        <v>-10.22</v>
      </c>
      <c r="G126" t="n">
        <v>5</v>
      </c>
      <c r="H126" t="n">
        <v>10</v>
      </c>
    </row>
    <row r="127">
      <c r="A127" t="inlineStr">
        <is>
          <t>2022-02-10</t>
        </is>
      </c>
      <c r="B127" t="n">
        <v>-69875</v>
      </c>
      <c r="C127" t="n">
        <v>-7050</v>
      </c>
      <c r="D127" t="n">
        <v>923075</v>
      </c>
      <c r="E127" t="n">
        <v>912428</v>
      </c>
      <c r="F127" t="n">
        <v>-8.619999999999999</v>
      </c>
      <c r="G127" t="n">
        <v>5</v>
      </c>
      <c r="H127" t="n">
        <v>9.5</v>
      </c>
    </row>
    <row r="128">
      <c r="A128" t="inlineStr">
        <is>
          <t>2022-02-11</t>
        </is>
      </c>
      <c r="B128" t="n">
        <v>-88131</v>
      </c>
      <c r="C128" t="n">
        <v>-23550</v>
      </c>
      <c r="D128" t="n">
        <v>888319</v>
      </c>
      <c r="E128" t="n">
        <v>877397</v>
      </c>
      <c r="F128" t="n">
        <v>-12.06</v>
      </c>
      <c r="G128" t="n">
        <v>3</v>
      </c>
      <c r="H128" t="n">
        <v>5.6</v>
      </c>
    </row>
    <row r="129">
      <c r="A129" t="inlineStr">
        <is>
          <t>2022-02-14</t>
        </is>
      </c>
      <c r="B129" t="n">
        <v>-88131</v>
      </c>
      <c r="C129" t="n">
        <v>-19765</v>
      </c>
      <c r="D129" t="n">
        <v>892104</v>
      </c>
      <c r="E129" t="n">
        <v>881182</v>
      </c>
      <c r="F129" t="n">
        <v>-11.68</v>
      </c>
      <c r="G129" t="n">
        <v>4</v>
      </c>
      <c r="H129" t="n">
        <v>8.6</v>
      </c>
    </row>
    <row r="130">
      <c r="A130" t="inlineStr">
        <is>
          <t>2022-02-15</t>
        </is>
      </c>
      <c r="B130" t="n">
        <v>-105729</v>
      </c>
      <c r="C130" t="n">
        <v>-3560</v>
      </c>
      <c r="D130" t="n">
        <v>890711</v>
      </c>
      <c r="E130" t="n">
        <v>879715</v>
      </c>
      <c r="F130" t="n">
        <v>-11.82</v>
      </c>
      <c r="G130" t="n">
        <v>4</v>
      </c>
      <c r="H130" t="n">
        <v>9</v>
      </c>
    </row>
    <row r="131">
      <c r="A131" t="inlineStr">
        <is>
          <t>2022-02-16</t>
        </is>
      </c>
      <c r="B131" t="n">
        <v>-122209</v>
      </c>
      <c r="C131" t="n">
        <v>440</v>
      </c>
      <c r="D131" t="n">
        <v>878231</v>
      </c>
      <c r="E131" t="n">
        <v>867045</v>
      </c>
      <c r="F131" t="n">
        <v>-13.06</v>
      </c>
      <c r="G131" t="n">
        <v>3</v>
      </c>
      <c r="H131" t="n">
        <v>6.5</v>
      </c>
    </row>
    <row r="132">
      <c r="A132" t="inlineStr">
        <is>
          <t>2022-02-17</t>
        </is>
      </c>
      <c r="B132" t="n">
        <v>-122209</v>
      </c>
      <c r="C132" t="n">
        <v>-280</v>
      </c>
      <c r="D132" t="n">
        <v>877511</v>
      </c>
      <c r="E132" t="n">
        <v>866325</v>
      </c>
      <c r="F132" t="n">
        <v>-13.13</v>
      </c>
      <c r="G132" t="n">
        <v>4</v>
      </c>
      <c r="H132" t="n">
        <v>8.4</v>
      </c>
    </row>
    <row r="133">
      <c r="A133" t="inlineStr">
        <is>
          <t>2022-02-18</t>
        </is>
      </c>
      <c r="B133" t="n">
        <v>-111409</v>
      </c>
      <c r="C133" t="n">
        <v>-6360</v>
      </c>
      <c r="D133" t="n">
        <v>882231</v>
      </c>
      <c r="E133" t="n">
        <v>870754</v>
      </c>
      <c r="F133" t="n">
        <v>-12.66</v>
      </c>
      <c r="G133" t="n">
        <v>2</v>
      </c>
      <c r="H133" t="n">
        <v>3.5</v>
      </c>
    </row>
    <row r="134">
      <c r="A134" t="inlineStr">
        <is>
          <t>2022-02-21</t>
        </is>
      </c>
      <c r="B134" t="n">
        <v>-111409</v>
      </c>
      <c r="C134" t="n">
        <v>-3400</v>
      </c>
      <c r="D134" t="n">
        <v>885191</v>
      </c>
      <c r="E134" t="n">
        <v>873714</v>
      </c>
      <c r="F134" t="n">
        <v>-12.37</v>
      </c>
      <c r="G134" t="n">
        <v>2</v>
      </c>
      <c r="H134" t="n">
        <v>3.5</v>
      </c>
    </row>
    <row r="135">
      <c r="A135" t="inlineStr">
        <is>
          <t>2022-02-22</t>
        </is>
      </c>
      <c r="B135" t="n">
        <v>-111409</v>
      </c>
      <c r="C135" t="n">
        <v>12360</v>
      </c>
      <c r="D135" t="n">
        <v>900951</v>
      </c>
      <c r="E135" t="n">
        <v>889474</v>
      </c>
      <c r="F135" t="n">
        <v>-10.81</v>
      </c>
      <c r="G135" t="n">
        <v>4</v>
      </c>
      <c r="H135" t="n">
        <v>8.4</v>
      </c>
    </row>
    <row r="136">
      <c r="A136" t="inlineStr">
        <is>
          <t>2022-02-23</t>
        </is>
      </c>
      <c r="B136" t="n">
        <v>-111409</v>
      </c>
      <c r="C136" t="n">
        <v>13210</v>
      </c>
      <c r="D136" t="n">
        <v>901801</v>
      </c>
      <c r="E136" t="n">
        <v>890324</v>
      </c>
      <c r="F136" t="n">
        <v>-10.72</v>
      </c>
      <c r="G136" t="n">
        <v>4</v>
      </c>
      <c r="H136" t="n">
        <v>8.4</v>
      </c>
    </row>
    <row r="137">
      <c r="A137" t="inlineStr">
        <is>
          <t>2022-02-24</t>
        </is>
      </c>
      <c r="B137" t="n">
        <v>-112834</v>
      </c>
      <c r="C137" t="n">
        <v>46490</v>
      </c>
      <c r="D137" t="n">
        <v>933656</v>
      </c>
      <c r="E137" t="n">
        <v>921994</v>
      </c>
      <c r="F137" t="n">
        <v>-7.57</v>
      </c>
      <c r="G137" t="n">
        <v>4</v>
      </c>
      <c r="H137" t="n">
        <v>8.300000000000001</v>
      </c>
    </row>
    <row r="138">
      <c r="A138" t="inlineStr">
        <is>
          <t>2022-02-25</t>
        </is>
      </c>
      <c r="B138" t="n">
        <v>-114054</v>
      </c>
      <c r="C138" t="n">
        <v>22320</v>
      </c>
      <c r="D138" t="n">
        <v>908266</v>
      </c>
      <c r="E138" t="n">
        <v>896338</v>
      </c>
      <c r="F138" t="n">
        <v>-10.08</v>
      </c>
      <c r="G138" t="n">
        <v>2</v>
      </c>
      <c r="H138" t="n">
        <v>3.5</v>
      </c>
    </row>
    <row r="139">
      <c r="A139" t="inlineStr">
        <is>
          <t>2022-02-28</t>
        </is>
      </c>
      <c r="B139" t="n">
        <v>-114054</v>
      </c>
      <c r="C139" t="n">
        <v>23680</v>
      </c>
      <c r="D139" t="n">
        <v>909626</v>
      </c>
      <c r="E139" t="n">
        <v>897698</v>
      </c>
      <c r="F139" t="n">
        <v>-9.949999999999999</v>
      </c>
      <c r="G139" t="n">
        <v>2</v>
      </c>
      <c r="H139" t="n">
        <v>3.5</v>
      </c>
    </row>
    <row r="140">
      <c r="A140" t="inlineStr">
        <is>
          <t>2022-03-01</t>
        </is>
      </c>
      <c r="B140" t="n">
        <v>-114054</v>
      </c>
      <c r="C140" t="n">
        <v>28800</v>
      </c>
      <c r="D140" t="n">
        <v>914746</v>
      </c>
      <c r="E140" t="n">
        <v>902818</v>
      </c>
      <c r="F140" t="n">
        <v>-9.44</v>
      </c>
      <c r="G140" t="n">
        <v>3</v>
      </c>
      <c r="H140" t="n">
        <v>5.8</v>
      </c>
    </row>
    <row r="141">
      <c r="A141" t="inlineStr">
        <is>
          <t>2022-03-02</t>
        </is>
      </c>
      <c r="B141" t="n">
        <v>-97134</v>
      </c>
      <c r="C141" t="n">
        <v>29680</v>
      </c>
      <c r="D141" t="n">
        <v>932546</v>
      </c>
      <c r="E141" t="n">
        <v>920293</v>
      </c>
      <c r="F141" t="n">
        <v>-7.68</v>
      </c>
      <c r="G141" t="n">
        <v>2</v>
      </c>
      <c r="H141" t="n">
        <v>5.6</v>
      </c>
    </row>
    <row r="142">
      <c r="A142" t="inlineStr">
        <is>
          <t>2022-03-03</t>
        </is>
      </c>
      <c r="B142" t="n">
        <v>-83329</v>
      </c>
      <c r="C142" t="n">
        <v>44400</v>
      </c>
      <c r="D142" t="n">
        <v>961071</v>
      </c>
      <c r="E142" t="n">
        <v>948659</v>
      </c>
      <c r="F142" t="n">
        <v>-4.86</v>
      </c>
      <c r="G142" t="n">
        <v>3</v>
      </c>
      <c r="H142" t="n">
        <v>8.6</v>
      </c>
    </row>
    <row r="143">
      <c r="A143" t="inlineStr">
        <is>
          <t>2022-03-04</t>
        </is>
      </c>
      <c r="B143" t="n">
        <v>-98929</v>
      </c>
      <c r="C143" t="n">
        <v>39160</v>
      </c>
      <c r="D143" t="n">
        <v>940231</v>
      </c>
      <c r="E143" t="n">
        <v>927714</v>
      </c>
      <c r="F143" t="n">
        <v>-6.92</v>
      </c>
      <c r="G143" t="n">
        <v>2</v>
      </c>
      <c r="H143" t="n">
        <v>5.6</v>
      </c>
    </row>
    <row r="144">
      <c r="A144" t="inlineStr">
        <is>
          <t>2022-03-07</t>
        </is>
      </c>
      <c r="B144" t="n">
        <v>-98929</v>
      </c>
      <c r="C144" t="n">
        <v>60760</v>
      </c>
      <c r="D144" t="n">
        <v>961831</v>
      </c>
      <c r="E144" t="n">
        <v>949314</v>
      </c>
      <c r="F144" t="n">
        <v>-4.78</v>
      </c>
      <c r="G144" t="n">
        <v>2</v>
      </c>
      <c r="H144" t="n">
        <v>5.6</v>
      </c>
    </row>
    <row r="145">
      <c r="A145" t="inlineStr">
        <is>
          <t>2022-03-08</t>
        </is>
      </c>
      <c r="B145" t="n">
        <v>-9409</v>
      </c>
      <c r="C145" t="n">
        <v>-2700</v>
      </c>
      <c r="D145" t="n">
        <v>987891</v>
      </c>
      <c r="E145" t="n">
        <v>975188</v>
      </c>
      <c r="F145" t="n">
        <v>-2.2</v>
      </c>
      <c r="G145" t="n">
        <v>1</v>
      </c>
      <c r="H145" t="n">
        <v>3</v>
      </c>
    </row>
    <row r="146">
      <c r="A146" t="inlineStr">
        <is>
          <t>2022-03-09</t>
        </is>
      </c>
      <c r="B146" t="n">
        <v>-6209</v>
      </c>
      <c r="C146" t="n">
        <v>0</v>
      </c>
      <c r="D146" t="n">
        <v>993791</v>
      </c>
      <c r="E146" t="n">
        <v>980869</v>
      </c>
      <c r="F146" t="n">
        <v>-1.62</v>
      </c>
      <c r="G146" t="n">
        <v>0</v>
      </c>
      <c r="H146" t="n">
        <v>0</v>
      </c>
    </row>
    <row r="147">
      <c r="A147" t="inlineStr">
        <is>
          <t>2022-03-10</t>
        </is>
      </c>
      <c r="B147" t="n">
        <v>-6209</v>
      </c>
      <c r="C147" t="n">
        <v>0</v>
      </c>
      <c r="D147" t="n">
        <v>993791</v>
      </c>
      <c r="E147" t="n">
        <v>980869</v>
      </c>
      <c r="F147" t="n">
        <v>-1.62</v>
      </c>
      <c r="G147" t="n">
        <v>0</v>
      </c>
      <c r="H147" t="n">
        <v>0</v>
      </c>
    </row>
    <row r="148">
      <c r="A148" t="inlineStr">
        <is>
          <t>2022-03-11</t>
        </is>
      </c>
      <c r="B148" t="n">
        <v>-6209</v>
      </c>
      <c r="C148" t="n">
        <v>0</v>
      </c>
      <c r="D148" t="n">
        <v>993791</v>
      </c>
      <c r="E148" t="n">
        <v>980869</v>
      </c>
      <c r="F148" t="n">
        <v>-1.62</v>
      </c>
      <c r="G148" t="n">
        <v>1</v>
      </c>
      <c r="H148" t="n">
        <v>3</v>
      </c>
    </row>
    <row r="149">
      <c r="A149" t="inlineStr">
        <is>
          <t>2022-03-14</t>
        </is>
      </c>
      <c r="B149" t="n">
        <v>-6209</v>
      </c>
      <c r="C149" t="n">
        <v>-7860</v>
      </c>
      <c r="D149" t="n">
        <v>985931</v>
      </c>
      <c r="E149" t="n">
        <v>973009</v>
      </c>
      <c r="F149" t="n">
        <v>-2.4</v>
      </c>
      <c r="G149" t="n">
        <v>2</v>
      </c>
      <c r="H149" t="n">
        <v>6</v>
      </c>
    </row>
    <row r="150">
      <c r="A150" t="inlineStr">
        <is>
          <t>2022-03-15</t>
        </is>
      </c>
      <c r="B150" t="n">
        <v>-6209</v>
      </c>
      <c r="C150" t="n">
        <v>-16380</v>
      </c>
      <c r="D150" t="n">
        <v>977411</v>
      </c>
      <c r="E150" t="n">
        <v>964489</v>
      </c>
      <c r="F150" t="n">
        <v>-3.24</v>
      </c>
      <c r="G150" t="n">
        <v>2</v>
      </c>
      <c r="H150" t="n">
        <v>6</v>
      </c>
    </row>
    <row r="151">
      <c r="A151" t="inlineStr">
        <is>
          <t>2022-03-16</t>
        </is>
      </c>
      <c r="B151" t="n">
        <v>-6209</v>
      </c>
      <c r="C151" t="n">
        <v>-7940</v>
      </c>
      <c r="D151" t="n">
        <v>985851</v>
      </c>
      <c r="E151" t="n">
        <v>972929</v>
      </c>
      <c r="F151" t="n">
        <v>-2.4</v>
      </c>
      <c r="G151" t="n">
        <v>3</v>
      </c>
      <c r="H151" t="n">
        <v>9</v>
      </c>
    </row>
    <row r="152">
      <c r="A152" t="inlineStr">
        <is>
          <t>2022-03-17</t>
        </is>
      </c>
      <c r="B152" t="n">
        <v>-8129</v>
      </c>
      <c r="C152" t="n">
        <v>-12980</v>
      </c>
      <c r="D152" t="n">
        <v>978891</v>
      </c>
      <c r="E152" t="n">
        <v>965674</v>
      </c>
      <c r="F152" t="n">
        <v>-3.09</v>
      </c>
      <c r="G152" t="n">
        <v>2</v>
      </c>
      <c r="H152" t="n">
        <v>6</v>
      </c>
    </row>
    <row r="153">
      <c r="A153" t="inlineStr">
        <is>
          <t>2022-03-18</t>
        </is>
      </c>
      <c r="B153" t="n">
        <v>-8129</v>
      </c>
      <c r="C153" t="n">
        <v>-11480</v>
      </c>
      <c r="D153" t="n">
        <v>980391</v>
      </c>
      <c r="E153" t="n">
        <v>967174</v>
      </c>
      <c r="F153" t="n">
        <v>-2.94</v>
      </c>
      <c r="G153" t="n">
        <v>4</v>
      </c>
      <c r="H153" t="n">
        <v>10</v>
      </c>
    </row>
    <row r="154">
      <c r="A154" t="inlineStr">
        <is>
          <t>2022-03-21</t>
        </is>
      </c>
      <c r="B154" t="n">
        <v>-8129</v>
      </c>
      <c r="C154" t="n">
        <v>-12210</v>
      </c>
      <c r="D154" t="n">
        <v>979661</v>
      </c>
      <c r="E154" t="n">
        <v>966444</v>
      </c>
      <c r="F154" t="n">
        <v>-3.02</v>
      </c>
      <c r="G154" t="n">
        <v>4</v>
      </c>
      <c r="H154" t="n">
        <v>10</v>
      </c>
    </row>
    <row r="155">
      <c r="A155" t="inlineStr">
        <is>
          <t>2022-03-22</t>
        </is>
      </c>
      <c r="B155" t="n">
        <v>-8129</v>
      </c>
      <c r="C155" t="n">
        <v>3980</v>
      </c>
      <c r="D155" t="n">
        <v>995851</v>
      </c>
      <c r="E155" t="n">
        <v>982634</v>
      </c>
      <c r="F155" t="n">
        <v>-1.41</v>
      </c>
      <c r="G155" t="n">
        <v>4</v>
      </c>
      <c r="H155" t="n">
        <v>10</v>
      </c>
    </row>
    <row r="156">
      <c r="A156" t="inlineStr">
        <is>
          <t>2022-03-23</t>
        </is>
      </c>
      <c r="B156" t="n">
        <v>-8129</v>
      </c>
      <c r="C156" t="n">
        <v>1480</v>
      </c>
      <c r="D156" t="n">
        <v>993351</v>
      </c>
      <c r="E156" t="n">
        <v>980134</v>
      </c>
      <c r="F156" t="n">
        <v>-1.66</v>
      </c>
      <c r="G156" t="n">
        <v>4</v>
      </c>
      <c r="H156" t="n">
        <v>10</v>
      </c>
    </row>
    <row r="157">
      <c r="A157" t="inlineStr">
        <is>
          <t>2022-03-24</t>
        </is>
      </c>
      <c r="B157" t="n">
        <v>-8129</v>
      </c>
      <c r="C157" t="n">
        <v>1130</v>
      </c>
      <c r="D157" t="n">
        <v>993001</v>
      </c>
      <c r="E157" t="n">
        <v>979784</v>
      </c>
      <c r="F157" t="n">
        <v>-1.7</v>
      </c>
      <c r="G157" t="n">
        <v>4</v>
      </c>
      <c r="H157" t="n">
        <v>10</v>
      </c>
    </row>
    <row r="158">
      <c r="A158" t="inlineStr">
        <is>
          <t>2022-03-25</t>
        </is>
      </c>
      <c r="B158" t="n">
        <v>-879</v>
      </c>
      <c r="C158" t="n">
        <v>2130</v>
      </c>
      <c r="D158" t="n">
        <v>1001251</v>
      </c>
      <c r="E158" t="n">
        <v>987914</v>
      </c>
      <c r="F158" t="n">
        <v>-0.88</v>
      </c>
      <c r="G158" t="n">
        <v>4</v>
      </c>
      <c r="H158" t="n">
        <v>10</v>
      </c>
    </row>
    <row r="159">
      <c r="A159" t="inlineStr">
        <is>
          <t>2022-03-28</t>
        </is>
      </c>
      <c r="B159" t="n">
        <v>1511</v>
      </c>
      <c r="C159" t="n">
        <v>-4270</v>
      </c>
      <c r="D159" t="n">
        <v>997241</v>
      </c>
      <c r="E159" t="n">
        <v>983875</v>
      </c>
      <c r="F159" t="n">
        <v>-1.28</v>
      </c>
      <c r="G159" t="n">
        <v>3</v>
      </c>
      <c r="H159" t="n">
        <v>9</v>
      </c>
    </row>
    <row r="160">
      <c r="A160" t="inlineStr">
        <is>
          <t>2022-03-29</t>
        </is>
      </c>
      <c r="B160" t="n">
        <v>1511</v>
      </c>
      <c r="C160" t="n">
        <v>-2800</v>
      </c>
      <c r="D160" t="n">
        <v>998711</v>
      </c>
      <c r="E160" t="n">
        <v>985345</v>
      </c>
      <c r="F160" t="n">
        <v>-1.13</v>
      </c>
      <c r="G160" t="n">
        <v>3</v>
      </c>
      <c r="H160" t="n">
        <v>9</v>
      </c>
    </row>
    <row r="161">
      <c r="A161" t="inlineStr">
        <is>
          <t>2022-03-30</t>
        </is>
      </c>
      <c r="B161" t="n">
        <v>1511</v>
      </c>
      <c r="C161" t="n">
        <v>-5730</v>
      </c>
      <c r="D161" t="n">
        <v>995781</v>
      </c>
      <c r="E161" t="n">
        <v>982415</v>
      </c>
      <c r="F161" t="n">
        <v>-1.42</v>
      </c>
      <c r="G161" t="n">
        <v>4</v>
      </c>
      <c r="H161" t="n">
        <v>10</v>
      </c>
    </row>
    <row r="162">
      <c r="A162" t="inlineStr">
        <is>
          <t>2022-03-31</t>
        </is>
      </c>
      <c r="B162" t="n">
        <v>1511</v>
      </c>
      <c r="C162" t="n">
        <v>-9310</v>
      </c>
      <c r="D162" t="n">
        <v>992201</v>
      </c>
      <c r="E162" t="n">
        <v>978835</v>
      </c>
      <c r="F162" t="n">
        <v>-1.77</v>
      </c>
      <c r="G162" t="n">
        <v>4</v>
      </c>
      <c r="H162" t="n">
        <v>10</v>
      </c>
    </row>
    <row r="163">
      <c r="A163" t="inlineStr">
        <is>
          <t>2022-04-01</t>
        </is>
      </c>
      <c r="B163" t="n">
        <v>1511</v>
      </c>
      <c r="C163" t="n">
        <v>-12010</v>
      </c>
      <c r="D163" t="n">
        <v>989501</v>
      </c>
      <c r="E163" t="n">
        <v>976135</v>
      </c>
      <c r="F163" t="n">
        <v>-2.04</v>
      </c>
      <c r="G163" t="n">
        <v>4</v>
      </c>
      <c r="H163" t="n">
        <v>10</v>
      </c>
    </row>
    <row r="164">
      <c r="A164" t="inlineStr">
        <is>
          <t>2022-04-06</t>
        </is>
      </c>
      <c r="B164" t="n">
        <v>21</v>
      </c>
      <c r="C164" t="n">
        <v>-5900</v>
      </c>
      <c r="D164" t="n">
        <v>994121</v>
      </c>
      <c r="E164" t="n">
        <v>980432</v>
      </c>
      <c r="F164" t="n">
        <v>-1.58</v>
      </c>
      <c r="G164" t="n">
        <v>1</v>
      </c>
      <c r="H164" t="n">
        <v>3</v>
      </c>
    </row>
    <row r="165">
      <c r="A165" t="inlineStr">
        <is>
          <t>2022-04-07</t>
        </is>
      </c>
      <c r="B165" t="n">
        <v>21</v>
      </c>
      <c r="C165" t="n">
        <v>-6120</v>
      </c>
      <c r="D165" t="n">
        <v>993901</v>
      </c>
      <c r="E165" t="n">
        <v>980212</v>
      </c>
      <c r="F165" t="n">
        <v>-1.61</v>
      </c>
      <c r="G165" t="n">
        <v>2</v>
      </c>
      <c r="H165" t="n">
        <v>6</v>
      </c>
    </row>
    <row r="166">
      <c r="A166" t="inlineStr">
        <is>
          <t>2022-04-08</t>
        </is>
      </c>
      <c r="B166" t="n">
        <v>1161</v>
      </c>
      <c r="C166" t="n">
        <v>-4300</v>
      </c>
      <c r="D166" t="n">
        <v>996861</v>
      </c>
      <c r="E166" t="n">
        <v>983022</v>
      </c>
      <c r="F166" t="n">
        <v>-1.31</v>
      </c>
      <c r="G166" t="n">
        <v>1</v>
      </c>
      <c r="H166" t="n">
        <v>3</v>
      </c>
    </row>
    <row r="167">
      <c r="A167" t="inlineStr">
        <is>
          <t>2022-04-11</t>
        </is>
      </c>
      <c r="B167" t="n">
        <v>1161</v>
      </c>
      <c r="C167" t="n">
        <v>-4900</v>
      </c>
      <c r="D167" t="n">
        <v>996261</v>
      </c>
      <c r="E167" t="n">
        <v>982422</v>
      </c>
      <c r="F167" t="n">
        <v>-1.37</v>
      </c>
      <c r="G167" t="n">
        <v>4</v>
      </c>
      <c r="H167" t="n">
        <v>10</v>
      </c>
    </row>
    <row r="168">
      <c r="A168" t="inlineStr">
        <is>
          <t>2022-04-12</t>
        </is>
      </c>
      <c r="B168" t="n">
        <v>1161</v>
      </c>
      <c r="C168" t="n">
        <v>4840</v>
      </c>
      <c r="D168" t="n">
        <v>1006001</v>
      </c>
      <c r="E168" t="n">
        <v>992162</v>
      </c>
      <c r="F168" t="n">
        <v>-0.41</v>
      </c>
      <c r="G168" t="n">
        <v>4</v>
      </c>
      <c r="H168" t="n">
        <v>10</v>
      </c>
    </row>
    <row r="169">
      <c r="A169" t="inlineStr">
        <is>
          <t>2022-04-13</t>
        </is>
      </c>
      <c r="B169" t="n">
        <v>1161</v>
      </c>
      <c r="C169" t="n">
        <v>13460</v>
      </c>
      <c r="D169" t="n">
        <v>1014621</v>
      </c>
      <c r="E169" t="n">
        <v>1000782</v>
      </c>
      <c r="F169" t="n">
        <v>0</v>
      </c>
      <c r="G169" t="n">
        <v>4</v>
      </c>
      <c r="H169" t="n">
        <v>10</v>
      </c>
    </row>
    <row r="170">
      <c r="A170" t="inlineStr">
        <is>
          <t>2022-04-14</t>
        </is>
      </c>
      <c r="B170" t="n">
        <v>-8139</v>
      </c>
      <c r="C170" t="n">
        <v>10680</v>
      </c>
      <c r="D170" t="n">
        <v>1002541</v>
      </c>
      <c r="E170" t="n">
        <v>988460</v>
      </c>
      <c r="F170" t="n">
        <v>-1.19</v>
      </c>
      <c r="G170" t="n">
        <v>4</v>
      </c>
      <c r="H170" t="n">
        <v>10</v>
      </c>
    </row>
    <row r="171">
      <c r="A171" t="inlineStr">
        <is>
          <t>2022-04-15</t>
        </is>
      </c>
      <c r="B171" t="n">
        <v>-3679</v>
      </c>
      <c r="C171" t="n">
        <v>24220</v>
      </c>
      <c r="D171" t="n">
        <v>1020541</v>
      </c>
      <c r="E171" t="n">
        <v>1006409</v>
      </c>
      <c r="F171" t="n">
        <v>0</v>
      </c>
      <c r="G171" t="n">
        <v>4</v>
      </c>
      <c r="H171" t="n">
        <v>10</v>
      </c>
    </row>
    <row r="172">
      <c r="A172" t="inlineStr">
        <is>
          <t>2022-04-18</t>
        </is>
      </c>
      <c r="B172" t="n">
        <v>-3679</v>
      </c>
      <c r="C172" t="n">
        <v>23700</v>
      </c>
      <c r="D172" t="n">
        <v>1020021</v>
      </c>
      <c r="E172" t="n">
        <v>1005889</v>
      </c>
      <c r="F172" t="n">
        <v>-0.05</v>
      </c>
      <c r="G172" t="n">
        <v>4</v>
      </c>
      <c r="H172" t="n">
        <v>10</v>
      </c>
    </row>
    <row r="173">
      <c r="A173" t="inlineStr">
        <is>
          <t>2022-04-19</t>
        </is>
      </c>
      <c r="B173" t="n">
        <v>-5119</v>
      </c>
      <c r="C173" t="n">
        <v>26380</v>
      </c>
      <c r="D173" t="n">
        <v>1021261</v>
      </c>
      <c r="E173" t="n">
        <v>1006968</v>
      </c>
      <c r="F173" t="n">
        <v>0</v>
      </c>
      <c r="G173" t="n">
        <v>4</v>
      </c>
      <c r="H173" t="n">
        <v>10</v>
      </c>
    </row>
    <row r="174">
      <c r="A174" t="inlineStr">
        <is>
          <t>2022-04-20</t>
        </is>
      </c>
      <c r="B174" t="n">
        <v>-5119</v>
      </c>
      <c r="C174" t="n">
        <v>14785</v>
      </c>
      <c r="D174" t="n">
        <v>1009666</v>
      </c>
      <c r="E174" t="n">
        <v>995373</v>
      </c>
      <c r="F174" t="n">
        <v>-1.14</v>
      </c>
      <c r="G174" t="n">
        <v>4</v>
      </c>
      <c r="H174" t="n">
        <v>10</v>
      </c>
    </row>
    <row r="175">
      <c r="A175" t="inlineStr">
        <is>
          <t>2022-04-21</t>
        </is>
      </c>
      <c r="B175" t="n">
        <v>-5119</v>
      </c>
      <c r="C175" t="n">
        <v>9250</v>
      </c>
      <c r="D175" t="n">
        <v>1004131</v>
      </c>
      <c r="E175" t="n">
        <v>989838</v>
      </c>
      <c r="F175" t="n">
        <v>-1.68</v>
      </c>
      <c r="G175" t="n">
        <v>4</v>
      </c>
      <c r="H175" t="n">
        <v>10</v>
      </c>
    </row>
    <row r="176">
      <c r="A176" t="inlineStr">
        <is>
          <t>2022-04-22</t>
        </is>
      </c>
      <c r="B176" t="n">
        <v>16181</v>
      </c>
      <c r="C176" t="n">
        <v>-9620</v>
      </c>
      <c r="D176" t="n">
        <v>1006561</v>
      </c>
      <c r="E176" t="n">
        <v>992013</v>
      </c>
      <c r="F176" t="n">
        <v>-1.44</v>
      </c>
      <c r="G176" t="n">
        <v>3</v>
      </c>
      <c r="H176" t="n">
        <v>7</v>
      </c>
    </row>
    <row r="177">
      <c r="A177" t="inlineStr">
        <is>
          <t>2022-04-25</t>
        </is>
      </c>
      <c r="B177" t="n">
        <v>-1484</v>
      </c>
      <c r="C177" t="n">
        <v>-16450</v>
      </c>
      <c r="D177" t="n">
        <v>982066</v>
      </c>
      <c r="E177" t="n">
        <v>967049</v>
      </c>
      <c r="F177" t="n">
        <v>-3.84</v>
      </c>
      <c r="G177" t="n">
        <v>2</v>
      </c>
      <c r="H177" t="n">
        <v>4</v>
      </c>
    </row>
    <row r="178">
      <c r="A178" t="inlineStr">
        <is>
          <t>2022-04-26</t>
        </is>
      </c>
      <c r="B178" t="n">
        <v>3616</v>
      </c>
      <c r="C178" t="n">
        <v>-17325</v>
      </c>
      <c r="D178" t="n">
        <v>986291</v>
      </c>
      <c r="E178" t="n">
        <v>971224</v>
      </c>
      <c r="F178" t="n">
        <v>-3.42</v>
      </c>
      <c r="G178" t="n">
        <v>2</v>
      </c>
      <c r="H178" t="n">
        <v>6</v>
      </c>
    </row>
    <row r="179">
      <c r="A179" t="inlineStr">
        <is>
          <t>2022-04-27</t>
        </is>
      </c>
      <c r="B179" t="n">
        <v>3616</v>
      </c>
      <c r="C179" t="n">
        <v>-13200</v>
      </c>
      <c r="D179" t="n">
        <v>990416</v>
      </c>
      <c r="E179" t="n">
        <v>975349</v>
      </c>
      <c r="F179" t="n">
        <v>-3.02</v>
      </c>
      <c r="G179" t="n">
        <v>2</v>
      </c>
      <c r="H179" t="n">
        <v>6</v>
      </c>
    </row>
    <row r="180">
      <c r="A180" t="inlineStr">
        <is>
          <t>2022-04-28</t>
        </is>
      </c>
      <c r="B180" t="n">
        <v>14976</v>
      </c>
      <c r="C180" t="n">
        <v>9900</v>
      </c>
      <c r="D180" t="n">
        <v>1024876</v>
      </c>
      <c r="E180" t="n">
        <v>1009706</v>
      </c>
      <c r="F180" t="n">
        <v>0</v>
      </c>
      <c r="G180" t="n">
        <v>1</v>
      </c>
      <c r="H180" t="n">
        <v>3</v>
      </c>
    </row>
    <row r="181">
      <c r="A181" t="inlineStr">
        <is>
          <t>2022-04-29</t>
        </is>
      </c>
      <c r="B181" t="n">
        <v>14976</v>
      </c>
      <c r="C181" t="n">
        <v>11475</v>
      </c>
      <c r="D181" t="n">
        <v>1026451</v>
      </c>
      <c r="E181" t="n">
        <v>1011281</v>
      </c>
      <c r="F181" t="n">
        <v>0</v>
      </c>
      <c r="G181" t="n">
        <v>3</v>
      </c>
      <c r="H181" t="n">
        <v>9</v>
      </c>
    </row>
    <row r="182">
      <c r="A182" t="inlineStr">
        <is>
          <t>2022-05-05</t>
        </is>
      </c>
      <c r="B182" t="n">
        <v>32076</v>
      </c>
      <c r="C182" t="n">
        <v>-6340</v>
      </c>
      <c r="D182" t="n">
        <v>1025736</v>
      </c>
      <c r="E182" t="n">
        <v>1010019</v>
      </c>
      <c r="F182" t="n">
        <v>-0.07000000000000001</v>
      </c>
      <c r="G182" t="n">
        <v>2</v>
      </c>
      <c r="H182" t="n">
        <v>6</v>
      </c>
    </row>
    <row r="183">
      <c r="A183" t="inlineStr">
        <is>
          <t>2022-05-06</t>
        </is>
      </c>
      <c r="B183" t="n">
        <v>32076</v>
      </c>
      <c r="C183" t="n">
        <v>-23640</v>
      </c>
      <c r="D183" t="n">
        <v>1008436</v>
      </c>
      <c r="E183" t="n">
        <v>992719</v>
      </c>
      <c r="F183" t="n">
        <v>-1.76</v>
      </c>
      <c r="G183" t="n">
        <v>4</v>
      </c>
      <c r="H183" t="n">
        <v>10</v>
      </c>
    </row>
    <row r="184">
      <c r="A184" t="inlineStr">
        <is>
          <t>2022-05-09</t>
        </is>
      </c>
      <c r="B184" t="n">
        <v>32076</v>
      </c>
      <c r="C184" t="n">
        <v>-30840</v>
      </c>
      <c r="D184" t="n">
        <v>1001236</v>
      </c>
      <c r="E184" t="n">
        <v>985519</v>
      </c>
      <c r="F184" t="n">
        <v>-2.46</v>
      </c>
      <c r="G184" t="n">
        <v>4</v>
      </c>
      <c r="H184" t="n">
        <v>10</v>
      </c>
    </row>
    <row r="185">
      <c r="A185" t="inlineStr">
        <is>
          <t>2022-05-10</t>
        </is>
      </c>
      <c r="B185" t="n">
        <v>9836</v>
      </c>
      <c r="C185" t="n">
        <v>-25500</v>
      </c>
      <c r="D185" t="n">
        <v>984336</v>
      </c>
      <c r="E185" t="n">
        <v>968429</v>
      </c>
      <c r="F185" t="n">
        <v>-4.1</v>
      </c>
      <c r="G185" t="n">
        <v>3</v>
      </c>
      <c r="H185" t="n">
        <v>7</v>
      </c>
    </row>
    <row r="186">
      <c r="A186" t="inlineStr">
        <is>
          <t>2022-05-11</t>
        </is>
      </c>
      <c r="B186" t="n">
        <v>7796</v>
      </c>
      <c r="C186" t="n">
        <v>-24040</v>
      </c>
      <c r="D186" t="n">
        <v>983756</v>
      </c>
      <c r="E186" t="n">
        <v>967756</v>
      </c>
      <c r="F186" t="n">
        <v>-4.16</v>
      </c>
      <c r="G186" t="n">
        <v>2</v>
      </c>
      <c r="H186" t="n">
        <v>6</v>
      </c>
    </row>
    <row r="187">
      <c r="A187" t="inlineStr">
        <is>
          <t>2022-05-12</t>
        </is>
      </c>
      <c r="B187" t="n">
        <v>7796</v>
      </c>
      <c r="C187" t="n">
        <v>-14600</v>
      </c>
      <c r="D187" t="n">
        <v>993196</v>
      </c>
      <c r="E187" t="n">
        <v>977196</v>
      </c>
      <c r="F187" t="n">
        <v>-3.24</v>
      </c>
      <c r="G187" t="n">
        <v>3</v>
      </c>
      <c r="H187" t="n">
        <v>9</v>
      </c>
    </row>
    <row r="188">
      <c r="A188" t="inlineStr">
        <is>
          <t>2022-05-13</t>
        </is>
      </c>
      <c r="B188" t="n">
        <v>-1474</v>
      </c>
      <c r="C188" t="n">
        <v>-9120</v>
      </c>
      <c r="D188" t="n">
        <v>989406</v>
      </c>
      <c r="E188" t="n">
        <v>973063</v>
      </c>
      <c r="F188" t="n">
        <v>-3.61</v>
      </c>
      <c r="G188" t="n">
        <v>4</v>
      </c>
      <c r="H188" t="n">
        <v>10</v>
      </c>
    </row>
    <row r="189">
      <c r="A189" t="inlineStr">
        <is>
          <t>2022-05-16</t>
        </is>
      </c>
      <c r="B189" t="n">
        <v>-1474</v>
      </c>
      <c r="C189" t="n">
        <v>-10640</v>
      </c>
      <c r="D189" t="n">
        <v>987886</v>
      </c>
      <c r="E189" t="n">
        <v>971543</v>
      </c>
      <c r="F189" t="n">
        <v>-3.76</v>
      </c>
      <c r="G189" t="n">
        <v>4</v>
      </c>
      <c r="H189" t="n">
        <v>10</v>
      </c>
    </row>
    <row r="190">
      <c r="A190" t="inlineStr">
        <is>
          <t>2022-05-17</t>
        </is>
      </c>
      <c r="B190" t="n">
        <v>-1474</v>
      </c>
      <c r="C190" t="n">
        <v>-9720</v>
      </c>
      <c r="D190" t="n">
        <v>988806</v>
      </c>
      <c r="E190" t="n">
        <v>972463</v>
      </c>
      <c r="F190" t="n">
        <v>-3.67</v>
      </c>
      <c r="G190" t="n">
        <v>4</v>
      </c>
      <c r="H190" t="n">
        <v>10</v>
      </c>
    </row>
    <row r="191">
      <c r="A191" t="inlineStr">
        <is>
          <t>2022-05-18</t>
        </is>
      </c>
      <c r="B191" t="n">
        <v>-22674</v>
      </c>
      <c r="C191" t="n">
        <v>4400</v>
      </c>
      <c r="D191" t="n">
        <v>981726</v>
      </c>
      <c r="E191" t="n">
        <v>965222</v>
      </c>
      <c r="F191" t="n">
        <v>-4.36</v>
      </c>
      <c r="G191" t="n">
        <v>4</v>
      </c>
      <c r="H191" t="n">
        <v>10</v>
      </c>
    </row>
    <row r="192">
      <c r="A192" t="inlineStr">
        <is>
          <t>2022-05-19</t>
        </is>
      </c>
      <c r="B192" t="n">
        <v>-22114</v>
      </c>
      <c r="C192" t="n">
        <v>-2560</v>
      </c>
      <c r="D192" t="n">
        <v>975326</v>
      </c>
      <c r="E192" t="n">
        <v>958773</v>
      </c>
      <c r="F192" t="n">
        <v>-4.98</v>
      </c>
      <c r="G192" t="n">
        <v>3</v>
      </c>
      <c r="H192" t="n">
        <v>9</v>
      </c>
    </row>
    <row r="193">
      <c r="A193" t="inlineStr">
        <is>
          <t>2022-05-20</t>
        </is>
      </c>
      <c r="B193" t="n">
        <v>-22114</v>
      </c>
      <c r="C193" t="n">
        <v>5320</v>
      </c>
      <c r="D193" t="n">
        <v>983206</v>
      </c>
      <c r="E193" t="n">
        <v>966653</v>
      </c>
      <c r="F193" t="n">
        <v>-4.21</v>
      </c>
      <c r="G193" t="n">
        <v>4</v>
      </c>
      <c r="H193" t="n">
        <v>10</v>
      </c>
    </row>
    <row r="194">
      <c r="A194" t="inlineStr">
        <is>
          <t>2022-05-23</t>
        </is>
      </c>
      <c r="B194" t="n">
        <v>-10604</v>
      </c>
      <c r="C194" t="n">
        <v>880</v>
      </c>
      <c r="D194" t="n">
        <v>990276</v>
      </c>
      <c r="E194" t="n">
        <v>973461</v>
      </c>
      <c r="F194" t="n">
        <v>-3.52</v>
      </c>
      <c r="G194" t="n">
        <v>2</v>
      </c>
      <c r="H194" t="n">
        <v>6</v>
      </c>
    </row>
    <row r="195">
      <c r="A195" t="inlineStr">
        <is>
          <t>2022-05-24</t>
        </is>
      </c>
      <c r="B195" t="n">
        <v>-10604</v>
      </c>
      <c r="C195" t="n">
        <v>7360</v>
      </c>
      <c r="D195" t="n">
        <v>996756</v>
      </c>
      <c r="E195" t="n">
        <v>979941</v>
      </c>
      <c r="F195" t="n">
        <v>-2.89</v>
      </c>
      <c r="G195" t="n">
        <v>2</v>
      </c>
      <c r="H195" t="n">
        <v>6</v>
      </c>
    </row>
    <row r="196">
      <c r="A196" t="inlineStr">
        <is>
          <t>2022-05-25</t>
        </is>
      </c>
      <c r="B196" t="n">
        <v>-10604</v>
      </c>
      <c r="C196" t="n">
        <v>3160</v>
      </c>
      <c r="D196" t="n">
        <v>992556</v>
      </c>
      <c r="E196" t="n">
        <v>975741</v>
      </c>
      <c r="F196" t="n">
        <v>-3.3</v>
      </c>
      <c r="G196" t="n">
        <v>3</v>
      </c>
      <c r="H196" t="n">
        <v>9</v>
      </c>
    </row>
    <row r="197">
      <c r="A197" t="inlineStr">
        <is>
          <t>2022-05-26</t>
        </is>
      </c>
      <c r="B197" t="n">
        <v>-10604</v>
      </c>
      <c r="C197" t="n">
        <v>3820</v>
      </c>
      <c r="D197" t="n">
        <v>993216</v>
      </c>
      <c r="E197" t="n">
        <v>976401</v>
      </c>
      <c r="F197" t="n">
        <v>-3.24</v>
      </c>
      <c r="G197" t="n">
        <v>4</v>
      </c>
      <c r="H197" t="n">
        <v>10</v>
      </c>
    </row>
    <row r="198">
      <c r="A198" t="inlineStr">
        <is>
          <t>2022-05-27</t>
        </is>
      </c>
      <c r="B198" t="n">
        <v>-12204</v>
      </c>
      <c r="C198" t="n">
        <v>13960</v>
      </c>
      <c r="D198" t="n">
        <v>1001756</v>
      </c>
      <c r="E198" t="n">
        <v>984707</v>
      </c>
      <c r="F198" t="n">
        <v>-2.41</v>
      </c>
      <c r="G198" t="n">
        <v>4</v>
      </c>
      <c r="H198" t="n">
        <v>10</v>
      </c>
    </row>
    <row r="199">
      <c r="A199" t="inlineStr">
        <is>
          <t>2022-05-30</t>
        </is>
      </c>
      <c r="B199" t="n">
        <v>-6159</v>
      </c>
      <c r="C199" t="n">
        <v>1200</v>
      </c>
      <c r="D199" t="n">
        <v>995041</v>
      </c>
      <c r="E199" t="n">
        <v>977293</v>
      </c>
      <c r="F199" t="n">
        <v>-3.06</v>
      </c>
      <c r="G199" t="n">
        <v>3</v>
      </c>
      <c r="H199" t="n">
        <v>9</v>
      </c>
    </row>
    <row r="200">
      <c r="A200" t="inlineStr">
        <is>
          <t>2022-05-31</t>
        </is>
      </c>
      <c r="B200" t="n">
        <v>-1099</v>
      </c>
      <c r="C200" t="n">
        <v>-580</v>
      </c>
      <c r="D200" t="n">
        <v>998321</v>
      </c>
      <c r="E200" t="n">
        <v>980316</v>
      </c>
      <c r="F200" t="n">
        <v>-2.74</v>
      </c>
      <c r="G200" t="n">
        <v>3</v>
      </c>
      <c r="H200" t="n">
        <v>9</v>
      </c>
    </row>
    <row r="201">
      <c r="A201" t="inlineStr">
        <is>
          <t>2022-06-01</t>
        </is>
      </c>
      <c r="B201" t="n">
        <v>-1099</v>
      </c>
      <c r="C201" t="n">
        <v>22700</v>
      </c>
      <c r="D201" t="n">
        <v>1021601</v>
      </c>
      <c r="E201" t="n">
        <v>1003596</v>
      </c>
      <c r="F201" t="n">
        <v>-0.47</v>
      </c>
      <c r="G201" t="n">
        <v>3</v>
      </c>
      <c r="H201" t="n">
        <v>9</v>
      </c>
    </row>
    <row r="202">
      <c r="A202" t="inlineStr">
        <is>
          <t>2022-06-02</t>
        </is>
      </c>
      <c r="B202" t="n">
        <v>-1099</v>
      </c>
      <c r="C202" t="n">
        <v>18020</v>
      </c>
      <c r="D202" t="n">
        <v>1016921</v>
      </c>
      <c r="E202" t="n">
        <v>998916</v>
      </c>
      <c r="F202" t="n">
        <v>-0.93</v>
      </c>
      <c r="G202" t="n">
        <v>3</v>
      </c>
      <c r="H202" t="n">
        <v>9</v>
      </c>
    </row>
    <row r="203">
      <c r="A203" t="inlineStr">
        <is>
          <t>2022-06-06</t>
        </is>
      </c>
      <c r="B203" t="n">
        <v>-1099</v>
      </c>
      <c r="C203" t="n">
        <v>3220</v>
      </c>
      <c r="D203" t="n">
        <v>1002121</v>
      </c>
      <c r="E203" t="n">
        <v>984116</v>
      </c>
      <c r="F203" t="n">
        <v>-2.37</v>
      </c>
      <c r="G203" t="n">
        <v>4</v>
      </c>
      <c r="H203" t="n">
        <v>10</v>
      </c>
    </row>
    <row r="204">
      <c r="A204" t="inlineStr">
        <is>
          <t>2022-06-07</t>
        </is>
      </c>
      <c r="B204" t="n">
        <v>501</v>
      </c>
      <c r="C204" t="n">
        <v>13860</v>
      </c>
      <c r="D204" t="n">
        <v>1014361</v>
      </c>
      <c r="E204" t="n">
        <v>996307</v>
      </c>
      <c r="F204" t="n">
        <v>-1.18</v>
      </c>
      <c r="G204" t="n">
        <v>4</v>
      </c>
      <c r="H204" t="n">
        <v>10</v>
      </c>
    </row>
    <row r="205">
      <c r="A205" t="inlineStr">
        <is>
          <t>2022-06-08</t>
        </is>
      </c>
      <c r="B205" t="n">
        <v>501</v>
      </c>
      <c r="C205" t="n">
        <v>6490</v>
      </c>
      <c r="D205" t="n">
        <v>1006991</v>
      </c>
      <c r="E205" t="n">
        <v>988937</v>
      </c>
      <c r="F205" t="n">
        <v>-1.9</v>
      </c>
      <c r="G205" t="n">
        <v>4</v>
      </c>
      <c r="H205" t="n">
        <v>10</v>
      </c>
    </row>
    <row r="206">
      <c r="A206" t="inlineStr">
        <is>
          <t>2022-06-09</t>
        </is>
      </c>
      <c r="B206" t="n">
        <v>501</v>
      </c>
      <c r="C206" t="n">
        <v>13020</v>
      </c>
      <c r="D206" t="n">
        <v>1013521</v>
      </c>
      <c r="E206" t="n">
        <v>995467</v>
      </c>
      <c r="F206" t="n">
        <v>-1.26</v>
      </c>
      <c r="G206" t="n">
        <v>4</v>
      </c>
      <c r="H206" t="n">
        <v>10</v>
      </c>
    </row>
    <row r="207">
      <c r="A207" t="inlineStr">
        <is>
          <t>2022-06-10</t>
        </is>
      </c>
      <c r="B207" t="n">
        <v>2331</v>
      </c>
      <c r="C207" t="n">
        <v>14300</v>
      </c>
      <c r="D207" t="n">
        <v>1016631</v>
      </c>
      <c r="E207" t="n">
        <v>998506</v>
      </c>
      <c r="F207" t="n">
        <v>-0.96</v>
      </c>
      <c r="G207" t="n">
        <v>4</v>
      </c>
      <c r="H207" t="n">
        <v>10</v>
      </c>
    </row>
    <row r="208">
      <c r="A208" t="inlineStr">
        <is>
          <t>2022-06-13</t>
        </is>
      </c>
      <c r="B208" t="n">
        <v>-4149</v>
      </c>
      <c r="C208" t="n">
        <v>7080</v>
      </c>
      <c r="D208" t="n">
        <v>1002931</v>
      </c>
      <c r="E208" t="n">
        <v>984583</v>
      </c>
      <c r="F208" t="n">
        <v>-2.29</v>
      </c>
      <c r="G208" t="n">
        <v>2</v>
      </c>
      <c r="H208" t="n">
        <v>6</v>
      </c>
    </row>
    <row r="209">
      <c r="A209" t="inlineStr">
        <is>
          <t>2022-06-14</t>
        </is>
      </c>
      <c r="B209" t="n">
        <v>-4149</v>
      </c>
      <c r="C209" t="n">
        <v>15400</v>
      </c>
      <c r="D209" t="n">
        <v>1011251</v>
      </c>
      <c r="E209" t="n">
        <v>992903</v>
      </c>
      <c r="F209" t="n">
        <v>-1.48</v>
      </c>
      <c r="G209" t="n">
        <v>3</v>
      </c>
      <c r="H209" t="n">
        <v>9</v>
      </c>
    </row>
    <row r="210">
      <c r="A210" t="inlineStr">
        <is>
          <t>2022-06-15</t>
        </is>
      </c>
      <c r="B210" t="n">
        <v>-20789</v>
      </c>
      <c r="C210" t="n">
        <v>20040</v>
      </c>
      <c r="D210" t="n">
        <v>999251</v>
      </c>
      <c r="E210" t="n">
        <v>980704</v>
      </c>
      <c r="F210" t="n">
        <v>-2.65</v>
      </c>
      <c r="G210" t="n">
        <v>2</v>
      </c>
      <c r="H210" t="n">
        <v>6</v>
      </c>
    </row>
    <row r="211">
      <c r="A211" t="inlineStr">
        <is>
          <t>2022-06-16</t>
        </is>
      </c>
      <c r="B211" t="n">
        <v>-8889</v>
      </c>
      <c r="C211" t="n">
        <v>-3480</v>
      </c>
      <c r="D211" t="n">
        <v>987631</v>
      </c>
      <c r="E211" t="n">
        <v>968305</v>
      </c>
      <c r="F211" t="n">
        <v>-3.78</v>
      </c>
      <c r="G211" t="n">
        <v>1</v>
      </c>
      <c r="H211" t="n">
        <v>3</v>
      </c>
    </row>
    <row r="212">
      <c r="A212" t="inlineStr">
        <is>
          <t>2022-06-17</t>
        </is>
      </c>
      <c r="B212" t="n">
        <v>-8889</v>
      </c>
      <c r="C212" t="n">
        <v>-9960</v>
      </c>
      <c r="D212" t="n">
        <v>981151</v>
      </c>
      <c r="E212" t="n">
        <v>961825</v>
      </c>
      <c r="F212" t="n">
        <v>-4.41</v>
      </c>
      <c r="G212" t="n">
        <v>1</v>
      </c>
      <c r="H212" t="n">
        <v>3</v>
      </c>
    </row>
    <row r="213">
      <c r="A213" t="inlineStr">
        <is>
          <t>2022-06-20</t>
        </is>
      </c>
      <c r="B213" t="n">
        <v>-8889</v>
      </c>
      <c r="C213" t="n">
        <v>-2400</v>
      </c>
      <c r="D213" t="n">
        <v>988711</v>
      </c>
      <c r="E213" t="n">
        <v>969385</v>
      </c>
      <c r="F213" t="n">
        <v>-3.68</v>
      </c>
      <c r="G213" t="n">
        <v>1</v>
      </c>
      <c r="H213" t="n">
        <v>3</v>
      </c>
    </row>
    <row r="214">
      <c r="A214" t="inlineStr">
        <is>
          <t>2022-06-21</t>
        </is>
      </c>
      <c r="B214" t="n">
        <v>-5769</v>
      </c>
      <c r="C214" t="n">
        <v>0</v>
      </c>
      <c r="D214" t="n">
        <v>994231</v>
      </c>
      <c r="E214" t="n">
        <v>974609</v>
      </c>
      <c r="F214" t="n">
        <v>-3.14</v>
      </c>
      <c r="G214" t="n">
        <v>0</v>
      </c>
      <c r="H214" t="n">
        <v>0</v>
      </c>
    </row>
    <row r="215">
      <c r="A215" t="inlineStr">
        <is>
          <t>2022-06-22</t>
        </is>
      </c>
      <c r="B215" t="n">
        <v>-5769</v>
      </c>
      <c r="C215" t="n">
        <v>0</v>
      </c>
      <c r="D215" t="n">
        <v>994231</v>
      </c>
      <c r="E215" t="n">
        <v>974609</v>
      </c>
      <c r="F215" t="n">
        <v>-3.14</v>
      </c>
      <c r="G215" t="n">
        <v>1</v>
      </c>
      <c r="H215" t="n">
        <v>3</v>
      </c>
    </row>
    <row r="216">
      <c r="A216" t="inlineStr">
        <is>
          <t>2022-06-23</t>
        </is>
      </c>
      <c r="B216" t="n">
        <v>-13104</v>
      </c>
      <c r="C216" t="n">
        <v>0</v>
      </c>
      <c r="D216" t="n">
        <v>986896</v>
      </c>
      <c r="E216" t="n">
        <v>967151</v>
      </c>
      <c r="F216" t="n">
        <v>-3.85</v>
      </c>
      <c r="G216" t="n">
        <v>1</v>
      </c>
      <c r="H216" t="n">
        <v>3</v>
      </c>
    </row>
    <row r="217">
      <c r="A217" t="inlineStr">
        <is>
          <t>2022-06-24</t>
        </is>
      </c>
      <c r="B217" t="n">
        <v>-13104</v>
      </c>
      <c r="C217" t="n">
        <v>19500</v>
      </c>
      <c r="D217" t="n">
        <v>1006396</v>
      </c>
      <c r="E217" t="n">
        <v>986651</v>
      </c>
      <c r="F217" t="n">
        <v>-1.95</v>
      </c>
      <c r="G217" t="n">
        <v>3</v>
      </c>
      <c r="H217" t="n">
        <v>9</v>
      </c>
    </row>
    <row r="218">
      <c r="A218" t="inlineStr">
        <is>
          <t>2022-06-27</t>
        </is>
      </c>
      <c r="B218" t="n">
        <v>3296</v>
      </c>
      <c r="C218" t="n">
        <v>-2970</v>
      </c>
      <c r="D218" t="n">
        <v>1000326</v>
      </c>
      <c r="E218" t="n">
        <v>980316</v>
      </c>
      <c r="F218" t="n">
        <v>-2.55</v>
      </c>
      <c r="G218" t="n">
        <v>2</v>
      </c>
      <c r="H218" t="n">
        <v>6</v>
      </c>
    </row>
    <row r="219">
      <c r="A219" t="inlineStr">
        <is>
          <t>2022-06-28</t>
        </is>
      </c>
      <c r="B219" t="n">
        <v>3296</v>
      </c>
      <c r="C219" t="n">
        <v>-16880</v>
      </c>
      <c r="D219" t="n">
        <v>986416</v>
      </c>
      <c r="E219" t="n">
        <v>966406</v>
      </c>
      <c r="F219" t="n">
        <v>-3.9</v>
      </c>
      <c r="G219" t="n">
        <v>2</v>
      </c>
      <c r="H219" t="n">
        <v>6</v>
      </c>
    </row>
    <row r="220">
      <c r="A220" t="inlineStr">
        <is>
          <t>2022-06-29</t>
        </is>
      </c>
      <c r="B220" t="n">
        <v>-7804</v>
      </c>
      <c r="C220" t="n">
        <v>45</v>
      </c>
      <c r="D220" t="n">
        <v>992241</v>
      </c>
      <c r="E220" t="n">
        <v>972016</v>
      </c>
      <c r="F220" t="n">
        <v>-3.33</v>
      </c>
      <c r="G220" t="n">
        <v>1</v>
      </c>
      <c r="H220" t="n">
        <v>3</v>
      </c>
    </row>
    <row r="221">
      <c r="A221" t="inlineStr">
        <is>
          <t>2022-06-30</t>
        </is>
      </c>
      <c r="B221" t="n">
        <v>-7804</v>
      </c>
      <c r="C221" t="n">
        <v>-1170</v>
      </c>
      <c r="D221" t="n">
        <v>991026</v>
      </c>
      <c r="E221" t="n">
        <v>970801</v>
      </c>
      <c r="F221" t="n">
        <v>-3.45</v>
      </c>
      <c r="G221" t="n">
        <v>2</v>
      </c>
      <c r="H221" t="n">
        <v>6</v>
      </c>
    </row>
    <row r="222">
      <c r="A222" t="inlineStr">
        <is>
          <t>2022-07-01</t>
        </is>
      </c>
      <c r="B222" t="n">
        <v>-7804</v>
      </c>
      <c r="C222" t="n">
        <v>9405</v>
      </c>
      <c r="D222" t="n">
        <v>1001601</v>
      </c>
      <c r="E222" t="n">
        <v>981376</v>
      </c>
      <c r="F222" t="n">
        <v>-2.42</v>
      </c>
      <c r="G222" t="n">
        <v>3</v>
      </c>
      <c r="H222" t="n">
        <v>9</v>
      </c>
    </row>
    <row r="223">
      <c r="A223" t="inlineStr">
        <is>
          <t>2022-07-04</t>
        </is>
      </c>
      <c r="B223" t="n">
        <v>-7804</v>
      </c>
      <c r="C223" t="n">
        <v>11815</v>
      </c>
      <c r="D223" t="n">
        <v>1004011</v>
      </c>
      <c r="E223" t="n">
        <v>983786</v>
      </c>
      <c r="F223" t="n">
        <v>-2.19</v>
      </c>
      <c r="G223" t="n">
        <v>4</v>
      </c>
      <c r="H223" t="n">
        <v>10</v>
      </c>
    </row>
    <row r="224">
      <c r="A224" t="inlineStr">
        <is>
          <t>2022-07-05</t>
        </is>
      </c>
      <c r="B224" t="n">
        <v>12491</v>
      </c>
      <c r="C224" t="n">
        <v>-660</v>
      </c>
      <c r="D224" t="n">
        <v>1011831</v>
      </c>
      <c r="E224" t="n">
        <v>991298</v>
      </c>
      <c r="F224" t="n">
        <v>-1.42</v>
      </c>
      <c r="G224" t="n">
        <v>4</v>
      </c>
      <c r="H224" t="n">
        <v>10</v>
      </c>
    </row>
    <row r="225">
      <c r="A225" t="inlineStr">
        <is>
          <t>2022-07-06</t>
        </is>
      </c>
      <c r="B225" t="n">
        <v>12491</v>
      </c>
      <c r="C225" t="n">
        <v>7720</v>
      </c>
      <c r="D225" t="n">
        <v>1020211</v>
      </c>
      <c r="E225" t="n">
        <v>999678</v>
      </c>
      <c r="F225" t="n">
        <v>-0.61</v>
      </c>
      <c r="G225" t="n">
        <v>4</v>
      </c>
      <c r="H225" t="n">
        <v>10</v>
      </c>
    </row>
    <row r="226">
      <c r="A226" t="inlineStr">
        <is>
          <t>2022-07-07</t>
        </is>
      </c>
      <c r="B226" t="n">
        <v>11911</v>
      </c>
      <c r="C226" t="n">
        <v>4880</v>
      </c>
      <c r="D226" t="n">
        <v>1016791</v>
      </c>
      <c r="E226" t="n">
        <v>996210</v>
      </c>
      <c r="F226" t="n">
        <v>-0.9399999999999999</v>
      </c>
      <c r="G226" t="n">
        <v>4</v>
      </c>
      <c r="H226" t="n">
        <v>10</v>
      </c>
    </row>
    <row r="227">
      <c r="A227" t="inlineStr">
        <is>
          <t>2022-07-08</t>
        </is>
      </c>
      <c r="B227" t="n">
        <v>11511</v>
      </c>
      <c r="C227" t="n">
        <v>160</v>
      </c>
      <c r="D227" t="n">
        <v>1011671</v>
      </c>
      <c r="E227" t="n">
        <v>990853</v>
      </c>
      <c r="F227" t="n">
        <v>-1.44</v>
      </c>
      <c r="G227" t="n">
        <v>4</v>
      </c>
      <c r="H227" t="n">
        <v>10</v>
      </c>
    </row>
    <row r="228">
      <c r="A228" t="inlineStr">
        <is>
          <t>2022-07-11</t>
        </is>
      </c>
      <c r="B228" t="n">
        <v>20161</v>
      </c>
      <c r="C228" t="n">
        <v>-2160</v>
      </c>
      <c r="D228" t="n">
        <v>1018001</v>
      </c>
      <c r="E228" t="n">
        <v>996838</v>
      </c>
      <c r="F228" t="n">
        <v>-0.82</v>
      </c>
      <c r="G228" t="n">
        <v>3</v>
      </c>
      <c r="H228" t="n">
        <v>7</v>
      </c>
    </row>
    <row r="229">
      <c r="A229" t="inlineStr">
        <is>
          <t>2022-07-12</t>
        </is>
      </c>
      <c r="B229" t="n">
        <v>21841</v>
      </c>
      <c r="C229" t="n">
        <v>-1750</v>
      </c>
      <c r="D229" t="n">
        <v>1020091</v>
      </c>
      <c r="E229" t="n">
        <v>998778</v>
      </c>
      <c r="F229" t="n">
        <v>-0.62</v>
      </c>
      <c r="G229" t="n">
        <v>4</v>
      </c>
      <c r="H229" t="n">
        <v>10</v>
      </c>
    </row>
    <row r="230">
      <c r="A230" t="inlineStr">
        <is>
          <t>2022-07-13</t>
        </is>
      </c>
      <c r="B230" t="n">
        <v>33116</v>
      </c>
      <c r="C230" t="n">
        <v>-8140</v>
      </c>
      <c r="D230" t="n">
        <v>1024976</v>
      </c>
      <c r="E230" t="n">
        <v>1003488</v>
      </c>
      <c r="F230" t="n">
        <v>-0.14</v>
      </c>
      <c r="G230" t="n">
        <v>3</v>
      </c>
      <c r="H230" t="n">
        <v>9</v>
      </c>
    </row>
    <row r="231">
      <c r="A231" t="inlineStr">
        <is>
          <t>2022-07-14</t>
        </is>
      </c>
      <c r="B231" t="n">
        <v>32616</v>
      </c>
      <c r="C231" t="n">
        <v>-7380</v>
      </c>
      <c r="D231" t="n">
        <v>1025236</v>
      </c>
      <c r="E231" t="n">
        <v>1003424</v>
      </c>
      <c r="F231" t="n">
        <v>-0.12</v>
      </c>
      <c r="G231" t="n">
        <v>3</v>
      </c>
      <c r="H231" t="n">
        <v>9</v>
      </c>
    </row>
    <row r="232">
      <c r="A232" t="inlineStr">
        <is>
          <t>2022-07-15</t>
        </is>
      </c>
      <c r="B232" t="n">
        <v>40136</v>
      </c>
      <c r="C232" t="n">
        <v>-4010</v>
      </c>
      <c r="D232" t="n">
        <v>1036126</v>
      </c>
      <c r="E232" t="n">
        <v>1014209</v>
      </c>
      <c r="F232" t="n">
        <v>0</v>
      </c>
      <c r="G232" t="n">
        <v>4</v>
      </c>
      <c r="H232" t="n">
        <v>10</v>
      </c>
    </row>
    <row r="233">
      <c r="A233" t="inlineStr">
        <is>
          <t>2022-07-18</t>
        </is>
      </c>
      <c r="B233" t="n">
        <v>40136</v>
      </c>
      <c r="C233" t="n">
        <v>-26565</v>
      </c>
      <c r="D233" t="n">
        <v>1013571</v>
      </c>
      <c r="E233" t="n">
        <v>991654</v>
      </c>
      <c r="F233" t="n">
        <v>-2.18</v>
      </c>
      <c r="G233" t="n">
        <v>4</v>
      </c>
      <c r="H233" t="n">
        <v>10</v>
      </c>
    </row>
    <row r="234">
      <c r="A234" t="inlineStr">
        <is>
          <t>2022-07-19</t>
        </is>
      </c>
      <c r="B234" t="n">
        <v>46076</v>
      </c>
      <c r="C234" t="n">
        <v>-7575</v>
      </c>
      <c r="D234" t="n">
        <v>1038501</v>
      </c>
      <c r="E234" t="n">
        <v>1016111</v>
      </c>
      <c r="F234" t="n">
        <v>0</v>
      </c>
      <c r="G234" t="n">
        <v>3</v>
      </c>
      <c r="H234" t="n">
        <v>7</v>
      </c>
    </row>
    <row r="235">
      <c r="A235" t="inlineStr">
        <is>
          <t>2022-07-20</t>
        </is>
      </c>
      <c r="B235" t="n">
        <v>45356</v>
      </c>
      <c r="C235" t="n">
        <v>-2640</v>
      </c>
      <c r="D235" t="n">
        <v>1042716</v>
      </c>
      <c r="E235" t="n">
        <v>1020290</v>
      </c>
      <c r="F235" t="n">
        <v>0</v>
      </c>
      <c r="G235" t="n">
        <v>2</v>
      </c>
      <c r="H235" t="n">
        <v>6</v>
      </c>
    </row>
    <row r="236">
      <c r="A236" t="inlineStr">
        <is>
          <t>2022-07-21</t>
        </is>
      </c>
      <c r="B236" t="n">
        <v>45356</v>
      </c>
      <c r="C236" t="n">
        <v>-3070</v>
      </c>
      <c r="D236" t="n">
        <v>1042286</v>
      </c>
      <c r="E236" t="n">
        <v>1019860</v>
      </c>
      <c r="F236" t="n">
        <v>-0.04</v>
      </c>
      <c r="G236" t="n">
        <v>3</v>
      </c>
      <c r="H236" t="n">
        <v>9</v>
      </c>
    </row>
    <row r="237">
      <c r="A237" t="inlineStr">
        <is>
          <t>2022-07-22</t>
        </is>
      </c>
      <c r="B237" t="n">
        <v>40796</v>
      </c>
      <c r="C237" t="n">
        <v>-3420</v>
      </c>
      <c r="D237" t="n">
        <v>1037376</v>
      </c>
      <c r="E237" t="n">
        <v>1014795</v>
      </c>
      <c r="F237" t="n">
        <v>-0.51</v>
      </c>
      <c r="G237" t="n">
        <v>3</v>
      </c>
      <c r="H237" t="n">
        <v>9</v>
      </c>
    </row>
    <row r="238">
      <c r="A238" t="inlineStr">
        <is>
          <t>2022-07-25</t>
        </is>
      </c>
      <c r="B238" t="n">
        <v>27916</v>
      </c>
      <c r="C238" t="n">
        <v>-60</v>
      </c>
      <c r="D238" t="n">
        <v>1027856</v>
      </c>
      <c r="E238" t="n">
        <v>1005094</v>
      </c>
      <c r="F238" t="n">
        <v>-1.43</v>
      </c>
      <c r="G238" t="n">
        <v>3</v>
      </c>
      <c r="H238" t="n">
        <v>9</v>
      </c>
    </row>
    <row r="239">
      <c r="A239" t="inlineStr">
        <is>
          <t>2022-07-26</t>
        </is>
      </c>
      <c r="B239" t="n">
        <v>27916</v>
      </c>
      <c r="C239" t="n">
        <v>-20330</v>
      </c>
      <c r="D239" t="n">
        <v>1007586</v>
      </c>
      <c r="E239" t="n">
        <v>984824</v>
      </c>
      <c r="F239" t="n">
        <v>-3.37</v>
      </c>
      <c r="G239" t="n">
        <v>3</v>
      </c>
      <c r="H239" t="n">
        <v>9</v>
      </c>
    </row>
    <row r="240">
      <c r="A240" t="inlineStr">
        <is>
          <t>2022-07-27</t>
        </is>
      </c>
      <c r="B240" t="n">
        <v>27916</v>
      </c>
      <c r="C240" t="n">
        <v>-28790</v>
      </c>
      <c r="D240" t="n">
        <v>999126</v>
      </c>
      <c r="E240" t="n">
        <v>976364</v>
      </c>
      <c r="F240" t="n">
        <v>-4.18</v>
      </c>
      <c r="G240" t="n">
        <v>3</v>
      </c>
      <c r="H240" t="n">
        <v>9</v>
      </c>
    </row>
    <row r="241">
      <c r="A241" t="inlineStr">
        <is>
          <t>2022-07-28</t>
        </is>
      </c>
      <c r="B241" t="n">
        <v>2733</v>
      </c>
      <c r="C241" t="n">
        <v>-26390</v>
      </c>
      <c r="D241" t="n">
        <v>976343</v>
      </c>
      <c r="E241" t="n">
        <v>953039</v>
      </c>
      <c r="F241" t="n">
        <v>-6.37</v>
      </c>
      <c r="G241" t="n">
        <v>3</v>
      </c>
      <c r="H241" t="n">
        <v>9</v>
      </c>
    </row>
    <row r="242">
      <c r="A242" t="inlineStr">
        <is>
          <t>2022-07-29</t>
        </is>
      </c>
      <c r="B242" t="n">
        <v>2733</v>
      </c>
      <c r="C242" t="n">
        <v>-24450</v>
      </c>
      <c r="D242" t="n">
        <v>978283</v>
      </c>
      <c r="E242" t="n">
        <v>954979</v>
      </c>
      <c r="F242" t="n">
        <v>-6.18</v>
      </c>
      <c r="G242" t="n">
        <v>3</v>
      </c>
      <c r="H242" t="n">
        <v>9</v>
      </c>
    </row>
    <row r="243">
      <c r="A243" t="inlineStr">
        <is>
          <t>2022-08-01</t>
        </is>
      </c>
      <c r="B243" t="n">
        <v>-6707</v>
      </c>
      <c r="C243" t="n">
        <v>-8600</v>
      </c>
      <c r="D243" t="n">
        <v>984693</v>
      </c>
      <c r="E243" t="n">
        <v>961067</v>
      </c>
      <c r="F243" t="n">
        <v>-5.56</v>
      </c>
      <c r="G243" t="n">
        <v>4</v>
      </c>
      <c r="H243" t="n">
        <v>10</v>
      </c>
    </row>
    <row r="244">
      <c r="A244" t="inlineStr">
        <is>
          <t>2022-08-02</t>
        </is>
      </c>
      <c r="B244" t="n">
        <v>-11747</v>
      </c>
      <c r="C244" t="n">
        <v>-9325</v>
      </c>
      <c r="D244" t="n">
        <v>978928</v>
      </c>
      <c r="E244" t="n">
        <v>955264</v>
      </c>
      <c r="F244" t="n">
        <v>-6.12</v>
      </c>
      <c r="G244" t="n">
        <v>3</v>
      </c>
      <c r="H244" t="n">
        <v>7</v>
      </c>
    </row>
    <row r="245">
      <c r="A245" t="inlineStr">
        <is>
          <t>2022-08-03</t>
        </is>
      </c>
      <c r="B245" t="n">
        <v>-11747</v>
      </c>
      <c r="C245" t="n">
        <v>-12625</v>
      </c>
      <c r="D245" t="n">
        <v>975628</v>
      </c>
      <c r="E245" t="n">
        <v>951964</v>
      </c>
      <c r="F245" t="n">
        <v>-6.43</v>
      </c>
      <c r="G245" t="n">
        <v>4</v>
      </c>
      <c r="H245" t="n">
        <v>10</v>
      </c>
    </row>
    <row r="246">
      <c r="A246" t="inlineStr">
        <is>
          <t>2022-08-04</t>
        </is>
      </c>
      <c r="B246" t="n">
        <v>-22072</v>
      </c>
      <c r="C246" t="n">
        <v>2660</v>
      </c>
      <c r="D246" t="n">
        <v>980588</v>
      </c>
      <c r="E246" t="n">
        <v>956626</v>
      </c>
      <c r="F246" t="n">
        <v>-5.96</v>
      </c>
      <c r="G246" t="n">
        <v>2</v>
      </c>
      <c r="H246" t="n">
        <v>6</v>
      </c>
    </row>
    <row r="247">
      <c r="A247" t="inlineStr">
        <is>
          <t>2022-08-05</t>
        </is>
      </c>
      <c r="B247" t="n">
        <v>-12472</v>
      </c>
      <c r="C247" t="n">
        <v>160</v>
      </c>
      <c r="D247" t="n">
        <v>987688</v>
      </c>
      <c r="E247" t="n">
        <v>963486</v>
      </c>
      <c r="F247" t="n">
        <v>-5.28</v>
      </c>
      <c r="G247" t="n">
        <v>2</v>
      </c>
      <c r="H247" t="n">
        <v>6</v>
      </c>
    </row>
    <row r="248">
      <c r="A248" t="inlineStr">
        <is>
          <t>2022-08-08</t>
        </is>
      </c>
      <c r="B248" t="n">
        <v>-12472</v>
      </c>
      <c r="C248" t="n">
        <v>-11220</v>
      </c>
      <c r="D248" t="n">
        <v>976308</v>
      </c>
      <c r="E248" t="n">
        <v>952106</v>
      </c>
      <c r="F248" t="n">
        <v>-6.37</v>
      </c>
      <c r="G248" t="n">
        <v>2</v>
      </c>
      <c r="H248" t="n">
        <v>6</v>
      </c>
    </row>
    <row r="249">
      <c r="A249" t="inlineStr">
        <is>
          <t>2022-08-09</t>
        </is>
      </c>
      <c r="B249" t="n">
        <v>-12472</v>
      </c>
      <c r="C249" t="n">
        <v>-11770</v>
      </c>
      <c r="D249" t="n">
        <v>975758</v>
      </c>
      <c r="E249" t="n">
        <v>951556</v>
      </c>
      <c r="F249" t="n">
        <v>-6.42</v>
      </c>
      <c r="G249" t="n">
        <v>2</v>
      </c>
      <c r="H249" t="n">
        <v>6</v>
      </c>
    </row>
    <row r="250">
      <c r="A250" t="inlineStr">
        <is>
          <t>2022-08-10</t>
        </is>
      </c>
      <c r="B250" t="n">
        <v>-12472</v>
      </c>
      <c r="C250" t="n">
        <v>-13260</v>
      </c>
      <c r="D250" t="n">
        <v>974268</v>
      </c>
      <c r="E250" t="n">
        <v>950066</v>
      </c>
      <c r="F250" t="n">
        <v>-6.56</v>
      </c>
      <c r="G250" t="n">
        <v>4</v>
      </c>
      <c r="H250" t="n">
        <v>10</v>
      </c>
    </row>
    <row r="251">
      <c r="A251" t="inlineStr">
        <is>
          <t>2022-08-11</t>
        </is>
      </c>
      <c r="B251" t="n">
        <v>-9652</v>
      </c>
      <c r="C251" t="n">
        <v>-16440</v>
      </c>
      <c r="D251" t="n">
        <v>973908</v>
      </c>
      <c r="E251" t="n">
        <v>949669</v>
      </c>
      <c r="F251" t="n">
        <v>-6.6</v>
      </c>
      <c r="G251" t="n">
        <v>4</v>
      </c>
      <c r="H251" t="n">
        <v>10</v>
      </c>
    </row>
    <row r="252">
      <c r="A252" t="inlineStr">
        <is>
          <t>2022-08-12</t>
        </is>
      </c>
      <c r="B252" t="n">
        <v>-20823</v>
      </c>
      <c r="C252" t="n">
        <v>-2160</v>
      </c>
      <c r="D252" t="n">
        <v>977017</v>
      </c>
      <c r="E252" t="n">
        <v>952351</v>
      </c>
      <c r="F252" t="n">
        <v>-6.3</v>
      </c>
      <c r="G252" t="n">
        <v>2</v>
      </c>
      <c r="H252" t="n">
        <v>6</v>
      </c>
    </row>
    <row r="253">
      <c r="A253" t="inlineStr">
        <is>
          <t>2022-08-15</t>
        </is>
      </c>
      <c r="B253" t="n">
        <v>-20823</v>
      </c>
      <c r="C253" t="n">
        <v>-7680</v>
      </c>
      <c r="D253" t="n">
        <v>971497</v>
      </c>
      <c r="E253" t="n">
        <v>946831</v>
      </c>
      <c r="F253" t="n">
        <v>-6.83</v>
      </c>
      <c r="G253" t="n">
        <v>2</v>
      </c>
      <c r="H253" t="n">
        <v>6</v>
      </c>
    </row>
    <row r="254">
      <c r="A254" t="inlineStr">
        <is>
          <t>2022-08-16</t>
        </is>
      </c>
      <c r="B254" t="n">
        <v>-20823</v>
      </c>
      <c r="C254" t="n">
        <v>-9960</v>
      </c>
      <c r="D254" t="n">
        <v>969217</v>
      </c>
      <c r="E254" t="n">
        <v>944551</v>
      </c>
      <c r="F254" t="n">
        <v>-7.05</v>
      </c>
      <c r="G254" t="n">
        <v>4</v>
      </c>
      <c r="H254" t="n">
        <v>10</v>
      </c>
    </row>
    <row r="255">
      <c r="A255" t="inlineStr">
        <is>
          <t>2022-08-17</t>
        </is>
      </c>
      <c r="B255" t="n">
        <v>-20823</v>
      </c>
      <c r="C255" t="n">
        <v>-19430</v>
      </c>
      <c r="D255" t="n">
        <v>959747</v>
      </c>
      <c r="E255" t="n">
        <v>935081</v>
      </c>
      <c r="F255" t="n">
        <v>-7.96</v>
      </c>
      <c r="G255" t="n">
        <v>4</v>
      </c>
      <c r="H255" t="n">
        <v>10</v>
      </c>
    </row>
    <row r="256">
      <c r="A256" t="inlineStr">
        <is>
          <t>2022-08-18</t>
        </is>
      </c>
      <c r="B256" t="n">
        <v>-20823</v>
      </c>
      <c r="C256" t="n">
        <v>-33850</v>
      </c>
      <c r="D256" t="n">
        <v>945327</v>
      </c>
      <c r="E256" t="n">
        <v>920661</v>
      </c>
      <c r="F256" t="n">
        <v>-9.34</v>
      </c>
      <c r="G256" t="n">
        <v>4</v>
      </c>
      <c r="H256" t="n">
        <v>10</v>
      </c>
    </row>
    <row r="257">
      <c r="A257" t="inlineStr">
        <is>
          <t>2022-08-19</t>
        </is>
      </c>
      <c r="B257" t="n">
        <v>-20823</v>
      </c>
      <c r="C257" t="n">
        <v>-29320</v>
      </c>
      <c r="D257" t="n">
        <v>949857</v>
      </c>
      <c r="E257" t="n">
        <v>925191</v>
      </c>
      <c r="F257" t="n">
        <v>-8.91</v>
      </c>
      <c r="G257" t="n">
        <v>4</v>
      </c>
      <c r="H257" t="n">
        <v>10</v>
      </c>
    </row>
    <row r="258">
      <c r="A258" t="inlineStr">
        <is>
          <t>2022-08-22</t>
        </is>
      </c>
      <c r="B258" t="n">
        <v>-20823</v>
      </c>
      <c r="C258" t="n">
        <v>-31760</v>
      </c>
      <c r="D258" t="n">
        <v>947417</v>
      </c>
      <c r="E258" t="n">
        <v>922751</v>
      </c>
      <c r="F258" t="n">
        <v>-9.140000000000001</v>
      </c>
      <c r="G258" t="n">
        <v>4</v>
      </c>
      <c r="H258" t="n">
        <v>10</v>
      </c>
    </row>
    <row r="259">
      <c r="A259" t="inlineStr">
        <is>
          <t>2022-08-23</t>
        </is>
      </c>
      <c r="B259" t="n">
        <v>-20823</v>
      </c>
      <c r="C259" t="n">
        <v>-50</v>
      </c>
      <c r="D259" t="n">
        <v>979127</v>
      </c>
      <c r="E259" t="n">
        <v>954461</v>
      </c>
      <c r="F259" t="n">
        <v>-6.1</v>
      </c>
      <c r="G259" t="n">
        <v>4</v>
      </c>
      <c r="H259" t="n">
        <v>10</v>
      </c>
    </row>
    <row r="260">
      <c r="A260" t="inlineStr">
        <is>
          <t>2022-08-24</t>
        </is>
      </c>
      <c r="B260" t="n">
        <v>-21503</v>
      </c>
      <c r="C260" t="n">
        <v>13670</v>
      </c>
      <c r="D260" t="n">
        <v>992167</v>
      </c>
      <c r="E260" t="n">
        <v>967453</v>
      </c>
      <c r="F260" t="n">
        <v>-4.85</v>
      </c>
      <c r="G260" t="n">
        <v>3</v>
      </c>
      <c r="H260" t="n">
        <v>9</v>
      </c>
    </row>
    <row r="261">
      <c r="A261" t="inlineStr">
        <is>
          <t>2022-08-25</t>
        </is>
      </c>
      <c r="B261" t="n">
        <v>-21503</v>
      </c>
      <c r="C261" t="n">
        <v>2980</v>
      </c>
      <c r="D261" t="n">
        <v>981477</v>
      </c>
      <c r="E261" t="n">
        <v>956763</v>
      </c>
      <c r="F261" t="n">
        <v>-5.87</v>
      </c>
      <c r="G261" t="n">
        <v>4</v>
      </c>
      <c r="H261" t="n">
        <v>10</v>
      </c>
    </row>
    <row r="262">
      <c r="A262" t="inlineStr">
        <is>
          <t>2022-08-26</t>
        </is>
      </c>
      <c r="B262" t="n">
        <v>-21503</v>
      </c>
      <c r="C262" t="n">
        <v>3300</v>
      </c>
      <c r="D262" t="n">
        <v>981797</v>
      </c>
      <c r="E262" t="n">
        <v>957083</v>
      </c>
      <c r="F262" t="n">
        <v>-5.84</v>
      </c>
      <c r="G262" t="n">
        <v>4</v>
      </c>
      <c r="H262" t="n">
        <v>10</v>
      </c>
    </row>
    <row r="263">
      <c r="A263" t="inlineStr">
        <is>
          <t>2022-08-29</t>
        </is>
      </c>
      <c r="B263" t="n">
        <v>-21503</v>
      </c>
      <c r="C263" t="n">
        <v>10380</v>
      </c>
      <c r="D263" t="n">
        <v>988877</v>
      </c>
      <c r="E263" t="n">
        <v>964163</v>
      </c>
      <c r="F263" t="n">
        <v>-5.16</v>
      </c>
      <c r="G263" t="n">
        <v>4</v>
      </c>
      <c r="H263" t="n">
        <v>10</v>
      </c>
    </row>
    <row r="264">
      <c r="A264" t="inlineStr">
        <is>
          <t>2022-08-30</t>
        </is>
      </c>
      <c r="B264" t="n">
        <v>-21503</v>
      </c>
      <c r="C264" t="n">
        <v>6270</v>
      </c>
      <c r="D264" t="n">
        <v>984767</v>
      </c>
      <c r="E264" t="n">
        <v>960053</v>
      </c>
      <c r="F264" t="n">
        <v>-5.56</v>
      </c>
      <c r="G264" t="n">
        <v>4</v>
      </c>
      <c r="H264" t="n">
        <v>10</v>
      </c>
    </row>
    <row r="265">
      <c r="A265" t="inlineStr">
        <is>
          <t>2022-08-31</t>
        </is>
      </c>
      <c r="B265" t="n">
        <v>-21503</v>
      </c>
      <c r="C265" t="n">
        <v>7050</v>
      </c>
      <c r="D265" t="n">
        <v>985547</v>
      </c>
      <c r="E265" t="n">
        <v>960833</v>
      </c>
      <c r="F265" t="n">
        <v>-5.48</v>
      </c>
      <c r="G265" t="n">
        <v>4</v>
      </c>
      <c r="H265" t="n">
        <v>10</v>
      </c>
    </row>
    <row r="266">
      <c r="A266" t="inlineStr">
        <is>
          <t>2022-09-01</t>
        </is>
      </c>
      <c r="B266" t="n">
        <v>-36063</v>
      </c>
      <c r="C266" t="n">
        <v>13750</v>
      </c>
      <c r="D266" t="n">
        <v>977687</v>
      </c>
      <c r="E266" t="n">
        <v>952815</v>
      </c>
      <c r="F266" t="n">
        <v>-6.24</v>
      </c>
      <c r="G266" t="n">
        <v>4</v>
      </c>
      <c r="H266" t="n">
        <v>10</v>
      </c>
    </row>
    <row r="267">
      <c r="A267" t="inlineStr">
        <is>
          <t>2022-09-02</t>
        </is>
      </c>
      <c r="B267" t="n">
        <v>-40893</v>
      </c>
      <c r="C267" t="n">
        <v>20650</v>
      </c>
      <c r="D267" t="n">
        <v>979757</v>
      </c>
      <c r="E267" t="n">
        <v>954632</v>
      </c>
      <c r="F267" t="n">
        <v>-6.04</v>
      </c>
      <c r="G267" t="n">
        <v>3</v>
      </c>
      <c r="H267" t="n">
        <v>7</v>
      </c>
    </row>
    <row r="268">
      <c r="A268" t="inlineStr">
        <is>
          <t>2022-09-05</t>
        </is>
      </c>
      <c r="B268" t="n">
        <v>-48633</v>
      </c>
      <c r="C268" t="n">
        <v>28530</v>
      </c>
      <c r="D268" t="n">
        <v>979897</v>
      </c>
      <c r="E268" t="n">
        <v>954700</v>
      </c>
      <c r="F268" t="n">
        <v>-6.02</v>
      </c>
      <c r="G268" t="n">
        <v>2</v>
      </c>
      <c r="H268" t="n">
        <v>6</v>
      </c>
    </row>
    <row r="269">
      <c r="A269" t="inlineStr">
        <is>
          <t>2022-09-06</t>
        </is>
      </c>
      <c r="B269" t="n">
        <v>-48633</v>
      </c>
      <c r="C269" t="n">
        <v>28670</v>
      </c>
      <c r="D269" t="n">
        <v>980037</v>
      </c>
      <c r="E269" t="n">
        <v>954840</v>
      </c>
      <c r="F269" t="n">
        <v>-6.01</v>
      </c>
      <c r="G269" t="n">
        <v>2</v>
      </c>
      <c r="H269" t="n">
        <v>6</v>
      </c>
    </row>
    <row r="270">
      <c r="A270" t="inlineStr">
        <is>
          <t>2022-09-07</t>
        </is>
      </c>
      <c r="B270" t="n">
        <v>-48633</v>
      </c>
      <c r="C270" t="n">
        <v>24650</v>
      </c>
      <c r="D270" t="n">
        <v>976017</v>
      </c>
      <c r="E270" t="n">
        <v>950820</v>
      </c>
      <c r="F270" t="n">
        <v>-6.4</v>
      </c>
      <c r="G270" t="n">
        <v>3</v>
      </c>
      <c r="H270" t="n">
        <v>8.9</v>
      </c>
    </row>
    <row r="271">
      <c r="A271" t="inlineStr">
        <is>
          <t>2022-09-08</t>
        </is>
      </c>
      <c r="B271" t="n">
        <v>-48633</v>
      </c>
      <c r="C271" t="n">
        <v>27490</v>
      </c>
      <c r="D271" t="n">
        <v>978857</v>
      </c>
      <c r="E271" t="n">
        <v>953660</v>
      </c>
      <c r="F271" t="n">
        <v>-6.12</v>
      </c>
      <c r="G271" t="n">
        <v>3</v>
      </c>
      <c r="H271" t="n">
        <v>8.9</v>
      </c>
    </row>
    <row r="272">
      <c r="A272" t="inlineStr">
        <is>
          <t>2022-09-09</t>
        </is>
      </c>
      <c r="B272" t="n">
        <v>-48633</v>
      </c>
      <c r="C272" t="n">
        <v>28570</v>
      </c>
      <c r="D272" t="n">
        <v>979937</v>
      </c>
      <c r="E272" t="n">
        <v>954740</v>
      </c>
      <c r="F272" t="n">
        <v>-6.02</v>
      </c>
      <c r="G272" t="n">
        <v>3</v>
      </c>
      <c r="H272" t="n">
        <v>8.9</v>
      </c>
    </row>
    <row r="273">
      <c r="A273" t="inlineStr">
        <is>
          <t>2022-09-13</t>
        </is>
      </c>
      <c r="B273" t="n">
        <v>-48633</v>
      </c>
      <c r="C273" t="n">
        <v>52550</v>
      </c>
      <c r="D273" t="n">
        <v>1003917</v>
      </c>
      <c r="E273" t="n">
        <v>978720</v>
      </c>
      <c r="F273" t="n">
        <v>-3.72</v>
      </c>
      <c r="G273" t="n">
        <v>3</v>
      </c>
      <c r="H273" t="n">
        <v>8.9</v>
      </c>
    </row>
    <row r="274">
      <c r="A274" t="inlineStr">
        <is>
          <t>2022-09-14</t>
        </is>
      </c>
      <c r="B274" t="n">
        <v>-48633</v>
      </c>
      <c r="C274" t="n">
        <v>56870</v>
      </c>
      <c r="D274" t="n">
        <v>1008237</v>
      </c>
      <c r="E274" t="n">
        <v>983040</v>
      </c>
      <c r="F274" t="n">
        <v>-3.31</v>
      </c>
      <c r="G274" t="n">
        <v>4</v>
      </c>
      <c r="H274" t="n">
        <v>10</v>
      </c>
    </row>
    <row r="275">
      <c r="A275" t="inlineStr">
        <is>
          <t>2022-09-15</t>
        </is>
      </c>
      <c r="B275" t="n">
        <v>-48633</v>
      </c>
      <c r="C275" t="n">
        <v>48105</v>
      </c>
      <c r="D275" t="n">
        <v>999472</v>
      </c>
      <c r="E275" t="n">
        <v>974275</v>
      </c>
      <c r="F275" t="n">
        <v>-4.15</v>
      </c>
      <c r="G275" t="n">
        <v>4</v>
      </c>
      <c r="H275" t="n">
        <v>10</v>
      </c>
    </row>
    <row r="276">
      <c r="A276" t="inlineStr">
        <is>
          <t>2022-09-16</t>
        </is>
      </c>
      <c r="B276" t="n">
        <v>-48633</v>
      </c>
      <c r="C276" t="n">
        <v>51440</v>
      </c>
      <c r="D276" t="n">
        <v>1002807</v>
      </c>
      <c r="E276" t="n">
        <v>977610</v>
      </c>
      <c r="F276" t="n">
        <v>-3.83</v>
      </c>
      <c r="G276" t="n">
        <v>4</v>
      </c>
      <c r="H276" t="n">
        <v>10</v>
      </c>
    </row>
    <row r="277">
      <c r="A277" t="inlineStr">
        <is>
          <t>2022-09-19</t>
        </is>
      </c>
      <c r="B277" t="n">
        <v>-50133</v>
      </c>
      <c r="C277" t="n">
        <v>53960</v>
      </c>
      <c r="D277" t="n">
        <v>1003827</v>
      </c>
      <c r="E277" t="n">
        <v>978568</v>
      </c>
      <c r="F277" t="n">
        <v>-3.73</v>
      </c>
      <c r="G277" t="n">
        <v>3</v>
      </c>
      <c r="H277" t="n">
        <v>8.9</v>
      </c>
    </row>
    <row r="278">
      <c r="A278" t="inlineStr">
        <is>
          <t>2022-09-20</t>
        </is>
      </c>
      <c r="B278" t="n">
        <v>-50133</v>
      </c>
      <c r="C278" t="n">
        <v>50340</v>
      </c>
      <c r="D278" t="n">
        <v>1000207</v>
      </c>
      <c r="E278" t="n">
        <v>974948</v>
      </c>
      <c r="F278" t="n">
        <v>-4.08</v>
      </c>
      <c r="G278" t="n">
        <v>4</v>
      </c>
      <c r="H278" t="n">
        <v>10</v>
      </c>
    </row>
    <row r="279">
      <c r="A279" t="inlineStr">
        <is>
          <t>2022-09-21</t>
        </is>
      </c>
      <c r="B279" t="n">
        <v>-50133</v>
      </c>
      <c r="C279" t="n">
        <v>60600</v>
      </c>
      <c r="D279" t="n">
        <v>1010467</v>
      </c>
      <c r="E279" t="n">
        <v>985208</v>
      </c>
      <c r="F279" t="n">
        <v>-3.09</v>
      </c>
      <c r="G279" t="n">
        <v>4</v>
      </c>
      <c r="H279" t="n">
        <v>10</v>
      </c>
    </row>
    <row r="280">
      <c r="A280" t="inlineStr">
        <is>
          <t>2022-09-22</t>
        </is>
      </c>
      <c r="B280" t="n">
        <v>-50133</v>
      </c>
      <c r="C280" t="n">
        <v>50810</v>
      </c>
      <c r="D280" t="n">
        <v>1000677</v>
      </c>
      <c r="E280" t="n">
        <v>975418</v>
      </c>
      <c r="F280" t="n">
        <v>-4.03</v>
      </c>
      <c r="G280" t="n">
        <v>4</v>
      </c>
      <c r="H280" t="n">
        <v>10</v>
      </c>
    </row>
    <row r="281">
      <c r="A281" t="inlineStr">
        <is>
          <t>2022-09-23</t>
        </is>
      </c>
      <c r="B281" t="n">
        <v>-50133</v>
      </c>
      <c r="C281" t="n">
        <v>47200</v>
      </c>
      <c r="D281" t="n">
        <v>997067</v>
      </c>
      <c r="E281" t="n">
        <v>971808</v>
      </c>
      <c r="F281" t="n">
        <v>-4.38</v>
      </c>
      <c r="G281" t="n">
        <v>4</v>
      </c>
      <c r="H281" t="n">
        <v>10</v>
      </c>
    </row>
    <row r="282">
      <c r="A282" t="inlineStr">
        <is>
          <t>2022-09-26</t>
        </is>
      </c>
      <c r="B282" t="n">
        <v>-68038</v>
      </c>
      <c r="C282" t="n">
        <v>47780</v>
      </c>
      <c r="D282" t="n">
        <v>979742</v>
      </c>
      <c r="E282" t="n">
        <v>954216</v>
      </c>
      <c r="F282" t="n">
        <v>-6.04</v>
      </c>
      <c r="G282" t="n">
        <v>3</v>
      </c>
      <c r="H282" t="n">
        <v>7.1</v>
      </c>
    </row>
    <row r="283">
      <c r="A283" t="inlineStr">
        <is>
          <t>2022-09-27</t>
        </is>
      </c>
      <c r="B283" t="n">
        <v>-59056</v>
      </c>
      <c r="C283" t="n">
        <v>41620</v>
      </c>
      <c r="D283" t="n">
        <v>982564</v>
      </c>
      <c r="E283" t="n">
        <v>956469</v>
      </c>
      <c r="F283" t="n">
        <v>-5.77</v>
      </c>
      <c r="G283" t="n">
        <v>2</v>
      </c>
      <c r="H283" t="n">
        <v>4.1</v>
      </c>
    </row>
    <row r="284">
      <c r="A284" t="inlineStr">
        <is>
          <t>2022-09-28</t>
        </is>
      </c>
      <c r="B284" t="n">
        <v>-59056</v>
      </c>
      <c r="C284" t="n">
        <v>46800</v>
      </c>
      <c r="D284" t="n">
        <v>987744</v>
      </c>
      <c r="E284" t="n">
        <v>961649</v>
      </c>
      <c r="F284" t="n">
        <v>-5.27</v>
      </c>
      <c r="G284" t="n">
        <v>2</v>
      </c>
      <c r="H284" t="n">
        <v>4.1</v>
      </c>
    </row>
    <row r="285">
      <c r="A285" t="inlineStr">
        <is>
          <t>2022-09-29</t>
        </is>
      </c>
      <c r="B285" t="n">
        <v>-59056</v>
      </c>
      <c r="C285" t="n">
        <v>54770</v>
      </c>
      <c r="D285" t="n">
        <v>995714</v>
      </c>
      <c r="E285" t="n">
        <v>969619</v>
      </c>
      <c r="F285" t="n">
        <v>-4.51</v>
      </c>
      <c r="G285" t="n">
        <v>2</v>
      </c>
      <c r="H285" t="n">
        <v>4.1</v>
      </c>
    </row>
    <row r="286">
      <c r="A286" t="inlineStr">
        <is>
          <t>2022-09-30</t>
        </is>
      </c>
      <c r="B286" t="n">
        <v>-52056</v>
      </c>
      <c r="C286" t="n">
        <v>42480</v>
      </c>
      <c r="D286" t="n">
        <v>990424</v>
      </c>
      <c r="E286" t="n">
        <v>964215</v>
      </c>
      <c r="F286" t="n">
        <v>-5.01</v>
      </c>
      <c r="G286" t="n">
        <v>2</v>
      </c>
      <c r="H286" t="n">
        <v>5.9</v>
      </c>
    </row>
    <row r="287">
      <c r="A287" t="inlineStr">
        <is>
          <t>2022-10-10</t>
        </is>
      </c>
      <c r="B287" t="n">
        <v>-52056</v>
      </c>
      <c r="C287" t="n">
        <v>38520</v>
      </c>
      <c r="D287" t="n">
        <v>986464</v>
      </c>
      <c r="E287" t="n">
        <v>960255</v>
      </c>
      <c r="F287" t="n">
        <v>-5.39</v>
      </c>
      <c r="G287" t="n">
        <v>2</v>
      </c>
      <c r="H287" t="n">
        <v>5.9</v>
      </c>
    </row>
    <row r="288">
      <c r="A288" t="inlineStr">
        <is>
          <t>2022-10-11</t>
        </is>
      </c>
      <c r="B288" t="n">
        <v>-52056</v>
      </c>
      <c r="C288" t="n">
        <v>30960</v>
      </c>
      <c r="D288" t="n">
        <v>978904</v>
      </c>
      <c r="E288" t="n">
        <v>952695</v>
      </c>
      <c r="F288" t="n">
        <v>-6.12</v>
      </c>
      <c r="G288" t="n">
        <v>2</v>
      </c>
      <c r="H288" t="n">
        <v>5.9</v>
      </c>
    </row>
    <row r="289">
      <c r="A289" t="inlineStr">
        <is>
          <t>2022-10-12</t>
        </is>
      </c>
      <c r="B289" t="n">
        <v>-52056</v>
      </c>
      <c r="C289" t="n">
        <v>31620</v>
      </c>
      <c r="D289" t="n">
        <v>979564</v>
      </c>
      <c r="E289" t="n">
        <v>953355</v>
      </c>
      <c r="F289" t="n">
        <v>-6.06</v>
      </c>
      <c r="G289" t="n">
        <v>2</v>
      </c>
      <c r="H289" t="n">
        <v>5.9</v>
      </c>
    </row>
    <row r="290">
      <c r="A290" t="inlineStr">
        <is>
          <t>2022-10-13</t>
        </is>
      </c>
      <c r="B290" t="n">
        <v>-52056</v>
      </c>
      <c r="C290" t="n">
        <v>27000</v>
      </c>
      <c r="D290" t="n">
        <v>974944</v>
      </c>
      <c r="E290" t="n">
        <v>948735</v>
      </c>
      <c r="F290" t="n">
        <v>-6.5</v>
      </c>
      <c r="G290" t="n">
        <v>3</v>
      </c>
      <c r="H290" t="n">
        <v>8.9</v>
      </c>
    </row>
    <row r="291">
      <c r="A291" t="inlineStr">
        <is>
          <t>2022-10-14</t>
        </is>
      </c>
      <c r="B291" t="n">
        <v>-52056</v>
      </c>
      <c r="C291" t="n">
        <v>31430</v>
      </c>
      <c r="D291" t="n">
        <v>979374</v>
      </c>
      <c r="E291" t="n">
        <v>953165</v>
      </c>
      <c r="F291" t="n">
        <v>-6.07</v>
      </c>
      <c r="G291" t="n">
        <v>3</v>
      </c>
      <c r="H291" t="n">
        <v>8.9</v>
      </c>
    </row>
    <row r="292">
      <c r="A292" t="inlineStr">
        <is>
          <t>2022-10-17</t>
        </is>
      </c>
      <c r="B292" t="n">
        <v>-52056</v>
      </c>
      <c r="C292" t="n">
        <v>20950</v>
      </c>
      <c r="D292" t="n">
        <v>968894</v>
      </c>
      <c r="E292" t="n">
        <v>942685</v>
      </c>
      <c r="F292" t="n">
        <v>-7.08</v>
      </c>
      <c r="G292" t="n">
        <v>4</v>
      </c>
      <c r="H292" t="n">
        <v>10</v>
      </c>
    </row>
    <row r="293">
      <c r="A293" t="inlineStr">
        <is>
          <t>2022-10-18</t>
        </is>
      </c>
      <c r="B293" t="n">
        <v>-49456</v>
      </c>
      <c r="C293" t="n">
        <v>16410</v>
      </c>
      <c r="D293" t="n">
        <v>966954</v>
      </c>
      <c r="E293" t="n">
        <v>940437</v>
      </c>
      <c r="F293" t="n">
        <v>-7.27</v>
      </c>
      <c r="G293" t="n">
        <v>4</v>
      </c>
      <c r="H293" t="n">
        <v>10</v>
      </c>
    </row>
    <row r="294">
      <c r="A294" t="inlineStr">
        <is>
          <t>2022-10-19</t>
        </is>
      </c>
      <c r="B294" t="n">
        <v>-20459</v>
      </c>
      <c r="C294" t="n">
        <v>-16190</v>
      </c>
      <c r="D294" t="n">
        <v>963351</v>
      </c>
      <c r="E294" t="n">
        <v>936549</v>
      </c>
      <c r="F294" t="n">
        <v>-7.61</v>
      </c>
      <c r="G294" t="n">
        <v>4</v>
      </c>
      <c r="H294" t="n">
        <v>10</v>
      </c>
    </row>
    <row r="295">
      <c r="A295" t="inlineStr">
        <is>
          <t>2022-10-20</t>
        </is>
      </c>
      <c r="B295" t="n">
        <v>-17099</v>
      </c>
      <c r="C295" t="n">
        <v>-16665</v>
      </c>
      <c r="D295" t="n">
        <v>966236</v>
      </c>
      <c r="E295" t="n">
        <v>939236</v>
      </c>
      <c r="F295" t="n">
        <v>-7.33</v>
      </c>
      <c r="G295" t="n">
        <v>4</v>
      </c>
      <c r="H295" t="n">
        <v>10</v>
      </c>
    </row>
    <row r="296">
      <c r="A296" t="inlineStr">
        <is>
          <t>2022-10-21</t>
        </is>
      </c>
      <c r="B296" t="n">
        <v>-11349</v>
      </c>
      <c r="C296" t="n">
        <v>-20820</v>
      </c>
      <c r="D296" t="n">
        <v>967831</v>
      </c>
      <c r="E296" t="n">
        <v>940547</v>
      </c>
      <c r="F296" t="n">
        <v>-7.18</v>
      </c>
      <c r="G296" t="n">
        <v>4</v>
      </c>
      <c r="H296" t="n">
        <v>10</v>
      </c>
    </row>
    <row r="297">
      <c r="A297" t="inlineStr">
        <is>
          <t>2022-10-24</t>
        </is>
      </c>
      <c r="B297" t="n">
        <v>-13829</v>
      </c>
      <c r="C297" t="n">
        <v>-6990</v>
      </c>
      <c r="D297" t="n">
        <v>979181</v>
      </c>
      <c r="E297" t="n">
        <v>951699</v>
      </c>
      <c r="F297" t="n">
        <v>-6.09</v>
      </c>
      <c r="G297" t="n">
        <v>4</v>
      </c>
      <c r="H297" t="n">
        <v>10</v>
      </c>
    </row>
    <row r="298">
      <c r="A298" t="inlineStr">
        <is>
          <t>2022-10-25</t>
        </is>
      </c>
      <c r="B298" t="n">
        <v>-14279</v>
      </c>
      <c r="C298" t="n">
        <v>4320</v>
      </c>
      <c r="D298" t="n">
        <v>990041</v>
      </c>
      <c r="E298" t="n">
        <v>962338</v>
      </c>
      <c r="F298" t="n">
        <v>-5.05</v>
      </c>
      <c r="G298" t="n">
        <v>3</v>
      </c>
      <c r="H298" t="n">
        <v>7.1</v>
      </c>
    </row>
    <row r="299">
      <c r="A299" t="inlineStr">
        <is>
          <t>2022-10-26</t>
        </is>
      </c>
      <c r="B299" t="n">
        <v>-14279</v>
      </c>
      <c r="C299" t="n">
        <v>12530</v>
      </c>
      <c r="D299" t="n">
        <v>998251</v>
      </c>
      <c r="E299" t="n">
        <v>970548</v>
      </c>
      <c r="F299" t="n">
        <v>-4.26</v>
      </c>
      <c r="G299" t="n">
        <v>4</v>
      </c>
      <c r="H299" t="n">
        <v>10</v>
      </c>
    </row>
    <row r="300">
      <c r="A300" t="inlineStr">
        <is>
          <t>2022-10-27</t>
        </is>
      </c>
      <c r="B300" t="n">
        <v>-14279</v>
      </c>
      <c r="C300" t="n">
        <v>21400</v>
      </c>
      <c r="D300" t="n">
        <v>1007121</v>
      </c>
      <c r="E300" t="n">
        <v>979418</v>
      </c>
      <c r="F300" t="n">
        <v>-3.41</v>
      </c>
      <c r="G300" t="n">
        <v>4</v>
      </c>
      <c r="H300" t="n">
        <v>10</v>
      </c>
    </row>
    <row r="301">
      <c r="A301" t="inlineStr">
        <is>
          <t>2022-10-28</t>
        </is>
      </c>
      <c r="B301" t="n">
        <v>-14279</v>
      </c>
      <c r="C301" t="n">
        <v>31130</v>
      </c>
      <c r="D301" t="n">
        <v>1016851</v>
      </c>
      <c r="E301" t="n">
        <v>989148</v>
      </c>
      <c r="F301" t="n">
        <v>-2.48</v>
      </c>
      <c r="G301" t="n">
        <v>4</v>
      </c>
      <c r="H301" t="n">
        <v>10</v>
      </c>
    </row>
    <row r="302">
      <c r="A302" t="inlineStr">
        <is>
          <t>2022-10-31</t>
        </is>
      </c>
      <c r="B302" t="n">
        <v>6361</v>
      </c>
      <c r="C302" t="n">
        <v>36570</v>
      </c>
      <c r="D302" t="n">
        <v>1042931</v>
      </c>
      <c r="E302" t="n">
        <v>1014944</v>
      </c>
      <c r="F302" t="n">
        <v>0</v>
      </c>
      <c r="G302" t="n">
        <v>4</v>
      </c>
      <c r="H302" t="n">
        <v>10</v>
      </c>
    </row>
    <row r="303">
      <c r="A303" t="inlineStr">
        <is>
          <t>2022-11-01</t>
        </is>
      </c>
      <c r="B303" t="n">
        <v>6361</v>
      </c>
      <c r="C303" t="n">
        <v>26500</v>
      </c>
      <c r="D303" t="n">
        <v>1032861</v>
      </c>
      <c r="E303" t="n">
        <v>1004874</v>
      </c>
      <c r="F303" t="n">
        <v>-0.97</v>
      </c>
      <c r="G303" t="n">
        <v>4</v>
      </c>
      <c r="H303" t="n">
        <v>10</v>
      </c>
    </row>
    <row r="304">
      <c r="A304" t="inlineStr">
        <is>
          <t>2022-11-02</t>
        </is>
      </c>
      <c r="B304" t="n">
        <v>16090</v>
      </c>
      <c r="C304" t="n">
        <v>1820</v>
      </c>
      <c r="D304" t="n">
        <v>1017910</v>
      </c>
      <c r="E304" t="n">
        <v>989615</v>
      </c>
      <c r="F304" t="n">
        <v>-2.4</v>
      </c>
      <c r="G304" t="n">
        <v>2</v>
      </c>
      <c r="H304" t="n">
        <v>5.9</v>
      </c>
    </row>
    <row r="305">
      <c r="A305" t="inlineStr">
        <is>
          <t>2022-11-03</t>
        </is>
      </c>
      <c r="B305" t="n">
        <v>4680</v>
      </c>
      <c r="C305" t="n">
        <v>-1680</v>
      </c>
      <c r="D305" t="n">
        <v>1003000</v>
      </c>
      <c r="E305" t="n">
        <v>974376</v>
      </c>
      <c r="F305" t="n">
        <v>-3.83</v>
      </c>
      <c r="G305" t="n">
        <v>1</v>
      </c>
      <c r="H305" t="n">
        <v>2.9</v>
      </c>
    </row>
    <row r="306">
      <c r="A306" t="inlineStr">
        <is>
          <t>2022-11-04</t>
        </is>
      </c>
      <c r="B306" t="n">
        <v>4680</v>
      </c>
      <c r="C306" t="n">
        <v>-12320</v>
      </c>
      <c r="D306" t="n">
        <v>992360</v>
      </c>
      <c r="E306" t="n">
        <v>963736</v>
      </c>
      <c r="F306" t="n">
        <v>-4.85</v>
      </c>
      <c r="G306" t="n">
        <v>1</v>
      </c>
      <c r="H306" t="n">
        <v>2.9</v>
      </c>
    </row>
    <row r="307">
      <c r="A307" t="inlineStr">
        <is>
          <t>2022-11-07</t>
        </is>
      </c>
      <c r="B307" t="n">
        <v>4680</v>
      </c>
      <c r="C307" t="n">
        <v>-5880</v>
      </c>
      <c r="D307" t="n">
        <v>998800</v>
      </c>
      <c r="E307" t="n">
        <v>970176</v>
      </c>
      <c r="F307" t="n">
        <v>-4.23</v>
      </c>
      <c r="G307" t="n">
        <v>2</v>
      </c>
      <c r="H307" t="n">
        <v>5.9</v>
      </c>
    </row>
    <row r="308">
      <c r="A308" t="inlineStr">
        <is>
          <t>2022-11-08</t>
        </is>
      </c>
      <c r="B308" t="n">
        <v>4680</v>
      </c>
      <c r="C308" t="n">
        <v>-8460</v>
      </c>
      <c r="D308" t="n">
        <v>996220</v>
      </c>
      <c r="E308" t="n">
        <v>967596</v>
      </c>
      <c r="F308" t="n">
        <v>-4.48</v>
      </c>
      <c r="G308" t="n">
        <v>2</v>
      </c>
      <c r="H308" t="n">
        <v>5.9</v>
      </c>
    </row>
    <row r="309">
      <c r="A309" t="inlineStr">
        <is>
          <t>2022-11-09</t>
        </is>
      </c>
      <c r="B309" t="n">
        <v>-2080</v>
      </c>
      <c r="C309" t="n">
        <v>-12040</v>
      </c>
      <c r="D309" t="n">
        <v>985880</v>
      </c>
      <c r="E309" t="n">
        <v>957077</v>
      </c>
      <c r="F309" t="n">
        <v>-5.47</v>
      </c>
      <c r="G309" t="n">
        <v>1</v>
      </c>
      <c r="H309" t="n">
        <v>2.9</v>
      </c>
    </row>
    <row r="310">
      <c r="A310" t="inlineStr">
        <is>
          <t>2022-11-10</t>
        </is>
      </c>
      <c r="B310" t="n">
        <v>-2080</v>
      </c>
      <c r="C310" t="n">
        <v>-8960</v>
      </c>
      <c r="D310" t="n">
        <v>988960</v>
      </c>
      <c r="E310" t="n">
        <v>960157</v>
      </c>
      <c r="F310" t="n">
        <v>-5.17</v>
      </c>
      <c r="G310" t="n">
        <v>2</v>
      </c>
      <c r="H310" t="n">
        <v>5.9</v>
      </c>
    </row>
    <row r="311">
      <c r="A311" t="inlineStr">
        <is>
          <t>2022-11-11</t>
        </is>
      </c>
      <c r="B311" t="n">
        <v>-2080</v>
      </c>
      <c r="C311" t="n">
        <v>-24080</v>
      </c>
      <c r="D311" t="n">
        <v>973840</v>
      </c>
      <c r="E311" t="n">
        <v>945037</v>
      </c>
      <c r="F311" t="n">
        <v>-6.62</v>
      </c>
      <c r="G311" t="n">
        <v>3</v>
      </c>
      <c r="H311" t="n">
        <v>8.9</v>
      </c>
    </row>
    <row r="312">
      <c r="A312" t="inlineStr">
        <is>
          <t>2022-11-14</t>
        </is>
      </c>
      <c r="B312" t="n">
        <v>-13920</v>
      </c>
      <c r="C312" t="n">
        <v>-12600</v>
      </c>
      <c r="D312" t="n">
        <v>973480</v>
      </c>
      <c r="E312" t="n">
        <v>944226</v>
      </c>
      <c r="F312" t="n">
        <v>-6.66</v>
      </c>
      <c r="G312" t="n">
        <v>1</v>
      </c>
      <c r="H312" t="n">
        <v>2.9</v>
      </c>
    </row>
    <row r="313">
      <c r="A313" t="inlineStr">
        <is>
          <t>2022-11-15</t>
        </is>
      </c>
      <c r="B313" t="n">
        <v>-13920</v>
      </c>
      <c r="C313" t="n">
        <v>-18480</v>
      </c>
      <c r="D313" t="n">
        <v>967600</v>
      </c>
      <c r="E313" t="n">
        <v>938346</v>
      </c>
      <c r="F313" t="n">
        <v>-7.22</v>
      </c>
      <c r="G313" t="n">
        <v>1</v>
      </c>
      <c r="H313" t="n">
        <v>2.9</v>
      </c>
    </row>
    <row r="314">
      <c r="A314" t="inlineStr">
        <is>
          <t>2022-11-16</t>
        </is>
      </c>
      <c r="B314" t="n">
        <v>-13920</v>
      </c>
      <c r="C314" t="n">
        <v>-18480</v>
      </c>
      <c r="D314" t="n">
        <v>967600</v>
      </c>
      <c r="E314" t="n">
        <v>938346</v>
      </c>
      <c r="F314" t="n">
        <v>-7.22</v>
      </c>
      <c r="G314" t="n">
        <v>1</v>
      </c>
      <c r="H314" t="n">
        <v>2.9</v>
      </c>
    </row>
    <row r="315">
      <c r="A315" t="inlineStr">
        <is>
          <t>2022-11-17</t>
        </is>
      </c>
      <c r="B315" t="n">
        <v>-13920</v>
      </c>
      <c r="C315" t="n">
        <v>-8400</v>
      </c>
      <c r="D315" t="n">
        <v>977680</v>
      </c>
      <c r="E315" t="n">
        <v>948426</v>
      </c>
      <c r="F315" t="n">
        <v>-6.26</v>
      </c>
      <c r="G315" t="n">
        <v>2</v>
      </c>
      <c r="H315" t="n">
        <v>5.9</v>
      </c>
    </row>
    <row r="316">
      <c r="A316" t="inlineStr">
        <is>
          <t>2022-11-18</t>
        </is>
      </c>
      <c r="B316" t="n">
        <v>-13920</v>
      </c>
      <c r="C316" t="n">
        <v>-6640</v>
      </c>
      <c r="D316" t="n">
        <v>979440</v>
      </c>
      <c r="E316" t="n">
        <v>950186</v>
      </c>
      <c r="F316" t="n">
        <v>-6.09</v>
      </c>
      <c r="G316" t="n">
        <v>3</v>
      </c>
      <c r="H316" t="n">
        <v>8.800000000000001</v>
      </c>
    </row>
    <row r="317">
      <c r="A317" t="inlineStr">
        <is>
          <t>2022-11-21</t>
        </is>
      </c>
      <c r="B317" t="n">
        <v>-19295</v>
      </c>
      <c r="C317" t="n">
        <v>-12760</v>
      </c>
      <c r="D317" t="n">
        <v>967945</v>
      </c>
      <c r="E317" t="n">
        <v>938393</v>
      </c>
      <c r="F317" t="n">
        <v>-7.19</v>
      </c>
      <c r="G317" t="n">
        <v>2</v>
      </c>
      <c r="H317" t="n">
        <v>5.9</v>
      </c>
    </row>
    <row r="318">
      <c r="A318" t="inlineStr">
        <is>
          <t>2022-11-22</t>
        </is>
      </c>
      <c r="B318" t="n">
        <v>-19295</v>
      </c>
      <c r="C318" t="n">
        <v>-11200</v>
      </c>
      <c r="D318" t="n">
        <v>969505</v>
      </c>
      <c r="E318" t="n">
        <v>939953</v>
      </c>
      <c r="F318" t="n">
        <v>-7.04</v>
      </c>
      <c r="G318" t="n">
        <v>2</v>
      </c>
      <c r="H318" t="n">
        <v>5.9</v>
      </c>
    </row>
    <row r="319">
      <c r="A319" t="inlineStr">
        <is>
          <t>2022-11-23</t>
        </is>
      </c>
      <c r="B319" t="n">
        <v>-19295</v>
      </c>
      <c r="C319" t="n">
        <v>-15800</v>
      </c>
      <c r="D319" t="n">
        <v>964905</v>
      </c>
      <c r="E319" t="n">
        <v>935353</v>
      </c>
      <c r="F319" t="n">
        <v>-7.48</v>
      </c>
      <c r="G319" t="n">
        <v>3</v>
      </c>
      <c r="H319" t="n">
        <v>8.800000000000001</v>
      </c>
    </row>
    <row r="320">
      <c r="A320" t="inlineStr">
        <is>
          <t>2022-11-24</t>
        </is>
      </c>
      <c r="B320" t="n">
        <v>-19295</v>
      </c>
      <c r="C320" t="n">
        <v>-5800</v>
      </c>
      <c r="D320" t="n">
        <v>974905</v>
      </c>
      <c r="E320" t="n">
        <v>945353</v>
      </c>
      <c r="F320" t="n">
        <v>-6.52</v>
      </c>
      <c r="G320" t="n">
        <v>4</v>
      </c>
      <c r="H320" t="n">
        <v>10</v>
      </c>
    </row>
    <row r="321">
      <c r="A321" t="inlineStr">
        <is>
          <t>2022-11-25</t>
        </is>
      </c>
      <c r="B321" t="n">
        <v>-41356</v>
      </c>
      <c r="C321" t="n">
        <v>9780</v>
      </c>
      <c r="D321" t="n">
        <v>968424</v>
      </c>
      <c r="E321" t="n">
        <v>938274</v>
      </c>
      <c r="F321" t="n">
        <v>-7.14</v>
      </c>
      <c r="G321" t="n">
        <v>4</v>
      </c>
      <c r="H321" t="n">
        <v>9.699999999999999</v>
      </c>
    </row>
    <row r="322">
      <c r="A322" t="inlineStr">
        <is>
          <t>2022-11-28</t>
        </is>
      </c>
      <c r="B322" t="n">
        <v>-41356</v>
      </c>
      <c r="C322" t="n">
        <v>3285</v>
      </c>
      <c r="D322" t="n">
        <v>961929</v>
      </c>
      <c r="E322" t="n">
        <v>931779</v>
      </c>
      <c r="F322" t="n">
        <v>-7.77</v>
      </c>
      <c r="G322" t="n">
        <v>4</v>
      </c>
      <c r="H322" t="n">
        <v>9.699999999999999</v>
      </c>
    </row>
    <row r="323">
      <c r="A323" t="inlineStr">
        <is>
          <t>2022-11-29</t>
        </is>
      </c>
      <c r="B323" t="n">
        <v>-30306</v>
      </c>
      <c r="C323" t="n">
        <v>-900</v>
      </c>
      <c r="D323" t="n">
        <v>968794</v>
      </c>
      <c r="E323" t="n">
        <v>938163</v>
      </c>
      <c r="F323" t="n">
        <v>-7.11</v>
      </c>
      <c r="G323" t="n">
        <v>3</v>
      </c>
      <c r="H323" t="n">
        <v>8.4</v>
      </c>
    </row>
    <row r="324">
      <c r="A324" t="inlineStr">
        <is>
          <t>2022-11-30</t>
        </is>
      </c>
      <c r="B324" t="n">
        <v>-30306</v>
      </c>
      <c r="C324" t="n">
        <v>-3935</v>
      </c>
      <c r="D324" t="n">
        <v>965759</v>
      </c>
      <c r="E324" t="n">
        <v>935128</v>
      </c>
      <c r="F324" t="n">
        <v>-7.4</v>
      </c>
      <c r="G324" t="n">
        <v>4</v>
      </c>
      <c r="H324" t="n">
        <v>10</v>
      </c>
    </row>
    <row r="325">
      <c r="A325" t="inlineStr">
        <is>
          <t>2022-12-01</t>
        </is>
      </c>
      <c r="B325" t="n">
        <v>-32826</v>
      </c>
      <c r="C325" t="n">
        <v>9070</v>
      </c>
      <c r="D325" t="n">
        <v>976244</v>
      </c>
      <c r="E325" t="n">
        <v>945451</v>
      </c>
      <c r="F325" t="n">
        <v>-6.39</v>
      </c>
      <c r="G325" t="n">
        <v>3</v>
      </c>
      <c r="H325" t="n">
        <v>7.1</v>
      </c>
    </row>
    <row r="326">
      <c r="A326" t="inlineStr">
        <is>
          <t>2022-12-02</t>
        </is>
      </c>
      <c r="B326" t="n">
        <v>-32826</v>
      </c>
      <c r="C326" t="n">
        <v>21920</v>
      </c>
      <c r="D326" t="n">
        <v>989094</v>
      </c>
      <c r="E326" t="n">
        <v>958301</v>
      </c>
      <c r="F326" t="n">
        <v>-5.16</v>
      </c>
      <c r="G326" t="n">
        <v>4</v>
      </c>
      <c r="H326" t="n">
        <v>9.800000000000001</v>
      </c>
    </row>
    <row r="327">
      <c r="A327" t="inlineStr">
        <is>
          <t>2022-12-05</t>
        </is>
      </c>
      <c r="B327" t="n">
        <v>-21906</v>
      </c>
      <c r="C327" t="n">
        <v>-1440</v>
      </c>
      <c r="D327" t="n">
        <v>976654</v>
      </c>
      <c r="E327" t="n">
        <v>945553</v>
      </c>
      <c r="F327" t="n">
        <v>-6.35</v>
      </c>
      <c r="G327" t="n">
        <v>3</v>
      </c>
      <c r="H327" t="n">
        <v>7</v>
      </c>
    </row>
    <row r="328">
      <c r="A328" t="inlineStr">
        <is>
          <t>2022-12-06</t>
        </is>
      </c>
      <c r="B328" t="n">
        <v>-21906</v>
      </c>
      <c r="C328" t="n">
        <v>-10875</v>
      </c>
      <c r="D328" t="n">
        <v>967219</v>
      </c>
      <c r="E328" t="n">
        <v>936118</v>
      </c>
      <c r="F328" t="n">
        <v>-7.26</v>
      </c>
      <c r="G328" t="n">
        <v>4</v>
      </c>
      <c r="H328" t="n">
        <v>10</v>
      </c>
    </row>
    <row r="329">
      <c r="A329" t="inlineStr">
        <is>
          <t>2022-12-07</t>
        </is>
      </c>
      <c r="B329" t="n">
        <v>-9756</v>
      </c>
      <c r="C329" t="n">
        <v>-22770</v>
      </c>
      <c r="D329" t="n">
        <v>967474</v>
      </c>
      <c r="E329" t="n">
        <v>936187</v>
      </c>
      <c r="F329" t="n">
        <v>-7.24</v>
      </c>
      <c r="G329" t="n">
        <v>4</v>
      </c>
      <c r="H329" t="n">
        <v>10</v>
      </c>
    </row>
    <row r="330">
      <c r="A330" t="inlineStr">
        <is>
          <t>2022-12-08</t>
        </is>
      </c>
      <c r="B330" t="n">
        <v>-9756</v>
      </c>
      <c r="C330" t="n">
        <v>-4080</v>
      </c>
      <c r="D330" t="n">
        <v>986164</v>
      </c>
      <c r="E330" t="n">
        <v>954877</v>
      </c>
      <c r="F330" t="n">
        <v>-5.44</v>
      </c>
      <c r="G330" t="n">
        <v>4</v>
      </c>
      <c r="H330" t="n">
        <v>10</v>
      </c>
    </row>
    <row r="331">
      <c r="A331" t="inlineStr">
        <is>
          <t>2022-12-09</t>
        </is>
      </c>
      <c r="B331" t="n">
        <v>-9756</v>
      </c>
      <c r="C331" t="n">
        <v>7210</v>
      </c>
      <c r="D331" t="n">
        <v>997454</v>
      </c>
      <c r="E331" t="n">
        <v>966167</v>
      </c>
      <c r="F331" t="n">
        <v>-4.36</v>
      </c>
      <c r="G331" t="n">
        <v>4</v>
      </c>
      <c r="H331" t="n">
        <v>10</v>
      </c>
    </row>
    <row r="332">
      <c r="A332" t="inlineStr">
        <is>
          <t>2022-12-12</t>
        </is>
      </c>
      <c r="B332" t="n">
        <v>-9756</v>
      </c>
      <c r="C332" t="n">
        <v>5710</v>
      </c>
      <c r="D332" t="n">
        <v>995954</v>
      </c>
      <c r="E332" t="n">
        <v>964667</v>
      </c>
      <c r="F332" t="n">
        <v>-4.5</v>
      </c>
      <c r="G332" t="n">
        <v>4</v>
      </c>
      <c r="H332" t="n">
        <v>10</v>
      </c>
    </row>
    <row r="333">
      <c r="A333" t="inlineStr">
        <is>
          <t>2022-12-13</t>
        </is>
      </c>
      <c r="B333" t="n">
        <v>-9756</v>
      </c>
      <c r="C333" t="n">
        <v>2930</v>
      </c>
      <c r="D333" t="n">
        <v>993174</v>
      </c>
      <c r="E333" t="n">
        <v>961887</v>
      </c>
      <c r="F333" t="n">
        <v>-4.77</v>
      </c>
      <c r="G333" t="n">
        <v>4</v>
      </c>
      <c r="H333" t="n">
        <v>10</v>
      </c>
    </row>
    <row r="334">
      <c r="A334" t="inlineStr">
        <is>
          <t>2022-12-14</t>
        </is>
      </c>
      <c r="B334" t="n">
        <v>-9576</v>
      </c>
      <c r="C334" t="n">
        <v>17660</v>
      </c>
      <c r="D334" t="n">
        <v>1008084</v>
      </c>
      <c r="E334" t="n">
        <v>976555</v>
      </c>
      <c r="F334" t="n">
        <v>-3.34</v>
      </c>
      <c r="G334" t="n">
        <v>4</v>
      </c>
      <c r="H334" t="n">
        <v>10</v>
      </c>
    </row>
    <row r="335">
      <c r="A335" t="inlineStr">
        <is>
          <t>2022-12-15</t>
        </is>
      </c>
      <c r="B335" t="n">
        <v>-1946</v>
      </c>
      <c r="C335" t="n">
        <v>22370</v>
      </c>
      <c r="D335" t="n">
        <v>1020424</v>
      </c>
      <c r="E335" t="n">
        <v>988534</v>
      </c>
      <c r="F335" t="n">
        <v>-2.16</v>
      </c>
      <c r="G335" t="n">
        <v>4</v>
      </c>
      <c r="H335" t="n">
        <v>9</v>
      </c>
    </row>
    <row r="336">
      <c r="A336" t="inlineStr">
        <is>
          <t>2022-12-16</t>
        </is>
      </c>
      <c r="B336" t="n">
        <v>-1946</v>
      </c>
      <c r="C336" t="n">
        <v>19990</v>
      </c>
      <c r="D336" t="n">
        <v>1018044</v>
      </c>
      <c r="E336" t="n">
        <v>986154</v>
      </c>
      <c r="F336" t="n">
        <v>-2.39</v>
      </c>
      <c r="G336" t="n">
        <v>4</v>
      </c>
      <c r="H336" t="n">
        <v>9</v>
      </c>
    </row>
    <row r="337">
      <c r="A337" t="inlineStr">
        <is>
          <t>2022-12-19</t>
        </is>
      </c>
      <c r="B337" t="n">
        <v>8138</v>
      </c>
      <c r="C337" t="n">
        <v>-8080</v>
      </c>
      <c r="D337" t="n">
        <v>1000058</v>
      </c>
      <c r="E337" t="n">
        <v>967857</v>
      </c>
      <c r="F337" t="n">
        <v>-4.11</v>
      </c>
      <c r="G337" t="n">
        <v>3</v>
      </c>
      <c r="H337" t="n">
        <v>6.3</v>
      </c>
    </row>
    <row r="338">
      <c r="A338" t="inlineStr">
        <is>
          <t>2022-12-20</t>
        </is>
      </c>
      <c r="B338" t="n">
        <v>6295</v>
      </c>
      <c r="C338" t="n">
        <v>-13240</v>
      </c>
      <c r="D338" t="n">
        <v>993055</v>
      </c>
      <c r="E338" t="n">
        <v>960830</v>
      </c>
      <c r="F338" t="n">
        <v>-4.78</v>
      </c>
      <c r="G338" t="n">
        <v>2</v>
      </c>
      <c r="H338" t="n">
        <v>6</v>
      </c>
    </row>
    <row r="339">
      <c r="A339" t="inlineStr">
        <is>
          <t>2022-12-21</t>
        </is>
      </c>
      <c r="B339" t="n">
        <v>6295</v>
      </c>
      <c r="C339" t="n">
        <v>-18130</v>
      </c>
      <c r="D339" t="n">
        <v>988165</v>
      </c>
      <c r="E339" t="n">
        <v>955940</v>
      </c>
      <c r="F339" t="n">
        <v>-5.25</v>
      </c>
      <c r="G339" t="n">
        <v>4</v>
      </c>
      <c r="H339" t="n">
        <v>10</v>
      </c>
    </row>
    <row r="340">
      <c r="A340" t="inlineStr">
        <is>
          <t>2022-12-22</t>
        </is>
      </c>
      <c r="B340" t="n">
        <v>-12386</v>
      </c>
      <c r="C340" t="n">
        <v>-12900</v>
      </c>
      <c r="D340" t="n">
        <v>974714</v>
      </c>
      <c r="E340" t="n">
        <v>942097</v>
      </c>
      <c r="F340" t="n">
        <v>-6.54</v>
      </c>
      <c r="G340" t="n">
        <v>4</v>
      </c>
      <c r="H340" t="n">
        <v>10</v>
      </c>
    </row>
    <row r="341">
      <c r="A341" t="inlineStr">
        <is>
          <t>2022-12-23</t>
        </is>
      </c>
      <c r="B341" t="n">
        <v>-12386</v>
      </c>
      <c r="C341" t="n">
        <v>-21690</v>
      </c>
      <c r="D341" t="n">
        <v>965924</v>
      </c>
      <c r="E341" t="n">
        <v>933307</v>
      </c>
      <c r="F341" t="n">
        <v>-7.38</v>
      </c>
      <c r="G341" t="n">
        <v>4</v>
      </c>
      <c r="H341" t="n">
        <v>10</v>
      </c>
    </row>
    <row r="342">
      <c r="A342" t="inlineStr">
        <is>
          <t>2022-12-26</t>
        </is>
      </c>
      <c r="B342" t="n">
        <v>-12386</v>
      </c>
      <c r="C342" t="n">
        <v>-25130</v>
      </c>
      <c r="D342" t="n">
        <v>962484</v>
      </c>
      <c r="E342" t="n">
        <v>929867</v>
      </c>
      <c r="F342" t="n">
        <v>-7.71</v>
      </c>
      <c r="G342" t="n">
        <v>4</v>
      </c>
      <c r="H342" t="n">
        <v>10</v>
      </c>
    </row>
    <row r="343">
      <c r="A343" t="inlineStr">
        <is>
          <t>2022-12-27</t>
        </is>
      </c>
      <c r="B343" t="n">
        <v>-11816</v>
      </c>
      <c r="C343" t="n">
        <v>-10960</v>
      </c>
      <c r="D343" t="n">
        <v>977224</v>
      </c>
      <c r="E343" t="n">
        <v>944535</v>
      </c>
      <c r="F343" t="n">
        <v>-6.3</v>
      </c>
      <c r="G343" t="n">
        <v>4</v>
      </c>
      <c r="H343" t="n">
        <v>10</v>
      </c>
    </row>
    <row r="344">
      <c r="A344" t="inlineStr">
        <is>
          <t>2022-12-28</t>
        </is>
      </c>
      <c r="B344" t="n">
        <v>-11816</v>
      </c>
      <c r="C344" t="n">
        <v>-13680</v>
      </c>
      <c r="D344" t="n">
        <v>974504</v>
      </c>
      <c r="E344" t="n">
        <v>941815</v>
      </c>
      <c r="F344" t="n">
        <v>-6.56</v>
      </c>
      <c r="G344" t="n">
        <v>4</v>
      </c>
      <c r="H344" t="n">
        <v>10</v>
      </c>
    </row>
    <row r="345">
      <c r="A345" t="inlineStr">
        <is>
          <t>2022-12-29</t>
        </is>
      </c>
      <c r="B345" t="n">
        <v>-12876</v>
      </c>
      <c r="C345" t="n">
        <v>-19600</v>
      </c>
      <c r="D345" t="n">
        <v>967524</v>
      </c>
      <c r="E345" t="n">
        <v>934534</v>
      </c>
      <c r="F345" t="n">
        <v>-7.23</v>
      </c>
      <c r="G345" t="n">
        <v>1</v>
      </c>
      <c r="H345" t="n">
        <v>3</v>
      </c>
    </row>
    <row r="346">
      <c r="A346" t="inlineStr">
        <is>
          <t>2022-12-30</t>
        </is>
      </c>
      <c r="B346" t="n">
        <v>-12876</v>
      </c>
      <c r="C346" t="n">
        <v>-8880</v>
      </c>
      <c r="D346" t="n">
        <v>978244</v>
      </c>
      <c r="E346" t="n">
        <v>945254</v>
      </c>
      <c r="F346" t="n">
        <v>-6.2</v>
      </c>
      <c r="G346" t="n">
        <v>4</v>
      </c>
      <c r="H346" t="n">
        <v>10</v>
      </c>
    </row>
    <row r="347">
      <c r="A347" t="inlineStr">
        <is>
          <t>2023-01-03</t>
        </is>
      </c>
      <c r="B347" t="n">
        <v>-12876</v>
      </c>
      <c r="C347" t="n">
        <v>-6420</v>
      </c>
      <c r="D347" t="n">
        <v>980704</v>
      </c>
      <c r="E347" t="n">
        <v>947714</v>
      </c>
      <c r="F347" t="n">
        <v>-5.97</v>
      </c>
      <c r="G347" t="n">
        <v>4</v>
      </c>
      <c r="H347" t="n">
        <v>10</v>
      </c>
    </row>
    <row r="348">
      <c r="A348" t="inlineStr">
        <is>
          <t>2023-01-04</t>
        </is>
      </c>
      <c r="B348" t="n">
        <v>-12876</v>
      </c>
      <c r="C348" t="n">
        <v>-23180</v>
      </c>
      <c r="D348" t="n">
        <v>963944</v>
      </c>
      <c r="E348" t="n">
        <v>930954</v>
      </c>
      <c r="F348" t="n">
        <v>-7.57</v>
      </c>
      <c r="G348" t="n">
        <v>4</v>
      </c>
      <c r="H348" t="n">
        <v>10</v>
      </c>
    </row>
    <row r="349">
      <c r="A349" t="inlineStr">
        <is>
          <t>2023-01-05</t>
        </is>
      </c>
      <c r="B349" t="n">
        <v>-24556</v>
      </c>
      <c r="C349" t="n">
        <v>-29270</v>
      </c>
      <c r="D349" t="n">
        <v>946174</v>
      </c>
      <c r="E349" t="n">
        <v>912812</v>
      </c>
      <c r="F349" t="n">
        <v>-9.279999999999999</v>
      </c>
      <c r="G349" t="n">
        <v>3</v>
      </c>
      <c r="H349" t="n">
        <v>7</v>
      </c>
    </row>
    <row r="350">
      <c r="A350" t="inlineStr">
        <is>
          <t>2023-01-06</t>
        </is>
      </c>
      <c r="B350" t="n">
        <v>-35747</v>
      </c>
      <c r="C350" t="n">
        <v>-19120</v>
      </c>
      <c r="D350" t="n">
        <v>945133</v>
      </c>
      <c r="E350" t="n">
        <v>911555</v>
      </c>
      <c r="F350" t="n">
        <v>-9.380000000000001</v>
      </c>
      <c r="G350" t="n">
        <v>2</v>
      </c>
      <c r="H350" t="n">
        <v>5.7</v>
      </c>
    </row>
    <row r="351">
      <c r="A351" t="inlineStr">
        <is>
          <t>2023-01-09</t>
        </is>
      </c>
      <c r="B351" t="n">
        <v>-35747</v>
      </c>
      <c r="C351" t="n">
        <v>-20070</v>
      </c>
      <c r="D351" t="n">
        <v>944183</v>
      </c>
      <c r="E351" t="n">
        <v>910605</v>
      </c>
      <c r="F351" t="n">
        <v>-9.470000000000001</v>
      </c>
      <c r="G351" t="n">
        <v>3</v>
      </c>
      <c r="H351" t="n">
        <v>8.4</v>
      </c>
    </row>
    <row r="352">
      <c r="A352" t="inlineStr">
        <is>
          <t>2023-01-10</t>
        </is>
      </c>
      <c r="B352" t="n">
        <v>-69107</v>
      </c>
      <c r="C352" t="n">
        <v>2975</v>
      </c>
      <c r="D352" t="n">
        <v>933868</v>
      </c>
      <c r="E352" t="n">
        <v>899544</v>
      </c>
      <c r="F352" t="n">
        <v>-10.46</v>
      </c>
      <c r="G352" t="n">
        <v>1</v>
      </c>
      <c r="H352" t="n">
        <v>2.7</v>
      </c>
    </row>
    <row r="353">
      <c r="A353" t="inlineStr">
        <is>
          <t>2023-01-11</t>
        </is>
      </c>
      <c r="B353" t="n">
        <v>-69107</v>
      </c>
      <c r="C353" t="n">
        <v>2100</v>
      </c>
      <c r="D353" t="n">
        <v>932993</v>
      </c>
      <c r="E353" t="n">
        <v>898669</v>
      </c>
      <c r="F353" t="n">
        <v>-10.54</v>
      </c>
      <c r="G353" t="n">
        <v>1</v>
      </c>
      <c r="H353" t="n">
        <v>2.7</v>
      </c>
    </row>
    <row r="354">
      <c r="A354" t="inlineStr">
        <is>
          <t>2023-01-12</t>
        </is>
      </c>
      <c r="B354" t="n">
        <v>-69107</v>
      </c>
      <c r="C354" t="n">
        <v>350</v>
      </c>
      <c r="D354" t="n">
        <v>931243</v>
      </c>
      <c r="E354" t="n">
        <v>896919</v>
      </c>
      <c r="F354" t="n">
        <v>-10.71</v>
      </c>
      <c r="G354" t="n">
        <v>2</v>
      </c>
      <c r="H354" t="n">
        <v>5.1</v>
      </c>
    </row>
    <row r="355">
      <c r="A355" t="inlineStr">
        <is>
          <t>2023-01-13</t>
        </is>
      </c>
      <c r="B355" t="n">
        <v>-69357</v>
      </c>
      <c r="C355" t="n">
        <v>1575</v>
      </c>
      <c r="D355" t="n">
        <v>932218</v>
      </c>
      <c r="E355" t="n">
        <v>897760</v>
      </c>
      <c r="F355" t="n">
        <v>-10.62</v>
      </c>
      <c r="G355" t="n">
        <v>4</v>
      </c>
      <c r="H355" t="n">
        <v>9.800000000000001</v>
      </c>
    </row>
    <row r="356">
      <c r="A356" t="inlineStr">
        <is>
          <t>2023-01-16</t>
        </is>
      </c>
      <c r="B356" t="n">
        <v>-73017</v>
      </c>
      <c r="C356" t="n">
        <v>-7620</v>
      </c>
      <c r="D356" t="n">
        <v>919363</v>
      </c>
      <c r="E356" t="n">
        <v>884412</v>
      </c>
      <c r="F356" t="n">
        <v>-11.85</v>
      </c>
      <c r="G356" t="n">
        <v>2</v>
      </c>
      <c r="H356" t="n">
        <v>5.1</v>
      </c>
    </row>
    <row r="357">
      <c r="A357" t="inlineStr">
        <is>
          <t>2023-01-17</t>
        </is>
      </c>
      <c r="B357" t="n">
        <v>-73017</v>
      </c>
      <c r="C357" t="n">
        <v>-2995</v>
      </c>
      <c r="D357" t="n">
        <v>923988</v>
      </c>
      <c r="E357" t="n">
        <v>889037</v>
      </c>
      <c r="F357" t="n">
        <v>-11.4</v>
      </c>
      <c r="G357" t="n">
        <v>2</v>
      </c>
      <c r="H357" t="n">
        <v>5.1</v>
      </c>
    </row>
    <row r="358">
      <c r="A358" t="inlineStr">
        <is>
          <t>2023-01-18</t>
        </is>
      </c>
      <c r="B358" t="n">
        <v>-73017</v>
      </c>
      <c r="C358" t="n">
        <v>13835</v>
      </c>
      <c r="D358" t="n">
        <v>940818</v>
      </c>
      <c r="E358" t="n">
        <v>905867</v>
      </c>
      <c r="F358" t="n">
        <v>-9.789999999999999</v>
      </c>
      <c r="G358" t="n">
        <v>3</v>
      </c>
      <c r="H358" t="n">
        <v>7.4</v>
      </c>
    </row>
    <row r="359">
      <c r="A359" t="inlineStr">
        <is>
          <t>2023-01-19</t>
        </is>
      </c>
      <c r="B359" t="n">
        <v>-66577</v>
      </c>
      <c r="C359" t="n">
        <v>15750</v>
      </c>
      <c r="D359" t="n">
        <v>949173</v>
      </c>
      <c r="E359" t="n">
        <v>913522</v>
      </c>
      <c r="F359" t="n">
        <v>-8.99</v>
      </c>
      <c r="G359" t="n">
        <v>2</v>
      </c>
      <c r="H359" t="n">
        <v>5.1</v>
      </c>
    </row>
    <row r="360">
      <c r="A360" t="inlineStr">
        <is>
          <t>2023-01-20</t>
        </is>
      </c>
      <c r="B360" t="n">
        <v>-63457</v>
      </c>
      <c r="C360" t="n">
        <v>17150</v>
      </c>
      <c r="D360" t="n">
        <v>953693</v>
      </c>
      <c r="E360" t="n">
        <v>917766</v>
      </c>
      <c r="F360" t="n">
        <v>-8.56</v>
      </c>
      <c r="G360" t="n">
        <v>2</v>
      </c>
      <c r="H360" t="n">
        <v>5.1</v>
      </c>
    </row>
    <row r="361">
      <c r="A361" t="inlineStr">
        <is>
          <t>2023-01-30</t>
        </is>
      </c>
      <c r="B361" t="n">
        <v>-85571</v>
      </c>
      <c r="C361" t="n">
        <v>18375</v>
      </c>
      <c r="D361" t="n">
        <v>932804</v>
      </c>
      <c r="E361" t="n">
        <v>896442</v>
      </c>
      <c r="F361" t="n">
        <v>-10.56</v>
      </c>
      <c r="G361" t="n">
        <v>2</v>
      </c>
      <c r="H361" t="n">
        <v>4.9</v>
      </c>
    </row>
    <row r="362">
      <c r="A362" t="inlineStr">
        <is>
          <t>2023-01-31</t>
        </is>
      </c>
      <c r="B362" t="n">
        <v>-85571</v>
      </c>
      <c r="C362" t="n">
        <v>17320</v>
      </c>
      <c r="D362" t="n">
        <v>931749</v>
      </c>
      <c r="E362" t="n">
        <v>895387</v>
      </c>
      <c r="F362" t="n">
        <v>-10.66</v>
      </c>
      <c r="G362" t="n">
        <v>2</v>
      </c>
      <c r="H362" t="n">
        <v>4.9</v>
      </c>
    </row>
    <row r="363">
      <c r="A363" t="inlineStr">
        <is>
          <t>2023-02-01</t>
        </is>
      </c>
      <c r="B363" t="n">
        <v>-85571</v>
      </c>
      <c r="C363" t="n">
        <v>13650</v>
      </c>
      <c r="D363" t="n">
        <v>928079</v>
      </c>
      <c r="E363" t="n">
        <v>891717</v>
      </c>
      <c r="F363" t="n">
        <v>-11.01</v>
      </c>
      <c r="G363" t="n">
        <v>4</v>
      </c>
      <c r="H363" t="n">
        <v>9.4</v>
      </c>
    </row>
    <row r="364">
      <c r="A364" t="inlineStr">
        <is>
          <t>2023-02-02</t>
        </is>
      </c>
      <c r="B364" t="n">
        <v>-63696</v>
      </c>
      <c r="C364" t="n">
        <v>-12930</v>
      </c>
      <c r="D364" t="n">
        <v>923374</v>
      </c>
      <c r="E364" t="n">
        <v>886336</v>
      </c>
      <c r="F364" t="n">
        <v>-11.46</v>
      </c>
      <c r="G364" t="n">
        <v>2</v>
      </c>
      <c r="H364" t="n">
        <v>4.4</v>
      </c>
    </row>
    <row r="365">
      <c r="A365" t="inlineStr">
        <is>
          <t>2023-02-03</t>
        </is>
      </c>
      <c r="B365" t="n">
        <v>-89119</v>
      </c>
      <c r="C365" t="n">
        <v>0</v>
      </c>
      <c r="D365" t="n">
        <v>910881</v>
      </c>
      <c r="E365" t="n">
        <v>873412</v>
      </c>
      <c r="F365" t="n">
        <v>-12.66</v>
      </c>
      <c r="G365" t="n">
        <v>1</v>
      </c>
      <c r="H365" t="n">
        <v>2.1</v>
      </c>
    </row>
    <row r="366">
      <c r="A366" t="inlineStr">
        <is>
          <t>2023-02-06</t>
        </is>
      </c>
      <c r="B366" t="n">
        <v>-89119</v>
      </c>
      <c r="C366" t="n">
        <v>-2600</v>
      </c>
      <c r="D366" t="n">
        <v>908281</v>
      </c>
      <c r="E366" t="n">
        <v>870812</v>
      </c>
      <c r="F366" t="n">
        <v>-12.91</v>
      </c>
      <c r="G366" t="n">
        <v>1</v>
      </c>
      <c r="H366" t="n">
        <v>2.1</v>
      </c>
    </row>
    <row r="367">
      <c r="A367" t="inlineStr">
        <is>
          <t>2023-02-07</t>
        </is>
      </c>
      <c r="B367" t="n">
        <v>-89119</v>
      </c>
      <c r="C367" t="n">
        <v>-6600</v>
      </c>
      <c r="D367" t="n">
        <v>904281</v>
      </c>
      <c r="E367" t="n">
        <v>866812</v>
      </c>
      <c r="F367" t="n">
        <v>-13.29</v>
      </c>
      <c r="G367" t="n">
        <v>1</v>
      </c>
      <c r="H367" t="n">
        <v>2.1</v>
      </c>
    </row>
    <row r="368">
      <c r="A368" t="inlineStr">
        <is>
          <t>2023-02-08</t>
        </is>
      </c>
      <c r="B368" t="n">
        <v>-92919</v>
      </c>
      <c r="C368" t="n">
        <v>0</v>
      </c>
      <c r="D368" t="n">
        <v>907081</v>
      </c>
      <c r="E368" t="n">
        <v>869382</v>
      </c>
      <c r="F368" t="n">
        <v>-13.03</v>
      </c>
      <c r="G368" t="n">
        <v>0</v>
      </c>
      <c r="H368" t="n">
        <v>0</v>
      </c>
    </row>
    <row r="369">
      <c r="A369" t="inlineStr">
        <is>
          <t>2023-02-09</t>
        </is>
      </c>
      <c r="B369" t="n">
        <v>-92919</v>
      </c>
      <c r="C369" t="n">
        <v>0</v>
      </c>
      <c r="D369" t="n">
        <v>907081</v>
      </c>
      <c r="E369" t="n">
        <v>869382</v>
      </c>
      <c r="F369" t="n">
        <v>-13.03</v>
      </c>
      <c r="G369" t="n">
        <v>1</v>
      </c>
      <c r="H369" t="n">
        <v>2.1</v>
      </c>
    </row>
    <row r="370">
      <c r="A370" t="inlineStr">
        <is>
          <t>2023-02-10</t>
        </is>
      </c>
      <c r="B370" t="n">
        <v>-92919</v>
      </c>
      <c r="C370" t="n">
        <v>1350</v>
      </c>
      <c r="D370" t="n">
        <v>908431</v>
      </c>
      <c r="E370" t="n">
        <v>870732</v>
      </c>
      <c r="F370" t="n">
        <v>-12.9</v>
      </c>
      <c r="G370" t="n">
        <v>1</v>
      </c>
      <c r="H370" t="n">
        <v>2.1</v>
      </c>
    </row>
    <row r="371">
      <c r="A371" t="inlineStr">
        <is>
          <t>2023-02-13</t>
        </is>
      </c>
      <c r="B371" t="n">
        <v>-92919</v>
      </c>
      <c r="C371" t="n">
        <v>5550</v>
      </c>
      <c r="D371" t="n">
        <v>912631</v>
      </c>
      <c r="E371" t="n">
        <v>874932</v>
      </c>
      <c r="F371" t="n">
        <v>-12.49</v>
      </c>
      <c r="G371" t="n">
        <v>1</v>
      </c>
      <c r="H371" t="n">
        <v>2.1</v>
      </c>
    </row>
    <row r="372">
      <c r="A372" t="inlineStr">
        <is>
          <t>2023-02-14</t>
        </is>
      </c>
      <c r="B372" t="n">
        <v>-92919</v>
      </c>
      <c r="C372" t="n">
        <v>2250</v>
      </c>
      <c r="D372" t="n">
        <v>909331</v>
      </c>
      <c r="E372" t="n">
        <v>871632</v>
      </c>
      <c r="F372" t="n">
        <v>-12.81</v>
      </c>
      <c r="G372" t="n">
        <v>1</v>
      </c>
      <c r="H372" t="n">
        <v>2.1</v>
      </c>
    </row>
    <row r="373">
      <c r="A373" t="inlineStr">
        <is>
          <t>2023-02-15</t>
        </is>
      </c>
      <c r="B373" t="n">
        <v>-92919</v>
      </c>
      <c r="C373" t="n">
        <v>7050</v>
      </c>
      <c r="D373" t="n">
        <v>914131</v>
      </c>
      <c r="E373" t="n">
        <v>876432</v>
      </c>
      <c r="F373" t="n">
        <v>-12.35</v>
      </c>
      <c r="G373" t="n">
        <v>1</v>
      </c>
      <c r="H373" t="n">
        <v>2.1</v>
      </c>
    </row>
    <row r="374">
      <c r="A374" t="inlineStr">
        <is>
          <t>2023-02-16</t>
        </is>
      </c>
      <c r="B374" t="n">
        <v>-92919</v>
      </c>
      <c r="C374" t="n">
        <v>6750</v>
      </c>
      <c r="D374" t="n">
        <v>913831</v>
      </c>
      <c r="E374" t="n">
        <v>876132</v>
      </c>
      <c r="F374" t="n">
        <v>-12.38</v>
      </c>
      <c r="G374" t="n">
        <v>2</v>
      </c>
      <c r="H374" t="n">
        <v>4.1</v>
      </c>
    </row>
    <row r="375">
      <c r="A375" t="inlineStr">
        <is>
          <t>2023-02-17</t>
        </is>
      </c>
      <c r="B375" t="n">
        <v>-92919</v>
      </c>
      <c r="C375" t="n">
        <v>12175</v>
      </c>
      <c r="D375" t="n">
        <v>919256</v>
      </c>
      <c r="E375" t="n">
        <v>881557</v>
      </c>
      <c r="F375" t="n">
        <v>-11.86</v>
      </c>
      <c r="G375" t="n">
        <v>3</v>
      </c>
      <c r="H375" t="n">
        <v>6.3</v>
      </c>
    </row>
    <row r="376">
      <c r="A376" t="inlineStr">
        <is>
          <t>2023-02-20</t>
        </is>
      </c>
      <c r="B376" t="n">
        <v>-92919</v>
      </c>
      <c r="C376" t="n">
        <v>11505</v>
      </c>
      <c r="D376" t="n">
        <v>918586</v>
      </c>
      <c r="E376" t="n">
        <v>880887</v>
      </c>
      <c r="F376" t="n">
        <v>-11.92</v>
      </c>
      <c r="G376" t="n">
        <v>4</v>
      </c>
      <c r="H376" t="n">
        <v>8.6</v>
      </c>
    </row>
    <row r="377">
      <c r="A377" t="inlineStr">
        <is>
          <t>2023-02-21</t>
        </is>
      </c>
      <c r="B377" t="n">
        <v>-92919</v>
      </c>
      <c r="C377" t="n">
        <v>18680</v>
      </c>
      <c r="D377" t="n">
        <v>925761</v>
      </c>
      <c r="E377" t="n">
        <v>888062</v>
      </c>
      <c r="F377" t="n">
        <v>-11.23</v>
      </c>
      <c r="G377" t="n">
        <v>4</v>
      </c>
      <c r="H377" t="n">
        <v>8.6</v>
      </c>
    </row>
    <row r="378">
      <c r="A378" t="inlineStr">
        <is>
          <t>2023-02-22</t>
        </is>
      </c>
      <c r="B378" t="n">
        <v>-96519</v>
      </c>
      <c r="C378" t="n">
        <v>17090</v>
      </c>
      <c r="D378" t="n">
        <v>920571</v>
      </c>
      <c r="E378" t="n">
        <v>882687</v>
      </c>
      <c r="F378" t="n">
        <v>-11.73</v>
      </c>
      <c r="G378" t="n">
        <v>3</v>
      </c>
      <c r="H378" t="n">
        <v>6.5</v>
      </c>
    </row>
    <row r="379">
      <c r="A379" t="inlineStr">
        <is>
          <t>2023-02-23</t>
        </is>
      </c>
      <c r="B379" t="n">
        <v>-96519</v>
      </c>
      <c r="C379" t="n">
        <v>14830</v>
      </c>
      <c r="D379" t="n">
        <v>918311</v>
      </c>
      <c r="E379" t="n">
        <v>880427</v>
      </c>
      <c r="F379" t="n">
        <v>-11.95</v>
      </c>
      <c r="G379" t="n">
        <v>3</v>
      </c>
      <c r="H379" t="n">
        <v>6.5</v>
      </c>
    </row>
    <row r="380">
      <c r="A380" t="inlineStr">
        <is>
          <t>2023-02-24</t>
        </is>
      </c>
      <c r="B380" t="n">
        <v>-88839</v>
      </c>
      <c r="C380" t="n">
        <v>12180</v>
      </c>
      <c r="D380" t="n">
        <v>923341</v>
      </c>
      <c r="E380" t="n">
        <v>885262</v>
      </c>
      <c r="F380" t="n">
        <v>-11.47</v>
      </c>
      <c r="G380" t="n">
        <v>4</v>
      </c>
      <c r="H380" t="n">
        <v>9</v>
      </c>
    </row>
    <row r="381">
      <c r="A381" t="inlineStr">
        <is>
          <t>2023-02-27</t>
        </is>
      </c>
      <c r="B381" t="n">
        <v>-92889</v>
      </c>
      <c r="C381" t="n">
        <v>6490</v>
      </c>
      <c r="D381" t="n">
        <v>913601</v>
      </c>
      <c r="E381" t="n">
        <v>875195</v>
      </c>
      <c r="F381" t="n">
        <v>-12.4</v>
      </c>
      <c r="G381" t="n">
        <v>4</v>
      </c>
      <c r="H381" t="n">
        <v>9</v>
      </c>
    </row>
    <row r="382">
      <c r="A382" t="inlineStr">
        <is>
          <t>2023-02-28</t>
        </is>
      </c>
      <c r="B382" t="n">
        <v>-92574</v>
      </c>
      <c r="C382" t="n">
        <v>4415</v>
      </c>
      <c r="D382" t="n">
        <v>911841</v>
      </c>
      <c r="E382" t="n">
        <v>873174</v>
      </c>
      <c r="F382" t="n">
        <v>-12.57</v>
      </c>
      <c r="G382" t="n">
        <v>3</v>
      </c>
      <c r="H382" t="n">
        <v>6.8</v>
      </c>
    </row>
    <row r="383">
      <c r="A383" t="inlineStr">
        <is>
          <t>2023-03-01</t>
        </is>
      </c>
      <c r="B383" t="n">
        <v>-92574</v>
      </c>
      <c r="C383" t="n">
        <v>9455</v>
      </c>
      <c r="D383" t="n">
        <v>916881</v>
      </c>
      <c r="E383" t="n">
        <v>878214</v>
      </c>
      <c r="F383" t="n">
        <v>-12.09</v>
      </c>
      <c r="G383" t="n">
        <v>4</v>
      </c>
      <c r="H383" t="n">
        <v>8.9</v>
      </c>
    </row>
    <row r="384">
      <c r="A384" t="inlineStr">
        <is>
          <t>2023-03-02</t>
        </is>
      </c>
      <c r="B384" t="n">
        <v>-92574</v>
      </c>
      <c r="C384" t="n">
        <v>7250</v>
      </c>
      <c r="D384" t="n">
        <v>914676</v>
      </c>
      <c r="E384" t="n">
        <v>876009</v>
      </c>
      <c r="F384" t="n">
        <v>-12.3</v>
      </c>
      <c r="G384" t="n">
        <v>4</v>
      </c>
      <c r="H384" t="n">
        <v>8.9</v>
      </c>
    </row>
    <row r="385">
      <c r="A385" t="inlineStr">
        <is>
          <t>2023-03-03</t>
        </is>
      </c>
      <c r="B385" t="n">
        <v>-82254</v>
      </c>
      <c r="C385" t="n">
        <v>-2480</v>
      </c>
      <c r="D385" t="n">
        <v>915266</v>
      </c>
      <c r="E385" t="n">
        <v>876559</v>
      </c>
      <c r="F385" t="n">
        <v>-12.24</v>
      </c>
      <c r="G385" t="n">
        <v>5</v>
      </c>
      <c r="H385" t="n">
        <v>9.6</v>
      </c>
    </row>
    <row r="386">
      <c r="A386" t="inlineStr">
        <is>
          <t>2023-03-06</t>
        </is>
      </c>
      <c r="B386" t="n">
        <v>-103041</v>
      </c>
      <c r="C386" t="n">
        <v>1700</v>
      </c>
      <c r="D386" t="n">
        <v>898659</v>
      </c>
      <c r="E386" t="n">
        <v>859225</v>
      </c>
      <c r="F386" t="n">
        <v>-13.83</v>
      </c>
      <c r="G386" t="n">
        <v>3</v>
      </c>
      <c r="H386" t="n">
        <v>5.2</v>
      </c>
    </row>
    <row r="387">
      <c r="A387" t="inlineStr">
        <is>
          <t>2023-03-07</t>
        </is>
      </c>
      <c r="B387" t="n">
        <v>-103041</v>
      </c>
      <c r="C387" t="n">
        <v>4760</v>
      </c>
      <c r="D387" t="n">
        <v>901719</v>
      </c>
      <c r="E387" t="n">
        <v>862285</v>
      </c>
      <c r="F387" t="n">
        <v>-13.54</v>
      </c>
      <c r="G387" t="n">
        <v>4</v>
      </c>
      <c r="H387" t="n">
        <v>7.2</v>
      </c>
    </row>
    <row r="388">
      <c r="A388" t="inlineStr">
        <is>
          <t>2023-03-08</t>
        </is>
      </c>
      <c r="B388" t="n">
        <v>-103041</v>
      </c>
      <c r="C388" t="n">
        <v>2520</v>
      </c>
      <c r="D388" t="n">
        <v>899479</v>
      </c>
      <c r="E388" t="n">
        <v>860045</v>
      </c>
      <c r="F388" t="n">
        <v>-13.75</v>
      </c>
      <c r="G388" t="n">
        <v>5</v>
      </c>
      <c r="H388" t="n">
        <v>9.199999999999999</v>
      </c>
    </row>
    <row r="389">
      <c r="A389" t="inlineStr">
        <is>
          <t>2023-03-09</t>
        </is>
      </c>
      <c r="B389" t="n">
        <v>-101451</v>
      </c>
      <c r="C389" t="n">
        <v>8480</v>
      </c>
      <c r="D389" t="n">
        <v>907029</v>
      </c>
      <c r="E389" t="n">
        <v>867522</v>
      </c>
      <c r="F389" t="n">
        <v>-13.03</v>
      </c>
      <c r="G389" t="n">
        <v>4</v>
      </c>
      <c r="H389" t="n">
        <v>8.4</v>
      </c>
    </row>
    <row r="390">
      <c r="A390" t="inlineStr">
        <is>
          <t>2023-03-10</t>
        </is>
      </c>
      <c r="B390" t="n">
        <v>-96511</v>
      </c>
      <c r="C390" t="n">
        <v>4990</v>
      </c>
      <c r="D390" t="n">
        <v>908479</v>
      </c>
      <c r="E390" t="n">
        <v>868655</v>
      </c>
      <c r="F390" t="n">
        <v>-12.89</v>
      </c>
      <c r="G390" t="n">
        <v>3</v>
      </c>
      <c r="H390" t="n">
        <v>6.2</v>
      </c>
    </row>
    <row r="391">
      <c r="A391" t="inlineStr">
        <is>
          <t>2023-03-13</t>
        </is>
      </c>
      <c r="B391" t="n">
        <v>-92926</v>
      </c>
      <c r="C391" t="n">
        <v>8200</v>
      </c>
      <c r="D391" t="n">
        <v>915274</v>
      </c>
      <c r="E391" t="n">
        <v>874926</v>
      </c>
      <c r="F391" t="n">
        <v>-12.24</v>
      </c>
      <c r="G391" t="n">
        <v>1</v>
      </c>
      <c r="H391" t="n">
        <v>2</v>
      </c>
    </row>
    <row r="392">
      <c r="A392" t="inlineStr">
        <is>
          <t>2023-03-14</t>
        </is>
      </c>
      <c r="B392" t="n">
        <v>-83996</v>
      </c>
      <c r="C392" t="n">
        <v>0</v>
      </c>
      <c r="D392" t="n">
        <v>916004</v>
      </c>
      <c r="E392" t="n">
        <v>875617</v>
      </c>
      <c r="F392" t="n">
        <v>-12.17</v>
      </c>
      <c r="G392" t="n">
        <v>0</v>
      </c>
      <c r="H392" t="n">
        <v>0</v>
      </c>
    </row>
    <row r="393">
      <c r="A393" t="inlineStr">
        <is>
          <t>2023-03-15</t>
        </is>
      </c>
      <c r="B393" t="n">
        <v>-83996</v>
      </c>
      <c r="C393" t="n">
        <v>0</v>
      </c>
      <c r="D393" t="n">
        <v>916004</v>
      </c>
      <c r="E393" t="n">
        <v>875617</v>
      </c>
      <c r="F393" t="n">
        <v>-12.17</v>
      </c>
      <c r="G393" t="n">
        <v>2</v>
      </c>
      <c r="H393" t="n">
        <v>5.1</v>
      </c>
    </row>
    <row r="394">
      <c r="A394" t="inlineStr">
        <is>
          <t>2023-03-16</t>
        </is>
      </c>
      <c r="B394" t="n">
        <v>-83996</v>
      </c>
      <c r="C394" t="n">
        <v>4400</v>
      </c>
      <c r="D394" t="n">
        <v>920404</v>
      </c>
      <c r="E394" t="n">
        <v>880017</v>
      </c>
      <c r="F394" t="n">
        <v>-11.75</v>
      </c>
      <c r="G394" t="n">
        <v>4</v>
      </c>
      <c r="H394" t="n">
        <v>10</v>
      </c>
    </row>
    <row r="395">
      <c r="A395" t="inlineStr">
        <is>
          <t>2023-03-17</t>
        </is>
      </c>
      <c r="B395" t="n">
        <v>-81316</v>
      </c>
      <c r="C395" t="n">
        <v>2520</v>
      </c>
      <c r="D395" t="n">
        <v>921204</v>
      </c>
      <c r="E395" t="n">
        <v>880200</v>
      </c>
      <c r="F395" t="n">
        <v>-11.67</v>
      </c>
      <c r="G395" t="n">
        <v>2</v>
      </c>
      <c r="H395" t="n">
        <v>5.1</v>
      </c>
    </row>
    <row r="396">
      <c r="A396" t="inlineStr">
        <is>
          <t>2023-03-20</t>
        </is>
      </c>
      <c r="B396" t="n">
        <v>-56436</v>
      </c>
      <c r="C396" t="n">
        <v>8500</v>
      </c>
      <c r="D396" t="n">
        <v>952064</v>
      </c>
      <c r="E396" t="n">
        <v>910893</v>
      </c>
      <c r="F396" t="n">
        <v>-8.710000000000001</v>
      </c>
      <c r="G396" t="n">
        <v>4</v>
      </c>
      <c r="H396" t="n">
        <v>10</v>
      </c>
    </row>
    <row r="397">
      <c r="A397" t="inlineStr">
        <is>
          <t>2023-03-21</t>
        </is>
      </c>
      <c r="B397" t="n">
        <v>-56436</v>
      </c>
      <c r="C397" t="n">
        <v>10540</v>
      </c>
      <c r="D397" t="n">
        <v>954104</v>
      </c>
      <c r="E397" t="n">
        <v>912933</v>
      </c>
      <c r="F397" t="n">
        <v>-8.52</v>
      </c>
      <c r="G397" t="n">
        <v>4</v>
      </c>
      <c r="H397" t="n">
        <v>10</v>
      </c>
    </row>
    <row r="398">
      <c r="A398" t="inlineStr">
        <is>
          <t>2023-03-22</t>
        </is>
      </c>
      <c r="B398" t="n">
        <v>-56436</v>
      </c>
      <c r="C398" t="n">
        <v>15600</v>
      </c>
      <c r="D398" t="n">
        <v>959164</v>
      </c>
      <c r="E398" t="n">
        <v>917993</v>
      </c>
      <c r="F398" t="n">
        <v>-8.029999999999999</v>
      </c>
      <c r="G398" t="n">
        <v>4</v>
      </c>
      <c r="H398" t="n">
        <v>10</v>
      </c>
    </row>
    <row r="399">
      <c r="A399" t="inlineStr">
        <is>
          <t>2023-03-23</t>
        </is>
      </c>
      <c r="B399" t="n">
        <v>-38676</v>
      </c>
      <c r="C399" t="n">
        <v>8200</v>
      </c>
      <c r="D399" t="n">
        <v>969524</v>
      </c>
      <c r="E399" t="n">
        <v>927932</v>
      </c>
      <c r="F399" t="n">
        <v>-7.04</v>
      </c>
      <c r="G399" t="n">
        <v>4</v>
      </c>
      <c r="H399" t="n">
        <v>10</v>
      </c>
    </row>
    <row r="400">
      <c r="A400" t="inlineStr">
        <is>
          <t>2023-03-24</t>
        </is>
      </c>
      <c r="B400" t="n">
        <v>-48356</v>
      </c>
      <c r="C400" t="n">
        <v>3330</v>
      </c>
      <c r="D400" t="n">
        <v>954974</v>
      </c>
      <c r="E400" t="n">
        <v>912817</v>
      </c>
      <c r="F400" t="n">
        <v>-8.43</v>
      </c>
      <c r="G400" t="n">
        <v>4</v>
      </c>
      <c r="H400" t="n">
        <v>10</v>
      </c>
    </row>
    <row r="401">
      <c r="A401" t="inlineStr">
        <is>
          <t>2023-03-27</t>
        </is>
      </c>
      <c r="B401" t="n">
        <v>-46466</v>
      </c>
      <c r="C401" t="n">
        <v>-14300</v>
      </c>
      <c r="D401" t="n">
        <v>939234</v>
      </c>
      <c r="E401" t="n">
        <v>896850</v>
      </c>
      <c r="F401" t="n">
        <v>-9.94</v>
      </c>
      <c r="G401" t="n">
        <v>3</v>
      </c>
      <c r="H401" t="n">
        <v>7</v>
      </c>
    </row>
    <row r="402">
      <c r="A402" t="inlineStr">
        <is>
          <t>2023-03-28</t>
        </is>
      </c>
      <c r="B402" t="n">
        <v>-46466</v>
      </c>
      <c r="C402" t="n">
        <v>-25380</v>
      </c>
      <c r="D402" t="n">
        <v>928154</v>
      </c>
      <c r="E402" t="n">
        <v>885770</v>
      </c>
      <c r="F402" t="n">
        <v>-11.01</v>
      </c>
      <c r="G402" t="n">
        <v>4</v>
      </c>
      <c r="H402" t="n">
        <v>10</v>
      </c>
    </row>
    <row r="403">
      <c r="A403" t="inlineStr">
        <is>
          <t>2023-03-29</t>
        </is>
      </c>
      <c r="B403" t="n">
        <v>-53756</v>
      </c>
      <c r="C403" t="n">
        <v>-6480</v>
      </c>
      <c r="D403" t="n">
        <v>939764</v>
      </c>
      <c r="E403" t="n">
        <v>897182</v>
      </c>
      <c r="F403" t="n">
        <v>-9.890000000000001</v>
      </c>
      <c r="G403" t="n">
        <v>3</v>
      </c>
      <c r="H403" t="n">
        <v>9</v>
      </c>
    </row>
    <row r="404">
      <c r="A404" t="inlineStr">
        <is>
          <t>2023-03-30</t>
        </is>
      </c>
      <c r="B404" t="n">
        <v>-34436</v>
      </c>
      <c r="C404" t="n">
        <v>-3540</v>
      </c>
      <c r="D404" t="n">
        <v>962024</v>
      </c>
      <c r="E404" t="n">
        <v>919127</v>
      </c>
      <c r="F404" t="n">
        <v>-7.76</v>
      </c>
      <c r="G404" t="n">
        <v>2</v>
      </c>
      <c r="H404" t="n">
        <v>6</v>
      </c>
    </row>
    <row r="405">
      <c r="A405" t="inlineStr">
        <is>
          <t>2023-03-31</t>
        </is>
      </c>
      <c r="B405" t="n">
        <v>-24176</v>
      </c>
      <c r="C405" t="n">
        <v>-16560</v>
      </c>
      <c r="D405" t="n">
        <v>959264</v>
      </c>
      <c r="E405" t="n">
        <v>916140</v>
      </c>
      <c r="F405" t="n">
        <v>-8.02</v>
      </c>
      <c r="G405" t="n">
        <v>3</v>
      </c>
      <c r="H405" t="n">
        <v>9</v>
      </c>
    </row>
    <row r="406">
      <c r="A406" t="inlineStr">
        <is>
          <t>2023-04-03</t>
        </is>
      </c>
      <c r="B406" t="n">
        <v>-71691</v>
      </c>
      <c r="C406" t="n">
        <v>-5180</v>
      </c>
      <c r="D406" t="n">
        <v>923129</v>
      </c>
      <c r="E406" t="n">
        <v>879330</v>
      </c>
      <c r="F406" t="n">
        <v>-11.49</v>
      </c>
      <c r="G406" t="n">
        <v>2</v>
      </c>
      <c r="H406" t="n">
        <v>5.5</v>
      </c>
    </row>
    <row r="407">
      <c r="A407" t="inlineStr">
        <is>
          <t>2023-04-04</t>
        </is>
      </c>
      <c r="B407" t="n">
        <v>-71691</v>
      </c>
      <c r="C407" t="n">
        <v>-5500</v>
      </c>
      <c r="D407" t="n">
        <v>922809</v>
      </c>
      <c r="E407" t="n">
        <v>879010</v>
      </c>
      <c r="F407" t="n">
        <v>-11.52</v>
      </c>
      <c r="G407" t="n">
        <v>2</v>
      </c>
      <c r="H407" t="n">
        <v>5.5</v>
      </c>
    </row>
    <row r="408">
      <c r="A408" t="inlineStr">
        <is>
          <t>2023-04-06</t>
        </is>
      </c>
      <c r="B408" t="n">
        <v>-71691</v>
      </c>
      <c r="C408" t="n">
        <v>11420</v>
      </c>
      <c r="D408" t="n">
        <v>939729</v>
      </c>
      <c r="E408" t="n">
        <v>895930</v>
      </c>
      <c r="F408" t="n">
        <v>-9.9</v>
      </c>
      <c r="G408" t="n">
        <v>4</v>
      </c>
      <c r="H408" t="n">
        <v>10</v>
      </c>
    </row>
    <row r="409">
      <c r="A409" t="inlineStr">
        <is>
          <t>2023-04-07</t>
        </is>
      </c>
      <c r="B409" t="n">
        <v>-71691</v>
      </c>
      <c r="C409" t="n">
        <v>33400</v>
      </c>
      <c r="D409" t="n">
        <v>961709</v>
      </c>
      <c r="E409" t="n">
        <v>917910</v>
      </c>
      <c r="F409" t="n">
        <v>-7.79</v>
      </c>
      <c r="G409" t="n">
        <v>4</v>
      </c>
      <c r="H409" t="n">
        <v>10</v>
      </c>
    </row>
    <row r="410">
      <c r="A410" t="inlineStr">
        <is>
          <t>2023-04-10</t>
        </is>
      </c>
      <c r="B410" t="n">
        <v>-69691</v>
      </c>
      <c r="C410" t="n">
        <v>16425</v>
      </c>
      <c r="D410" t="n">
        <v>946734</v>
      </c>
      <c r="E410" t="n">
        <v>902851</v>
      </c>
      <c r="F410" t="n">
        <v>-9.220000000000001</v>
      </c>
      <c r="G410" t="n">
        <v>5</v>
      </c>
      <c r="H410" t="n">
        <v>10</v>
      </c>
    </row>
    <row r="411">
      <c r="A411" t="inlineStr">
        <is>
          <t>2023-04-11</t>
        </is>
      </c>
      <c r="B411" t="n">
        <v>-64291</v>
      </c>
      <c r="C411" t="n">
        <v>21535</v>
      </c>
      <c r="D411" t="n">
        <v>957244</v>
      </c>
      <c r="E411" t="n">
        <v>912827</v>
      </c>
      <c r="F411" t="n">
        <v>-8.220000000000001</v>
      </c>
      <c r="G411" t="n">
        <v>4</v>
      </c>
      <c r="H411" t="n">
        <v>7.5</v>
      </c>
    </row>
    <row r="412">
      <c r="A412" t="inlineStr">
        <is>
          <t>2023-04-12</t>
        </is>
      </c>
      <c r="B412" t="n">
        <v>-64291</v>
      </c>
      <c r="C412" t="n">
        <v>32740</v>
      </c>
      <c r="D412" t="n">
        <v>968449</v>
      </c>
      <c r="E412" t="n">
        <v>924032</v>
      </c>
      <c r="F412" t="n">
        <v>-7.14</v>
      </c>
      <c r="G412" t="n">
        <v>5</v>
      </c>
      <c r="H412" t="n">
        <v>10</v>
      </c>
    </row>
    <row r="413">
      <c r="A413" t="inlineStr">
        <is>
          <t>2023-04-13</t>
        </is>
      </c>
      <c r="B413" t="n">
        <v>-70401</v>
      </c>
      <c r="C413" t="n">
        <v>29425</v>
      </c>
      <c r="D413" t="n">
        <v>959024</v>
      </c>
      <c r="E413" t="n">
        <v>914310</v>
      </c>
      <c r="F413" t="n">
        <v>-8.050000000000001</v>
      </c>
      <c r="G413" t="n">
        <v>5</v>
      </c>
      <c r="H413" t="n">
        <v>10</v>
      </c>
    </row>
    <row r="414">
      <c r="A414" t="inlineStr">
        <is>
          <t>2023-04-14</t>
        </is>
      </c>
      <c r="B414" t="n">
        <v>-23736</v>
      </c>
      <c r="C414" t="n">
        <v>6280</v>
      </c>
      <c r="D414" t="n">
        <v>982544</v>
      </c>
      <c r="E414" t="n">
        <v>937010</v>
      </c>
      <c r="F414" t="n">
        <v>-5.79</v>
      </c>
      <c r="G414" t="n">
        <v>2</v>
      </c>
      <c r="H414" t="n">
        <v>3</v>
      </c>
    </row>
    <row r="415">
      <c r="A415" t="inlineStr">
        <is>
          <t>2023-04-17</t>
        </is>
      </c>
      <c r="B415" t="n">
        <v>-20236</v>
      </c>
      <c r="C415" t="n">
        <v>440</v>
      </c>
      <c r="D415" t="n">
        <v>980204</v>
      </c>
      <c r="E415" t="n">
        <v>934361</v>
      </c>
      <c r="F415" t="n">
        <v>-6.01</v>
      </c>
      <c r="G415" t="n">
        <v>1</v>
      </c>
      <c r="H415" t="n">
        <v>0.5</v>
      </c>
    </row>
    <row r="416">
      <c r="A416" t="inlineStr">
        <is>
          <t>2023-04-18</t>
        </is>
      </c>
      <c r="B416" t="n">
        <v>-20236</v>
      </c>
      <c r="C416" t="n">
        <v>-200</v>
      </c>
      <c r="D416" t="n">
        <v>979564</v>
      </c>
      <c r="E416" t="n">
        <v>933721</v>
      </c>
      <c r="F416" t="n">
        <v>-6.08</v>
      </c>
      <c r="G416" t="n">
        <v>2</v>
      </c>
      <c r="H416" t="n">
        <v>3.4</v>
      </c>
    </row>
    <row r="417">
      <c r="A417" t="inlineStr">
        <is>
          <t>2023-04-19</t>
        </is>
      </c>
      <c r="B417" t="n">
        <v>-19516</v>
      </c>
      <c r="C417" t="n">
        <v>1900</v>
      </c>
      <c r="D417" t="n">
        <v>982384</v>
      </c>
      <c r="E417" t="n">
        <v>936018</v>
      </c>
      <c r="F417" t="n">
        <v>-5.81</v>
      </c>
      <c r="G417" t="n">
        <v>1</v>
      </c>
      <c r="H417" t="n">
        <v>0.5</v>
      </c>
    </row>
    <row r="418">
      <c r="A418" t="inlineStr">
        <is>
          <t>2023-04-20</t>
        </is>
      </c>
      <c r="B418" t="n">
        <v>-19516</v>
      </c>
      <c r="C418" t="n">
        <v>2800</v>
      </c>
      <c r="D418" t="n">
        <v>983284</v>
      </c>
      <c r="E418" t="n">
        <v>936918</v>
      </c>
      <c r="F418" t="n">
        <v>-5.72</v>
      </c>
      <c r="G418" t="n">
        <v>2</v>
      </c>
      <c r="H418" t="n">
        <v>3.4</v>
      </c>
    </row>
    <row r="419">
      <c r="A419" t="inlineStr">
        <is>
          <t>2023-04-21</t>
        </is>
      </c>
      <c r="B419" t="n">
        <v>-31176</v>
      </c>
      <c r="C419" t="n">
        <v>3600</v>
      </c>
      <c r="D419" t="n">
        <v>972424</v>
      </c>
      <c r="E419" t="n">
        <v>925577</v>
      </c>
      <c r="F419" t="n">
        <v>-6.76</v>
      </c>
      <c r="G419" t="n">
        <v>1</v>
      </c>
      <c r="H419" t="n">
        <v>0.5</v>
      </c>
    </row>
    <row r="420">
      <c r="A420" t="inlineStr">
        <is>
          <t>2023-04-24</t>
        </is>
      </c>
      <c r="B420" t="n">
        <v>-31176</v>
      </c>
      <c r="C420" t="n">
        <v>3080</v>
      </c>
      <c r="D420" t="n">
        <v>971904</v>
      </c>
      <c r="E420" t="n">
        <v>925057</v>
      </c>
      <c r="F420" t="n">
        <v>-6.81</v>
      </c>
      <c r="G420" t="n">
        <v>1</v>
      </c>
      <c r="H420" t="n">
        <v>0.5</v>
      </c>
    </row>
    <row r="421">
      <c r="A421" t="inlineStr">
        <is>
          <t>2023-04-25</t>
        </is>
      </c>
      <c r="B421" t="n">
        <v>-31176</v>
      </c>
      <c r="C421" t="n">
        <v>3200</v>
      </c>
      <c r="D421" t="n">
        <v>972024</v>
      </c>
      <c r="E421" t="n">
        <v>925177</v>
      </c>
      <c r="F421" t="n">
        <v>-6.8</v>
      </c>
      <c r="G421" t="n">
        <v>4</v>
      </c>
      <c r="H421" t="n">
        <v>9</v>
      </c>
    </row>
    <row r="422">
      <c r="A422" t="inlineStr">
        <is>
          <t>2023-04-26</t>
        </is>
      </c>
      <c r="B422" t="n">
        <v>-31176</v>
      </c>
      <c r="C422" t="n">
        <v>-5920</v>
      </c>
      <c r="D422" t="n">
        <v>962904</v>
      </c>
      <c r="E422" t="n">
        <v>916057</v>
      </c>
      <c r="F422" t="n">
        <v>-7.67</v>
      </c>
      <c r="G422" t="n">
        <v>4</v>
      </c>
      <c r="H422" t="n">
        <v>9</v>
      </c>
    </row>
    <row r="423">
      <c r="A423" t="inlineStr">
        <is>
          <t>2023-04-27</t>
        </is>
      </c>
      <c r="B423" t="n">
        <v>-26976</v>
      </c>
      <c r="C423" t="n">
        <v>-11060</v>
      </c>
      <c r="D423" t="n">
        <v>961964</v>
      </c>
      <c r="E423" t="n">
        <v>914468</v>
      </c>
      <c r="F423" t="n">
        <v>-7.76</v>
      </c>
      <c r="G423" t="n">
        <v>3</v>
      </c>
      <c r="H423" t="n">
        <v>6.3</v>
      </c>
    </row>
    <row r="424">
      <c r="A424" t="inlineStr">
        <is>
          <t>2023-04-28</t>
        </is>
      </c>
      <c r="B424" t="n">
        <v>-34336</v>
      </c>
      <c r="C424" t="n">
        <v>960</v>
      </c>
      <c r="D424" t="n">
        <v>966624</v>
      </c>
      <c r="E424" t="n">
        <v>918779</v>
      </c>
      <c r="F424" t="n">
        <v>-7.32</v>
      </c>
      <c r="G424" t="n">
        <v>4</v>
      </c>
      <c r="H424" t="n">
        <v>9.5</v>
      </c>
    </row>
    <row r="425">
      <c r="A425" t="inlineStr">
        <is>
          <t>2023-05-04</t>
        </is>
      </c>
      <c r="B425" t="n">
        <v>-34336</v>
      </c>
      <c r="C425" t="n">
        <v>5980</v>
      </c>
      <c r="D425" t="n">
        <v>971644</v>
      </c>
      <c r="E425" t="n">
        <v>923799</v>
      </c>
      <c r="F425" t="n">
        <v>-6.84</v>
      </c>
      <c r="G425" t="n">
        <v>4</v>
      </c>
      <c r="H425" t="n">
        <v>9.5</v>
      </c>
    </row>
    <row r="426">
      <c r="A426" t="inlineStr">
        <is>
          <t>2023-05-05</t>
        </is>
      </c>
      <c r="B426" t="n">
        <v>-28536</v>
      </c>
      <c r="C426" t="n">
        <v>-10740</v>
      </c>
      <c r="D426" t="n">
        <v>960724</v>
      </c>
      <c r="E426" t="n">
        <v>912451</v>
      </c>
      <c r="F426" t="n">
        <v>-7.88</v>
      </c>
      <c r="G426" t="n">
        <v>3</v>
      </c>
      <c r="H426" t="n">
        <v>6.5</v>
      </c>
    </row>
    <row r="427">
      <c r="A427" t="inlineStr">
        <is>
          <t>2023-05-08</t>
        </is>
      </c>
      <c r="B427" t="n">
        <v>-62890</v>
      </c>
      <c r="C427" t="n">
        <v>0</v>
      </c>
      <c r="D427" t="n">
        <v>937110</v>
      </c>
      <c r="E427" t="n">
        <v>888177</v>
      </c>
      <c r="F427" t="n">
        <v>-10.15</v>
      </c>
      <c r="G427" t="n">
        <v>0</v>
      </c>
      <c r="H427" t="n">
        <v>0</v>
      </c>
    </row>
    <row r="428">
      <c r="A428" t="inlineStr">
        <is>
          <t>2023-05-09</t>
        </is>
      </c>
      <c r="B428" t="n">
        <v>-62890</v>
      </c>
      <c r="C428" t="n">
        <v>0</v>
      </c>
      <c r="D428" t="n">
        <v>937110</v>
      </c>
      <c r="E428" t="n">
        <v>888177</v>
      </c>
      <c r="F428" t="n">
        <v>-10.15</v>
      </c>
      <c r="G428" t="n">
        <v>1</v>
      </c>
      <c r="H428" t="n">
        <v>2.8</v>
      </c>
    </row>
    <row r="429">
      <c r="A429" t="inlineStr">
        <is>
          <t>2023-05-10</t>
        </is>
      </c>
      <c r="B429" t="n">
        <v>-62890</v>
      </c>
      <c r="C429" t="n">
        <v>2040</v>
      </c>
      <c r="D429" t="n">
        <v>939150</v>
      </c>
      <c r="E429" t="n">
        <v>890217</v>
      </c>
      <c r="F429" t="n">
        <v>-9.949999999999999</v>
      </c>
      <c r="G429" t="n">
        <v>3</v>
      </c>
      <c r="H429" t="n">
        <v>8.300000000000001</v>
      </c>
    </row>
    <row r="430">
      <c r="A430" t="inlineStr">
        <is>
          <t>2023-05-11</t>
        </is>
      </c>
      <c r="B430" t="n">
        <v>-62890</v>
      </c>
      <c r="C430" t="n">
        <v>19050</v>
      </c>
      <c r="D430" t="n">
        <v>956160</v>
      </c>
      <c r="E430" t="n">
        <v>907227</v>
      </c>
      <c r="F430" t="n">
        <v>-8.32</v>
      </c>
      <c r="G430" t="n">
        <v>4</v>
      </c>
      <c r="H430" t="n">
        <v>10</v>
      </c>
    </row>
    <row r="431">
      <c r="A431" t="inlineStr">
        <is>
          <t>2023-05-12</t>
        </is>
      </c>
      <c r="B431" t="n">
        <v>-47840</v>
      </c>
      <c r="C431" t="n">
        <v>19680</v>
      </c>
      <c r="D431" t="n">
        <v>971840</v>
      </c>
      <c r="E431" t="n">
        <v>922511</v>
      </c>
      <c r="F431" t="n">
        <v>-6.82</v>
      </c>
      <c r="G431" t="n">
        <v>4</v>
      </c>
      <c r="H431" t="n">
        <v>10</v>
      </c>
    </row>
    <row r="432">
      <c r="A432" t="inlineStr">
        <is>
          <t>2023-05-15</t>
        </is>
      </c>
      <c r="B432" t="n">
        <v>-53590</v>
      </c>
      <c r="C432" t="n">
        <v>23850</v>
      </c>
      <c r="D432" t="n">
        <v>970260</v>
      </c>
      <c r="E432" t="n">
        <v>920393</v>
      </c>
      <c r="F432" t="n">
        <v>-6.97</v>
      </c>
      <c r="G432" t="n">
        <v>3</v>
      </c>
      <c r="H432" t="n">
        <v>8.4</v>
      </c>
    </row>
    <row r="433">
      <c r="A433" t="inlineStr">
        <is>
          <t>2023-05-16</t>
        </is>
      </c>
      <c r="B433" t="n">
        <v>-39040</v>
      </c>
      <c r="C433" t="n">
        <v>7880</v>
      </c>
      <c r="D433" t="n">
        <v>968840</v>
      </c>
      <c r="E433" t="n">
        <v>918632</v>
      </c>
      <c r="F433" t="n">
        <v>-7.1</v>
      </c>
      <c r="G433" t="n">
        <v>4</v>
      </c>
      <c r="H433" t="n">
        <v>10</v>
      </c>
    </row>
    <row r="434">
      <c r="A434" t="inlineStr">
        <is>
          <t>2023-05-17</t>
        </is>
      </c>
      <c r="B434" t="n">
        <v>-39460</v>
      </c>
      <c r="C434" t="n">
        <v>-1180</v>
      </c>
      <c r="D434" t="n">
        <v>959360</v>
      </c>
      <c r="E434" t="n">
        <v>908986</v>
      </c>
      <c r="F434" t="n">
        <v>-8.01</v>
      </c>
      <c r="G434" t="n">
        <v>4</v>
      </c>
      <c r="H434" t="n">
        <v>10</v>
      </c>
    </row>
    <row r="435">
      <c r="A435" t="inlineStr">
        <is>
          <t>2023-05-18</t>
        </is>
      </c>
      <c r="B435" t="n">
        <v>-39460</v>
      </c>
      <c r="C435" t="n">
        <v>-3015</v>
      </c>
      <c r="D435" t="n">
        <v>957525</v>
      </c>
      <c r="E435" t="n">
        <v>907151</v>
      </c>
      <c r="F435" t="n">
        <v>-8.19</v>
      </c>
      <c r="G435" t="n">
        <v>4</v>
      </c>
      <c r="H435" t="n">
        <v>10</v>
      </c>
    </row>
    <row r="436">
      <c r="A436" t="inlineStr">
        <is>
          <t>2023-05-19</t>
        </is>
      </c>
      <c r="B436" t="n">
        <v>-39460</v>
      </c>
      <c r="C436" t="n">
        <v>10300</v>
      </c>
      <c r="D436" t="n">
        <v>970840</v>
      </c>
      <c r="E436" t="n">
        <v>920466</v>
      </c>
      <c r="F436" t="n">
        <v>-6.91</v>
      </c>
      <c r="G436" t="n">
        <v>4</v>
      </c>
      <c r="H436" t="n">
        <v>10</v>
      </c>
    </row>
    <row r="437">
      <c r="A437" t="inlineStr">
        <is>
          <t>2023-05-22</t>
        </is>
      </c>
      <c r="B437" t="n">
        <v>-39460</v>
      </c>
      <c r="C437" t="n">
        <v>35375</v>
      </c>
      <c r="D437" t="n">
        <v>995915</v>
      </c>
      <c r="E437" t="n">
        <v>945541</v>
      </c>
      <c r="F437" t="n">
        <v>-4.51</v>
      </c>
      <c r="G437" t="n">
        <v>4</v>
      </c>
      <c r="H437" t="n">
        <v>10</v>
      </c>
    </row>
    <row r="438">
      <c r="A438" t="inlineStr">
        <is>
          <t>2023-05-23</t>
        </is>
      </c>
      <c r="B438" t="n">
        <v>-21460</v>
      </c>
      <c r="C438" t="n">
        <v>23860</v>
      </c>
      <c r="D438" t="n">
        <v>1002400</v>
      </c>
      <c r="E438" t="n">
        <v>951725</v>
      </c>
      <c r="F438" t="n">
        <v>-3.89</v>
      </c>
      <c r="G438" t="n">
        <v>4</v>
      </c>
      <c r="H438" t="n">
        <v>10</v>
      </c>
    </row>
    <row r="439">
      <c r="A439" t="inlineStr">
        <is>
          <t>2023-05-24</t>
        </is>
      </c>
      <c r="B439" t="n">
        <v>940</v>
      </c>
      <c r="C439" t="n">
        <v>6330</v>
      </c>
      <c r="D439" t="n">
        <v>1007270</v>
      </c>
      <c r="E439" t="n">
        <v>956083</v>
      </c>
      <c r="F439" t="n">
        <v>-3.42</v>
      </c>
      <c r="G439" t="n">
        <v>4</v>
      </c>
      <c r="H439" t="n">
        <v>10</v>
      </c>
    </row>
    <row r="440">
      <c r="A440" t="inlineStr">
        <is>
          <t>2023-05-25</t>
        </is>
      </c>
      <c r="B440" t="n">
        <v>-9315</v>
      </c>
      <c r="C440" t="n">
        <v>-1060</v>
      </c>
      <c r="D440" t="n">
        <v>989625</v>
      </c>
      <c r="E440" t="n">
        <v>937753</v>
      </c>
      <c r="F440" t="n">
        <v>-5.11</v>
      </c>
      <c r="G440" t="n">
        <v>3</v>
      </c>
      <c r="H440" t="n">
        <v>7.2</v>
      </c>
    </row>
    <row r="441">
      <c r="A441" t="inlineStr">
        <is>
          <t>2023-05-26</t>
        </is>
      </c>
      <c r="B441" t="n">
        <v>-24672</v>
      </c>
      <c r="C441" t="n">
        <v>-840</v>
      </c>
      <c r="D441" t="n">
        <v>974488</v>
      </c>
      <c r="E441" t="n">
        <v>921748</v>
      </c>
      <c r="F441" t="n">
        <v>-6.56</v>
      </c>
      <c r="G441" t="n">
        <v>2</v>
      </c>
      <c r="H441" t="n">
        <v>4.4</v>
      </c>
    </row>
    <row r="442">
      <c r="A442" t="inlineStr">
        <is>
          <t>2023-05-29</t>
        </is>
      </c>
      <c r="B442" t="n">
        <v>-23052</v>
      </c>
      <c r="C442" t="n">
        <v>1160</v>
      </c>
      <c r="D442" t="n">
        <v>978108</v>
      </c>
      <c r="E442" t="n">
        <v>924978</v>
      </c>
      <c r="F442" t="n">
        <v>-6.22</v>
      </c>
      <c r="G442" t="n">
        <v>2</v>
      </c>
      <c r="H442" t="n">
        <v>4.3</v>
      </c>
    </row>
    <row r="443">
      <c r="A443" t="inlineStr">
        <is>
          <t>2023-05-30</t>
        </is>
      </c>
      <c r="B443" t="n">
        <v>-23052</v>
      </c>
      <c r="C443" t="n">
        <v>9600</v>
      </c>
      <c r="D443" t="n">
        <v>986548</v>
      </c>
      <c r="E443" t="n">
        <v>933418</v>
      </c>
      <c r="F443" t="n">
        <v>-5.41</v>
      </c>
      <c r="G443" t="n">
        <v>4</v>
      </c>
      <c r="H443" t="n">
        <v>10</v>
      </c>
    </row>
    <row r="444">
      <c r="A444" t="inlineStr">
        <is>
          <t>2023-05-31</t>
        </is>
      </c>
      <c r="B444" t="n">
        <v>-25692</v>
      </c>
      <c r="C444" t="n">
        <v>8590</v>
      </c>
      <c r="D444" t="n">
        <v>982898</v>
      </c>
      <c r="E444" t="n">
        <v>929509</v>
      </c>
      <c r="F444" t="n">
        <v>-5.76</v>
      </c>
      <c r="G444" t="n">
        <v>4</v>
      </c>
      <c r="H444" t="n">
        <v>10</v>
      </c>
    </row>
    <row r="445">
      <c r="A445" t="inlineStr">
        <is>
          <t>2023-06-01</t>
        </is>
      </c>
      <c r="B445" t="n">
        <v>-21092</v>
      </c>
      <c r="C445" t="n">
        <v>-15270</v>
      </c>
      <c r="D445" t="n">
        <v>963638</v>
      </c>
      <c r="E445" t="n">
        <v>910155</v>
      </c>
      <c r="F445" t="n">
        <v>-7.6</v>
      </c>
      <c r="G445" t="n">
        <v>3</v>
      </c>
      <c r="H445" t="n">
        <v>8.5</v>
      </c>
    </row>
    <row r="446">
      <c r="A446" t="inlineStr">
        <is>
          <t>2023-06-02</t>
        </is>
      </c>
      <c r="B446" t="n">
        <v>-31592</v>
      </c>
      <c r="C446" t="n">
        <v>-31630</v>
      </c>
      <c r="D446" t="n">
        <v>936778</v>
      </c>
      <c r="E446" t="n">
        <v>883055</v>
      </c>
      <c r="F446" t="n">
        <v>-10.18</v>
      </c>
      <c r="G446" t="n">
        <v>2</v>
      </c>
      <c r="H446" t="n">
        <v>5.7</v>
      </c>
    </row>
    <row r="447">
      <c r="A447" t="inlineStr">
        <is>
          <t>2023-06-05</t>
        </is>
      </c>
      <c r="B447" t="n">
        <v>-49238</v>
      </c>
      <c r="C447" t="n">
        <v>-7830</v>
      </c>
      <c r="D447" t="n">
        <v>942932</v>
      </c>
      <c r="E447" t="n">
        <v>888866</v>
      </c>
      <c r="F447" t="n">
        <v>-9.59</v>
      </c>
      <c r="G447" t="n">
        <v>1</v>
      </c>
      <c r="H447" t="n">
        <v>2.8</v>
      </c>
    </row>
    <row r="448">
      <c r="A448" t="inlineStr">
        <is>
          <t>2023-06-06</t>
        </is>
      </c>
      <c r="B448" t="n">
        <v>-49238</v>
      </c>
      <c r="C448" t="n">
        <v>-10260</v>
      </c>
      <c r="D448" t="n">
        <v>940502</v>
      </c>
      <c r="E448" t="n">
        <v>886436</v>
      </c>
      <c r="F448" t="n">
        <v>-9.82</v>
      </c>
      <c r="G448" t="n">
        <v>2</v>
      </c>
      <c r="H448" t="n">
        <v>5.5</v>
      </c>
    </row>
    <row r="449">
      <c r="A449" t="inlineStr">
        <is>
          <t>2023-06-07</t>
        </is>
      </c>
      <c r="B449" t="n">
        <v>-49238</v>
      </c>
      <c r="C449" t="n">
        <v>-8250</v>
      </c>
      <c r="D449" t="n">
        <v>942512</v>
      </c>
      <c r="E449" t="n">
        <v>888446</v>
      </c>
      <c r="F449" t="n">
        <v>-9.630000000000001</v>
      </c>
      <c r="G449" t="n">
        <v>3</v>
      </c>
      <c r="H449" t="n">
        <v>8.199999999999999</v>
      </c>
    </row>
    <row r="450">
      <c r="A450" t="inlineStr">
        <is>
          <t>2023-06-08</t>
        </is>
      </c>
      <c r="B450" t="n">
        <v>-63908</v>
      </c>
      <c r="C450" t="n">
        <v>4410</v>
      </c>
      <c r="D450" t="n">
        <v>940502</v>
      </c>
      <c r="E450" t="n">
        <v>886208</v>
      </c>
      <c r="F450" t="n">
        <v>-9.82</v>
      </c>
      <c r="G450" t="n">
        <v>3</v>
      </c>
      <c r="H450" t="n">
        <v>7.2</v>
      </c>
    </row>
    <row r="451">
      <c r="A451" t="inlineStr">
        <is>
          <t>2023-06-09</t>
        </is>
      </c>
      <c r="B451" t="n">
        <v>-63908</v>
      </c>
      <c r="C451" t="n">
        <v>-8175</v>
      </c>
      <c r="D451" t="n">
        <v>927917</v>
      </c>
      <c r="E451" t="n">
        <v>873623</v>
      </c>
      <c r="F451" t="n">
        <v>-11.03</v>
      </c>
      <c r="G451" t="n">
        <v>4</v>
      </c>
      <c r="H451" t="n">
        <v>9.800000000000001</v>
      </c>
    </row>
    <row r="452">
      <c r="A452" t="inlineStr">
        <is>
          <t>2023-06-12</t>
        </is>
      </c>
      <c r="B452" t="n">
        <v>-63908</v>
      </c>
      <c r="C452" t="n">
        <v>4165</v>
      </c>
      <c r="D452" t="n">
        <v>940257</v>
      </c>
      <c r="E452" t="n">
        <v>885963</v>
      </c>
      <c r="F452" t="n">
        <v>-9.84</v>
      </c>
      <c r="G452" t="n">
        <v>4</v>
      </c>
      <c r="H452" t="n">
        <v>9.800000000000001</v>
      </c>
    </row>
    <row r="453">
      <c r="A453" t="inlineStr">
        <is>
          <t>2023-06-13</t>
        </is>
      </c>
      <c r="B453" t="n">
        <v>-63908</v>
      </c>
      <c r="C453" t="n">
        <v>-5310</v>
      </c>
      <c r="D453" t="n">
        <v>930782</v>
      </c>
      <c r="E453" t="n">
        <v>876488</v>
      </c>
      <c r="F453" t="n">
        <v>-10.75</v>
      </c>
      <c r="G453" t="n">
        <v>4</v>
      </c>
      <c r="H453" t="n">
        <v>9.800000000000001</v>
      </c>
    </row>
    <row r="454">
      <c r="A454" t="inlineStr">
        <is>
          <t>2023-06-14</t>
        </is>
      </c>
      <c r="B454" t="n">
        <v>-63908</v>
      </c>
      <c r="C454" t="n">
        <v>-12215</v>
      </c>
      <c r="D454" t="n">
        <v>923877</v>
      </c>
      <c r="E454" t="n">
        <v>869583</v>
      </c>
      <c r="F454" t="n">
        <v>-11.42</v>
      </c>
      <c r="G454" t="n">
        <v>4</v>
      </c>
      <c r="H454" t="n">
        <v>9.800000000000001</v>
      </c>
    </row>
    <row r="455">
      <c r="A455" t="inlineStr">
        <is>
          <t>2023-06-15</t>
        </is>
      </c>
      <c r="B455" t="n">
        <v>-63908</v>
      </c>
      <c r="C455" t="n">
        <v>-20920</v>
      </c>
      <c r="D455" t="n">
        <v>915172</v>
      </c>
      <c r="E455" t="n">
        <v>860878</v>
      </c>
      <c r="F455" t="n">
        <v>-12.25</v>
      </c>
      <c r="G455" t="n">
        <v>4</v>
      </c>
      <c r="H455" t="n">
        <v>9.800000000000001</v>
      </c>
    </row>
    <row r="456">
      <c r="A456" t="inlineStr">
        <is>
          <t>2023-06-16</t>
        </is>
      </c>
      <c r="B456" t="n">
        <v>-80129</v>
      </c>
      <c r="C456" t="n">
        <v>-25290</v>
      </c>
      <c r="D456" t="n">
        <v>894581</v>
      </c>
      <c r="E456" t="n">
        <v>840204</v>
      </c>
      <c r="F456" t="n">
        <v>-14.22</v>
      </c>
      <c r="G456" t="n">
        <v>4</v>
      </c>
      <c r="H456" t="n">
        <v>10</v>
      </c>
    </row>
    <row r="457">
      <c r="A457" t="inlineStr">
        <is>
          <t>2023-06-19</t>
        </is>
      </c>
      <c r="B457" t="n">
        <v>-80129</v>
      </c>
      <c r="C457" t="n">
        <v>-21670</v>
      </c>
      <c r="D457" t="n">
        <v>898201</v>
      </c>
      <c r="E457" t="n">
        <v>843824</v>
      </c>
      <c r="F457" t="n">
        <v>-13.88</v>
      </c>
      <c r="G457" t="n">
        <v>4</v>
      </c>
      <c r="H457" t="n">
        <v>10</v>
      </c>
    </row>
    <row r="458">
      <c r="A458" t="inlineStr">
        <is>
          <t>2023-06-20</t>
        </is>
      </c>
      <c r="B458" t="n">
        <v>-80129</v>
      </c>
      <c r="C458" t="n">
        <v>-14560</v>
      </c>
      <c r="D458" t="n">
        <v>905311</v>
      </c>
      <c r="E458" t="n">
        <v>850934</v>
      </c>
      <c r="F458" t="n">
        <v>-13.2</v>
      </c>
      <c r="G458" t="n">
        <v>4</v>
      </c>
      <c r="H458" t="n">
        <v>10</v>
      </c>
    </row>
    <row r="459">
      <c r="A459" t="inlineStr">
        <is>
          <t>2023-06-21</t>
        </is>
      </c>
      <c r="B459" t="n">
        <v>-80129</v>
      </c>
      <c r="C459" t="n">
        <v>-19250</v>
      </c>
      <c r="D459" t="n">
        <v>900621</v>
      </c>
      <c r="E459" t="n">
        <v>846244</v>
      </c>
      <c r="F459" t="n">
        <v>-13.65</v>
      </c>
      <c r="G459" t="n">
        <v>4</v>
      </c>
      <c r="H459" t="n">
        <v>10</v>
      </c>
    </row>
    <row r="460">
      <c r="A460" t="inlineStr">
        <is>
          <t>2023-06-26</t>
        </is>
      </c>
      <c r="B460" t="n">
        <v>-80129</v>
      </c>
      <c r="C460" t="n">
        <v>6495</v>
      </c>
      <c r="D460" t="n">
        <v>926366</v>
      </c>
      <c r="E460" t="n">
        <v>871989</v>
      </c>
      <c r="F460" t="n">
        <v>-11.18</v>
      </c>
      <c r="G460" t="n">
        <v>4</v>
      </c>
      <c r="H460" t="n">
        <v>10</v>
      </c>
    </row>
    <row r="461">
      <c r="A461" t="inlineStr">
        <is>
          <t>2023-06-27</t>
        </is>
      </c>
      <c r="B461" t="n">
        <v>-80129</v>
      </c>
      <c r="C461" t="n">
        <v>-5945</v>
      </c>
      <c r="D461" t="n">
        <v>913926</v>
      </c>
      <c r="E461" t="n">
        <v>859549</v>
      </c>
      <c r="F461" t="n">
        <v>-12.37</v>
      </c>
      <c r="G461" t="n">
        <v>4</v>
      </c>
      <c r="H461" t="n">
        <v>10</v>
      </c>
    </row>
    <row r="462">
      <c r="A462" t="inlineStr">
        <is>
          <t>2023-06-28</t>
        </is>
      </c>
      <c r="B462" t="n">
        <v>-80129</v>
      </c>
      <c r="C462" t="n">
        <v>-5775</v>
      </c>
      <c r="D462" t="n">
        <v>914096</v>
      </c>
      <c r="E462" t="n">
        <v>859719</v>
      </c>
      <c r="F462" t="n">
        <v>-12.35</v>
      </c>
      <c r="G462" t="n">
        <v>4</v>
      </c>
      <c r="H462" t="n">
        <v>10</v>
      </c>
    </row>
    <row r="463">
      <c r="A463" t="inlineStr">
        <is>
          <t>2023-06-29</t>
        </is>
      </c>
      <c r="B463" t="n">
        <v>-80129</v>
      </c>
      <c r="C463" t="n">
        <v>-19195</v>
      </c>
      <c r="D463" t="n">
        <v>900676</v>
      </c>
      <c r="E463" t="n">
        <v>846299</v>
      </c>
      <c r="F463" t="n">
        <v>-13.64</v>
      </c>
      <c r="G463" t="n">
        <v>4</v>
      </c>
      <c r="H463" t="n">
        <v>10</v>
      </c>
    </row>
    <row r="464">
      <c r="A464" t="inlineStr">
        <is>
          <t>2023-06-30</t>
        </is>
      </c>
      <c r="B464" t="n">
        <v>-98626</v>
      </c>
      <c r="C464" t="n">
        <v>3550</v>
      </c>
      <c r="D464" t="n">
        <v>904924</v>
      </c>
      <c r="E464" t="n">
        <v>850211</v>
      </c>
      <c r="F464" t="n">
        <v>-13.23</v>
      </c>
      <c r="G464" t="n">
        <v>4</v>
      </c>
      <c r="H464" t="n">
        <v>9.699999999999999</v>
      </c>
    </row>
    <row r="465">
      <c r="A465" t="inlineStr">
        <is>
          <t>2023-07-03</t>
        </is>
      </c>
      <c r="B465" t="n">
        <v>-76486</v>
      </c>
      <c r="C465" t="n">
        <v>2470</v>
      </c>
      <c r="D465" t="n">
        <v>925984</v>
      </c>
      <c r="E465" t="n">
        <v>871061</v>
      </c>
      <c r="F465" t="n">
        <v>-11.21</v>
      </c>
      <c r="G465" t="n">
        <v>4</v>
      </c>
      <c r="H465" t="n">
        <v>10</v>
      </c>
    </row>
    <row r="466">
      <c r="A466" t="inlineStr">
        <is>
          <t>2023-07-04</t>
        </is>
      </c>
      <c r="B466" t="n">
        <v>-80886</v>
      </c>
      <c r="C466" t="n">
        <v>-5080</v>
      </c>
      <c r="D466" t="n">
        <v>914034</v>
      </c>
      <c r="E466" t="n">
        <v>858918</v>
      </c>
      <c r="F466" t="n">
        <v>-12.36</v>
      </c>
      <c r="G466" t="n">
        <v>3</v>
      </c>
      <c r="H466" t="n">
        <v>7.5</v>
      </c>
    </row>
    <row r="467">
      <c r="A467" t="inlineStr">
        <is>
          <t>2023-07-05</t>
        </is>
      </c>
      <c r="B467" t="n">
        <v>-80886</v>
      </c>
      <c r="C467" t="n">
        <v>-4920</v>
      </c>
      <c r="D467" t="n">
        <v>914194</v>
      </c>
      <c r="E467" t="n">
        <v>859078</v>
      </c>
      <c r="F467" t="n">
        <v>-12.34</v>
      </c>
      <c r="G467" t="n">
        <v>4</v>
      </c>
      <c r="H467" t="n">
        <v>10</v>
      </c>
    </row>
    <row r="468">
      <c r="A468" t="inlineStr">
        <is>
          <t>2023-07-06</t>
        </is>
      </c>
      <c r="B468" t="n">
        <v>-79626</v>
      </c>
      <c r="C468" t="n">
        <v>2410</v>
      </c>
      <c r="D468" t="n">
        <v>922784</v>
      </c>
      <c r="E468" t="n">
        <v>867375</v>
      </c>
      <c r="F468" t="n">
        <v>-11.52</v>
      </c>
      <c r="G468" t="n">
        <v>4</v>
      </c>
      <c r="H468" t="n">
        <v>10</v>
      </c>
    </row>
    <row r="469">
      <c r="A469" t="inlineStr">
        <is>
          <t>2023-07-07</t>
        </is>
      </c>
      <c r="B469" t="n">
        <v>-73328</v>
      </c>
      <c r="C469" t="n">
        <v>-1470</v>
      </c>
      <c r="D469" t="n">
        <v>925202</v>
      </c>
      <c r="E469" t="n">
        <v>869119</v>
      </c>
      <c r="F469" t="n">
        <v>-11.29</v>
      </c>
      <c r="G469" t="n">
        <v>4</v>
      </c>
      <c r="H469" t="n">
        <v>10</v>
      </c>
    </row>
    <row r="470">
      <c r="A470" t="inlineStr">
        <is>
          <t>2023-07-10</t>
        </is>
      </c>
      <c r="B470" t="n">
        <v>-71228</v>
      </c>
      <c r="C470" t="n">
        <v>540</v>
      </c>
      <c r="D470" t="n">
        <v>929312</v>
      </c>
      <c r="E470" t="n">
        <v>872897</v>
      </c>
      <c r="F470" t="n">
        <v>-10.89</v>
      </c>
      <c r="G470" t="n">
        <v>4</v>
      </c>
      <c r="H470" t="n">
        <v>10</v>
      </c>
    </row>
    <row r="471">
      <c r="A471" t="inlineStr">
        <is>
          <t>2023-07-11</t>
        </is>
      </c>
      <c r="B471" t="n">
        <v>-57128</v>
      </c>
      <c r="C471" t="n">
        <v>-17370</v>
      </c>
      <c r="D471" t="n">
        <v>925502</v>
      </c>
      <c r="E471" t="n">
        <v>868431</v>
      </c>
      <c r="F471" t="n">
        <v>-11.26</v>
      </c>
      <c r="G471" t="n">
        <v>4</v>
      </c>
      <c r="H471" t="n">
        <v>10</v>
      </c>
    </row>
    <row r="472">
      <c r="A472" t="inlineStr">
        <is>
          <t>2023-07-12</t>
        </is>
      </c>
      <c r="B472" t="n">
        <v>-58128</v>
      </c>
      <c r="C472" t="n">
        <v>-17100</v>
      </c>
      <c r="D472" t="n">
        <v>924772</v>
      </c>
      <c r="E472" t="n">
        <v>867469</v>
      </c>
      <c r="F472" t="n">
        <v>-11.33</v>
      </c>
      <c r="G472" t="n">
        <v>4</v>
      </c>
      <c r="H472" t="n">
        <v>10</v>
      </c>
    </row>
    <row r="473">
      <c r="A473" t="inlineStr">
        <is>
          <t>2023-07-13</t>
        </is>
      </c>
      <c r="B473" t="n">
        <v>-80435</v>
      </c>
      <c r="C473" t="n">
        <v>-2080</v>
      </c>
      <c r="D473" t="n">
        <v>917485</v>
      </c>
      <c r="E473" t="n">
        <v>859061</v>
      </c>
      <c r="F473" t="n">
        <v>-12.03</v>
      </c>
      <c r="G473" t="n">
        <v>3</v>
      </c>
      <c r="H473" t="n">
        <v>7.3</v>
      </c>
    </row>
    <row r="474">
      <c r="A474" t="inlineStr">
        <is>
          <t>2023-07-14</t>
        </is>
      </c>
      <c r="B474" t="n">
        <v>-77195</v>
      </c>
      <c r="C474" t="n">
        <v>1140</v>
      </c>
      <c r="D474" t="n">
        <v>923945</v>
      </c>
      <c r="E474" t="n">
        <v>865236</v>
      </c>
      <c r="F474" t="n">
        <v>-11.41</v>
      </c>
      <c r="G474" t="n">
        <v>4</v>
      </c>
      <c r="H474" t="n">
        <v>9.9</v>
      </c>
    </row>
    <row r="475">
      <c r="A475" t="inlineStr">
        <is>
          <t>2023-07-17</t>
        </is>
      </c>
      <c r="B475" t="n">
        <v>-102330</v>
      </c>
      <c r="C475" t="n">
        <v>-5200</v>
      </c>
      <c r="D475" t="n">
        <v>892470</v>
      </c>
      <c r="E475" t="n">
        <v>833139</v>
      </c>
      <c r="F475" t="n">
        <v>-14.43</v>
      </c>
      <c r="G475" t="n">
        <v>3</v>
      </c>
      <c r="H475" t="n">
        <v>7.6</v>
      </c>
    </row>
    <row r="476">
      <c r="A476" t="inlineStr">
        <is>
          <t>2023-07-18</t>
        </is>
      </c>
      <c r="B476" t="n">
        <v>-104955</v>
      </c>
      <c r="C476" t="n">
        <v>1500</v>
      </c>
      <c r="D476" t="n">
        <v>896545</v>
      </c>
      <c r="E476" t="n">
        <v>836914</v>
      </c>
      <c r="F476" t="n">
        <v>-14.04</v>
      </c>
      <c r="G476" t="n">
        <v>3</v>
      </c>
      <c r="H476" t="n">
        <v>7.5</v>
      </c>
    </row>
    <row r="477">
      <c r="A477" t="inlineStr">
        <is>
          <t>2023-07-19</t>
        </is>
      </c>
      <c r="B477" t="n">
        <v>-97395</v>
      </c>
      <c r="C477" t="n">
        <v>16590</v>
      </c>
      <c r="D477" t="n">
        <v>919195</v>
      </c>
      <c r="E477" t="n">
        <v>859171</v>
      </c>
      <c r="F477" t="n">
        <v>-11.86</v>
      </c>
      <c r="G477" t="n">
        <v>4</v>
      </c>
      <c r="H477" t="n">
        <v>9.800000000000001</v>
      </c>
    </row>
    <row r="478">
      <c r="A478" t="inlineStr">
        <is>
          <t>2023-07-20</t>
        </is>
      </c>
      <c r="B478" t="n">
        <v>-97395</v>
      </c>
      <c r="C478" t="n">
        <v>14180</v>
      </c>
      <c r="D478" t="n">
        <v>916785</v>
      </c>
      <c r="E478" t="n">
        <v>856761</v>
      </c>
      <c r="F478" t="n">
        <v>-12.1</v>
      </c>
      <c r="G478" t="n">
        <v>4</v>
      </c>
      <c r="H478" t="n">
        <v>9.800000000000001</v>
      </c>
    </row>
    <row r="479">
      <c r="A479" t="inlineStr">
        <is>
          <t>2023-07-21</t>
        </is>
      </c>
      <c r="B479" t="n">
        <v>-97395</v>
      </c>
      <c r="C479" t="n">
        <v>460</v>
      </c>
      <c r="D479" t="n">
        <v>903065</v>
      </c>
      <c r="E479" t="n">
        <v>843041</v>
      </c>
      <c r="F479" t="n">
        <v>-13.41</v>
      </c>
      <c r="G479" t="n">
        <v>4</v>
      </c>
      <c r="H479" t="n">
        <v>9.800000000000001</v>
      </c>
    </row>
    <row r="480">
      <c r="A480" t="inlineStr">
        <is>
          <t>2023-07-24</t>
        </is>
      </c>
      <c r="B480" t="n">
        <v>-94125</v>
      </c>
      <c r="C480" t="n">
        <v>-16390</v>
      </c>
      <c r="D480" t="n">
        <v>889485</v>
      </c>
      <c r="E480" t="n">
        <v>828987</v>
      </c>
      <c r="F480" t="n">
        <v>-14.71</v>
      </c>
      <c r="G480" t="n">
        <v>2</v>
      </c>
      <c r="H480" t="n">
        <v>4.7</v>
      </c>
    </row>
    <row r="481">
      <c r="A481" t="inlineStr">
        <is>
          <t>2023-07-25</t>
        </is>
      </c>
      <c r="B481" t="n">
        <v>-94125</v>
      </c>
      <c r="C481" t="n">
        <v>1980</v>
      </c>
      <c r="D481" t="n">
        <v>907855</v>
      </c>
      <c r="E481" t="n">
        <v>847043</v>
      </c>
      <c r="F481" t="n">
        <v>-12.95</v>
      </c>
      <c r="G481" t="n">
        <v>4</v>
      </c>
      <c r="H481" t="n">
        <v>7.8</v>
      </c>
    </row>
    <row r="482">
      <c r="A482" t="inlineStr">
        <is>
          <t>2023-07-26</t>
        </is>
      </c>
      <c r="B482" t="n">
        <v>-80245</v>
      </c>
      <c r="C482" t="n">
        <v>3225</v>
      </c>
      <c r="D482" t="n">
        <v>922980</v>
      </c>
      <c r="E482" t="n">
        <v>861571</v>
      </c>
      <c r="F482" t="n">
        <v>-11.5</v>
      </c>
      <c r="G482" t="n">
        <v>2</v>
      </c>
      <c r="H482" t="n">
        <v>3.1</v>
      </c>
    </row>
    <row r="483">
      <c r="A483" t="inlineStr">
        <is>
          <t>2023-07-27</t>
        </is>
      </c>
      <c r="B483" t="n">
        <v>-80245</v>
      </c>
      <c r="C483" t="n">
        <v>4050</v>
      </c>
      <c r="D483" t="n">
        <v>923805</v>
      </c>
      <c r="E483" t="n">
        <v>862396</v>
      </c>
      <c r="F483" t="n">
        <v>-11.42</v>
      </c>
      <c r="G483" t="n">
        <v>4</v>
      </c>
      <c r="H483" t="n">
        <v>8.199999999999999</v>
      </c>
    </row>
    <row r="484">
      <c r="A484" t="inlineStr">
        <is>
          <t>2023-07-28</t>
        </is>
      </c>
      <c r="B484" t="n">
        <v>-80245</v>
      </c>
      <c r="C484" t="n">
        <v>17760</v>
      </c>
      <c r="D484" t="n">
        <v>937515</v>
      </c>
      <c r="E484" t="n">
        <v>876106</v>
      </c>
      <c r="F484" t="n">
        <v>-10.11</v>
      </c>
      <c r="G484" t="n">
        <v>5</v>
      </c>
      <c r="H484" t="n">
        <v>10</v>
      </c>
    </row>
    <row r="485">
      <c r="A485" t="inlineStr">
        <is>
          <t>2023-07-31</t>
        </is>
      </c>
      <c r="B485" t="n">
        <v>-78915</v>
      </c>
      <c r="C485" t="n">
        <v>11770</v>
      </c>
      <c r="D485" t="n">
        <v>932855</v>
      </c>
      <c r="E485" t="n">
        <v>871242</v>
      </c>
      <c r="F485" t="n">
        <v>-10.55</v>
      </c>
      <c r="G485" t="n">
        <v>4</v>
      </c>
      <c r="H485" t="n">
        <v>10</v>
      </c>
    </row>
    <row r="486">
      <c r="A486" t="inlineStr">
        <is>
          <t>2023-08-01</t>
        </is>
      </c>
      <c r="B486" t="n">
        <v>-71055</v>
      </c>
      <c r="C486" t="n">
        <v>20930</v>
      </c>
      <c r="D486" t="n">
        <v>949875</v>
      </c>
      <c r="E486" t="n">
        <v>887547</v>
      </c>
      <c r="F486" t="n">
        <v>-8.92</v>
      </c>
      <c r="G486" t="n">
        <v>4</v>
      </c>
      <c r="H486" t="n">
        <v>10</v>
      </c>
    </row>
    <row r="487">
      <c r="A487" t="inlineStr">
        <is>
          <t>2023-08-02</t>
        </is>
      </c>
      <c r="B487" t="n">
        <v>-66185</v>
      </c>
      <c r="C487" t="n">
        <v>27840</v>
      </c>
      <c r="D487" t="n">
        <v>961655</v>
      </c>
      <c r="E487" t="n">
        <v>898925</v>
      </c>
      <c r="F487" t="n">
        <v>-7.79</v>
      </c>
      <c r="G487" t="n">
        <v>3</v>
      </c>
      <c r="H487" t="n">
        <v>7.8</v>
      </c>
    </row>
    <row r="488">
      <c r="A488" t="inlineStr">
        <is>
          <t>2023-08-03</t>
        </is>
      </c>
      <c r="B488" t="n">
        <v>-43175</v>
      </c>
      <c r="C488" t="n">
        <v>-23740</v>
      </c>
      <c r="D488" t="n">
        <v>933085</v>
      </c>
      <c r="E488" t="n">
        <v>870051</v>
      </c>
      <c r="F488" t="n">
        <v>-10.53</v>
      </c>
      <c r="G488" t="n">
        <v>2</v>
      </c>
      <c r="H488" t="n">
        <v>5.3</v>
      </c>
    </row>
    <row r="489">
      <c r="A489" t="inlineStr">
        <is>
          <t>2023-08-04</t>
        </is>
      </c>
      <c r="B489" t="n">
        <v>-43175</v>
      </c>
      <c r="C489" t="n">
        <v>-18560</v>
      </c>
      <c r="D489" t="n">
        <v>938265</v>
      </c>
      <c r="E489" t="n">
        <v>875231</v>
      </c>
      <c r="F489" t="n">
        <v>-10.04</v>
      </c>
      <c r="G489" t="n">
        <v>4</v>
      </c>
      <c r="H489" t="n">
        <v>10</v>
      </c>
    </row>
    <row r="490">
      <c r="A490" t="inlineStr">
        <is>
          <t>2023-08-07</t>
        </is>
      </c>
      <c r="B490" t="n">
        <v>-43175</v>
      </c>
      <c r="C490" t="n">
        <v>-29180</v>
      </c>
      <c r="D490" t="n">
        <v>927645</v>
      </c>
      <c r="E490" t="n">
        <v>864611</v>
      </c>
      <c r="F490" t="n">
        <v>-11.05</v>
      </c>
      <c r="G490" t="n">
        <v>4</v>
      </c>
      <c r="H490" t="n">
        <v>10</v>
      </c>
    </row>
    <row r="491">
      <c r="A491" t="inlineStr">
        <is>
          <t>2023-08-08</t>
        </is>
      </c>
      <c r="B491" t="n">
        <v>-43175</v>
      </c>
      <c r="C491" t="n">
        <v>-38165</v>
      </c>
      <c r="D491" t="n">
        <v>918660</v>
      </c>
      <c r="E491" t="n">
        <v>855626</v>
      </c>
      <c r="F491" t="n">
        <v>-11.92</v>
      </c>
      <c r="G491" t="n">
        <v>4</v>
      </c>
      <c r="H491" t="n">
        <v>10</v>
      </c>
    </row>
    <row r="492">
      <c r="A492" t="inlineStr">
        <is>
          <t>2023-08-09</t>
        </is>
      </c>
      <c r="B492" t="n">
        <v>-43175</v>
      </c>
      <c r="C492" t="n">
        <v>-29960</v>
      </c>
      <c r="D492" t="n">
        <v>926865</v>
      </c>
      <c r="E492" t="n">
        <v>863831</v>
      </c>
      <c r="F492" t="n">
        <v>-11.13</v>
      </c>
      <c r="G492" t="n">
        <v>4</v>
      </c>
      <c r="H492" t="n">
        <v>10</v>
      </c>
    </row>
    <row r="493">
      <c r="A493" t="inlineStr">
        <is>
          <t>2023-08-10</t>
        </is>
      </c>
      <c r="B493" t="n">
        <v>-43175</v>
      </c>
      <c r="C493" t="n">
        <v>-23920</v>
      </c>
      <c r="D493" t="n">
        <v>932905</v>
      </c>
      <c r="E493" t="n">
        <v>869871</v>
      </c>
      <c r="F493" t="n">
        <v>-10.55</v>
      </c>
      <c r="G493" t="n">
        <v>4</v>
      </c>
      <c r="H493" t="n">
        <v>10</v>
      </c>
    </row>
    <row r="494">
      <c r="A494" t="inlineStr">
        <is>
          <t>2023-08-11</t>
        </is>
      </c>
      <c r="B494" t="n">
        <v>-40205</v>
      </c>
      <c r="C494" t="n">
        <v>-33410</v>
      </c>
      <c r="D494" t="n">
        <v>926385</v>
      </c>
      <c r="E494" t="n">
        <v>863223</v>
      </c>
      <c r="F494" t="n">
        <v>-11.17</v>
      </c>
      <c r="G494" t="n">
        <v>4</v>
      </c>
      <c r="H494" t="n">
        <v>10</v>
      </c>
    </row>
    <row r="495">
      <c r="A495" t="inlineStr">
        <is>
          <t>2023-08-14</t>
        </is>
      </c>
      <c r="B495" t="n">
        <v>-40205</v>
      </c>
      <c r="C495" t="n">
        <v>-50040</v>
      </c>
      <c r="D495" t="n">
        <v>909755</v>
      </c>
      <c r="E495" t="n">
        <v>846593</v>
      </c>
      <c r="F495" t="n">
        <v>-12.77</v>
      </c>
      <c r="G495" t="n">
        <v>4</v>
      </c>
      <c r="H495" t="n">
        <v>10</v>
      </c>
    </row>
    <row r="496">
      <c r="A496" t="inlineStr">
        <is>
          <t>2023-08-15</t>
        </is>
      </c>
      <c r="B496" t="n">
        <v>-40205</v>
      </c>
      <c r="C496" t="n">
        <v>-35400</v>
      </c>
      <c r="D496" t="n">
        <v>924395</v>
      </c>
      <c r="E496" t="n">
        <v>861233</v>
      </c>
      <c r="F496" t="n">
        <v>-11.37</v>
      </c>
      <c r="G496" t="n">
        <v>4</v>
      </c>
      <c r="H496" t="n">
        <v>10</v>
      </c>
    </row>
    <row r="497">
      <c r="A497" t="inlineStr">
        <is>
          <t>2023-08-16</t>
        </is>
      </c>
      <c r="B497" t="n">
        <v>-76408</v>
      </c>
      <c r="C497" t="n">
        <v>-18410</v>
      </c>
      <c r="D497" t="n">
        <v>905182</v>
      </c>
      <c r="E497" t="n">
        <v>841395</v>
      </c>
      <c r="F497" t="n">
        <v>-13.21</v>
      </c>
      <c r="G497" t="n">
        <v>2</v>
      </c>
      <c r="H497" t="n">
        <v>4.5</v>
      </c>
    </row>
    <row r="498">
      <c r="A498" t="inlineStr">
        <is>
          <t>2023-08-17</t>
        </is>
      </c>
      <c r="B498" t="n">
        <v>-76408</v>
      </c>
      <c r="C498" t="n">
        <v>980</v>
      </c>
      <c r="D498" t="n">
        <v>924572</v>
      </c>
      <c r="E498" t="n">
        <v>860785</v>
      </c>
      <c r="F498" t="n">
        <v>-11.35</v>
      </c>
      <c r="G498" t="n">
        <v>5</v>
      </c>
      <c r="H498" t="n">
        <v>10</v>
      </c>
    </row>
    <row r="499">
      <c r="A499" t="inlineStr">
        <is>
          <t>2023-08-18</t>
        </is>
      </c>
      <c r="B499" t="n">
        <v>-75923</v>
      </c>
      <c r="C499" t="n">
        <v>18520</v>
      </c>
      <c r="D499" t="n">
        <v>942597</v>
      </c>
      <c r="E499" t="n">
        <v>878796</v>
      </c>
      <c r="F499" t="n">
        <v>-9.619999999999999</v>
      </c>
      <c r="G499" t="n">
        <v>4</v>
      </c>
      <c r="H499" t="n">
        <v>9.6</v>
      </c>
    </row>
    <row r="500">
      <c r="A500" t="inlineStr">
        <is>
          <t>2023-08-21</t>
        </is>
      </c>
      <c r="B500" t="n">
        <v>-64223</v>
      </c>
      <c r="C500" t="n">
        <v>30450</v>
      </c>
      <c r="D500" t="n">
        <v>966227</v>
      </c>
      <c r="E500" t="n">
        <v>902214</v>
      </c>
      <c r="F500" t="n">
        <v>-7.35</v>
      </c>
      <c r="G500" t="n">
        <v>3</v>
      </c>
      <c r="H500" t="n">
        <v>7</v>
      </c>
    </row>
    <row r="501">
      <c r="A501" t="inlineStr">
        <is>
          <t>2023-08-22</t>
        </is>
      </c>
      <c r="B501" t="n">
        <v>-62543</v>
      </c>
      <c r="C501" t="n">
        <v>19810</v>
      </c>
      <c r="D501" t="n">
        <v>957267</v>
      </c>
      <c r="E501" t="n">
        <v>893068</v>
      </c>
      <c r="F501" t="n">
        <v>-8.210000000000001</v>
      </c>
      <c r="G501" t="n">
        <v>2</v>
      </c>
      <c r="H501" t="n">
        <v>4.5</v>
      </c>
    </row>
    <row r="502">
      <c r="A502" t="inlineStr">
        <is>
          <t>2023-08-23</t>
        </is>
      </c>
      <c r="B502" t="n">
        <v>-62543</v>
      </c>
      <c r="C502" t="n">
        <v>17990</v>
      </c>
      <c r="D502" t="n">
        <v>955447</v>
      </c>
      <c r="E502" t="n">
        <v>891248</v>
      </c>
      <c r="F502" t="n">
        <v>-8.390000000000001</v>
      </c>
      <c r="G502" t="n">
        <v>3</v>
      </c>
      <c r="H502" t="n">
        <v>7.3</v>
      </c>
    </row>
    <row r="503">
      <c r="A503" t="inlineStr">
        <is>
          <t>2023-08-24</t>
        </is>
      </c>
      <c r="B503" t="n">
        <v>-62543</v>
      </c>
      <c r="C503" t="n">
        <v>4415</v>
      </c>
      <c r="D503" t="n">
        <v>941872</v>
      </c>
      <c r="E503" t="n">
        <v>877673</v>
      </c>
      <c r="F503" t="n">
        <v>-9.69</v>
      </c>
      <c r="G503" t="n">
        <v>3</v>
      </c>
      <c r="H503" t="n">
        <v>7.3</v>
      </c>
    </row>
    <row r="504">
      <c r="A504" t="inlineStr">
        <is>
          <t>2023-08-25</t>
        </is>
      </c>
      <c r="B504" t="n">
        <v>-62543</v>
      </c>
      <c r="C504" t="n">
        <v>5940</v>
      </c>
      <c r="D504" t="n">
        <v>943397</v>
      </c>
      <c r="E504" t="n">
        <v>879198</v>
      </c>
      <c r="F504" t="n">
        <v>-9.539999999999999</v>
      </c>
      <c r="G504" t="n">
        <v>4</v>
      </c>
      <c r="H504" t="n">
        <v>10</v>
      </c>
    </row>
    <row r="505">
      <c r="A505" t="inlineStr">
        <is>
          <t>2023-08-28</t>
        </is>
      </c>
      <c r="B505" t="n">
        <v>-62383</v>
      </c>
      <c r="C505" t="n">
        <v>-4325</v>
      </c>
      <c r="D505" t="n">
        <v>933292</v>
      </c>
      <c r="E505" t="n">
        <v>868906</v>
      </c>
      <c r="F505" t="n">
        <v>-10.51</v>
      </c>
      <c r="G505" t="n">
        <v>3</v>
      </c>
      <c r="H505" t="n">
        <v>7.3</v>
      </c>
    </row>
    <row r="506">
      <c r="A506" t="inlineStr">
        <is>
          <t>2023-08-29</t>
        </is>
      </c>
      <c r="B506" t="n">
        <v>-62383</v>
      </c>
      <c r="C506" t="n">
        <v>-8540</v>
      </c>
      <c r="D506" t="n">
        <v>929077</v>
      </c>
      <c r="E506" t="n">
        <v>864691</v>
      </c>
      <c r="F506" t="n">
        <v>-10.92</v>
      </c>
      <c r="G506" t="n">
        <v>4</v>
      </c>
      <c r="H506" t="n">
        <v>10</v>
      </c>
    </row>
    <row r="507">
      <c r="A507" t="inlineStr">
        <is>
          <t>2023-08-30</t>
        </is>
      </c>
      <c r="B507" t="n">
        <v>-62823</v>
      </c>
      <c r="C507" t="n">
        <v>11700</v>
      </c>
      <c r="D507" t="n">
        <v>948877</v>
      </c>
      <c r="E507" t="n">
        <v>884225</v>
      </c>
      <c r="F507" t="n">
        <v>-9.02</v>
      </c>
      <c r="G507" t="n">
        <v>4</v>
      </c>
      <c r="H507" t="n">
        <v>10</v>
      </c>
    </row>
    <row r="508">
      <c r="A508" t="inlineStr">
        <is>
          <t>2023-08-31</t>
        </is>
      </c>
      <c r="B508" t="n">
        <v>-62823</v>
      </c>
      <c r="C508" t="n">
        <v>-1010</v>
      </c>
      <c r="D508" t="n">
        <v>936167</v>
      </c>
      <c r="E508" t="n">
        <v>871515</v>
      </c>
      <c r="F508" t="n">
        <v>-10.24</v>
      </c>
      <c r="G508" t="n">
        <v>4</v>
      </c>
      <c r="H508" t="n">
        <v>10</v>
      </c>
    </row>
    <row r="509">
      <c r="A509" t="inlineStr">
        <is>
          <t>2023-09-01</t>
        </is>
      </c>
      <c r="B509" t="n">
        <v>-58053</v>
      </c>
      <c r="C509" t="n">
        <v>17430</v>
      </c>
      <c r="D509" t="n">
        <v>959377</v>
      </c>
      <c r="E509" t="n">
        <v>894285</v>
      </c>
      <c r="F509" t="n">
        <v>-8.01</v>
      </c>
      <c r="G509" t="n">
        <v>3</v>
      </c>
      <c r="H509" t="n">
        <v>5.6</v>
      </c>
    </row>
    <row r="510">
      <c r="A510" t="inlineStr">
        <is>
          <t>2023-09-04</t>
        </is>
      </c>
      <c r="B510" t="n">
        <v>-44753</v>
      </c>
      <c r="C510" t="n">
        <v>5180</v>
      </c>
      <c r="D510" t="n">
        <v>960427</v>
      </c>
      <c r="E510" t="n">
        <v>895138</v>
      </c>
      <c r="F510" t="n">
        <v>-7.91</v>
      </c>
      <c r="G510" t="n">
        <v>2</v>
      </c>
      <c r="H510" t="n">
        <v>3.8</v>
      </c>
    </row>
    <row r="511">
      <c r="A511" t="inlineStr">
        <is>
          <t>2023-09-05</t>
        </is>
      </c>
      <c r="B511" t="n">
        <v>-26413</v>
      </c>
      <c r="C511" t="n">
        <v>-70</v>
      </c>
      <c r="D511" t="n">
        <v>973517</v>
      </c>
      <c r="E511" t="n">
        <v>907896</v>
      </c>
      <c r="F511" t="n">
        <v>-6.66</v>
      </c>
      <c r="G511" t="n">
        <v>3</v>
      </c>
      <c r="H511" t="n">
        <v>7.1</v>
      </c>
    </row>
    <row r="512">
      <c r="A512" t="inlineStr">
        <is>
          <t>2023-09-06</t>
        </is>
      </c>
      <c r="B512" t="n">
        <v>-26413</v>
      </c>
      <c r="C512" t="n">
        <v>3475</v>
      </c>
      <c r="D512" t="n">
        <v>977062</v>
      </c>
      <c r="E512" t="n">
        <v>911441</v>
      </c>
      <c r="F512" t="n">
        <v>-6.32</v>
      </c>
      <c r="G512" t="n">
        <v>4</v>
      </c>
      <c r="H512" t="n">
        <v>10</v>
      </c>
    </row>
    <row r="513">
      <c r="A513" t="inlineStr">
        <is>
          <t>2023-09-07</t>
        </is>
      </c>
      <c r="B513" t="n">
        <v>-29418</v>
      </c>
      <c r="C513" t="n">
        <v>-6920</v>
      </c>
      <c r="D513" t="n">
        <v>963662</v>
      </c>
      <c r="E513" t="n">
        <v>897537</v>
      </c>
      <c r="F513" t="n">
        <v>-7.6</v>
      </c>
      <c r="G513" t="n">
        <v>4</v>
      </c>
      <c r="H513" t="n">
        <v>10</v>
      </c>
    </row>
    <row r="514">
      <c r="A514" t="inlineStr">
        <is>
          <t>2023-09-08</t>
        </is>
      </c>
      <c r="B514" t="n">
        <v>-45018</v>
      </c>
      <c r="C514" t="n">
        <v>-2025</v>
      </c>
      <c r="D514" t="n">
        <v>952957</v>
      </c>
      <c r="E514" t="n">
        <v>886598</v>
      </c>
      <c r="F514" t="n">
        <v>-8.630000000000001</v>
      </c>
      <c r="G514" t="n">
        <v>4</v>
      </c>
      <c r="H514" t="n">
        <v>9.800000000000001</v>
      </c>
    </row>
    <row r="515">
      <c r="A515" t="inlineStr">
        <is>
          <t>2023-09-11</t>
        </is>
      </c>
      <c r="B515" t="n">
        <v>-38058</v>
      </c>
      <c r="C515" t="n">
        <v>-7450</v>
      </c>
      <c r="D515" t="n">
        <v>954492</v>
      </c>
      <c r="E515" t="n">
        <v>887787</v>
      </c>
      <c r="F515" t="n">
        <v>-8.48</v>
      </c>
      <c r="G515" t="n">
        <v>4</v>
      </c>
      <c r="H515" t="n">
        <v>9.699999999999999</v>
      </c>
    </row>
    <row r="516">
      <c r="A516" t="inlineStr">
        <is>
          <t>2023-09-12</t>
        </is>
      </c>
      <c r="B516" t="n">
        <v>-38858</v>
      </c>
      <c r="C516" t="n">
        <v>-3390</v>
      </c>
      <c r="D516" t="n">
        <v>957752</v>
      </c>
      <c r="E516" t="n">
        <v>890810</v>
      </c>
      <c r="F516" t="n">
        <v>-8.17</v>
      </c>
      <c r="G516" t="n">
        <v>4</v>
      </c>
      <c r="H516" t="n">
        <v>9.699999999999999</v>
      </c>
    </row>
    <row r="517">
      <c r="A517" t="inlineStr">
        <is>
          <t>2023-09-13</t>
        </is>
      </c>
      <c r="B517" t="n">
        <v>-41818</v>
      </c>
      <c r="C517" t="n">
        <v>-4415</v>
      </c>
      <c r="D517" t="n">
        <v>953767</v>
      </c>
      <c r="E517" t="n">
        <v>886601</v>
      </c>
      <c r="F517" t="n">
        <v>-8.550000000000001</v>
      </c>
      <c r="G517" t="n">
        <v>4</v>
      </c>
      <c r="H517" t="n">
        <v>9.6</v>
      </c>
    </row>
    <row r="518">
      <c r="A518" t="inlineStr">
        <is>
          <t>2023-09-14</t>
        </is>
      </c>
      <c r="B518" t="n">
        <v>-33943</v>
      </c>
      <c r="C518" t="n">
        <v>-17300</v>
      </c>
      <c r="D518" t="n">
        <v>948757</v>
      </c>
      <c r="E518" t="n">
        <v>881547</v>
      </c>
      <c r="F518" t="n">
        <v>-9.029999999999999</v>
      </c>
      <c r="G518" t="n">
        <v>3</v>
      </c>
      <c r="H518" t="n">
        <v>8.6</v>
      </c>
    </row>
    <row r="519">
      <c r="A519" t="inlineStr">
        <is>
          <t>2023-09-15</t>
        </is>
      </c>
      <c r="B519" t="n">
        <v>-33943</v>
      </c>
      <c r="C519" t="n">
        <v>-5800</v>
      </c>
      <c r="D519" t="n">
        <v>960257</v>
      </c>
      <c r="E519" t="n">
        <v>893047</v>
      </c>
      <c r="F519" t="n">
        <v>-7.93</v>
      </c>
      <c r="G519" t="n">
        <v>4</v>
      </c>
      <c r="H519" t="n">
        <v>10</v>
      </c>
    </row>
    <row r="520">
      <c r="A520" t="inlineStr">
        <is>
          <t>2023-09-18</t>
        </is>
      </c>
      <c r="B520" t="n">
        <v>-54893</v>
      </c>
      <c r="C520" t="n">
        <v>10700</v>
      </c>
      <c r="D520" t="n">
        <v>955807</v>
      </c>
      <c r="E520" t="n">
        <v>888326</v>
      </c>
      <c r="F520" t="n">
        <v>-8.35</v>
      </c>
      <c r="G520" t="n">
        <v>4</v>
      </c>
      <c r="H520" t="n">
        <v>10</v>
      </c>
    </row>
    <row r="521">
      <c r="A521" t="inlineStr">
        <is>
          <t>2023-09-19</t>
        </is>
      </c>
      <c r="B521" t="n">
        <v>-56543</v>
      </c>
      <c r="C521" t="n">
        <v>10220</v>
      </c>
      <c r="D521" t="n">
        <v>953677</v>
      </c>
      <c r="E521" t="n">
        <v>886074</v>
      </c>
      <c r="F521" t="n">
        <v>-8.56</v>
      </c>
      <c r="G521" t="n">
        <v>4</v>
      </c>
      <c r="H521" t="n">
        <v>10</v>
      </c>
    </row>
    <row r="522">
      <c r="A522" t="inlineStr">
        <is>
          <t>2023-09-20</t>
        </is>
      </c>
      <c r="B522" t="n">
        <v>-56543</v>
      </c>
      <c r="C522" t="n">
        <v>7215</v>
      </c>
      <c r="D522" t="n">
        <v>950672</v>
      </c>
      <c r="E522" t="n">
        <v>883069</v>
      </c>
      <c r="F522" t="n">
        <v>-8.85</v>
      </c>
      <c r="G522" t="n">
        <v>4</v>
      </c>
      <c r="H522" t="n">
        <v>10</v>
      </c>
    </row>
    <row r="523">
      <c r="A523" t="inlineStr">
        <is>
          <t>2023-09-21</t>
        </is>
      </c>
      <c r="B523" t="n">
        <v>-54283</v>
      </c>
      <c r="C523" t="n">
        <v>-4655</v>
      </c>
      <c r="D523" t="n">
        <v>941062</v>
      </c>
      <c r="E523" t="n">
        <v>872953</v>
      </c>
      <c r="F523" t="n">
        <v>-9.77</v>
      </c>
      <c r="G523" t="n">
        <v>3</v>
      </c>
      <c r="H523" t="n">
        <v>7.1</v>
      </c>
    </row>
    <row r="524">
      <c r="A524" t="inlineStr">
        <is>
          <t>2023-09-22</t>
        </is>
      </c>
      <c r="B524" t="n">
        <v>-54283</v>
      </c>
      <c r="C524" t="n">
        <v>-1300</v>
      </c>
      <c r="D524" t="n">
        <v>944417</v>
      </c>
      <c r="E524" t="n">
        <v>876308</v>
      </c>
      <c r="F524" t="n">
        <v>-9.449999999999999</v>
      </c>
      <c r="G524" t="n">
        <v>4</v>
      </c>
      <c r="H524" t="n">
        <v>9.800000000000001</v>
      </c>
    </row>
    <row r="525">
      <c r="A525" t="inlineStr">
        <is>
          <t>2023-09-25</t>
        </is>
      </c>
      <c r="B525" t="n">
        <v>-54283</v>
      </c>
      <c r="C525" t="n">
        <v>-22750</v>
      </c>
      <c r="D525" t="n">
        <v>922967</v>
      </c>
      <c r="E525" t="n">
        <v>854858</v>
      </c>
      <c r="F525" t="n">
        <v>-11.5</v>
      </c>
      <c r="G525" t="n">
        <v>4</v>
      </c>
      <c r="H525" t="n">
        <v>9.800000000000001</v>
      </c>
    </row>
    <row r="526">
      <c r="A526" t="inlineStr">
        <is>
          <t>2023-09-26</t>
        </is>
      </c>
      <c r="B526" t="n">
        <v>-66793</v>
      </c>
      <c r="C526" t="n">
        <v>-12850</v>
      </c>
      <c r="D526" t="n">
        <v>920357</v>
      </c>
      <c r="E526" t="n">
        <v>852150</v>
      </c>
      <c r="F526" t="n">
        <v>-11.75</v>
      </c>
      <c r="G526" t="n">
        <v>4</v>
      </c>
      <c r="H526" t="n">
        <v>10</v>
      </c>
    </row>
    <row r="527">
      <c r="A527" t="inlineStr">
        <is>
          <t>2023-09-27</t>
        </is>
      </c>
      <c r="B527" t="n">
        <v>-68818</v>
      </c>
      <c r="C527" t="n">
        <v>-10000</v>
      </c>
      <c r="D527" t="n">
        <v>921182</v>
      </c>
      <c r="E527" t="n">
        <v>852423</v>
      </c>
      <c r="F527" t="n">
        <v>-11.67</v>
      </c>
      <c r="G527" t="n">
        <v>2</v>
      </c>
      <c r="H527" t="n">
        <v>5.7</v>
      </c>
    </row>
    <row r="528">
      <c r="A528" t="inlineStr">
        <is>
          <t>2023-09-28</t>
        </is>
      </c>
      <c r="B528" t="n">
        <v>-68818</v>
      </c>
      <c r="C528" t="n">
        <v>-12700</v>
      </c>
      <c r="D528" t="n">
        <v>918482</v>
      </c>
      <c r="E528" t="n">
        <v>849723</v>
      </c>
      <c r="F528" t="n">
        <v>-11.93</v>
      </c>
      <c r="G528" t="n">
        <v>2</v>
      </c>
      <c r="H528" t="n">
        <v>5.7</v>
      </c>
    </row>
    <row r="529">
      <c r="A529" t="inlineStr">
        <is>
          <t>2023-10-09</t>
        </is>
      </c>
      <c r="B529" t="n">
        <v>-68818</v>
      </c>
      <c r="C529" t="n">
        <v>-11400</v>
      </c>
      <c r="D529" t="n">
        <v>919782</v>
      </c>
      <c r="E529" t="n">
        <v>851023</v>
      </c>
      <c r="F529" t="n">
        <v>-11.81</v>
      </c>
      <c r="G529" t="n">
        <v>4</v>
      </c>
      <c r="H529" t="n">
        <v>10</v>
      </c>
    </row>
    <row r="530">
      <c r="A530" t="inlineStr">
        <is>
          <t>2023-10-10</t>
        </is>
      </c>
      <c r="B530" t="n">
        <v>-78398</v>
      </c>
      <c r="C530" t="n">
        <v>12425</v>
      </c>
      <c r="D530" t="n">
        <v>934027</v>
      </c>
      <c r="E530" t="n">
        <v>864799</v>
      </c>
      <c r="F530" t="n">
        <v>-10.44</v>
      </c>
      <c r="G530" t="n">
        <v>2</v>
      </c>
      <c r="H530" t="n">
        <v>5.2</v>
      </c>
    </row>
    <row r="531">
      <c r="A531" t="inlineStr">
        <is>
          <t>2023-10-11</t>
        </is>
      </c>
      <c r="B531" t="n">
        <v>-78398</v>
      </c>
      <c r="C531" t="n">
        <v>9150</v>
      </c>
      <c r="D531" t="n">
        <v>930752</v>
      </c>
      <c r="E531" t="n">
        <v>861524</v>
      </c>
      <c r="F531" t="n">
        <v>-10.76</v>
      </c>
      <c r="G531" t="n">
        <v>2</v>
      </c>
      <c r="H531" t="n">
        <v>5.2</v>
      </c>
    </row>
    <row r="532">
      <c r="A532" t="inlineStr">
        <is>
          <t>2023-10-12</t>
        </is>
      </c>
      <c r="B532" t="n">
        <v>-78398</v>
      </c>
      <c r="C532" t="n">
        <v>1900</v>
      </c>
      <c r="D532" t="n">
        <v>923502</v>
      </c>
      <c r="E532" t="n">
        <v>854274</v>
      </c>
      <c r="F532" t="n">
        <v>-11.45</v>
      </c>
      <c r="G532" t="n">
        <v>2</v>
      </c>
      <c r="H532" t="n">
        <v>5.2</v>
      </c>
    </row>
    <row r="533">
      <c r="A533" t="inlineStr">
        <is>
          <t>2023-10-13</t>
        </is>
      </c>
      <c r="B533" t="n">
        <v>-86698</v>
      </c>
      <c r="C533" t="n">
        <v>3975</v>
      </c>
      <c r="D533" t="n">
        <v>917277</v>
      </c>
      <c r="E533" t="n">
        <v>847810</v>
      </c>
      <c r="F533" t="n">
        <v>-12.05</v>
      </c>
      <c r="G533" t="n">
        <v>2</v>
      </c>
      <c r="H533" t="n">
        <v>5</v>
      </c>
    </row>
    <row r="534">
      <c r="A534" t="inlineStr">
        <is>
          <t>2023-10-16</t>
        </is>
      </c>
      <c r="B534" t="n">
        <v>-86698</v>
      </c>
      <c r="C534" t="n">
        <v>525</v>
      </c>
      <c r="D534" t="n">
        <v>913827</v>
      </c>
      <c r="E534" t="n">
        <v>844360</v>
      </c>
      <c r="F534" t="n">
        <v>-12.38</v>
      </c>
      <c r="G534" t="n">
        <v>2</v>
      </c>
      <c r="H534" t="n">
        <v>5</v>
      </c>
    </row>
    <row r="535">
      <c r="A535" t="inlineStr">
        <is>
          <t>2023-10-17</t>
        </is>
      </c>
      <c r="B535" t="n">
        <v>-79948</v>
      </c>
      <c r="C535" t="n">
        <v>5400</v>
      </c>
      <c r="D535" t="n">
        <v>925452</v>
      </c>
      <c r="E535" t="n">
        <v>855790</v>
      </c>
      <c r="F535" t="n">
        <v>-11.26</v>
      </c>
      <c r="G535" t="n">
        <v>1</v>
      </c>
      <c r="H535" t="n">
        <v>2.5</v>
      </c>
    </row>
    <row r="536">
      <c r="A536" t="inlineStr">
        <is>
          <t>2023-10-18</t>
        </is>
      </c>
      <c r="B536" t="n">
        <v>-79948</v>
      </c>
      <c r="C536" t="n">
        <v>-2800</v>
      </c>
      <c r="D536" t="n">
        <v>917252</v>
      </c>
      <c r="E536" t="n">
        <v>847590</v>
      </c>
      <c r="F536" t="n">
        <v>-12.05</v>
      </c>
      <c r="G536" t="n">
        <v>2</v>
      </c>
      <c r="H536" t="n">
        <v>4.9</v>
      </c>
    </row>
    <row r="537">
      <c r="A537" t="inlineStr">
        <is>
          <t>2023-10-19</t>
        </is>
      </c>
      <c r="B537" t="n">
        <v>-84963</v>
      </c>
      <c r="C537" t="n">
        <v>-500</v>
      </c>
      <c r="D537" t="n">
        <v>914537</v>
      </c>
      <c r="E537" t="n">
        <v>844655</v>
      </c>
      <c r="F537" t="n">
        <v>-12.31</v>
      </c>
      <c r="G537" t="n">
        <v>1</v>
      </c>
      <c r="H537" t="n">
        <v>2.5</v>
      </c>
    </row>
    <row r="538">
      <c r="A538" t="inlineStr">
        <is>
          <t>2023-10-20</t>
        </is>
      </c>
      <c r="B538" t="n">
        <v>-84963</v>
      </c>
      <c r="C538" t="n">
        <v>2900</v>
      </c>
      <c r="D538" t="n">
        <v>917937</v>
      </c>
      <c r="E538" t="n">
        <v>848055</v>
      </c>
      <c r="F538" t="n">
        <v>-11.98</v>
      </c>
      <c r="G538" t="n">
        <v>3</v>
      </c>
      <c r="H538" t="n">
        <v>7.3</v>
      </c>
    </row>
    <row r="539">
      <c r="A539" t="inlineStr">
        <is>
          <t>2023-10-23</t>
        </is>
      </c>
      <c r="B539" t="n">
        <v>-77863</v>
      </c>
      <c r="C539" t="n">
        <v>-1470</v>
      </c>
      <c r="D539" t="n">
        <v>920667</v>
      </c>
      <c r="E539" t="n">
        <v>850519</v>
      </c>
      <c r="F539" t="n">
        <v>-11.72</v>
      </c>
      <c r="G539" t="n">
        <v>4</v>
      </c>
      <c r="H539" t="n">
        <v>9.699999999999999</v>
      </c>
    </row>
    <row r="540">
      <c r="A540" t="inlineStr">
        <is>
          <t>2023-10-24</t>
        </is>
      </c>
      <c r="B540" t="n">
        <v>-78023</v>
      </c>
      <c r="C540" t="n">
        <v>-7365</v>
      </c>
      <c r="D540" t="n">
        <v>914612</v>
      </c>
      <c r="E540" t="n">
        <v>844117</v>
      </c>
      <c r="F540" t="n">
        <v>-12.3</v>
      </c>
      <c r="G540" t="n">
        <v>3</v>
      </c>
      <c r="H540" t="n">
        <v>7.2</v>
      </c>
    </row>
    <row r="541">
      <c r="A541" t="inlineStr">
        <is>
          <t>2023-10-25</t>
        </is>
      </c>
      <c r="B541" t="n">
        <v>-78023</v>
      </c>
      <c r="C541" t="n">
        <v>-13415</v>
      </c>
      <c r="D541" t="n">
        <v>908562</v>
      </c>
      <c r="E541" t="n">
        <v>838067</v>
      </c>
      <c r="F541" t="n">
        <v>-12.88</v>
      </c>
      <c r="G541" t="n">
        <v>3</v>
      </c>
      <c r="H541" t="n">
        <v>7.2</v>
      </c>
    </row>
    <row r="542">
      <c r="A542" t="inlineStr">
        <is>
          <t>2023-10-26</t>
        </is>
      </c>
      <c r="B542" t="n">
        <v>-78023</v>
      </c>
      <c r="C542" t="n">
        <v>-10670</v>
      </c>
      <c r="D542" t="n">
        <v>911307</v>
      </c>
      <c r="E542" t="n">
        <v>840812</v>
      </c>
      <c r="F542" t="n">
        <v>-12.62</v>
      </c>
      <c r="G542" t="n">
        <v>4</v>
      </c>
      <c r="H542" t="n">
        <v>9.699999999999999</v>
      </c>
    </row>
    <row r="543">
      <c r="A543" t="inlineStr">
        <is>
          <t>2023-10-27</t>
        </is>
      </c>
      <c r="B543" t="n">
        <v>-90355</v>
      </c>
      <c r="C543" t="n">
        <v>-5955</v>
      </c>
      <c r="D543" t="n">
        <v>903690</v>
      </c>
      <c r="E543" t="n">
        <v>832882</v>
      </c>
      <c r="F543" t="n">
        <v>-13.35</v>
      </c>
      <c r="G543" t="n">
        <v>3</v>
      </c>
      <c r="H543" t="n">
        <v>7.3</v>
      </c>
    </row>
    <row r="544">
      <c r="A544" t="inlineStr">
        <is>
          <t>2023-10-30</t>
        </is>
      </c>
      <c r="B544" t="n">
        <v>-90355</v>
      </c>
      <c r="C544" t="n">
        <v>-16345</v>
      </c>
      <c r="D544" t="n">
        <v>893300</v>
      </c>
      <c r="E544" t="n">
        <v>822492</v>
      </c>
      <c r="F544" t="n">
        <v>-14.35</v>
      </c>
      <c r="G544" t="n">
        <v>3</v>
      </c>
      <c r="H544" t="n">
        <v>7.3</v>
      </c>
    </row>
    <row r="545">
      <c r="A545" t="inlineStr">
        <is>
          <t>2023-10-31</t>
        </is>
      </c>
      <c r="B545" t="n">
        <v>-87595</v>
      </c>
      <c r="C545" t="n">
        <v>-6505</v>
      </c>
      <c r="D545" t="n">
        <v>905900</v>
      </c>
      <c r="E545" t="n">
        <v>835004</v>
      </c>
      <c r="F545" t="n">
        <v>-13.14</v>
      </c>
      <c r="G545" t="n">
        <v>2</v>
      </c>
      <c r="H545" t="n">
        <v>4.9</v>
      </c>
    </row>
    <row r="546">
      <c r="A546" t="inlineStr">
        <is>
          <t>2023-11-01</t>
        </is>
      </c>
      <c r="B546" t="n">
        <v>-75845</v>
      </c>
      <c r="C546" t="n">
        <v>-12060</v>
      </c>
      <c r="D546" t="n">
        <v>912095</v>
      </c>
      <c r="E546" t="n">
        <v>840909</v>
      </c>
      <c r="F546" t="n">
        <v>-12.55</v>
      </c>
      <c r="G546" t="n">
        <v>2</v>
      </c>
      <c r="H546" t="n">
        <v>4.8</v>
      </c>
    </row>
    <row r="547">
      <c r="A547" t="inlineStr">
        <is>
          <t>2023-11-02</t>
        </is>
      </c>
      <c r="B547" t="n">
        <v>-75845</v>
      </c>
      <c r="C547" t="n">
        <v>-12420</v>
      </c>
      <c r="D547" t="n">
        <v>911735</v>
      </c>
      <c r="E547" t="n">
        <v>840549</v>
      </c>
      <c r="F547" t="n">
        <v>-12.58</v>
      </c>
      <c r="G547" t="n">
        <v>3</v>
      </c>
      <c r="H547" t="n">
        <v>7.1</v>
      </c>
    </row>
    <row r="548">
      <c r="A548" t="inlineStr">
        <is>
          <t>2023-11-03</t>
        </is>
      </c>
      <c r="B548" t="n">
        <v>-101240</v>
      </c>
      <c r="C548" t="n">
        <v>4920</v>
      </c>
      <c r="D548" t="n">
        <v>903680</v>
      </c>
      <c r="E548" t="n">
        <v>832036</v>
      </c>
      <c r="F548" t="n">
        <v>-13.35</v>
      </c>
      <c r="G548" t="n">
        <v>1</v>
      </c>
      <c r="H548" t="n">
        <v>2.4</v>
      </c>
    </row>
    <row r="549">
      <c r="A549" t="inlineStr">
        <is>
          <t>2023-11-06</t>
        </is>
      </c>
      <c r="B549" t="n">
        <v>-101240</v>
      </c>
      <c r="C549" t="n">
        <v>14400</v>
      </c>
      <c r="D549" t="n">
        <v>913160</v>
      </c>
      <c r="E549" t="n">
        <v>841516</v>
      </c>
      <c r="F549" t="n">
        <v>-12.44</v>
      </c>
      <c r="G549" t="n">
        <v>1</v>
      </c>
      <c r="H549" t="n">
        <v>2.4</v>
      </c>
    </row>
    <row r="550">
      <c r="A550" t="inlineStr">
        <is>
          <t>2023-11-07</t>
        </is>
      </c>
      <c r="B550" t="n">
        <v>-101240</v>
      </c>
      <c r="C550" t="n">
        <v>12240</v>
      </c>
      <c r="D550" t="n">
        <v>911000</v>
      </c>
      <c r="E550" t="n">
        <v>839356</v>
      </c>
      <c r="F550" t="n">
        <v>-12.65</v>
      </c>
      <c r="G550" t="n">
        <v>3</v>
      </c>
      <c r="H550" t="n">
        <v>6.6</v>
      </c>
    </row>
    <row r="551">
      <c r="A551" t="inlineStr">
        <is>
          <t>2023-11-08</t>
        </is>
      </c>
      <c r="B551" t="n">
        <v>-102780</v>
      </c>
      <c r="C551" t="n">
        <v>14000</v>
      </c>
      <c r="D551" t="n">
        <v>911220</v>
      </c>
      <c r="E551" t="n">
        <v>839508</v>
      </c>
      <c r="F551" t="n">
        <v>-12.63</v>
      </c>
      <c r="G551" t="n">
        <v>2</v>
      </c>
      <c r="H551" t="n">
        <v>4.5</v>
      </c>
    </row>
    <row r="552">
      <c r="A552" t="inlineStr">
        <is>
          <t>2023-11-09</t>
        </is>
      </c>
      <c r="B552" t="n">
        <v>-102780</v>
      </c>
      <c r="C552" t="n">
        <v>16000</v>
      </c>
      <c r="D552" t="n">
        <v>913220</v>
      </c>
      <c r="E552" t="n">
        <v>841508</v>
      </c>
      <c r="F552" t="n">
        <v>-12.44</v>
      </c>
      <c r="G552" t="n">
        <v>3</v>
      </c>
      <c r="H552" t="n">
        <v>5.1</v>
      </c>
    </row>
    <row r="553">
      <c r="A553" t="inlineStr">
        <is>
          <t>2023-11-10</t>
        </is>
      </c>
      <c r="B553" t="n">
        <v>-99180</v>
      </c>
      <c r="C553" t="n">
        <v>-4890</v>
      </c>
      <c r="D553" t="n">
        <v>895930</v>
      </c>
      <c r="E553" t="n">
        <v>823930</v>
      </c>
      <c r="F553" t="n">
        <v>-14.09</v>
      </c>
      <c r="G553" t="n">
        <v>3</v>
      </c>
      <c r="H553" t="n">
        <v>4.9</v>
      </c>
    </row>
    <row r="554">
      <c r="A554" t="inlineStr">
        <is>
          <t>2023-11-13</t>
        </is>
      </c>
      <c r="B554" t="n">
        <v>-102210</v>
      </c>
      <c r="C554" t="n">
        <v>-5470</v>
      </c>
      <c r="D554" t="n">
        <v>892320</v>
      </c>
      <c r="E554" t="n">
        <v>820251</v>
      </c>
      <c r="F554" t="n">
        <v>-14.44</v>
      </c>
      <c r="G554" t="n">
        <v>3</v>
      </c>
      <c r="H554" t="n">
        <v>6.4</v>
      </c>
    </row>
    <row r="555">
      <c r="A555" t="inlineStr">
        <is>
          <t>2023-11-14</t>
        </is>
      </c>
      <c r="B555" t="n">
        <v>-104440</v>
      </c>
      <c r="C555" t="n">
        <v>-9360</v>
      </c>
      <c r="D555" t="n">
        <v>886200</v>
      </c>
      <c r="E555" t="n">
        <v>813705</v>
      </c>
      <c r="F555" t="n">
        <v>-15.03</v>
      </c>
      <c r="G555" t="n">
        <v>1</v>
      </c>
      <c r="H555" t="n">
        <v>2.1</v>
      </c>
    </row>
    <row r="556">
      <c r="A556" t="inlineStr">
        <is>
          <t>2023-11-15</t>
        </is>
      </c>
      <c r="B556" t="n">
        <v>-104440</v>
      </c>
      <c r="C556" t="n">
        <v>-12480</v>
      </c>
      <c r="D556" t="n">
        <v>883080</v>
      </c>
      <c r="E556" t="n">
        <v>810585</v>
      </c>
      <c r="F556" t="n">
        <v>-15.33</v>
      </c>
      <c r="G556" t="n">
        <v>2</v>
      </c>
      <c r="H556" t="n">
        <v>4.3</v>
      </c>
    </row>
    <row r="557">
      <c r="A557" t="inlineStr">
        <is>
          <t>2023-11-16</t>
        </is>
      </c>
      <c r="B557" t="n">
        <v>-105540</v>
      </c>
      <c r="C557" t="n">
        <v>-7920</v>
      </c>
      <c r="D557" t="n">
        <v>886540</v>
      </c>
      <c r="E557" t="n">
        <v>813815</v>
      </c>
      <c r="F557" t="n">
        <v>-15</v>
      </c>
      <c r="G557" t="n">
        <v>1</v>
      </c>
      <c r="H557" t="n">
        <v>2.1</v>
      </c>
    </row>
    <row r="558">
      <c r="A558" t="inlineStr">
        <is>
          <t>2023-11-17</t>
        </is>
      </c>
      <c r="B558" t="n">
        <v>-105540</v>
      </c>
      <c r="C558" t="n">
        <v>-1680</v>
      </c>
      <c r="D558" t="n">
        <v>892780</v>
      </c>
      <c r="E558" t="n">
        <v>820055</v>
      </c>
      <c r="F558" t="n">
        <v>-14.4</v>
      </c>
      <c r="G558" t="n">
        <v>1</v>
      </c>
      <c r="H558" t="n">
        <v>2.1</v>
      </c>
    </row>
    <row r="559">
      <c r="A559" t="inlineStr">
        <is>
          <t>2023-11-20</t>
        </is>
      </c>
      <c r="B559" t="n">
        <v>-105540</v>
      </c>
      <c r="C559" t="n">
        <v>-3880</v>
      </c>
      <c r="D559" t="n">
        <v>890580</v>
      </c>
      <c r="E559" t="n">
        <v>817855</v>
      </c>
      <c r="F559" t="n">
        <v>-14.61</v>
      </c>
      <c r="G559" t="n">
        <v>2</v>
      </c>
      <c r="H559" t="n">
        <v>4.2</v>
      </c>
    </row>
    <row r="560">
      <c r="A560" t="inlineStr">
        <is>
          <t>2023-11-21</t>
        </is>
      </c>
      <c r="B560" t="n">
        <v>-107420</v>
      </c>
      <c r="C560" t="n">
        <v>-3120</v>
      </c>
      <c r="D560" t="n">
        <v>889460</v>
      </c>
      <c r="E560" t="n">
        <v>816621</v>
      </c>
      <c r="F560" t="n">
        <v>-14.72</v>
      </c>
      <c r="G560" t="n">
        <v>2</v>
      </c>
      <c r="H560" t="n">
        <v>4</v>
      </c>
    </row>
    <row r="561">
      <c r="A561" t="inlineStr">
        <is>
          <t>2023-11-22</t>
        </is>
      </c>
      <c r="B561" t="n">
        <v>-101140</v>
      </c>
      <c r="C561" t="n">
        <v>7680</v>
      </c>
      <c r="D561" t="n">
        <v>906540</v>
      </c>
      <c r="E561" t="n">
        <v>833635</v>
      </c>
      <c r="F561" t="n">
        <v>-13.08</v>
      </c>
      <c r="G561" t="n">
        <v>3</v>
      </c>
      <c r="H561" t="n">
        <v>5.8</v>
      </c>
    </row>
    <row r="562">
      <c r="A562" t="inlineStr">
        <is>
          <t>2023-11-23</t>
        </is>
      </c>
      <c r="B562" t="n">
        <v>-101140</v>
      </c>
      <c r="C562" t="n">
        <v>-770</v>
      </c>
      <c r="D562" t="n">
        <v>898090</v>
      </c>
      <c r="E562" t="n">
        <v>825185</v>
      </c>
      <c r="F562" t="n">
        <v>-13.89</v>
      </c>
      <c r="G562" t="n">
        <v>3</v>
      </c>
      <c r="H562" t="n">
        <v>5.8</v>
      </c>
    </row>
    <row r="563">
      <c r="A563" t="inlineStr">
        <is>
          <t>2023-11-24</t>
        </is>
      </c>
      <c r="B563" t="n">
        <v>-101140</v>
      </c>
      <c r="C563" t="n">
        <v>-1710</v>
      </c>
      <c r="D563" t="n">
        <v>897150</v>
      </c>
      <c r="E563" t="n">
        <v>824245</v>
      </c>
      <c r="F563" t="n">
        <v>-13.98</v>
      </c>
      <c r="G563" t="n">
        <v>4</v>
      </c>
      <c r="H563" t="n">
        <v>7.8</v>
      </c>
    </row>
    <row r="564">
      <c r="A564" t="inlineStr">
        <is>
          <t>2023-11-27</t>
        </is>
      </c>
      <c r="B564" t="n">
        <v>-82020</v>
      </c>
      <c r="C564" t="n">
        <v>-10890</v>
      </c>
      <c r="D564" t="n">
        <v>907090</v>
      </c>
      <c r="E564" t="n">
        <v>834007</v>
      </c>
      <c r="F564" t="n">
        <v>-13.02</v>
      </c>
      <c r="G564" t="n">
        <v>3</v>
      </c>
      <c r="H564" t="n">
        <v>5.8</v>
      </c>
    </row>
    <row r="565">
      <c r="A565" t="inlineStr">
        <is>
          <t>2023-11-28</t>
        </is>
      </c>
      <c r="B565" t="n">
        <v>-91920</v>
      </c>
      <c r="C565" t="n">
        <v>-15060</v>
      </c>
      <c r="D565" t="n">
        <v>893020</v>
      </c>
      <c r="E565" t="n">
        <v>819721</v>
      </c>
      <c r="F565" t="n">
        <v>-14.37</v>
      </c>
      <c r="G565" t="n">
        <v>3</v>
      </c>
      <c r="H565" t="n">
        <v>6</v>
      </c>
    </row>
    <row r="566">
      <c r="A566" t="inlineStr">
        <is>
          <t>2023-11-29</t>
        </is>
      </c>
      <c r="B566" t="n">
        <v>-90660</v>
      </c>
      <c r="C566" t="n">
        <v>-15870</v>
      </c>
      <c r="D566" t="n">
        <v>893470</v>
      </c>
      <c r="E566" t="n">
        <v>819976</v>
      </c>
      <c r="F566" t="n">
        <v>-14.33</v>
      </c>
      <c r="G566" t="n">
        <v>2</v>
      </c>
      <c r="H566" t="n">
        <v>3.9</v>
      </c>
    </row>
    <row r="567">
      <c r="A567" t="inlineStr">
        <is>
          <t>2023-11-30</t>
        </is>
      </c>
      <c r="B567" t="n">
        <v>-90660</v>
      </c>
      <c r="C567" t="n">
        <v>-8150</v>
      </c>
      <c r="D567" t="n">
        <v>901190</v>
      </c>
      <c r="E567" t="n">
        <v>827696</v>
      </c>
      <c r="F567" t="n">
        <v>-13.59</v>
      </c>
      <c r="G567" t="n">
        <v>3</v>
      </c>
      <c r="H567" t="n">
        <v>6</v>
      </c>
    </row>
    <row r="568">
      <c r="A568" t="inlineStr">
        <is>
          <t>2023-12-01</t>
        </is>
      </c>
      <c r="B568" t="n">
        <v>-85860</v>
      </c>
      <c r="C568" t="n">
        <v>-12510</v>
      </c>
      <c r="D568" t="n">
        <v>901630</v>
      </c>
      <c r="E568" t="n">
        <v>828046</v>
      </c>
      <c r="F568" t="n">
        <v>-13.55</v>
      </c>
      <c r="G568" t="n">
        <v>2</v>
      </c>
      <c r="H568" t="n">
        <v>3.9</v>
      </c>
    </row>
    <row r="569">
      <c r="A569" t="inlineStr">
        <is>
          <t>2023-12-04</t>
        </is>
      </c>
      <c r="B569" t="n">
        <v>-85860</v>
      </c>
      <c r="C569" t="n">
        <v>-17360</v>
      </c>
      <c r="D569" t="n">
        <v>896780</v>
      </c>
      <c r="E569" t="n">
        <v>823196</v>
      </c>
      <c r="F569" t="n">
        <v>-14.01</v>
      </c>
      <c r="G569" t="n">
        <v>5</v>
      </c>
      <c r="H569" t="n">
        <v>10</v>
      </c>
    </row>
    <row r="570">
      <c r="A570" t="inlineStr">
        <is>
          <t>2023-12-05</t>
        </is>
      </c>
      <c r="B570" t="n">
        <v>-93460</v>
      </c>
      <c r="C570" t="n">
        <v>-18100</v>
      </c>
      <c r="D570" t="n">
        <v>888440</v>
      </c>
      <c r="E570" t="n">
        <v>814666</v>
      </c>
      <c r="F570" t="n">
        <v>-14.81</v>
      </c>
      <c r="G570" t="n">
        <v>4</v>
      </c>
      <c r="H570" t="n">
        <v>7.8</v>
      </c>
    </row>
    <row r="571">
      <c r="A571" t="inlineStr">
        <is>
          <t>2023-12-06</t>
        </is>
      </c>
      <c r="B571" t="n">
        <v>-93460</v>
      </c>
      <c r="C571" t="n">
        <v>-24920</v>
      </c>
      <c r="D571" t="n">
        <v>881620</v>
      </c>
      <c r="E571" t="n">
        <v>807846</v>
      </c>
      <c r="F571" t="n">
        <v>-15.47</v>
      </c>
      <c r="G571" t="n">
        <v>4</v>
      </c>
      <c r="H571" t="n">
        <v>7.8</v>
      </c>
    </row>
    <row r="572">
      <c r="A572" t="inlineStr">
        <is>
          <t>2023-12-07</t>
        </is>
      </c>
      <c r="B572" t="n">
        <v>-108666</v>
      </c>
      <c r="C572" t="n">
        <v>-7850</v>
      </c>
      <c r="D572" t="n">
        <v>883484</v>
      </c>
      <c r="E572" t="n">
        <v>809518</v>
      </c>
      <c r="F572" t="n">
        <v>-15.29</v>
      </c>
      <c r="G572" t="n">
        <v>3</v>
      </c>
      <c r="H572" t="n">
        <v>5.9</v>
      </c>
    </row>
    <row r="573">
      <c r="A573" t="inlineStr">
        <is>
          <t>2023-12-08</t>
        </is>
      </c>
      <c r="B573" t="n">
        <v>-101616</v>
      </c>
      <c r="C573" t="n">
        <v>-22980</v>
      </c>
      <c r="D573" t="n">
        <v>875404</v>
      </c>
      <c r="E573" t="n">
        <v>801110</v>
      </c>
      <c r="F573" t="n">
        <v>-16.06</v>
      </c>
      <c r="G573" t="n">
        <v>3</v>
      </c>
      <c r="H573" t="n">
        <v>5.8</v>
      </c>
    </row>
    <row r="574">
      <c r="A574" t="inlineStr">
        <is>
          <t>2023-12-11</t>
        </is>
      </c>
      <c r="B574" t="n">
        <v>-101616</v>
      </c>
      <c r="C574" t="n">
        <v>-22560</v>
      </c>
      <c r="D574" t="n">
        <v>875824</v>
      </c>
      <c r="E574" t="n">
        <v>801530</v>
      </c>
      <c r="F574" t="n">
        <v>-16.02</v>
      </c>
      <c r="G574" t="n">
        <v>3</v>
      </c>
      <c r="H574" t="n">
        <v>5.8</v>
      </c>
    </row>
    <row r="575">
      <c r="A575" t="inlineStr">
        <is>
          <t>2023-12-12</t>
        </is>
      </c>
      <c r="B575" t="n">
        <v>-114456</v>
      </c>
      <c r="C575" t="n">
        <v>-12310</v>
      </c>
      <c r="D575" t="n">
        <v>873234</v>
      </c>
      <c r="E575" t="n">
        <v>798773</v>
      </c>
      <c r="F575" t="n">
        <v>-16.27</v>
      </c>
      <c r="G575" t="n">
        <v>3</v>
      </c>
      <c r="H575" t="n">
        <v>5.7</v>
      </c>
    </row>
    <row r="576">
      <c r="A576" t="inlineStr">
        <is>
          <t>2023-12-13</t>
        </is>
      </c>
      <c r="B576" t="n">
        <v>-114456</v>
      </c>
      <c r="C576" t="n">
        <v>-14960</v>
      </c>
      <c r="D576" t="n">
        <v>870584</v>
      </c>
      <c r="E576" t="n">
        <v>796123</v>
      </c>
      <c r="F576" t="n">
        <v>-16.53</v>
      </c>
      <c r="G576" t="n">
        <v>4</v>
      </c>
      <c r="H576" t="n">
        <v>7.5</v>
      </c>
    </row>
    <row r="577">
      <c r="A577" t="inlineStr">
        <is>
          <t>2023-12-14</t>
        </is>
      </c>
      <c r="B577" t="n">
        <v>-112256</v>
      </c>
      <c r="C577" t="n">
        <v>-13670</v>
      </c>
      <c r="D577" t="n">
        <v>874074</v>
      </c>
      <c r="E577" t="n">
        <v>799385</v>
      </c>
      <c r="F577" t="n">
        <v>-16.19</v>
      </c>
      <c r="G577" t="n">
        <v>5</v>
      </c>
      <c r="H577" t="n">
        <v>8.699999999999999</v>
      </c>
    </row>
    <row r="578">
      <c r="A578" t="inlineStr">
        <is>
          <t>2023-12-15</t>
        </is>
      </c>
      <c r="B578" t="n">
        <v>-110496</v>
      </c>
      <c r="C578" t="n">
        <v>-18370</v>
      </c>
      <c r="D578" t="n">
        <v>871134</v>
      </c>
      <c r="E578" t="n">
        <v>796255</v>
      </c>
      <c r="F578" t="n">
        <v>-16.47</v>
      </c>
      <c r="G578" t="n">
        <v>4</v>
      </c>
      <c r="H578" t="n">
        <v>7</v>
      </c>
    </row>
    <row r="579">
      <c r="A579" t="inlineStr">
        <is>
          <t>2023-12-18</t>
        </is>
      </c>
      <c r="B579" t="n">
        <v>-90786</v>
      </c>
      <c r="C579" t="n">
        <v>-20520</v>
      </c>
      <c r="D579" t="n">
        <v>888694</v>
      </c>
      <c r="E579" t="n">
        <v>813208</v>
      </c>
      <c r="F579" t="n">
        <v>-14.79</v>
      </c>
      <c r="G579" t="n">
        <v>3</v>
      </c>
      <c r="H579" t="n">
        <v>5.2</v>
      </c>
    </row>
    <row r="580">
      <c r="A580" t="inlineStr">
        <is>
          <t>2023-12-19</t>
        </is>
      </c>
      <c r="B580" t="n">
        <v>-90786</v>
      </c>
      <c r="C580" t="n">
        <v>-21030</v>
      </c>
      <c r="D580" t="n">
        <v>888184</v>
      </c>
      <c r="E580" t="n">
        <v>812698</v>
      </c>
      <c r="F580" t="n">
        <v>-14.84</v>
      </c>
      <c r="G580" t="n">
        <v>3</v>
      </c>
      <c r="H580" t="n">
        <v>5.2</v>
      </c>
    </row>
    <row r="581">
      <c r="A581" t="inlineStr">
        <is>
          <t>2023-12-20</t>
        </is>
      </c>
      <c r="B581" t="n">
        <v>-90786</v>
      </c>
      <c r="C581" t="n">
        <v>-23260</v>
      </c>
      <c r="D581" t="n">
        <v>885954</v>
      </c>
      <c r="E581" t="n">
        <v>810468</v>
      </c>
      <c r="F581" t="n">
        <v>-15.05</v>
      </c>
      <c r="G581" t="n">
        <v>4</v>
      </c>
      <c r="H581" t="n">
        <v>7.1</v>
      </c>
    </row>
    <row r="582">
      <c r="A582" t="inlineStr">
        <is>
          <t>2023-12-21</t>
        </is>
      </c>
      <c r="B582" t="n">
        <v>-107876</v>
      </c>
      <c r="C582" t="n">
        <v>-4860</v>
      </c>
      <c r="D582" t="n">
        <v>887264</v>
      </c>
      <c r="E582" t="n">
        <v>811541</v>
      </c>
      <c r="F582" t="n">
        <v>-14.93</v>
      </c>
      <c r="G582" t="n">
        <v>2</v>
      </c>
      <c r="H582" t="n">
        <v>3.9</v>
      </c>
    </row>
    <row r="583">
      <c r="A583" t="inlineStr">
        <is>
          <t>2023-12-22</t>
        </is>
      </c>
      <c r="B583" t="n">
        <v>-103916</v>
      </c>
      <c r="C583" t="n">
        <v>-3420</v>
      </c>
      <c r="D583" t="n">
        <v>892664</v>
      </c>
      <c r="E583" t="n">
        <v>816661</v>
      </c>
      <c r="F583" t="n">
        <v>-14.41</v>
      </c>
      <c r="G583" t="n">
        <v>2</v>
      </c>
      <c r="H583" t="n">
        <v>3.8</v>
      </c>
    </row>
    <row r="584">
      <c r="A584" t="inlineStr">
        <is>
          <t>2023-12-25</t>
        </is>
      </c>
      <c r="B584" t="n">
        <v>-103916</v>
      </c>
      <c r="C584" t="n">
        <v>-6120</v>
      </c>
      <c r="D584" t="n">
        <v>889964</v>
      </c>
      <c r="E584" t="n">
        <v>813961</v>
      </c>
      <c r="F584" t="n">
        <v>-14.67</v>
      </c>
      <c r="G584" t="n">
        <v>4</v>
      </c>
      <c r="H584" t="n">
        <v>7.5</v>
      </c>
    </row>
    <row r="585">
      <c r="A585" t="inlineStr">
        <is>
          <t>2023-12-26</t>
        </is>
      </c>
      <c r="B585" t="n">
        <v>-101516</v>
      </c>
      <c r="C585" t="n">
        <v>-3495</v>
      </c>
      <c r="D585" t="n">
        <v>894989</v>
      </c>
      <c r="E585" t="n">
        <v>818629</v>
      </c>
      <c r="F585" t="n">
        <v>-14.19</v>
      </c>
      <c r="G585" t="n">
        <v>3</v>
      </c>
      <c r="H585" t="n">
        <v>5.6</v>
      </c>
    </row>
    <row r="586">
      <c r="A586" t="inlineStr">
        <is>
          <t>2023-12-27</t>
        </is>
      </c>
      <c r="B586" t="n">
        <v>-104251</v>
      </c>
      <c r="C586" t="n">
        <v>0</v>
      </c>
      <c r="D586" t="n">
        <v>895749</v>
      </c>
      <c r="E586" t="n">
        <v>818849</v>
      </c>
      <c r="F586" t="n">
        <v>-14.11</v>
      </c>
      <c r="G586" t="n">
        <v>1</v>
      </c>
      <c r="H586" t="n">
        <v>2</v>
      </c>
    </row>
    <row r="587">
      <c r="A587" t="inlineStr">
        <is>
          <t>2023-12-28</t>
        </is>
      </c>
      <c r="B587" t="n">
        <v>-104251</v>
      </c>
      <c r="C587" t="n">
        <v>2700</v>
      </c>
      <c r="D587" t="n">
        <v>898449</v>
      </c>
      <c r="E587" t="n">
        <v>821549</v>
      </c>
      <c r="F587" t="n">
        <v>-13.85</v>
      </c>
      <c r="G587" t="n">
        <v>3</v>
      </c>
      <c r="H587" t="n">
        <v>6</v>
      </c>
    </row>
    <row r="588">
      <c r="A588" t="inlineStr">
        <is>
          <t>2023-12-29</t>
        </is>
      </c>
      <c r="B588" t="n">
        <v>-104251</v>
      </c>
      <c r="C588" t="n">
        <v>-6280</v>
      </c>
      <c r="D588" t="n">
        <v>889469</v>
      </c>
      <c r="E588" t="n">
        <v>812569</v>
      </c>
      <c r="F588" t="n">
        <v>-14.71</v>
      </c>
      <c r="G588" t="n">
        <v>3</v>
      </c>
      <c r="H588" t="n">
        <v>6</v>
      </c>
    </row>
    <row r="589">
      <c r="A589" t="inlineStr">
        <is>
          <t>2024-01-02</t>
        </is>
      </c>
      <c r="B589" t="n">
        <v>-106591</v>
      </c>
      <c r="C589" t="n">
        <v>-5250</v>
      </c>
      <c r="D589" t="n">
        <v>888159</v>
      </c>
      <c r="E589" t="n">
        <v>810960</v>
      </c>
      <c r="F589" t="n">
        <v>-14.84</v>
      </c>
      <c r="G589" t="n">
        <v>5</v>
      </c>
      <c r="H589" t="n">
        <v>10</v>
      </c>
    </row>
    <row r="590">
      <c r="A590" t="inlineStr">
        <is>
          <t>2024-01-03</t>
        </is>
      </c>
      <c r="B590" t="n">
        <v>-127738</v>
      </c>
      <c r="C590" t="n">
        <v>1350</v>
      </c>
      <c r="D590" t="n">
        <v>873612</v>
      </c>
      <c r="E590" t="n">
        <v>796052</v>
      </c>
      <c r="F590" t="n">
        <v>-16.23</v>
      </c>
      <c r="G590" t="n">
        <v>3</v>
      </c>
      <c r="H590" t="n">
        <v>6</v>
      </c>
    </row>
    <row r="591">
      <c r="A591" t="inlineStr">
        <is>
          <t>2024-01-04</t>
        </is>
      </c>
      <c r="B591" t="n">
        <v>-127738</v>
      </c>
      <c r="C591" t="n">
        <v>-12335</v>
      </c>
      <c r="D591" t="n">
        <v>859927</v>
      </c>
      <c r="E591" t="n">
        <v>782367</v>
      </c>
      <c r="F591" t="n">
        <v>-17.55</v>
      </c>
      <c r="G591" t="n">
        <v>4</v>
      </c>
      <c r="H591" t="n">
        <v>7.9</v>
      </c>
    </row>
    <row r="592">
      <c r="A592" t="inlineStr">
        <is>
          <t>2024-01-05</t>
        </is>
      </c>
      <c r="B592" t="n">
        <v>-127738</v>
      </c>
      <c r="C592" t="n">
        <v>-19715</v>
      </c>
      <c r="D592" t="n">
        <v>852547</v>
      </c>
      <c r="E592" t="n">
        <v>774987</v>
      </c>
      <c r="F592" t="n">
        <v>-18.25</v>
      </c>
      <c r="G592" t="n">
        <v>5</v>
      </c>
      <c r="H592" t="n">
        <v>9.699999999999999</v>
      </c>
    </row>
    <row r="593">
      <c r="A593" t="inlineStr">
        <is>
          <t>2024-01-08</t>
        </is>
      </c>
      <c r="B593" t="n">
        <v>-148369</v>
      </c>
      <c r="C593" t="n">
        <v>-2840</v>
      </c>
      <c r="D593" t="n">
        <v>848791</v>
      </c>
      <c r="E593" t="n">
        <v>770451</v>
      </c>
      <c r="F593" t="n">
        <v>-18.61</v>
      </c>
      <c r="G593" t="n">
        <v>3</v>
      </c>
      <c r="H593" t="n">
        <v>5.6</v>
      </c>
    </row>
    <row r="594">
      <c r="A594" t="inlineStr">
        <is>
          <t>2024-01-09</t>
        </is>
      </c>
      <c r="B594" t="n">
        <v>-156744</v>
      </c>
      <c r="C594" t="n">
        <v>4235</v>
      </c>
      <c r="D594" t="n">
        <v>847491</v>
      </c>
      <c r="E594" t="n">
        <v>768847</v>
      </c>
      <c r="F594" t="n">
        <v>-18.74</v>
      </c>
      <c r="G594" t="n">
        <v>3</v>
      </c>
      <c r="H594" t="n">
        <v>5.2</v>
      </c>
    </row>
    <row r="595">
      <c r="A595" t="inlineStr">
        <is>
          <t>2024-01-10</t>
        </is>
      </c>
      <c r="B595" t="n">
        <v>-156744</v>
      </c>
      <c r="C595" t="n">
        <v>17135</v>
      </c>
      <c r="D595" t="n">
        <v>860391</v>
      </c>
      <c r="E595" t="n">
        <v>781747</v>
      </c>
      <c r="F595" t="n">
        <v>-17.5</v>
      </c>
      <c r="G595" t="n">
        <v>3</v>
      </c>
      <c r="H595" t="n">
        <v>5.2</v>
      </c>
    </row>
    <row r="596">
      <c r="A596" t="inlineStr">
        <is>
          <t>2024-01-11</t>
        </is>
      </c>
      <c r="B596" t="n">
        <v>-153864</v>
      </c>
      <c r="C596" t="n">
        <v>12025</v>
      </c>
      <c r="D596" t="n">
        <v>858161</v>
      </c>
      <c r="E596" t="n">
        <v>779386</v>
      </c>
      <c r="F596" t="n">
        <v>-17.72</v>
      </c>
      <c r="G596" t="n">
        <v>4</v>
      </c>
      <c r="H596" t="n">
        <v>6.3</v>
      </c>
    </row>
    <row r="597">
      <c r="A597" t="inlineStr">
        <is>
          <t>2024-01-12</t>
        </is>
      </c>
      <c r="B597" t="n">
        <v>-150124</v>
      </c>
      <c r="C597" t="n">
        <v>14390</v>
      </c>
      <c r="D597" t="n">
        <v>864266</v>
      </c>
      <c r="E597" t="n">
        <v>785200</v>
      </c>
      <c r="F597" t="n">
        <v>-17.13</v>
      </c>
      <c r="G597" t="n">
        <v>3</v>
      </c>
      <c r="H597" t="n">
        <v>5.2</v>
      </c>
    </row>
    <row r="598">
      <c r="A598" t="inlineStr">
        <is>
          <t>2024-01-15</t>
        </is>
      </c>
      <c r="B598" t="n">
        <v>-134764</v>
      </c>
      <c r="C598" t="n">
        <v>2270</v>
      </c>
      <c r="D598" t="n">
        <v>867506</v>
      </c>
      <c r="E598" t="n">
        <v>788162</v>
      </c>
      <c r="F598" t="n">
        <v>-16.82</v>
      </c>
      <c r="G598" t="n">
        <v>2</v>
      </c>
      <c r="H598" t="n">
        <v>3.3</v>
      </c>
    </row>
    <row r="599">
      <c r="A599" t="inlineStr">
        <is>
          <t>2024-01-16</t>
        </is>
      </c>
      <c r="B599" t="n">
        <v>-141164</v>
      </c>
      <c r="C599" t="n">
        <v>1250</v>
      </c>
      <c r="D599" t="n">
        <v>860086</v>
      </c>
      <c r="E599" t="n">
        <v>780567</v>
      </c>
      <c r="F599" t="n">
        <v>-17.53</v>
      </c>
      <c r="G599" t="n">
        <v>1</v>
      </c>
      <c r="H599" t="n">
        <v>1.7</v>
      </c>
    </row>
    <row r="600">
      <c r="A600" t="inlineStr">
        <is>
          <t>2024-01-17</t>
        </is>
      </c>
      <c r="B600" t="n">
        <v>-141789</v>
      </c>
      <c r="C600" t="n">
        <v>0</v>
      </c>
      <c r="D600" t="n">
        <v>858211</v>
      </c>
      <c r="E600" t="n">
        <v>778389</v>
      </c>
      <c r="F600" t="n">
        <v>-17.71</v>
      </c>
      <c r="G600" t="n">
        <v>1</v>
      </c>
      <c r="H600" t="n">
        <v>1.7</v>
      </c>
    </row>
    <row r="601">
      <c r="A601" t="inlineStr">
        <is>
          <t>2024-01-18</t>
        </is>
      </c>
      <c r="B601" t="n">
        <v>-141789</v>
      </c>
      <c r="C601" t="n">
        <v>1200</v>
      </c>
      <c r="D601" t="n">
        <v>859411</v>
      </c>
      <c r="E601" t="n">
        <v>779589</v>
      </c>
      <c r="F601" t="n">
        <v>-17.6</v>
      </c>
      <c r="G601" t="n">
        <v>1</v>
      </c>
      <c r="H601" t="n">
        <v>1.7</v>
      </c>
    </row>
    <row r="602">
      <c r="A602" t="inlineStr">
        <is>
          <t>2024-01-19</t>
        </is>
      </c>
      <c r="B602" t="n">
        <v>-141789</v>
      </c>
      <c r="C602" t="n">
        <v>2700</v>
      </c>
      <c r="D602" t="n">
        <v>860911</v>
      </c>
      <c r="E602" t="n">
        <v>781089</v>
      </c>
      <c r="F602" t="n">
        <v>-17.45</v>
      </c>
      <c r="G602" t="n">
        <v>1</v>
      </c>
      <c r="H602" t="n">
        <v>1.7</v>
      </c>
    </row>
    <row r="603">
      <c r="A603" t="inlineStr">
        <is>
          <t>2024-01-22</t>
        </is>
      </c>
      <c r="B603" t="n">
        <v>-141789</v>
      </c>
      <c r="C603" t="n">
        <v>5200</v>
      </c>
      <c r="D603" t="n">
        <v>863411</v>
      </c>
      <c r="E603" t="n">
        <v>783589</v>
      </c>
      <c r="F603" t="n">
        <v>-17.21</v>
      </c>
      <c r="G603" t="n">
        <v>1</v>
      </c>
      <c r="H603" t="n">
        <v>1.7</v>
      </c>
    </row>
    <row r="604">
      <c r="A604" t="inlineStr">
        <is>
          <t>2024-01-23</t>
        </is>
      </c>
      <c r="B604" t="n">
        <v>-141789</v>
      </c>
      <c r="C604" t="n">
        <v>4700</v>
      </c>
      <c r="D604" t="n">
        <v>862911</v>
      </c>
      <c r="E604" t="n">
        <v>783089</v>
      </c>
      <c r="F604" t="n">
        <v>-17.26</v>
      </c>
      <c r="G604" t="n">
        <v>1</v>
      </c>
      <c r="H604" t="n">
        <v>1.7</v>
      </c>
    </row>
    <row r="605">
      <c r="A605" t="inlineStr">
        <is>
          <t>2024-01-24</t>
        </is>
      </c>
      <c r="B605" t="n">
        <v>-139689</v>
      </c>
      <c r="C605" t="n">
        <v>0</v>
      </c>
      <c r="D605" t="n">
        <v>860311</v>
      </c>
      <c r="E605" t="n">
        <v>780263</v>
      </c>
      <c r="F605" t="n">
        <v>-17.51</v>
      </c>
      <c r="G605" t="n">
        <v>2</v>
      </c>
      <c r="H605" t="n">
        <v>3.6</v>
      </c>
    </row>
    <row r="606">
      <c r="A606" t="inlineStr">
        <is>
          <t>2024-01-25</t>
        </is>
      </c>
      <c r="B606" t="n">
        <v>-142159</v>
      </c>
      <c r="C606" t="n">
        <v>1440</v>
      </c>
      <c r="D606" t="n">
        <v>859281</v>
      </c>
      <c r="E606" t="n">
        <v>778934</v>
      </c>
      <c r="F606" t="n">
        <v>-17.61</v>
      </c>
      <c r="G606" t="n">
        <v>2</v>
      </c>
      <c r="H606" t="n">
        <v>3.6</v>
      </c>
    </row>
    <row r="607">
      <c r="A607" t="inlineStr">
        <is>
          <t>2024-01-26</t>
        </is>
      </c>
      <c r="B607" t="n">
        <v>-146749</v>
      </c>
      <c r="C607" t="n">
        <v>1760</v>
      </c>
      <c r="D607" t="n">
        <v>855011</v>
      </c>
      <c r="E607" t="n">
        <v>774426</v>
      </c>
      <c r="F607" t="n">
        <v>-18.02</v>
      </c>
      <c r="G607" t="n">
        <v>2</v>
      </c>
      <c r="H607" t="n">
        <v>3</v>
      </c>
    </row>
    <row r="608">
      <c r="A608" t="inlineStr">
        <is>
          <t>2024-01-29</t>
        </is>
      </c>
      <c r="B608" t="n">
        <v>-144109</v>
      </c>
      <c r="C608" t="n">
        <v>8140</v>
      </c>
      <c r="D608" t="n">
        <v>864031</v>
      </c>
      <c r="E608" t="n">
        <v>783262</v>
      </c>
      <c r="F608" t="n">
        <v>-17.15</v>
      </c>
      <c r="G608" t="n">
        <v>2</v>
      </c>
      <c r="H608" t="n">
        <v>3.5</v>
      </c>
    </row>
    <row r="609">
      <c r="A609" t="inlineStr">
        <is>
          <t>2024-01-30</t>
        </is>
      </c>
      <c r="B609" t="n">
        <v>-137179</v>
      </c>
      <c r="C609" t="n">
        <v>-4480</v>
      </c>
      <c r="D609" t="n">
        <v>858341</v>
      </c>
      <c r="E609" t="n">
        <v>777324</v>
      </c>
      <c r="F609" t="n">
        <v>-17.7</v>
      </c>
      <c r="G609" t="n">
        <v>2</v>
      </c>
      <c r="H609" t="n">
        <v>3.6</v>
      </c>
    </row>
    <row r="610">
      <c r="A610" t="inlineStr">
        <is>
          <t>2024-01-31</t>
        </is>
      </c>
      <c r="B610" t="n">
        <v>-141859</v>
      </c>
      <c r="C610" t="n">
        <v>-2720</v>
      </c>
      <c r="D610" t="n">
        <v>855421</v>
      </c>
      <c r="E610" t="n">
        <v>774129</v>
      </c>
      <c r="F610" t="n">
        <v>-17.98</v>
      </c>
      <c r="G610" t="n">
        <v>1</v>
      </c>
      <c r="H610" t="n">
        <v>1.8</v>
      </c>
    </row>
    <row r="611">
      <c r="A611" t="inlineStr">
        <is>
          <t>2024-02-01</t>
        </is>
      </c>
      <c r="B611" t="n">
        <v>-143779</v>
      </c>
      <c r="C611" t="n">
        <v>0</v>
      </c>
      <c r="D611" t="n">
        <v>856221</v>
      </c>
      <c r="E611" t="n">
        <v>774717</v>
      </c>
      <c r="F611" t="n">
        <v>-17.9</v>
      </c>
      <c r="G611" t="n">
        <v>1</v>
      </c>
      <c r="H611" t="n">
        <v>1.7</v>
      </c>
    </row>
    <row r="612">
      <c r="A612" t="inlineStr">
        <is>
          <t>2024-02-02</t>
        </is>
      </c>
      <c r="B612" t="n">
        <v>-143779</v>
      </c>
      <c r="C612" t="n">
        <v>-5250</v>
      </c>
      <c r="D612" t="n">
        <v>850971</v>
      </c>
      <c r="E612" t="n">
        <v>769467</v>
      </c>
      <c r="F612" t="n">
        <v>-18.41</v>
      </c>
      <c r="G612" t="n">
        <v>2</v>
      </c>
      <c r="H612" t="n">
        <v>3.5</v>
      </c>
    </row>
    <row r="613">
      <c r="A613" t="inlineStr">
        <is>
          <t>2024-02-05</t>
        </is>
      </c>
      <c r="B613" t="n">
        <v>-144649</v>
      </c>
      <c r="C613" t="n">
        <v>-6240</v>
      </c>
      <c r="D613" t="n">
        <v>849111</v>
      </c>
      <c r="E613" t="n">
        <v>767521</v>
      </c>
      <c r="F613" t="n">
        <v>-18.58</v>
      </c>
      <c r="G613" t="n">
        <v>1</v>
      </c>
      <c r="H613" t="n">
        <v>1.7</v>
      </c>
    </row>
    <row r="614">
      <c r="A614" t="inlineStr">
        <is>
          <t>2024-02-06</t>
        </is>
      </c>
      <c r="B614" t="n">
        <v>-144649</v>
      </c>
      <c r="C614" t="n">
        <v>-7800</v>
      </c>
      <c r="D614" t="n">
        <v>847551</v>
      </c>
      <c r="E614" t="n">
        <v>765961</v>
      </c>
      <c r="F614" t="n">
        <v>-18.73</v>
      </c>
      <c r="G614" t="n">
        <v>4</v>
      </c>
      <c r="H614" t="n">
        <v>6.8</v>
      </c>
    </row>
    <row r="615">
      <c r="A615" t="inlineStr">
        <is>
          <t>2024-02-07</t>
        </is>
      </c>
      <c r="B615" t="n">
        <v>-139709</v>
      </c>
      <c r="C615" t="n">
        <v>-2120</v>
      </c>
      <c r="D615" t="n">
        <v>858171</v>
      </c>
      <c r="E615" t="n">
        <v>776197</v>
      </c>
      <c r="F615" t="n">
        <v>-17.72</v>
      </c>
      <c r="G615" t="n">
        <v>4</v>
      </c>
      <c r="H615" t="n">
        <v>6.8</v>
      </c>
    </row>
    <row r="616">
      <c r="A616" t="inlineStr">
        <is>
          <t>2024-02-08</t>
        </is>
      </c>
      <c r="B616" t="n">
        <v>-144329</v>
      </c>
      <c r="C616" t="n">
        <v>1220</v>
      </c>
      <c r="D616" t="n">
        <v>856891</v>
      </c>
      <c r="E616" t="n">
        <v>774670</v>
      </c>
      <c r="F616" t="n">
        <v>-17.84</v>
      </c>
      <c r="G616" t="n">
        <v>3</v>
      </c>
      <c r="H616" t="n">
        <v>5.1</v>
      </c>
    </row>
    <row r="617">
      <c r="A617" t="inlineStr">
        <is>
          <t>2024-02-19</t>
        </is>
      </c>
      <c r="B617" t="n">
        <v>-145529</v>
      </c>
      <c r="C617" t="n">
        <v>-8080</v>
      </c>
      <c r="D617" t="n">
        <v>846391</v>
      </c>
      <c r="E617" t="n">
        <v>763958</v>
      </c>
      <c r="F617" t="n">
        <v>-18.84</v>
      </c>
      <c r="G617" t="n">
        <v>4</v>
      </c>
      <c r="H617" t="n">
        <v>6.8</v>
      </c>
    </row>
    <row r="618">
      <c r="A618" t="inlineStr">
        <is>
          <t>2024-02-20</t>
        </is>
      </c>
      <c r="B618" t="n">
        <v>-149879</v>
      </c>
      <c r="C618" t="n">
        <v>-13705</v>
      </c>
      <c r="D618" t="n">
        <v>836416</v>
      </c>
      <c r="E618" t="n">
        <v>753638</v>
      </c>
      <c r="F618" t="n">
        <v>-19.8</v>
      </c>
      <c r="G618" t="n">
        <v>4</v>
      </c>
      <c r="H618" t="n">
        <v>6.8</v>
      </c>
    </row>
    <row r="619">
      <c r="A619" t="inlineStr">
        <is>
          <t>2024-02-21</t>
        </is>
      </c>
      <c r="B619" t="n">
        <v>-149879</v>
      </c>
      <c r="C619" t="n">
        <v>-24425</v>
      </c>
      <c r="D619" t="n">
        <v>825696</v>
      </c>
      <c r="E619" t="n">
        <v>742918</v>
      </c>
      <c r="F619" t="n">
        <v>-20.83</v>
      </c>
      <c r="G619" t="n">
        <v>4</v>
      </c>
      <c r="H619" t="n">
        <v>6.8</v>
      </c>
    </row>
    <row r="620">
      <c r="A620" t="inlineStr">
        <is>
          <t>2024-02-22</t>
        </is>
      </c>
      <c r="B620" t="n">
        <v>-163613</v>
      </c>
      <c r="C620" t="n">
        <v>-11925</v>
      </c>
      <c r="D620" t="n">
        <v>824462</v>
      </c>
      <c r="E620" t="n">
        <v>741322</v>
      </c>
      <c r="F620" t="n">
        <v>-20.95</v>
      </c>
      <c r="G620" t="n">
        <v>2</v>
      </c>
      <c r="H620" t="n">
        <v>3.4</v>
      </c>
    </row>
    <row r="621">
      <c r="A621" t="inlineStr">
        <is>
          <t>2024-02-23</t>
        </is>
      </c>
      <c r="B621" t="n">
        <v>-163613</v>
      </c>
      <c r="C621" t="n">
        <v>-16300</v>
      </c>
      <c r="D621" t="n">
        <v>820087</v>
      </c>
      <c r="E621" t="n">
        <v>736947</v>
      </c>
      <c r="F621" t="n">
        <v>-21.37</v>
      </c>
      <c r="G621" t="n">
        <v>3</v>
      </c>
      <c r="H621" t="n">
        <v>4.8</v>
      </c>
    </row>
    <row r="622">
      <c r="A622" t="inlineStr">
        <is>
          <t>2024-02-26</t>
        </is>
      </c>
      <c r="B622" t="n">
        <v>-163833</v>
      </c>
      <c r="C622" t="n">
        <v>-12190</v>
      </c>
      <c r="D622" t="n">
        <v>823977</v>
      </c>
      <c r="E622" t="n">
        <v>740589</v>
      </c>
      <c r="F622" t="n">
        <v>-20.99</v>
      </c>
      <c r="G622" t="n">
        <v>4</v>
      </c>
      <c r="H622" t="n">
        <v>6.3</v>
      </c>
    </row>
    <row r="623">
      <c r="A623" t="inlineStr">
        <is>
          <t>2024-02-27</t>
        </is>
      </c>
      <c r="B623" t="n">
        <v>-162713</v>
      </c>
      <c r="C623" t="n">
        <v>-10640</v>
      </c>
      <c r="D623" t="n">
        <v>826647</v>
      </c>
      <c r="E623" t="n">
        <v>742887</v>
      </c>
      <c r="F623" t="n">
        <v>-20.74</v>
      </c>
      <c r="G623" t="n">
        <v>3</v>
      </c>
      <c r="H623" t="n">
        <v>4.8</v>
      </c>
    </row>
    <row r="624">
      <c r="A624" t="inlineStr">
        <is>
          <t>2024-02-28</t>
        </is>
      </c>
      <c r="B624" t="n">
        <v>-163913</v>
      </c>
      <c r="C624" t="n">
        <v>-13995</v>
      </c>
      <c r="D624" t="n">
        <v>822092</v>
      </c>
      <c r="E624" t="n">
        <v>738107</v>
      </c>
      <c r="F624" t="n">
        <v>-21.17</v>
      </c>
      <c r="G624" t="n">
        <v>2</v>
      </c>
      <c r="H624" t="n">
        <v>3.4</v>
      </c>
    </row>
    <row r="625">
      <c r="A625" t="inlineStr">
        <is>
          <t>2024-02-29</t>
        </is>
      </c>
      <c r="B625" t="n">
        <v>-163913</v>
      </c>
      <c r="C625" t="n">
        <v>-12115</v>
      </c>
      <c r="D625" t="n">
        <v>823972</v>
      </c>
      <c r="E625" t="n">
        <v>739987</v>
      </c>
      <c r="F625" t="n">
        <v>-20.99</v>
      </c>
      <c r="G625" t="n">
        <v>4</v>
      </c>
      <c r="H625" t="n">
        <v>6.2</v>
      </c>
    </row>
    <row r="626">
      <c r="A626" t="inlineStr">
        <is>
          <t>2024-03-01</t>
        </is>
      </c>
      <c r="B626" t="n">
        <v>-158073</v>
      </c>
      <c r="C626" t="n">
        <v>-8225</v>
      </c>
      <c r="D626" t="n">
        <v>833702</v>
      </c>
      <c r="E626" t="n">
        <v>749338</v>
      </c>
      <c r="F626" t="n">
        <v>-20.06</v>
      </c>
      <c r="G626" t="n">
        <v>2</v>
      </c>
      <c r="H626" t="n">
        <v>3.4</v>
      </c>
    </row>
    <row r="627">
      <c r="A627" t="inlineStr">
        <is>
          <t>2024-03-04</t>
        </is>
      </c>
      <c r="B627" t="n">
        <v>-147113</v>
      </c>
      <c r="C627" t="n">
        <v>-5500</v>
      </c>
      <c r="D627" t="n">
        <v>847387</v>
      </c>
      <c r="E627" t="n">
        <v>762846</v>
      </c>
      <c r="F627" t="n">
        <v>-18.75</v>
      </c>
      <c r="G627" t="n">
        <v>2</v>
      </c>
      <c r="H627" t="n">
        <v>3.2</v>
      </c>
    </row>
    <row r="628">
      <c r="A628" t="inlineStr">
        <is>
          <t>2024-03-05</t>
        </is>
      </c>
      <c r="B628" t="n">
        <v>-147113</v>
      </c>
      <c r="C628" t="n">
        <v>-2475</v>
      </c>
      <c r="D628" t="n">
        <v>850412</v>
      </c>
      <c r="E628" t="n">
        <v>765871</v>
      </c>
      <c r="F628" t="n">
        <v>-18.46</v>
      </c>
      <c r="G628" t="n">
        <v>3</v>
      </c>
      <c r="H628" t="n">
        <v>4.8</v>
      </c>
    </row>
    <row r="629">
      <c r="A629" t="inlineStr">
        <is>
          <t>2024-03-06</t>
        </is>
      </c>
      <c r="B629" t="n">
        <v>-141613</v>
      </c>
      <c r="C629" t="n">
        <v>-1315</v>
      </c>
      <c r="D629" t="n">
        <v>857072</v>
      </c>
      <c r="E629" t="n">
        <v>772294</v>
      </c>
      <c r="F629" t="n">
        <v>-17.82</v>
      </c>
      <c r="G629" t="n">
        <v>4</v>
      </c>
      <c r="H629" t="n">
        <v>6.2</v>
      </c>
    </row>
    <row r="630">
      <c r="A630" t="inlineStr">
        <is>
          <t>2024-03-07</t>
        </is>
      </c>
      <c r="B630" t="n">
        <v>-141453</v>
      </c>
      <c r="C630" t="n">
        <v>675</v>
      </c>
      <c r="D630" t="n">
        <v>859222</v>
      </c>
      <c r="E630" t="n">
        <v>774254</v>
      </c>
      <c r="F630" t="n">
        <v>-17.61</v>
      </c>
      <c r="G630" t="n">
        <v>4</v>
      </c>
      <c r="H630" t="n">
        <v>6.5</v>
      </c>
    </row>
    <row r="631">
      <c r="A631" t="inlineStr">
        <is>
          <t>2024-03-08</t>
        </is>
      </c>
      <c r="B631" t="n">
        <v>-141453</v>
      </c>
      <c r="C631" t="n">
        <v>10155</v>
      </c>
      <c r="D631" t="n">
        <v>868702</v>
      </c>
      <c r="E631" t="n">
        <v>783734</v>
      </c>
      <c r="F631" t="n">
        <v>-16.71</v>
      </c>
      <c r="G631" t="n">
        <v>6</v>
      </c>
      <c r="H631" t="n">
        <v>9.5</v>
      </c>
    </row>
    <row r="632">
      <c r="A632" t="inlineStr">
        <is>
          <t>2024-03-11</t>
        </is>
      </c>
      <c r="B632" t="n">
        <v>-131793</v>
      </c>
      <c r="C632" t="n">
        <v>14780</v>
      </c>
      <c r="D632" t="n">
        <v>882987</v>
      </c>
      <c r="E632" t="n">
        <v>797929</v>
      </c>
      <c r="F632" t="n">
        <v>-15.34</v>
      </c>
      <c r="G632" t="n">
        <v>7</v>
      </c>
      <c r="H632" t="n">
        <v>10</v>
      </c>
    </row>
    <row r="633">
      <c r="A633" t="inlineStr">
        <is>
          <t>2024-03-12</t>
        </is>
      </c>
      <c r="B633" t="n">
        <v>-130233</v>
      </c>
      <c r="C633" t="n">
        <v>9190</v>
      </c>
      <c r="D633" t="n">
        <v>878957</v>
      </c>
      <c r="E633" t="n">
        <v>793831</v>
      </c>
      <c r="F633" t="n">
        <v>-15.72</v>
      </c>
      <c r="G633" t="n">
        <v>6</v>
      </c>
      <c r="H633" t="n">
        <v>9.6</v>
      </c>
    </row>
    <row r="634">
      <c r="A634" t="inlineStr">
        <is>
          <t>2024-03-13</t>
        </is>
      </c>
      <c r="B634" t="n">
        <v>-121763</v>
      </c>
      <c r="C634" t="n">
        <v>15420</v>
      </c>
      <c r="D634" t="n">
        <v>893657</v>
      </c>
      <c r="E634" t="n">
        <v>807725</v>
      </c>
      <c r="F634" t="n">
        <v>-14.31</v>
      </c>
      <c r="G634" t="n">
        <v>5</v>
      </c>
      <c r="H634" t="n">
        <v>8.1</v>
      </c>
    </row>
    <row r="635">
      <c r="A635" t="inlineStr">
        <is>
          <t>2024-03-14</t>
        </is>
      </c>
      <c r="B635" t="n">
        <v>-121763</v>
      </c>
      <c r="C635" t="n">
        <v>38725</v>
      </c>
      <c r="D635" t="n">
        <v>916962</v>
      </c>
      <c r="E635" t="n">
        <v>831030</v>
      </c>
      <c r="F635" t="n">
        <v>-12.08</v>
      </c>
      <c r="G635" t="n">
        <v>6</v>
      </c>
      <c r="H635" t="n">
        <v>10</v>
      </c>
    </row>
    <row r="636">
      <c r="A636" t="inlineStr">
        <is>
          <t>2024-03-15</t>
        </is>
      </c>
      <c r="B636" t="n">
        <v>-121763</v>
      </c>
      <c r="C636" t="n">
        <v>41175</v>
      </c>
      <c r="D636" t="n">
        <v>919412</v>
      </c>
      <c r="E636" t="n">
        <v>833480</v>
      </c>
      <c r="F636" t="n">
        <v>-11.84</v>
      </c>
      <c r="G636" t="n">
        <v>6</v>
      </c>
      <c r="H636" t="n">
        <v>10</v>
      </c>
    </row>
    <row r="637">
      <c r="A637" t="inlineStr">
        <is>
          <t>2024-03-18</t>
        </is>
      </c>
      <c r="B637" t="n">
        <v>-100463</v>
      </c>
      <c r="C637" t="n">
        <v>16545</v>
      </c>
      <c r="D637" t="n">
        <v>916082</v>
      </c>
      <c r="E637" t="n">
        <v>829911</v>
      </c>
      <c r="F637" t="n">
        <v>-12.16</v>
      </c>
      <c r="G637" t="n">
        <v>6</v>
      </c>
      <c r="H637" t="n">
        <v>10</v>
      </c>
    </row>
    <row r="638">
      <c r="A638" t="inlineStr">
        <is>
          <t>2024-03-19</t>
        </is>
      </c>
      <c r="B638" t="n">
        <v>-92762</v>
      </c>
      <c r="C638" t="n">
        <v>4025</v>
      </c>
      <c r="D638" t="n">
        <v>911263</v>
      </c>
      <c r="E638" t="n">
        <v>824550</v>
      </c>
      <c r="F638" t="n">
        <v>-12.62</v>
      </c>
      <c r="G638" t="n">
        <v>4</v>
      </c>
      <c r="H638" t="n">
        <v>6.8</v>
      </c>
    </row>
    <row r="639">
      <c r="A639" t="inlineStr">
        <is>
          <t>2024-03-20</t>
        </is>
      </c>
      <c r="B639" t="n">
        <v>-85962</v>
      </c>
      <c r="C639" t="n">
        <v>1790</v>
      </c>
      <c r="D639" t="n">
        <v>915828</v>
      </c>
      <c r="E639" t="n">
        <v>828924</v>
      </c>
      <c r="F639" t="n">
        <v>-12.19</v>
      </c>
      <c r="G639" t="n">
        <v>5</v>
      </c>
      <c r="H639" t="n">
        <v>8.4</v>
      </c>
    </row>
    <row r="640">
      <c r="A640" t="inlineStr">
        <is>
          <t>2024-03-21</t>
        </is>
      </c>
      <c r="B640" t="n">
        <v>-86862</v>
      </c>
      <c r="C640" t="n">
        <v>18975</v>
      </c>
      <c r="D640" t="n">
        <v>932113</v>
      </c>
      <c r="E640" t="n">
        <v>844885</v>
      </c>
      <c r="F640" t="n">
        <v>-10.63</v>
      </c>
      <c r="G640" t="n">
        <v>5</v>
      </c>
      <c r="H640" t="n">
        <v>10</v>
      </c>
    </row>
    <row r="641">
      <c r="A641" t="inlineStr">
        <is>
          <t>2024-03-22</t>
        </is>
      </c>
      <c r="B641" t="n">
        <v>-86862</v>
      </c>
      <c r="C641" t="n">
        <v>-3375</v>
      </c>
      <c r="D641" t="n">
        <v>909763</v>
      </c>
      <c r="E641" t="n">
        <v>822535</v>
      </c>
      <c r="F641" t="n">
        <v>-12.77</v>
      </c>
      <c r="G641" t="n">
        <v>5</v>
      </c>
      <c r="H641" t="n">
        <v>10</v>
      </c>
    </row>
    <row r="642">
      <c r="A642" t="inlineStr">
        <is>
          <t>2024-03-25</t>
        </is>
      </c>
      <c r="B642" t="n">
        <v>-95012</v>
      </c>
      <c r="C642" t="n">
        <v>-4200</v>
      </c>
      <c r="D642" t="n">
        <v>900788</v>
      </c>
      <c r="E642" t="n">
        <v>812491</v>
      </c>
      <c r="F642" t="n">
        <v>-13.63</v>
      </c>
      <c r="G642" t="n">
        <v>4</v>
      </c>
      <c r="H642" t="n">
        <v>8.5</v>
      </c>
    </row>
    <row r="643">
      <c r="A643" t="inlineStr">
        <is>
          <t>2024-03-26</t>
        </is>
      </c>
      <c r="B643" t="n">
        <v>-87072</v>
      </c>
      <c r="C643" t="n">
        <v>-12800</v>
      </c>
      <c r="D643" t="n">
        <v>900128</v>
      </c>
      <c r="E643" t="n">
        <v>811244</v>
      </c>
      <c r="F643" t="n">
        <v>-13.69</v>
      </c>
      <c r="G643" t="n">
        <v>6</v>
      </c>
      <c r="H643" t="n">
        <v>10</v>
      </c>
    </row>
    <row r="644">
      <c r="A644" t="inlineStr">
        <is>
          <t>2024-03-27</t>
        </is>
      </c>
      <c r="B644" t="n">
        <v>-84792</v>
      </c>
      <c r="C644" t="n">
        <v>-25320</v>
      </c>
      <c r="D644" t="n">
        <v>889888</v>
      </c>
      <c r="E644" t="n">
        <v>800694</v>
      </c>
      <c r="F644" t="n">
        <v>-14.67</v>
      </c>
      <c r="G644" t="n">
        <v>6</v>
      </c>
      <c r="H644" t="n">
        <v>10</v>
      </c>
    </row>
    <row r="645">
      <c r="A645" t="inlineStr">
        <is>
          <t>2024-03-28</t>
        </is>
      </c>
      <c r="B645" t="n">
        <v>-81952</v>
      </c>
      <c r="C645" t="n">
        <v>-33320</v>
      </c>
      <c r="D645" t="n">
        <v>884728</v>
      </c>
      <c r="E645" t="n">
        <v>795347</v>
      </c>
      <c r="F645" t="n">
        <v>-15.17</v>
      </c>
      <c r="G645" t="n">
        <v>6</v>
      </c>
      <c r="H645" t="n">
        <v>10</v>
      </c>
    </row>
    <row r="646">
      <c r="A646" t="inlineStr">
        <is>
          <t>2024-03-29</t>
        </is>
      </c>
      <c r="B646" t="n">
        <v>-89032</v>
      </c>
      <c r="C646" t="n">
        <v>-15370</v>
      </c>
      <c r="D646" t="n">
        <v>895598</v>
      </c>
      <c r="E646" t="n">
        <v>805930</v>
      </c>
      <c r="F646" t="n">
        <v>-14.13</v>
      </c>
      <c r="G646" t="n">
        <v>6</v>
      </c>
      <c r="H646" t="n">
        <v>10</v>
      </c>
    </row>
    <row r="647">
      <c r="A647" t="inlineStr">
        <is>
          <t>2024-04-01</t>
        </is>
      </c>
      <c r="B647" t="n">
        <v>-91282</v>
      </c>
      <c r="C647" t="n">
        <v>-21650</v>
      </c>
      <c r="D647" t="n">
        <v>887068</v>
      </c>
      <c r="E647" t="n">
        <v>797135</v>
      </c>
      <c r="F647" t="n">
        <v>-14.94</v>
      </c>
      <c r="G647" t="n">
        <v>6</v>
      </c>
      <c r="H647" t="n">
        <v>10</v>
      </c>
    </row>
    <row r="648">
      <c r="A648" t="inlineStr">
        <is>
          <t>2024-04-02</t>
        </is>
      </c>
      <c r="B648" t="n">
        <v>-90052</v>
      </c>
      <c r="C648" t="n">
        <v>-22500</v>
      </c>
      <c r="D648" t="n">
        <v>887448</v>
      </c>
      <c r="E648" t="n">
        <v>797475</v>
      </c>
      <c r="F648" t="n">
        <v>-14.91</v>
      </c>
      <c r="G648" t="n">
        <v>5</v>
      </c>
      <c r="H648" t="n">
        <v>9.300000000000001</v>
      </c>
    </row>
    <row r="649">
      <c r="A649" t="inlineStr">
        <is>
          <t>2024-04-03</t>
        </is>
      </c>
      <c r="B649" t="n">
        <v>-85702</v>
      </c>
      <c r="C649" t="n">
        <v>-15210</v>
      </c>
      <c r="D649" t="n">
        <v>899088</v>
      </c>
      <c r="E649" t="n">
        <v>808996</v>
      </c>
      <c r="F649" t="n">
        <v>-13.79</v>
      </c>
      <c r="G649" t="n">
        <v>5</v>
      </c>
      <c r="H649" t="n">
        <v>10</v>
      </c>
    </row>
    <row r="650">
      <c r="A650" t="inlineStr">
        <is>
          <t>2024-04-08</t>
        </is>
      </c>
      <c r="B650" t="n">
        <v>-88962</v>
      </c>
      <c r="C650" t="n">
        <v>-3590</v>
      </c>
      <c r="D650" t="n">
        <v>907448</v>
      </c>
      <c r="E650" t="n">
        <v>816288</v>
      </c>
      <c r="F650" t="n">
        <v>-12.99</v>
      </c>
      <c r="G650" t="n">
        <v>2</v>
      </c>
      <c r="H650" t="n">
        <v>3.5</v>
      </c>
    </row>
    <row r="651">
      <c r="A651" t="inlineStr">
        <is>
          <t>2024-04-09</t>
        </is>
      </c>
      <c r="B651" t="n">
        <v>-88962</v>
      </c>
      <c r="C651" t="n">
        <v>-5550</v>
      </c>
      <c r="D651" t="n">
        <v>905488</v>
      </c>
      <c r="E651" t="n">
        <v>814328</v>
      </c>
      <c r="F651" t="n">
        <v>-13.18</v>
      </c>
      <c r="G651" t="n">
        <v>4</v>
      </c>
      <c r="H651" t="n">
        <v>8</v>
      </c>
    </row>
    <row r="652">
      <c r="A652" t="inlineStr">
        <is>
          <t>2024-04-10</t>
        </is>
      </c>
      <c r="B652" t="n">
        <v>-104402</v>
      </c>
      <c r="C652" t="n">
        <v>9750</v>
      </c>
      <c r="D652" t="n">
        <v>905348</v>
      </c>
      <c r="E652" t="n">
        <v>812943</v>
      </c>
      <c r="F652" t="n">
        <v>-13.19</v>
      </c>
      <c r="G652" t="n">
        <v>3</v>
      </c>
      <c r="H652" t="n">
        <v>5.6</v>
      </c>
    </row>
    <row r="653">
      <c r="A653" t="inlineStr">
        <is>
          <t>2024-04-11</t>
        </is>
      </c>
      <c r="B653" t="n">
        <v>-104402</v>
      </c>
      <c r="C653" t="n">
        <v>12850</v>
      </c>
      <c r="D653" t="n">
        <v>908448</v>
      </c>
      <c r="E653" t="n">
        <v>816043</v>
      </c>
      <c r="F653" t="n">
        <v>-12.89</v>
      </c>
      <c r="G653" t="n">
        <v>3</v>
      </c>
      <c r="H653" t="n">
        <v>5.6</v>
      </c>
    </row>
    <row r="654">
      <c r="A654" t="inlineStr">
        <is>
          <t>2024-04-12</t>
        </is>
      </c>
      <c r="B654" t="n">
        <v>-95402</v>
      </c>
      <c r="C654" t="n">
        <v>24840</v>
      </c>
      <c r="D654" t="n">
        <v>929438</v>
      </c>
      <c r="E654" t="n">
        <v>836788</v>
      </c>
      <c r="F654" t="n">
        <v>-10.88</v>
      </c>
      <c r="G654" t="n">
        <v>2</v>
      </c>
      <c r="H654" t="n">
        <v>3.4</v>
      </c>
    </row>
    <row r="655">
      <c r="A655" t="inlineStr">
        <is>
          <t>2024-04-15</t>
        </is>
      </c>
      <c r="B655" t="n">
        <v>-73142</v>
      </c>
      <c r="C655" t="n">
        <v>0</v>
      </c>
      <c r="D655" t="n">
        <v>926858</v>
      </c>
      <c r="E655" t="n">
        <v>833765</v>
      </c>
      <c r="F655" t="n">
        <v>-11.13</v>
      </c>
      <c r="G655" t="n">
        <v>1</v>
      </c>
      <c r="H655" t="n">
        <v>2.4</v>
      </c>
    </row>
    <row r="656">
      <c r="A656" t="inlineStr">
        <is>
          <t>2024-04-16</t>
        </is>
      </c>
      <c r="B656" t="n">
        <v>-73142</v>
      </c>
      <c r="C656" t="n">
        <v>3900</v>
      </c>
      <c r="D656" t="n">
        <v>930758</v>
      </c>
      <c r="E656" t="n">
        <v>837665</v>
      </c>
      <c r="F656" t="n">
        <v>-10.76</v>
      </c>
      <c r="G656" t="n">
        <v>2</v>
      </c>
      <c r="H656" t="n">
        <v>4.7</v>
      </c>
    </row>
    <row r="657">
      <c r="A657" t="inlineStr">
        <is>
          <t>2024-04-17</t>
        </is>
      </c>
      <c r="B657" t="n">
        <v>-78142</v>
      </c>
      <c r="C657" t="n">
        <v>6630</v>
      </c>
      <c r="D657" t="n">
        <v>928488</v>
      </c>
      <c r="E657" t="n">
        <v>835071</v>
      </c>
      <c r="F657" t="n">
        <v>-10.97</v>
      </c>
      <c r="G657" t="n">
        <v>2</v>
      </c>
      <c r="H657" t="n">
        <v>4.7</v>
      </c>
    </row>
    <row r="658">
      <c r="A658" t="inlineStr">
        <is>
          <t>2024-04-18</t>
        </is>
      </c>
      <c r="B658" t="n">
        <v>-77032</v>
      </c>
      <c r="C658" t="n">
        <v>7800</v>
      </c>
      <c r="D658" t="n">
        <v>930768</v>
      </c>
      <c r="E658" t="n">
        <v>837269</v>
      </c>
      <c r="F658" t="n">
        <v>-10.75</v>
      </c>
      <c r="G658" t="n">
        <v>4</v>
      </c>
      <c r="H658" t="n">
        <v>9.4</v>
      </c>
    </row>
    <row r="659">
      <c r="A659" t="inlineStr">
        <is>
          <t>2024-04-19</t>
        </is>
      </c>
      <c r="B659" t="n">
        <v>-77032</v>
      </c>
      <c r="C659" t="n">
        <v>11640</v>
      </c>
      <c r="D659" t="n">
        <v>934608</v>
      </c>
      <c r="E659" t="n">
        <v>841109</v>
      </c>
      <c r="F659" t="n">
        <v>-10.39</v>
      </c>
      <c r="G659" t="n">
        <v>5</v>
      </c>
      <c r="H659" t="n">
        <v>10</v>
      </c>
    </row>
    <row r="660">
      <c r="A660" t="inlineStr">
        <is>
          <t>2024-04-22</t>
        </is>
      </c>
      <c r="B660" t="n">
        <v>-72077</v>
      </c>
      <c r="C660" t="n">
        <v>8030</v>
      </c>
      <c r="D660" t="n">
        <v>935953</v>
      </c>
      <c r="E660" t="n">
        <v>841818</v>
      </c>
      <c r="F660" t="n">
        <v>-10.26</v>
      </c>
      <c r="G660" t="n">
        <v>3</v>
      </c>
      <c r="H660" t="n">
        <v>5.3</v>
      </c>
    </row>
    <row r="661">
      <c r="A661" t="inlineStr">
        <is>
          <t>2024-04-23</t>
        </is>
      </c>
      <c r="B661" t="n">
        <v>-71637</v>
      </c>
      <c r="C661" t="n">
        <v>620</v>
      </c>
      <c r="D661" t="n">
        <v>928983</v>
      </c>
      <c r="E661" t="n">
        <v>834796</v>
      </c>
      <c r="F661" t="n">
        <v>-10.93</v>
      </c>
      <c r="G661" t="n">
        <v>2</v>
      </c>
      <c r="H661" t="n">
        <v>4.7</v>
      </c>
    </row>
    <row r="662">
      <c r="A662" t="inlineStr">
        <is>
          <t>2024-04-24</t>
        </is>
      </c>
      <c r="B662" t="n">
        <v>-71637</v>
      </c>
      <c r="C662" t="n">
        <v>-4830</v>
      </c>
      <c r="D662" t="n">
        <v>923533</v>
      </c>
      <c r="E662" t="n">
        <v>829346</v>
      </c>
      <c r="F662" t="n">
        <v>-11.45</v>
      </c>
      <c r="G662" t="n">
        <v>4</v>
      </c>
      <c r="H662" t="n">
        <v>9.5</v>
      </c>
    </row>
    <row r="663">
      <c r="A663" t="inlineStr">
        <is>
          <t>2024-04-25</t>
        </is>
      </c>
      <c r="B663" t="n">
        <v>-71637</v>
      </c>
      <c r="C663" t="n">
        <v>10310</v>
      </c>
      <c r="D663" t="n">
        <v>938673</v>
      </c>
      <c r="E663" t="n">
        <v>844486</v>
      </c>
      <c r="F663" t="n">
        <v>-10</v>
      </c>
      <c r="G663" t="n">
        <v>5</v>
      </c>
      <c r="H663" t="n">
        <v>10</v>
      </c>
    </row>
    <row r="664">
      <c r="A664" t="inlineStr">
        <is>
          <t>2024-04-26</t>
        </is>
      </c>
      <c r="B664" t="n">
        <v>-71637</v>
      </c>
      <c r="C664" t="n">
        <v>21030</v>
      </c>
      <c r="D664" t="n">
        <v>949393</v>
      </c>
      <c r="E664" t="n">
        <v>855206</v>
      </c>
      <c r="F664" t="n">
        <v>-8.970000000000001</v>
      </c>
      <c r="G664" t="n">
        <v>5</v>
      </c>
      <c r="H664" t="n">
        <v>10</v>
      </c>
    </row>
    <row r="665">
      <c r="A665" t="inlineStr">
        <is>
          <t>2024-04-29</t>
        </is>
      </c>
      <c r="B665" t="n">
        <v>-61337</v>
      </c>
      <c r="C665" t="n">
        <v>7530</v>
      </c>
      <c r="D665" t="n">
        <v>946193</v>
      </c>
      <c r="E665" t="n">
        <v>850942</v>
      </c>
      <c r="F665" t="n">
        <v>-9.279999999999999</v>
      </c>
      <c r="G665" t="n">
        <v>4</v>
      </c>
      <c r="H665" t="n">
        <v>7.7</v>
      </c>
    </row>
    <row r="666">
      <c r="A666" t="inlineStr">
        <is>
          <t>2024-04-30</t>
        </is>
      </c>
      <c r="B666" t="n">
        <v>-58622</v>
      </c>
      <c r="C666" t="n">
        <v>14690</v>
      </c>
      <c r="D666" t="n">
        <v>956068</v>
      </c>
      <c r="E666" t="n">
        <v>860300</v>
      </c>
      <c r="F666" t="n">
        <v>-8.33</v>
      </c>
      <c r="G666" t="n">
        <v>3</v>
      </c>
      <c r="H666" t="n">
        <v>5.3</v>
      </c>
    </row>
    <row r="667">
      <c r="A667" t="inlineStr">
        <is>
          <t>2024-05-06</t>
        </is>
      </c>
      <c r="B667" t="n">
        <v>-47152</v>
      </c>
      <c r="C667" t="n">
        <v>1800</v>
      </c>
      <c r="D667" t="n">
        <v>954648</v>
      </c>
      <c r="E667" t="n">
        <v>858694</v>
      </c>
      <c r="F667" t="n">
        <v>-8.460000000000001</v>
      </c>
      <c r="G667" t="n">
        <v>2</v>
      </c>
      <c r="H667" t="n">
        <v>5</v>
      </c>
    </row>
    <row r="668">
      <c r="A668" t="inlineStr">
        <is>
          <t>2024-05-07</t>
        </is>
      </c>
      <c r="B668" t="n">
        <v>-47152</v>
      </c>
      <c r="C668" t="n">
        <v>22110</v>
      </c>
      <c r="D668" t="n">
        <v>974958</v>
      </c>
      <c r="E668" t="n">
        <v>879004</v>
      </c>
      <c r="F668" t="n">
        <v>-6.52</v>
      </c>
      <c r="G668" t="n">
        <v>2</v>
      </c>
      <c r="H668" t="n">
        <v>5</v>
      </c>
    </row>
    <row r="669">
      <c r="A669" t="inlineStr">
        <is>
          <t>2024-05-08</t>
        </is>
      </c>
      <c r="B669" t="n">
        <v>-33112</v>
      </c>
      <c r="C669" t="n">
        <v>16560</v>
      </c>
      <c r="D669" t="n">
        <v>983448</v>
      </c>
      <c r="E669" t="n">
        <v>887189</v>
      </c>
      <c r="F669" t="n">
        <v>-5.7</v>
      </c>
      <c r="G669" t="n">
        <v>2</v>
      </c>
      <c r="H669" t="n">
        <v>5</v>
      </c>
    </row>
    <row r="670">
      <c r="A670" t="inlineStr">
        <is>
          <t>2024-05-09</t>
        </is>
      </c>
      <c r="B670" t="n">
        <v>-39237</v>
      </c>
      <c r="C670" t="n">
        <v>20970</v>
      </c>
      <c r="D670" t="n">
        <v>981733</v>
      </c>
      <c r="E670" t="n">
        <v>885082</v>
      </c>
      <c r="F670" t="n">
        <v>-5.87</v>
      </c>
      <c r="G670" t="n">
        <v>1</v>
      </c>
      <c r="H670" t="n">
        <v>2.4</v>
      </c>
    </row>
    <row r="671">
      <c r="A671" t="inlineStr">
        <is>
          <t>2024-05-10</t>
        </is>
      </c>
      <c r="B671" t="n">
        <v>-39237</v>
      </c>
      <c r="C671" t="n">
        <v>39420</v>
      </c>
      <c r="D671" t="n">
        <v>1000183</v>
      </c>
      <c r="E671" t="n">
        <v>903532</v>
      </c>
      <c r="F671" t="n">
        <v>-4.1</v>
      </c>
      <c r="G671" t="n">
        <v>2</v>
      </c>
      <c r="H671" t="n">
        <v>5.1</v>
      </c>
    </row>
    <row r="672">
      <c r="A672" t="inlineStr">
        <is>
          <t>2024-05-13</t>
        </is>
      </c>
      <c r="B672" t="n">
        <v>-39237</v>
      </c>
      <c r="C672" t="n">
        <v>46390</v>
      </c>
      <c r="D672" t="n">
        <v>1007153</v>
      </c>
      <c r="E672" t="n">
        <v>910502</v>
      </c>
      <c r="F672" t="n">
        <v>-3.43</v>
      </c>
      <c r="G672" t="n">
        <v>2</v>
      </c>
      <c r="H672" t="n">
        <v>5.1</v>
      </c>
    </row>
    <row r="673">
      <c r="A673" t="inlineStr">
        <is>
          <t>2024-05-14</t>
        </is>
      </c>
      <c r="B673" t="n">
        <v>-10977</v>
      </c>
      <c r="C673" t="n">
        <v>-9500</v>
      </c>
      <c r="D673" t="n">
        <v>979523</v>
      </c>
      <c r="E673" t="n">
        <v>882656</v>
      </c>
      <c r="F673" t="n">
        <v>-6.08</v>
      </c>
      <c r="G673" t="n">
        <v>1</v>
      </c>
      <c r="H673" t="n">
        <v>2.6</v>
      </c>
    </row>
    <row r="674">
      <c r="A674" t="inlineStr">
        <is>
          <t>2024-05-15</t>
        </is>
      </c>
      <c r="B674" t="n">
        <v>-10977</v>
      </c>
      <c r="C674" t="n">
        <v>-11600</v>
      </c>
      <c r="D674" t="n">
        <v>977423</v>
      </c>
      <c r="E674" t="n">
        <v>880556</v>
      </c>
      <c r="F674" t="n">
        <v>-6.28</v>
      </c>
      <c r="G674" t="n">
        <v>2</v>
      </c>
      <c r="H674" t="n">
        <v>5.4</v>
      </c>
    </row>
    <row r="675">
      <c r="A675" t="inlineStr">
        <is>
          <t>2024-05-16</t>
        </is>
      </c>
      <c r="B675" t="n">
        <v>-10977</v>
      </c>
      <c r="C675" t="n">
        <v>-19500</v>
      </c>
      <c r="D675" t="n">
        <v>969523</v>
      </c>
      <c r="E675" t="n">
        <v>872656</v>
      </c>
      <c r="F675" t="n">
        <v>-7.04</v>
      </c>
      <c r="G675" t="n">
        <v>2</v>
      </c>
      <c r="H675" t="n">
        <v>5.4</v>
      </c>
    </row>
    <row r="676">
      <c r="A676" t="inlineStr">
        <is>
          <t>2024-05-17</t>
        </is>
      </c>
      <c r="B676" t="n">
        <v>-10977</v>
      </c>
      <c r="C676" t="n">
        <v>-30625</v>
      </c>
      <c r="D676" t="n">
        <v>958398</v>
      </c>
      <c r="E676" t="n">
        <v>861531</v>
      </c>
      <c r="F676" t="n">
        <v>-8.109999999999999</v>
      </c>
      <c r="G676" t="n">
        <v>2</v>
      </c>
      <c r="H676" t="n">
        <v>5.4</v>
      </c>
    </row>
    <row r="677">
      <c r="A677" t="inlineStr">
        <is>
          <t>2024-05-20</t>
        </is>
      </c>
      <c r="B677" t="n">
        <v>-29177</v>
      </c>
      <c r="C677" t="n">
        <v>-17100</v>
      </c>
      <c r="D677" t="n">
        <v>953723</v>
      </c>
      <c r="E677" t="n">
        <v>856620</v>
      </c>
      <c r="F677" t="n">
        <v>-8.550000000000001</v>
      </c>
      <c r="G677" t="n">
        <v>1</v>
      </c>
      <c r="H677" t="n">
        <v>2.8</v>
      </c>
    </row>
    <row r="678">
      <c r="A678" t="inlineStr">
        <is>
          <t>2024-05-21</t>
        </is>
      </c>
      <c r="B678" t="n">
        <v>-47177</v>
      </c>
      <c r="C678" t="n">
        <v>0</v>
      </c>
      <c r="D678" t="n">
        <v>952823</v>
      </c>
      <c r="E678" t="n">
        <v>855203</v>
      </c>
      <c r="F678" t="n">
        <v>-8.640000000000001</v>
      </c>
      <c r="G678" t="n">
        <v>1</v>
      </c>
      <c r="H678" t="n">
        <v>2.6</v>
      </c>
    </row>
    <row r="679">
      <c r="A679" t="inlineStr">
        <is>
          <t>2024-05-22</t>
        </is>
      </c>
      <c r="B679" t="n">
        <v>-47177</v>
      </c>
      <c r="C679" t="n">
        <v>1350</v>
      </c>
      <c r="D679" t="n">
        <v>954173</v>
      </c>
      <c r="E679" t="n">
        <v>856553</v>
      </c>
      <c r="F679" t="n">
        <v>-8.51</v>
      </c>
      <c r="G679" t="n">
        <v>1</v>
      </c>
      <c r="H679" t="n">
        <v>2.6</v>
      </c>
    </row>
    <row r="680">
      <c r="A680" t="inlineStr">
        <is>
          <t>2024-05-23</t>
        </is>
      </c>
      <c r="B680" t="n">
        <v>-47177</v>
      </c>
      <c r="C680" t="n">
        <v>-2100</v>
      </c>
      <c r="D680" t="n">
        <v>950723</v>
      </c>
      <c r="E680" t="n">
        <v>853103</v>
      </c>
      <c r="F680" t="n">
        <v>-8.84</v>
      </c>
      <c r="G680" t="n">
        <v>1</v>
      </c>
      <c r="H680" t="n">
        <v>2.6</v>
      </c>
    </row>
    <row r="681">
      <c r="A681" t="inlineStr">
        <is>
          <t>2024-05-24</t>
        </is>
      </c>
      <c r="B681" t="n">
        <v>-32477</v>
      </c>
      <c r="C681" t="n">
        <v>0</v>
      </c>
      <c r="D681" t="n">
        <v>967523</v>
      </c>
      <c r="E681" t="n">
        <v>869566</v>
      </c>
      <c r="F681" t="n">
        <v>-7.23</v>
      </c>
      <c r="G681" t="n">
        <v>1</v>
      </c>
      <c r="H681" t="n">
        <v>2.7</v>
      </c>
    </row>
    <row r="682">
      <c r="A682" t="inlineStr">
        <is>
          <t>2024-05-27</t>
        </is>
      </c>
      <c r="B682" t="n">
        <v>-32477</v>
      </c>
      <c r="C682" t="n">
        <v>150</v>
      </c>
      <c r="D682" t="n">
        <v>967673</v>
      </c>
      <c r="E682" t="n">
        <v>869716</v>
      </c>
      <c r="F682" t="n">
        <v>-7.22</v>
      </c>
      <c r="G682" t="n">
        <v>1</v>
      </c>
      <c r="H682" t="n">
        <v>2.7</v>
      </c>
    </row>
    <row r="683">
      <c r="A683" t="inlineStr">
        <is>
          <t>2024-05-28</t>
        </is>
      </c>
      <c r="B683" t="n">
        <v>-30752</v>
      </c>
      <c r="C683" t="n">
        <v>0</v>
      </c>
      <c r="D683" t="n">
        <v>969248</v>
      </c>
      <c r="E683" t="n">
        <v>871104</v>
      </c>
      <c r="F683" t="n">
        <v>-7.06</v>
      </c>
      <c r="G683" t="n">
        <v>2</v>
      </c>
      <c r="H683" t="n">
        <v>5.4</v>
      </c>
    </row>
    <row r="684">
      <c r="A684" t="inlineStr">
        <is>
          <t>2024-05-29</t>
        </is>
      </c>
      <c r="B684" t="n">
        <v>-25472</v>
      </c>
      <c r="C684" t="n">
        <v>5400</v>
      </c>
      <c r="D684" t="n">
        <v>979928</v>
      </c>
      <c r="E684" t="n">
        <v>881699</v>
      </c>
      <c r="F684" t="n">
        <v>-6.04</v>
      </c>
      <c r="G684" t="n">
        <v>2</v>
      </c>
      <c r="H684" t="n">
        <v>5.4</v>
      </c>
    </row>
    <row r="685">
      <c r="A685" t="inlineStr">
        <is>
          <t>2024-05-30</t>
        </is>
      </c>
      <c r="B685" t="n">
        <v>-31322</v>
      </c>
      <c r="C685" t="n">
        <v>6200</v>
      </c>
      <c r="D685" t="n">
        <v>974878</v>
      </c>
      <c r="E685" t="n">
        <v>876461</v>
      </c>
      <c r="F685" t="n">
        <v>-6.53</v>
      </c>
      <c r="G685" t="n">
        <v>1</v>
      </c>
      <c r="H685" t="n">
        <v>2.7</v>
      </c>
    </row>
    <row r="686">
      <c r="A686" t="inlineStr">
        <is>
          <t>2024-05-31</t>
        </is>
      </c>
      <c r="B686" t="n">
        <v>-31322</v>
      </c>
      <c r="C686" t="n">
        <v>5700</v>
      </c>
      <c r="D686" t="n">
        <v>974378</v>
      </c>
      <c r="E686" t="n">
        <v>875961</v>
      </c>
      <c r="F686" t="n">
        <v>-6.57</v>
      </c>
      <c r="G686" t="n">
        <v>2</v>
      </c>
      <c r="H686" t="n">
        <v>5.4</v>
      </c>
    </row>
    <row r="687">
      <c r="A687" t="inlineStr">
        <is>
          <t>2024-06-03</t>
        </is>
      </c>
      <c r="B687" t="n">
        <v>-26362</v>
      </c>
      <c r="C687" t="n">
        <v>0</v>
      </c>
      <c r="D687" t="n">
        <v>973638</v>
      </c>
      <c r="E687" t="n">
        <v>874600</v>
      </c>
      <c r="F687" t="n">
        <v>-6.64</v>
      </c>
      <c r="G687" t="n">
        <v>0</v>
      </c>
      <c r="H687" t="n">
        <v>0</v>
      </c>
    </row>
    <row r="688">
      <c r="A688" t="inlineStr">
        <is>
          <t>2024-06-04</t>
        </is>
      </c>
      <c r="B688" t="n">
        <v>-26362</v>
      </c>
      <c r="C688" t="n">
        <v>0</v>
      </c>
      <c r="D688" t="n">
        <v>973638</v>
      </c>
      <c r="E688" t="n">
        <v>874600</v>
      </c>
      <c r="F688" t="n">
        <v>-6.64</v>
      </c>
      <c r="G688" t="n">
        <v>0</v>
      </c>
      <c r="H688" t="n">
        <v>0</v>
      </c>
    </row>
    <row r="689">
      <c r="A689" t="inlineStr">
        <is>
          <t>2024-06-05</t>
        </is>
      </c>
      <c r="B689" t="n">
        <v>-26362</v>
      </c>
      <c r="C689" t="n">
        <v>0</v>
      </c>
      <c r="D689" t="n">
        <v>973638</v>
      </c>
      <c r="E689" t="n">
        <v>874600</v>
      </c>
      <c r="F689" t="n">
        <v>-6.64</v>
      </c>
      <c r="G689" t="n">
        <v>0</v>
      </c>
      <c r="H689" t="n">
        <v>0</v>
      </c>
    </row>
    <row r="690">
      <c r="A690" t="inlineStr">
        <is>
          <t>2024-06-06</t>
        </is>
      </c>
      <c r="B690" t="n">
        <v>-26362</v>
      </c>
      <c r="C690" t="n">
        <v>0</v>
      </c>
      <c r="D690" t="n">
        <v>973638</v>
      </c>
      <c r="E690" t="n">
        <v>874600</v>
      </c>
      <c r="F690" t="n">
        <v>-6.64</v>
      </c>
      <c r="G690" t="n">
        <v>1</v>
      </c>
      <c r="H690" t="n">
        <v>2.7</v>
      </c>
    </row>
    <row r="691">
      <c r="A691" t="inlineStr">
        <is>
          <t>2024-06-07</t>
        </is>
      </c>
      <c r="B691" t="n">
        <v>-26362</v>
      </c>
      <c r="C691" t="n">
        <v>440</v>
      </c>
      <c r="D691" t="n">
        <v>974078</v>
      </c>
      <c r="E691" t="n">
        <v>875040</v>
      </c>
      <c r="F691" t="n">
        <v>-6.6</v>
      </c>
      <c r="G691" t="n">
        <v>3</v>
      </c>
      <c r="H691" t="n">
        <v>8.199999999999999</v>
      </c>
    </row>
    <row r="692">
      <c r="A692" t="inlineStr">
        <is>
          <t>2024-06-11</t>
        </is>
      </c>
      <c r="B692" t="n">
        <v>-28837</v>
      </c>
      <c r="C692" t="n">
        <v>4020</v>
      </c>
      <c r="D692" t="n">
        <v>975183</v>
      </c>
      <c r="E692" t="n">
        <v>876103</v>
      </c>
      <c r="F692" t="n">
        <v>-6.5</v>
      </c>
      <c r="G692" t="n">
        <v>3</v>
      </c>
      <c r="H692" t="n">
        <v>8.199999999999999</v>
      </c>
    </row>
    <row r="693">
      <c r="A693" t="inlineStr">
        <is>
          <t>2024-06-12</t>
        </is>
      </c>
      <c r="B693" t="n">
        <v>-27767</v>
      </c>
      <c r="C693" t="n">
        <v>-1800</v>
      </c>
      <c r="D693" t="n">
        <v>970433</v>
      </c>
      <c r="E693" t="n">
        <v>870516</v>
      </c>
      <c r="F693" t="n">
        <v>-6.95</v>
      </c>
      <c r="G693" t="n">
        <v>1</v>
      </c>
      <c r="H693" t="n">
        <v>2.7</v>
      </c>
    </row>
    <row r="694">
      <c r="A694" t="inlineStr">
        <is>
          <t>2024-06-13</t>
        </is>
      </c>
      <c r="B694" t="n">
        <v>-27767</v>
      </c>
      <c r="C694" t="n">
        <v>-4400</v>
      </c>
      <c r="D694" t="n">
        <v>967833</v>
      </c>
      <c r="E694" t="n">
        <v>867916</v>
      </c>
      <c r="F694" t="n">
        <v>-7.2</v>
      </c>
      <c r="G694" t="n">
        <v>2</v>
      </c>
      <c r="H694" t="n">
        <v>5.4</v>
      </c>
    </row>
    <row r="695">
      <c r="A695" t="inlineStr">
        <is>
          <t>2024-06-14</t>
        </is>
      </c>
      <c r="B695" t="n">
        <v>-25927</v>
      </c>
      <c r="C695" t="n">
        <v>-8600</v>
      </c>
      <c r="D695" t="n">
        <v>965473</v>
      </c>
      <c r="E695" t="n">
        <v>865038</v>
      </c>
      <c r="F695" t="n">
        <v>-7.43</v>
      </c>
      <c r="G695" t="n">
        <v>4</v>
      </c>
      <c r="H695" t="n">
        <v>10</v>
      </c>
    </row>
    <row r="696">
      <c r="A696" t="inlineStr">
        <is>
          <t>2024-06-17</t>
        </is>
      </c>
      <c r="B696" t="n">
        <v>-12427</v>
      </c>
      <c r="C696" t="n">
        <v>-1140</v>
      </c>
      <c r="D696" t="n">
        <v>986433</v>
      </c>
      <c r="E696" t="n">
        <v>885505</v>
      </c>
      <c r="F696" t="n">
        <v>-5.42</v>
      </c>
      <c r="G696" t="n">
        <v>2</v>
      </c>
      <c r="H696" t="n">
        <v>5.4</v>
      </c>
    </row>
    <row r="697">
      <c r="A697" t="inlineStr">
        <is>
          <t>2024-06-18</t>
        </is>
      </c>
      <c r="B697" t="n">
        <v>-12427</v>
      </c>
      <c r="C697" t="n">
        <v>-1420</v>
      </c>
      <c r="D697" t="n">
        <v>986153</v>
      </c>
      <c r="E697" t="n">
        <v>885225</v>
      </c>
      <c r="F697" t="n">
        <v>-5.44</v>
      </c>
      <c r="G697" t="n">
        <v>4</v>
      </c>
      <c r="H697" t="n">
        <v>10</v>
      </c>
    </row>
    <row r="698">
      <c r="A698" t="inlineStr">
        <is>
          <t>2024-06-19</t>
        </is>
      </c>
      <c r="B698" t="n">
        <v>-11067</v>
      </c>
      <c r="C698" t="n">
        <v>-7200</v>
      </c>
      <c r="D698" t="n">
        <v>981733</v>
      </c>
      <c r="E698" t="n">
        <v>880418</v>
      </c>
      <c r="F698" t="n">
        <v>-5.87</v>
      </c>
      <c r="G698" t="n">
        <v>1</v>
      </c>
      <c r="H698" t="n">
        <v>2.7</v>
      </c>
    </row>
    <row r="699">
      <c r="A699" t="inlineStr">
        <is>
          <t>2024-06-20</t>
        </is>
      </c>
      <c r="B699" t="n">
        <v>-11067</v>
      </c>
      <c r="C699" t="n">
        <v>-7400</v>
      </c>
      <c r="D699" t="n">
        <v>981533</v>
      </c>
      <c r="E699" t="n">
        <v>880218</v>
      </c>
      <c r="F699" t="n">
        <v>-5.89</v>
      </c>
      <c r="G699" t="n">
        <v>1</v>
      </c>
      <c r="H699" t="n">
        <v>2.7</v>
      </c>
    </row>
    <row r="700">
      <c r="A700" t="inlineStr">
        <is>
          <t>2024-06-21</t>
        </is>
      </c>
      <c r="B700" t="n">
        <v>-13267</v>
      </c>
      <c r="C700" t="n">
        <v>0</v>
      </c>
      <c r="D700" t="n">
        <v>986733</v>
      </c>
      <c r="E700" t="n">
        <v>884986</v>
      </c>
      <c r="F700" t="n">
        <v>-5.39</v>
      </c>
      <c r="G700" t="n">
        <v>2</v>
      </c>
      <c r="H700" t="n">
        <v>5.6</v>
      </c>
    </row>
    <row r="701">
      <c r="A701" t="inlineStr">
        <is>
          <t>2024-06-24</t>
        </is>
      </c>
      <c r="B701" t="n">
        <v>-13267</v>
      </c>
      <c r="C701" t="n">
        <v>-4600</v>
      </c>
      <c r="D701" t="n">
        <v>982133</v>
      </c>
      <c r="E701" t="n">
        <v>880386</v>
      </c>
      <c r="F701" t="n">
        <v>-5.83</v>
      </c>
      <c r="G701" t="n">
        <v>3</v>
      </c>
      <c r="H701" t="n">
        <v>8.4</v>
      </c>
    </row>
    <row r="702">
      <c r="A702" t="inlineStr">
        <is>
          <t>2024-06-25</t>
        </is>
      </c>
      <c r="B702" t="n">
        <v>-13867</v>
      </c>
      <c r="C702" t="n">
        <v>-13420</v>
      </c>
      <c r="D702" t="n">
        <v>972713</v>
      </c>
      <c r="E702" t="n">
        <v>870702</v>
      </c>
      <c r="F702" t="n">
        <v>-6.73</v>
      </c>
      <c r="G702" t="n">
        <v>2</v>
      </c>
      <c r="H702" t="n">
        <v>5.6</v>
      </c>
    </row>
    <row r="703">
      <c r="A703" t="inlineStr">
        <is>
          <t>2024-06-26</t>
        </is>
      </c>
      <c r="B703" t="n">
        <v>-13867</v>
      </c>
      <c r="C703" t="n">
        <v>-14920</v>
      </c>
      <c r="D703" t="n">
        <v>971213</v>
      </c>
      <c r="E703" t="n">
        <v>869202</v>
      </c>
      <c r="F703" t="n">
        <v>-6.88</v>
      </c>
      <c r="G703" t="n">
        <v>3</v>
      </c>
      <c r="H703" t="n">
        <v>8.4</v>
      </c>
    </row>
    <row r="704">
      <c r="A704" t="inlineStr">
        <is>
          <t>2024-06-27</t>
        </is>
      </c>
      <c r="B704" t="n">
        <v>-13867</v>
      </c>
      <c r="C704" t="n">
        <v>-17290</v>
      </c>
      <c r="D704" t="n">
        <v>968843</v>
      </c>
      <c r="E704" t="n">
        <v>866832</v>
      </c>
      <c r="F704" t="n">
        <v>-7.1</v>
      </c>
      <c r="G704" t="n">
        <v>4</v>
      </c>
      <c r="H704" t="n">
        <v>10</v>
      </c>
    </row>
    <row r="705">
      <c r="A705" t="inlineStr">
        <is>
          <t>2024-06-28</t>
        </is>
      </c>
      <c r="B705" t="n">
        <v>-14367</v>
      </c>
      <c r="C705" t="n">
        <v>-23060</v>
      </c>
      <c r="D705" t="n">
        <v>962573</v>
      </c>
      <c r="E705" t="n">
        <v>860513</v>
      </c>
      <c r="F705" t="n">
        <v>-7.71</v>
      </c>
      <c r="G705" t="n">
        <v>3</v>
      </c>
      <c r="H705" t="n">
        <v>8.4</v>
      </c>
    </row>
    <row r="706">
      <c r="A706" t="inlineStr">
        <is>
          <t>2024-07-01</t>
        </is>
      </c>
      <c r="B706" t="n">
        <v>-14367</v>
      </c>
      <c r="C706" t="n">
        <v>-25100</v>
      </c>
      <c r="D706" t="n">
        <v>960533</v>
      </c>
      <c r="E706" t="n">
        <v>858473</v>
      </c>
      <c r="F706" t="n">
        <v>-7.9</v>
      </c>
      <c r="G706" t="n">
        <v>4</v>
      </c>
      <c r="H706" t="n">
        <v>10</v>
      </c>
    </row>
    <row r="707">
      <c r="A707" t="inlineStr">
        <is>
          <t>2024-07-02</t>
        </is>
      </c>
      <c r="B707" t="n">
        <v>-33527</v>
      </c>
      <c r="C707" t="n">
        <v>-12190</v>
      </c>
      <c r="D707" t="n">
        <v>954283</v>
      </c>
      <c r="E707" t="n">
        <v>851593</v>
      </c>
      <c r="F707" t="n">
        <v>-8.5</v>
      </c>
      <c r="G707" t="n">
        <v>4</v>
      </c>
      <c r="H707" t="n">
        <v>9.9</v>
      </c>
    </row>
    <row r="708">
      <c r="A708" t="inlineStr">
        <is>
          <t>2024-07-03</t>
        </is>
      </c>
      <c r="B708" t="n">
        <v>-25507</v>
      </c>
      <c r="C708" t="n">
        <v>-10280</v>
      </c>
      <c r="D708" t="n">
        <v>964213</v>
      </c>
      <c r="E708" t="n">
        <v>861018</v>
      </c>
      <c r="F708" t="n">
        <v>-7.55</v>
      </c>
      <c r="G708" t="n">
        <v>2</v>
      </c>
      <c r="H708" t="n">
        <v>5.6</v>
      </c>
    </row>
    <row r="709">
      <c r="A709" t="inlineStr">
        <is>
          <t>2024-07-04</t>
        </is>
      </c>
      <c r="B709" t="n">
        <v>-22647</v>
      </c>
      <c r="C709" t="n">
        <v>-1840</v>
      </c>
      <c r="D709" t="n">
        <v>975513</v>
      </c>
      <c r="E709" t="n">
        <v>872031</v>
      </c>
      <c r="F709" t="n">
        <v>-6.46</v>
      </c>
      <c r="G709" t="n">
        <v>1</v>
      </c>
      <c r="H709" t="n">
        <v>2.8</v>
      </c>
    </row>
    <row r="710">
      <c r="A710" t="inlineStr">
        <is>
          <t>2024-07-05</t>
        </is>
      </c>
      <c r="B710" t="n">
        <v>-22647</v>
      </c>
      <c r="C710" t="n">
        <v>-420</v>
      </c>
      <c r="D710" t="n">
        <v>976933</v>
      </c>
      <c r="E710" t="n">
        <v>873451</v>
      </c>
      <c r="F710" t="n">
        <v>-6.33</v>
      </c>
      <c r="G710" t="n">
        <v>3</v>
      </c>
      <c r="H710" t="n">
        <v>8.300000000000001</v>
      </c>
    </row>
    <row r="711">
      <c r="A711" t="inlineStr">
        <is>
          <t>2024-07-08</t>
        </is>
      </c>
      <c r="B711" t="n">
        <v>-22647</v>
      </c>
      <c r="C711" t="n">
        <v>-2460</v>
      </c>
      <c r="D711" t="n">
        <v>974893</v>
      </c>
      <c r="E711" t="n">
        <v>871411</v>
      </c>
      <c r="F711" t="n">
        <v>-6.52</v>
      </c>
      <c r="G711" t="n">
        <v>4</v>
      </c>
      <c r="H711" t="n">
        <v>10</v>
      </c>
    </row>
    <row r="712">
      <c r="A712" t="inlineStr">
        <is>
          <t>2024-07-09</t>
        </is>
      </c>
      <c r="B712" t="n">
        <v>-22647</v>
      </c>
      <c r="C712" t="n">
        <v>-8470</v>
      </c>
      <c r="D712" t="n">
        <v>968883</v>
      </c>
      <c r="E712" t="n">
        <v>865401</v>
      </c>
      <c r="F712" t="n">
        <v>-7.1</v>
      </c>
      <c r="G712" t="n">
        <v>4</v>
      </c>
      <c r="H712" t="n">
        <v>10</v>
      </c>
    </row>
    <row r="713">
      <c r="A713" t="inlineStr">
        <is>
          <t>2024-07-10</t>
        </is>
      </c>
      <c r="B713" t="n">
        <v>-30484</v>
      </c>
      <c r="C713" t="n">
        <v>5720</v>
      </c>
      <c r="D713" t="n">
        <v>975236</v>
      </c>
      <c r="E713" t="n">
        <v>870926</v>
      </c>
      <c r="F713" t="n">
        <v>-6.49</v>
      </c>
      <c r="G713" t="n">
        <v>4</v>
      </c>
      <c r="H713" t="n">
        <v>9.9</v>
      </c>
    </row>
    <row r="714">
      <c r="A714" t="inlineStr">
        <is>
          <t>2024-07-11</t>
        </is>
      </c>
      <c r="B714" t="n">
        <v>-8389</v>
      </c>
      <c r="C714" t="n">
        <v>6100</v>
      </c>
      <c r="D714" t="n">
        <v>997711</v>
      </c>
      <c r="E714" t="n">
        <v>892567</v>
      </c>
      <c r="F714" t="n">
        <v>-4.34</v>
      </c>
      <c r="G714" t="n">
        <v>2</v>
      </c>
      <c r="H714" t="n">
        <v>4.5</v>
      </c>
    </row>
    <row r="715">
      <c r="A715" t="inlineStr">
        <is>
          <t>2024-07-12</t>
        </is>
      </c>
      <c r="B715" t="n">
        <v>-5669</v>
      </c>
      <c r="C715" t="n">
        <v>6220</v>
      </c>
      <c r="D715" t="n">
        <v>1000551</v>
      </c>
      <c r="E715" t="n">
        <v>895199</v>
      </c>
      <c r="F715" t="n">
        <v>-4.06</v>
      </c>
      <c r="G715" t="n">
        <v>2</v>
      </c>
      <c r="H715" t="n">
        <v>5.6</v>
      </c>
    </row>
    <row r="716">
      <c r="A716" t="inlineStr">
        <is>
          <t>2024-07-15</t>
        </is>
      </c>
      <c r="B716" t="n">
        <v>4731</v>
      </c>
      <c r="C716" t="n">
        <v>6020</v>
      </c>
      <c r="D716" t="n">
        <v>1010751</v>
      </c>
      <c r="E716" t="n">
        <v>904956</v>
      </c>
      <c r="F716" t="n">
        <v>-3.09</v>
      </c>
      <c r="G716" t="n">
        <v>4</v>
      </c>
      <c r="H716" t="n">
        <v>10</v>
      </c>
    </row>
    <row r="717">
      <c r="A717" t="inlineStr">
        <is>
          <t>2024-07-16</t>
        </is>
      </c>
      <c r="B717" t="n">
        <v>4731</v>
      </c>
      <c r="C717" t="n">
        <v>8360</v>
      </c>
      <c r="D717" t="n">
        <v>1013091</v>
      </c>
      <c r="E717" t="n">
        <v>907296</v>
      </c>
      <c r="F717" t="n">
        <v>-2.86</v>
      </c>
      <c r="G717" t="n">
        <v>4</v>
      </c>
      <c r="H717" t="n">
        <v>10</v>
      </c>
    </row>
    <row r="718">
      <c r="A718" t="inlineStr">
        <is>
          <t>2024-07-17</t>
        </is>
      </c>
      <c r="B718" t="n">
        <v>4731</v>
      </c>
      <c r="C718" t="n">
        <v>6160</v>
      </c>
      <c r="D718" t="n">
        <v>1010891</v>
      </c>
      <c r="E718" t="n">
        <v>905096</v>
      </c>
      <c r="F718" t="n">
        <v>-3.07</v>
      </c>
      <c r="G718" t="n">
        <v>4</v>
      </c>
      <c r="H718" t="n">
        <v>10</v>
      </c>
    </row>
    <row r="719">
      <c r="A719" t="inlineStr">
        <is>
          <t>2024-07-18</t>
        </is>
      </c>
      <c r="B719" t="n">
        <v>4731</v>
      </c>
      <c r="C719" t="n">
        <v>2560</v>
      </c>
      <c r="D719" t="n">
        <v>1007291</v>
      </c>
      <c r="E719" t="n">
        <v>901496</v>
      </c>
      <c r="F719" t="n">
        <v>-3.42</v>
      </c>
      <c r="G719" t="n">
        <v>4</v>
      </c>
      <c r="H719" t="n">
        <v>10</v>
      </c>
    </row>
    <row r="720">
      <c r="A720" t="inlineStr">
        <is>
          <t>2024-07-19</t>
        </is>
      </c>
      <c r="B720" t="n">
        <v>11541</v>
      </c>
      <c r="C720" t="n">
        <v>-11820</v>
      </c>
      <c r="D720" t="n">
        <v>999721</v>
      </c>
      <c r="E720" t="n">
        <v>893830</v>
      </c>
      <c r="F720" t="n">
        <v>-4.14</v>
      </c>
      <c r="G720" t="n">
        <v>3</v>
      </c>
      <c r="H720" t="n">
        <v>7.2</v>
      </c>
    </row>
    <row r="721">
      <c r="A721" t="inlineStr">
        <is>
          <t>2024-07-22</t>
        </is>
      </c>
      <c r="B721" t="n">
        <v>11541</v>
      </c>
      <c r="C721" t="n">
        <v>-22100</v>
      </c>
      <c r="D721" t="n">
        <v>989441</v>
      </c>
      <c r="E721" t="n">
        <v>883550</v>
      </c>
      <c r="F721" t="n">
        <v>-5.13</v>
      </c>
      <c r="G721" t="n">
        <v>4</v>
      </c>
      <c r="H721" t="n">
        <v>10</v>
      </c>
    </row>
    <row r="722">
      <c r="A722" t="inlineStr">
        <is>
          <t>2024-07-23</t>
        </is>
      </c>
      <c r="B722" t="n">
        <v>16481</v>
      </c>
      <c r="C722" t="n">
        <v>-6120</v>
      </c>
      <c r="D722" t="n">
        <v>1010361</v>
      </c>
      <c r="E722" t="n">
        <v>903913</v>
      </c>
      <c r="F722" t="n">
        <v>-3.12</v>
      </c>
      <c r="G722" t="n">
        <v>4</v>
      </c>
      <c r="H722" t="n">
        <v>10</v>
      </c>
    </row>
    <row r="723">
      <c r="A723" t="inlineStr">
        <is>
          <t>2024-07-24</t>
        </is>
      </c>
      <c r="B723" t="n">
        <v>16481</v>
      </c>
      <c r="C723" t="n">
        <v>-1250</v>
      </c>
      <c r="D723" t="n">
        <v>1015231</v>
      </c>
      <c r="E723" t="n">
        <v>908783</v>
      </c>
      <c r="F723" t="n">
        <v>-2.66</v>
      </c>
      <c r="G723" t="n">
        <v>4</v>
      </c>
      <c r="H723" t="n">
        <v>10</v>
      </c>
    </row>
    <row r="724">
      <c r="A724" t="inlineStr">
        <is>
          <t>2024-07-25</t>
        </is>
      </c>
      <c r="B724" t="n">
        <v>16481</v>
      </c>
      <c r="C724" t="n">
        <v>17725</v>
      </c>
      <c r="D724" t="n">
        <v>1034206</v>
      </c>
      <c r="E724" t="n">
        <v>927758</v>
      </c>
      <c r="F724" t="n">
        <v>-0.84</v>
      </c>
      <c r="G724" t="n">
        <v>4</v>
      </c>
      <c r="H724" t="n">
        <v>10</v>
      </c>
    </row>
    <row r="725">
      <c r="A725" t="inlineStr">
        <is>
          <t>2024-07-26</t>
        </is>
      </c>
      <c r="B725" t="n">
        <v>29221</v>
      </c>
      <c r="C725" t="n">
        <v>-6800</v>
      </c>
      <c r="D725" t="n">
        <v>1022421</v>
      </c>
      <c r="E725" t="n">
        <v>915611</v>
      </c>
      <c r="F725" t="n">
        <v>-1.97</v>
      </c>
      <c r="G725" t="n">
        <v>4</v>
      </c>
      <c r="H725" t="n">
        <v>10</v>
      </c>
    </row>
    <row r="726">
      <c r="A726" t="inlineStr">
        <is>
          <t>2024-07-29</t>
        </is>
      </c>
      <c r="B726" t="n">
        <v>38841</v>
      </c>
      <c r="C726" t="n">
        <v>15285</v>
      </c>
      <c r="D726" t="n">
        <v>1054126</v>
      </c>
      <c r="E726" t="n">
        <v>946734</v>
      </c>
      <c r="F726" t="n">
        <v>0</v>
      </c>
      <c r="G726" t="n">
        <v>4</v>
      </c>
      <c r="H726" t="n">
        <v>10</v>
      </c>
    </row>
    <row r="727">
      <c r="A727" t="inlineStr">
        <is>
          <t>2024-07-30</t>
        </is>
      </c>
      <c r="B727" t="n">
        <v>38841</v>
      </c>
      <c r="C727" t="n">
        <v>33200</v>
      </c>
      <c r="D727" t="n">
        <v>1072041</v>
      </c>
      <c r="E727" t="n">
        <v>964649</v>
      </c>
      <c r="F727" t="n">
        <v>0</v>
      </c>
      <c r="G727" t="n">
        <v>4</v>
      </c>
      <c r="H727" t="n">
        <v>10</v>
      </c>
    </row>
    <row r="728">
      <c r="A728" t="inlineStr">
        <is>
          <t>2024-07-31</t>
        </is>
      </c>
      <c r="B728" t="n">
        <v>49766</v>
      </c>
      <c r="C728" t="n">
        <v>-5725</v>
      </c>
      <c r="D728" t="n">
        <v>1044041</v>
      </c>
      <c r="E728" t="n">
        <v>935611</v>
      </c>
      <c r="F728" t="n">
        <v>-2.61</v>
      </c>
      <c r="G728" t="n">
        <v>4</v>
      </c>
      <c r="H728" t="n">
        <v>10</v>
      </c>
    </row>
    <row r="729">
      <c r="A729" t="inlineStr">
        <is>
          <t>2024-08-01</t>
        </is>
      </c>
      <c r="B729" t="n">
        <v>51846</v>
      </c>
      <c r="C729" t="n">
        <v>2200</v>
      </c>
      <c r="D729" t="n">
        <v>1054046</v>
      </c>
      <c r="E729" t="n">
        <v>945057</v>
      </c>
      <c r="F729" t="n">
        <v>-1.68</v>
      </c>
      <c r="G729" t="n">
        <v>4</v>
      </c>
      <c r="H729" t="n">
        <v>10</v>
      </c>
    </row>
    <row r="730">
      <c r="A730" t="inlineStr">
        <is>
          <t>2024-08-02</t>
        </is>
      </c>
      <c r="B730" t="n">
        <v>50096</v>
      </c>
      <c r="C730" t="n">
        <v>690</v>
      </c>
      <c r="D730" t="n">
        <v>1050786</v>
      </c>
      <c r="E730" t="n">
        <v>941680</v>
      </c>
      <c r="F730" t="n">
        <v>-1.98</v>
      </c>
      <c r="G730" t="n">
        <v>3</v>
      </c>
      <c r="H730" t="n">
        <v>8.5</v>
      </c>
    </row>
    <row r="731">
      <c r="A731" t="inlineStr">
        <is>
          <t>2024-08-05</t>
        </is>
      </c>
      <c r="B731" t="n">
        <v>50096</v>
      </c>
      <c r="C731" t="n">
        <v>32740</v>
      </c>
      <c r="D731" t="n">
        <v>1082836</v>
      </c>
      <c r="E731" t="n">
        <v>973730</v>
      </c>
      <c r="F731" t="n">
        <v>0</v>
      </c>
      <c r="G731" t="n">
        <v>4</v>
      </c>
      <c r="H731" t="n">
        <v>10</v>
      </c>
    </row>
    <row r="732">
      <c r="A732" t="inlineStr">
        <is>
          <t>2024-08-06</t>
        </is>
      </c>
      <c r="B732" t="n">
        <v>89436</v>
      </c>
      <c r="C732" t="n">
        <v>15900</v>
      </c>
      <c r="D732" t="n">
        <v>1105336</v>
      </c>
      <c r="E732" t="n">
        <v>995004</v>
      </c>
      <c r="F732" t="n">
        <v>0</v>
      </c>
      <c r="G732" t="n">
        <v>5</v>
      </c>
      <c r="H732" t="n">
        <v>10</v>
      </c>
    </row>
    <row r="733">
      <c r="A733" t="inlineStr">
        <is>
          <t>2024-08-07</t>
        </is>
      </c>
      <c r="B733" t="n">
        <v>89046</v>
      </c>
      <c r="C733" t="n">
        <v>17350</v>
      </c>
      <c r="D733" t="n">
        <v>1106396</v>
      </c>
      <c r="E733" t="n">
        <v>995768</v>
      </c>
      <c r="F733" t="n">
        <v>0</v>
      </c>
      <c r="G733" t="n">
        <v>5</v>
      </c>
      <c r="H733" t="n">
        <v>10</v>
      </c>
    </row>
    <row r="734">
      <c r="A734" t="inlineStr">
        <is>
          <t>2024-08-08</t>
        </is>
      </c>
      <c r="B734" t="n">
        <v>105166</v>
      </c>
      <c r="C734" t="n">
        <v>12440</v>
      </c>
      <c r="D734" t="n">
        <v>1117606</v>
      </c>
      <c r="E734" t="n">
        <v>1006355</v>
      </c>
      <c r="F734" t="n">
        <v>0</v>
      </c>
      <c r="G734" t="n">
        <v>4</v>
      </c>
      <c r="H734" t="n">
        <v>10</v>
      </c>
    </row>
    <row r="735">
      <c r="A735" t="inlineStr">
        <is>
          <t>2024-08-09</t>
        </is>
      </c>
      <c r="B735" t="n">
        <v>105166</v>
      </c>
      <c r="C735" t="n">
        <v>8270</v>
      </c>
      <c r="D735" t="n">
        <v>1113436</v>
      </c>
      <c r="E735" t="n">
        <v>1002185</v>
      </c>
      <c r="F735" t="n">
        <v>-0.37</v>
      </c>
      <c r="G735" t="n">
        <v>4</v>
      </c>
      <c r="H735" t="n">
        <v>10</v>
      </c>
    </row>
    <row r="736">
      <c r="A736" t="inlineStr">
        <is>
          <t>2024-08-12</t>
        </is>
      </c>
      <c r="B736" t="n">
        <v>105166</v>
      </c>
      <c r="C736" t="n">
        <v>2800</v>
      </c>
      <c r="D736" t="n">
        <v>1107966</v>
      </c>
      <c r="E736" t="n">
        <v>996715</v>
      </c>
      <c r="F736" t="n">
        <v>-0.86</v>
      </c>
      <c r="G736" t="n">
        <v>4</v>
      </c>
      <c r="H736" t="n">
        <v>10</v>
      </c>
    </row>
    <row r="737">
      <c r="A737" t="inlineStr">
        <is>
          <t>2024-08-13</t>
        </is>
      </c>
      <c r="B737" t="n">
        <v>105166</v>
      </c>
      <c r="C737" t="n">
        <v>7620</v>
      </c>
      <c r="D737" t="n">
        <v>1112786</v>
      </c>
      <c r="E737" t="n">
        <v>1001535</v>
      </c>
      <c r="F737" t="n">
        <v>-0.43</v>
      </c>
      <c r="G737" t="n">
        <v>4</v>
      </c>
      <c r="H737" t="n">
        <v>10</v>
      </c>
    </row>
    <row r="738">
      <c r="A738" t="inlineStr">
        <is>
          <t>2024-08-14</t>
        </is>
      </c>
      <c r="B738" t="n">
        <v>105166</v>
      </c>
      <c r="C738" t="n">
        <v>18930</v>
      </c>
      <c r="D738" t="n">
        <v>1124096</v>
      </c>
      <c r="E738" t="n">
        <v>1012845</v>
      </c>
      <c r="F738" t="n">
        <v>0</v>
      </c>
      <c r="G738" t="n">
        <v>4</v>
      </c>
      <c r="H738" t="n">
        <v>10</v>
      </c>
    </row>
    <row r="739">
      <c r="A739" t="inlineStr">
        <is>
          <t>2024-08-15</t>
        </is>
      </c>
      <c r="B739" t="n">
        <v>97906</v>
      </c>
      <c r="C739" t="n">
        <v>24330</v>
      </c>
      <c r="D739" t="n">
        <v>1122236</v>
      </c>
      <c r="E739" t="n">
        <v>1010904</v>
      </c>
      <c r="F739" t="n">
        <v>-0.17</v>
      </c>
      <c r="G739" t="n">
        <v>3</v>
      </c>
      <c r="H739" t="n">
        <v>7</v>
      </c>
    </row>
    <row r="740">
      <c r="A740" t="inlineStr">
        <is>
          <t>2024-08-16</t>
        </is>
      </c>
      <c r="B740" t="n">
        <v>97906</v>
      </c>
      <c r="C740" t="n">
        <v>17870</v>
      </c>
      <c r="D740" t="n">
        <v>1115776</v>
      </c>
      <c r="E740" t="n">
        <v>1004444</v>
      </c>
      <c r="F740" t="n">
        <v>-0.74</v>
      </c>
      <c r="G740" t="n">
        <v>5</v>
      </c>
      <c r="H740" t="n">
        <v>10</v>
      </c>
    </row>
    <row r="741">
      <c r="A741" t="inlineStr">
        <is>
          <t>2024-08-19</t>
        </is>
      </c>
      <c r="B741" t="n">
        <v>104293</v>
      </c>
      <c r="C741" t="n">
        <v>25390</v>
      </c>
      <c r="D741" t="n">
        <v>1129683</v>
      </c>
      <c r="E741" t="n">
        <v>1017819</v>
      </c>
      <c r="F741" t="n">
        <v>0</v>
      </c>
      <c r="G741" t="n">
        <v>5</v>
      </c>
      <c r="H741" t="n">
        <v>10</v>
      </c>
    </row>
    <row r="742">
      <c r="A742" t="inlineStr">
        <is>
          <t>2024-08-20</t>
        </is>
      </c>
      <c r="B742" t="n">
        <v>105093</v>
      </c>
      <c r="C742" t="n">
        <v>21170</v>
      </c>
      <c r="D742" t="n">
        <v>1126263</v>
      </c>
      <c r="E742" t="n">
        <v>1014167</v>
      </c>
      <c r="F742" t="n">
        <v>-0.3</v>
      </c>
      <c r="G742" t="n">
        <v>4</v>
      </c>
      <c r="H742" t="n">
        <v>7</v>
      </c>
    </row>
    <row r="743">
      <c r="A743" t="inlineStr">
        <is>
          <t>2024-08-21</t>
        </is>
      </c>
      <c r="B743" t="n">
        <v>120173</v>
      </c>
      <c r="C743" t="n">
        <v>-6540</v>
      </c>
      <c r="D743" t="n">
        <v>1113633</v>
      </c>
      <c r="E743" t="n">
        <v>1000689</v>
      </c>
      <c r="F743" t="n">
        <v>-1.42</v>
      </c>
      <c r="G743" t="n">
        <v>3</v>
      </c>
      <c r="H743" t="n">
        <v>5.6</v>
      </c>
    </row>
    <row r="744">
      <c r="A744" t="inlineStr">
        <is>
          <t>2024-08-22</t>
        </is>
      </c>
      <c r="B744" t="n">
        <v>120173</v>
      </c>
      <c r="C744" t="n">
        <v>-6125</v>
      </c>
      <c r="D744" t="n">
        <v>1114048</v>
      </c>
      <c r="E744" t="n">
        <v>1001104</v>
      </c>
      <c r="F744" t="n">
        <v>-1.38</v>
      </c>
      <c r="G744" t="n">
        <v>5</v>
      </c>
      <c r="H744" t="n">
        <v>10</v>
      </c>
    </row>
    <row r="745">
      <c r="A745" t="inlineStr">
        <is>
          <t>2024-08-23</t>
        </is>
      </c>
      <c r="B745" t="n">
        <v>120173</v>
      </c>
      <c r="C745" t="n">
        <v>735</v>
      </c>
      <c r="D745" t="n">
        <v>1120908</v>
      </c>
      <c r="E745" t="n">
        <v>1007964</v>
      </c>
      <c r="F745" t="n">
        <v>-0.78</v>
      </c>
      <c r="G745" t="n">
        <v>5</v>
      </c>
      <c r="H745" t="n">
        <v>10</v>
      </c>
    </row>
    <row r="746">
      <c r="A746" t="inlineStr">
        <is>
          <t>2024-08-26</t>
        </is>
      </c>
      <c r="B746" t="n">
        <v>121373</v>
      </c>
      <c r="C746" t="n">
        <v>-10570</v>
      </c>
      <c r="D746" t="n">
        <v>1110803</v>
      </c>
      <c r="E746" t="n">
        <v>997646</v>
      </c>
      <c r="F746" t="n">
        <v>-1.67</v>
      </c>
      <c r="G746" t="n">
        <v>5</v>
      </c>
      <c r="H746" t="n">
        <v>10</v>
      </c>
    </row>
    <row r="747">
      <c r="A747" t="inlineStr">
        <is>
          <t>2024-08-27</t>
        </is>
      </c>
      <c r="B747" t="n">
        <v>121373</v>
      </c>
      <c r="C747" t="n">
        <v>-21155</v>
      </c>
      <c r="D747" t="n">
        <v>1100218</v>
      </c>
      <c r="E747" t="n">
        <v>987061</v>
      </c>
      <c r="F747" t="n">
        <v>-2.61</v>
      </c>
      <c r="G747" t="n">
        <v>5</v>
      </c>
      <c r="H747" t="n">
        <v>10</v>
      </c>
    </row>
    <row r="748">
      <c r="A748" t="inlineStr">
        <is>
          <t>2024-08-28</t>
        </is>
      </c>
      <c r="B748" t="n">
        <v>121373</v>
      </c>
      <c r="C748" t="n">
        <v>-23945</v>
      </c>
      <c r="D748" t="n">
        <v>1097428</v>
      </c>
      <c r="E748" t="n">
        <v>984271</v>
      </c>
      <c r="F748" t="n">
        <v>-2.86</v>
      </c>
      <c r="G748" t="n">
        <v>5</v>
      </c>
      <c r="H748" t="n">
        <v>10</v>
      </c>
    </row>
    <row r="749">
      <c r="A749" t="inlineStr">
        <is>
          <t>2024-08-29</t>
        </is>
      </c>
      <c r="B749" t="n">
        <v>112148</v>
      </c>
      <c r="C749" t="n">
        <v>-20395</v>
      </c>
      <c r="D749" t="n">
        <v>1091753</v>
      </c>
      <c r="E749" t="n">
        <v>978432</v>
      </c>
      <c r="F749" t="n">
        <v>-3.36</v>
      </c>
      <c r="G749" t="n">
        <v>4</v>
      </c>
      <c r="H749" t="n">
        <v>8.6</v>
      </c>
    </row>
    <row r="750">
      <c r="A750" t="inlineStr">
        <is>
          <t>2024-08-30</t>
        </is>
      </c>
      <c r="B750" t="n">
        <v>112148</v>
      </c>
      <c r="C750" t="n">
        <v>-23710</v>
      </c>
      <c r="D750" t="n">
        <v>1088438</v>
      </c>
      <c r="E750" t="n">
        <v>975117</v>
      </c>
      <c r="F750" t="n">
        <v>-3.65</v>
      </c>
      <c r="G750" t="n">
        <v>5</v>
      </c>
      <c r="H750" t="n">
        <v>10</v>
      </c>
    </row>
    <row r="751">
      <c r="A751" t="inlineStr">
        <is>
          <t>2024-09-02</t>
        </is>
      </c>
      <c r="B751" t="n">
        <v>117803</v>
      </c>
      <c r="C751" t="n">
        <v>-13660</v>
      </c>
      <c r="D751" t="n">
        <v>1104143</v>
      </c>
      <c r="E751" t="n">
        <v>990452</v>
      </c>
      <c r="F751" t="n">
        <v>-2.26</v>
      </c>
      <c r="G751" t="n">
        <v>4</v>
      </c>
      <c r="H751" t="n">
        <v>8.6</v>
      </c>
    </row>
    <row r="752">
      <c r="A752" t="inlineStr">
        <is>
          <t>2024-09-03</t>
        </is>
      </c>
      <c r="B752" t="n">
        <v>109977</v>
      </c>
      <c r="C752" t="n">
        <v>1700</v>
      </c>
      <c r="D752" t="n">
        <v>1111677</v>
      </c>
      <c r="E752" t="n">
        <v>997849</v>
      </c>
      <c r="F752" t="n">
        <v>-1.59</v>
      </c>
      <c r="G752" t="n">
        <v>3</v>
      </c>
      <c r="H752" t="n">
        <v>7.5</v>
      </c>
    </row>
    <row r="753">
      <c r="A753" t="inlineStr">
        <is>
          <t>2024-09-04</t>
        </is>
      </c>
      <c r="B753" t="n">
        <v>109977</v>
      </c>
      <c r="C753" t="n">
        <v>8950</v>
      </c>
      <c r="D753" t="n">
        <v>1118927</v>
      </c>
      <c r="E753" t="n">
        <v>1005099</v>
      </c>
      <c r="F753" t="n">
        <v>-0.95</v>
      </c>
      <c r="G753" t="n">
        <v>4</v>
      </c>
      <c r="H753" t="n">
        <v>10</v>
      </c>
    </row>
    <row r="754">
      <c r="A754" t="inlineStr">
        <is>
          <t>2024-09-05</t>
        </is>
      </c>
      <c r="B754" t="n">
        <v>113482</v>
      </c>
      <c r="C754" t="n">
        <v>17180</v>
      </c>
      <c r="D754" t="n">
        <v>1130662</v>
      </c>
      <c r="E754" t="n">
        <v>1016554</v>
      </c>
      <c r="F754" t="n">
        <v>0</v>
      </c>
      <c r="G754" t="n">
        <v>3</v>
      </c>
      <c r="H754" t="n">
        <v>8.5</v>
      </c>
    </row>
    <row r="755">
      <c r="A755" t="inlineStr">
        <is>
          <t>2024-09-06</t>
        </is>
      </c>
      <c r="B755" t="n">
        <v>131922</v>
      </c>
      <c r="C755" t="n">
        <v>-240</v>
      </c>
      <c r="D755" t="n">
        <v>1131682</v>
      </c>
      <c r="E755" t="n">
        <v>1017065</v>
      </c>
      <c r="F755" t="n">
        <v>0</v>
      </c>
      <c r="G755" t="n">
        <v>4</v>
      </c>
      <c r="H755" t="n">
        <v>10</v>
      </c>
    </row>
    <row r="756">
      <c r="A756" t="inlineStr">
        <is>
          <t>2024-09-09</t>
        </is>
      </c>
      <c r="B756" t="n">
        <v>131922</v>
      </c>
      <c r="C756" t="n">
        <v>180</v>
      </c>
      <c r="D756" t="n">
        <v>1132102</v>
      </c>
      <c r="E756" t="n">
        <v>1017485</v>
      </c>
      <c r="F756" t="n">
        <v>0</v>
      </c>
      <c r="G756" t="n">
        <v>4</v>
      </c>
      <c r="H756" t="n">
        <v>10</v>
      </c>
    </row>
    <row r="757">
      <c r="A757" t="inlineStr">
        <is>
          <t>2024-09-10</t>
        </is>
      </c>
      <c r="B757" t="n">
        <v>131922</v>
      </c>
      <c r="C757" t="n">
        <v>6840</v>
      </c>
      <c r="D757" t="n">
        <v>1138762</v>
      </c>
      <c r="E757" t="n">
        <v>1024145</v>
      </c>
      <c r="F757" t="n">
        <v>0</v>
      </c>
      <c r="G757" t="n">
        <v>4</v>
      </c>
      <c r="H757" t="n">
        <v>10</v>
      </c>
    </row>
    <row r="758">
      <c r="A758" t="inlineStr">
        <is>
          <t>2024-09-11</t>
        </is>
      </c>
      <c r="B758" t="n">
        <v>123382</v>
      </c>
      <c r="C758" t="n">
        <v>3120</v>
      </c>
      <c r="D758" t="n">
        <v>1126502</v>
      </c>
      <c r="E758" t="n">
        <v>1011249</v>
      </c>
      <c r="F758" t="n">
        <v>-1.08</v>
      </c>
      <c r="G758" t="n">
        <v>2</v>
      </c>
      <c r="H758" t="n">
        <v>5.5</v>
      </c>
    </row>
    <row r="759">
      <c r="A759" t="inlineStr">
        <is>
          <t>2024-09-12</t>
        </is>
      </c>
      <c r="B759" t="n">
        <v>127582</v>
      </c>
      <c r="C759" t="n">
        <v>-5280</v>
      </c>
      <c r="D759" t="n">
        <v>1122302</v>
      </c>
      <c r="E759" t="n">
        <v>1006772</v>
      </c>
      <c r="F759" t="n">
        <v>-1.45</v>
      </c>
      <c r="G759" t="n">
        <v>2</v>
      </c>
      <c r="H759" t="n">
        <v>6</v>
      </c>
    </row>
    <row r="760">
      <c r="A760" t="inlineStr">
        <is>
          <t>2024-09-13</t>
        </is>
      </c>
      <c r="B760" t="n">
        <v>127582</v>
      </c>
      <c r="C760" t="n">
        <v>-12240</v>
      </c>
      <c r="D760" t="n">
        <v>1115342</v>
      </c>
      <c r="E760" t="n">
        <v>999812</v>
      </c>
      <c r="F760" t="n">
        <v>-2.06</v>
      </c>
      <c r="G760" t="n">
        <v>4</v>
      </c>
      <c r="H760" t="n">
        <v>10</v>
      </c>
    </row>
    <row r="761">
      <c r="A761" t="inlineStr">
        <is>
          <t>2024-09-18</t>
        </is>
      </c>
      <c r="B761" t="n">
        <v>124502</v>
      </c>
      <c r="C761" t="n">
        <v>-4370</v>
      </c>
      <c r="D761" t="n">
        <v>1120132</v>
      </c>
      <c r="E761" t="n">
        <v>1004140</v>
      </c>
      <c r="F761" t="n">
        <v>-1.64</v>
      </c>
      <c r="G761" t="n">
        <v>4</v>
      </c>
      <c r="H761" t="n">
        <v>10</v>
      </c>
    </row>
    <row r="762">
      <c r="A762" t="inlineStr">
        <is>
          <t>2024-09-19</t>
        </is>
      </c>
      <c r="B762" t="n">
        <v>109092</v>
      </c>
      <c r="C762" t="n">
        <v>11200</v>
      </c>
      <c r="D762" t="n">
        <v>1120292</v>
      </c>
      <c r="E762" t="n">
        <v>1003389</v>
      </c>
      <c r="F762" t="n">
        <v>-1.62</v>
      </c>
      <c r="G762" t="n">
        <v>3</v>
      </c>
      <c r="H762" t="n">
        <v>9</v>
      </c>
    </row>
    <row r="763">
      <c r="A763" t="inlineStr">
        <is>
          <t>2024-09-20</t>
        </is>
      </c>
      <c r="B763" t="n">
        <v>125962</v>
      </c>
      <c r="C763" t="n">
        <v>3100</v>
      </c>
      <c r="D763" t="n">
        <v>1129062</v>
      </c>
      <c r="E763" t="n">
        <v>1011653</v>
      </c>
      <c r="F763" t="n">
        <v>-0.85</v>
      </c>
      <c r="G763" t="n">
        <v>3</v>
      </c>
      <c r="H763" t="n">
        <v>9</v>
      </c>
    </row>
    <row r="764">
      <c r="A764" t="inlineStr">
        <is>
          <t>2024-09-23</t>
        </is>
      </c>
      <c r="B764" t="n">
        <v>145522</v>
      </c>
      <c r="C764" t="n">
        <v>2560</v>
      </c>
      <c r="D764" t="n">
        <v>1148082</v>
      </c>
      <c r="E764" t="n">
        <v>1029516</v>
      </c>
      <c r="F764" t="n">
        <v>0</v>
      </c>
      <c r="G764" t="n">
        <v>3</v>
      </c>
      <c r="H764" t="n">
        <v>9</v>
      </c>
    </row>
    <row r="765">
      <c r="A765" t="inlineStr">
        <is>
          <t>2024-09-24</t>
        </is>
      </c>
      <c r="B765" t="n">
        <v>131362</v>
      </c>
      <c r="C765" t="n">
        <v>-13740</v>
      </c>
      <c r="D765" t="n">
        <v>1117622</v>
      </c>
      <c r="E765" t="n">
        <v>998729</v>
      </c>
      <c r="F765" t="n">
        <v>-2.65</v>
      </c>
      <c r="G765" t="n">
        <v>3</v>
      </c>
      <c r="H765" t="n">
        <v>9</v>
      </c>
    </row>
    <row r="766">
      <c r="A766" t="inlineStr">
        <is>
          <t>2024-09-25</t>
        </is>
      </c>
      <c r="B766" t="n">
        <v>113762</v>
      </c>
      <c r="C766" t="n">
        <v>0</v>
      </c>
      <c r="D766" t="n">
        <v>1113762</v>
      </c>
      <c r="E766" t="n">
        <v>994267</v>
      </c>
      <c r="F766" t="n">
        <v>-2.99</v>
      </c>
      <c r="G766" t="n">
        <v>1</v>
      </c>
      <c r="H766" t="n">
        <v>3</v>
      </c>
    </row>
    <row r="767">
      <c r="A767" t="inlineStr">
        <is>
          <t>2024-09-26</t>
        </is>
      </c>
      <c r="B767" t="n">
        <v>113762</v>
      </c>
      <c r="C767" t="n">
        <v>2520</v>
      </c>
      <c r="D767" t="n">
        <v>1116282</v>
      </c>
      <c r="E767" t="n">
        <v>996787</v>
      </c>
      <c r="F767" t="n">
        <v>-2.77</v>
      </c>
      <c r="G767" t="n">
        <v>2</v>
      </c>
      <c r="H767" t="n">
        <v>6</v>
      </c>
    </row>
    <row r="768">
      <c r="A768" t="inlineStr">
        <is>
          <t>2024-09-27</t>
        </is>
      </c>
      <c r="B768" t="n">
        <v>113762</v>
      </c>
      <c r="C768" t="n">
        <v>-140</v>
      </c>
      <c r="D768" t="n">
        <v>1113622</v>
      </c>
      <c r="E768" t="n">
        <v>994127</v>
      </c>
      <c r="F768" t="n">
        <v>-3</v>
      </c>
      <c r="G768" t="n">
        <v>3</v>
      </c>
      <c r="H768" t="n">
        <v>9</v>
      </c>
    </row>
    <row r="769">
      <c r="A769" t="inlineStr">
        <is>
          <t>2024-09-30</t>
        </is>
      </c>
      <c r="B769" t="n">
        <v>114742</v>
      </c>
      <c r="C769" t="n">
        <v>-80</v>
      </c>
      <c r="D769" t="n">
        <v>1114662</v>
      </c>
      <c r="E769" t="n">
        <v>994804</v>
      </c>
      <c r="F769" t="n">
        <v>-2.91</v>
      </c>
      <c r="G769" t="n">
        <v>3</v>
      </c>
      <c r="H769" t="n">
        <v>9</v>
      </c>
    </row>
    <row r="770">
      <c r="A770" t="inlineStr">
        <is>
          <t>2024-10-08</t>
        </is>
      </c>
      <c r="B770" t="n">
        <v>101442</v>
      </c>
      <c r="C770" t="n">
        <v>-2240</v>
      </c>
      <c r="D770" t="n">
        <v>1099202</v>
      </c>
      <c r="E770" t="n">
        <v>978635</v>
      </c>
      <c r="F770" t="n">
        <v>-4.26</v>
      </c>
      <c r="G770" t="n">
        <v>3</v>
      </c>
      <c r="H770" t="n">
        <v>9</v>
      </c>
    </row>
    <row r="771">
      <c r="A771" t="inlineStr">
        <is>
          <t>2024-10-09</t>
        </is>
      </c>
      <c r="B771" t="n">
        <v>98362</v>
      </c>
      <c r="C771" t="n">
        <v>9250</v>
      </c>
      <c r="D771" t="n">
        <v>1107612</v>
      </c>
      <c r="E771" t="n">
        <v>986708</v>
      </c>
      <c r="F771" t="n">
        <v>-3.53</v>
      </c>
      <c r="G771" t="n">
        <v>3</v>
      </c>
      <c r="H771" t="n">
        <v>9</v>
      </c>
    </row>
    <row r="772">
      <c r="A772" t="inlineStr">
        <is>
          <t>2024-10-10</t>
        </is>
      </c>
      <c r="B772" t="n">
        <v>86437</v>
      </c>
      <c r="C772" t="n">
        <v>-3780</v>
      </c>
      <c r="D772" t="n">
        <v>1082657</v>
      </c>
      <c r="E772" t="n">
        <v>960942</v>
      </c>
      <c r="F772" t="n">
        <v>-5.7</v>
      </c>
      <c r="G772" t="n">
        <v>1</v>
      </c>
      <c r="H772" t="n">
        <v>3</v>
      </c>
    </row>
    <row r="773">
      <c r="A773" t="inlineStr">
        <is>
          <t>2024-10-11</t>
        </is>
      </c>
      <c r="B773" t="n">
        <v>86437</v>
      </c>
      <c r="C773" t="n">
        <v>2580</v>
      </c>
      <c r="D773" t="n">
        <v>1089017</v>
      </c>
      <c r="E773" t="n">
        <v>967302</v>
      </c>
      <c r="F773" t="n">
        <v>-5.14</v>
      </c>
      <c r="G773" t="n">
        <v>4</v>
      </c>
      <c r="H773" t="n">
        <v>10</v>
      </c>
    </row>
    <row r="774">
      <c r="A774" t="inlineStr">
        <is>
          <t>2024-10-14</t>
        </is>
      </c>
      <c r="B774" t="n">
        <v>85927</v>
      </c>
      <c r="C774" t="n">
        <v>-1725</v>
      </c>
      <c r="D774" t="n">
        <v>1084202</v>
      </c>
      <c r="E774" t="n">
        <v>962012</v>
      </c>
      <c r="F774" t="n">
        <v>-5.56</v>
      </c>
      <c r="G774" t="n">
        <v>4</v>
      </c>
      <c r="H774" t="n">
        <v>10</v>
      </c>
    </row>
    <row r="775">
      <c r="A775" t="inlineStr">
        <is>
          <t>2024-10-15</t>
        </is>
      </c>
      <c r="B775" t="n">
        <v>78502</v>
      </c>
      <c r="C775" t="n">
        <v>1375</v>
      </c>
      <c r="D775" t="n">
        <v>1079877</v>
      </c>
      <c r="E775" t="n">
        <v>957499</v>
      </c>
      <c r="F775" t="n">
        <v>-5.94</v>
      </c>
      <c r="G775" t="n">
        <v>3</v>
      </c>
      <c r="H775" t="n">
        <v>7</v>
      </c>
    </row>
    <row r="776">
      <c r="A776" t="inlineStr">
        <is>
          <t>2024-10-16</t>
        </is>
      </c>
      <c r="B776" t="n">
        <v>78502</v>
      </c>
      <c r="C776" t="n">
        <v>18565</v>
      </c>
      <c r="D776" t="n">
        <v>1097067</v>
      </c>
      <c r="E776" t="n">
        <v>974689</v>
      </c>
      <c r="F776" t="n">
        <v>-4.44</v>
      </c>
      <c r="G776" t="n">
        <v>4</v>
      </c>
      <c r="H776" t="n">
        <v>10</v>
      </c>
    </row>
    <row r="777">
      <c r="A777" t="inlineStr">
        <is>
          <t>2024-10-17</t>
        </is>
      </c>
      <c r="B777" t="n">
        <v>95812</v>
      </c>
      <c r="C777" t="n">
        <v>-7480</v>
      </c>
      <c r="D777" t="n">
        <v>1088332</v>
      </c>
      <c r="E777" t="n">
        <v>965729</v>
      </c>
      <c r="F777" t="n">
        <v>-5.2</v>
      </c>
      <c r="G777" t="n">
        <v>2</v>
      </c>
      <c r="H777" t="n">
        <v>4</v>
      </c>
    </row>
    <row r="778">
      <c r="A778" t="inlineStr">
        <is>
          <t>2024-10-18</t>
        </is>
      </c>
      <c r="B778" t="n">
        <v>93252</v>
      </c>
      <c r="C778" t="n">
        <v>-3120</v>
      </c>
      <c r="D778" t="n">
        <v>1090132</v>
      </c>
      <c r="E778" t="n">
        <v>967425</v>
      </c>
      <c r="F778" t="n">
        <v>-5.05</v>
      </c>
      <c r="G778" t="n">
        <v>2</v>
      </c>
      <c r="H778" t="n">
        <v>6</v>
      </c>
    </row>
    <row r="779">
      <c r="A779" t="inlineStr">
        <is>
          <t>2024-10-21</t>
        </is>
      </c>
      <c r="B779" t="n">
        <v>109992</v>
      </c>
      <c r="C779" t="n">
        <v>-5400</v>
      </c>
      <c r="D779" t="n">
        <v>1104592</v>
      </c>
      <c r="E779" t="n">
        <v>981759</v>
      </c>
      <c r="F779" t="n">
        <v>-3.79</v>
      </c>
      <c r="G779" t="n">
        <v>4</v>
      </c>
      <c r="H779" t="n">
        <v>10</v>
      </c>
    </row>
    <row r="780">
      <c r="A780" t="inlineStr">
        <is>
          <t>2024-10-22</t>
        </is>
      </c>
      <c r="B780" t="n">
        <v>110992</v>
      </c>
      <c r="C780" t="n">
        <v>-5415</v>
      </c>
      <c r="D780" t="n">
        <v>1105577</v>
      </c>
      <c r="E780" t="n">
        <v>982695</v>
      </c>
      <c r="F780" t="n">
        <v>-3.7</v>
      </c>
      <c r="G780" t="n">
        <v>3</v>
      </c>
      <c r="H780" t="n">
        <v>9</v>
      </c>
    </row>
    <row r="781">
      <c r="A781" t="inlineStr">
        <is>
          <t>2024-10-23</t>
        </is>
      </c>
      <c r="B781" t="n">
        <v>110992</v>
      </c>
      <c r="C781" t="n">
        <v>-10875</v>
      </c>
      <c r="D781" t="n">
        <v>1100117</v>
      </c>
      <c r="E781" t="n">
        <v>977235</v>
      </c>
      <c r="F781" t="n">
        <v>-4.18</v>
      </c>
      <c r="G781" t="n">
        <v>3</v>
      </c>
      <c r="H781" t="n">
        <v>9</v>
      </c>
    </row>
    <row r="782">
      <c r="A782" t="inlineStr">
        <is>
          <t>2024-10-24</t>
        </is>
      </c>
      <c r="B782" t="n">
        <v>132997</v>
      </c>
      <c r="C782" t="n">
        <v>-20460</v>
      </c>
      <c r="D782" t="n">
        <v>1112537</v>
      </c>
      <c r="E782" t="n">
        <v>989177</v>
      </c>
      <c r="F782" t="n">
        <v>-3.1</v>
      </c>
      <c r="G782" t="n">
        <v>2</v>
      </c>
      <c r="H782" t="n">
        <v>6</v>
      </c>
    </row>
    <row r="783">
      <c r="A783" t="inlineStr">
        <is>
          <t>2024-10-25</t>
        </is>
      </c>
      <c r="B783" t="n">
        <v>128497</v>
      </c>
      <c r="C783" t="n">
        <v>-18810</v>
      </c>
      <c r="D783" t="n">
        <v>1109687</v>
      </c>
      <c r="E783" t="n">
        <v>986111</v>
      </c>
      <c r="F783" t="n">
        <v>-3.34</v>
      </c>
      <c r="G783" t="n">
        <v>1</v>
      </c>
      <c r="H783" t="n">
        <v>3</v>
      </c>
    </row>
    <row r="784">
      <c r="A784" t="inlineStr">
        <is>
          <t>2024-10-28</t>
        </is>
      </c>
      <c r="B784" t="n">
        <v>128497</v>
      </c>
      <c r="C784" t="n">
        <v>-19470</v>
      </c>
      <c r="D784" t="n">
        <v>1109027</v>
      </c>
      <c r="E784" t="n">
        <v>985451</v>
      </c>
      <c r="F784" t="n">
        <v>-3.4</v>
      </c>
      <c r="G784" t="n">
        <v>2</v>
      </c>
      <c r="H784" t="n">
        <v>6</v>
      </c>
    </row>
    <row r="785">
      <c r="A785" t="inlineStr">
        <is>
          <t>2024-10-29</t>
        </is>
      </c>
      <c r="B785" t="n">
        <v>128497</v>
      </c>
      <c r="C785" t="n">
        <v>-12480</v>
      </c>
      <c r="D785" t="n">
        <v>1116017</v>
      </c>
      <c r="E785" t="n">
        <v>992441</v>
      </c>
      <c r="F785" t="n">
        <v>-2.79</v>
      </c>
      <c r="G785" t="n">
        <v>2</v>
      </c>
      <c r="H785" t="n">
        <v>6</v>
      </c>
    </row>
    <row r="786">
      <c r="A786" t="inlineStr">
        <is>
          <t>2024-10-30</t>
        </is>
      </c>
      <c r="B786" t="n">
        <v>107684</v>
      </c>
      <c r="C786" t="n">
        <v>13480</v>
      </c>
      <c r="D786" t="n">
        <v>1121164</v>
      </c>
      <c r="E786" t="n">
        <v>996856</v>
      </c>
      <c r="F786" t="n">
        <v>-2.34</v>
      </c>
      <c r="G786" t="n">
        <v>2</v>
      </c>
      <c r="H786" t="n">
        <v>6</v>
      </c>
    </row>
    <row r="787">
      <c r="A787" t="inlineStr">
        <is>
          <t>2024-10-31</t>
        </is>
      </c>
      <c r="B787" t="n">
        <v>109184</v>
      </c>
      <c r="C787" t="n">
        <v>10520</v>
      </c>
      <c r="D787" t="n">
        <v>1119704</v>
      </c>
      <c r="E787" t="n">
        <v>994712</v>
      </c>
      <c r="F787" t="n">
        <v>-2.47</v>
      </c>
      <c r="G787" t="n">
        <v>2</v>
      </c>
      <c r="H787" t="n">
        <v>6</v>
      </c>
    </row>
    <row r="788">
      <c r="A788" t="inlineStr">
        <is>
          <t>2024-11-01</t>
        </is>
      </c>
      <c r="B788" t="n">
        <v>113764</v>
      </c>
      <c r="C788" t="n">
        <v>7300</v>
      </c>
      <c r="D788" t="n">
        <v>1121064</v>
      </c>
      <c r="E788" t="n">
        <v>995969</v>
      </c>
      <c r="F788" t="n">
        <v>-2.35</v>
      </c>
      <c r="G788" t="n">
        <v>1</v>
      </c>
      <c r="H788" t="n">
        <v>3</v>
      </c>
    </row>
    <row r="789">
      <c r="A789" t="inlineStr">
        <is>
          <t>2024-11-04</t>
        </is>
      </c>
      <c r="B789" t="n">
        <v>123364</v>
      </c>
      <c r="C789" t="n">
        <v>0</v>
      </c>
      <c r="D789" t="n">
        <v>1123364</v>
      </c>
      <c r="E789" t="n">
        <v>998021</v>
      </c>
      <c r="F789" t="n">
        <v>-2.15</v>
      </c>
      <c r="G789" t="n">
        <v>0</v>
      </c>
      <c r="H789" t="n">
        <v>0</v>
      </c>
    </row>
    <row r="790">
      <c r="A790" t="inlineStr">
        <is>
          <t>2024-11-05</t>
        </is>
      </c>
      <c r="B790" t="n">
        <v>123364</v>
      </c>
      <c r="C790" t="n">
        <v>0</v>
      </c>
      <c r="D790" t="n">
        <v>1123364</v>
      </c>
      <c r="E790" t="n">
        <v>998021</v>
      </c>
      <c r="F790" t="n">
        <v>-2.15</v>
      </c>
      <c r="G790" t="n">
        <v>0</v>
      </c>
      <c r="H790" t="n">
        <v>0</v>
      </c>
    </row>
    <row r="791">
      <c r="A791" t="inlineStr">
        <is>
          <t>2024-11-06</t>
        </is>
      </c>
      <c r="B791" t="n">
        <v>123364</v>
      </c>
      <c r="C791" t="n">
        <v>0</v>
      </c>
      <c r="D791" t="n">
        <v>1123364</v>
      </c>
      <c r="E791" t="n">
        <v>998021</v>
      </c>
      <c r="F791" t="n">
        <v>-2.15</v>
      </c>
      <c r="G791" t="n">
        <v>1</v>
      </c>
      <c r="H791" t="n">
        <v>3</v>
      </c>
    </row>
    <row r="792">
      <c r="A792" t="inlineStr">
        <is>
          <t>2024-11-07</t>
        </is>
      </c>
      <c r="B792" t="n">
        <v>123364</v>
      </c>
      <c r="C792" t="n">
        <v>-9750</v>
      </c>
      <c r="D792" t="n">
        <v>1113614</v>
      </c>
      <c r="E792" t="n">
        <v>988271</v>
      </c>
      <c r="F792" t="n">
        <v>-3</v>
      </c>
      <c r="G792" t="n">
        <v>2</v>
      </c>
      <c r="H792" t="n">
        <v>6</v>
      </c>
    </row>
    <row r="793">
      <c r="A793" t="inlineStr">
        <is>
          <t>2024-11-08</t>
        </is>
      </c>
      <c r="B793" t="n">
        <v>125044</v>
      </c>
      <c r="C793" t="n">
        <v>-7500</v>
      </c>
      <c r="D793" t="n">
        <v>1117544</v>
      </c>
      <c r="E793" t="n">
        <v>991859</v>
      </c>
      <c r="F793" t="n">
        <v>-2.66</v>
      </c>
      <c r="G793" t="n">
        <v>2</v>
      </c>
      <c r="H793" t="n">
        <v>6</v>
      </c>
    </row>
    <row r="794">
      <c r="A794" t="inlineStr">
        <is>
          <t>2024-11-11</t>
        </is>
      </c>
      <c r="B794" t="n">
        <v>122044</v>
      </c>
      <c r="C794" t="n">
        <v>-4000</v>
      </c>
      <c r="D794" t="n">
        <v>1118044</v>
      </c>
      <c r="E794" t="n">
        <v>991995</v>
      </c>
      <c r="F794" t="n">
        <v>-2.62</v>
      </c>
      <c r="G794" t="n">
        <v>1</v>
      </c>
      <c r="H794" t="n">
        <v>3</v>
      </c>
    </row>
    <row r="795">
      <c r="A795" t="inlineStr">
        <is>
          <t>2024-11-12</t>
        </is>
      </c>
      <c r="B795" t="n">
        <v>122044</v>
      </c>
      <c r="C795" t="n">
        <v>-2000</v>
      </c>
      <c r="D795" t="n">
        <v>1120044</v>
      </c>
      <c r="E795" t="n">
        <v>993995</v>
      </c>
      <c r="F795" t="n">
        <v>-2.44</v>
      </c>
      <c r="G795" t="n">
        <v>1</v>
      </c>
      <c r="H795" t="n">
        <v>3</v>
      </c>
    </row>
    <row r="796">
      <c r="A796" t="inlineStr">
        <is>
          <t>2024-11-13</t>
        </is>
      </c>
      <c r="B796" t="n">
        <v>122044</v>
      </c>
      <c r="C796" t="n">
        <v>-5250</v>
      </c>
      <c r="D796" t="n">
        <v>1116794</v>
      </c>
      <c r="E796" t="n">
        <v>990745</v>
      </c>
      <c r="F796" t="n">
        <v>-2.73</v>
      </c>
      <c r="G796" t="n">
        <v>1</v>
      </c>
      <c r="H796" t="n">
        <v>3</v>
      </c>
    </row>
    <row r="797">
      <c r="A797" t="inlineStr">
        <is>
          <t>2024-11-14</t>
        </is>
      </c>
      <c r="B797" t="n">
        <v>119044</v>
      </c>
      <c r="C797" t="n">
        <v>0</v>
      </c>
      <c r="D797" t="n">
        <v>1119044</v>
      </c>
      <c r="E797" t="n">
        <v>992433</v>
      </c>
      <c r="F797" t="n">
        <v>-2.53</v>
      </c>
      <c r="G797" t="n">
        <v>0</v>
      </c>
      <c r="H797" t="n">
        <v>0</v>
      </c>
    </row>
    <row r="798">
      <c r="A798" t="inlineStr">
        <is>
          <t>2024-11-15</t>
        </is>
      </c>
      <c r="B798" t="n">
        <v>119044</v>
      </c>
      <c r="C798" t="n">
        <v>0</v>
      </c>
      <c r="D798" t="n">
        <v>1119044</v>
      </c>
      <c r="E798" t="n">
        <v>992433</v>
      </c>
      <c r="F798" t="n">
        <v>-2.53</v>
      </c>
      <c r="G798" t="n">
        <v>0</v>
      </c>
      <c r="H798" t="n">
        <v>0</v>
      </c>
    </row>
    <row r="799">
      <c r="A799" t="inlineStr">
        <is>
          <t>2024-11-18</t>
        </is>
      </c>
      <c r="B799" t="n">
        <v>119044</v>
      </c>
      <c r="C799" t="n">
        <v>0</v>
      </c>
      <c r="D799" t="n">
        <v>1119044</v>
      </c>
      <c r="E799" t="n">
        <v>992433</v>
      </c>
      <c r="F799" t="n">
        <v>-2.53</v>
      </c>
      <c r="G799" t="n">
        <v>1</v>
      </c>
      <c r="H799" t="n">
        <v>3</v>
      </c>
    </row>
    <row r="800">
      <c r="A800" t="inlineStr">
        <is>
          <t>2024-11-19</t>
        </is>
      </c>
      <c r="B800" t="n">
        <v>119044</v>
      </c>
      <c r="C800" t="n">
        <v>3800</v>
      </c>
      <c r="D800" t="n">
        <v>1122844</v>
      </c>
      <c r="E800" t="n">
        <v>996233</v>
      </c>
      <c r="F800" t="n">
        <v>-2.2</v>
      </c>
      <c r="G800" t="n">
        <v>2</v>
      </c>
      <c r="H800" t="n">
        <v>6</v>
      </c>
    </row>
    <row r="801">
      <c r="A801" t="inlineStr">
        <is>
          <t>2024-11-20</t>
        </is>
      </c>
      <c r="B801" t="n">
        <v>120084</v>
      </c>
      <c r="C801" t="n">
        <v>-600</v>
      </c>
      <c r="D801" t="n">
        <v>1119484</v>
      </c>
      <c r="E801" t="n">
        <v>992673</v>
      </c>
      <c r="F801" t="n">
        <v>-2.49</v>
      </c>
      <c r="G801" t="n">
        <v>3</v>
      </c>
      <c r="H801" t="n">
        <v>9</v>
      </c>
    </row>
    <row r="802">
      <c r="A802" t="inlineStr">
        <is>
          <t>2024-11-21</t>
        </is>
      </c>
      <c r="B802" t="n">
        <v>120084</v>
      </c>
      <c r="C802" t="n">
        <v>-3590</v>
      </c>
      <c r="D802" t="n">
        <v>1116494</v>
      </c>
      <c r="E802" t="n">
        <v>989683</v>
      </c>
      <c r="F802" t="n">
        <v>-2.75</v>
      </c>
      <c r="G802" t="n">
        <v>4</v>
      </c>
      <c r="H802" t="n">
        <v>10</v>
      </c>
    </row>
    <row r="803">
      <c r="A803" t="inlineStr">
        <is>
          <t>2024-11-22</t>
        </is>
      </c>
      <c r="B803" t="n">
        <v>122124</v>
      </c>
      <c r="C803" t="n">
        <v>14120</v>
      </c>
      <c r="D803" t="n">
        <v>1136244</v>
      </c>
      <c r="E803" t="n">
        <v>1009344</v>
      </c>
      <c r="F803" t="n">
        <v>-1.03</v>
      </c>
      <c r="G803" t="n">
        <v>4</v>
      </c>
      <c r="H803" t="n">
        <v>10</v>
      </c>
    </row>
    <row r="804">
      <c r="A804" t="inlineStr">
        <is>
          <t>2024-11-25</t>
        </is>
      </c>
      <c r="B804" t="n">
        <v>120804</v>
      </c>
      <c r="C804" t="n">
        <v>11710</v>
      </c>
      <c r="D804" t="n">
        <v>1132514</v>
      </c>
      <c r="E804" t="n">
        <v>1005513</v>
      </c>
      <c r="F804" t="n">
        <v>-1.36</v>
      </c>
      <c r="G804" t="n">
        <v>4</v>
      </c>
      <c r="H804" t="n">
        <v>10</v>
      </c>
    </row>
    <row r="805">
      <c r="A805" t="inlineStr">
        <is>
          <t>2024-11-26</t>
        </is>
      </c>
      <c r="B805" t="n">
        <v>142204</v>
      </c>
      <c r="C805" t="n">
        <v>5310</v>
      </c>
      <c r="D805" t="n">
        <v>1147514</v>
      </c>
      <c r="E805" t="n">
        <v>1019936</v>
      </c>
      <c r="F805" t="n">
        <v>-0.05</v>
      </c>
      <c r="G805" t="n">
        <v>4</v>
      </c>
      <c r="H805" t="n">
        <v>10</v>
      </c>
    </row>
    <row r="806">
      <c r="A806" t="inlineStr">
        <is>
          <t>2024-11-27</t>
        </is>
      </c>
      <c r="B806" t="n">
        <v>142204</v>
      </c>
      <c r="C806" t="n">
        <v>7935</v>
      </c>
      <c r="D806" t="n">
        <v>1150139</v>
      </c>
      <c r="E806" t="n">
        <v>1022561</v>
      </c>
      <c r="F806" t="n">
        <v>0</v>
      </c>
      <c r="G806" t="n">
        <v>4</v>
      </c>
      <c r="H806" t="n">
        <v>10</v>
      </c>
    </row>
    <row r="807">
      <c r="A807" t="inlineStr">
        <is>
          <t>2024-11-28</t>
        </is>
      </c>
      <c r="B807" t="n">
        <v>142204</v>
      </c>
      <c r="C807" t="n">
        <v>14780</v>
      </c>
      <c r="D807" t="n">
        <v>1156984</v>
      </c>
      <c r="E807" t="n">
        <v>1029406</v>
      </c>
      <c r="F807" t="n">
        <v>0</v>
      </c>
      <c r="G807" t="n">
        <v>4</v>
      </c>
      <c r="H807" t="n">
        <v>10</v>
      </c>
    </row>
    <row r="808">
      <c r="A808" t="inlineStr">
        <is>
          <t>2024-11-29</t>
        </is>
      </c>
      <c r="B808" t="n">
        <v>164764</v>
      </c>
      <c r="C808" t="n">
        <v>6910</v>
      </c>
      <c r="D808" t="n">
        <v>1171674</v>
      </c>
      <c r="E808" t="n">
        <v>1043722</v>
      </c>
      <c r="F808" t="n">
        <v>0</v>
      </c>
      <c r="G808" t="n">
        <v>3</v>
      </c>
      <c r="H808" t="n">
        <v>7</v>
      </c>
    </row>
    <row r="809">
      <c r="A809" t="inlineStr">
        <is>
          <t>2024-12-02</t>
        </is>
      </c>
      <c r="B809" t="n">
        <v>168204</v>
      </c>
      <c r="C809" t="n">
        <v>10420</v>
      </c>
      <c r="D809" t="n">
        <v>1178624</v>
      </c>
      <c r="E809" t="n">
        <v>1050571</v>
      </c>
      <c r="F809" t="n">
        <v>0</v>
      </c>
      <c r="G809" t="n">
        <v>4</v>
      </c>
      <c r="H809" t="n">
        <v>10</v>
      </c>
    </row>
    <row r="810">
      <c r="A810" t="inlineStr">
        <is>
          <t>2024-12-03</t>
        </is>
      </c>
      <c r="B810" t="n">
        <v>189389</v>
      </c>
      <c r="C810" t="n">
        <v>3920</v>
      </c>
      <c r="D810" t="n">
        <v>1193309</v>
      </c>
      <c r="E810" t="n">
        <v>1064366</v>
      </c>
      <c r="F810" t="n">
        <v>0</v>
      </c>
      <c r="G810" t="n">
        <v>4</v>
      </c>
      <c r="H810" t="n">
        <v>10</v>
      </c>
    </row>
    <row r="811">
      <c r="A811" t="inlineStr">
        <is>
          <t>2024-12-04</t>
        </is>
      </c>
      <c r="B811" t="n">
        <v>222829</v>
      </c>
      <c r="C811" t="n">
        <v>11865</v>
      </c>
      <c r="D811" t="n">
        <v>1234694</v>
      </c>
      <c r="E811" t="n">
        <v>1104331</v>
      </c>
      <c r="F811" t="n">
        <v>0</v>
      </c>
      <c r="G811" t="n">
        <v>4</v>
      </c>
      <c r="H811" t="n">
        <v>10</v>
      </c>
    </row>
    <row r="812">
      <c r="A812" t="inlineStr">
        <is>
          <t>2024-12-05</t>
        </is>
      </c>
      <c r="B812" t="n">
        <v>230914</v>
      </c>
      <c r="C812" t="n">
        <v>-6520</v>
      </c>
      <c r="D812" t="n">
        <v>1224394</v>
      </c>
      <c r="E812" t="n">
        <v>1093617</v>
      </c>
      <c r="F812" t="n">
        <v>-0.83</v>
      </c>
      <c r="G812" t="n">
        <v>4</v>
      </c>
      <c r="H812" t="n">
        <v>10</v>
      </c>
    </row>
    <row r="813">
      <c r="A813" t="inlineStr">
        <is>
          <t>2024-12-06</t>
        </is>
      </c>
      <c r="B813" t="n">
        <v>230914</v>
      </c>
      <c r="C813" t="n">
        <v>-1970</v>
      </c>
      <c r="D813" t="n">
        <v>1228944</v>
      </c>
      <c r="E813" t="n">
        <v>1098167</v>
      </c>
      <c r="F813" t="n">
        <v>-0.47</v>
      </c>
      <c r="G813" t="n">
        <v>4</v>
      </c>
      <c r="H813" t="n">
        <v>10</v>
      </c>
    </row>
    <row r="814">
      <c r="A814" t="inlineStr">
        <is>
          <t>2024-12-09</t>
        </is>
      </c>
      <c r="B814" t="n">
        <v>230914</v>
      </c>
      <c r="C814" t="n">
        <v>5975</v>
      </c>
      <c r="D814" t="n">
        <v>1236889</v>
      </c>
      <c r="E814" t="n">
        <v>1106112</v>
      </c>
      <c r="F814" t="n">
        <v>0</v>
      </c>
      <c r="G814" t="n">
        <v>4</v>
      </c>
      <c r="H814" t="n">
        <v>10</v>
      </c>
    </row>
    <row r="815">
      <c r="A815" t="inlineStr">
        <is>
          <t>2024-12-10</t>
        </is>
      </c>
      <c r="B815" t="n">
        <v>226514</v>
      </c>
      <c r="C815" t="n">
        <v>6125</v>
      </c>
      <c r="D815" t="n">
        <v>1232639</v>
      </c>
      <c r="E815" t="n">
        <v>1101744</v>
      </c>
      <c r="F815" t="n">
        <v>-0.34</v>
      </c>
      <c r="G815" t="n">
        <v>4</v>
      </c>
      <c r="H815" t="n">
        <v>10</v>
      </c>
    </row>
    <row r="816">
      <c r="A816" t="inlineStr">
        <is>
          <t>2024-12-11</t>
        </is>
      </c>
      <c r="B816" t="n">
        <v>226514</v>
      </c>
      <c r="C816" t="n">
        <v>3170</v>
      </c>
      <c r="D816" t="n">
        <v>1229684</v>
      </c>
      <c r="E816" t="n">
        <v>1098789</v>
      </c>
      <c r="F816" t="n">
        <v>-0.58</v>
      </c>
      <c r="G816" t="n">
        <v>4</v>
      </c>
      <c r="H816" t="n">
        <v>10</v>
      </c>
    </row>
    <row r="817">
      <c r="A817" t="inlineStr">
        <is>
          <t>2024-12-12</t>
        </is>
      </c>
      <c r="B817" t="n">
        <v>226514</v>
      </c>
      <c r="C817" t="n">
        <v>10750</v>
      </c>
      <c r="D817" t="n">
        <v>1237264</v>
      </c>
      <c r="E817" t="n">
        <v>1106369</v>
      </c>
      <c r="F817" t="n">
        <v>0</v>
      </c>
      <c r="G817" t="n">
        <v>4</v>
      </c>
      <c r="H817" t="n">
        <v>10</v>
      </c>
    </row>
    <row r="818">
      <c r="A818" t="inlineStr">
        <is>
          <t>2024-12-13</t>
        </is>
      </c>
      <c r="B818" t="n">
        <v>223634</v>
      </c>
      <c r="C818" t="n">
        <v>26085</v>
      </c>
      <c r="D818" t="n">
        <v>1249719</v>
      </c>
      <c r="E818" t="n">
        <v>1118537</v>
      </c>
      <c r="F818" t="n">
        <v>0</v>
      </c>
      <c r="G818" t="n">
        <v>4</v>
      </c>
      <c r="H818" t="n">
        <v>10</v>
      </c>
    </row>
    <row r="819">
      <c r="A819" t="inlineStr">
        <is>
          <t>2024-12-16</t>
        </is>
      </c>
      <c r="B819" t="n">
        <v>221634</v>
      </c>
      <c r="C819" t="n">
        <v>30145</v>
      </c>
      <c r="D819" t="n">
        <v>1251779</v>
      </c>
      <c r="E819" t="n">
        <v>1120359</v>
      </c>
      <c r="F819" t="n">
        <v>0</v>
      </c>
      <c r="G819" t="n">
        <v>3</v>
      </c>
      <c r="H819" t="n">
        <v>7</v>
      </c>
    </row>
    <row r="820">
      <c r="A820" t="inlineStr">
        <is>
          <t>2024-12-17</t>
        </is>
      </c>
      <c r="B820" t="n">
        <v>221634</v>
      </c>
      <c r="C820" t="n">
        <v>41965</v>
      </c>
      <c r="D820" t="n">
        <v>1263599</v>
      </c>
      <c r="E820" t="n">
        <v>1132179</v>
      </c>
      <c r="F820" t="n">
        <v>0</v>
      </c>
      <c r="G820" t="n">
        <v>4</v>
      </c>
      <c r="H820" t="n">
        <v>10</v>
      </c>
    </row>
    <row r="821">
      <c r="A821" t="inlineStr">
        <is>
          <t>2024-12-18</t>
        </is>
      </c>
      <c r="B821" t="n">
        <v>223134</v>
      </c>
      <c r="C821" t="n">
        <v>64335</v>
      </c>
      <c r="D821" t="n">
        <v>1287469</v>
      </c>
      <c r="E821" t="n">
        <v>1155701</v>
      </c>
      <c r="F821" t="n">
        <v>0</v>
      </c>
      <c r="G821" t="n">
        <v>4</v>
      </c>
      <c r="H821" t="n">
        <v>10</v>
      </c>
    </row>
    <row r="822">
      <c r="A822" t="inlineStr">
        <is>
          <t>2024-12-19</t>
        </is>
      </c>
      <c r="B822" t="n">
        <v>220988</v>
      </c>
      <c r="C822" t="n">
        <v>69535</v>
      </c>
      <c r="D822" t="n">
        <v>1290523</v>
      </c>
      <c r="E822" t="n">
        <v>1158406</v>
      </c>
      <c r="F822" t="n">
        <v>0</v>
      </c>
      <c r="G822" t="n">
        <v>4</v>
      </c>
      <c r="H822" t="n">
        <v>10</v>
      </c>
    </row>
    <row r="823">
      <c r="A823" t="inlineStr">
        <is>
          <t>2024-12-20</t>
        </is>
      </c>
      <c r="B823" t="n">
        <v>227488</v>
      </c>
      <c r="C823" t="n">
        <v>39915</v>
      </c>
      <c r="D823" t="n">
        <v>1267403</v>
      </c>
      <c r="E823" t="n">
        <v>1134697</v>
      </c>
      <c r="F823" t="n">
        <v>-1.79</v>
      </c>
      <c r="G823" t="n">
        <v>3</v>
      </c>
      <c r="H823" t="n">
        <v>7</v>
      </c>
    </row>
    <row r="824">
      <c r="A824" t="inlineStr">
        <is>
          <t>2024-12-23</t>
        </is>
      </c>
      <c r="B824" t="n">
        <v>226513</v>
      </c>
      <c r="C824" t="n">
        <v>29205</v>
      </c>
      <c r="D824" t="n">
        <v>1255718</v>
      </c>
      <c r="E824" t="n">
        <v>1122845</v>
      </c>
      <c r="F824" t="n">
        <v>-2.7</v>
      </c>
      <c r="G824" t="n">
        <v>3</v>
      </c>
      <c r="H824" t="n">
        <v>9</v>
      </c>
    </row>
    <row r="825">
      <c r="A825" t="inlineStr">
        <is>
          <t>2024-12-24</t>
        </is>
      </c>
      <c r="B825" t="n">
        <v>265188</v>
      </c>
      <c r="C825" t="n">
        <v>-8745</v>
      </c>
      <c r="D825" t="n">
        <v>1256443</v>
      </c>
      <c r="E825" t="n">
        <v>1122602</v>
      </c>
      <c r="F825" t="n">
        <v>-2.64</v>
      </c>
      <c r="G825" t="n">
        <v>3</v>
      </c>
      <c r="H825" t="n">
        <v>9</v>
      </c>
    </row>
    <row r="826">
      <c r="A826" t="inlineStr">
        <is>
          <t>2024-12-25</t>
        </is>
      </c>
      <c r="B826" t="n">
        <v>269998</v>
      </c>
      <c r="C826" t="n">
        <v>-6975</v>
      </c>
      <c r="D826" t="n">
        <v>1263023</v>
      </c>
      <c r="E826" t="n">
        <v>1128361</v>
      </c>
      <c r="F826" t="n">
        <v>-2.13</v>
      </c>
      <c r="G826" t="n">
        <v>4</v>
      </c>
      <c r="H826" t="n">
        <v>10</v>
      </c>
    </row>
    <row r="827">
      <c r="A827" t="inlineStr">
        <is>
          <t>2024-12-26</t>
        </is>
      </c>
      <c r="B827" t="n">
        <v>269998</v>
      </c>
      <c r="C827" t="n">
        <v>-7180</v>
      </c>
      <c r="D827" t="n">
        <v>1262818</v>
      </c>
      <c r="E827" t="n">
        <v>1128156</v>
      </c>
      <c r="F827" t="n">
        <v>-2.15</v>
      </c>
      <c r="G827" t="n">
        <v>4</v>
      </c>
      <c r="H827" t="n">
        <v>10</v>
      </c>
    </row>
    <row r="828">
      <c r="A828" t="inlineStr">
        <is>
          <t>2024-12-27</t>
        </is>
      </c>
      <c r="B828" t="n">
        <v>272078</v>
      </c>
      <c r="C828" t="n">
        <v>-6685</v>
      </c>
      <c r="D828" t="n">
        <v>1265393</v>
      </c>
      <c r="E828" t="n">
        <v>1130553</v>
      </c>
      <c r="F828" t="n">
        <v>-1.95</v>
      </c>
      <c r="G828" t="n">
        <v>4</v>
      </c>
      <c r="H828" t="n">
        <v>10</v>
      </c>
    </row>
    <row r="829">
      <c r="A829" t="inlineStr">
        <is>
          <t>2024-12-30</t>
        </is>
      </c>
      <c r="B829" t="n">
        <v>270478</v>
      </c>
      <c r="C829" t="n">
        <v>-12880</v>
      </c>
      <c r="D829" t="n">
        <v>1257598</v>
      </c>
      <c r="E829" t="n">
        <v>1122563</v>
      </c>
      <c r="F829" t="n">
        <v>-2.55</v>
      </c>
      <c r="G829" t="n">
        <v>4</v>
      </c>
      <c r="H829" t="n">
        <v>10</v>
      </c>
    </row>
    <row r="830">
      <c r="A830" t="inlineStr">
        <is>
          <t>2024-12-31</t>
        </is>
      </c>
      <c r="B830" t="n">
        <v>270478</v>
      </c>
      <c r="C830" t="n">
        <v>-1450</v>
      </c>
      <c r="D830" t="n">
        <v>1269028</v>
      </c>
      <c r="E830" t="n">
        <v>1133993</v>
      </c>
      <c r="F830" t="n">
        <v>-1.67</v>
      </c>
      <c r="G830" t="n">
        <v>4</v>
      </c>
      <c r="H830" t="n">
        <v>10</v>
      </c>
    </row>
    <row r="831">
      <c r="A831" t="inlineStr">
        <is>
          <t>2025-01-02</t>
        </is>
      </c>
      <c r="B831" t="n">
        <v>270478</v>
      </c>
      <c r="C831" t="n">
        <v>5605</v>
      </c>
      <c r="D831" t="n">
        <v>1276083</v>
      </c>
      <c r="E831" t="n">
        <v>1141048</v>
      </c>
      <c r="F831" t="n">
        <v>-1.12</v>
      </c>
      <c r="G831" t="n">
        <v>4</v>
      </c>
      <c r="H831" t="n">
        <v>10</v>
      </c>
    </row>
    <row r="832">
      <c r="A832" t="inlineStr">
        <is>
          <t>2025-01-03</t>
        </is>
      </c>
      <c r="B832" t="n">
        <v>270478</v>
      </c>
      <c r="C832" t="n">
        <v>15555</v>
      </c>
      <c r="D832" t="n">
        <v>1286033</v>
      </c>
      <c r="E832" t="n">
        <v>1150998</v>
      </c>
      <c r="F832" t="n">
        <v>-0.35</v>
      </c>
      <c r="G832" t="n">
        <v>4</v>
      </c>
      <c r="H832" t="n">
        <v>10</v>
      </c>
    </row>
    <row r="833">
      <c r="A833" t="inlineStr">
        <is>
          <t>2025-01-06</t>
        </is>
      </c>
      <c r="B833" t="n">
        <v>252353</v>
      </c>
      <c r="C833" t="n">
        <v>24530</v>
      </c>
      <c r="D833" t="n">
        <v>1276883</v>
      </c>
      <c r="E833" t="n">
        <v>1141258</v>
      </c>
      <c r="F833" t="n">
        <v>-1.06</v>
      </c>
      <c r="G833" t="n">
        <v>4</v>
      </c>
      <c r="H833" t="n">
        <v>10</v>
      </c>
    </row>
    <row r="834">
      <c r="A834" t="inlineStr">
        <is>
          <t>2025-01-07</t>
        </is>
      </c>
      <c r="B834" t="n">
        <v>253313</v>
      </c>
      <c r="C834" t="n">
        <v>38965</v>
      </c>
      <c r="D834" t="n">
        <v>1292278</v>
      </c>
      <c r="E834" t="n">
        <v>1156367</v>
      </c>
      <c r="F834" t="n">
        <v>0</v>
      </c>
      <c r="G834" t="n">
        <v>4</v>
      </c>
      <c r="H834" t="n">
        <v>10</v>
      </c>
    </row>
    <row r="835">
      <c r="A835" t="inlineStr">
        <is>
          <t>2025-01-08</t>
        </is>
      </c>
      <c r="B835" t="n">
        <v>253313</v>
      </c>
      <c r="C835" t="n">
        <v>48005</v>
      </c>
      <c r="D835" t="n">
        <v>1301318</v>
      </c>
      <c r="E835" t="n">
        <v>1165407</v>
      </c>
      <c r="F835" t="n">
        <v>0</v>
      </c>
      <c r="G835" t="n">
        <v>4</v>
      </c>
      <c r="H835" t="n">
        <v>10</v>
      </c>
    </row>
    <row r="836">
      <c r="A836" t="inlineStr">
        <is>
          <t>2025-01-09</t>
        </is>
      </c>
      <c r="B836" t="n">
        <v>256833</v>
      </c>
      <c r="C836" t="n">
        <v>22675</v>
      </c>
      <c r="D836" t="n">
        <v>1279508</v>
      </c>
      <c r="E836" t="n">
        <v>1142860</v>
      </c>
      <c r="F836" t="n">
        <v>-1.68</v>
      </c>
      <c r="G836" t="n">
        <v>4</v>
      </c>
      <c r="H836" t="n">
        <v>10</v>
      </c>
    </row>
    <row r="837">
      <c r="A837" t="inlineStr">
        <is>
          <t>2025-01-10</t>
        </is>
      </c>
      <c r="B837" t="n">
        <v>260743</v>
      </c>
      <c r="C837" t="n">
        <v>26050</v>
      </c>
      <c r="D837" t="n">
        <v>1286793</v>
      </c>
      <c r="E837" t="n">
        <v>1149743</v>
      </c>
      <c r="F837" t="n">
        <v>-1.12</v>
      </c>
      <c r="G837" t="n">
        <v>4</v>
      </c>
      <c r="H837" t="n">
        <v>10</v>
      </c>
    </row>
    <row r="838">
      <c r="A838" t="inlineStr">
        <is>
          <t>2025-01-13</t>
        </is>
      </c>
      <c r="B838" t="n">
        <v>260743</v>
      </c>
      <c r="C838" t="n">
        <v>13000</v>
      </c>
      <c r="D838" t="n">
        <v>1273743</v>
      </c>
      <c r="E838" t="n">
        <v>1136693</v>
      </c>
      <c r="F838" t="n">
        <v>-2.12</v>
      </c>
      <c r="G838" t="n">
        <v>4</v>
      </c>
      <c r="H838" t="n">
        <v>10</v>
      </c>
    </row>
    <row r="839">
      <c r="A839" t="inlineStr">
        <is>
          <t>2025-01-14</t>
        </is>
      </c>
      <c r="B839" t="n">
        <v>265031</v>
      </c>
      <c r="C839" t="n">
        <v>-6830</v>
      </c>
      <c r="D839" t="n">
        <v>1258201</v>
      </c>
      <c r="E839" t="n">
        <v>1120646</v>
      </c>
      <c r="F839" t="n">
        <v>-3.31</v>
      </c>
      <c r="G839" t="n">
        <v>3</v>
      </c>
      <c r="H839" t="n">
        <v>9</v>
      </c>
    </row>
    <row r="840">
      <c r="A840" t="inlineStr">
        <is>
          <t>2025-01-15</t>
        </is>
      </c>
      <c r="B840" t="n">
        <v>259671</v>
      </c>
      <c r="C840" t="n">
        <v>5460</v>
      </c>
      <c r="D840" t="n">
        <v>1265131</v>
      </c>
      <c r="E840" t="n">
        <v>1125845</v>
      </c>
      <c r="F840" t="n">
        <v>-2.78</v>
      </c>
      <c r="G840" t="n">
        <v>2</v>
      </c>
      <c r="H840" t="n">
        <v>6</v>
      </c>
    </row>
    <row r="841">
      <c r="A841" t="inlineStr">
        <is>
          <t>2025-01-16</t>
        </is>
      </c>
      <c r="B841" t="n">
        <v>262821</v>
      </c>
      <c r="C841" t="n">
        <v>3250</v>
      </c>
      <c r="D841" t="n">
        <v>1266071</v>
      </c>
      <c r="E841" t="n">
        <v>1126307</v>
      </c>
      <c r="F841" t="n">
        <v>-2.71</v>
      </c>
      <c r="G841" t="n">
        <v>3</v>
      </c>
      <c r="H841" t="n">
        <v>9</v>
      </c>
    </row>
    <row r="842">
      <c r="A842" t="inlineStr">
        <is>
          <t>2025-01-17</t>
        </is>
      </c>
      <c r="B842" t="n">
        <v>262821</v>
      </c>
      <c r="C842" t="n">
        <v>270</v>
      </c>
      <c r="D842" t="n">
        <v>1263091</v>
      </c>
      <c r="E842" t="n">
        <v>1123327</v>
      </c>
      <c r="F842" t="n">
        <v>-2.94</v>
      </c>
      <c r="G842" t="n">
        <v>3</v>
      </c>
      <c r="H842" t="n">
        <v>9</v>
      </c>
    </row>
    <row r="843">
      <c r="A843" t="inlineStr">
        <is>
          <t>2025-01-20</t>
        </is>
      </c>
      <c r="B843" t="n">
        <v>242511</v>
      </c>
      <c r="C843" t="n">
        <v>-920</v>
      </c>
      <c r="D843" t="n">
        <v>1241591</v>
      </c>
      <c r="E843" t="n">
        <v>1101241</v>
      </c>
      <c r="F843" t="n">
        <v>-4.59</v>
      </c>
      <c r="G843" t="n">
        <v>3</v>
      </c>
      <c r="H843" t="n">
        <v>9</v>
      </c>
    </row>
    <row r="844">
      <c r="A844" t="inlineStr">
        <is>
          <t>2025-01-21</t>
        </is>
      </c>
      <c r="B844" t="n">
        <v>245631</v>
      </c>
      <c r="C844" t="n">
        <v>-5060</v>
      </c>
      <c r="D844" t="n">
        <v>1240571</v>
      </c>
      <c r="E844" t="n">
        <v>1099511</v>
      </c>
      <c r="F844" t="n">
        <v>-4.67</v>
      </c>
      <c r="G844" t="n">
        <v>1</v>
      </c>
      <c r="H844" t="n">
        <v>3</v>
      </c>
    </row>
    <row r="845">
      <c r="A845" t="inlineStr">
        <is>
          <t>2025-01-22</t>
        </is>
      </c>
      <c r="B845" t="n">
        <v>245631</v>
      </c>
      <c r="C845" t="n">
        <v>-7360</v>
      </c>
      <c r="D845" t="n">
        <v>1238271</v>
      </c>
      <c r="E845" t="n">
        <v>1097211</v>
      </c>
      <c r="F845" t="n">
        <v>-4.84</v>
      </c>
      <c r="G845" t="n">
        <v>2</v>
      </c>
      <c r="H845" t="n">
        <v>6</v>
      </c>
    </row>
    <row r="846">
      <c r="A846" t="inlineStr">
        <is>
          <t>2025-01-23</t>
        </is>
      </c>
      <c r="B846" t="n">
        <v>245631</v>
      </c>
      <c r="C846" t="n">
        <v>-4280</v>
      </c>
      <c r="D846" t="n">
        <v>1241351</v>
      </c>
      <c r="E846" t="n">
        <v>1100291</v>
      </c>
      <c r="F846" t="n">
        <v>-4.61</v>
      </c>
      <c r="G846" t="n">
        <v>2</v>
      </c>
      <c r="H846" t="n">
        <v>6</v>
      </c>
    </row>
    <row r="847">
      <c r="A847" t="inlineStr">
        <is>
          <t>2025-01-24</t>
        </is>
      </c>
      <c r="B847" t="n">
        <v>247731</v>
      </c>
      <c r="C847" t="n">
        <v>-9660</v>
      </c>
      <c r="D847" t="n">
        <v>1238071</v>
      </c>
      <c r="E847" t="n">
        <v>1096906</v>
      </c>
      <c r="F847" t="n">
        <v>-4.86</v>
      </c>
      <c r="G847" t="n">
        <v>2</v>
      </c>
      <c r="H847" t="n">
        <v>6</v>
      </c>
    </row>
    <row r="848">
      <c r="A848" t="inlineStr">
        <is>
          <t>2025-01-27</t>
        </is>
      </c>
      <c r="B848" t="n">
        <v>247731</v>
      </c>
      <c r="C848" t="n">
        <v>-4100</v>
      </c>
      <c r="D848" t="n">
        <v>1243631</v>
      </c>
      <c r="E848" t="n">
        <v>1102466</v>
      </c>
      <c r="F848" t="n">
        <v>-4.43</v>
      </c>
      <c r="G848" t="n">
        <v>2</v>
      </c>
      <c r="H848" t="n">
        <v>6</v>
      </c>
    </row>
    <row r="849">
      <c r="A849" t="inlineStr">
        <is>
          <t>2025-02-05</t>
        </is>
      </c>
      <c r="B849" t="n">
        <v>247731</v>
      </c>
      <c r="C849" t="n">
        <v>19740</v>
      </c>
      <c r="D849" t="n">
        <v>1267471</v>
      </c>
      <c r="E849" t="n">
        <v>1126306</v>
      </c>
      <c r="F849" t="n">
        <v>-2.6</v>
      </c>
      <c r="G849" t="n">
        <v>4</v>
      </c>
      <c r="H849" t="n">
        <v>10</v>
      </c>
    </row>
    <row r="850">
      <c r="A850" t="inlineStr">
        <is>
          <t>2025-02-06</t>
        </is>
      </c>
      <c r="B850" t="n">
        <v>253251</v>
      </c>
      <c r="C850" t="n">
        <v>8740</v>
      </c>
      <c r="D850" t="n">
        <v>1261991</v>
      </c>
      <c r="E850" t="n">
        <v>1119801</v>
      </c>
      <c r="F850" t="n">
        <v>-3.02</v>
      </c>
      <c r="G850" t="n">
        <v>4</v>
      </c>
      <c r="H850" t="n">
        <v>10</v>
      </c>
    </row>
    <row r="851">
      <c r="A851" t="inlineStr">
        <is>
          <t>2025-02-07</t>
        </is>
      </c>
      <c r="B851" t="n">
        <v>260731</v>
      </c>
      <c r="C851" t="n">
        <v>13950</v>
      </c>
      <c r="D851" t="n">
        <v>1274681</v>
      </c>
      <c r="E851" t="n">
        <v>1132108</v>
      </c>
      <c r="F851" t="n">
        <v>-2.05</v>
      </c>
      <c r="G851" t="n">
        <v>3</v>
      </c>
      <c r="H851" t="n">
        <v>7</v>
      </c>
    </row>
    <row r="852">
      <c r="A852" t="inlineStr">
        <is>
          <t>2025-02-10</t>
        </is>
      </c>
      <c r="B852" t="n">
        <v>260731</v>
      </c>
      <c r="C852" t="n">
        <v>16460</v>
      </c>
      <c r="D852" t="n">
        <v>1277191</v>
      </c>
      <c r="E852" t="n">
        <v>1134618</v>
      </c>
      <c r="F852" t="n">
        <v>-1.85</v>
      </c>
      <c r="G852" t="n">
        <v>4</v>
      </c>
      <c r="H852" t="n">
        <v>10</v>
      </c>
    </row>
    <row r="853">
      <c r="A853" t="inlineStr">
        <is>
          <t>2025-02-11</t>
        </is>
      </c>
      <c r="B853" t="n">
        <v>264251</v>
      </c>
      <c r="C853" t="n">
        <v>18250</v>
      </c>
      <c r="D853" t="n">
        <v>1282501</v>
      </c>
      <c r="E853" t="n">
        <v>1139820</v>
      </c>
      <c r="F853" t="n">
        <v>-1.45</v>
      </c>
      <c r="G853" t="n">
        <v>3</v>
      </c>
      <c r="H853" t="n">
        <v>7</v>
      </c>
    </row>
    <row r="854">
      <c r="A854" t="inlineStr">
        <is>
          <t>2025-02-12</t>
        </is>
      </c>
      <c r="B854" t="n">
        <v>276841</v>
      </c>
      <c r="C854" t="n">
        <v>-500</v>
      </c>
      <c r="D854" t="n">
        <v>1276341</v>
      </c>
      <c r="E854" t="n">
        <v>1132156</v>
      </c>
      <c r="F854" t="n">
        <v>-1.92</v>
      </c>
      <c r="G854" t="n">
        <v>2</v>
      </c>
      <c r="H854" t="n">
        <v>4</v>
      </c>
    </row>
    <row r="855">
      <c r="A855" t="inlineStr">
        <is>
          <t>2025-02-13</t>
        </is>
      </c>
      <c r="B855" t="n">
        <v>277091</v>
      </c>
      <c r="C855" t="n">
        <v>-8000</v>
      </c>
      <c r="D855" t="n">
        <v>1269091</v>
      </c>
      <c r="E855" t="n">
        <v>1124795</v>
      </c>
      <c r="F855" t="n">
        <v>-2.48</v>
      </c>
      <c r="G855" t="n">
        <v>2</v>
      </c>
      <c r="H855" t="n">
        <v>6</v>
      </c>
    </row>
    <row r="856">
      <c r="A856" t="inlineStr">
        <is>
          <t>2025-02-14</t>
        </is>
      </c>
      <c r="B856" t="n">
        <v>275491</v>
      </c>
      <c r="C856" t="n">
        <v>2680</v>
      </c>
      <c r="D856" t="n">
        <v>1278171</v>
      </c>
      <c r="E856" t="n">
        <v>1133629</v>
      </c>
      <c r="F856" t="n">
        <v>-1.78</v>
      </c>
      <c r="G856" t="n">
        <v>1</v>
      </c>
      <c r="H856" t="n">
        <v>3</v>
      </c>
    </row>
    <row r="857">
      <c r="A857" t="inlineStr">
        <is>
          <t>2025-02-17</t>
        </is>
      </c>
      <c r="B857" t="n">
        <v>266871</v>
      </c>
      <c r="C857" t="n">
        <v>0</v>
      </c>
      <c r="D857" t="n">
        <v>1266871</v>
      </c>
      <c r="E857" t="n">
        <v>1122220</v>
      </c>
      <c r="F857" t="n">
        <v>-2.65</v>
      </c>
      <c r="G857" t="n">
        <v>0</v>
      </c>
      <c r="H857" t="n">
        <v>0</v>
      </c>
    </row>
    <row r="858">
      <c r="A858" t="inlineStr">
        <is>
          <t>2025-02-18</t>
        </is>
      </c>
      <c r="B858" t="n">
        <v>266871</v>
      </c>
      <c r="C858" t="n">
        <v>0</v>
      </c>
      <c r="D858" t="n">
        <v>1266871</v>
      </c>
      <c r="E858" t="n">
        <v>1122220</v>
      </c>
      <c r="F858" t="n">
        <v>-2.65</v>
      </c>
      <c r="G858" t="n">
        <v>0</v>
      </c>
      <c r="H858" t="n">
        <v>0</v>
      </c>
    </row>
    <row r="859">
      <c r="A859" t="inlineStr">
        <is>
          <t>2025-02-19</t>
        </is>
      </c>
      <c r="B859" t="n">
        <v>266871</v>
      </c>
      <c r="C859" t="n">
        <v>0</v>
      </c>
      <c r="D859" t="n">
        <v>1266871</v>
      </c>
      <c r="E859" t="n">
        <v>1122220</v>
      </c>
      <c r="F859" t="n">
        <v>-2.65</v>
      </c>
      <c r="G859" t="n">
        <v>1</v>
      </c>
      <c r="H859" t="n">
        <v>3</v>
      </c>
    </row>
    <row r="860">
      <c r="A860" t="inlineStr">
        <is>
          <t>2025-02-20</t>
        </is>
      </c>
      <c r="B860" t="n">
        <v>266871</v>
      </c>
      <c r="C860" t="n">
        <v>5400</v>
      </c>
      <c r="D860" t="n">
        <v>1272271</v>
      </c>
      <c r="E860" t="n">
        <v>1127620</v>
      </c>
      <c r="F860" t="n">
        <v>-2.23</v>
      </c>
      <c r="G860" t="n">
        <v>1</v>
      </c>
      <c r="H860" t="n">
        <v>3</v>
      </c>
    </row>
    <row r="861">
      <c r="A861" t="inlineStr">
        <is>
          <t>2025-02-21</t>
        </is>
      </c>
      <c r="B861" t="n">
        <v>266871</v>
      </c>
      <c r="C861" t="n">
        <v>5400</v>
      </c>
      <c r="D861" t="n">
        <v>1272271</v>
      </c>
      <c r="E861" t="n">
        <v>1127620</v>
      </c>
      <c r="F861" t="n">
        <v>-2.23</v>
      </c>
      <c r="G861" t="n">
        <v>3</v>
      </c>
      <c r="H861" t="n">
        <v>9</v>
      </c>
    </row>
    <row r="862">
      <c r="A862" t="inlineStr">
        <is>
          <t>2025-02-24</t>
        </is>
      </c>
      <c r="B862" t="n">
        <v>265196</v>
      </c>
      <c r="C862" t="n">
        <v>0</v>
      </c>
      <c r="D862" t="n">
        <v>1265196</v>
      </c>
      <c r="E862" t="n">
        <v>1119802</v>
      </c>
      <c r="F862" t="n">
        <v>-2.78</v>
      </c>
      <c r="G862" t="n">
        <v>1</v>
      </c>
      <c r="H862" t="n">
        <v>3</v>
      </c>
    </row>
    <row r="863">
      <c r="A863" t="inlineStr">
        <is>
          <t>2025-02-25</t>
        </is>
      </c>
      <c r="B863" t="n">
        <v>265196</v>
      </c>
      <c r="C863" t="n">
        <v>-14070</v>
      </c>
      <c r="D863" t="n">
        <v>1251126</v>
      </c>
      <c r="E863" t="n">
        <v>1105732</v>
      </c>
      <c r="F863" t="n">
        <v>-3.86</v>
      </c>
      <c r="G863" t="n">
        <v>2</v>
      </c>
      <c r="H863" t="n">
        <v>6</v>
      </c>
    </row>
    <row r="864">
      <c r="A864" t="inlineStr">
        <is>
          <t>2025-02-26</t>
        </is>
      </c>
      <c r="B864" t="n">
        <v>270146</v>
      </c>
      <c r="C864" t="n">
        <v>-210</v>
      </c>
      <c r="D864" t="n">
        <v>1269936</v>
      </c>
      <c r="E864" t="n">
        <v>1123935</v>
      </c>
      <c r="F864" t="n">
        <v>-2.41</v>
      </c>
      <c r="G864" t="n">
        <v>1</v>
      </c>
      <c r="H864" t="n">
        <v>3</v>
      </c>
    </row>
    <row r="865">
      <c r="A865" t="inlineStr">
        <is>
          <t>2025-02-27</t>
        </is>
      </c>
      <c r="B865" t="n">
        <v>270146</v>
      </c>
      <c r="C865" t="n">
        <v>-2310</v>
      </c>
      <c r="D865" t="n">
        <v>1267836</v>
      </c>
      <c r="E865" t="n">
        <v>1121835</v>
      </c>
      <c r="F865" t="n">
        <v>-2.57</v>
      </c>
      <c r="G865" t="n">
        <v>1</v>
      </c>
      <c r="H865" t="n">
        <v>3</v>
      </c>
    </row>
    <row r="866">
      <c r="A866" t="inlineStr">
        <is>
          <t>2025-02-28</t>
        </is>
      </c>
      <c r="B866" t="n">
        <v>270146</v>
      </c>
      <c r="C866" t="n">
        <v>-2520</v>
      </c>
      <c r="D866" t="n">
        <v>1267626</v>
      </c>
      <c r="E866" t="n">
        <v>1121625</v>
      </c>
      <c r="F866" t="n">
        <v>-2.59</v>
      </c>
      <c r="G866" t="n">
        <v>1</v>
      </c>
      <c r="H866" t="n">
        <v>3</v>
      </c>
    </row>
    <row r="867">
      <c r="A867" t="inlineStr">
        <is>
          <t>2025-03-03</t>
        </is>
      </c>
      <c r="B867" t="n">
        <v>270146</v>
      </c>
      <c r="C867" t="n">
        <v>-9240</v>
      </c>
      <c r="D867" t="n">
        <v>1260906</v>
      </c>
      <c r="E867" t="n">
        <v>1114905</v>
      </c>
      <c r="F867" t="n">
        <v>-3.11</v>
      </c>
      <c r="G867" t="n">
        <v>2</v>
      </c>
      <c r="H867" t="n">
        <v>6</v>
      </c>
    </row>
    <row r="868">
      <c r="A868" t="inlineStr">
        <is>
          <t>2025-03-04</t>
        </is>
      </c>
      <c r="B868" t="n">
        <v>270146</v>
      </c>
      <c r="C868" t="n">
        <v>-11700</v>
      </c>
      <c r="D868" t="n">
        <v>1258446</v>
      </c>
      <c r="E868" t="n">
        <v>1112445</v>
      </c>
      <c r="F868" t="n">
        <v>-3.29</v>
      </c>
      <c r="G868" t="n">
        <v>3</v>
      </c>
      <c r="H868" t="n">
        <v>9</v>
      </c>
    </row>
    <row r="869">
      <c r="A869" t="inlineStr">
        <is>
          <t>2025-03-05</t>
        </is>
      </c>
      <c r="B869" t="n">
        <v>278596</v>
      </c>
      <c r="C869" t="n">
        <v>-17490</v>
      </c>
      <c r="D869" t="n">
        <v>1261106</v>
      </c>
      <c r="E869" t="n">
        <v>1114388</v>
      </c>
      <c r="F869" t="n">
        <v>-3.09</v>
      </c>
      <c r="G869" t="n">
        <v>3</v>
      </c>
      <c r="H869" t="n">
        <v>9</v>
      </c>
    </row>
    <row r="870">
      <c r="A870" t="inlineStr">
        <is>
          <t>2025-03-06</t>
        </is>
      </c>
      <c r="B870" t="n">
        <v>284596</v>
      </c>
      <c r="C870" t="n">
        <v>-30180</v>
      </c>
      <c r="D870" t="n">
        <v>1254416</v>
      </c>
      <c r="E870" t="n">
        <v>1107020</v>
      </c>
      <c r="F870" t="n">
        <v>-3.6</v>
      </c>
      <c r="G870" t="n">
        <v>2</v>
      </c>
      <c r="H870" t="n">
        <v>6</v>
      </c>
    </row>
    <row r="871">
      <c r="A871" t="inlineStr">
        <is>
          <t>2025-03-07</t>
        </is>
      </c>
      <c r="B871" t="n">
        <v>284596</v>
      </c>
      <c r="C871" t="n">
        <v>-28320</v>
      </c>
      <c r="D871" t="n">
        <v>1256276</v>
      </c>
      <c r="E871" t="n">
        <v>1108880</v>
      </c>
      <c r="F871" t="n">
        <v>-3.46</v>
      </c>
      <c r="G871" t="n">
        <v>3</v>
      </c>
      <c r="H871" t="n">
        <v>9</v>
      </c>
    </row>
    <row r="872">
      <c r="A872" t="inlineStr">
        <is>
          <t>2025-03-10</t>
        </is>
      </c>
      <c r="B872" t="n">
        <v>258991</v>
      </c>
      <c r="C872" t="n">
        <v>2355</v>
      </c>
      <c r="D872" t="n">
        <v>1261346</v>
      </c>
      <c r="E872" t="n">
        <v>1113460</v>
      </c>
      <c r="F872" t="n">
        <v>-3.07</v>
      </c>
      <c r="G872" t="n">
        <v>3</v>
      </c>
      <c r="H872" t="n">
        <v>9</v>
      </c>
    </row>
    <row r="873">
      <c r="A873" t="inlineStr">
        <is>
          <t>2025-03-11</t>
        </is>
      </c>
      <c r="B873" t="n">
        <v>269491</v>
      </c>
      <c r="C873" t="n">
        <v>-10160</v>
      </c>
      <c r="D873" t="n">
        <v>1259331</v>
      </c>
      <c r="E873" t="n">
        <v>1110619</v>
      </c>
      <c r="F873" t="n">
        <v>-3.23</v>
      </c>
      <c r="G873" t="n">
        <v>2</v>
      </c>
      <c r="H873" t="n">
        <v>6</v>
      </c>
    </row>
    <row r="874">
      <c r="A874" t="inlineStr">
        <is>
          <t>2025-03-12</t>
        </is>
      </c>
      <c r="B874" t="n">
        <v>269171</v>
      </c>
      <c r="C874" t="n">
        <v>-3600</v>
      </c>
      <c r="D874" t="n">
        <v>1265571</v>
      </c>
      <c r="E874" t="n">
        <v>1116182</v>
      </c>
      <c r="F874" t="n">
        <v>-2.75</v>
      </c>
      <c r="G874" t="n">
        <v>2</v>
      </c>
      <c r="H874" t="n">
        <v>6</v>
      </c>
    </row>
    <row r="875">
      <c r="A875" t="inlineStr">
        <is>
          <t>2025-03-13</t>
        </is>
      </c>
      <c r="B875" t="n">
        <v>269171</v>
      </c>
      <c r="C875" t="n">
        <v>-100</v>
      </c>
      <c r="D875" t="n">
        <v>1269071</v>
      </c>
      <c r="E875" t="n">
        <v>1119682</v>
      </c>
      <c r="F875" t="n">
        <v>-2.48</v>
      </c>
      <c r="G875" t="n">
        <v>2</v>
      </c>
      <c r="H875" t="n">
        <v>6</v>
      </c>
    </row>
    <row r="876">
      <c r="A876" t="inlineStr">
        <is>
          <t>2025-03-14</t>
        </is>
      </c>
      <c r="B876" t="n">
        <v>245964</v>
      </c>
      <c r="C876" t="n">
        <v>-2880</v>
      </c>
      <c r="D876" t="n">
        <v>1243084</v>
      </c>
      <c r="E876" t="n">
        <v>1092821</v>
      </c>
      <c r="F876" t="n">
        <v>-4.48</v>
      </c>
      <c r="G876" t="n">
        <v>1</v>
      </c>
      <c r="H876" t="n">
        <v>3</v>
      </c>
    </row>
    <row r="877">
      <c r="A877" t="inlineStr">
        <is>
          <t>2025-03-17</t>
        </is>
      </c>
      <c r="B877" t="n">
        <v>245964</v>
      </c>
      <c r="C877" t="n">
        <v>-11280</v>
      </c>
      <c r="D877" t="n">
        <v>1234684</v>
      </c>
      <c r="E877" t="n">
        <v>1084421</v>
      </c>
      <c r="F877" t="n">
        <v>-5.12</v>
      </c>
      <c r="G877" t="n">
        <v>2</v>
      </c>
      <c r="H877" t="n">
        <v>6</v>
      </c>
    </row>
    <row r="878">
      <c r="A878" t="inlineStr">
        <is>
          <t>2025-03-18</t>
        </is>
      </c>
      <c r="B878" t="n">
        <v>245964</v>
      </c>
      <c r="C878" t="n">
        <v>3280</v>
      </c>
      <c r="D878" t="n">
        <v>1249244</v>
      </c>
      <c r="E878" t="n">
        <v>1098981</v>
      </c>
      <c r="F878" t="n">
        <v>-4</v>
      </c>
      <c r="G878" t="n">
        <v>4</v>
      </c>
      <c r="H878" t="n">
        <v>10</v>
      </c>
    </row>
    <row r="879">
      <c r="A879" t="inlineStr">
        <is>
          <t>2025-03-19</t>
        </is>
      </c>
      <c r="B879" t="n">
        <v>245964</v>
      </c>
      <c r="C879" t="n">
        <v>13130</v>
      </c>
      <c r="D879" t="n">
        <v>1259094</v>
      </c>
      <c r="E879" t="n">
        <v>1108831</v>
      </c>
      <c r="F879" t="n">
        <v>-3.24</v>
      </c>
      <c r="G879" t="n">
        <v>4</v>
      </c>
      <c r="H879" t="n">
        <v>10</v>
      </c>
    </row>
    <row r="880">
      <c r="A880" t="inlineStr">
        <is>
          <t>2025-03-20</t>
        </is>
      </c>
      <c r="B880" t="n">
        <v>281714</v>
      </c>
      <c r="C880" t="n">
        <v>1520</v>
      </c>
      <c r="D880" t="n">
        <v>1283234</v>
      </c>
      <c r="E880" t="n">
        <v>1131851</v>
      </c>
      <c r="F880" t="n">
        <v>-1.39</v>
      </c>
      <c r="G880" t="n">
        <v>3</v>
      </c>
      <c r="H880" t="n">
        <v>9</v>
      </c>
    </row>
    <row r="881">
      <c r="A881" t="inlineStr">
        <is>
          <t>2025-03-21</t>
        </is>
      </c>
      <c r="B881" t="n">
        <v>278564</v>
      </c>
      <c r="C881" t="n">
        <v>-2170</v>
      </c>
      <c r="D881" t="n">
        <v>1276394</v>
      </c>
      <c r="E881" t="n">
        <v>1124243</v>
      </c>
      <c r="F881" t="n">
        <v>-1.92</v>
      </c>
      <c r="G881" t="n">
        <v>2</v>
      </c>
      <c r="H881" t="n">
        <v>6</v>
      </c>
    </row>
    <row r="882">
      <c r="A882" t="inlineStr">
        <is>
          <t>2025-03-24</t>
        </is>
      </c>
      <c r="B882" t="n">
        <v>278564</v>
      </c>
      <c r="C882" t="n">
        <v>-13920</v>
      </c>
      <c r="D882" t="n">
        <v>1264644</v>
      </c>
      <c r="E882" t="n">
        <v>1112493</v>
      </c>
      <c r="F882" t="n">
        <v>-2.82</v>
      </c>
      <c r="G882" t="n">
        <v>3</v>
      </c>
      <c r="H882" t="n">
        <v>9</v>
      </c>
    </row>
    <row r="883">
      <c r="A883" t="inlineStr">
        <is>
          <t>2025-03-25</t>
        </is>
      </c>
      <c r="B883" t="n">
        <v>277764</v>
      </c>
      <c r="C883" t="n">
        <v>-14940</v>
      </c>
      <c r="D883" t="n">
        <v>1262824</v>
      </c>
      <c r="E883" t="n">
        <v>1110199</v>
      </c>
      <c r="F883" t="n">
        <v>-2.96</v>
      </c>
      <c r="G883" t="n">
        <v>2</v>
      </c>
      <c r="H883" t="n">
        <v>6</v>
      </c>
    </row>
    <row r="884">
      <c r="A884" t="inlineStr">
        <is>
          <t>2025-03-26</t>
        </is>
      </c>
      <c r="B884" t="n">
        <v>277764</v>
      </c>
      <c r="C884" t="n">
        <v>-6770</v>
      </c>
      <c r="D884" t="n">
        <v>1270994</v>
      </c>
      <c r="E884" t="n">
        <v>1118369</v>
      </c>
      <c r="F884" t="n">
        <v>-2.33</v>
      </c>
      <c r="G884" t="n">
        <v>4</v>
      </c>
      <c r="H884" t="n">
        <v>10</v>
      </c>
    </row>
    <row r="885">
      <c r="A885" t="inlineStr">
        <is>
          <t>2025-03-27</t>
        </is>
      </c>
      <c r="B885" t="n">
        <v>269064</v>
      </c>
      <c r="C885" t="n">
        <v>-6885</v>
      </c>
      <c r="D885" t="n">
        <v>1262179</v>
      </c>
      <c r="E885" t="n">
        <v>1108838</v>
      </c>
      <c r="F885" t="n">
        <v>-3.01</v>
      </c>
      <c r="G885" t="n">
        <v>3</v>
      </c>
      <c r="H885" t="n">
        <v>7</v>
      </c>
    </row>
    <row r="886">
      <c r="A886" t="inlineStr">
        <is>
          <t>2025-03-28</t>
        </is>
      </c>
      <c r="B886" t="n">
        <v>269064</v>
      </c>
      <c r="C886" t="n">
        <v>7595</v>
      </c>
      <c r="D886" t="n">
        <v>1276659</v>
      </c>
      <c r="E886" t="n">
        <v>1123318</v>
      </c>
      <c r="F886" t="n">
        <v>-1.89</v>
      </c>
      <c r="G886" t="n">
        <v>3</v>
      </c>
      <c r="H886" t="n">
        <v>7</v>
      </c>
    </row>
    <row r="887">
      <c r="A887" t="inlineStr">
        <is>
          <t>2025-03-31</t>
        </is>
      </c>
      <c r="B887" t="n">
        <v>281589</v>
      </c>
      <c r="C887" t="n">
        <v>4300</v>
      </c>
      <c r="D887" t="n">
        <v>1285889</v>
      </c>
      <c r="E887" t="n">
        <v>1131774</v>
      </c>
      <c r="F887" t="n">
        <v>-1.19</v>
      </c>
      <c r="G887" t="n">
        <v>2</v>
      </c>
      <c r="H887" t="n">
        <v>4</v>
      </c>
    </row>
    <row r="888">
      <c r="A888" t="inlineStr">
        <is>
          <t>2025-04-01</t>
        </is>
      </c>
      <c r="B888" t="n">
        <v>286149</v>
      </c>
      <c r="C888" t="n">
        <v>2800</v>
      </c>
      <c r="D888" t="n">
        <v>1288949</v>
      </c>
      <c r="E888" t="n">
        <v>1134721</v>
      </c>
      <c r="F888" t="n">
        <v>-0.95</v>
      </c>
      <c r="G888" t="n">
        <v>1</v>
      </c>
      <c r="H888" t="n">
        <v>1</v>
      </c>
    </row>
    <row r="889">
      <c r="A889" t="inlineStr">
        <is>
          <t>2025-04-02</t>
        </is>
      </c>
      <c r="B889" t="n">
        <v>286149</v>
      </c>
      <c r="C889" t="n">
        <v>2200</v>
      </c>
      <c r="D889" t="n">
        <v>1288349</v>
      </c>
      <c r="E889" t="n">
        <v>1134121</v>
      </c>
      <c r="F889" t="n">
        <v>-1</v>
      </c>
      <c r="G889" t="n">
        <v>1</v>
      </c>
      <c r="H889" t="n">
        <v>1</v>
      </c>
    </row>
    <row r="890">
      <c r="A890" t="inlineStr">
        <is>
          <t>2025-04-03</t>
        </is>
      </c>
      <c r="B890" t="n">
        <v>286149</v>
      </c>
      <c r="C890" t="n">
        <v>3500</v>
      </c>
      <c r="D890" t="n">
        <v>1289649</v>
      </c>
      <c r="E890" t="n">
        <v>1135421</v>
      </c>
      <c r="F890" t="n">
        <v>-0.9</v>
      </c>
      <c r="G890" t="n">
        <v>1</v>
      </c>
      <c r="H890" t="n">
        <v>1</v>
      </c>
    </row>
    <row r="891">
      <c r="A891" t="inlineStr">
        <is>
          <t>2025-04-07</t>
        </is>
      </c>
      <c r="B891" t="n">
        <v>286149</v>
      </c>
      <c r="C891" t="n">
        <v>5800</v>
      </c>
      <c r="D891" t="n">
        <v>1291949</v>
      </c>
      <c r="E891" t="n">
        <v>1137721</v>
      </c>
      <c r="F891" t="n">
        <v>-0.72</v>
      </c>
      <c r="G891" t="n">
        <v>1</v>
      </c>
      <c r="H891" t="n">
        <v>1</v>
      </c>
    </row>
    <row r="892">
      <c r="A892" t="inlineStr">
        <is>
          <t>2025-04-08</t>
        </is>
      </c>
      <c r="B892" t="n">
        <v>286149</v>
      </c>
      <c r="C892" t="n">
        <v>9200</v>
      </c>
      <c r="D892" t="n">
        <v>1295349</v>
      </c>
      <c r="E892" t="n">
        <v>1141121</v>
      </c>
      <c r="F892" t="n">
        <v>-0.46</v>
      </c>
      <c r="G892" t="n">
        <v>2</v>
      </c>
      <c r="H892" t="n">
        <v>4</v>
      </c>
    </row>
    <row r="893">
      <c r="A893" t="inlineStr">
        <is>
          <t>2025-04-09</t>
        </is>
      </c>
      <c r="B893" t="n">
        <v>292549</v>
      </c>
      <c r="C893" t="n">
        <v>10300</v>
      </c>
      <c r="D893" t="n">
        <v>1302849</v>
      </c>
      <c r="E893" t="n">
        <v>1148484</v>
      </c>
      <c r="F893" t="n">
        <v>0</v>
      </c>
      <c r="G893" t="n">
        <v>3</v>
      </c>
      <c r="H893" t="n">
        <v>7</v>
      </c>
    </row>
    <row r="894">
      <c r="A894" t="inlineStr">
        <is>
          <t>2025-04-10</t>
        </is>
      </c>
      <c r="B894" t="n">
        <v>293649</v>
      </c>
      <c r="C894" t="n">
        <v>-6400</v>
      </c>
      <c r="D894" t="n">
        <v>1287249</v>
      </c>
      <c r="E894" t="n">
        <v>1132418</v>
      </c>
      <c r="F894" t="n">
        <v>-1.2</v>
      </c>
      <c r="G894" t="n">
        <v>2</v>
      </c>
      <c r="H894" t="n">
        <v>4</v>
      </c>
    </row>
    <row r="895">
      <c r="A895" t="inlineStr">
        <is>
          <t>2025-04-11</t>
        </is>
      </c>
      <c r="B895" t="n">
        <v>293649</v>
      </c>
      <c r="C895" t="n">
        <v>-6350</v>
      </c>
      <c r="D895" t="n">
        <v>1287299</v>
      </c>
      <c r="E895" t="n">
        <v>1132468</v>
      </c>
      <c r="F895" t="n">
        <v>-1.19</v>
      </c>
      <c r="G895" t="n">
        <v>3</v>
      </c>
      <c r="H895" t="n">
        <v>7</v>
      </c>
    </row>
    <row r="896">
      <c r="A896" t="inlineStr">
        <is>
          <t>2025-04-14</t>
        </is>
      </c>
      <c r="B896" t="n">
        <v>293649</v>
      </c>
      <c r="C896" t="n">
        <v>-9170</v>
      </c>
      <c r="D896" t="n">
        <v>1284479</v>
      </c>
      <c r="E896" t="n">
        <v>1129648</v>
      </c>
      <c r="F896" t="n">
        <v>-1.41</v>
      </c>
      <c r="G896" t="n">
        <v>4</v>
      </c>
      <c r="H896" t="n">
        <v>10</v>
      </c>
    </row>
    <row r="897">
      <c r="A897" t="inlineStr">
        <is>
          <t>2025-04-15</t>
        </is>
      </c>
      <c r="B897" t="n">
        <v>299369</v>
      </c>
      <c r="C897" t="n">
        <v>-2450</v>
      </c>
      <c r="D897" t="n">
        <v>1296919</v>
      </c>
      <c r="E897" t="n">
        <v>1141621</v>
      </c>
      <c r="F897" t="n">
        <v>-0.46</v>
      </c>
      <c r="G897" t="n">
        <v>4</v>
      </c>
      <c r="H897" t="n">
        <v>10</v>
      </c>
    </row>
    <row r="898">
      <c r="A898" t="inlineStr">
        <is>
          <t>2025-04-16</t>
        </is>
      </c>
      <c r="B898" t="n">
        <v>299369</v>
      </c>
      <c r="C898" t="n">
        <v>8020</v>
      </c>
      <c r="D898" t="n">
        <v>1307389</v>
      </c>
      <c r="E898" t="n">
        <v>1152091</v>
      </c>
      <c r="F898" t="n">
        <v>0</v>
      </c>
      <c r="G898" t="n">
        <v>4</v>
      </c>
      <c r="H898" t="n">
        <v>10</v>
      </c>
    </row>
    <row r="899">
      <c r="A899" t="inlineStr">
        <is>
          <t>2025-04-17</t>
        </is>
      </c>
      <c r="B899" t="n">
        <v>302089</v>
      </c>
      <c r="C899" t="n">
        <v>5140</v>
      </c>
      <c r="D899" t="n">
        <v>1307229</v>
      </c>
      <c r="E899" t="n">
        <v>1151554</v>
      </c>
      <c r="F899" t="n">
        <v>-0.01</v>
      </c>
      <c r="G899" t="n">
        <v>4</v>
      </c>
      <c r="H899" t="n">
        <v>10</v>
      </c>
    </row>
    <row r="900">
      <c r="A900" t="inlineStr">
        <is>
          <t>2025-04-18</t>
        </is>
      </c>
      <c r="B900" t="n">
        <v>303619</v>
      </c>
      <c r="C900" t="n">
        <v>-900</v>
      </c>
      <c r="D900" t="n">
        <v>1302719</v>
      </c>
      <c r="E900" t="n">
        <v>1146665</v>
      </c>
      <c r="F900" t="n">
        <v>-0.36</v>
      </c>
      <c r="G900" t="n">
        <v>4</v>
      </c>
      <c r="H900" t="n">
        <v>10</v>
      </c>
    </row>
    <row r="901">
      <c r="A901" t="inlineStr">
        <is>
          <t>2025-04-21</t>
        </is>
      </c>
      <c r="B901" t="n">
        <v>303619</v>
      </c>
      <c r="C901" t="n">
        <v>1770</v>
      </c>
      <c r="D901" t="n">
        <v>1305389</v>
      </c>
      <c r="E901" t="n">
        <v>1149335</v>
      </c>
      <c r="F901" t="n">
        <v>-0.15</v>
      </c>
      <c r="G901" t="n">
        <v>4</v>
      </c>
      <c r="H901" t="n">
        <v>10</v>
      </c>
    </row>
    <row r="902">
      <c r="A902" t="inlineStr">
        <is>
          <t>2025-04-22</t>
        </is>
      </c>
      <c r="B902" t="n">
        <v>321019</v>
      </c>
      <c r="C902" t="n">
        <v>7900</v>
      </c>
      <c r="D902" t="n">
        <v>1328919</v>
      </c>
      <c r="E902" t="n">
        <v>1172033</v>
      </c>
      <c r="F902" t="n">
        <v>0</v>
      </c>
      <c r="G902" t="n">
        <v>4</v>
      </c>
      <c r="H902" t="n">
        <v>10</v>
      </c>
    </row>
    <row r="903">
      <c r="A903" t="inlineStr">
        <is>
          <t>2025-04-23</t>
        </is>
      </c>
      <c r="B903" t="n">
        <v>310759</v>
      </c>
      <c r="C903" t="n">
        <v>-15105</v>
      </c>
      <c r="D903" t="n">
        <v>1295654</v>
      </c>
      <c r="E903" t="n">
        <v>1138353</v>
      </c>
      <c r="F903" t="n">
        <v>-2.5</v>
      </c>
      <c r="G903" t="n">
        <v>3</v>
      </c>
      <c r="H903" t="n">
        <v>7</v>
      </c>
    </row>
    <row r="904">
      <c r="A904" t="inlineStr">
        <is>
          <t>2025-04-24</t>
        </is>
      </c>
      <c r="B904" t="n">
        <v>310759</v>
      </c>
      <c r="C904" t="n">
        <v>-11815</v>
      </c>
      <c r="D904" t="n">
        <v>1298944</v>
      </c>
      <c r="E904" t="n">
        <v>1141643</v>
      </c>
      <c r="F904" t="n">
        <v>-2.26</v>
      </c>
      <c r="G904" t="n">
        <v>3</v>
      </c>
      <c r="H904" t="n">
        <v>7</v>
      </c>
    </row>
    <row r="905">
      <c r="A905" t="inlineStr">
        <is>
          <t>2025-04-25</t>
        </is>
      </c>
      <c r="B905" t="n">
        <v>308029</v>
      </c>
      <c r="C905" t="n">
        <v>-6850</v>
      </c>
      <c r="D905" t="n">
        <v>1301179</v>
      </c>
      <c r="E905" t="n">
        <v>1143616</v>
      </c>
      <c r="F905" t="n">
        <v>-2.09</v>
      </c>
      <c r="G905" t="n">
        <v>4</v>
      </c>
      <c r="H905" t="n">
        <v>10</v>
      </c>
    </row>
    <row r="906">
      <c r="A906" t="inlineStr">
        <is>
          <t>2025-04-28</t>
        </is>
      </c>
      <c r="B906" t="n">
        <v>308029</v>
      </c>
      <c r="C906" t="n">
        <v>-5650</v>
      </c>
      <c r="D906" t="n">
        <v>1302379</v>
      </c>
      <c r="E906" t="n">
        <v>1144816</v>
      </c>
      <c r="F906" t="n">
        <v>-2</v>
      </c>
      <c r="G906" t="n">
        <v>4</v>
      </c>
      <c r="H906" t="n">
        <v>10</v>
      </c>
    </row>
    <row r="907">
      <c r="A907" t="inlineStr">
        <is>
          <t>2025-04-29</t>
        </is>
      </c>
      <c r="B907" t="n">
        <v>316329</v>
      </c>
      <c r="C907" t="n">
        <v>-670</v>
      </c>
      <c r="D907" t="n">
        <v>1315659</v>
      </c>
      <c r="E907" t="n">
        <v>1157881</v>
      </c>
      <c r="F907" t="n">
        <v>-1</v>
      </c>
      <c r="G907" t="n">
        <v>3</v>
      </c>
      <c r="H907" t="n">
        <v>9</v>
      </c>
    </row>
    <row r="908">
      <c r="A908" t="inlineStr">
        <is>
          <t>2025-04-30</t>
        </is>
      </c>
      <c r="B908" t="n">
        <v>318019</v>
      </c>
      <c r="C908" t="n">
        <v>10080</v>
      </c>
      <c r="D908" t="n">
        <v>1328099</v>
      </c>
      <c r="E908" t="n">
        <v>1169254</v>
      </c>
      <c r="F908" t="n">
        <v>-0.06</v>
      </c>
      <c r="G908" t="n">
        <v>4</v>
      </c>
      <c r="H908" t="n">
        <v>10</v>
      </c>
    </row>
    <row r="909">
      <c r="A909" t="inlineStr">
        <is>
          <t>2025-05-06</t>
        </is>
      </c>
      <c r="B909" t="n">
        <v>331179</v>
      </c>
      <c r="C909" t="n">
        <v>-13900</v>
      </c>
      <c r="D909" t="n">
        <v>1317279</v>
      </c>
      <c r="E909" t="n">
        <v>1157843</v>
      </c>
      <c r="F909" t="n">
        <v>-0.88</v>
      </c>
      <c r="G909" t="n">
        <v>4</v>
      </c>
      <c r="H909" t="n">
        <v>10</v>
      </c>
    </row>
    <row r="910">
      <c r="A910" t="inlineStr">
        <is>
          <t>2025-05-07</t>
        </is>
      </c>
      <c r="B910" t="n">
        <v>331179</v>
      </c>
      <c r="C910" t="n">
        <v>-10980</v>
      </c>
      <c r="D910" t="n">
        <v>1320199</v>
      </c>
      <c r="E910" t="n">
        <v>1160763</v>
      </c>
      <c r="F910" t="n">
        <v>-0.66</v>
      </c>
      <c r="G910" t="n">
        <v>4</v>
      </c>
      <c r="H910" t="n">
        <v>10</v>
      </c>
    </row>
    <row r="911">
      <c r="A911" t="inlineStr">
        <is>
          <t>2025-05-08</t>
        </is>
      </c>
      <c r="B911" t="n">
        <v>332979</v>
      </c>
      <c r="C911" t="n">
        <v>-17260</v>
      </c>
      <c r="D911" t="n">
        <v>1315719</v>
      </c>
      <c r="E911" t="n">
        <v>1155907</v>
      </c>
      <c r="F911" t="n">
        <v>-0.99</v>
      </c>
      <c r="G911" t="n">
        <v>4</v>
      </c>
      <c r="H911" t="n">
        <v>10</v>
      </c>
    </row>
    <row r="912">
      <c r="A912" t="inlineStr">
        <is>
          <t>2025-05-09</t>
        </is>
      </c>
      <c r="B912" t="n">
        <v>332979</v>
      </c>
      <c r="C912" t="n">
        <v>-8100</v>
      </c>
      <c r="D912" t="n">
        <v>1324879</v>
      </c>
      <c r="E912" t="n">
        <v>1165067</v>
      </c>
      <c r="F912" t="n">
        <v>-0.3</v>
      </c>
      <c r="G912" t="n">
        <v>4</v>
      </c>
      <c r="H912" t="n">
        <v>10</v>
      </c>
    </row>
    <row r="913">
      <c r="A913" t="inlineStr">
        <is>
          <t>2025-05-12</t>
        </is>
      </c>
      <c r="B913" t="n">
        <v>319779</v>
      </c>
      <c r="C913" t="n">
        <v>-9500</v>
      </c>
      <c r="D913" t="n">
        <v>1310279</v>
      </c>
      <c r="E913" t="n">
        <v>1149466</v>
      </c>
      <c r="F913" t="n">
        <v>-1.4</v>
      </c>
      <c r="G913" t="n">
        <v>1</v>
      </c>
      <c r="H913" t="n">
        <v>3</v>
      </c>
    </row>
    <row r="914">
      <c r="A914" t="inlineStr">
        <is>
          <t>2025-05-13</t>
        </is>
      </c>
      <c r="B914" t="n">
        <v>319779</v>
      </c>
      <c r="C914" t="n">
        <v>-19000</v>
      </c>
      <c r="D914" t="n">
        <v>1300779</v>
      </c>
      <c r="E914" t="n">
        <v>1139966</v>
      </c>
      <c r="F914" t="n">
        <v>-2.12</v>
      </c>
      <c r="G914" t="n">
        <v>4</v>
      </c>
      <c r="H914" t="n">
        <v>10</v>
      </c>
    </row>
    <row r="915">
      <c r="A915" t="inlineStr">
        <is>
          <t>2025-05-14</t>
        </is>
      </c>
      <c r="B915" t="n">
        <v>300294</v>
      </c>
      <c r="C915" t="n">
        <v>-15680</v>
      </c>
      <c r="D915" t="n">
        <v>1284614</v>
      </c>
      <c r="E915" t="n">
        <v>1122557</v>
      </c>
      <c r="F915" t="n">
        <v>-3.33</v>
      </c>
      <c r="G915" t="n">
        <v>2</v>
      </c>
      <c r="H915" t="n">
        <v>4</v>
      </c>
    </row>
    <row r="916">
      <c r="A916" t="inlineStr">
        <is>
          <t>2025-05-15</t>
        </is>
      </c>
      <c r="B916" t="n">
        <v>299774</v>
      </c>
      <c r="C916" t="n">
        <v>-20000</v>
      </c>
      <c r="D916" t="n">
        <v>1279774</v>
      </c>
      <c r="E916" t="n">
        <v>1117624</v>
      </c>
      <c r="F916" t="n">
        <v>-3.7</v>
      </c>
      <c r="G916" t="n">
        <v>1</v>
      </c>
      <c r="H916" t="n">
        <v>3</v>
      </c>
    </row>
    <row r="917">
      <c r="A917" t="inlineStr">
        <is>
          <t>2025-05-16</t>
        </is>
      </c>
      <c r="B917" t="n">
        <v>299774</v>
      </c>
      <c r="C917" t="n">
        <v>-23500</v>
      </c>
      <c r="D917" t="n">
        <v>1276274</v>
      </c>
      <c r="E917" t="n">
        <v>1114124</v>
      </c>
      <c r="F917" t="n">
        <v>-3.96</v>
      </c>
      <c r="G917" t="n">
        <v>3</v>
      </c>
      <c r="H917" t="n">
        <v>9</v>
      </c>
    </row>
    <row r="918">
      <c r="A918" t="inlineStr">
        <is>
          <t>2025-05-19</t>
        </is>
      </c>
      <c r="B918" t="n">
        <v>300374</v>
      </c>
      <c r="C918" t="n">
        <v>-22280</v>
      </c>
      <c r="D918" t="n">
        <v>1278094</v>
      </c>
      <c r="E918" t="n">
        <v>1115511</v>
      </c>
      <c r="F918" t="n">
        <v>-3.82</v>
      </c>
      <c r="G918" t="n">
        <v>2</v>
      </c>
      <c r="H918" t="n">
        <v>6</v>
      </c>
    </row>
    <row r="919">
      <c r="A919" t="inlineStr">
        <is>
          <t>2025-05-20</t>
        </is>
      </c>
      <c r="B919" t="n">
        <v>270589</v>
      </c>
      <c r="C919" t="n">
        <v>5640</v>
      </c>
      <c r="D919" t="n">
        <v>1276229</v>
      </c>
      <c r="E919" t="n">
        <v>1112527</v>
      </c>
      <c r="F919" t="n">
        <v>-3.96</v>
      </c>
      <c r="G919" t="n">
        <v>4</v>
      </c>
      <c r="H919" t="n">
        <v>10</v>
      </c>
    </row>
    <row r="920">
      <c r="A920" t="inlineStr">
        <is>
          <t>2025-05-21</t>
        </is>
      </c>
      <c r="B920" t="n">
        <v>274789</v>
      </c>
      <c r="C920" t="n">
        <v>-3020</v>
      </c>
      <c r="D920" t="n">
        <v>1271769</v>
      </c>
      <c r="E920" t="n">
        <v>1107790</v>
      </c>
      <c r="F920" t="n">
        <v>-4.3</v>
      </c>
      <c r="G920" t="n">
        <v>4</v>
      </c>
      <c r="H920" t="n">
        <v>10</v>
      </c>
    </row>
    <row r="921">
      <c r="A921" t="inlineStr">
        <is>
          <t>2025-05-22</t>
        </is>
      </c>
      <c r="B921" t="n">
        <v>275689</v>
      </c>
      <c r="C921" t="n">
        <v>4360</v>
      </c>
      <c r="D921" t="n">
        <v>1280049</v>
      </c>
      <c r="E921" t="n">
        <v>1115933</v>
      </c>
      <c r="F921" t="n">
        <v>-3.68</v>
      </c>
      <c r="G921" t="n">
        <v>4</v>
      </c>
      <c r="H921" t="n">
        <v>10</v>
      </c>
    </row>
    <row r="922">
      <c r="A922" t="inlineStr">
        <is>
          <t>2025-05-23</t>
        </is>
      </c>
      <c r="B922" t="n">
        <v>289009</v>
      </c>
      <c r="C922" t="n">
        <v>7740</v>
      </c>
      <c r="D922" t="n">
        <v>1296749</v>
      </c>
      <c r="E922" t="n">
        <v>1131822</v>
      </c>
      <c r="F922" t="n">
        <v>-2.42</v>
      </c>
      <c r="G922" t="n">
        <v>4</v>
      </c>
      <c r="H922" t="n">
        <v>10</v>
      </c>
    </row>
    <row r="923">
      <c r="A923" t="inlineStr">
        <is>
          <t>2025-05-26</t>
        </is>
      </c>
      <c r="B923" t="n">
        <v>299699</v>
      </c>
      <c r="C923" t="n">
        <v>-400</v>
      </c>
      <c r="D923" t="n">
        <v>1299299</v>
      </c>
      <c r="E923" t="n">
        <v>1133258</v>
      </c>
      <c r="F923" t="n">
        <v>-2.23</v>
      </c>
      <c r="G923" t="n">
        <v>4</v>
      </c>
      <c r="H923" t="n">
        <v>10</v>
      </c>
    </row>
    <row r="924">
      <c r="A924" t="inlineStr">
        <is>
          <t>2025-05-27</t>
        </is>
      </c>
      <c r="B924" t="n">
        <v>306899</v>
      </c>
      <c r="C924" t="n">
        <v>-2160</v>
      </c>
      <c r="D924" t="n">
        <v>1304739</v>
      </c>
      <c r="E924" t="n">
        <v>1138213</v>
      </c>
      <c r="F924" t="n">
        <v>-1.82</v>
      </c>
      <c r="G924" t="n">
        <v>4</v>
      </c>
      <c r="H924" t="n">
        <v>10</v>
      </c>
    </row>
    <row r="925">
      <c r="A925" t="inlineStr">
        <is>
          <t>2025-05-28</t>
        </is>
      </c>
      <c r="B925" t="n">
        <v>310959</v>
      </c>
      <c r="C925" t="n">
        <v>-2200</v>
      </c>
      <c r="D925" t="n">
        <v>1308759</v>
      </c>
      <c r="E925" t="n">
        <v>1141856</v>
      </c>
      <c r="F925" t="n">
        <v>-1.52</v>
      </c>
      <c r="G925" t="n">
        <v>4</v>
      </c>
      <c r="H925" t="n">
        <v>10</v>
      </c>
    </row>
    <row r="926">
      <c r="A926" t="inlineStr">
        <is>
          <t>2025-05-29</t>
        </is>
      </c>
      <c r="B926" t="n">
        <v>317959</v>
      </c>
      <c r="C926" t="n">
        <v>-4220</v>
      </c>
      <c r="D926" t="n">
        <v>1313739</v>
      </c>
      <c r="E926" t="n">
        <v>1146242</v>
      </c>
      <c r="F926" t="n">
        <v>-1.14</v>
      </c>
      <c r="G926" t="n">
        <v>4</v>
      </c>
      <c r="H926" t="n">
        <v>10</v>
      </c>
    </row>
    <row r="927">
      <c r="A927" t="inlineStr">
        <is>
          <t>2025-05-30</t>
        </is>
      </c>
      <c r="B927" t="n">
        <v>311959</v>
      </c>
      <c r="C927" t="n">
        <v>17060</v>
      </c>
      <c r="D927" t="n">
        <v>1329019</v>
      </c>
      <c r="E927" t="n">
        <v>1161247</v>
      </c>
      <c r="F927" t="n">
        <v>0</v>
      </c>
      <c r="G927" t="n">
        <v>4</v>
      </c>
      <c r="H927" t="n">
        <v>10</v>
      </c>
    </row>
    <row r="928">
      <c r="A928" t="inlineStr">
        <is>
          <t>2025-06-03</t>
        </is>
      </c>
      <c r="B928" t="n">
        <v>311959</v>
      </c>
      <c r="C928" t="n">
        <v>18360</v>
      </c>
      <c r="D928" t="n">
        <v>1330319</v>
      </c>
      <c r="E928" t="n">
        <v>1162547</v>
      </c>
      <c r="F928" t="n">
        <v>0</v>
      </c>
      <c r="G928" t="n">
        <v>4</v>
      </c>
      <c r="H928" t="n">
        <v>10</v>
      </c>
    </row>
    <row r="929">
      <c r="A929" t="inlineStr">
        <is>
          <t>2025-06-04</t>
        </is>
      </c>
      <c r="B929" t="n">
        <v>301739</v>
      </c>
      <c r="C929" t="n">
        <v>1410</v>
      </c>
      <c r="D929" t="n">
        <v>1303149</v>
      </c>
      <c r="E929" t="n">
        <v>1135041</v>
      </c>
      <c r="F929" t="n">
        <v>-2.04</v>
      </c>
      <c r="G929" t="n">
        <v>4</v>
      </c>
      <c r="H929" t="n">
        <v>10</v>
      </c>
    </row>
    <row r="930">
      <c r="A930" t="inlineStr">
        <is>
          <t>2025-06-05</t>
        </is>
      </c>
      <c r="B930" t="n">
        <v>303489</v>
      </c>
      <c r="C930" t="n">
        <v>12120</v>
      </c>
      <c r="D930" t="n">
        <v>1315609</v>
      </c>
      <c r="E930" t="n">
        <v>1146965</v>
      </c>
      <c r="F930" t="n">
        <v>-1.11</v>
      </c>
      <c r="G930" t="n">
        <v>4</v>
      </c>
      <c r="H930" t="n">
        <v>10</v>
      </c>
    </row>
    <row r="931">
      <c r="A931" t="inlineStr">
        <is>
          <t>2025-06-06</t>
        </is>
      </c>
      <c r="B931" t="n">
        <v>302423</v>
      </c>
      <c r="C931" t="n">
        <v>8170</v>
      </c>
      <c r="D931" t="n">
        <v>1310593</v>
      </c>
      <c r="E931" t="n">
        <v>1141561</v>
      </c>
      <c r="F931" t="n">
        <v>-1.48</v>
      </c>
      <c r="G931" t="n">
        <v>4</v>
      </c>
      <c r="H931" t="n">
        <v>10</v>
      </c>
    </row>
    <row r="932">
      <c r="A932" t="inlineStr">
        <is>
          <t>2025-06-09</t>
        </is>
      </c>
      <c r="B932" t="n">
        <v>315023</v>
      </c>
      <c r="C932" t="n">
        <v>-1630</v>
      </c>
      <c r="D932" t="n">
        <v>1313393</v>
      </c>
      <c r="E932" t="n">
        <v>1143341</v>
      </c>
      <c r="F932" t="n">
        <v>-1.27</v>
      </c>
      <c r="G932" t="n">
        <v>4</v>
      </c>
      <c r="H932" t="n">
        <v>10</v>
      </c>
    </row>
    <row r="933">
      <c r="A933" t="inlineStr">
        <is>
          <t>2025-06-10</t>
        </is>
      </c>
      <c r="B933" t="n">
        <v>315023</v>
      </c>
      <c r="C933" t="n">
        <v>1570</v>
      </c>
      <c r="D933" t="n">
        <v>1316593</v>
      </c>
      <c r="E933" t="n">
        <v>1146541</v>
      </c>
      <c r="F933" t="n">
        <v>-1.03</v>
      </c>
      <c r="G933" t="n">
        <v>4</v>
      </c>
      <c r="H933" t="n">
        <v>10</v>
      </c>
    </row>
    <row r="934">
      <c r="A934" t="inlineStr">
        <is>
          <t>2025-06-11</t>
        </is>
      </c>
      <c r="B934" t="n">
        <v>315023</v>
      </c>
      <c r="C934" t="n">
        <v>18460</v>
      </c>
      <c r="D934" t="n">
        <v>1333483</v>
      </c>
      <c r="E934" t="n">
        <v>1163431</v>
      </c>
      <c r="F934" t="n">
        <v>0</v>
      </c>
      <c r="G934" t="n">
        <v>4</v>
      </c>
      <c r="H934" t="n">
        <v>10</v>
      </c>
    </row>
    <row r="935">
      <c r="A935" t="inlineStr">
        <is>
          <t>2025-06-12</t>
        </is>
      </c>
      <c r="B935" t="n">
        <v>315023</v>
      </c>
      <c r="C935" t="n">
        <v>29700</v>
      </c>
      <c r="D935" t="n">
        <v>1344723</v>
      </c>
      <c r="E935" t="n">
        <v>1174671</v>
      </c>
      <c r="F935" t="n">
        <v>0</v>
      </c>
      <c r="G935" t="n">
        <v>4</v>
      </c>
      <c r="H935" t="n">
        <v>10</v>
      </c>
    </row>
    <row r="936">
      <c r="A936" t="inlineStr">
        <is>
          <t>2025-06-13</t>
        </is>
      </c>
      <c r="B936" t="n">
        <v>322273</v>
      </c>
      <c r="C936" t="n">
        <v>20410</v>
      </c>
      <c r="D936" t="n">
        <v>1342683</v>
      </c>
      <c r="E936" t="n">
        <v>1171964</v>
      </c>
      <c r="F936" t="n">
        <v>-0.15</v>
      </c>
      <c r="G936" t="n">
        <v>3</v>
      </c>
      <c r="H936" t="n">
        <v>7</v>
      </c>
    </row>
    <row r="937">
      <c r="A937" t="inlineStr">
        <is>
          <t>2025-06-16</t>
        </is>
      </c>
      <c r="B937" t="n">
        <v>322273</v>
      </c>
      <c r="C937" t="n">
        <v>8760</v>
      </c>
      <c r="D937" t="n">
        <v>1331033</v>
      </c>
      <c r="E937" t="n">
        <v>1160314</v>
      </c>
      <c r="F937" t="n">
        <v>-1.02</v>
      </c>
      <c r="G937" t="n">
        <v>4</v>
      </c>
      <c r="H937" t="n">
        <v>10</v>
      </c>
    </row>
    <row r="938">
      <c r="A938" t="inlineStr">
        <is>
          <t>2025-06-17</t>
        </is>
      </c>
      <c r="B938" t="n">
        <v>321073</v>
      </c>
      <c r="C938" t="n">
        <v>14770</v>
      </c>
      <c r="D938" t="n">
        <v>1335843</v>
      </c>
      <c r="E938" t="n">
        <v>1164800</v>
      </c>
      <c r="F938" t="n">
        <v>-0.66</v>
      </c>
      <c r="G938" t="n">
        <v>4</v>
      </c>
      <c r="H938" t="n">
        <v>10</v>
      </c>
    </row>
    <row r="939">
      <c r="A939" t="inlineStr">
        <is>
          <t>2025-06-18</t>
        </is>
      </c>
      <c r="B939" t="n">
        <v>321073</v>
      </c>
      <c r="C939" t="n">
        <v>13050</v>
      </c>
      <c r="D939" t="n">
        <v>1334123</v>
      </c>
      <c r="E939" t="n">
        <v>1163080</v>
      </c>
      <c r="F939" t="n">
        <v>-0.79</v>
      </c>
      <c r="G939" t="n">
        <v>4</v>
      </c>
      <c r="H939" t="n">
        <v>10</v>
      </c>
    </row>
    <row r="940">
      <c r="A940" t="inlineStr">
        <is>
          <t>2025-06-19</t>
        </is>
      </c>
      <c r="B940" t="n">
        <v>305873</v>
      </c>
      <c r="C940" t="n">
        <v>19550</v>
      </c>
      <c r="D940" t="n">
        <v>1325423</v>
      </c>
      <c r="E940" t="n">
        <v>1153951</v>
      </c>
      <c r="F940" t="n">
        <v>-1.44</v>
      </c>
      <c r="G940" t="n">
        <v>3</v>
      </c>
      <c r="H940" t="n">
        <v>7</v>
      </c>
    </row>
    <row r="941">
      <c r="A941" t="inlineStr">
        <is>
          <t>2025-06-20</t>
        </is>
      </c>
      <c r="B941" t="n">
        <v>331873</v>
      </c>
      <c r="C941" t="n">
        <v>-10150</v>
      </c>
      <c r="D941" t="n">
        <v>1321723</v>
      </c>
      <c r="E941" t="n">
        <v>1149652</v>
      </c>
      <c r="F941" t="n">
        <v>-1.71</v>
      </c>
      <c r="G941" t="n">
        <v>3</v>
      </c>
      <c r="H941" t="n">
        <v>7</v>
      </c>
    </row>
    <row r="942">
      <c r="A942" t="inlineStr">
        <is>
          <t>2025-06-23</t>
        </is>
      </c>
      <c r="B942" t="n">
        <v>332673</v>
      </c>
      <c r="C942" t="n">
        <v>-11150</v>
      </c>
      <c r="D942" t="n">
        <v>1321523</v>
      </c>
      <c r="E942" t="n">
        <v>1149242</v>
      </c>
      <c r="F942" t="n">
        <v>-1.73</v>
      </c>
      <c r="G942" t="n">
        <v>3</v>
      </c>
      <c r="H942" t="n">
        <v>9</v>
      </c>
    </row>
    <row r="943">
      <c r="A943" t="inlineStr">
        <is>
          <t>2025-06-24</t>
        </is>
      </c>
      <c r="B943" t="n">
        <v>312798</v>
      </c>
      <c r="C943" t="n">
        <v>-16680</v>
      </c>
      <c r="D943" t="n">
        <v>1296118</v>
      </c>
      <c r="E943" t="n">
        <v>1123499</v>
      </c>
      <c r="F943" t="n">
        <v>-3.61</v>
      </c>
      <c r="G943" t="n">
        <v>2</v>
      </c>
      <c r="H943" t="n">
        <v>6</v>
      </c>
    </row>
    <row r="944">
      <c r="A944" t="inlineStr">
        <is>
          <t>2025-06-25</t>
        </is>
      </c>
      <c r="B944" t="n">
        <v>284238</v>
      </c>
      <c r="C944" t="n">
        <v>5200</v>
      </c>
      <c r="D944" t="n">
        <v>1289438</v>
      </c>
      <c r="E944" t="n">
        <v>1116486</v>
      </c>
      <c r="F944" t="n">
        <v>-4.11</v>
      </c>
      <c r="G944" t="n">
        <v>1</v>
      </c>
      <c r="H944" t="n">
        <v>3</v>
      </c>
    </row>
    <row r="945">
      <c r="A945" t="inlineStr">
        <is>
          <t>2025-06-26</t>
        </is>
      </c>
      <c r="B945" t="n">
        <v>284238</v>
      </c>
      <c r="C945" t="n">
        <v>4300</v>
      </c>
      <c r="D945" t="n">
        <v>1288538</v>
      </c>
      <c r="E945" t="n">
        <v>1115586</v>
      </c>
      <c r="F945" t="n">
        <v>-4.18</v>
      </c>
      <c r="G945" t="n">
        <v>3</v>
      </c>
      <c r="H945" t="n">
        <v>9</v>
      </c>
    </row>
    <row r="946">
      <c r="A946" t="inlineStr">
        <is>
          <t>2025-06-27</t>
        </is>
      </c>
      <c r="B946" t="n">
        <v>284238</v>
      </c>
      <c r="C946" t="n">
        <v>19240</v>
      </c>
      <c r="D946" t="n">
        <v>1303478</v>
      </c>
      <c r="E946" t="n">
        <v>1130526</v>
      </c>
      <c r="F946" t="n">
        <v>-3.07</v>
      </c>
      <c r="G946" t="n">
        <v>4</v>
      </c>
      <c r="H946" t="n">
        <v>10</v>
      </c>
    </row>
    <row r="947">
      <c r="A947" t="inlineStr">
        <is>
          <t>2025-06-30</t>
        </is>
      </c>
      <c r="B947" t="n">
        <v>284238</v>
      </c>
      <c r="C947" t="n">
        <v>10140</v>
      </c>
      <c r="D947" t="n">
        <v>1294378</v>
      </c>
      <c r="E947" t="n">
        <v>1121426</v>
      </c>
      <c r="F947" t="n">
        <v>-3.74</v>
      </c>
      <c r="G947" t="n">
        <v>4</v>
      </c>
      <c r="H947" t="n">
        <v>10</v>
      </c>
    </row>
    <row r="948">
      <c r="A948" t="inlineStr">
        <is>
          <t>2025-07-01</t>
        </is>
      </c>
      <c r="B948" t="n">
        <v>291488</v>
      </c>
      <c r="C948" t="n">
        <v>-940</v>
      </c>
      <c r="D948" t="n">
        <v>1290548</v>
      </c>
      <c r="E948" t="n">
        <v>1116994</v>
      </c>
      <c r="F948" t="n">
        <v>-4.03</v>
      </c>
      <c r="G948" t="n">
        <v>4</v>
      </c>
      <c r="H948" t="n">
        <v>10</v>
      </c>
    </row>
    <row r="949">
      <c r="A949" t="inlineStr">
        <is>
          <t>2025-07-02</t>
        </is>
      </c>
      <c r="B949" t="n">
        <v>299588</v>
      </c>
      <c r="C949" t="n">
        <v>6700</v>
      </c>
      <c r="D949" t="n">
        <v>1306288</v>
      </c>
      <c r="E949" t="n">
        <v>1132344</v>
      </c>
      <c r="F949" t="n">
        <v>-2.86</v>
      </c>
      <c r="G949" t="n">
        <v>4</v>
      </c>
      <c r="H949" t="n">
        <v>10</v>
      </c>
    </row>
    <row r="950">
      <c r="A950" t="inlineStr">
        <is>
          <t>2025-07-03</t>
        </is>
      </c>
      <c r="B950" t="n">
        <v>298818</v>
      </c>
      <c r="C950" t="n">
        <v>4350</v>
      </c>
      <c r="D950" t="n">
        <v>1303168</v>
      </c>
      <c r="E950" t="n">
        <v>1129017</v>
      </c>
      <c r="F950" t="n">
        <v>-3.09</v>
      </c>
      <c r="G950" t="n">
        <v>4</v>
      </c>
      <c r="H950" t="n">
        <v>10</v>
      </c>
    </row>
    <row r="951">
      <c r="A951" t="inlineStr">
        <is>
          <t>2025-07-04</t>
        </is>
      </c>
      <c r="B951" t="n">
        <v>298818</v>
      </c>
      <c r="C951" t="n">
        <v>-8700</v>
      </c>
      <c r="D951" t="n">
        <v>1290118</v>
      </c>
      <c r="E951" t="n">
        <v>1115967</v>
      </c>
      <c r="F951" t="n">
        <v>-4.06</v>
      </c>
      <c r="G951" t="n">
        <v>4</v>
      </c>
      <c r="H951" t="n">
        <v>10</v>
      </c>
    </row>
    <row r="952">
      <c r="A952" t="inlineStr">
        <is>
          <t>2025-07-07</t>
        </is>
      </c>
      <c r="B952" t="n">
        <v>298818</v>
      </c>
      <c r="C952" t="n">
        <v>-17810</v>
      </c>
      <c r="D952" t="n">
        <v>1281008</v>
      </c>
      <c r="E952" t="n">
        <v>1106857</v>
      </c>
      <c r="F952" t="n">
        <v>-4.74</v>
      </c>
      <c r="G952" t="n">
        <v>4</v>
      </c>
      <c r="H952" t="n">
        <v>10</v>
      </c>
    </row>
    <row r="953">
      <c r="A953" t="inlineStr">
        <is>
          <t>2025-07-08</t>
        </is>
      </c>
      <c r="B953" t="n">
        <v>298818</v>
      </c>
      <c r="C953" t="n">
        <v>-11820</v>
      </c>
      <c r="D953" t="n">
        <v>1286998</v>
      </c>
      <c r="E953" t="n">
        <v>1112847</v>
      </c>
      <c r="F953" t="n">
        <v>-4.29</v>
      </c>
      <c r="G953" t="n">
        <v>4</v>
      </c>
      <c r="H953" t="n">
        <v>10</v>
      </c>
    </row>
    <row r="954">
      <c r="A954" t="inlineStr">
        <is>
          <t>2025-07-09</t>
        </is>
      </c>
      <c r="B954" t="n">
        <v>283447</v>
      </c>
      <c r="C954" t="n">
        <v>130</v>
      </c>
      <c r="D954" t="n">
        <v>1283577</v>
      </c>
      <c r="E954" t="n">
        <v>1109145</v>
      </c>
      <c r="F954" t="n">
        <v>-4.55</v>
      </c>
      <c r="G954" t="n">
        <v>4</v>
      </c>
      <c r="H954" t="n">
        <v>10</v>
      </c>
    </row>
    <row r="955">
      <c r="A955" t="inlineStr">
        <is>
          <t>2025-07-10</t>
        </is>
      </c>
      <c r="B955" t="n">
        <v>308197</v>
      </c>
      <c r="C955" t="n">
        <v>980</v>
      </c>
      <c r="D955" t="n">
        <v>1309177</v>
      </c>
      <c r="E955" t="n">
        <v>1133779</v>
      </c>
      <c r="F955" t="n">
        <v>-2.64</v>
      </c>
      <c r="G955" t="n">
        <v>4</v>
      </c>
      <c r="H955" t="n">
        <v>10</v>
      </c>
    </row>
    <row r="956">
      <c r="A956" t="inlineStr">
        <is>
          <t>2025-07-11</t>
        </is>
      </c>
      <c r="B956" t="n">
        <v>318847</v>
      </c>
      <c r="C956" t="n">
        <v>2300</v>
      </c>
      <c r="D956" t="n">
        <v>1321147</v>
      </c>
      <c r="E956" t="n">
        <v>1144582</v>
      </c>
      <c r="F956" t="n">
        <v>-1.75</v>
      </c>
      <c r="G956" t="n">
        <v>3</v>
      </c>
      <c r="H956" t="n">
        <v>7</v>
      </c>
    </row>
    <row r="957">
      <c r="A957" t="inlineStr">
        <is>
          <t>2025-07-14</t>
        </is>
      </c>
      <c r="B957" t="n">
        <v>318847</v>
      </c>
      <c r="C957" t="n">
        <v>1900</v>
      </c>
      <c r="D957" t="n">
        <v>1320747</v>
      </c>
      <c r="E957" t="n">
        <v>1144182</v>
      </c>
      <c r="F957" t="n">
        <v>-1.78</v>
      </c>
      <c r="G957" t="n">
        <v>4</v>
      </c>
      <c r="H957" t="n">
        <v>10</v>
      </c>
    </row>
    <row r="958">
      <c r="A958" t="inlineStr">
        <is>
          <t>2025-07-15</t>
        </is>
      </c>
      <c r="B958" t="n">
        <v>314219</v>
      </c>
      <c r="C958" t="n">
        <v>-330</v>
      </c>
      <c r="D958" t="n">
        <v>1313889</v>
      </c>
      <c r="E958" t="n">
        <v>1137187</v>
      </c>
      <c r="F958" t="n">
        <v>-2.29</v>
      </c>
      <c r="G958" t="n">
        <v>3</v>
      </c>
      <c r="H958" t="n">
        <v>7</v>
      </c>
    </row>
    <row r="959">
      <c r="A959" t="inlineStr">
        <is>
          <t>2025-07-16</t>
        </is>
      </c>
      <c r="B959" t="n">
        <v>314219</v>
      </c>
      <c r="C959" t="n">
        <v>3680</v>
      </c>
      <c r="D959" t="n">
        <v>1317899</v>
      </c>
      <c r="E959" t="n">
        <v>1141197</v>
      </c>
      <c r="F959" t="n">
        <v>-1.99</v>
      </c>
      <c r="G959" t="n">
        <v>3</v>
      </c>
      <c r="H959" t="n">
        <v>7</v>
      </c>
    </row>
    <row r="960">
      <c r="A960" t="inlineStr">
        <is>
          <t>2025-07-17</t>
        </is>
      </c>
      <c r="B960" t="n">
        <v>330619</v>
      </c>
      <c r="C960" t="n">
        <v>4990</v>
      </c>
      <c r="D960" t="n">
        <v>1335609</v>
      </c>
      <c r="E960" t="n">
        <v>1158046</v>
      </c>
      <c r="F960" t="n">
        <v>-0.68</v>
      </c>
      <c r="G960" t="n">
        <v>4</v>
      </c>
      <c r="H960" t="n">
        <v>10</v>
      </c>
    </row>
    <row r="961">
      <c r="A961" t="inlineStr">
        <is>
          <t>2025-07-18</t>
        </is>
      </c>
      <c r="B961" t="n">
        <v>345619</v>
      </c>
      <c r="C961" t="n">
        <v>-6570</v>
      </c>
      <c r="D961" t="n">
        <v>1339049</v>
      </c>
      <c r="E961" t="n">
        <v>1160427</v>
      </c>
      <c r="F961" t="n">
        <v>-0.42</v>
      </c>
      <c r="G961" t="n">
        <v>4</v>
      </c>
      <c r="H961" t="n">
        <v>10</v>
      </c>
    </row>
    <row r="962">
      <c r="A962" t="inlineStr">
        <is>
          <t>2025-07-21</t>
        </is>
      </c>
      <c r="B962" t="n">
        <v>335019</v>
      </c>
      <c r="C962" t="n">
        <v>20040</v>
      </c>
      <c r="D962" t="n">
        <v>1355059</v>
      </c>
      <c r="E962" t="n">
        <v>1175255</v>
      </c>
      <c r="F962" t="n">
        <v>0</v>
      </c>
      <c r="G962" t="n">
        <v>4</v>
      </c>
      <c r="H962" t="n">
        <v>10</v>
      </c>
    </row>
    <row r="963">
      <c r="A963" t="inlineStr">
        <is>
          <t>2025-07-22</t>
        </is>
      </c>
      <c r="B963" t="n">
        <v>335019</v>
      </c>
      <c r="C963" t="n">
        <v>49390</v>
      </c>
      <c r="D963" t="n">
        <v>1384409</v>
      </c>
      <c r="E963" t="n">
        <v>1204605</v>
      </c>
      <c r="F963" t="n">
        <v>0</v>
      </c>
      <c r="G963" t="n">
        <v>4</v>
      </c>
      <c r="H963" t="n">
        <v>10</v>
      </c>
    </row>
    <row r="964">
      <c r="A964" t="inlineStr">
        <is>
          <t>2025-07-23</t>
        </is>
      </c>
      <c r="B964" t="n">
        <v>335019</v>
      </c>
      <c r="C964" t="n">
        <v>27490</v>
      </c>
      <c r="D964" t="n">
        <v>1362509</v>
      </c>
      <c r="E964" t="n">
        <v>1182705</v>
      </c>
      <c r="F964" t="n">
        <v>-1.58</v>
      </c>
      <c r="G964" t="n">
        <v>4</v>
      </c>
      <c r="H964" t="n">
        <v>10</v>
      </c>
    </row>
    <row r="965">
      <c r="A965" t="inlineStr">
        <is>
          <t>2025-07-24</t>
        </is>
      </c>
      <c r="B965" t="n">
        <v>335019</v>
      </c>
      <c r="C965" t="n">
        <v>46830</v>
      </c>
      <c r="D965" t="n">
        <v>1381849</v>
      </c>
      <c r="E965" t="n">
        <v>1202045</v>
      </c>
      <c r="F965" t="n">
        <v>-0.18</v>
      </c>
      <c r="G965" t="n">
        <v>4</v>
      </c>
      <c r="H965" t="n">
        <v>10</v>
      </c>
    </row>
    <row r="966">
      <c r="A966" t="inlineStr">
        <is>
          <t>2025-07-25</t>
        </is>
      </c>
      <c r="B966" t="n">
        <v>335019</v>
      </c>
      <c r="C966" t="n">
        <v>63980</v>
      </c>
      <c r="D966" t="n">
        <v>1398999</v>
      </c>
      <c r="E966" t="n">
        <v>1219195</v>
      </c>
      <c r="F966" t="n">
        <v>0</v>
      </c>
      <c r="G966" t="n">
        <v>4</v>
      </c>
      <c r="H966" t="n">
        <v>10</v>
      </c>
    </row>
    <row r="967">
      <c r="A967" t="inlineStr">
        <is>
          <t>2025-07-28</t>
        </is>
      </c>
      <c r="B967" t="n">
        <v>354259</v>
      </c>
      <c r="C967" t="n">
        <v>-6155</v>
      </c>
      <c r="D967" t="n">
        <v>1348104</v>
      </c>
      <c r="E967" t="n">
        <v>1167694</v>
      </c>
      <c r="F967" t="n">
        <v>-3.64</v>
      </c>
      <c r="G967" t="n">
        <v>3</v>
      </c>
      <c r="H967" t="n">
        <v>7</v>
      </c>
    </row>
    <row r="968">
      <c r="A968" t="inlineStr">
        <is>
          <t>2025-07-29</t>
        </is>
      </c>
      <c r="B968" t="n">
        <v>354259</v>
      </c>
      <c r="C968" t="n">
        <v>9225</v>
      </c>
      <c r="D968" t="n">
        <v>1363484</v>
      </c>
      <c r="E968" t="n">
        <v>1183074</v>
      </c>
      <c r="F968" t="n">
        <v>-2.54</v>
      </c>
      <c r="G968" t="n">
        <v>4</v>
      </c>
      <c r="H968" t="n">
        <v>10</v>
      </c>
    </row>
    <row r="969">
      <c r="A969" t="inlineStr">
        <is>
          <t>2025-07-30</t>
        </is>
      </c>
      <c r="B969" t="n">
        <v>354259</v>
      </c>
      <c r="C969" t="n">
        <v>6085</v>
      </c>
      <c r="D969" t="n">
        <v>1360344</v>
      </c>
      <c r="E969" t="n">
        <v>1179934</v>
      </c>
      <c r="F969" t="n">
        <v>-2.76</v>
      </c>
      <c r="G969" t="n">
        <v>4</v>
      </c>
      <c r="H969" t="n">
        <v>10</v>
      </c>
    </row>
    <row r="970">
      <c r="A970" t="inlineStr">
        <is>
          <t>2025-07-31</t>
        </is>
      </c>
      <c r="B970" t="n">
        <v>361234</v>
      </c>
      <c r="C970" t="n">
        <v>-6670</v>
      </c>
      <c r="D970" t="n">
        <v>1354564</v>
      </c>
      <c r="E970" t="n">
        <v>1174029</v>
      </c>
      <c r="F970" t="n">
        <v>-3.18</v>
      </c>
      <c r="G970" t="n">
        <v>4</v>
      </c>
      <c r="H970" t="n">
        <v>10</v>
      </c>
    </row>
    <row r="971">
      <c r="A971" t="inlineStr">
        <is>
          <t>2025-08-01</t>
        </is>
      </c>
      <c r="B971" t="n">
        <v>362809</v>
      </c>
      <c r="C971" t="n">
        <v>-420</v>
      </c>
      <c r="D971" t="n">
        <v>1362389</v>
      </c>
      <c r="E971" t="n">
        <v>1181683</v>
      </c>
      <c r="F971" t="n">
        <v>-2.62</v>
      </c>
      <c r="G971" t="n">
        <v>3</v>
      </c>
      <c r="H971" t="n">
        <v>9</v>
      </c>
    </row>
    <row r="972">
      <c r="A972" t="inlineStr">
        <is>
          <t>2025-08-04</t>
        </is>
      </c>
      <c r="B972" t="n">
        <v>341359</v>
      </c>
      <c r="C972" t="n">
        <v>21530</v>
      </c>
      <c r="D972" t="n">
        <v>1362889</v>
      </c>
      <c r="E972" t="n">
        <v>1181518</v>
      </c>
      <c r="F972" t="n">
        <v>-2.58</v>
      </c>
      <c r="G972" t="n">
        <v>2</v>
      </c>
      <c r="H972" t="n">
        <v>6</v>
      </c>
    </row>
    <row r="973">
      <c r="A973" t="inlineStr">
        <is>
          <t>2025-08-05</t>
        </is>
      </c>
      <c r="B973" t="n">
        <v>341359</v>
      </c>
      <c r="C973" t="n">
        <v>50900</v>
      </c>
      <c r="D973" t="n">
        <v>1392259</v>
      </c>
      <c r="E973" t="n">
        <v>1210888</v>
      </c>
      <c r="F973" t="n">
        <v>-0.48</v>
      </c>
      <c r="G973" t="n">
        <v>3</v>
      </c>
      <c r="H973" t="n">
        <v>9</v>
      </c>
    </row>
    <row r="974">
      <c r="A974" t="inlineStr">
        <is>
          <t>2025-08-06</t>
        </is>
      </c>
      <c r="B974" t="n">
        <v>341359</v>
      </c>
      <c r="C974" t="n">
        <v>53320</v>
      </c>
      <c r="D974" t="n">
        <v>1394679</v>
      </c>
      <c r="E974" t="n">
        <v>1213308</v>
      </c>
      <c r="F974" t="n">
        <v>-0.31</v>
      </c>
      <c r="G974" t="n">
        <v>3</v>
      </c>
      <c r="H974" t="n">
        <v>9</v>
      </c>
    </row>
    <row r="975">
      <c r="A975" t="inlineStr">
        <is>
          <t>2025-08-07</t>
        </is>
      </c>
      <c r="B975" t="n">
        <v>341359</v>
      </c>
      <c r="C975" t="n">
        <v>47820</v>
      </c>
      <c r="D975" t="n">
        <v>1389179</v>
      </c>
      <c r="E975" t="n">
        <v>1207808</v>
      </c>
      <c r="F975" t="n">
        <v>-0.7</v>
      </c>
      <c r="G975" t="n">
        <v>3</v>
      </c>
      <c r="H975" t="n">
        <v>9</v>
      </c>
    </row>
    <row r="976">
      <c r="A976" t="inlineStr">
        <is>
          <t>2025-08-08</t>
        </is>
      </c>
      <c r="B976" t="n">
        <v>341359</v>
      </c>
      <c r="C976" t="n">
        <v>53560</v>
      </c>
      <c r="D976" t="n">
        <v>1394919</v>
      </c>
      <c r="E976" t="n">
        <v>1213548</v>
      </c>
      <c r="F976" t="n">
        <v>-0.29</v>
      </c>
      <c r="G976" t="n">
        <v>3</v>
      </c>
      <c r="H976" t="n">
        <v>9</v>
      </c>
    </row>
    <row r="977">
      <c r="A977" t="inlineStr">
        <is>
          <t>2025-08-11</t>
        </is>
      </c>
      <c r="B977" t="n">
        <v>341359</v>
      </c>
      <c r="C977" t="n">
        <v>61330</v>
      </c>
      <c r="D977" t="n">
        <v>1402689</v>
      </c>
      <c r="E977" t="n">
        <v>1221318</v>
      </c>
      <c r="F977" t="n">
        <v>0</v>
      </c>
      <c r="G977" t="n">
        <v>4</v>
      </c>
      <c r="H977" t="n">
        <v>10</v>
      </c>
    </row>
    <row r="978">
      <c r="A978" t="inlineStr">
        <is>
          <t>2025-08-12</t>
        </is>
      </c>
      <c r="B978" t="n">
        <v>386079</v>
      </c>
      <c r="C978" t="n">
        <v>23590</v>
      </c>
      <c r="D978" t="n">
        <v>1409669</v>
      </c>
      <c r="E978" t="n">
        <v>1227672</v>
      </c>
      <c r="F978" t="n">
        <v>0</v>
      </c>
      <c r="G978" t="n">
        <v>4</v>
      </c>
      <c r="H978" t="n">
        <v>10</v>
      </c>
    </row>
    <row r="979">
      <c r="A979" t="inlineStr">
        <is>
          <t>2025-08-13</t>
        </is>
      </c>
      <c r="B979" t="n">
        <v>381759</v>
      </c>
      <c r="C979" t="n">
        <v>13730</v>
      </c>
      <c r="D979" t="n">
        <v>1395489</v>
      </c>
      <c r="E979" t="n">
        <v>1213285</v>
      </c>
      <c r="F979" t="n">
        <v>-1.01</v>
      </c>
      <c r="G979" t="n">
        <v>3</v>
      </c>
      <c r="H979" t="n">
        <v>9</v>
      </c>
    </row>
    <row r="980">
      <c r="A980" t="inlineStr">
        <is>
          <t>2025-08-14</t>
        </is>
      </c>
      <c r="B980" t="n">
        <v>381759</v>
      </c>
      <c r="C980" t="n">
        <v>21630</v>
      </c>
      <c r="D980" t="n">
        <v>1403389</v>
      </c>
      <c r="E980" t="n">
        <v>1221185</v>
      </c>
      <c r="F980" t="n">
        <v>-0.45</v>
      </c>
      <c r="G980" t="n">
        <v>4</v>
      </c>
      <c r="H980" t="n">
        <v>10</v>
      </c>
    </row>
    <row r="981">
      <c r="A981" t="inlineStr">
        <is>
          <t>2025-08-15</t>
        </is>
      </c>
      <c r="B981" t="n">
        <v>381759</v>
      </c>
      <c r="C981" t="n">
        <v>28590</v>
      </c>
      <c r="D981" t="n">
        <v>1410349</v>
      </c>
      <c r="E981" t="n">
        <v>1228145</v>
      </c>
      <c r="F981" t="n">
        <v>0</v>
      </c>
      <c r="G981" t="n">
        <v>4</v>
      </c>
      <c r="H981" t="n">
        <v>10</v>
      </c>
    </row>
    <row r="982">
      <c r="A982" t="inlineStr">
        <is>
          <t>2025-08-18</t>
        </is>
      </c>
      <c r="B982" t="n">
        <v>391499</v>
      </c>
      <c r="C982" t="n">
        <v>27040</v>
      </c>
      <c r="D982" t="n">
        <v>1418539</v>
      </c>
      <c r="E982" t="n">
        <v>1235729</v>
      </c>
      <c r="F982" t="n">
        <v>0</v>
      </c>
      <c r="G982" t="n">
        <v>2</v>
      </c>
      <c r="H982" t="n">
        <v>6</v>
      </c>
    </row>
    <row r="983">
      <c r="A983" t="inlineStr">
        <is>
          <t>2025-08-19</t>
        </is>
      </c>
      <c r="B983" t="n">
        <v>391499</v>
      </c>
      <c r="C983" t="n">
        <v>30110</v>
      </c>
      <c r="D983" t="n">
        <v>1421609</v>
      </c>
      <c r="E983" t="n">
        <v>1238799</v>
      </c>
      <c r="F983" t="n">
        <v>0</v>
      </c>
      <c r="G983" t="n">
        <v>4</v>
      </c>
      <c r="H983" t="n">
        <v>10</v>
      </c>
    </row>
    <row r="984">
      <c r="A984" t="inlineStr">
        <is>
          <t>2025-08-20</t>
        </is>
      </c>
      <c r="B984" t="n">
        <v>426029</v>
      </c>
      <c r="C984" t="n">
        <v>-6220</v>
      </c>
      <c r="D984" t="n">
        <v>1419809</v>
      </c>
      <c r="E984" t="n">
        <v>1235584</v>
      </c>
      <c r="F984" t="n">
        <v>-0.13</v>
      </c>
      <c r="G984" t="n">
        <v>4</v>
      </c>
      <c r="H984" t="n">
        <v>10</v>
      </c>
    </row>
    <row r="985">
      <c r="A985" t="inlineStr">
        <is>
          <t>2025-08-21</t>
        </is>
      </c>
      <c r="B985" t="n">
        <v>426029</v>
      </c>
      <c r="C985" t="n">
        <v>-9310</v>
      </c>
      <c r="D985" t="n">
        <v>1416719</v>
      </c>
      <c r="E985" t="n">
        <v>1232494</v>
      </c>
      <c r="F985" t="n">
        <v>-0.34</v>
      </c>
      <c r="G985" t="n">
        <v>4</v>
      </c>
      <c r="H985" t="n">
        <v>10</v>
      </c>
    </row>
    <row r="986">
      <c r="A986" t="inlineStr">
        <is>
          <t>2025-08-22</t>
        </is>
      </c>
      <c r="B986" t="n">
        <v>414526</v>
      </c>
      <c r="C986" t="n">
        <v>300</v>
      </c>
      <c r="D986" t="n">
        <v>1414826</v>
      </c>
      <c r="E986" t="n">
        <v>1230320</v>
      </c>
      <c r="F986" t="n">
        <v>-0.48</v>
      </c>
      <c r="G986" t="n">
        <v>4</v>
      </c>
      <c r="H986" t="n">
        <v>10</v>
      </c>
    </row>
    <row r="987">
      <c r="A987" t="inlineStr">
        <is>
          <t>2025-08-25</t>
        </is>
      </c>
      <c r="B987" t="n">
        <v>414526</v>
      </c>
      <c r="C987" t="n">
        <v>-20515</v>
      </c>
      <c r="D987" t="n">
        <v>1394011</v>
      </c>
      <c r="E987" t="n">
        <v>1209505</v>
      </c>
      <c r="F987" t="n">
        <v>-1.94</v>
      </c>
      <c r="G987" t="n">
        <v>4</v>
      </c>
      <c r="H987" t="n">
        <v>10</v>
      </c>
    </row>
    <row r="988">
      <c r="A988" t="inlineStr">
        <is>
          <t>2025-08-26</t>
        </is>
      </c>
      <c r="B988" t="n">
        <v>410926</v>
      </c>
      <c r="C988" t="n">
        <v>-11455</v>
      </c>
      <c r="D988" t="n">
        <v>1399471</v>
      </c>
      <c r="E988" t="n">
        <v>1214053</v>
      </c>
      <c r="F988" t="n">
        <v>-1.56</v>
      </c>
      <c r="G988" t="n">
        <v>3</v>
      </c>
      <c r="H988" t="n">
        <v>7</v>
      </c>
    </row>
    <row r="989">
      <c r="A989" t="inlineStr">
        <is>
          <t>2025-08-27</t>
        </is>
      </c>
      <c r="B989" t="n">
        <v>410926</v>
      </c>
      <c r="C989" t="n">
        <v>-18970</v>
      </c>
      <c r="D989" t="n">
        <v>1391956</v>
      </c>
      <c r="E989" t="n">
        <v>1206538</v>
      </c>
      <c r="F989" t="n">
        <v>-2.09</v>
      </c>
      <c r="G989" t="n">
        <v>4</v>
      </c>
      <c r="H989" t="n">
        <v>10</v>
      </c>
    </row>
    <row r="990">
      <c r="A990" t="inlineStr">
        <is>
          <t>2025-08-28</t>
        </is>
      </c>
      <c r="B990" t="n">
        <v>395716</v>
      </c>
      <c r="C990" t="n">
        <v>0</v>
      </c>
      <c r="D990" t="n">
        <v>1395716</v>
      </c>
      <c r="E990" t="n">
        <v>1208760</v>
      </c>
      <c r="F990" t="n">
        <v>-1.82</v>
      </c>
      <c r="G990" t="n">
        <v>2</v>
      </c>
      <c r="H990" t="n">
        <v>6</v>
      </c>
    </row>
    <row r="991">
      <c r="A991" t="inlineStr">
        <is>
          <t>2025-08-29</t>
        </is>
      </c>
      <c r="B991" t="n">
        <v>395716</v>
      </c>
      <c r="C991" t="n">
        <v>1700</v>
      </c>
      <c r="D991" t="n">
        <v>1397416</v>
      </c>
      <c r="E991" t="n">
        <v>1210460</v>
      </c>
      <c r="F991" t="n">
        <v>-1.7</v>
      </c>
      <c r="G991" t="n">
        <v>4</v>
      </c>
      <c r="H991" t="n">
        <v>10</v>
      </c>
    </row>
    <row r="992">
      <c r="A992" t="inlineStr">
        <is>
          <t>2025-09-01</t>
        </is>
      </c>
      <c r="B992" t="n">
        <v>403756</v>
      </c>
      <c r="C992" t="n">
        <v>2340</v>
      </c>
      <c r="D992" t="n">
        <v>1406096</v>
      </c>
      <c r="E992" t="n">
        <v>1217496</v>
      </c>
      <c r="F992" t="n">
        <v>-1.09</v>
      </c>
      <c r="G992" t="n">
        <v>2</v>
      </c>
      <c r="H992" t="n">
        <v>4</v>
      </c>
    </row>
    <row r="993">
      <c r="A993" t="inlineStr">
        <is>
          <t>2025-09-02</t>
        </is>
      </c>
      <c r="B993" t="n">
        <v>403756</v>
      </c>
      <c r="C993" t="n">
        <v>5310</v>
      </c>
      <c r="D993" t="n">
        <v>1409066</v>
      </c>
      <c r="E993" t="n">
        <v>1220466</v>
      </c>
      <c r="F993" t="n">
        <v>-0.88</v>
      </c>
      <c r="G993" t="n">
        <v>2</v>
      </c>
      <c r="H993" t="n">
        <v>4</v>
      </c>
    </row>
    <row r="994">
      <c r="A994" t="inlineStr">
        <is>
          <t>2025-09-03</t>
        </is>
      </c>
      <c r="B994" t="n">
        <v>405286</v>
      </c>
      <c r="C994" t="n">
        <v>1800</v>
      </c>
      <c r="D994" t="n">
        <v>1407086</v>
      </c>
      <c r="E994" t="n">
        <v>1218405</v>
      </c>
      <c r="F994" t="n">
        <v>-1.02</v>
      </c>
      <c r="G994" t="n">
        <v>2</v>
      </c>
      <c r="H994" t="n">
        <v>6</v>
      </c>
    </row>
    <row r="995">
      <c r="A995" t="inlineStr">
        <is>
          <t>2025-09-04</t>
        </is>
      </c>
      <c r="B995" t="n">
        <v>405286</v>
      </c>
      <c r="C995" t="n">
        <v>605</v>
      </c>
      <c r="D995" t="n">
        <v>1405891</v>
      </c>
      <c r="E995" t="n">
        <v>1217210</v>
      </c>
      <c r="F995" t="n">
        <v>-1.11</v>
      </c>
      <c r="G995" t="n">
        <v>3</v>
      </c>
      <c r="H995" t="n">
        <v>9</v>
      </c>
    </row>
    <row r="996">
      <c r="A996" t="inlineStr">
        <is>
          <t>2025-09-05</t>
        </is>
      </c>
      <c r="B996" t="n">
        <v>384456</v>
      </c>
      <c r="C996" t="n">
        <v>-6045</v>
      </c>
      <c r="D996" t="n">
        <v>1378411</v>
      </c>
      <c r="E996" t="n">
        <v>1189029</v>
      </c>
      <c r="F996" t="n">
        <v>-3.04</v>
      </c>
      <c r="G996" t="n">
        <v>2</v>
      </c>
      <c r="H996" t="n">
        <v>6</v>
      </c>
    </row>
    <row r="997">
      <c r="A997" t="inlineStr">
        <is>
          <t>2025-09-08</t>
        </is>
      </c>
      <c r="B997" t="n">
        <v>384456</v>
      </c>
      <c r="C997" t="n">
        <v>-840</v>
      </c>
      <c r="D997" t="n">
        <v>1383616</v>
      </c>
      <c r="E997" t="n">
        <v>1194234</v>
      </c>
      <c r="F997" t="n">
        <v>-2.67</v>
      </c>
      <c r="G997" t="n">
        <v>2</v>
      </c>
      <c r="H997" t="n">
        <v>6</v>
      </c>
    </row>
    <row r="998">
      <c r="A998" t="inlineStr">
        <is>
          <t>2025-09-09</t>
        </is>
      </c>
      <c r="B998" t="n">
        <v>384456</v>
      </c>
      <c r="C998" t="n">
        <v>17745</v>
      </c>
      <c r="D998" t="n">
        <v>1402201</v>
      </c>
      <c r="E998" t="n">
        <v>1212819</v>
      </c>
      <c r="F998" t="n">
        <v>-1.37</v>
      </c>
      <c r="G998" t="n">
        <v>3</v>
      </c>
      <c r="H998" t="n">
        <v>9</v>
      </c>
    </row>
    <row r="999">
      <c r="A999" t="inlineStr">
        <is>
          <t>2025-09-10</t>
        </is>
      </c>
      <c r="B999" t="n">
        <v>384456</v>
      </c>
      <c r="C999" t="n">
        <v>15155</v>
      </c>
      <c r="D999" t="n">
        <v>1399611</v>
      </c>
      <c r="E999" t="n">
        <v>1210229</v>
      </c>
      <c r="F999" t="n">
        <v>-1.55</v>
      </c>
      <c r="G999" t="n">
        <v>3</v>
      </c>
      <c r="H999" t="n">
        <v>9</v>
      </c>
    </row>
    <row r="1000">
      <c r="A1000" t="inlineStr">
        <is>
          <t>2025-09-11</t>
        </is>
      </c>
      <c r="B1000" t="n">
        <v>391586</v>
      </c>
      <c r="C1000" t="n">
        <v>-4410</v>
      </c>
      <c r="D1000" t="n">
        <v>1387176</v>
      </c>
      <c r="E1000" t="n">
        <v>1197286</v>
      </c>
      <c r="F1000" t="n">
        <v>-2.42</v>
      </c>
      <c r="G1000" t="n">
        <v>4</v>
      </c>
      <c r="H1000" t="n">
        <v>10</v>
      </c>
    </row>
    <row r="1001">
      <c r="A1001" t="inlineStr">
        <is>
          <t>2025-09-12</t>
        </is>
      </c>
      <c r="B1001" t="n">
        <v>386636</v>
      </c>
      <c r="C1001" t="n">
        <v>1535</v>
      </c>
      <c r="D1001" t="n">
        <v>1388171</v>
      </c>
      <c r="E1001" t="n">
        <v>1198081</v>
      </c>
      <c r="F1001" t="n">
        <v>-2.35</v>
      </c>
      <c r="G1001" t="n">
        <v>4</v>
      </c>
      <c r="H1001" t="n">
        <v>10</v>
      </c>
    </row>
    <row r="1002">
      <c r="A1002" t="inlineStr">
        <is>
          <t>2025-09-15</t>
        </is>
      </c>
      <c r="B1002" t="n">
        <v>389716</v>
      </c>
      <c r="C1002" t="n">
        <v>-12120</v>
      </c>
      <c r="D1002" t="n">
        <v>1377596</v>
      </c>
      <c r="E1002" t="n">
        <v>1186436</v>
      </c>
      <c r="F1002" t="n">
        <v>-3.1</v>
      </c>
      <c r="G1002" t="n">
        <v>3</v>
      </c>
      <c r="H1002" t="n">
        <v>7</v>
      </c>
    </row>
    <row r="1003">
      <c r="A1003" t="inlineStr">
        <is>
          <t>2025-09-16</t>
        </is>
      </c>
      <c r="B1003" t="n">
        <v>386636</v>
      </c>
      <c r="C1003" t="n">
        <v>-21420</v>
      </c>
      <c r="D1003" t="n">
        <v>1365216</v>
      </c>
      <c r="E1003" t="n">
        <v>1173561</v>
      </c>
      <c r="F1003" t="n">
        <v>-3.97</v>
      </c>
      <c r="G1003" t="n">
        <v>3</v>
      </c>
      <c r="H1003" t="n">
        <v>7</v>
      </c>
    </row>
    <row r="1004">
      <c r="A1004" t="inlineStr">
        <is>
          <t>2025-09-17</t>
        </is>
      </c>
      <c r="B1004" t="n">
        <v>386636</v>
      </c>
      <c r="C1004" t="n">
        <v>-31360</v>
      </c>
      <c r="D1004" t="n">
        <v>1355276</v>
      </c>
      <c r="E1004" t="n">
        <v>1163621</v>
      </c>
      <c r="F1004" t="n">
        <v>-4.67</v>
      </c>
      <c r="G1004" t="n">
        <v>4</v>
      </c>
      <c r="H1004" t="n">
        <v>10</v>
      </c>
    </row>
    <row r="1005">
      <c r="A1005" t="inlineStr">
        <is>
          <t>2025-09-18</t>
        </is>
      </c>
      <c r="B1005" t="n">
        <v>384556</v>
      </c>
      <c r="C1005" t="n">
        <v>-28540</v>
      </c>
      <c r="D1005" t="n">
        <v>1356016</v>
      </c>
      <c r="E1005" t="n">
        <v>1164192</v>
      </c>
      <c r="F1005" t="n">
        <v>-4.61</v>
      </c>
      <c r="G1005" t="n">
        <v>4</v>
      </c>
      <c r="H1005" t="n">
        <v>10</v>
      </c>
    </row>
    <row r="1006">
      <c r="A1006" t="inlineStr">
        <is>
          <t>2025-09-19</t>
        </is>
      </c>
      <c r="B1006" t="n">
        <v>384556</v>
      </c>
      <c r="C1006" t="n">
        <v>-40710</v>
      </c>
      <c r="D1006" t="n">
        <v>1343846</v>
      </c>
      <c r="E1006" t="n">
        <v>1152022</v>
      </c>
      <c r="F1006" t="n">
        <v>-5.47</v>
      </c>
      <c r="G1006" t="n">
        <v>4</v>
      </c>
      <c r="H1006" t="n">
        <v>10</v>
      </c>
    </row>
    <row r="1007">
      <c r="A1007" t="inlineStr">
        <is>
          <t>2025-09-22</t>
        </is>
      </c>
      <c r="B1007" t="n">
        <v>367294</v>
      </c>
      <c r="C1007" t="n">
        <v>-14520</v>
      </c>
      <c r="D1007" t="n">
        <v>1352774</v>
      </c>
      <c r="E1007" t="n">
        <v>1160059</v>
      </c>
      <c r="F1007" t="n">
        <v>-4.84</v>
      </c>
      <c r="G1007" t="n">
        <v>1</v>
      </c>
      <c r="H1007" t="n">
        <v>3</v>
      </c>
    </row>
    <row r="1008">
      <c r="A1008" t="inlineStr">
        <is>
          <t>2025-09-23</t>
        </is>
      </c>
      <c r="B1008" t="n">
        <v>367294</v>
      </c>
      <c r="C1008" t="n">
        <v>3300</v>
      </c>
      <c r="D1008" t="n">
        <v>1370594</v>
      </c>
      <c r="E1008" t="n">
        <v>1177879</v>
      </c>
      <c r="F1008" t="n">
        <v>-3.59</v>
      </c>
      <c r="G1008" t="n">
        <v>2</v>
      </c>
      <c r="H1008" t="n">
        <v>6</v>
      </c>
    </row>
    <row r="1009">
      <c r="A1009" t="inlineStr">
        <is>
          <t>2025-09-24</t>
        </is>
      </c>
      <c r="B1009" t="n">
        <v>364354</v>
      </c>
      <c r="C1009" t="n">
        <v>14740</v>
      </c>
      <c r="D1009" t="n">
        <v>1379094</v>
      </c>
      <c r="E1009" t="n">
        <v>1186097</v>
      </c>
      <c r="F1009" t="n">
        <v>-2.99</v>
      </c>
      <c r="G1009" t="n">
        <v>3</v>
      </c>
      <c r="H1009" t="n">
        <v>9</v>
      </c>
    </row>
    <row r="1010">
      <c r="A1010" t="inlineStr">
        <is>
          <t>2025-09-25</t>
        </is>
      </c>
      <c r="B1010" t="n">
        <v>364354</v>
      </c>
      <c r="C1010" t="n">
        <v>4230</v>
      </c>
      <c r="D1010" t="n">
        <v>1368584</v>
      </c>
      <c r="E1010" t="n">
        <v>1175587</v>
      </c>
      <c r="F1010" t="n">
        <v>-3.73</v>
      </c>
      <c r="G1010" t="n">
        <v>3</v>
      </c>
      <c r="H1010" t="n">
        <v>9</v>
      </c>
    </row>
    <row r="1011">
      <c r="A1011" t="inlineStr">
        <is>
          <t>2025-09-26</t>
        </is>
      </c>
      <c r="B1011" t="n">
        <v>364354</v>
      </c>
      <c r="C1011" t="n">
        <v>24705</v>
      </c>
      <c r="D1011" t="n">
        <v>1389059</v>
      </c>
      <c r="E1011" t="n">
        <v>1196062</v>
      </c>
      <c r="F1011" t="n">
        <v>-2.29</v>
      </c>
      <c r="G1011" t="n">
        <v>3</v>
      </c>
      <c r="H1011" t="n">
        <v>9</v>
      </c>
    </row>
    <row r="1012">
      <c r="A1012" t="inlineStr">
        <is>
          <t>2025-09-29</t>
        </is>
      </c>
      <c r="B1012" t="n">
        <v>388384</v>
      </c>
      <c r="C1012" t="n">
        <v>7780</v>
      </c>
      <c r="D1012" t="n">
        <v>1396164</v>
      </c>
      <c r="E1012" t="n">
        <v>1203030</v>
      </c>
      <c r="F1012" t="n">
        <v>-1.79</v>
      </c>
      <c r="G1012" t="n">
        <v>3</v>
      </c>
      <c r="H1012" t="n">
        <v>9</v>
      </c>
    </row>
    <row r="1013">
      <c r="A1013" t="inlineStr">
        <is>
          <t>2025-09-30</t>
        </is>
      </c>
      <c r="B1013" t="n">
        <v>388384</v>
      </c>
      <c r="C1013" t="n">
        <v>21490</v>
      </c>
      <c r="D1013" t="n">
        <v>1409874</v>
      </c>
      <c r="E1013" t="n">
        <v>1216740</v>
      </c>
      <c r="F1013" t="n">
        <v>-0.83</v>
      </c>
      <c r="G1013" t="n">
        <v>3</v>
      </c>
      <c r="H1013" t="n">
        <v>9</v>
      </c>
    </row>
    <row r="1014">
      <c r="A1014" t="inlineStr">
        <is>
          <t>2025-10-09</t>
        </is>
      </c>
      <c r="B1014" t="n">
        <v>396874</v>
      </c>
      <c r="C1014" t="n">
        <v>17940</v>
      </c>
      <c r="D1014" t="n">
        <v>1414814</v>
      </c>
      <c r="E1014" t="n">
        <v>1220223</v>
      </c>
      <c r="F1014" t="n">
        <v>-0.48</v>
      </c>
      <c r="G1014" t="n">
        <v>2</v>
      </c>
      <c r="H1014" t="n">
        <v>6</v>
      </c>
    </row>
    <row r="1015">
      <c r="A1015" t="inlineStr">
        <is>
          <t>2025-10-10</t>
        </is>
      </c>
      <c r="B1015" t="n">
        <v>403574</v>
      </c>
      <c r="C1015" t="n">
        <v>25740</v>
      </c>
      <c r="D1015" t="n">
        <v>1429314</v>
      </c>
      <c r="E1015" t="n">
        <v>1234455</v>
      </c>
      <c r="F1015" t="n">
        <v>0</v>
      </c>
      <c r="G1015" t="n">
        <v>1</v>
      </c>
      <c r="H1015" t="n">
        <v>3</v>
      </c>
    </row>
    <row r="1016">
      <c r="A1016" t="inlineStr">
        <is>
          <t>2025-10-13</t>
        </is>
      </c>
      <c r="B1016" t="n">
        <v>403574</v>
      </c>
      <c r="C1016" t="n">
        <v>36270</v>
      </c>
      <c r="D1016" t="n">
        <v>1439844</v>
      </c>
      <c r="E1016" t="n">
        <v>1244985</v>
      </c>
      <c r="F1016" t="n">
        <v>0</v>
      </c>
      <c r="G1016" t="n">
        <v>3</v>
      </c>
      <c r="H1016" t="n">
        <v>9</v>
      </c>
    </row>
    <row r="1017">
      <c r="A1017" t="inlineStr">
        <is>
          <t>2025-10-14</t>
        </is>
      </c>
      <c r="B1017" t="n">
        <v>402104</v>
      </c>
      <c r="C1017" t="n">
        <v>59025</v>
      </c>
      <c r="D1017" t="n">
        <v>1461129</v>
      </c>
      <c r="E1017" t="n">
        <v>1266175</v>
      </c>
      <c r="F1017" t="n">
        <v>0</v>
      </c>
      <c r="G1017" t="n">
        <v>4</v>
      </c>
      <c r="H1017" t="n">
        <v>10</v>
      </c>
    </row>
    <row r="1018">
      <c r="A1018" t="inlineStr">
        <is>
          <t>2025-10-15</t>
        </is>
      </c>
      <c r="B1018" t="n">
        <v>414344</v>
      </c>
      <c r="C1018" t="n">
        <v>42345</v>
      </c>
      <c r="D1018" t="n">
        <v>1456689</v>
      </c>
      <c r="E1018" t="n">
        <v>1261227</v>
      </c>
      <c r="F1018" t="n">
        <v>-0.3</v>
      </c>
      <c r="G1018" t="n">
        <v>4</v>
      </c>
      <c r="H1018" t="n">
        <v>10</v>
      </c>
    </row>
    <row r="1019">
      <c r="A1019" t="inlineStr">
        <is>
          <t>2025-10-16</t>
        </is>
      </c>
      <c r="B1019" t="n">
        <v>415529</v>
      </c>
      <c r="C1019" t="n">
        <v>32260</v>
      </c>
      <c r="D1019" t="n">
        <v>1447789</v>
      </c>
      <c r="E1019" t="n">
        <v>1252279</v>
      </c>
      <c r="F1019" t="n">
        <v>-0.91</v>
      </c>
      <c r="G1019" t="n">
        <v>4</v>
      </c>
      <c r="H1019" t="n">
        <v>10</v>
      </c>
    </row>
    <row r="1020">
      <c r="A1020" t="inlineStr">
        <is>
          <t>2025-10-17</t>
        </is>
      </c>
      <c r="B1020" t="n">
        <v>473304</v>
      </c>
      <c r="C1020" t="n">
        <v>-3360</v>
      </c>
      <c r="D1020" t="n">
        <v>1469944</v>
      </c>
      <c r="E1020" t="n">
        <v>1273303</v>
      </c>
      <c r="F1020" t="n">
        <v>0</v>
      </c>
      <c r="G1020" t="n">
        <v>4</v>
      </c>
      <c r="H1020" t="n">
        <v>10</v>
      </c>
    </row>
    <row r="1021">
      <c r="A1021" t="inlineStr">
        <is>
          <t>2025-10-20</t>
        </is>
      </c>
      <c r="B1021" t="n">
        <v>479334</v>
      </c>
      <c r="C1021" t="n">
        <v>-12180</v>
      </c>
      <c r="D1021" t="n">
        <v>1467154</v>
      </c>
      <c r="E1021" t="n">
        <v>1269247</v>
      </c>
      <c r="F1021" t="n">
        <v>-0.19</v>
      </c>
      <c r="G1021" t="n">
        <v>2</v>
      </c>
      <c r="H1021" t="n">
        <v>6</v>
      </c>
    </row>
    <row r="1022">
      <c r="A1022" t="inlineStr">
        <is>
          <t>2025-10-21</t>
        </is>
      </c>
      <c r="B1022" t="n">
        <v>479334</v>
      </c>
      <c r="C1022" t="n">
        <v>-16980</v>
      </c>
      <c r="D1022" t="n">
        <v>1462354</v>
      </c>
      <c r="E1022" t="n">
        <v>1264447</v>
      </c>
      <c r="F1022" t="n">
        <v>-0.52</v>
      </c>
      <c r="G1022" t="n">
        <v>4</v>
      </c>
      <c r="H1022" t="n">
        <v>10</v>
      </c>
    </row>
    <row r="1023">
      <c r="A1023" t="inlineStr">
        <is>
          <t>2025-10-22</t>
        </is>
      </c>
      <c r="B1023" t="n">
        <v>467814</v>
      </c>
      <c r="C1023" t="n">
        <v>-2580</v>
      </c>
      <c r="D1023" t="n">
        <v>1465234</v>
      </c>
      <c r="E1023" t="n">
        <v>1265892</v>
      </c>
      <c r="F1023" t="n">
        <v>-0.32</v>
      </c>
      <c r="G1023" t="n">
        <v>2</v>
      </c>
      <c r="H1023" t="n">
        <v>4</v>
      </c>
    </row>
    <row r="1024">
      <c r="A1024" t="inlineStr">
        <is>
          <t>2025-10-23</t>
        </is>
      </c>
      <c r="B1024" t="n">
        <v>467814</v>
      </c>
      <c r="C1024" t="n">
        <v>-3180</v>
      </c>
      <c r="D1024" t="n">
        <v>1464634</v>
      </c>
      <c r="E1024" t="n">
        <v>1265292</v>
      </c>
      <c r="F1024" t="n">
        <v>-0.36</v>
      </c>
      <c r="G1024" t="n">
        <v>3</v>
      </c>
      <c r="H1024" t="n">
        <v>7</v>
      </c>
    </row>
    <row r="1025">
      <c r="A1025" t="inlineStr">
        <is>
          <t>2025-10-24</t>
        </is>
      </c>
      <c r="B1025" t="n">
        <v>469524</v>
      </c>
      <c r="C1025" t="n">
        <v>-6600</v>
      </c>
      <c r="D1025" t="n">
        <v>1462924</v>
      </c>
      <c r="E1025" t="n">
        <v>1263314</v>
      </c>
      <c r="F1025" t="n">
        <v>-0.48</v>
      </c>
      <c r="G1025" t="n">
        <v>4</v>
      </c>
      <c r="H1025" t="n">
        <v>10</v>
      </c>
    </row>
    <row r="1026">
      <c r="A1026" t="inlineStr">
        <is>
          <t>2025-10-27</t>
        </is>
      </c>
      <c r="B1026" t="n">
        <v>469524</v>
      </c>
      <c r="C1026" t="n">
        <v>-19250</v>
      </c>
      <c r="D1026" t="n">
        <v>1450274</v>
      </c>
      <c r="E1026" t="n">
        <v>1250664</v>
      </c>
      <c r="F1026" t="n">
        <v>-1.34</v>
      </c>
      <c r="G1026" t="n">
        <v>4</v>
      </c>
      <c r="H1026" t="n">
        <v>10</v>
      </c>
    </row>
    <row r="1027">
      <c r="A1027" t="inlineStr">
        <is>
          <t>2025-10-28</t>
        </is>
      </c>
      <c r="B1027" t="n">
        <v>472164</v>
      </c>
      <c r="C1027" t="n">
        <v>-11840</v>
      </c>
      <c r="D1027" t="n">
        <v>1460324</v>
      </c>
      <c r="E1027" t="n">
        <v>1260521</v>
      </c>
      <c r="F1027" t="n">
        <v>-0.65</v>
      </c>
      <c r="G1027" t="n">
        <v>3</v>
      </c>
      <c r="H1027" t="n">
        <v>7</v>
      </c>
    </row>
    <row r="1028">
      <c r="A1028" t="inlineStr">
        <is>
          <t>2025-10-29</t>
        </is>
      </c>
      <c r="B1028" t="n">
        <v>472164</v>
      </c>
      <c r="C1028" t="n">
        <v>-28485</v>
      </c>
      <c r="D1028" t="n">
        <v>1443679</v>
      </c>
      <c r="E1028" t="n">
        <v>1243876</v>
      </c>
      <c r="F1028" t="n">
        <v>-1.79</v>
      </c>
      <c r="G1028" t="n">
        <v>4</v>
      </c>
      <c r="H1028" t="n">
        <v>10</v>
      </c>
    </row>
    <row r="1029">
      <c r="A1029" t="inlineStr">
        <is>
          <t>2025-10-30</t>
        </is>
      </c>
      <c r="B1029" t="n">
        <v>465222</v>
      </c>
      <c r="C1029" t="n">
        <v>-13040</v>
      </c>
      <c r="D1029" t="n">
        <v>1452182</v>
      </c>
      <c r="E1029" t="n">
        <v>1252164</v>
      </c>
      <c r="F1029" t="n">
        <v>-1.21</v>
      </c>
      <c r="G1029" t="n">
        <v>4</v>
      </c>
      <c r="H1029" t="n">
        <v>10</v>
      </c>
    </row>
    <row r="1030">
      <c r="A1030" t="inlineStr">
        <is>
          <t>2025-10-31</t>
        </is>
      </c>
      <c r="B1030" t="n">
        <v>467392</v>
      </c>
      <c r="C1030" t="n">
        <v>-1775</v>
      </c>
      <c r="D1030" t="n">
        <v>1465617</v>
      </c>
      <c r="E1030" t="n">
        <v>1264961</v>
      </c>
      <c r="F1030" t="n">
        <v>-0.29</v>
      </c>
      <c r="G1030" t="n">
        <v>4</v>
      </c>
      <c r="H1030" t="n">
        <v>10</v>
      </c>
    </row>
    <row r="1031">
      <c r="A1031" t="inlineStr">
        <is>
          <t>2025-11-03</t>
        </is>
      </c>
      <c r="B1031" t="n">
        <v>467392</v>
      </c>
      <c r="C1031" t="n">
        <v>9045</v>
      </c>
      <c r="D1031" t="n">
        <v>1476437</v>
      </c>
      <c r="E1031" t="n">
        <v>1275781</v>
      </c>
      <c r="F1031" t="n">
        <v>0</v>
      </c>
      <c r="G1031" t="n">
        <v>4</v>
      </c>
      <c r="H1031" t="n">
        <v>10</v>
      </c>
    </row>
    <row r="1032">
      <c r="A1032" t="inlineStr">
        <is>
          <t>2025-11-04</t>
        </is>
      </c>
      <c r="B1032" t="n">
        <v>466525</v>
      </c>
      <c r="C1032" t="n">
        <v>5900</v>
      </c>
      <c r="D1032" t="n">
        <v>1472425</v>
      </c>
      <c r="E1032" t="n">
        <v>1271358</v>
      </c>
      <c r="F1032" t="n">
        <v>-0.27</v>
      </c>
      <c r="G1032" t="n">
        <v>4</v>
      </c>
      <c r="H1032" t="n">
        <v>10</v>
      </c>
    </row>
    <row r="1033">
      <c r="A1033" t="inlineStr">
        <is>
          <t>2025-11-05</t>
        </is>
      </c>
      <c r="B1033" t="n">
        <v>467605</v>
      </c>
      <c r="C1033" t="n">
        <v>25600</v>
      </c>
      <c r="D1033" t="n">
        <v>1493205</v>
      </c>
      <c r="E1033" t="n">
        <v>1291929</v>
      </c>
      <c r="F1033" t="n">
        <v>0</v>
      </c>
      <c r="G1033" t="n">
        <v>3</v>
      </c>
      <c r="H1033" t="n">
        <v>9</v>
      </c>
    </row>
    <row r="1034">
      <c r="A1034" t="inlineStr">
        <is>
          <t>2025-11-06</t>
        </is>
      </c>
      <c r="B1034" t="n">
        <v>467605</v>
      </c>
      <c r="C1034" t="n">
        <v>27430</v>
      </c>
      <c r="D1034" t="n">
        <v>1495035</v>
      </c>
      <c r="E1034" t="n">
        <v>1293759</v>
      </c>
      <c r="F1034" t="n">
        <v>0</v>
      </c>
      <c r="G1034" t="n">
        <v>3</v>
      </c>
      <c r="H1034" t="n">
        <v>9</v>
      </c>
    </row>
    <row r="1035">
      <c r="A1035" t="inlineStr">
        <is>
          <t>2025-11-07</t>
        </is>
      </c>
      <c r="B1035" t="n">
        <v>467605</v>
      </c>
      <c r="C1035" t="n">
        <v>26895</v>
      </c>
      <c r="D1035" t="n">
        <v>1494500</v>
      </c>
      <c r="E1035" t="n">
        <v>1293224</v>
      </c>
      <c r="F1035" t="n">
        <v>-0.04</v>
      </c>
      <c r="G1035" t="n">
        <v>4</v>
      </c>
      <c r="H1035" t="n">
        <v>10</v>
      </c>
    </row>
    <row r="1036">
      <c r="A1036" t="inlineStr">
        <is>
          <t>2025-11-10</t>
        </is>
      </c>
      <c r="B1036" t="n">
        <v>472245</v>
      </c>
      <c r="C1036" t="n">
        <v>27780</v>
      </c>
      <c r="D1036" t="n">
        <v>1500025</v>
      </c>
      <c r="E1036" t="n">
        <v>1298701</v>
      </c>
      <c r="F1036" t="n">
        <v>0</v>
      </c>
      <c r="G1036" t="n">
        <v>3</v>
      </c>
      <c r="H1036" t="n">
        <v>9</v>
      </c>
    </row>
    <row r="1037">
      <c r="A1037" t="inlineStr">
        <is>
          <t>2025-11-11</t>
        </is>
      </c>
      <c r="B1037" t="n">
        <v>472245</v>
      </c>
      <c r="C1037" t="n">
        <v>39600</v>
      </c>
      <c r="D1037" t="n">
        <v>1511845</v>
      </c>
      <c r="E1037" t="n">
        <v>1310521</v>
      </c>
      <c r="F1037" t="n">
        <v>0</v>
      </c>
      <c r="G1037" t="n">
        <v>4</v>
      </c>
      <c r="H1037" t="n">
        <v>10</v>
      </c>
    </row>
    <row r="1038">
      <c r="A1038" t="inlineStr">
        <is>
          <t>2025-11-12</t>
        </is>
      </c>
      <c r="B1038" t="n">
        <v>472065</v>
      </c>
      <c r="C1038" t="n">
        <v>33275</v>
      </c>
      <c r="D1038" t="n">
        <v>1505340</v>
      </c>
      <c r="E1038" t="n">
        <v>1303967</v>
      </c>
      <c r="F1038" t="n">
        <v>-0.43</v>
      </c>
      <c r="G1038" t="n">
        <v>3</v>
      </c>
      <c r="H1038" t="n">
        <v>9</v>
      </c>
    </row>
    <row r="1039">
      <c r="A1039" t="inlineStr">
        <is>
          <t>2025-11-13</t>
        </is>
      </c>
      <c r="B1039" t="n">
        <v>472065</v>
      </c>
      <c r="C1039" t="n">
        <v>24920</v>
      </c>
      <c r="D1039" t="n">
        <v>1496985</v>
      </c>
      <c r="E1039" t="n">
        <v>1295612</v>
      </c>
      <c r="F1039" t="n">
        <v>-0.98</v>
      </c>
      <c r="G1039" t="n">
        <v>4</v>
      </c>
      <c r="H1039" t="n">
        <v>10</v>
      </c>
    </row>
    <row r="1040">
      <c r="A1040" t="inlineStr">
        <is>
          <t>2025-11-14</t>
        </is>
      </c>
      <c r="B1040" t="n">
        <v>472065</v>
      </c>
      <c r="C1040" t="n">
        <v>23580</v>
      </c>
      <c r="D1040" t="n">
        <v>1495645</v>
      </c>
      <c r="E1040" t="n">
        <v>1294272</v>
      </c>
      <c r="F1040" t="n">
        <v>-1.07</v>
      </c>
      <c r="G1040" t="n">
        <v>4</v>
      </c>
      <c r="H1040" t="n">
        <v>10</v>
      </c>
    </row>
    <row r="1041">
      <c r="A1041" t="inlineStr">
        <is>
          <t>2025-11-17</t>
        </is>
      </c>
      <c r="B1041" t="n">
        <v>461332</v>
      </c>
      <c r="C1041" t="n">
        <v>15875</v>
      </c>
      <c r="D1041" t="n">
        <v>1477207</v>
      </c>
      <c r="E1041" t="n">
        <v>1275048</v>
      </c>
      <c r="F1041" t="n">
        <v>-2.29</v>
      </c>
      <c r="G1041" t="n">
        <v>4</v>
      </c>
      <c r="H1041" t="n">
        <v>10</v>
      </c>
    </row>
    <row r="1042">
      <c r="A1042" t="inlineStr">
        <is>
          <t>2025-11-18</t>
        </is>
      </c>
      <c r="B1042" t="n">
        <v>461792</v>
      </c>
      <c r="C1042" t="n">
        <v>22090</v>
      </c>
      <c r="D1042" t="n">
        <v>1483882</v>
      </c>
      <c r="E1042" t="n">
        <v>1281216</v>
      </c>
      <c r="F1042" t="n">
        <v>-1.85</v>
      </c>
      <c r="G1042" t="n">
        <v>4</v>
      </c>
      <c r="H1042" t="n">
        <v>10</v>
      </c>
    </row>
    <row r="1043">
      <c r="A1043" t="inlineStr">
        <is>
          <t>2025-11-19</t>
        </is>
      </c>
      <c r="B1043" t="n">
        <v>468432</v>
      </c>
      <c r="C1043" t="n">
        <v>33400</v>
      </c>
      <c r="D1043" t="n">
        <v>1501832</v>
      </c>
      <c r="E1043" t="n">
        <v>1298535</v>
      </c>
      <c r="F1043" t="n">
        <v>-0.66</v>
      </c>
      <c r="G1043" t="n">
        <v>3</v>
      </c>
      <c r="H1043" t="n">
        <v>7</v>
      </c>
    </row>
    <row r="1044">
      <c r="A1044" t="inlineStr">
        <is>
          <t>2025-11-20</t>
        </is>
      </c>
      <c r="B1044" t="n">
        <v>471392</v>
      </c>
      <c r="C1044" t="n">
        <v>39300</v>
      </c>
      <c r="D1044" t="n">
        <v>1510692</v>
      </c>
      <c r="E1044" t="n">
        <v>1307142</v>
      </c>
      <c r="F1044" t="n">
        <v>-0.08</v>
      </c>
      <c r="G1044" t="n">
        <v>3</v>
      </c>
      <c r="H1044" t="n">
        <v>7</v>
      </c>
    </row>
    <row r="1045">
      <c r="A1045" t="inlineStr">
        <is>
          <t>2025-11-21</t>
        </is>
      </c>
      <c r="B1045" t="n">
        <v>465563</v>
      </c>
      <c r="C1045" t="n">
        <v>52680</v>
      </c>
      <c r="D1045" t="n">
        <v>1518243</v>
      </c>
      <c r="E1045" t="n">
        <v>1314571</v>
      </c>
      <c r="F1045" t="n">
        <v>0</v>
      </c>
      <c r="G1045" t="n">
        <v>3</v>
      </c>
      <c r="H1045" t="n">
        <v>9</v>
      </c>
    </row>
    <row r="1046">
      <c r="A1046" t="inlineStr">
        <is>
          <t>2025-11-24</t>
        </is>
      </c>
      <c r="B1046" t="n">
        <v>502663</v>
      </c>
      <c r="C1046" t="n">
        <v>19605</v>
      </c>
      <c r="D1046" t="n">
        <v>1522268</v>
      </c>
      <c r="E1046" t="n">
        <v>1318164</v>
      </c>
      <c r="F1046" t="n">
        <v>0</v>
      </c>
      <c r="G1046" t="n">
        <v>3</v>
      </c>
      <c r="H1046" t="n">
        <v>9</v>
      </c>
    </row>
    <row r="1047">
      <c r="A1047" t="inlineStr">
        <is>
          <t>2025-11-25</t>
        </is>
      </c>
      <c r="B1047" t="n">
        <v>522263</v>
      </c>
      <c r="C1047" t="n">
        <v>25380</v>
      </c>
      <c r="D1047" t="n">
        <v>1547643</v>
      </c>
      <c r="E1047" t="n">
        <v>1342720</v>
      </c>
      <c r="F1047" t="n">
        <v>0</v>
      </c>
      <c r="G1047" t="n">
        <v>3</v>
      </c>
      <c r="H1047" t="n">
        <v>9</v>
      </c>
    </row>
    <row r="1048">
      <c r="A1048" t="inlineStr">
        <is>
          <t>2025-11-26</t>
        </is>
      </c>
      <c r="B1048" t="n">
        <v>523583</v>
      </c>
      <c r="C1048" t="n">
        <v>13920</v>
      </c>
      <c r="D1048" t="n">
        <v>1537503</v>
      </c>
      <c r="E1048" t="n">
        <v>1332314</v>
      </c>
      <c r="F1048" t="n">
        <v>-0.66</v>
      </c>
      <c r="G1048" t="n">
        <v>4</v>
      </c>
      <c r="H1048" t="n">
        <v>10</v>
      </c>
    </row>
    <row r="1049">
      <c r="A1049" t="inlineStr">
        <is>
          <t>2025-11-27</t>
        </is>
      </c>
      <c r="B1049" t="n">
        <v>518313</v>
      </c>
      <c r="C1049" t="n">
        <v>11610</v>
      </c>
      <c r="D1049" t="n">
        <v>1529923</v>
      </c>
      <c r="E1049" t="n">
        <v>1324327</v>
      </c>
      <c r="F1049" t="n">
        <v>-1.14</v>
      </c>
      <c r="G1049" t="n">
        <v>4</v>
      </c>
      <c r="H1049" t="n">
        <v>10</v>
      </c>
    </row>
    <row r="1050">
      <c r="A1050" t="inlineStr">
        <is>
          <t>2025-11-28</t>
        </is>
      </c>
      <c r="B1050" t="n">
        <v>515943</v>
      </c>
      <c r="C1050" t="n">
        <v>7620</v>
      </c>
      <c r="D1050" t="n">
        <v>1523563</v>
      </c>
      <c r="E1050" t="n">
        <v>1317589</v>
      </c>
      <c r="F1050" t="n">
        <v>-1.56</v>
      </c>
      <c r="G1050" t="n">
        <v>3</v>
      </c>
      <c r="H1050" t="n">
        <v>9</v>
      </c>
    </row>
    <row r="1051">
      <c r="A1051" t="inlineStr">
        <is>
          <t>2025-12-01</t>
        </is>
      </c>
      <c r="B1051" t="n">
        <v>524313</v>
      </c>
      <c r="C1051" t="n">
        <v>1740</v>
      </c>
      <c r="D1051" t="n">
        <v>1526053</v>
      </c>
      <c r="E1051" t="n">
        <v>1320030</v>
      </c>
      <c r="F1051" t="n">
        <v>-1.4</v>
      </c>
      <c r="G1051" t="n">
        <v>4</v>
      </c>
      <c r="H1051" t="n">
        <v>10</v>
      </c>
    </row>
    <row r="1052">
      <c r="A1052" t="inlineStr">
        <is>
          <t>2025-12-02</t>
        </is>
      </c>
      <c r="B1052" t="n">
        <v>526716</v>
      </c>
      <c r="C1052" t="n">
        <v>1600</v>
      </c>
      <c r="D1052" t="n">
        <v>1528316</v>
      </c>
      <c r="E1052" t="n">
        <v>1320572</v>
      </c>
      <c r="F1052" t="n">
        <v>-1.25</v>
      </c>
      <c r="G1052" t="n">
        <v>3</v>
      </c>
      <c r="H1052" t="n">
        <v>9</v>
      </c>
    </row>
    <row r="1053">
      <c r="A1053" t="inlineStr">
        <is>
          <t>2025-12-03</t>
        </is>
      </c>
      <c r="B1053" t="n">
        <v>526716</v>
      </c>
      <c r="C1053" t="n">
        <v>7050</v>
      </c>
      <c r="D1053" t="n">
        <v>1533766</v>
      </c>
      <c r="E1053" t="n">
        <v>1324657</v>
      </c>
      <c r="F1053" t="n">
        <v>-0.9</v>
      </c>
      <c r="G1053" t="n">
        <v>3</v>
      </c>
      <c r="H1053" t="n">
        <v>9</v>
      </c>
    </row>
    <row r="1054">
      <c r="A1054" t="inlineStr">
        <is>
          <t>2025-12-04</t>
        </is>
      </c>
      <c r="B1054" t="n">
        <v>522756</v>
      </c>
      <c r="C1054" t="n">
        <v>11000</v>
      </c>
      <c r="D1054" t="n">
        <v>1533756</v>
      </c>
      <c r="E1054" t="n">
        <v>1324381</v>
      </c>
      <c r="F1054" t="n">
        <v>-0.9</v>
      </c>
      <c r="G1054" t="n">
        <v>3</v>
      </c>
      <c r="H1054" t="n">
        <v>9</v>
      </c>
    </row>
    <row r="1055">
      <c r="A1055" t="inlineStr">
        <is>
          <t>2025-12-05</t>
        </is>
      </c>
      <c r="B1055" t="n">
        <v>541756</v>
      </c>
      <c r="C1055" t="n">
        <v>2420</v>
      </c>
      <c r="D1055" t="n">
        <v>1544176</v>
      </c>
      <c r="E1055" t="n">
        <v>1334313</v>
      </c>
      <c r="F1055" t="n">
        <v>-0.22</v>
      </c>
      <c r="G1055" t="n">
        <v>4</v>
      </c>
      <c r="H1055" t="n">
        <v>10</v>
      </c>
    </row>
    <row r="1056">
      <c r="A1056" t="inlineStr">
        <is>
          <t>2025-12-08</t>
        </is>
      </c>
      <c r="B1056" t="n">
        <v>552196</v>
      </c>
      <c r="C1056" t="n">
        <v>-20580</v>
      </c>
      <c r="D1056" t="n">
        <v>1531616</v>
      </c>
      <c r="E1056" t="n">
        <v>1321486</v>
      </c>
      <c r="F1056" t="n">
        <v>-1.04</v>
      </c>
      <c r="G1056" t="n">
        <v>4</v>
      </c>
      <c r="H1056" t="n">
        <v>10</v>
      </c>
    </row>
    <row r="1057">
      <c r="A1057" t="inlineStr">
        <is>
          <t>2025-12-09</t>
        </is>
      </c>
      <c r="B1057" t="n">
        <v>527480</v>
      </c>
      <c r="C1057" t="n">
        <v>10530</v>
      </c>
      <c r="D1057" t="n">
        <v>1538010</v>
      </c>
      <c r="E1057" t="n">
        <v>1326915</v>
      </c>
      <c r="F1057" t="n">
        <v>-0.62</v>
      </c>
      <c r="G1057" t="n">
        <v>4</v>
      </c>
      <c r="H1057" t="n">
        <v>10</v>
      </c>
    </row>
    <row r="1058">
      <c r="A1058" t="inlineStr">
        <is>
          <t>2025-12-10</t>
        </is>
      </c>
      <c r="B1058" t="n">
        <v>533430</v>
      </c>
      <c r="C1058" t="n">
        <v>-2800</v>
      </c>
      <c r="D1058" t="n">
        <v>1530630</v>
      </c>
      <c r="E1058" t="n">
        <v>1319153</v>
      </c>
      <c r="F1058" t="n">
        <v>-1.1</v>
      </c>
      <c r="G1058" t="n">
        <v>4</v>
      </c>
      <c r="H1058" t="n">
        <v>10</v>
      </c>
    </row>
    <row r="1059">
      <c r="A1059" t="inlineStr">
        <is>
          <t>2025-12-11</t>
        </is>
      </c>
      <c r="B1059" t="n">
        <v>543820</v>
      </c>
      <c r="C1059" t="n">
        <v>-8310</v>
      </c>
      <c r="D1059" t="n">
        <v>1535510</v>
      </c>
      <c r="E1059" t="n">
        <v>1322914</v>
      </c>
      <c r="F1059" t="n">
        <v>-0.78</v>
      </c>
      <c r="G1059" t="n">
        <v>4</v>
      </c>
      <c r="H1059" t="n">
        <v>10</v>
      </c>
    </row>
    <row r="1060">
      <c r="A1060" t="inlineStr">
        <is>
          <t>2025-12-12</t>
        </is>
      </c>
      <c r="B1060" t="n">
        <v>550060</v>
      </c>
      <c r="C1060" t="n">
        <v>-9440</v>
      </c>
      <c r="D1060" t="n">
        <v>1540620</v>
      </c>
      <c r="E1060" t="n">
        <v>1327415</v>
      </c>
      <c r="F1060" t="n">
        <v>-0.45</v>
      </c>
      <c r="G1060" t="n">
        <v>4</v>
      </c>
      <c r="H1060" t="n">
        <v>10</v>
      </c>
    </row>
    <row r="1061">
      <c r="A1061" t="inlineStr">
        <is>
          <t>2025-12-15</t>
        </is>
      </c>
      <c r="B1061" t="n">
        <v>550060</v>
      </c>
      <c r="C1061" t="n">
        <v>-20505</v>
      </c>
      <c r="D1061" t="n">
        <v>1529555</v>
      </c>
      <c r="E1061" t="n">
        <v>1316350</v>
      </c>
      <c r="F1061" t="n">
        <v>-1.17</v>
      </c>
      <c r="G1061" t="n">
        <v>4</v>
      </c>
      <c r="H1061" t="n">
        <v>10</v>
      </c>
    </row>
    <row r="1062">
      <c r="A1062" t="inlineStr">
        <is>
          <t>2025-12-16</t>
        </is>
      </c>
      <c r="B1062" t="n">
        <v>550371</v>
      </c>
      <c r="C1062" t="n">
        <v>-34940</v>
      </c>
      <c r="D1062" t="n">
        <v>1515431</v>
      </c>
      <c r="E1062" t="n">
        <v>1300896</v>
      </c>
      <c r="F1062" t="n">
        <v>-2.08</v>
      </c>
      <c r="G1062" t="n">
        <v>2</v>
      </c>
      <c r="H1062" t="n">
        <v>6</v>
      </c>
    </row>
    <row r="1063">
      <c r="A1063" t="inlineStr">
        <is>
          <t>2025-12-17</t>
        </is>
      </c>
      <c r="B1063" t="n">
        <v>530237</v>
      </c>
      <c r="C1063" t="n">
        <v>-19740</v>
      </c>
      <c r="D1063" t="n">
        <v>1510497</v>
      </c>
      <c r="E1063" t="n">
        <v>1295863</v>
      </c>
      <c r="F1063" t="n">
        <v>-2.4</v>
      </c>
      <c r="G1063" t="n">
        <v>3</v>
      </c>
      <c r="H1063" t="n">
        <v>9</v>
      </c>
    </row>
    <row r="1064">
      <c r="A1064" t="inlineStr">
        <is>
          <t>2025-12-18</t>
        </is>
      </c>
      <c r="B1064" t="n">
        <v>501526</v>
      </c>
      <c r="C1064" t="n">
        <v>-3760</v>
      </c>
      <c r="D1064" t="n">
        <v>1497766</v>
      </c>
      <c r="E1064" t="n">
        <v>1282245</v>
      </c>
      <c r="F1064" t="n">
        <v>-3.22</v>
      </c>
      <c r="G1064" t="n">
        <v>4</v>
      </c>
      <c r="H1064" t="n">
        <v>10</v>
      </c>
    </row>
    <row r="1065">
      <c r="A1065" t="inlineStr">
        <is>
          <t>2025-12-19</t>
        </is>
      </c>
      <c r="B1065" t="n">
        <v>501781</v>
      </c>
      <c r="C1065" t="n">
        <v>3200</v>
      </c>
      <c r="D1065" t="n">
        <v>1504981</v>
      </c>
      <c r="E1065" t="n">
        <v>1289270</v>
      </c>
      <c r="F1065" t="n">
        <v>-2.76</v>
      </c>
      <c r="G1065" t="n">
        <v>3</v>
      </c>
      <c r="H1065" t="n">
        <v>9</v>
      </c>
    </row>
    <row r="1066">
      <c r="A1066" t="inlineStr">
        <is>
          <t>2025-12-22</t>
        </is>
      </c>
      <c r="B1066" t="n">
        <v>509231</v>
      </c>
      <c r="C1066" t="n">
        <v>8490</v>
      </c>
      <c r="D1066" t="n">
        <v>1517721</v>
      </c>
      <c r="E1066" t="n">
        <v>1301864</v>
      </c>
      <c r="F1066" t="n">
        <v>-1.93</v>
      </c>
      <c r="G1066" t="n">
        <v>3</v>
      </c>
      <c r="H1066" t="n">
        <v>9</v>
      </c>
    </row>
    <row r="1067">
      <c r="A1067" t="inlineStr">
        <is>
          <t>2025-12-23</t>
        </is>
      </c>
      <c r="B1067" t="n">
        <v>512831</v>
      </c>
      <c r="C1067" t="n">
        <v>-520</v>
      </c>
      <c r="D1067" t="n">
        <v>1512311</v>
      </c>
      <c r="E1067" t="n">
        <v>1295613</v>
      </c>
      <c r="F1067" t="n">
        <v>-2.28</v>
      </c>
      <c r="G1067" t="n">
        <v>3</v>
      </c>
      <c r="H1067" t="n">
        <v>9</v>
      </c>
    </row>
    <row r="1068">
      <c r="A1068" t="inlineStr">
        <is>
          <t>2025-12-24</t>
        </is>
      </c>
      <c r="B1068" t="n">
        <v>512831</v>
      </c>
      <c r="C1068" t="n">
        <v>-3670</v>
      </c>
      <c r="D1068" t="n">
        <v>1509161</v>
      </c>
      <c r="E1068" t="n">
        <v>1292463</v>
      </c>
      <c r="F1068" t="n">
        <v>-2.49</v>
      </c>
      <c r="G1068" t="n">
        <v>4</v>
      </c>
      <c r="H1068" t="n">
        <v>10</v>
      </c>
    </row>
    <row r="1069">
      <c r="A1069" t="inlineStr">
        <is>
          <t>2025-12-25</t>
        </is>
      </c>
      <c r="B1069" t="n">
        <v>512831</v>
      </c>
      <c r="C1069" t="n">
        <v>5590</v>
      </c>
      <c r="D1069" t="n">
        <v>1518421</v>
      </c>
      <c r="E1069" t="n">
        <v>1301723</v>
      </c>
      <c r="F1069" t="n">
        <v>-1.89</v>
      </c>
      <c r="G1069" t="n">
        <v>4</v>
      </c>
      <c r="H1069" t="n">
        <v>10</v>
      </c>
    </row>
    <row r="1070">
      <c r="A1070" t="inlineStr">
        <is>
          <t>2025-12-26</t>
        </is>
      </c>
      <c r="B1070" t="n">
        <v>512812</v>
      </c>
      <c r="C1070" t="n">
        <v>6090</v>
      </c>
      <c r="D1070" t="n">
        <v>1518902</v>
      </c>
      <c r="E1070" t="n">
        <v>1300565</v>
      </c>
      <c r="F1070" t="n">
        <v>-1.86</v>
      </c>
      <c r="G1070" t="n">
        <v>2</v>
      </c>
      <c r="H1070" t="n">
        <v>6</v>
      </c>
    </row>
    <row r="1071">
      <c r="A1071" t="inlineStr">
        <is>
          <t>2025-12-29</t>
        </is>
      </c>
      <c r="B1071" t="n">
        <v>512812</v>
      </c>
      <c r="C1071" t="n">
        <v>-2060</v>
      </c>
      <c r="D1071" t="n">
        <v>1510752</v>
      </c>
      <c r="E1071" t="n">
        <v>1292415</v>
      </c>
      <c r="F1071" t="n">
        <v>-2.38</v>
      </c>
      <c r="G1071" t="n">
        <v>2</v>
      </c>
      <c r="H1071" t="n">
        <v>6</v>
      </c>
    </row>
    <row r="1072">
      <c r="A1072" t="inlineStr">
        <is>
          <t>2025-12-30</t>
        </is>
      </c>
      <c r="B1072" t="n">
        <v>533692</v>
      </c>
      <c r="C1072" t="n">
        <v>-9030</v>
      </c>
      <c r="D1072" t="n">
        <v>1524662</v>
      </c>
      <c r="E1072" t="n">
        <v>1305661</v>
      </c>
      <c r="F1072" t="n">
        <v>-1.48</v>
      </c>
      <c r="G1072" t="n">
        <v>2</v>
      </c>
      <c r="H1072" t="n">
        <v>6</v>
      </c>
    </row>
    <row r="1073">
      <c r="A1073" t="inlineStr">
        <is>
          <t>2025-12-31</t>
        </is>
      </c>
      <c r="B1073" t="n">
        <v>521092</v>
      </c>
      <c r="C1073" t="n">
        <v>0</v>
      </c>
      <c r="D1073" t="n">
        <v>1521092</v>
      </c>
      <c r="E1073" t="n">
        <v>1301616</v>
      </c>
      <c r="F1073" t="n">
        <v>-1.72</v>
      </c>
      <c r="G1073" t="n">
        <v>2</v>
      </c>
      <c r="H1073" t="n">
        <v>6</v>
      </c>
    </row>
    <row r="1074">
      <c r="A1074" t="inlineStr">
        <is>
          <t>2026-01-05</t>
        </is>
      </c>
      <c r="B1074" t="n">
        <v>521092</v>
      </c>
      <c r="C1074" t="n">
        <v>-1080</v>
      </c>
      <c r="D1074" t="n">
        <v>1520012</v>
      </c>
      <c r="E1074" t="n">
        <v>1300536</v>
      </c>
      <c r="F1074" t="n">
        <v>-1.79</v>
      </c>
      <c r="G1074" t="n">
        <v>2</v>
      </c>
      <c r="H1074" t="n">
        <v>6</v>
      </c>
    </row>
    <row r="1075">
      <c r="A1075" t="inlineStr">
        <is>
          <t>2026-01-06</t>
        </is>
      </c>
      <c r="B1075" t="n">
        <v>521092</v>
      </c>
      <c r="C1075" t="n">
        <v>3660</v>
      </c>
      <c r="D1075" t="n">
        <v>1524752</v>
      </c>
      <c r="E1075" t="n">
        <v>1305276</v>
      </c>
      <c r="F1075" t="n">
        <v>-1.48</v>
      </c>
      <c r="G1075" t="n">
        <v>3</v>
      </c>
      <c r="H1075" t="n">
        <v>9</v>
      </c>
    </row>
    <row r="1076">
      <c r="A1076" t="inlineStr">
        <is>
          <t>2026-01-07</t>
        </is>
      </c>
      <c r="B1076" t="n">
        <v>521092</v>
      </c>
      <c r="C1076" t="n">
        <v>-930</v>
      </c>
      <c r="D1076" t="n">
        <v>1520162</v>
      </c>
      <c r="E1076" t="n">
        <v>1300686</v>
      </c>
      <c r="F1076" t="n">
        <v>-1.78</v>
      </c>
      <c r="G1076" t="n">
        <v>3</v>
      </c>
      <c r="H1076" t="n">
        <v>9</v>
      </c>
    </row>
    <row r="1077">
      <c r="A1077" t="inlineStr">
        <is>
          <t>2026-01-08</t>
        </is>
      </c>
      <c r="B1077" t="n">
        <v>493514</v>
      </c>
      <c r="C1077" t="n">
        <v>-1620</v>
      </c>
      <c r="D1077" t="n">
        <v>1491894</v>
      </c>
      <c r="E1077" t="n">
        <v>1271668</v>
      </c>
      <c r="F1077" t="n">
        <v>-3.6</v>
      </c>
      <c r="G1077" t="n">
        <v>3</v>
      </c>
      <c r="H1077" t="n">
        <v>9</v>
      </c>
    </row>
    <row r="1078">
      <c r="A1078" t="inlineStr">
        <is>
          <t>2026-01-09</t>
        </is>
      </c>
      <c r="B1078" t="n">
        <v>486794</v>
      </c>
      <c r="C1078" t="n">
        <v>6820</v>
      </c>
      <c r="D1078" t="n">
        <v>1493614</v>
      </c>
      <c r="E1078" t="n">
        <v>1273104</v>
      </c>
      <c r="F1078" t="n">
        <v>-3.49</v>
      </c>
      <c r="G1078" t="n">
        <v>4</v>
      </c>
      <c r="H1078" t="n">
        <v>10</v>
      </c>
    </row>
    <row r="1079">
      <c r="A1079" t="inlineStr">
        <is>
          <t>2026-01-12</t>
        </is>
      </c>
      <c r="B1079" t="n">
        <v>491496</v>
      </c>
      <c r="C1079" t="n">
        <v>14060</v>
      </c>
      <c r="D1079" t="n">
        <v>1505556</v>
      </c>
      <c r="E1079" t="n">
        <v>1283986</v>
      </c>
      <c r="F1079" t="n">
        <v>-2.72</v>
      </c>
      <c r="G1079" t="n">
        <v>3</v>
      </c>
      <c r="H1079" t="n">
        <v>9</v>
      </c>
    </row>
    <row r="1080">
      <c r="A1080" t="inlineStr">
        <is>
          <t>2026-01-13</t>
        </is>
      </c>
      <c r="B1080" t="n">
        <v>516476</v>
      </c>
      <c r="C1080" t="n">
        <v>-6925</v>
      </c>
      <c r="D1080" t="n">
        <v>1509551</v>
      </c>
      <c r="E1080" t="n">
        <v>1287927</v>
      </c>
      <c r="F1080" t="n">
        <v>-2.46</v>
      </c>
      <c r="G1080" t="n">
        <v>3</v>
      </c>
      <c r="H1080" t="n">
        <v>9</v>
      </c>
    </row>
    <row r="1081">
      <c r="A1081" t="inlineStr">
        <is>
          <t>2026-01-14</t>
        </is>
      </c>
      <c r="B1081" t="n">
        <v>514151</v>
      </c>
      <c r="C1081" t="n">
        <v>-1980</v>
      </c>
      <c r="D1081" t="n">
        <v>1512171</v>
      </c>
      <c r="E1081" t="n">
        <v>1290360</v>
      </c>
      <c r="F1081" t="n">
        <v>-2.29</v>
      </c>
      <c r="G1081" t="n">
        <v>3</v>
      </c>
      <c r="H1081" t="n">
        <v>9</v>
      </c>
    </row>
    <row r="1082">
      <c r="A1082" t="inlineStr">
        <is>
          <t>2026-01-15</t>
        </is>
      </c>
      <c r="B1082" t="n">
        <v>514151</v>
      </c>
      <c r="C1082" t="n">
        <v>-28780</v>
      </c>
      <c r="D1082" t="n">
        <v>1485371</v>
      </c>
      <c r="E1082" t="n">
        <v>1263560</v>
      </c>
      <c r="F1082" t="n">
        <v>-4.02</v>
      </c>
      <c r="G1082" t="n">
        <v>4</v>
      </c>
      <c r="H1082" t="n">
        <v>10</v>
      </c>
    </row>
    <row r="1083">
      <c r="A1083" t="inlineStr">
        <is>
          <t>2026-01-16</t>
        </is>
      </c>
      <c r="B1083" t="n">
        <v>503051</v>
      </c>
      <c r="C1083" t="n">
        <v>-17810</v>
      </c>
      <c r="D1083" t="n">
        <v>1485241</v>
      </c>
      <c r="E1083" t="n">
        <v>1263193</v>
      </c>
      <c r="F1083" t="n">
        <v>-4.03</v>
      </c>
      <c r="G1083" t="n">
        <v>3</v>
      </c>
      <c r="H1083" t="n">
        <v>7</v>
      </c>
    </row>
    <row r="1084">
      <c r="A1084" t="inlineStr">
        <is>
          <t>2026-01-19</t>
        </is>
      </c>
      <c r="B1084" t="n">
        <v>503051</v>
      </c>
      <c r="C1084" t="n">
        <v>-21690</v>
      </c>
      <c r="D1084" t="n">
        <v>1481361</v>
      </c>
      <c r="E1084" t="n">
        <v>1259313</v>
      </c>
      <c r="F1084" t="n">
        <v>-4.28</v>
      </c>
      <c r="G1084" t="n">
        <v>4</v>
      </c>
      <c r="H1084" t="n">
        <v>10</v>
      </c>
    </row>
    <row r="1085">
      <c r="A1085" t="inlineStr">
        <is>
          <t>2026-01-20</t>
        </is>
      </c>
      <c r="B1085" t="n">
        <v>503371</v>
      </c>
      <c r="C1085" t="n">
        <v>-16340</v>
      </c>
      <c r="D1085" t="n">
        <v>1487031</v>
      </c>
      <c r="E1085" t="n">
        <v>1264593</v>
      </c>
      <c r="F1085" t="n">
        <v>-3.92</v>
      </c>
      <c r="G1085" t="n">
        <v>4</v>
      </c>
      <c r="H1085" t="n">
        <v>10</v>
      </c>
    </row>
    <row r="1086">
      <c r="A1086" t="inlineStr">
        <is>
          <t>2026-01-21</t>
        </is>
      </c>
      <c r="B1086" t="n">
        <v>503371</v>
      </c>
      <c r="C1086" t="n">
        <v>-13460</v>
      </c>
      <c r="D1086" t="n">
        <v>1489911</v>
      </c>
      <c r="E1086" t="n">
        <v>1267473</v>
      </c>
      <c r="F1086" t="n">
        <v>-3.73</v>
      </c>
      <c r="G1086" t="n">
        <v>4</v>
      </c>
      <c r="H1086" t="n">
        <v>10</v>
      </c>
    </row>
    <row r="1087">
      <c r="A1087" t="inlineStr">
        <is>
          <t>2026-01-22</t>
        </is>
      </c>
      <c r="B1087" t="n">
        <v>502981</v>
      </c>
      <c r="C1087" t="n">
        <v>660</v>
      </c>
      <c r="D1087" t="n">
        <v>1503641</v>
      </c>
      <c r="E1087" t="n">
        <v>1280913</v>
      </c>
      <c r="F1087" t="n">
        <v>-2.84</v>
      </c>
      <c r="G1087" t="n">
        <v>4</v>
      </c>
      <c r="H1087" t="n">
        <v>10</v>
      </c>
    </row>
    <row r="1088">
      <c r="A1088" t="inlineStr">
        <is>
          <t>2026-01-23</t>
        </is>
      </c>
      <c r="B1088" t="n">
        <v>509461</v>
      </c>
      <c r="C1088" t="n">
        <v>680</v>
      </c>
      <c r="D1088" t="n">
        <v>1510141</v>
      </c>
      <c r="E1088" t="n">
        <v>1287324</v>
      </c>
      <c r="F1088" t="n">
        <v>-2.42</v>
      </c>
      <c r="G1088" t="n">
        <v>3</v>
      </c>
      <c r="H1088" t="n">
        <v>9</v>
      </c>
    </row>
    <row r="1089">
      <c r="A1089" t="inlineStr">
        <is>
          <t>2026-01-26</t>
        </is>
      </c>
      <c r="B1089" t="n">
        <v>509461</v>
      </c>
      <c r="C1089" t="n">
        <v>14920</v>
      </c>
      <c r="D1089" t="n">
        <v>1524381</v>
      </c>
      <c r="E1089" t="n">
        <v>1301564</v>
      </c>
      <c r="F1089" t="n">
        <v>-1.5</v>
      </c>
      <c r="G1089" t="n">
        <v>4</v>
      </c>
      <c r="H1089" t="n">
        <v>10</v>
      </c>
    </row>
    <row r="1090">
      <c r="A1090" t="inlineStr">
        <is>
          <t>2026-01-27</t>
        </is>
      </c>
      <c r="B1090" t="n">
        <v>509461</v>
      </c>
      <c r="C1090" t="n">
        <v>19440</v>
      </c>
      <c r="D1090" t="n">
        <v>1528901</v>
      </c>
      <c r="E1090" t="n">
        <v>1306084</v>
      </c>
      <c r="F1090" t="n">
        <v>-1.21</v>
      </c>
      <c r="G1090" t="n">
        <v>4</v>
      </c>
      <c r="H1090" t="n">
        <v>10</v>
      </c>
    </row>
    <row r="1091">
      <c r="A1091" t="inlineStr">
        <is>
          <t>2026-01-28</t>
        </is>
      </c>
      <c r="B1091" t="n">
        <v>509461</v>
      </c>
      <c r="C1091" t="n">
        <v>57740</v>
      </c>
      <c r="D1091" t="n">
        <v>1567201</v>
      </c>
      <c r="E1091" t="n">
        <v>1344384</v>
      </c>
      <c r="F1091" t="n">
        <v>0</v>
      </c>
      <c r="G1091" t="n">
        <v>4</v>
      </c>
      <c r="H1091" t="n">
        <v>10</v>
      </c>
    </row>
    <row r="1092">
      <c r="A1092" t="inlineStr">
        <is>
          <t>2026-01-29</t>
        </is>
      </c>
      <c r="B1092" t="n">
        <v>513541</v>
      </c>
      <c r="C1092" t="n">
        <v>68540</v>
      </c>
      <c r="D1092" t="n">
        <v>1582081</v>
      </c>
      <c r="E1092" t="n">
        <v>1359183</v>
      </c>
      <c r="F1092" t="n">
        <v>0</v>
      </c>
      <c r="G1092" t="n">
        <v>4</v>
      </c>
      <c r="H1092" t="n">
        <v>10</v>
      </c>
    </row>
    <row r="1093">
      <c r="A1093" t="inlineStr">
        <is>
          <t>2026-01-30</t>
        </is>
      </c>
      <c r="B1093" t="n">
        <v>535941</v>
      </c>
      <c r="C1093" t="n">
        <v>18700</v>
      </c>
      <c r="D1093" t="n">
        <v>1554641</v>
      </c>
      <c r="E1093" t="n">
        <v>1331494</v>
      </c>
      <c r="F1093" t="n">
        <v>-1.73</v>
      </c>
      <c r="G1093" t="n">
        <v>3</v>
      </c>
      <c r="H1093" t="n">
        <v>7</v>
      </c>
    </row>
    <row r="1094">
      <c r="A1094" t="inlineStr">
        <is>
          <t>2026-02-02</t>
        </is>
      </c>
      <c r="B1094" t="n">
        <v>539593</v>
      </c>
      <c r="C1094" t="n">
        <v>-10600</v>
      </c>
      <c r="D1094" t="n">
        <v>1528993</v>
      </c>
      <c r="E1094" t="n">
        <v>1305228</v>
      </c>
      <c r="F1094" t="n">
        <v>-3.36</v>
      </c>
      <c r="G1094" t="n">
        <v>3</v>
      </c>
      <c r="H1094" t="n">
        <v>9</v>
      </c>
    </row>
    <row r="1095">
      <c r="A1095" t="inlineStr">
        <is>
          <t>2026-02-03</t>
        </is>
      </c>
      <c r="B1095" t="n">
        <v>539593</v>
      </c>
      <c r="C1095" t="n">
        <v>5070</v>
      </c>
      <c r="D1095" t="n">
        <v>1544663</v>
      </c>
      <c r="E1095" t="n">
        <v>1320898</v>
      </c>
      <c r="F1095" t="n">
        <v>-2.37</v>
      </c>
      <c r="G1095" t="n">
        <v>3</v>
      </c>
      <c r="H1095" t="n">
        <v>9</v>
      </c>
    </row>
    <row r="1096">
      <c r="A1096" t="inlineStr">
        <is>
          <t>2026-02-04</t>
        </is>
      </c>
      <c r="B1096" t="n">
        <v>543793</v>
      </c>
      <c r="C1096" t="n">
        <v>5150</v>
      </c>
      <c r="D1096" t="n">
        <v>1548943</v>
      </c>
      <c r="E1096" t="n">
        <v>1324696</v>
      </c>
      <c r="F1096" t="n">
        <v>-2.09</v>
      </c>
      <c r="G1096" t="n">
        <v>3</v>
      </c>
      <c r="H1096" t="n">
        <v>9</v>
      </c>
    </row>
    <row r="1097">
      <c r="A1097" t="inlineStr">
        <is>
          <t>2026-02-05</t>
        </is>
      </c>
      <c r="B1097" t="n">
        <v>552543</v>
      </c>
      <c r="C1097" t="n">
        <v>-13960</v>
      </c>
      <c r="D1097" t="n">
        <v>1538583</v>
      </c>
      <c r="E1097" t="n">
        <v>1313540</v>
      </c>
      <c r="F1097" t="n">
        <v>-2.75</v>
      </c>
      <c r="G1097" t="n">
        <v>2</v>
      </c>
      <c r="H1097" t="n">
        <v>6</v>
      </c>
    </row>
    <row r="1098">
      <c r="A1098" t="inlineStr">
        <is>
          <t>2026-02-06</t>
        </is>
      </c>
      <c r="B1098" t="n">
        <v>552543</v>
      </c>
      <c r="C1098" t="n">
        <v>-17720</v>
      </c>
      <c r="D1098" t="n">
        <v>1534823</v>
      </c>
      <c r="E1098" t="n">
        <v>1309780</v>
      </c>
      <c r="F1098" t="n">
        <v>-2.99</v>
      </c>
      <c r="G1098" t="n">
        <v>3</v>
      </c>
      <c r="H1098" t="n">
        <v>9</v>
      </c>
    </row>
    <row r="1099">
      <c r="A1099" t="inlineStr">
        <is>
          <t>2026-02-09</t>
        </is>
      </c>
      <c r="B1099" t="n">
        <v>552543</v>
      </c>
      <c r="C1099" t="n">
        <v>-20100</v>
      </c>
      <c r="D1099" t="n">
        <v>1532443</v>
      </c>
      <c r="E1099" t="n">
        <v>1307400</v>
      </c>
      <c r="F1099" t="n">
        <v>-3.14</v>
      </c>
      <c r="G1099" t="n">
        <v>3</v>
      </c>
      <c r="H1099" t="n">
        <v>9</v>
      </c>
    </row>
    <row r="1100">
      <c r="A1100" t="inlineStr">
        <is>
          <t>2026-02-10</t>
        </is>
      </c>
      <c r="B1100" t="n">
        <v>552543</v>
      </c>
      <c r="C1100" t="n">
        <v>-11620</v>
      </c>
      <c r="D1100" t="n">
        <v>1540923</v>
      </c>
      <c r="E1100" t="n">
        <v>1315880</v>
      </c>
      <c r="F1100" t="n">
        <v>-2.6</v>
      </c>
      <c r="G1100" t="n">
        <v>3</v>
      </c>
      <c r="H1100" t="n">
        <v>9</v>
      </c>
    </row>
    <row r="1101">
      <c r="A1101" t="inlineStr">
        <is>
          <t>2026-02-11</t>
        </is>
      </c>
      <c r="B1101" t="n">
        <v>561043</v>
      </c>
      <c r="C1101" t="n">
        <v>-15600</v>
      </c>
      <c r="D1101" t="n">
        <v>1545443</v>
      </c>
      <c r="E1101" t="n">
        <v>1319615</v>
      </c>
      <c r="F1101" t="n">
        <v>-2.32</v>
      </c>
      <c r="G1101" t="n">
        <v>4</v>
      </c>
      <c r="H1101" t="n">
        <v>10</v>
      </c>
    </row>
    <row r="1102">
      <c r="A1102" t="inlineStr">
        <is>
          <t>2026-02-12</t>
        </is>
      </c>
      <c r="B1102" t="n">
        <v>561043</v>
      </c>
      <c r="C1102" t="n">
        <v>-21430</v>
      </c>
      <c r="D1102" t="n">
        <v>1539613</v>
      </c>
      <c r="E1102" t="n">
        <v>1313785</v>
      </c>
      <c r="F1102" t="n">
        <v>-2.68</v>
      </c>
      <c r="G1102" t="n">
        <v>4</v>
      </c>
      <c r="H1102" t="n">
        <v>10</v>
      </c>
    </row>
    <row r="1103">
      <c r="A1103" t="inlineStr">
        <is>
          <t>2026-02-13</t>
        </is>
      </c>
      <c r="B1103" t="n">
        <v>558393</v>
      </c>
      <c r="C1103" t="n">
        <v>-28000</v>
      </c>
      <c r="D1103" t="n">
        <v>1530393</v>
      </c>
      <c r="E1103" t="n">
        <v>1304503</v>
      </c>
      <c r="F1103" t="n">
        <v>-3.27</v>
      </c>
      <c r="G1103" t="n">
        <v>3</v>
      </c>
      <c r="H1103" t="n">
        <v>9</v>
      </c>
    </row>
    <row r="1104">
      <c r="A1104" t="inlineStr">
        <is>
          <t>2026-02-24</t>
        </is>
      </c>
      <c r="B1104" t="n">
        <v>561773</v>
      </c>
      <c r="C1104" t="n">
        <v>12560</v>
      </c>
      <c r="D1104" t="n">
        <v>1574333</v>
      </c>
      <c r="E1104" t="n">
        <v>1348149</v>
      </c>
      <c r="F1104" t="n">
        <v>-0.49</v>
      </c>
      <c r="G1104" t="n">
        <v>4</v>
      </c>
      <c r="H1104" t="n">
        <v>10</v>
      </c>
    </row>
    <row r="1105">
      <c r="A1105" t="inlineStr">
        <is>
          <t>2026-02-25</t>
        </is>
      </c>
      <c r="B1105" t="n">
        <v>585248</v>
      </c>
      <c r="C1105" t="n">
        <v>-12860</v>
      </c>
      <c r="D1105" t="n">
        <v>1572388</v>
      </c>
      <c r="E1105" t="n">
        <v>1345558</v>
      </c>
      <c r="F1105" t="n">
        <v>-0.61</v>
      </c>
      <c r="G1105" t="n">
        <v>3</v>
      </c>
      <c r="H1105" t="n">
        <v>7</v>
      </c>
    </row>
    <row r="1106">
      <c r="A1106" t="inlineStr">
        <is>
          <t>2026-02-26</t>
        </is>
      </c>
      <c r="B1106" t="n">
        <v>594048</v>
      </c>
      <c r="C1106" t="n">
        <v>-11880</v>
      </c>
      <c r="D1106" t="n">
        <v>1582168</v>
      </c>
      <c r="E1106" t="n">
        <v>1354833</v>
      </c>
      <c r="F1106" t="n">
        <v>0</v>
      </c>
      <c r="G1106" t="n">
        <v>4</v>
      </c>
      <c r="H1106" t="n">
        <v>10</v>
      </c>
    </row>
    <row r="1107">
      <c r="A1107" t="inlineStr">
        <is>
          <t>2026-02-27</t>
        </is>
      </c>
      <c r="B1107" t="n">
        <v>594048</v>
      </c>
      <c r="C1107" t="n">
        <v>-14540</v>
      </c>
      <c r="D1107" t="n">
        <v>1579508</v>
      </c>
      <c r="E1107" t="n">
        <v>1352173</v>
      </c>
      <c r="F1107" t="n">
        <v>-0.17</v>
      </c>
      <c r="G1107" t="n">
        <v>4</v>
      </c>
      <c r="H1107" t="n">
        <v>10</v>
      </c>
    </row>
    <row r="1108">
      <c r="A1108" t="inlineStr">
        <is>
          <t>2026-03-02</t>
        </is>
      </c>
      <c r="B1108" t="n">
        <v>561739</v>
      </c>
      <c r="C1108" t="n">
        <v>3560</v>
      </c>
      <c r="D1108" t="n">
        <v>1565299</v>
      </c>
      <c r="E1108" t="n">
        <v>1337472</v>
      </c>
      <c r="F1108" t="n">
        <v>-1.07</v>
      </c>
      <c r="G1108" t="n">
        <v>4</v>
      </c>
      <c r="H1108" t="n">
        <v>10</v>
      </c>
    </row>
    <row r="1109">
      <c r="A1109" t="inlineStr">
        <is>
          <t>2026-03-03</t>
        </is>
      </c>
      <c r="B1109" t="n">
        <v>556439</v>
      </c>
      <c r="C1109" t="n">
        <v>7460</v>
      </c>
      <c r="D1109" t="n">
        <v>1563899</v>
      </c>
      <c r="E1109" t="n">
        <v>1335173</v>
      </c>
      <c r="F1109" t="n">
        <v>-1.15</v>
      </c>
      <c r="G1109" t="n">
        <v>2</v>
      </c>
      <c r="H1109" t="n">
        <v>4</v>
      </c>
    </row>
    <row r="1110">
      <c r="A1110" t="inlineStr">
        <is>
          <t>2026-03-04</t>
        </is>
      </c>
      <c r="B1110" t="n">
        <v>573679</v>
      </c>
      <c r="C1110" t="n">
        <v>-4200</v>
      </c>
      <c r="D1110" t="n">
        <v>1569479</v>
      </c>
      <c r="E1110" t="n">
        <v>1340642</v>
      </c>
      <c r="F1110" t="n">
        <v>-0.8</v>
      </c>
      <c r="G1110" t="n">
        <v>1</v>
      </c>
      <c r="H1110" t="n">
        <v>1</v>
      </c>
    </row>
    <row r="1111">
      <c r="A1111" t="inlineStr">
        <is>
          <t>2026-03-05</t>
        </is>
      </c>
      <c r="B1111" t="n">
        <v>569079</v>
      </c>
      <c r="C1111" t="n">
        <v>0</v>
      </c>
      <c r="D1111" t="n">
        <v>1569079</v>
      </c>
      <c r="E1111" t="n">
        <v>1340012</v>
      </c>
      <c r="F1111" t="n">
        <v>-0.83</v>
      </c>
      <c r="G1111" t="n">
        <v>2</v>
      </c>
      <c r="H1111" t="n">
        <v>6</v>
      </c>
    </row>
    <row r="1112">
      <c r="A1112" t="inlineStr">
        <is>
          <t>2026-03-06</t>
        </is>
      </c>
      <c r="B1112" t="n">
        <v>569079</v>
      </c>
      <c r="C1112" t="n">
        <v>30850</v>
      </c>
      <c r="D1112" t="n">
        <v>1599929</v>
      </c>
      <c r="E1112" t="n">
        <v>1370862</v>
      </c>
      <c r="F1112" t="n">
        <v>0</v>
      </c>
      <c r="G1112" t="n">
        <v>3</v>
      </c>
      <c r="H1112" t="n">
        <v>9</v>
      </c>
    </row>
    <row r="1113">
      <c r="A1113" t="inlineStr">
        <is>
          <t>2026-03-09</t>
        </is>
      </c>
      <c r="B1113" t="n">
        <v>613479</v>
      </c>
      <c r="C1113" t="n">
        <v>37560</v>
      </c>
      <c r="D1113" t="n">
        <v>1651039</v>
      </c>
      <c r="E1113" t="n">
        <v>1421287</v>
      </c>
      <c r="F1113" t="n">
        <v>0</v>
      </c>
      <c r="G1113" t="n">
        <v>3</v>
      </c>
      <c r="H1113" t="n">
        <v>9</v>
      </c>
    </row>
    <row r="1114">
      <c r="A1114" t="inlineStr">
        <is>
          <t>2026-03-10</t>
        </is>
      </c>
      <c r="B1114" t="n">
        <v>631079</v>
      </c>
      <c r="C1114" t="n">
        <v>-11770</v>
      </c>
      <c r="D1114" t="n">
        <v>1619309</v>
      </c>
      <c r="E1114" t="n">
        <v>1389305</v>
      </c>
      <c r="F1114" t="n">
        <v>-1.92</v>
      </c>
      <c r="G1114" t="n">
        <v>2</v>
      </c>
      <c r="H1114" t="n">
        <v>6</v>
      </c>
    </row>
    <row r="1115">
      <c r="A1115" t="inlineStr">
        <is>
          <t>2026-03-11</t>
        </is>
      </c>
      <c r="B1115" t="n">
        <v>633024</v>
      </c>
      <c r="C1115" t="n">
        <v>0</v>
      </c>
      <c r="D1115" t="n">
        <v>1633024</v>
      </c>
      <c r="E1115" t="n">
        <v>1402431</v>
      </c>
      <c r="F1115" t="n">
        <v>-1.09</v>
      </c>
      <c r="G1115" t="n">
        <v>4</v>
      </c>
      <c r="H1115" t="n">
        <v>10</v>
      </c>
    </row>
    <row r="1116">
      <c r="A1116" t="inlineStr">
        <is>
          <t>2026-03-12</t>
        </is>
      </c>
      <c r="B1116" t="n">
        <v>633024</v>
      </c>
      <c r="C1116" t="n">
        <v>-6765</v>
      </c>
      <c r="D1116" t="n">
        <v>1626259</v>
      </c>
      <c r="E1116" t="n">
        <v>1395666</v>
      </c>
      <c r="F1116" t="n">
        <v>-1.5</v>
      </c>
      <c r="G1116" t="n">
        <v>4</v>
      </c>
      <c r="H1116" t="n">
        <v>10</v>
      </c>
    </row>
    <row r="1117">
      <c r="A1117" t="inlineStr">
        <is>
          <t>2026-03-13</t>
        </is>
      </c>
      <c r="B1117" t="n">
        <v>633024</v>
      </c>
      <c r="C1117" t="n">
        <v>1580</v>
      </c>
      <c r="D1117" t="n">
        <v>1634604</v>
      </c>
      <c r="E1117" t="n">
        <v>1404011</v>
      </c>
      <c r="F1117" t="n">
        <v>-1</v>
      </c>
      <c r="G1117" t="n">
        <v>4</v>
      </c>
      <c r="H1117" t="n">
        <v>10</v>
      </c>
    </row>
    <row r="1118">
      <c r="A1118" t="inlineStr">
        <is>
          <t>2026-03-16</t>
        </is>
      </c>
      <c r="B1118" t="n">
        <v>633024</v>
      </c>
      <c r="C1118" t="n">
        <v>-8030</v>
      </c>
      <c r="D1118" t="n">
        <v>1624994</v>
      </c>
      <c r="E1118" t="n">
        <v>1394401</v>
      </c>
      <c r="F1118" t="n">
        <v>-1.58</v>
      </c>
      <c r="G1118" t="n">
        <v>4</v>
      </c>
      <c r="H1118" t="n">
        <v>10</v>
      </c>
    </row>
    <row r="1119">
      <c r="A1119" t="inlineStr">
        <is>
          <t>2026-03-17</t>
        </is>
      </c>
      <c r="B1119" t="n">
        <v>615949</v>
      </c>
      <c r="C1119" t="n">
        <v>2150</v>
      </c>
      <c r="D1119" t="n">
        <v>1618099</v>
      </c>
      <c r="E1119" t="n">
        <v>1387090</v>
      </c>
      <c r="F1119" t="n">
        <v>-2</v>
      </c>
      <c r="G1119" t="n">
        <v>4</v>
      </c>
      <c r="H1119" t="n">
        <v>10</v>
      </c>
    </row>
    <row r="1120">
      <c r="A1120" t="inlineStr">
        <is>
          <t>2026-03-18</t>
        </is>
      </c>
      <c r="B1120" t="n">
        <v>630649</v>
      </c>
      <c r="C1120" t="n">
        <v>-4750</v>
      </c>
      <c r="D1120" t="n">
        <v>1625899</v>
      </c>
      <c r="E1120" t="n">
        <v>1394232</v>
      </c>
      <c r="F1120" t="n">
        <v>-1.52</v>
      </c>
      <c r="G1120" t="n">
        <v>3</v>
      </c>
      <c r="H1120" t="n">
        <v>9</v>
      </c>
    </row>
    <row r="1121">
      <c r="A1121" t="inlineStr">
        <is>
          <t>2026-03-19</t>
        </is>
      </c>
      <c r="B1121" t="n">
        <v>655549</v>
      </c>
      <c r="C1121" t="n">
        <v>-7875</v>
      </c>
      <c r="D1121" t="n">
        <v>1647674</v>
      </c>
      <c r="E1121" t="n">
        <v>1415857</v>
      </c>
      <c r="F1121" t="n">
        <v>-0.2</v>
      </c>
      <c r="G1121" t="n">
        <v>4</v>
      </c>
      <c r="H1121" t="n">
        <v>10</v>
      </c>
    </row>
    <row r="1122">
      <c r="A1122" t="inlineStr">
        <is>
          <t>2026-03-20</t>
        </is>
      </c>
      <c r="B1122" t="n">
        <v>621799</v>
      </c>
      <c r="C1122" t="n">
        <v>4975</v>
      </c>
      <c r="D1122" t="n">
        <v>1626774</v>
      </c>
      <c r="E1122" t="n">
        <v>1394743</v>
      </c>
      <c r="F1122" t="n">
        <v>-1.47</v>
      </c>
      <c r="G1122" t="n">
        <v>3</v>
      </c>
      <c r="H1122" t="n">
        <v>9</v>
      </c>
    </row>
    <row r="1123">
      <c r="A1123" t="inlineStr">
        <is>
          <t>2026-03-23</t>
        </is>
      </c>
      <c r="B1123" t="n">
        <v>624779</v>
      </c>
      <c r="C1123" t="n">
        <v>11310</v>
      </c>
      <c r="D1123" t="n">
        <v>1636089</v>
      </c>
      <c r="E1123" t="n">
        <v>1404007</v>
      </c>
      <c r="F1123" t="n">
        <v>-0.91</v>
      </c>
      <c r="G1123" t="n">
        <v>4</v>
      </c>
      <c r="H1123" t="n">
        <v>10</v>
      </c>
    </row>
    <row r="1124">
      <c r="A1124" t="inlineStr">
        <is>
          <t>2026-03-24</t>
        </is>
      </c>
      <c r="B1124" t="n">
        <v>622679</v>
      </c>
      <c r="C1124" t="n">
        <v>-4545</v>
      </c>
      <c r="D1124" t="n">
        <v>1618134</v>
      </c>
      <c r="E1124" t="n">
        <v>1385910</v>
      </c>
      <c r="F1124" t="n">
        <v>-1.99</v>
      </c>
      <c r="G1124" t="n">
        <v>3</v>
      </c>
      <c r="H1124" t="n">
        <v>9</v>
      </c>
    </row>
    <row r="1125">
      <c r="A1125" t="inlineStr">
        <is>
          <t>2026-03-25</t>
        </is>
      </c>
      <c r="B1125" t="n">
        <v>627054</v>
      </c>
      <c r="C1125" t="n">
        <v>-14630</v>
      </c>
      <c r="D1125" t="n">
        <v>1612424</v>
      </c>
      <c r="E1125" t="n">
        <v>1379892</v>
      </c>
      <c r="F1125" t="n">
        <v>-2.34</v>
      </c>
      <c r="G1125" t="n">
        <v>2</v>
      </c>
      <c r="H1125" t="n">
        <v>6</v>
      </c>
    </row>
    <row r="1126">
      <c r="A1126" t="inlineStr">
        <is>
          <t>2026-03-26</t>
        </is>
      </c>
      <c r="B1126" t="n">
        <v>620784</v>
      </c>
      <c r="C1126" t="n">
        <v>-11000</v>
      </c>
      <c r="D1126" t="n">
        <v>1609784</v>
      </c>
      <c r="E1126" t="n">
        <v>1376482</v>
      </c>
      <c r="F1126" t="n">
        <v>-2.5</v>
      </c>
      <c r="G1126" t="n">
        <v>2</v>
      </c>
      <c r="H1126" t="n">
        <v>6</v>
      </c>
    </row>
    <row r="1127">
      <c r="A1127" t="inlineStr">
        <is>
          <t>2026-03-27</t>
        </is>
      </c>
      <c r="B1127" t="n">
        <v>620784</v>
      </c>
      <c r="C1127" t="n">
        <v>-12560</v>
      </c>
      <c r="D1127" t="n">
        <v>1608224</v>
      </c>
      <c r="E1127" t="n">
        <v>1374922</v>
      </c>
      <c r="F1127" t="n">
        <v>-2.59</v>
      </c>
      <c r="G1127" t="n">
        <v>3</v>
      </c>
      <c r="H1127" t="n">
        <v>9</v>
      </c>
    </row>
    <row r="1128">
      <c r="A1128" t="inlineStr">
        <is>
          <t>2026-03-30</t>
        </is>
      </c>
      <c r="B1128" t="n">
        <v>597812</v>
      </c>
      <c r="C1128" t="n">
        <v>4620</v>
      </c>
      <c r="D1128" t="n">
        <v>1602432</v>
      </c>
      <c r="E1128" t="n">
        <v>1368144</v>
      </c>
      <c r="F1128" t="n">
        <v>-2.94</v>
      </c>
      <c r="G1128" t="n">
        <v>2</v>
      </c>
      <c r="H1128" t="n">
        <v>6</v>
      </c>
    </row>
    <row r="1129">
      <c r="A1129" t="inlineStr">
        <is>
          <t>2026-03-31</t>
        </is>
      </c>
      <c r="B1129" t="n">
        <v>596652</v>
      </c>
      <c r="C1129" t="n">
        <v>-12240</v>
      </c>
      <c r="D1129" t="n">
        <v>1584412</v>
      </c>
      <c r="E1129" t="n">
        <v>1350031</v>
      </c>
      <c r="F1129" t="n">
        <v>-4.04</v>
      </c>
      <c r="G1129" t="n">
        <v>2</v>
      </c>
      <c r="H1129" t="n">
        <v>6</v>
      </c>
    </row>
    <row r="1130">
      <c r="A1130" t="inlineStr">
        <is>
          <t>2026-04-01</t>
        </is>
      </c>
      <c r="B1130" t="n">
        <v>596652</v>
      </c>
      <c r="C1130" t="n">
        <v>-4740</v>
      </c>
      <c r="D1130" t="n">
        <v>1591912</v>
      </c>
      <c r="E1130" t="n">
        <v>1357531</v>
      </c>
      <c r="F1130" t="n">
        <v>-3.58</v>
      </c>
      <c r="G1130" t="n">
        <v>3</v>
      </c>
      <c r="H1130" t="n">
        <v>9</v>
      </c>
    </row>
    <row r="1131">
      <c r="A1131" t="inlineStr">
        <is>
          <t>2026-04-02</t>
        </is>
      </c>
      <c r="B1131" t="n">
        <v>602102</v>
      </c>
      <c r="C1131" t="n">
        <v>-10300</v>
      </c>
      <c r="D1131" t="n">
        <v>1591802</v>
      </c>
      <c r="E1131" t="n">
        <v>1356864</v>
      </c>
      <c r="F1131" t="n">
        <v>-3.59</v>
      </c>
      <c r="G1131" t="n">
        <v>1</v>
      </c>
      <c r="H1131" t="n">
        <v>3</v>
      </c>
    </row>
    <row r="1132">
      <c r="A1132" t="inlineStr">
        <is>
          <t>2026-04-03</t>
        </is>
      </c>
      <c r="B1132" t="n">
        <v>602102</v>
      </c>
      <c r="C1132" t="n">
        <v>-12620</v>
      </c>
      <c r="D1132" t="n">
        <v>1589482</v>
      </c>
      <c r="E1132" t="n">
        <v>1354544</v>
      </c>
      <c r="F1132" t="n">
        <v>-3.73</v>
      </c>
      <c r="G1132" t="n">
        <v>2</v>
      </c>
      <c r="H1132" t="n">
        <v>6</v>
      </c>
    </row>
    <row r="1133">
      <c r="A1133" t="inlineStr">
        <is>
          <t>2026-04-07</t>
        </is>
      </c>
      <c r="B1133" t="n">
        <v>597732</v>
      </c>
      <c r="C1133" t="n">
        <v>-9620</v>
      </c>
      <c r="D1133" t="n">
        <v>1588112</v>
      </c>
      <c r="E1133" t="n">
        <v>1352663</v>
      </c>
      <c r="F1133" t="n">
        <v>-3.81</v>
      </c>
      <c r="G1133" t="n">
        <v>4</v>
      </c>
      <c r="H1133" t="n">
        <v>10</v>
      </c>
    </row>
    <row r="1134">
      <c r="A1134" t="inlineStr">
        <is>
          <t>2026-04-08</t>
        </is>
      </c>
      <c r="B1134" t="n">
        <v>597732</v>
      </c>
      <c r="C1134" t="n">
        <v>-27100</v>
      </c>
      <c r="D1134" t="n">
        <v>1570632</v>
      </c>
      <c r="E1134" t="n">
        <v>1335183</v>
      </c>
      <c r="F1134" t="n">
        <v>-4.87</v>
      </c>
      <c r="G1134" t="n">
        <v>4</v>
      </c>
      <c r="H1134" t="n">
        <v>10</v>
      </c>
    </row>
    <row r="1135">
      <c r="A1135" t="inlineStr">
        <is>
          <t>2026-04-09</t>
        </is>
      </c>
      <c r="B1135" t="n">
        <v>597732</v>
      </c>
      <c r="C1135" t="n">
        <v>-28420</v>
      </c>
      <c r="D1135" t="n">
        <v>1569312</v>
      </c>
      <c r="E1135" t="n">
        <v>1333863</v>
      </c>
      <c r="F1135" t="n">
        <v>-4.95</v>
      </c>
      <c r="G1135" t="n">
        <v>4</v>
      </c>
      <c r="H1135" t="n">
        <v>10</v>
      </c>
    </row>
    <row r="1136">
      <c r="A1136" t="inlineStr">
        <is>
          <t>2026-04-10</t>
        </is>
      </c>
      <c r="B1136" t="n">
        <v>601692</v>
      </c>
      <c r="C1136" t="n">
        <v>-30660</v>
      </c>
      <c r="D1136" t="n">
        <v>1571032</v>
      </c>
      <c r="E1136" t="n">
        <v>1334828</v>
      </c>
      <c r="F1136" t="n">
        <v>-4.85</v>
      </c>
      <c r="G1136" t="n">
        <v>3</v>
      </c>
      <c r="H1136" t="n">
        <v>7</v>
      </c>
    </row>
    <row r="1137">
      <c r="A1137" t="inlineStr">
        <is>
          <t>2026-04-13</t>
        </is>
      </c>
      <c r="B1137" t="n">
        <v>597612</v>
      </c>
      <c r="C1137" t="n">
        <v>-19800</v>
      </c>
      <c r="D1137" t="n">
        <v>1577812</v>
      </c>
      <c r="E1137" t="n">
        <v>1341469</v>
      </c>
      <c r="F1137" t="n">
        <v>-4.44</v>
      </c>
      <c r="G1137" t="n">
        <v>3</v>
      </c>
      <c r="H1137" t="n">
        <v>9</v>
      </c>
    </row>
    <row r="1138">
      <c r="A1138" t="inlineStr">
        <is>
          <t>2026-04-14</t>
        </is>
      </c>
      <c r="B1138" t="n">
        <v>597612</v>
      </c>
      <c r="C1138" t="n">
        <v>-22860</v>
      </c>
      <c r="D1138" t="n">
        <v>1574752</v>
      </c>
      <c r="E1138" t="n">
        <v>1338409</v>
      </c>
      <c r="F1138" t="n">
        <v>-4.62</v>
      </c>
      <c r="G1138" t="n">
        <v>4</v>
      </c>
      <c r="H1138" t="n">
        <v>10</v>
      </c>
    </row>
    <row r="1139">
      <c r="A1139" t="inlineStr">
        <is>
          <t>2026-04-15</t>
        </is>
      </c>
      <c r="B1139" t="n">
        <v>595792</v>
      </c>
      <c r="C1139" t="n">
        <v>-21300</v>
      </c>
      <c r="D1139" t="n">
        <v>1574492</v>
      </c>
      <c r="E1139" t="n">
        <v>1338092</v>
      </c>
      <c r="F1139" t="n">
        <v>-4.64</v>
      </c>
      <c r="G1139" t="n">
        <v>4</v>
      </c>
      <c r="H1139" t="n">
        <v>10</v>
      </c>
    </row>
    <row r="1140">
      <c r="A1140" t="inlineStr">
        <is>
          <t>2026-04-16</t>
        </is>
      </c>
      <c r="B1140" t="n">
        <v>595792</v>
      </c>
      <c r="C1140" t="n">
        <v>-16640</v>
      </c>
      <c r="D1140" t="n">
        <v>1579152</v>
      </c>
      <c r="E1140" t="n">
        <v>1342752</v>
      </c>
      <c r="F1140" t="n">
        <v>-4.35</v>
      </c>
      <c r="G1140" t="n">
        <v>4</v>
      </c>
      <c r="H1140" t="n">
        <v>10</v>
      </c>
    </row>
    <row r="1141">
      <c r="A1141" t="inlineStr">
        <is>
          <t>2026-04-17</t>
        </is>
      </c>
      <c r="B1141" t="n">
        <v>587392</v>
      </c>
      <c r="C1141" t="n">
        <v>-9610</v>
      </c>
      <c r="D1141" t="n">
        <v>1577782</v>
      </c>
      <c r="E1141" t="n">
        <v>1340498</v>
      </c>
      <c r="F1141" t="n">
        <v>-4.44</v>
      </c>
      <c r="G1141" t="n">
        <v>4</v>
      </c>
      <c r="H1141" t="n">
        <v>10</v>
      </c>
    </row>
    <row r="1142">
      <c r="A1142" t="inlineStr">
        <is>
          <t>2026-04-20</t>
        </is>
      </c>
      <c r="B1142" t="n">
        <v>565972</v>
      </c>
      <c r="C1142" t="n">
        <v>-5100</v>
      </c>
      <c r="D1142" t="n">
        <v>1560872</v>
      </c>
      <c r="E1142" t="n">
        <v>1323343</v>
      </c>
      <c r="F1142" t="n">
        <v>-5.46</v>
      </c>
      <c r="G1142" t="n">
        <v>4</v>
      </c>
      <c r="H1142" t="n">
        <v>10</v>
      </c>
    </row>
    <row r="1143">
      <c r="A1143" t="inlineStr">
        <is>
          <t>2026-04-21</t>
        </is>
      </c>
      <c r="B1143" t="n">
        <v>565972</v>
      </c>
      <c r="C1143" t="n">
        <v>-24200</v>
      </c>
      <c r="D1143" t="n">
        <v>1541772</v>
      </c>
      <c r="E1143" t="n">
        <v>1304243</v>
      </c>
      <c r="F1143" t="n">
        <v>-6.62</v>
      </c>
      <c r="G1143" t="n">
        <v>4</v>
      </c>
      <c r="H1143" t="n">
        <v>10</v>
      </c>
    </row>
    <row r="1144">
      <c r="A1144" t="inlineStr">
        <is>
          <t>2026-04-22</t>
        </is>
      </c>
      <c r="B1144" t="n">
        <v>547445</v>
      </c>
      <c r="C1144" t="n">
        <v>-19600</v>
      </c>
      <c r="D1144" t="n">
        <v>1527845</v>
      </c>
      <c r="E1144" t="n">
        <v>1289220</v>
      </c>
      <c r="F1144" t="n">
        <v>-7.46</v>
      </c>
      <c r="G1144" t="n">
        <v>3</v>
      </c>
      <c r="H1144" t="n">
        <v>9</v>
      </c>
    </row>
    <row r="1145">
      <c r="A1145" t="inlineStr">
        <is>
          <t>2026-04-23</t>
        </is>
      </c>
      <c r="B1145" t="n">
        <v>547445</v>
      </c>
      <c r="C1145" t="n">
        <v>-15910</v>
      </c>
      <c r="D1145" t="n">
        <v>1531535</v>
      </c>
      <c r="E1145" t="n">
        <v>1292910</v>
      </c>
      <c r="F1145" t="n">
        <v>-7.24</v>
      </c>
      <c r="G1145" t="n">
        <v>3</v>
      </c>
      <c r="H1145" t="n">
        <v>9</v>
      </c>
    </row>
    <row r="1146">
      <c r="A1146" t="inlineStr">
        <is>
          <t>2026-04-24</t>
        </is>
      </c>
      <c r="B1146" t="n">
        <v>547445</v>
      </c>
      <c r="C1146" t="n">
        <v>-17910</v>
      </c>
      <c r="D1146" t="n">
        <v>1529535</v>
      </c>
      <c r="E1146" t="n">
        <v>1290910</v>
      </c>
      <c r="F1146" t="n">
        <v>-7.36</v>
      </c>
      <c r="G1146" t="n">
        <v>4</v>
      </c>
      <c r="H1146" t="n">
        <v>10</v>
      </c>
    </row>
    <row r="1147">
      <c r="A1147" t="inlineStr">
        <is>
          <t>2026-04-27</t>
        </is>
      </c>
      <c r="B1147" t="n">
        <v>547445</v>
      </c>
      <c r="C1147" t="n">
        <v>-17170</v>
      </c>
      <c r="D1147" t="n">
        <v>1530275</v>
      </c>
      <c r="E1147" t="n">
        <v>1291650</v>
      </c>
      <c r="F1147" t="n">
        <v>-7.31</v>
      </c>
      <c r="G1147" t="n">
        <v>4</v>
      </c>
      <c r="H1147" t="n">
        <v>10</v>
      </c>
    </row>
    <row r="1148">
      <c r="A1148" t="inlineStr">
        <is>
          <t>2026-04-28</t>
        </is>
      </c>
      <c r="B1148" t="n">
        <v>547445</v>
      </c>
      <c r="C1148" t="n">
        <v>-14470</v>
      </c>
      <c r="D1148" t="n">
        <v>1532975</v>
      </c>
      <c r="E1148" t="n">
        <v>1294350</v>
      </c>
      <c r="F1148" t="n">
        <v>-7.15</v>
      </c>
      <c r="G1148" t="n">
        <v>4</v>
      </c>
      <c r="H1148" t="n">
        <v>10</v>
      </c>
    </row>
    <row r="1149">
      <c r="A1149" t="inlineStr">
        <is>
          <t>2026-04-29</t>
        </is>
      </c>
      <c r="B1149" t="n">
        <v>547445</v>
      </c>
      <c r="C1149" t="n">
        <v>-10890</v>
      </c>
      <c r="D1149" t="n">
        <v>1536555</v>
      </c>
      <c r="E1149" t="n">
        <v>1297930</v>
      </c>
      <c r="F1149" t="n">
        <v>-6.93</v>
      </c>
      <c r="G1149" t="n">
        <v>4</v>
      </c>
      <c r="H1149" t="n">
        <v>10</v>
      </c>
    </row>
    <row r="1150">
      <c r="A1150" t="inlineStr">
        <is>
          <t>2026-04-30</t>
        </is>
      </c>
      <c r="B1150" t="n">
        <v>555625</v>
      </c>
      <c r="C1150" t="n">
        <v>-20230</v>
      </c>
      <c r="D1150" t="n">
        <v>1535395</v>
      </c>
      <c r="E1150" t="n">
        <v>1296712</v>
      </c>
      <c r="F1150" t="n">
        <v>-7</v>
      </c>
      <c r="G1150" t="n">
        <v>4</v>
      </c>
      <c r="H1150" t="n">
        <v>10</v>
      </c>
    </row>
    <row r="1151">
      <c r="A1151" t="inlineStr">
        <is>
          <t>2026-05-06</t>
        </is>
      </c>
      <c r="B1151" t="n">
        <v>531096</v>
      </c>
      <c r="C1151" t="n">
        <v>21100</v>
      </c>
      <c r="D1151" t="n">
        <v>1552196</v>
      </c>
      <c r="E1151" t="n">
        <v>1313083</v>
      </c>
      <c r="F1151" t="n">
        <v>-5.99</v>
      </c>
      <c r="G1151" t="n">
        <v>4</v>
      </c>
      <c r="H1151" t="n">
        <v>10</v>
      </c>
    </row>
    <row r="1152">
      <c r="A1152" t="inlineStr">
        <is>
          <t>2026-05-07</t>
        </is>
      </c>
      <c r="B1152" t="n">
        <v>531156</v>
      </c>
      <c r="C1152" t="n">
        <v>20710</v>
      </c>
      <c r="D1152" t="n">
        <v>1551866</v>
      </c>
      <c r="E1152" t="n">
        <v>1312693</v>
      </c>
      <c r="F1152" t="n">
        <v>-6.01</v>
      </c>
      <c r="G1152" t="n">
        <v>4</v>
      </c>
      <c r="H1152" t="n">
        <v>10</v>
      </c>
    </row>
    <row r="1153">
      <c r="A1153" t="inlineStr">
        <is>
          <t>2026-05-08</t>
        </is>
      </c>
      <c r="B1153" t="n">
        <v>531156</v>
      </c>
      <c r="C1153" t="n">
        <v>28030</v>
      </c>
      <c r="D1153" t="n">
        <v>1559186</v>
      </c>
      <c r="E1153" t="n">
        <v>1320013</v>
      </c>
      <c r="F1153" t="n">
        <v>-5.56</v>
      </c>
      <c r="G1153" t="n">
        <v>4</v>
      </c>
      <c r="H1153" t="n">
        <v>10</v>
      </c>
    </row>
    <row r="1154">
      <c r="A1154" t="inlineStr">
        <is>
          <t>2026-05-11</t>
        </is>
      </c>
      <c r="B1154" t="n">
        <v>551616</v>
      </c>
      <c r="C1154" t="n">
        <v>19740</v>
      </c>
      <c r="D1154" t="n">
        <v>1571356</v>
      </c>
      <c r="E1154" t="n">
        <v>1331410</v>
      </c>
      <c r="F1154" t="n">
        <v>-4.83</v>
      </c>
      <c r="G1154" t="n">
        <v>4</v>
      </c>
      <c r="H1154" t="n">
        <v>10</v>
      </c>
    </row>
    <row r="1155">
      <c r="A1155" t="inlineStr">
        <is>
          <t>2026-05-12</t>
        </is>
      </c>
      <c r="B1155" t="n">
        <v>571066</v>
      </c>
      <c r="C1155" t="n">
        <v>8840</v>
      </c>
      <c r="D1155" t="n">
        <v>1579906</v>
      </c>
      <c r="E1155" t="n">
        <v>1339809</v>
      </c>
      <c r="F1155" t="n">
        <v>-4.31</v>
      </c>
      <c r="G1155" t="n">
        <v>4</v>
      </c>
      <c r="H1155" t="n">
        <v>10</v>
      </c>
    </row>
    <row r="1156">
      <c r="A1156" t="inlineStr">
        <is>
          <t>2026-05-13</t>
        </is>
      </c>
      <c r="B1156" t="n">
        <v>571066</v>
      </c>
      <c r="C1156" t="n">
        <v>2020</v>
      </c>
      <c r="D1156" t="n">
        <v>1573086</v>
      </c>
      <c r="E1156" t="n">
        <v>1332989</v>
      </c>
      <c r="F1156" t="n">
        <v>-4.72</v>
      </c>
      <c r="G1156" t="n">
        <v>4</v>
      </c>
      <c r="H1156" t="n">
        <v>10</v>
      </c>
    </row>
    <row r="1157">
      <c r="A1157" t="inlineStr">
        <is>
          <t>2026-05-14</t>
        </is>
      </c>
      <c r="B1157" t="n">
        <v>571066</v>
      </c>
      <c r="C1157" t="n">
        <v>4620</v>
      </c>
      <c r="D1157" t="n">
        <v>1575686</v>
      </c>
      <c r="E1157" t="n">
        <v>1335589</v>
      </c>
      <c r="F1157" t="n">
        <v>-4.56</v>
      </c>
      <c r="G1157" t="n">
        <v>4</v>
      </c>
      <c r="H1157" t="n">
        <v>10</v>
      </c>
    </row>
    <row r="1158">
      <c r="A1158" t="inlineStr">
        <is>
          <t>2026-05-15</t>
        </is>
      </c>
      <c r="B1158" t="n">
        <v>572326</v>
      </c>
      <c r="C1158" t="n">
        <v>-6320</v>
      </c>
      <c r="D1158" t="n">
        <v>1566006</v>
      </c>
      <c r="E1158" t="n">
        <v>1325451</v>
      </c>
      <c r="F1158" t="n">
        <v>-5.15</v>
      </c>
      <c r="G1158" t="n">
        <v>3</v>
      </c>
      <c r="H1158" t="n">
        <v>7</v>
      </c>
    </row>
    <row r="1159">
      <c r="A1159" t="inlineStr">
        <is>
          <t>2026-05-18</t>
        </is>
      </c>
      <c r="B1159" t="n">
        <v>572966</v>
      </c>
      <c r="C1159" t="n">
        <v>-9200</v>
      </c>
      <c r="D1159" t="n">
        <v>1563766</v>
      </c>
      <c r="E1159" t="n">
        <v>1323015</v>
      </c>
      <c r="F1159" t="n">
        <v>-5.29</v>
      </c>
      <c r="G1159" t="n">
        <v>3</v>
      </c>
      <c r="H1159" t="n">
        <v>7</v>
      </c>
    </row>
    <row r="1160">
      <c r="A1160" t="inlineStr">
        <is>
          <t>2026-05-19</t>
        </is>
      </c>
      <c r="B1160" t="n">
        <v>582086</v>
      </c>
      <c r="C1160" t="n">
        <v>-14780</v>
      </c>
      <c r="D1160" t="n">
        <v>1567306</v>
      </c>
      <c r="E1160" t="n">
        <v>1326218</v>
      </c>
      <c r="F1160" t="n">
        <v>-5.07</v>
      </c>
      <c r="G1160" t="n">
        <v>3</v>
      </c>
      <c r="H1160" t="n">
        <v>9</v>
      </c>
    </row>
    <row r="1161">
      <c r="A1161" t="inlineStr">
        <is>
          <t>2026-05-20</t>
        </is>
      </c>
      <c r="B1161" t="n">
        <v>583346</v>
      </c>
      <c r="C1161" t="n">
        <v>-21380</v>
      </c>
      <c r="D1161" t="n">
        <v>1561966</v>
      </c>
      <c r="E1161" t="n">
        <v>1320659</v>
      </c>
      <c r="F1161" t="n">
        <v>-5.39</v>
      </c>
      <c r="G1161" t="n">
        <v>4</v>
      </c>
      <c r="H1161" t="n">
        <v>10</v>
      </c>
    </row>
    <row r="1162">
      <c r="A1162" t="inlineStr">
        <is>
          <t>2026-05-21</t>
        </is>
      </c>
      <c r="B1162" t="n">
        <v>551618</v>
      </c>
      <c r="C1162" t="n">
        <v>2860</v>
      </c>
      <c r="D1162" t="n">
        <v>1554478</v>
      </c>
      <c r="E1162" t="n">
        <v>1310897</v>
      </c>
      <c r="F1162" t="n">
        <v>-5.85</v>
      </c>
      <c r="G1162" t="n">
        <v>4</v>
      </c>
      <c r="H1162" t="n">
        <v>9</v>
      </c>
    </row>
    <row r="1163">
      <c r="A1163" t="inlineStr">
        <is>
          <t>2026-05-22</t>
        </is>
      </c>
      <c r="B1163" t="n">
        <v>553488</v>
      </c>
      <c r="C1163" t="n">
        <v>2980</v>
      </c>
      <c r="D1163" t="n">
        <v>1556468</v>
      </c>
      <c r="E1163" t="n">
        <v>1312676</v>
      </c>
      <c r="F1163" t="n">
        <v>-5.73</v>
      </c>
      <c r="G1163" t="n">
        <v>5</v>
      </c>
      <c r="H1163" t="n">
        <v>10</v>
      </c>
    </row>
    <row r="1164">
      <c r="A1164" t="inlineStr">
        <is>
          <t>2026-05-25</t>
        </is>
      </c>
      <c r="B1164" t="n">
        <v>553488</v>
      </c>
      <c r="C1164" t="n">
        <v>-22430</v>
      </c>
      <c r="D1164" t="n">
        <v>1531058</v>
      </c>
      <c r="E1164" t="n">
        <v>1287266</v>
      </c>
      <c r="F1164" t="n">
        <v>-7.27</v>
      </c>
      <c r="G1164" t="n">
        <v>5</v>
      </c>
      <c r="H1164" t="n">
        <v>10</v>
      </c>
    </row>
    <row r="1165">
      <c r="A1165" t="inlineStr">
        <is>
          <t>2026-05-26</t>
        </is>
      </c>
      <c r="B1165" t="n">
        <v>557548</v>
      </c>
      <c r="C1165" t="n">
        <v>11290</v>
      </c>
      <c r="D1165" t="n">
        <v>1568838</v>
      </c>
      <c r="E1165" t="n">
        <v>1324398</v>
      </c>
      <c r="F1165" t="n">
        <v>-4.98</v>
      </c>
      <c r="G1165" t="n">
        <v>4</v>
      </c>
      <c r="H1165" t="n">
        <v>8</v>
      </c>
    </row>
    <row r="1166">
      <c r="A1166" t="inlineStr">
        <is>
          <t>2026-05-27</t>
        </is>
      </c>
      <c r="B1166" t="n">
        <v>557368</v>
      </c>
      <c r="C1166" t="n">
        <v>3700</v>
      </c>
      <c r="D1166" t="n">
        <v>1561068</v>
      </c>
      <c r="E1166" t="n">
        <v>1316172</v>
      </c>
      <c r="F1166" t="n">
        <v>-5.45</v>
      </c>
      <c r="G1166" t="n">
        <v>2</v>
      </c>
      <c r="H1166" t="n">
        <v>6</v>
      </c>
    </row>
    <row r="1167">
      <c r="A1167" t="inlineStr">
        <is>
          <t>2026-05-28</t>
        </is>
      </c>
      <c r="B1167" t="n">
        <v>566368</v>
      </c>
      <c r="C1167" t="n">
        <v>-6000</v>
      </c>
      <c r="D1167" t="n">
        <v>1560368</v>
      </c>
      <c r="E1167" t="n">
        <v>1314777</v>
      </c>
      <c r="F1167" t="n">
        <v>-5.49</v>
      </c>
      <c r="G1167" t="n">
        <v>2</v>
      </c>
      <c r="H1167" t="n">
        <v>6</v>
      </c>
    </row>
    <row r="1168">
      <c r="A1168" t="inlineStr">
        <is>
          <t>2026-05-29</t>
        </is>
      </c>
      <c r="B1168" t="n">
        <v>566368</v>
      </c>
      <c r="C1168" t="n">
        <v>-12760</v>
      </c>
      <c r="D1168" t="n">
        <v>1553608</v>
      </c>
      <c r="E1168" t="n">
        <v>1308017</v>
      </c>
      <c r="F1168" t="n">
        <v>-5.9</v>
      </c>
      <c r="G1168" t="n">
        <v>4</v>
      </c>
      <c r="H1168" t="n">
        <v>10</v>
      </c>
    </row>
    <row r="1169">
      <c r="A1169" t="inlineStr">
        <is>
          <t>2026-06-01</t>
        </is>
      </c>
      <c r="B1169" t="n">
        <v>566368</v>
      </c>
      <c r="C1169" t="n">
        <v>-25220</v>
      </c>
      <c r="D1169" t="n">
        <v>1541148</v>
      </c>
      <c r="E1169" t="n">
        <v>1295557</v>
      </c>
      <c r="F1169" t="n">
        <v>-6.66</v>
      </c>
      <c r="G1169" t="n">
        <v>4</v>
      </c>
      <c r="H1169" t="n">
        <v>10</v>
      </c>
    </row>
    <row r="1170">
      <c r="A1170" t="inlineStr">
        <is>
          <t>2026-06-02</t>
        </is>
      </c>
      <c r="B1170" t="n">
        <v>568993</v>
      </c>
      <c r="C1170" t="n">
        <v>-8020</v>
      </c>
      <c r="D1170" t="n">
        <v>1560973</v>
      </c>
      <c r="E1170" t="n">
        <v>1315070</v>
      </c>
      <c r="F1170" t="n">
        <v>-5.46</v>
      </c>
      <c r="G1170" t="n">
        <v>4</v>
      </c>
      <c r="H1170" t="n">
        <v>10</v>
      </c>
    </row>
    <row r="1171">
      <c r="A1171" t="inlineStr">
        <is>
          <t>2026-06-03</t>
        </is>
      </c>
      <c r="B1171" t="n">
        <v>568993</v>
      </c>
      <c r="C1171" t="n">
        <v>-13940</v>
      </c>
      <c r="D1171" t="n">
        <v>1555053</v>
      </c>
      <c r="E1171" t="n">
        <v>1308387</v>
      </c>
      <c r="F1171" t="n">
        <v>-5.81</v>
      </c>
      <c r="G1171" t="n">
        <v>3</v>
      </c>
      <c r="H1171" t="n">
        <v>7</v>
      </c>
    </row>
    <row r="1172">
      <c r="A1172" t="inlineStr">
        <is>
          <t>2026-06-04</t>
        </is>
      </c>
      <c r="B1172" t="n">
        <v>571673</v>
      </c>
      <c r="C1172" t="n">
        <v>-780</v>
      </c>
      <c r="D1172" t="n">
        <v>1570893</v>
      </c>
      <c r="E1172" t="n">
        <v>1322761</v>
      </c>
      <c r="F1172" t="n">
        <v>-4.85</v>
      </c>
      <c r="G1172" t="n">
        <v>4</v>
      </c>
      <c r="H1172" t="n">
        <v>10</v>
      </c>
    </row>
    <row r="1173">
      <c r="A1173" t="inlineStr">
        <is>
          <t>2026-06-05</t>
        </is>
      </c>
      <c r="B1173" t="n">
        <v>566353</v>
      </c>
      <c r="C1173" t="n">
        <v>-3900</v>
      </c>
      <c r="D1173" t="n">
        <v>1562453</v>
      </c>
      <c r="E1173" t="n">
        <v>1312905</v>
      </c>
      <c r="F1173" t="n">
        <v>-5.37</v>
      </c>
      <c r="G1173" t="n">
        <v>2</v>
      </c>
      <c r="H1173" t="n">
        <v>4</v>
      </c>
    </row>
    <row r="1174">
      <c r="A1174" t="inlineStr">
        <is>
          <t>2026-06-08</t>
        </is>
      </c>
      <c r="B1174" t="n">
        <v>566353</v>
      </c>
      <c r="C1174" t="n">
        <v>-4520</v>
      </c>
      <c r="D1174" t="n">
        <v>1561833</v>
      </c>
      <c r="E1174" t="n">
        <v>1312285</v>
      </c>
      <c r="F1174" t="n">
        <v>-5.4</v>
      </c>
      <c r="G1174" t="n">
        <v>4</v>
      </c>
      <c r="H1174" t="n">
        <v>10</v>
      </c>
    </row>
    <row r="1175">
      <c r="A1175" t="inlineStr">
        <is>
          <t>2026-06-09</t>
        </is>
      </c>
      <c r="B1175" t="n">
        <v>568873</v>
      </c>
      <c r="C1175" t="n">
        <v>1100</v>
      </c>
      <c r="D1175" t="n">
        <v>1569973</v>
      </c>
      <c r="E1175" t="n">
        <v>1319543</v>
      </c>
      <c r="F1175" t="n">
        <v>-4.91</v>
      </c>
      <c r="G1175" t="n">
        <v>4</v>
      </c>
      <c r="H1175" t="n">
        <v>10</v>
      </c>
    </row>
    <row r="1176">
      <c r="A1176" t="inlineStr">
        <is>
          <t>2026-06-10</t>
        </is>
      </c>
      <c r="B1176" t="n">
        <v>568873</v>
      </c>
      <c r="C1176" t="n">
        <v>-18140</v>
      </c>
      <c r="D1176" t="n">
        <v>1550733</v>
      </c>
      <c r="E1176" t="n">
        <v>1300303</v>
      </c>
      <c r="F1176" t="n">
        <v>-6.08</v>
      </c>
      <c r="G1176" t="n">
        <v>4</v>
      </c>
      <c r="H1176" t="n">
        <v>10</v>
      </c>
    </row>
    <row r="1177">
      <c r="A1177" t="inlineStr">
        <is>
          <t>2026-06-11</t>
        </is>
      </c>
      <c r="B1177" t="n">
        <v>568773</v>
      </c>
      <c r="C1177" t="n">
        <v>-9650</v>
      </c>
      <c r="D1177" t="n">
        <v>1559123</v>
      </c>
      <c r="E1177" t="n">
        <v>1307990</v>
      </c>
      <c r="F1177" t="n">
        <v>-5.57</v>
      </c>
      <c r="G1177" t="n">
        <v>2</v>
      </c>
      <c r="H1177" t="n">
        <v>6</v>
      </c>
    </row>
    <row r="1178">
      <c r="A1178" t="inlineStr">
        <is>
          <t>2026-06-12</t>
        </is>
      </c>
      <c r="B1178" t="n">
        <v>568773</v>
      </c>
      <c r="C1178" t="n">
        <v>-12440</v>
      </c>
      <c r="D1178" t="n">
        <v>1556333</v>
      </c>
      <c r="E1178" t="n">
        <v>1305200</v>
      </c>
      <c r="F1178" t="n">
        <v>-5.74</v>
      </c>
      <c r="G1178" t="n">
        <v>3</v>
      </c>
      <c r="H1178" t="n">
        <v>9</v>
      </c>
    </row>
    <row r="1179">
      <c r="A1179" t="inlineStr">
        <is>
          <t>2026-06-15</t>
        </is>
      </c>
      <c r="B1179" t="n">
        <v>555773</v>
      </c>
      <c r="C1179" t="n">
        <v>-20870</v>
      </c>
      <c r="D1179" t="n">
        <v>1534903</v>
      </c>
      <c r="E1179" t="n">
        <v>1282721</v>
      </c>
      <c r="F1179" t="n">
        <v>-7.03</v>
      </c>
      <c r="G1179" t="n">
        <v>2</v>
      </c>
      <c r="H1179" t="n">
        <v>6</v>
      </c>
    </row>
    <row r="1180">
      <c r="A1180" t="inlineStr">
        <is>
          <t>2026-06-16</t>
        </is>
      </c>
      <c r="B1180" t="n">
        <v>555773</v>
      </c>
      <c r="C1180" t="n">
        <v>-16950</v>
      </c>
      <c r="D1180" t="n">
        <v>1538823</v>
      </c>
      <c r="E1180" t="n">
        <v>1286641</v>
      </c>
      <c r="F1180" t="n">
        <v>-6.8</v>
      </c>
      <c r="G1180" t="n">
        <v>3</v>
      </c>
      <c r="H1180" t="n">
        <v>9</v>
      </c>
    </row>
    <row r="1181">
      <c r="A1181" t="inlineStr">
        <is>
          <t>2026-06-17</t>
        </is>
      </c>
      <c r="B1181" t="n">
        <v>547613</v>
      </c>
      <c r="C1181" t="n">
        <v>-2450</v>
      </c>
      <c r="D1181" t="n">
        <v>1545163</v>
      </c>
      <c r="E1181" t="n">
        <v>1292458</v>
      </c>
      <c r="F1181" t="n">
        <v>-6.41</v>
      </c>
      <c r="G1181" t="n">
        <v>3</v>
      </c>
      <c r="H1181" t="n">
        <v>9</v>
      </c>
    </row>
    <row r="1182">
      <c r="A1182" t="inlineStr">
        <is>
          <t>2026-06-18</t>
        </is>
      </c>
      <c r="B1182" t="n">
        <v>547613</v>
      </c>
      <c r="C1182" t="n">
        <v>2670</v>
      </c>
      <c r="D1182" t="n">
        <v>1550283</v>
      </c>
      <c r="E1182" t="n">
        <v>1297578</v>
      </c>
      <c r="F1182" t="n">
        <v>-6.1</v>
      </c>
      <c r="G1182" t="n">
        <v>3</v>
      </c>
      <c r="H1182" t="n">
        <v>9</v>
      </c>
    </row>
    <row r="1183">
      <c r="A1183" t="inlineStr">
        <is>
          <t>2026-06-22</t>
        </is>
      </c>
      <c r="B1183" t="n">
        <v>536588</v>
      </c>
      <c r="C1183" t="n">
        <v>19500</v>
      </c>
      <c r="D1183" t="n">
        <v>1556088</v>
      </c>
      <c r="E1183" t="n">
        <v>1302490</v>
      </c>
      <c r="F1183" t="n">
        <v>-5.75</v>
      </c>
      <c r="G1183" t="n">
        <v>2</v>
      </c>
      <c r="H1183" t="n">
        <v>6</v>
      </c>
    </row>
    <row r="1184">
      <c r="A1184" t="inlineStr">
        <is>
          <t>2026-06-23</t>
        </is>
      </c>
      <c r="B1184" t="n">
        <v>557088</v>
      </c>
      <c r="C1184" t="n">
        <v>4160</v>
      </c>
      <c r="D1184" t="n">
        <v>1561248</v>
      </c>
      <c r="E1184" t="n">
        <v>1306574</v>
      </c>
      <c r="F1184" t="n">
        <v>-5.44</v>
      </c>
      <c r="G1184" t="n">
        <v>3</v>
      </c>
      <c r="H1184" t="n">
        <v>9</v>
      </c>
    </row>
    <row r="1185">
      <c r="A1185" t="inlineStr">
        <is>
          <t>2026-06-24</t>
        </is>
      </c>
      <c r="B1185" t="n">
        <v>556508</v>
      </c>
      <c r="C1185" t="n">
        <v>440</v>
      </c>
      <c r="D1185" t="n">
        <v>1556948</v>
      </c>
      <c r="E1185" t="n">
        <v>1301040</v>
      </c>
      <c r="F1185" t="n">
        <v>-5.7</v>
      </c>
      <c r="G1185" t="n">
        <v>3</v>
      </c>
      <c r="H1185" t="n">
        <v>9</v>
      </c>
    </row>
    <row r="1186">
      <c r="A1186" t="inlineStr">
        <is>
          <t>2026-06-25</t>
        </is>
      </c>
      <c r="B1186" t="n">
        <v>556508</v>
      </c>
      <c r="C1186" t="n">
        <v>9830</v>
      </c>
      <c r="D1186" t="n">
        <v>1566338</v>
      </c>
      <c r="E1186" t="n">
        <v>1310430</v>
      </c>
      <c r="F1186" t="n">
        <v>-5.13</v>
      </c>
      <c r="G1186" t="n">
        <v>4</v>
      </c>
      <c r="H1186" t="n">
        <v>10</v>
      </c>
    </row>
    <row r="1187">
      <c r="A1187" t="inlineStr">
        <is>
          <t>2026-06-26</t>
        </is>
      </c>
      <c r="B1187" t="n">
        <v>556508</v>
      </c>
      <c r="C1187" t="n">
        <v>26370</v>
      </c>
      <c r="D1187" t="n">
        <v>1582878</v>
      </c>
      <c r="E1187" t="n">
        <v>1326970</v>
      </c>
      <c r="F1187" t="n">
        <v>-4.13</v>
      </c>
      <c r="G1187" t="n">
        <v>4</v>
      </c>
      <c r="H1187" t="n">
        <v>10</v>
      </c>
    </row>
    <row r="1188">
      <c r="A1188" t="inlineStr">
        <is>
          <t>2026-06-29</t>
        </is>
      </c>
      <c r="B1188" t="n">
        <v>564908</v>
      </c>
      <c r="C1188" t="n">
        <v>11365</v>
      </c>
      <c r="D1188" t="n">
        <v>1576273</v>
      </c>
      <c r="E1188" t="n">
        <v>1319182</v>
      </c>
      <c r="F1188" t="n">
        <v>-4.53</v>
      </c>
      <c r="G1188" t="n">
        <v>3</v>
      </c>
      <c r="H1188" t="n">
        <v>7</v>
      </c>
    </row>
    <row r="1189">
      <c r="A1189" t="inlineStr">
        <is>
          <t>2026-06-30</t>
        </is>
      </c>
      <c r="B1189" t="n">
        <v>565048</v>
      </c>
      <c r="C1189" t="n">
        <v>17070</v>
      </c>
      <c r="D1189" t="n">
        <v>1582118</v>
      </c>
      <c r="E1189" t="n">
        <v>1324941</v>
      </c>
      <c r="F1189" t="n">
        <v>-4.17</v>
      </c>
      <c r="G1189" t="n">
        <v>2</v>
      </c>
      <c r="H1189" t="n">
        <v>6</v>
      </c>
    </row>
    <row r="1190">
      <c r="A1190" t="inlineStr">
        <is>
          <t>2026-07-01</t>
        </is>
      </c>
      <c r="B1190" t="n">
        <v>577148</v>
      </c>
      <c r="C1190" t="n">
        <v>12510</v>
      </c>
      <c r="D1190" t="n">
        <v>1589658</v>
      </c>
      <c r="E1190" t="n">
        <v>1332002</v>
      </c>
      <c r="F1190" t="n">
        <v>-3.72</v>
      </c>
      <c r="G1190" t="n">
        <v>4</v>
      </c>
      <c r="H1190" t="n">
        <v>10</v>
      </c>
    </row>
    <row r="1191">
      <c r="A1191" t="inlineStr">
        <is>
          <t>2026-07-02</t>
        </is>
      </c>
      <c r="B1191" t="n">
        <v>577148</v>
      </c>
      <c r="C1191" t="n">
        <v>6785</v>
      </c>
      <c r="D1191" t="n">
        <v>1583933</v>
      </c>
      <c r="E1191" t="n">
        <v>1326277</v>
      </c>
      <c r="F1191" t="n">
        <v>-4.06</v>
      </c>
      <c r="G1191" t="n">
        <v>4</v>
      </c>
      <c r="H1191" t="n">
        <v>10</v>
      </c>
    </row>
    <row r="1192">
      <c r="A1192" t="inlineStr">
        <is>
          <t>2026-07-03</t>
        </is>
      </c>
      <c r="B1192" t="n">
        <v>575223</v>
      </c>
      <c r="C1192" t="n">
        <v>-13470</v>
      </c>
      <c r="D1192" t="n">
        <v>1561753</v>
      </c>
      <c r="E1192" t="n">
        <v>1304012</v>
      </c>
      <c r="F1192" t="n">
        <v>-5.41</v>
      </c>
      <c r="G1192" t="n">
        <v>4</v>
      </c>
      <c r="H1192" t="n">
        <v>10</v>
      </c>
    </row>
    <row r="1193">
      <c r="A1193" t="inlineStr">
        <is>
          <t>2026-07-06</t>
        </is>
      </c>
      <c r="B1193" t="n">
        <v>575223</v>
      </c>
      <c r="C1193" t="n">
        <v>-12190</v>
      </c>
      <c r="D1193" t="n">
        <v>1563033</v>
      </c>
      <c r="E1193" t="n">
        <v>1305292</v>
      </c>
      <c r="F1193" t="n">
        <v>-5.33</v>
      </c>
      <c r="G1193" t="n">
        <v>4</v>
      </c>
      <c r="H1193" t="n">
        <v>10</v>
      </c>
    </row>
    <row r="1194">
      <c r="A1194" t="inlineStr">
        <is>
          <t>2026-07-07</t>
        </is>
      </c>
      <c r="B1194" t="n">
        <v>550949</v>
      </c>
      <c r="C1194" t="n">
        <v>11230</v>
      </c>
      <c r="D1194" t="n">
        <v>1562179</v>
      </c>
      <c r="E1194" t="n">
        <v>1303637</v>
      </c>
      <c r="F1194" t="n">
        <v>-5.38</v>
      </c>
      <c r="G1194" t="n">
        <v>5</v>
      </c>
      <c r="H1194" t="n">
        <v>10</v>
      </c>
    </row>
    <row r="1195">
      <c r="A1195" t="inlineStr">
        <is>
          <t>2026-07-08</t>
        </is>
      </c>
      <c r="B1195" t="n">
        <v>548469</v>
      </c>
      <c r="C1195" t="n">
        <v>3780</v>
      </c>
      <c r="D1195" t="n">
        <v>1552249</v>
      </c>
      <c r="E1195" t="n">
        <v>1292354</v>
      </c>
      <c r="F1195" t="n">
        <v>-5.98</v>
      </c>
      <c r="G1195" t="n">
        <v>3</v>
      </c>
      <c r="H1195" t="n">
        <v>6</v>
      </c>
    </row>
    <row r="1196">
      <c r="A1196" t="inlineStr">
        <is>
          <t>2026-07-09</t>
        </is>
      </c>
      <c r="B1196" t="n">
        <v>553779</v>
      </c>
      <c r="C1196" t="n">
        <v>-8450</v>
      </c>
      <c r="D1196" t="n">
        <v>1545329</v>
      </c>
      <c r="E1196" t="n">
        <v>1285335</v>
      </c>
      <c r="F1196" t="n">
        <v>-6.4</v>
      </c>
      <c r="G1196" t="n">
        <v>2</v>
      </c>
      <c r="H1196" t="n">
        <v>3</v>
      </c>
    </row>
    <row r="1197">
      <c r="A1197" t="inlineStr">
        <is>
          <t>2026-07-10</t>
        </is>
      </c>
      <c r="B1197" t="n">
        <v>553779</v>
      </c>
      <c r="C1197" t="n">
        <v>-8850</v>
      </c>
      <c r="D1197" t="n">
        <v>1544929</v>
      </c>
      <c r="E1197" t="n">
        <v>1284935</v>
      </c>
      <c r="F1197" t="n">
        <v>-6.43</v>
      </c>
      <c r="G1197" t="n">
        <v>2</v>
      </c>
      <c r="H1197" t="n">
        <v>3</v>
      </c>
    </row>
    <row r="1198">
      <c r="A1198" t="inlineStr">
        <is>
          <t>2026-07-13</t>
        </is>
      </c>
      <c r="B1198" t="n">
        <v>553779</v>
      </c>
      <c r="C1198" t="n">
        <v>-5100</v>
      </c>
      <c r="D1198" t="n">
        <v>1548679</v>
      </c>
      <c r="E1198" t="n">
        <v>1288685</v>
      </c>
      <c r="F1198" t="n">
        <v>-6.2</v>
      </c>
      <c r="G1198" t="n">
        <v>4</v>
      </c>
      <c r="H1198" t="n">
        <v>9</v>
      </c>
    </row>
    <row r="1199">
      <c r="A1199" t="inlineStr">
        <is>
          <t>2026-07-14</t>
        </is>
      </c>
      <c r="B1199" t="n">
        <v>553779</v>
      </c>
      <c r="C1199" t="n">
        <v>-31410</v>
      </c>
      <c r="D1199" t="n">
        <v>1522369</v>
      </c>
      <c r="E1199" t="n">
        <v>1262375</v>
      </c>
      <c r="F1199" t="n">
        <v>-7.79</v>
      </c>
      <c r="G1199" t="n">
        <v>4</v>
      </c>
      <c r="H1199" t="n">
        <v>9</v>
      </c>
    </row>
    <row r="1200">
      <c r="A1200" t="inlineStr">
        <is>
          <t>2026-07-15</t>
        </is>
      </c>
      <c r="B1200" t="n">
        <v>528159</v>
      </c>
      <c r="C1200" t="n">
        <v>-9260</v>
      </c>
      <c r="D1200" t="n">
        <v>1518899</v>
      </c>
      <c r="E1200" t="n">
        <v>1257937</v>
      </c>
      <c r="F1200" t="n">
        <v>-8</v>
      </c>
      <c r="G1200" t="n">
        <v>5</v>
      </c>
      <c r="H1200" t="n">
        <v>10</v>
      </c>
    </row>
    <row r="1201">
      <c r="A1201" t="inlineStr">
        <is>
          <t>2026-07-16</t>
        </is>
      </c>
      <c r="B1201" t="n">
        <v>525759</v>
      </c>
      <c r="C1201" t="n">
        <v>-3320</v>
      </c>
      <c r="D1201" t="n">
        <v>1522439</v>
      </c>
      <c r="E1201" t="n">
        <v>1261149</v>
      </c>
      <c r="F1201" t="n">
        <v>-7.79</v>
      </c>
      <c r="G1201" t="n">
        <v>5</v>
      </c>
      <c r="H1201" t="n">
        <v>10</v>
      </c>
    </row>
    <row r="1202">
      <c r="A1202" t="inlineStr">
        <is>
          <t>2026-07-17</t>
        </is>
      </c>
      <c r="B1202" t="n">
        <v>529449</v>
      </c>
      <c r="C1202" t="n">
        <v>-2020</v>
      </c>
      <c r="D1202" t="n">
        <v>1527429</v>
      </c>
      <c r="E1202" t="n">
        <v>1265021</v>
      </c>
      <c r="F1202" t="n">
        <v>-7.49</v>
      </c>
      <c r="G1202" t="n">
        <v>3</v>
      </c>
      <c r="H1202" t="n">
        <v>6</v>
      </c>
    </row>
    <row r="1203">
      <c r="A1203" t="inlineStr">
        <is>
          <t>2026-07-20</t>
        </is>
      </c>
      <c r="B1203" t="n">
        <v>529449</v>
      </c>
      <c r="C1203" t="n">
        <v>-9230</v>
      </c>
      <c r="D1203" t="n">
        <v>1520219</v>
      </c>
      <c r="E1203" t="n">
        <v>1257811</v>
      </c>
      <c r="F1203" t="n">
        <v>-7.92</v>
      </c>
      <c r="G1203" t="n">
        <v>3</v>
      </c>
      <c r="H1203" t="n">
        <v>6</v>
      </c>
    </row>
    <row r="1204">
      <c r="A1204" t="inlineStr">
        <is>
          <t>2026-07-21</t>
        </is>
      </c>
      <c r="B1204" t="n">
        <v>528749</v>
      </c>
      <c r="C1204" t="n">
        <v>-13620</v>
      </c>
      <c r="D1204" t="n">
        <v>1515129</v>
      </c>
      <c r="E1204" t="n">
        <v>1252571</v>
      </c>
      <c r="F1204" t="n">
        <v>-8.23</v>
      </c>
      <c r="G1204" t="n">
        <v>3</v>
      </c>
      <c r="H1204" t="n">
        <v>7</v>
      </c>
    </row>
    <row r="1205">
      <c r="A1205" t="inlineStr">
        <is>
          <t>2026-07-22</t>
        </is>
      </c>
      <c r="B1205" t="n">
        <v>527199</v>
      </c>
      <c r="C1205" t="n">
        <v>-13160</v>
      </c>
      <c r="D1205" t="n">
        <v>1514039</v>
      </c>
      <c r="E1205" t="n">
        <v>1251328</v>
      </c>
      <c r="F1205" t="n">
        <v>-8.300000000000001</v>
      </c>
      <c r="G1205" t="n">
        <v>3</v>
      </c>
      <c r="H1205" t="n">
        <v>7</v>
      </c>
    </row>
    <row r="1206">
      <c r="A1206" t="inlineStr">
        <is>
          <t>2026-07-23</t>
        </is>
      </c>
      <c r="B1206" t="n">
        <v>527199</v>
      </c>
      <c r="C1206" t="n">
        <v>-14940</v>
      </c>
      <c r="D1206" t="n">
        <v>1512259</v>
      </c>
      <c r="E1206" t="n">
        <v>1249548</v>
      </c>
      <c r="F1206" t="n">
        <v>-8.41</v>
      </c>
      <c r="G1206" t="n">
        <v>4</v>
      </c>
      <c r="H1206" t="n">
        <v>10</v>
      </c>
    </row>
    <row r="1207">
      <c r="A1207" t="inlineStr">
        <is>
          <t>2026-07-24</t>
        </is>
      </c>
      <c r="B1207" t="n">
        <v>527199</v>
      </c>
      <c r="C1207" t="n">
        <v>-10420</v>
      </c>
      <c r="D1207" t="n">
        <v>1516779</v>
      </c>
      <c r="E1207" t="n">
        <v>1254068</v>
      </c>
      <c r="F1207" t="n">
        <v>-8.130000000000001</v>
      </c>
      <c r="G1207" t="n">
        <v>4</v>
      </c>
      <c r="H1207" t="n">
        <v>10</v>
      </c>
    </row>
    <row r="1208">
      <c r="A1208" t="inlineStr">
        <is>
          <t>2026-07-27</t>
        </is>
      </c>
      <c r="B1208" t="n">
        <v>527199</v>
      </c>
      <c r="C1208" t="n">
        <v>-17470</v>
      </c>
      <c r="D1208" t="n">
        <v>1509729</v>
      </c>
      <c r="E1208" t="n">
        <v>1247018</v>
      </c>
      <c r="F1208" t="n">
        <v>-8.56</v>
      </c>
      <c r="G1208" t="n">
        <v>4</v>
      </c>
      <c r="H1208" t="n">
        <v>10</v>
      </c>
    </row>
    <row r="1209">
      <c r="A1209" t="inlineStr">
        <is>
          <t>2026-07-28</t>
        </is>
      </c>
      <c r="B1209" t="n">
        <v>527199</v>
      </c>
      <c r="C1209" t="n">
        <v>-11740</v>
      </c>
      <c r="D1209" t="n">
        <v>1515459</v>
      </c>
      <c r="E1209" t="n">
        <v>1252748</v>
      </c>
      <c r="F1209" t="n">
        <v>-8.210000000000001</v>
      </c>
      <c r="G1209" t="n">
        <v>4</v>
      </c>
      <c r="H1209" t="n">
        <v>10</v>
      </c>
    </row>
    <row r="1210">
      <c r="A1210" t="inlineStr">
        <is>
          <t>2026-07-29</t>
        </is>
      </c>
      <c r="B1210" t="n">
        <v>537759</v>
      </c>
      <c r="C1210" t="n">
        <v>-19750</v>
      </c>
      <c r="D1210" t="n">
        <v>1518009</v>
      </c>
      <c r="E1210" t="n">
        <v>1254942</v>
      </c>
      <c r="F1210" t="n">
        <v>-8.06</v>
      </c>
      <c r="G1210" t="n">
        <v>4</v>
      </c>
      <c r="H1210" t="n">
        <v>10</v>
      </c>
    </row>
    <row r="1211">
      <c r="A1211" t="inlineStr">
        <is>
          <t>2026-07-30</t>
        </is>
      </c>
      <c r="B1211" t="n">
        <v>547359</v>
      </c>
      <c r="C1211" t="n">
        <v>-8450</v>
      </c>
      <c r="D1211" t="n">
        <v>1538909</v>
      </c>
      <c r="E1211" t="n">
        <v>1274836</v>
      </c>
      <c r="F1211" t="n">
        <v>-6.79</v>
      </c>
      <c r="G1211" t="n">
        <v>4</v>
      </c>
      <c r="H1211" t="n">
        <v>10</v>
      </c>
    </row>
    <row r="1212">
      <c r="A1212" t="inlineStr">
        <is>
          <t>2026-07-31</t>
        </is>
      </c>
      <c r="B1212" t="n">
        <v>547359</v>
      </c>
      <c r="C1212" t="n">
        <v>2840</v>
      </c>
      <c r="D1212" t="n">
        <v>1550199</v>
      </c>
      <c r="E1212" t="n">
        <v>1286126</v>
      </c>
      <c r="F1212" t="n">
        <v>-6.11</v>
      </c>
      <c r="G1212" t="n">
        <v>4</v>
      </c>
      <c r="H1212" t="n">
        <v>10</v>
      </c>
    </row>
    <row r="1213">
      <c r="A1213" t="inlineStr">
        <is>
          <t>2026-08-03</t>
        </is>
      </c>
      <c r="B1213" t="n">
        <v>547359</v>
      </c>
      <c r="C1213" t="n">
        <v>340</v>
      </c>
      <c r="D1213" t="n">
        <v>1547699</v>
      </c>
      <c r="E1213" t="n">
        <v>1283626</v>
      </c>
      <c r="F1213" t="n">
        <v>-6.26</v>
      </c>
      <c r="G1213" t="n">
        <v>4</v>
      </c>
      <c r="H1213" t="n">
        <v>10</v>
      </c>
    </row>
    <row r="1214">
      <c r="A1214" t="inlineStr">
        <is>
          <t>2026-08-04</t>
        </is>
      </c>
      <c r="B1214" t="n">
        <v>547359</v>
      </c>
      <c r="C1214" t="n">
        <v>-8610</v>
      </c>
      <c r="D1214" t="n">
        <v>1538749</v>
      </c>
      <c r="E1214" t="n">
        <v>1274676</v>
      </c>
      <c r="F1214" t="n">
        <v>-6.8</v>
      </c>
      <c r="G1214" t="n">
        <v>4</v>
      </c>
      <c r="H1214" t="n">
        <v>10</v>
      </c>
    </row>
    <row r="1215">
      <c r="A1215" t="inlineStr">
        <is>
          <t>2026-08-05</t>
        </is>
      </c>
      <c r="B1215" t="n">
        <v>523149</v>
      </c>
      <c r="C1215" t="n">
        <v>-380</v>
      </c>
      <c r="D1215" t="n">
        <v>1522769</v>
      </c>
      <c r="E1215" t="n">
        <v>1257949</v>
      </c>
      <c r="F1215" t="n">
        <v>-7.77</v>
      </c>
      <c r="G1215" t="n">
        <v>2</v>
      </c>
      <c r="H1215" t="n">
        <v>4</v>
      </c>
    </row>
    <row r="1216">
      <c r="A1216" t="inlineStr">
        <is>
          <t>2026-08-06</t>
        </is>
      </c>
      <c r="B1216" t="n">
        <v>523149</v>
      </c>
      <c r="C1216" t="n">
        <v>-3640</v>
      </c>
      <c r="D1216" t="n">
        <v>1519509</v>
      </c>
      <c r="E1216" t="n">
        <v>1254689</v>
      </c>
      <c r="F1216" t="n">
        <v>-7.97</v>
      </c>
      <c r="G1216" t="n">
        <v>3</v>
      </c>
      <c r="H1216" t="n">
        <v>7</v>
      </c>
    </row>
    <row r="1217">
      <c r="A1217" t="inlineStr">
        <is>
          <t>2026-08-07</t>
        </is>
      </c>
      <c r="B1217" t="n">
        <v>523149</v>
      </c>
      <c r="C1217" t="n">
        <v>-7860</v>
      </c>
      <c r="D1217" t="n">
        <v>1515289</v>
      </c>
      <c r="E1217" t="n">
        <v>1250469</v>
      </c>
      <c r="F1217" t="n">
        <v>-8.220000000000001</v>
      </c>
      <c r="G1217" t="n">
        <v>3</v>
      </c>
      <c r="H1217" t="n">
        <v>7</v>
      </c>
    </row>
    <row r="1218">
      <c r="A1218" t="inlineStr">
        <is>
          <t>2026-08-10</t>
        </is>
      </c>
      <c r="B1218" t="n">
        <v>523149</v>
      </c>
      <c r="C1218" t="n">
        <v>-8060</v>
      </c>
      <c r="D1218" t="n">
        <v>1515089</v>
      </c>
      <c r="E1218" t="n">
        <v>1250269</v>
      </c>
      <c r="F1218" t="n">
        <v>-8.23</v>
      </c>
      <c r="G1218" t="n">
        <v>4</v>
      </c>
      <c r="H1218" t="n">
        <v>10</v>
      </c>
    </row>
    <row r="1219">
      <c r="A1219" t="inlineStr">
        <is>
          <t>2026-08-11</t>
        </is>
      </c>
      <c r="B1219" t="n">
        <v>525009</v>
      </c>
      <c r="C1219" t="n">
        <v>-11550</v>
      </c>
      <c r="D1219" t="n">
        <v>1513459</v>
      </c>
      <c r="E1219" t="n">
        <v>1248586</v>
      </c>
      <c r="F1219" t="n">
        <v>-8.33</v>
      </c>
      <c r="G1219" t="n">
        <v>4</v>
      </c>
      <c r="H1219" t="n">
        <v>10</v>
      </c>
    </row>
    <row r="1220">
      <c r="A1220" t="inlineStr">
        <is>
          <t>2026-08-12</t>
        </is>
      </c>
      <c r="B1220" t="n">
        <v>511024</v>
      </c>
      <c r="C1220" t="n">
        <v>300</v>
      </c>
      <c r="D1220" t="n">
        <v>1511324</v>
      </c>
      <c r="E1220" t="n">
        <v>1245952</v>
      </c>
      <c r="F1220" t="n">
        <v>-8.460000000000001</v>
      </c>
      <c r="G1220" t="n">
        <v>4</v>
      </c>
      <c r="H1220" t="n">
        <v>10</v>
      </c>
    </row>
    <row r="1221">
      <c r="A1221" t="inlineStr">
        <is>
          <t>2026-08-13</t>
        </is>
      </c>
      <c r="B1221" t="n">
        <v>511024</v>
      </c>
      <c r="C1221" t="n">
        <v>-2270</v>
      </c>
      <c r="D1221" t="n">
        <v>1508754</v>
      </c>
      <c r="E1221" t="n">
        <v>1243382</v>
      </c>
      <c r="F1221" t="n">
        <v>-8.619999999999999</v>
      </c>
      <c r="G1221" t="n">
        <v>4</v>
      </c>
      <c r="H1221" t="n">
        <v>10</v>
      </c>
    </row>
    <row r="1222">
      <c r="A1222" t="inlineStr">
        <is>
          <t>2026-08-14</t>
        </is>
      </c>
      <c r="B1222" t="n">
        <v>512864</v>
      </c>
      <c r="C1222" t="n">
        <v>8050</v>
      </c>
      <c r="D1222" t="n">
        <v>1520914</v>
      </c>
      <c r="E1222" t="n">
        <v>1255509</v>
      </c>
      <c r="F1222" t="n">
        <v>-7.88</v>
      </c>
      <c r="G1222" t="n">
        <v>4</v>
      </c>
      <c r="H1222" t="n">
        <v>10</v>
      </c>
    </row>
    <row r="1223">
      <c r="A1223" t="inlineStr">
        <is>
          <t>2026-08-17</t>
        </is>
      </c>
      <c r="B1223" t="n">
        <v>512864</v>
      </c>
      <c r="C1223" t="n">
        <v>19580</v>
      </c>
      <c r="D1223" t="n">
        <v>1532444</v>
      </c>
      <c r="E1223" t="n">
        <v>1267039</v>
      </c>
      <c r="F1223" t="n">
        <v>-7.18</v>
      </c>
      <c r="G1223" t="n">
        <v>4</v>
      </c>
      <c r="H1223" t="n">
        <v>10</v>
      </c>
    </row>
    <row r="1224">
      <c r="A1224" t="inlineStr">
        <is>
          <t>2026-08-18</t>
        </is>
      </c>
      <c r="B1224" t="n">
        <v>517614</v>
      </c>
      <c r="C1224" t="n">
        <v>17520</v>
      </c>
      <c r="D1224" t="n">
        <v>1535134</v>
      </c>
      <c r="E1224" t="n">
        <v>1268872</v>
      </c>
      <c r="F1224" t="n">
        <v>-7.02</v>
      </c>
      <c r="G1224" t="n">
        <v>2</v>
      </c>
      <c r="H1224" t="n">
        <v>6</v>
      </c>
    </row>
    <row r="1225">
      <c r="A1225" t="inlineStr">
        <is>
          <t>2026-08-19</t>
        </is>
      </c>
      <c r="B1225" t="n">
        <v>516914</v>
      </c>
      <c r="C1225" t="n">
        <v>26580</v>
      </c>
      <c r="D1225" t="n">
        <v>1543494</v>
      </c>
      <c r="E1225" t="n">
        <v>1276881</v>
      </c>
      <c r="F1225" t="n">
        <v>-6.51</v>
      </c>
      <c r="G1225" t="n">
        <v>4</v>
      </c>
      <c r="H1225" t="n">
        <v>10</v>
      </c>
    </row>
    <row r="1226">
      <c r="A1226" t="inlineStr">
        <is>
          <t>2026-08-20</t>
        </is>
      </c>
      <c r="B1226" t="n">
        <v>550334</v>
      </c>
      <c r="C1226" t="n">
        <v>-700</v>
      </c>
      <c r="D1226" t="n">
        <v>1549634</v>
      </c>
      <c r="E1226" t="n">
        <v>1282840</v>
      </c>
      <c r="F1226" t="n">
        <v>-6.14</v>
      </c>
      <c r="G1226" t="n">
        <v>5</v>
      </c>
      <c r="H1226" t="n">
        <v>10</v>
      </c>
    </row>
    <row r="1227">
      <c r="A1227" t="inlineStr">
        <is>
          <t>2026-08-21</t>
        </is>
      </c>
      <c r="B1227" t="n">
        <v>546974</v>
      </c>
      <c r="C1227" t="n">
        <v>1120</v>
      </c>
      <c r="D1227" t="n">
        <v>1548094</v>
      </c>
      <c r="E1227" t="n">
        <v>1280875</v>
      </c>
      <c r="F1227" t="n">
        <v>-6.24</v>
      </c>
      <c r="G1227" t="n">
        <v>5</v>
      </c>
      <c r="H1227" t="n">
        <v>10</v>
      </c>
    </row>
    <row r="1228">
      <c r="A1228" t="inlineStr">
        <is>
          <t>2026-08-24</t>
        </is>
      </c>
      <c r="B1228" t="n">
        <v>540254</v>
      </c>
      <c r="C1228" t="n">
        <v>-3700</v>
      </c>
      <c r="D1228" t="n">
        <v>1536554</v>
      </c>
      <c r="E1228" t="n">
        <v>1268331</v>
      </c>
      <c r="F1228" t="n">
        <v>-6.93</v>
      </c>
      <c r="G1228" t="n">
        <v>5</v>
      </c>
      <c r="H1228" t="n">
        <v>10</v>
      </c>
    </row>
    <row r="1229">
      <c r="A1229" t="inlineStr">
        <is>
          <t>2026-08-25</t>
        </is>
      </c>
      <c r="B1229" t="n">
        <v>540254</v>
      </c>
      <c r="C1229" t="n">
        <v>8865</v>
      </c>
      <c r="D1229" t="n">
        <v>1549119</v>
      </c>
      <c r="E1229" t="n">
        <v>1280896</v>
      </c>
      <c r="F1229" t="n">
        <v>-6.17</v>
      </c>
      <c r="G1229" t="n">
        <v>5</v>
      </c>
      <c r="H1229" t="n">
        <v>10</v>
      </c>
    </row>
    <row r="1230">
      <c r="A1230" t="inlineStr">
        <is>
          <t>2026-08-26</t>
        </is>
      </c>
      <c r="B1230" t="n">
        <v>536806</v>
      </c>
      <c r="C1230" t="n">
        <v>18010</v>
      </c>
      <c r="D1230" t="n">
        <v>1554816</v>
      </c>
      <c r="E1230" t="n">
        <v>1286551</v>
      </c>
      <c r="F1230" t="n">
        <v>-5.83</v>
      </c>
      <c r="G1230" t="n">
        <v>5</v>
      </c>
      <c r="H1230" t="n">
        <v>10</v>
      </c>
    </row>
    <row r="1231">
      <c r="A1231" t="inlineStr">
        <is>
          <t>2026-08-27</t>
        </is>
      </c>
      <c r="B1231" t="n">
        <v>535231</v>
      </c>
      <c r="C1231" t="n">
        <v>26320</v>
      </c>
      <c r="D1231" t="n">
        <v>1561551</v>
      </c>
      <c r="E1231" t="n">
        <v>1293223</v>
      </c>
      <c r="F1231" t="n">
        <v>-5.42</v>
      </c>
      <c r="G1231" t="n">
        <v>5</v>
      </c>
      <c r="H1231" t="n">
        <v>10</v>
      </c>
    </row>
    <row r="1232">
      <c r="A1232" t="inlineStr">
        <is>
          <t>2026-08-28</t>
        </is>
      </c>
      <c r="B1232" t="n">
        <v>547891</v>
      </c>
      <c r="C1232" t="n">
        <v>13740</v>
      </c>
      <c r="D1232" t="n">
        <v>1561631</v>
      </c>
      <c r="E1232" t="n">
        <v>1292801</v>
      </c>
      <c r="F1232" t="n">
        <v>-5.42</v>
      </c>
      <c r="G1232" t="n">
        <v>5</v>
      </c>
      <c r="H1232" t="n">
        <v>10</v>
      </c>
    </row>
    <row r="1233">
      <c r="A1233" t="inlineStr">
        <is>
          <t>2026-08-31</t>
        </is>
      </c>
      <c r="B1233" t="n">
        <v>584801</v>
      </c>
      <c r="C1233" t="n">
        <v>19865</v>
      </c>
      <c r="D1233" t="n">
        <v>1604666</v>
      </c>
      <c r="E1233" t="n">
        <v>1335223</v>
      </c>
      <c r="F1233" t="n">
        <v>-2.81</v>
      </c>
      <c r="G1233" t="n">
        <v>5</v>
      </c>
      <c r="H1233" t="n">
        <v>10</v>
      </c>
    </row>
    <row r="1234">
      <c r="A1234" t="inlineStr">
        <is>
          <t>2026-09-01</t>
        </is>
      </c>
      <c r="B1234" t="n">
        <v>590716</v>
      </c>
      <c r="C1234" t="n">
        <v>15980</v>
      </c>
      <c r="D1234" t="n">
        <v>1606696</v>
      </c>
      <c r="E1234" t="n">
        <v>1337081</v>
      </c>
      <c r="F1234" t="n">
        <v>-2.69</v>
      </c>
      <c r="G1234" t="n">
        <v>5</v>
      </c>
      <c r="H1234" t="n">
        <v>10</v>
      </c>
    </row>
    <row r="1235">
      <c r="A1235" t="inlineStr">
        <is>
          <t>2026-09-02</t>
        </is>
      </c>
      <c r="B1235" t="n">
        <v>575836</v>
      </c>
      <c r="C1235" t="n">
        <v>6075</v>
      </c>
      <c r="D1235" t="n">
        <v>1581911</v>
      </c>
      <c r="E1235" t="n">
        <v>1311539</v>
      </c>
      <c r="F1235" t="n">
        <v>-4.19</v>
      </c>
      <c r="G1235" t="n">
        <v>4</v>
      </c>
      <c r="H1235" t="n">
        <v>8</v>
      </c>
    </row>
    <row r="1236">
      <c r="A1236" t="inlineStr">
        <is>
          <t>2026-09-03</t>
        </is>
      </c>
      <c r="B1236" t="n">
        <v>571207</v>
      </c>
      <c r="C1236" t="n">
        <v>2190</v>
      </c>
      <c r="D1236" t="n">
        <v>1573397</v>
      </c>
      <c r="E1236" t="n">
        <v>1302849</v>
      </c>
      <c r="F1236" t="n">
        <v>-4.7</v>
      </c>
      <c r="G1236" t="n">
        <v>4</v>
      </c>
      <c r="H1236" t="n">
        <v>10</v>
      </c>
    </row>
    <row r="1237">
      <c r="A1237" t="inlineStr">
        <is>
          <t>2026-09-04</t>
        </is>
      </c>
      <c r="B1237" t="n">
        <v>578222</v>
      </c>
      <c r="C1237" t="n">
        <v>1340</v>
      </c>
      <c r="D1237" t="n">
        <v>1579562</v>
      </c>
      <c r="E1237" t="n">
        <v>1308478</v>
      </c>
      <c r="F1237" t="n">
        <v>-4.33</v>
      </c>
      <c r="G1237" t="n">
        <v>4</v>
      </c>
      <c r="H1237" t="n">
        <v>10</v>
      </c>
    </row>
    <row r="1238">
      <c r="A1238" t="inlineStr">
        <is>
          <t>2026-09-07</t>
        </is>
      </c>
      <c r="B1238" t="n">
        <v>575942</v>
      </c>
      <c r="C1238" t="n">
        <v>2725</v>
      </c>
      <c r="D1238" t="n">
        <v>1578667</v>
      </c>
      <c r="E1238" t="n">
        <v>1307480</v>
      </c>
      <c r="F1238" t="n">
        <v>-4.38</v>
      </c>
      <c r="G1238" t="n">
        <v>4</v>
      </c>
      <c r="H1238" t="n">
        <v>10</v>
      </c>
    </row>
    <row r="1239">
      <c r="A1239" t="inlineStr">
        <is>
          <t>2026-09-08</t>
        </is>
      </c>
      <c r="B1239" t="n">
        <v>573542</v>
      </c>
      <c r="C1239" t="n">
        <v>22770</v>
      </c>
      <c r="D1239" t="n">
        <v>1596312</v>
      </c>
      <c r="E1239" t="n">
        <v>1324835</v>
      </c>
      <c r="F1239" t="n">
        <v>-3.31</v>
      </c>
      <c r="G1239" t="n">
        <v>4</v>
      </c>
      <c r="H1239" t="n">
        <v>10</v>
      </c>
    </row>
    <row r="1240">
      <c r="A1240" t="inlineStr">
        <is>
          <t>2026-09-09</t>
        </is>
      </c>
      <c r="B1240" t="n">
        <v>586042</v>
      </c>
      <c r="C1240" t="n">
        <v>14130</v>
      </c>
      <c r="D1240" t="n">
        <v>1600172</v>
      </c>
      <c r="E1240" t="n">
        <v>1328441</v>
      </c>
      <c r="F1240" t="n">
        <v>-3.08</v>
      </c>
      <c r="G1240" t="n">
        <v>4</v>
      </c>
      <c r="H1240" t="n">
        <v>10</v>
      </c>
    </row>
    <row r="1241">
      <c r="A1241" t="inlineStr">
        <is>
          <t>2026-09-10</t>
        </is>
      </c>
      <c r="B1241" t="n">
        <v>605342</v>
      </c>
      <c r="C1241" t="n">
        <v>-570</v>
      </c>
      <c r="D1241" t="n">
        <v>1604772</v>
      </c>
      <c r="E1241" t="n">
        <v>1332815</v>
      </c>
      <c r="F1241" t="n">
        <v>-2.8</v>
      </c>
      <c r="G1241" t="n">
        <v>3</v>
      </c>
      <c r="H1241" t="n">
        <v>9</v>
      </c>
    </row>
    <row r="1242">
      <c r="A1242" t="inlineStr">
        <is>
          <t>2026-09-11</t>
        </is>
      </c>
      <c r="B1242" t="n">
        <v>583042</v>
      </c>
      <c r="C1242" t="n">
        <v>-7410</v>
      </c>
      <c r="D1242" t="n">
        <v>1575632</v>
      </c>
      <c r="E1242" t="n">
        <v>1303393</v>
      </c>
      <c r="F1242" t="n">
        <v>-4.57</v>
      </c>
      <c r="G1242" t="n">
        <v>4</v>
      </c>
      <c r="H1242" t="n">
        <v>10</v>
      </c>
    </row>
    <row r="1243">
      <c r="A1243" t="inlineStr">
        <is>
          <t>2026-09-14</t>
        </is>
      </c>
      <c r="B1243" t="n">
        <v>583042</v>
      </c>
      <c r="C1243" t="n">
        <v>-11520</v>
      </c>
      <c r="D1243" t="n">
        <v>1571522</v>
      </c>
      <c r="E1243" t="n">
        <v>1299283</v>
      </c>
      <c r="F1243" t="n">
        <v>-4.82</v>
      </c>
      <c r="G1243" t="n">
        <v>4</v>
      </c>
      <c r="H1243" t="n">
        <v>10</v>
      </c>
    </row>
    <row r="1244">
      <c r="A1244" t="inlineStr">
        <is>
          <t>2026-09-15</t>
        </is>
      </c>
      <c r="B1244" t="n">
        <v>583042</v>
      </c>
      <c r="C1244" t="n">
        <v>2660</v>
      </c>
      <c r="D1244" t="n">
        <v>1585702</v>
      </c>
      <c r="E1244" t="n">
        <v>1313463</v>
      </c>
      <c r="F1244" t="n">
        <v>-3.96</v>
      </c>
      <c r="G1244" t="n">
        <v>4</v>
      </c>
      <c r="H1244" t="n">
        <v>10</v>
      </c>
    </row>
    <row r="1245">
      <c r="A1245" t="inlineStr">
        <is>
          <t>2026-09-16</t>
        </is>
      </c>
      <c r="B1245" t="n">
        <v>585622</v>
      </c>
      <c r="C1245" t="n">
        <v>19720</v>
      </c>
      <c r="D1245" t="n">
        <v>1605342</v>
      </c>
      <c r="E1245" t="n">
        <v>1333079</v>
      </c>
      <c r="F1245" t="n">
        <v>-2.77</v>
      </c>
      <c r="G1245" t="n">
        <v>4</v>
      </c>
      <c r="H1245" t="n">
        <v>10</v>
      </c>
    </row>
    <row r="1246">
      <c r="A1246" t="inlineStr">
        <is>
          <t>2026-09-17</t>
        </is>
      </c>
      <c r="B1246" t="n">
        <v>584932</v>
      </c>
      <c r="C1246" t="n">
        <v>11670</v>
      </c>
      <c r="D1246" t="n">
        <v>1596602</v>
      </c>
      <c r="E1246" t="n">
        <v>1324146</v>
      </c>
      <c r="F1246" t="n">
        <v>-3.3</v>
      </c>
      <c r="G1246" t="n">
        <v>3</v>
      </c>
      <c r="H1246" t="n">
        <v>9</v>
      </c>
    </row>
    <row r="1247">
      <c r="A1247" t="inlineStr">
        <is>
          <t>2026-09-18</t>
        </is>
      </c>
      <c r="B1247" t="n">
        <v>584932</v>
      </c>
      <c r="C1247" t="n">
        <v>6040</v>
      </c>
      <c r="D1247" t="n">
        <v>1590972</v>
      </c>
      <c r="E1247" t="n">
        <v>1318516</v>
      </c>
      <c r="F1247" t="n">
        <v>-3.64</v>
      </c>
      <c r="G1247" t="n">
        <v>4</v>
      </c>
      <c r="H1247" t="n">
        <v>10</v>
      </c>
    </row>
    <row r="1248">
      <c r="A1248" t="inlineStr">
        <is>
          <t>2026-09-21</t>
        </is>
      </c>
      <c r="B1248" t="n">
        <v>584932</v>
      </c>
      <c r="C1248" t="n">
        <v>6870</v>
      </c>
      <c r="D1248" t="n">
        <v>1591802</v>
      </c>
      <c r="E1248" t="n">
        <v>1319346</v>
      </c>
      <c r="F1248" t="n">
        <v>-3.59</v>
      </c>
      <c r="G1248" t="n">
        <v>4</v>
      </c>
      <c r="H1248" t="n">
        <v>10</v>
      </c>
    </row>
    <row r="1249">
      <c r="A1249" t="inlineStr">
        <is>
          <t>2026-09-22</t>
        </is>
      </c>
      <c r="B1249" t="n">
        <v>586332</v>
      </c>
      <c r="C1249" t="n">
        <v>16740</v>
      </c>
      <c r="D1249" t="n">
        <v>1603072</v>
      </c>
      <c r="E1249" t="n">
        <v>1330497</v>
      </c>
      <c r="F1249" t="n">
        <v>-2.91</v>
      </c>
      <c r="G1249" t="n">
        <v>4</v>
      </c>
      <c r="H1249" t="n">
        <v>10</v>
      </c>
    </row>
    <row r="1250">
      <c r="A1250" t="inlineStr">
        <is>
          <t>2026-09-23</t>
        </is>
      </c>
      <c r="B1250" t="n">
        <v>586332</v>
      </c>
      <c r="C1250" t="n">
        <v>17980</v>
      </c>
      <c r="D1250" t="n">
        <v>1604312</v>
      </c>
      <c r="E1250" t="n">
        <v>1331737</v>
      </c>
      <c r="F1250" t="n">
        <v>-2.83</v>
      </c>
      <c r="G1250" t="n">
        <v>4</v>
      </c>
      <c r="H1250" t="n">
        <v>10</v>
      </c>
    </row>
    <row r="1251">
      <c r="A1251" t="inlineStr">
        <is>
          <t>2026-09-24</t>
        </is>
      </c>
      <c r="B1251" t="n">
        <v>586332</v>
      </c>
      <c r="C1251" t="n">
        <v>32105</v>
      </c>
      <c r="D1251" t="n">
        <v>1618437</v>
      </c>
      <c r="E1251" t="n">
        <v>1345862</v>
      </c>
      <c r="F1251" t="n">
        <v>-1.97</v>
      </c>
      <c r="G1251" t="n">
        <v>4</v>
      </c>
      <c r="H1251" t="n">
        <v>10</v>
      </c>
    </row>
    <row r="1252">
      <c r="A1252" t="inlineStr">
        <is>
          <t>2026-09-28</t>
        </is>
      </c>
      <c r="B1252" t="n">
        <v>586332</v>
      </c>
      <c r="C1252" t="n">
        <v>25860</v>
      </c>
      <c r="D1252" t="n">
        <v>1612192</v>
      </c>
      <c r="E1252" t="n">
        <v>1339617</v>
      </c>
      <c r="F1252" t="n">
        <v>-2.35</v>
      </c>
      <c r="G1252" t="n">
        <v>4</v>
      </c>
      <c r="H1252" t="n">
        <v>10</v>
      </c>
    </row>
    <row r="1253">
      <c r="A1253" t="inlineStr">
        <is>
          <t>2026-09-29</t>
        </is>
      </c>
      <c r="B1253" t="n">
        <v>606572</v>
      </c>
      <c r="C1253" t="n">
        <v>0</v>
      </c>
      <c r="D1253" t="n">
        <v>1606572</v>
      </c>
      <c r="E1253" t="n">
        <v>1332627</v>
      </c>
      <c r="F1253" t="n">
        <v>-2.69</v>
      </c>
      <c r="G1253" t="n">
        <v>3</v>
      </c>
      <c r="H1253" t="n">
        <v>7</v>
      </c>
    </row>
    <row r="1254">
      <c r="A1254" t="inlineStr">
        <is>
          <t>2026-09-30</t>
        </is>
      </c>
      <c r="B1254" t="n">
        <v>610872</v>
      </c>
      <c r="C1254" t="n">
        <v>-4560</v>
      </c>
      <c r="D1254" t="n">
        <v>1606312</v>
      </c>
      <c r="E1254" t="n">
        <v>1332293</v>
      </c>
      <c r="F1254" t="n">
        <v>-2.71</v>
      </c>
      <c r="G1254" t="n">
        <v>4</v>
      </c>
      <c r="H1254" t="n">
        <v>10</v>
      </c>
    </row>
    <row r="1255">
      <c r="A1255" t="inlineStr">
        <is>
          <t>2026-10-08</t>
        </is>
      </c>
      <c r="B1255" t="n">
        <v>643672</v>
      </c>
      <c r="C1255" t="n">
        <v>10200</v>
      </c>
      <c r="D1255" t="n">
        <v>1653872</v>
      </c>
      <c r="E1255" t="n">
        <v>1378600</v>
      </c>
      <c r="F1255" t="n">
        <v>0</v>
      </c>
      <c r="G1255" t="n">
        <v>3</v>
      </c>
      <c r="H1255" t="n">
        <v>9</v>
      </c>
    </row>
    <row r="1256">
      <c r="A1256" t="inlineStr">
        <is>
          <t>2026-10-09</t>
        </is>
      </c>
      <c r="B1256" t="n">
        <v>643672</v>
      </c>
      <c r="C1256" t="n">
        <v>3450</v>
      </c>
      <c r="D1256" t="n">
        <v>1647122</v>
      </c>
      <c r="E1256" t="n">
        <v>1371850</v>
      </c>
      <c r="F1256" t="n">
        <v>-0.41</v>
      </c>
      <c r="G1256" t="n">
        <v>4</v>
      </c>
      <c r="H1256" t="n">
        <v>10</v>
      </c>
    </row>
    <row r="1257">
      <c r="A1257" t="inlineStr">
        <is>
          <t>2026-10-12</t>
        </is>
      </c>
      <c r="B1257" t="n">
        <v>661092</v>
      </c>
      <c r="C1257" t="n">
        <v>-3440</v>
      </c>
      <c r="D1257" t="n">
        <v>1657652</v>
      </c>
      <c r="E1257" t="n">
        <v>1381916</v>
      </c>
      <c r="F1257" t="n">
        <v>0</v>
      </c>
      <c r="G1257" t="n">
        <v>3</v>
      </c>
      <c r="H1257" t="n">
        <v>9</v>
      </c>
    </row>
    <row r="1258">
      <c r="A1258" t="inlineStr">
        <is>
          <t>2026-10-13</t>
        </is>
      </c>
      <c r="B1258" t="n">
        <v>661092</v>
      </c>
      <c r="C1258" t="n">
        <v>11800</v>
      </c>
      <c r="D1258" t="n">
        <v>1672892</v>
      </c>
      <c r="E1258" t="n">
        <v>1397156</v>
      </c>
      <c r="F1258" t="n">
        <v>0</v>
      </c>
      <c r="G1258" t="n">
        <v>3</v>
      </c>
      <c r="H1258" t="n">
        <v>9</v>
      </c>
    </row>
    <row r="1259">
      <c r="A1259" t="inlineStr">
        <is>
          <t>2026-10-14</t>
        </is>
      </c>
      <c r="B1259" t="n">
        <v>680012</v>
      </c>
      <c r="C1259" t="n">
        <v>-5360</v>
      </c>
      <c r="D1259" t="n">
        <v>1674652</v>
      </c>
      <c r="E1259" t="n">
        <v>1397993</v>
      </c>
      <c r="F1259" t="n">
        <v>0</v>
      </c>
      <c r="G1259" t="n">
        <v>4</v>
      </c>
      <c r="H1259" t="n">
        <v>10</v>
      </c>
    </row>
    <row r="1260">
      <c r="A1260" t="inlineStr">
        <is>
          <t>2026-10-15</t>
        </is>
      </c>
      <c r="B1260" t="n">
        <v>680012</v>
      </c>
      <c r="C1260" t="n">
        <v>7500</v>
      </c>
      <c r="D1260" t="n">
        <v>1687512</v>
      </c>
      <c r="E1260" t="n">
        <v>1410853</v>
      </c>
      <c r="F1260" t="n">
        <v>0</v>
      </c>
      <c r="G1260" t="n">
        <v>4</v>
      </c>
      <c r="H1260" t="n">
        <v>10</v>
      </c>
    </row>
    <row r="1261">
      <c r="A1261" t="inlineStr">
        <is>
          <t>2026-10-16</t>
        </is>
      </c>
      <c r="B1261" t="n">
        <v>678332</v>
      </c>
      <c r="C1261" t="n">
        <v>-2115</v>
      </c>
      <c r="D1261" t="n">
        <v>1676217</v>
      </c>
      <c r="E1261" t="n">
        <v>1399255</v>
      </c>
      <c r="F1261" t="n">
        <v>-0.67</v>
      </c>
      <c r="G1261" t="n">
        <v>4</v>
      </c>
      <c r="H1261" t="n">
        <v>10</v>
      </c>
    </row>
    <row r="1262">
      <c r="A1262" t="inlineStr">
        <is>
          <t>2026-10-19</t>
        </is>
      </c>
      <c r="B1262" t="n">
        <v>678332</v>
      </c>
      <c r="C1262" t="n">
        <v>-875</v>
      </c>
      <c r="D1262" t="n">
        <v>1677457</v>
      </c>
      <c r="E1262" t="n">
        <v>1400495</v>
      </c>
      <c r="F1262" t="n">
        <v>-0.6</v>
      </c>
      <c r="G1262" t="n">
        <v>4</v>
      </c>
      <c r="H1262" t="n">
        <v>10</v>
      </c>
    </row>
    <row r="1263">
      <c r="A1263" t="inlineStr">
        <is>
          <t>2026-10-20</t>
        </is>
      </c>
      <c r="B1263" t="n">
        <v>678332</v>
      </c>
      <c r="C1263" t="n">
        <v>9925</v>
      </c>
      <c r="D1263" t="n">
        <v>1688257</v>
      </c>
      <c r="E1263" t="n">
        <v>1411295</v>
      </c>
      <c r="F1263" t="n">
        <v>0</v>
      </c>
      <c r="G1263" t="n">
        <v>4</v>
      </c>
      <c r="H1263" t="n">
        <v>10</v>
      </c>
    </row>
    <row r="1264">
      <c r="A1264" t="inlineStr">
        <is>
          <t>2026-10-21</t>
        </is>
      </c>
      <c r="B1264" t="n">
        <v>670073</v>
      </c>
      <c r="C1264" t="n">
        <v>12450</v>
      </c>
      <c r="D1264" t="n">
        <v>1682523</v>
      </c>
      <c r="E1264" t="n">
        <v>1405066</v>
      </c>
      <c r="F1264" t="n">
        <v>-0.34</v>
      </c>
      <c r="G1264" t="n">
        <v>4</v>
      </c>
      <c r="H1264" t="n">
        <v>10</v>
      </c>
    </row>
    <row r="1265">
      <c r="A1265" t="inlineStr">
        <is>
          <t>2026-10-22</t>
        </is>
      </c>
      <c r="B1265" t="n">
        <v>676193</v>
      </c>
      <c r="C1265" t="n">
        <v>29200</v>
      </c>
      <c r="D1265" t="n">
        <v>1705393</v>
      </c>
      <c r="E1265" t="n">
        <v>1427741</v>
      </c>
      <c r="F1265" t="n">
        <v>0</v>
      </c>
      <c r="G1265" t="n">
        <v>4</v>
      </c>
      <c r="H1265" t="n">
        <v>10</v>
      </c>
    </row>
    <row r="1266">
      <c r="A1266" t="inlineStr">
        <is>
          <t>2026-10-23</t>
        </is>
      </c>
      <c r="B1266" t="n">
        <v>676193</v>
      </c>
      <c r="C1266" t="n">
        <v>32860</v>
      </c>
      <c r="D1266" t="n">
        <v>1709053</v>
      </c>
      <c r="E1266" t="n">
        <v>1431401</v>
      </c>
      <c r="F1266" t="n">
        <v>0</v>
      </c>
      <c r="G1266" t="n">
        <v>4</v>
      </c>
      <c r="H1266" t="n">
        <v>10</v>
      </c>
    </row>
    <row r="1267">
      <c r="A1267" t="inlineStr">
        <is>
          <t>2026-10-26</t>
        </is>
      </c>
      <c r="B1267" t="n">
        <v>694073</v>
      </c>
      <c r="C1267" t="n">
        <v>20880</v>
      </c>
      <c r="D1267" t="n">
        <v>1714953</v>
      </c>
      <c r="E1267" t="n">
        <v>1437225</v>
      </c>
      <c r="F1267" t="n">
        <v>0</v>
      </c>
      <c r="G1267" t="n">
        <v>4</v>
      </c>
      <c r="H1267" t="n">
        <v>10</v>
      </c>
    </row>
    <row r="1268">
      <c r="A1268" t="inlineStr">
        <is>
          <t>2026-10-27</t>
        </is>
      </c>
      <c r="B1268" t="n">
        <v>693593</v>
      </c>
      <c r="C1268" t="n">
        <v>27980</v>
      </c>
      <c r="D1268" t="n">
        <v>1721573</v>
      </c>
      <c r="E1268" t="n">
        <v>1443569</v>
      </c>
      <c r="F1268" t="n">
        <v>0</v>
      </c>
      <c r="G1268" t="n">
        <v>4</v>
      </c>
      <c r="H1268" t="n">
        <v>10</v>
      </c>
    </row>
    <row r="1269">
      <c r="A1269" t="inlineStr">
        <is>
          <t>2026-10-28</t>
        </is>
      </c>
      <c r="B1269" t="n">
        <v>693593</v>
      </c>
      <c r="C1269" t="n">
        <v>30620</v>
      </c>
      <c r="D1269" t="n">
        <v>1724213</v>
      </c>
      <c r="E1269" t="n">
        <v>1446209</v>
      </c>
      <c r="F1269" t="n">
        <v>0</v>
      </c>
      <c r="G1269" t="n">
        <v>4</v>
      </c>
      <c r="H1269" t="n">
        <v>10</v>
      </c>
    </row>
    <row r="1270">
      <c r="A1270" t="inlineStr">
        <is>
          <t>2026-10-29</t>
        </is>
      </c>
      <c r="B1270" t="n">
        <v>693593</v>
      </c>
      <c r="C1270" t="n">
        <v>20670</v>
      </c>
      <c r="D1270" t="n">
        <v>1714263</v>
      </c>
      <c r="E1270" t="n">
        <v>1436259</v>
      </c>
      <c r="F1270" t="n">
        <v>-0.58</v>
      </c>
      <c r="G1270" t="n">
        <v>4</v>
      </c>
      <c r="H1270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38" t="inlineStr">
        <is>
          <t>按年份</t>
        </is>
      </c>
    </row>
    <row r="2">
      <c r="A2" s="36" t="inlineStr">
        <is>
          <t>分组</t>
        </is>
      </c>
      <c r="B2" s="36" t="inlineStr">
        <is>
          <t>笔数</t>
        </is>
      </c>
      <c r="C2" s="36" t="inlineStr">
        <is>
          <t>胜率%</t>
        </is>
      </c>
      <c r="D2" s="36" t="inlineStr">
        <is>
          <t>均盈</t>
        </is>
      </c>
      <c r="E2" s="36" t="inlineStr">
        <is>
          <t>均亏</t>
        </is>
      </c>
      <c r="F2" s="36" t="inlineStr">
        <is>
          <t>盈亏比</t>
        </is>
      </c>
      <c r="G2" s="36" t="inlineStr">
        <is>
          <t>盈亏因子</t>
        </is>
      </c>
      <c r="H2" s="36" t="inlineStr">
        <is>
          <t>盈亏合计</t>
        </is>
      </c>
      <c r="I2" s="36" t="inlineStr">
        <is>
          <t>估算成本</t>
        </is>
      </c>
    </row>
    <row r="3">
      <c r="A3" t="inlineStr">
        <is>
          <t>2021</t>
        </is>
      </c>
      <c r="B3" t="n">
        <v>73</v>
      </c>
      <c r="C3" t="n">
        <v>42.5</v>
      </c>
      <c r="D3" t="n">
        <v>2232</v>
      </c>
      <c r="E3" t="n">
        <v>4009</v>
      </c>
      <c r="F3" t="n">
        <v>0.5600000000000001</v>
      </c>
      <c r="G3" t="n">
        <v>0.41</v>
      </c>
      <c r="H3" t="n">
        <v>-99185</v>
      </c>
      <c r="I3" t="n">
        <v>8369</v>
      </c>
    </row>
    <row r="4">
      <c r="A4" t="inlineStr">
        <is>
          <t>2022</t>
        </is>
      </c>
      <c r="B4" t="n">
        <v>145</v>
      </c>
      <c r="C4" t="n">
        <v>50.3</v>
      </c>
      <c r="D4" t="n">
        <v>7638</v>
      </c>
      <c r="E4" t="n">
        <v>6546</v>
      </c>
      <c r="F4" t="n">
        <v>1.17</v>
      </c>
      <c r="G4" t="n">
        <v>1.18</v>
      </c>
      <c r="H4" t="n">
        <v>86309</v>
      </c>
      <c r="I4" t="n">
        <v>24621</v>
      </c>
    </row>
    <row r="5">
      <c r="A5" t="inlineStr">
        <is>
          <t>2023</t>
        </is>
      </c>
      <c r="B5" t="n">
        <v>177</v>
      </c>
      <c r="C5" t="n">
        <v>49.7</v>
      </c>
      <c r="D5" t="n">
        <v>7214</v>
      </c>
      <c r="E5" t="n">
        <v>8160</v>
      </c>
      <c r="F5" t="n">
        <v>0.88</v>
      </c>
      <c r="G5" t="n">
        <v>0.87</v>
      </c>
      <c r="H5" t="n">
        <v>-91375</v>
      </c>
      <c r="I5" t="n">
        <v>43910</v>
      </c>
    </row>
    <row r="6">
      <c r="A6" t="inlineStr">
        <is>
          <t>2024</t>
        </is>
      </c>
      <c r="B6" t="n">
        <v>213</v>
      </c>
      <c r="C6" t="n">
        <v>56.8</v>
      </c>
      <c r="D6" t="n">
        <v>7151</v>
      </c>
      <c r="E6" t="n">
        <v>5332</v>
      </c>
      <c r="F6" t="n">
        <v>1.34</v>
      </c>
      <c r="G6" t="n">
        <v>1.76</v>
      </c>
      <c r="H6" t="n">
        <v>374729</v>
      </c>
      <c r="I6" t="n">
        <v>58135</v>
      </c>
    </row>
    <row r="7">
      <c r="A7" t="inlineStr">
        <is>
          <t>2025</t>
        </is>
      </c>
      <c r="B7" t="n">
        <v>200</v>
      </c>
      <c r="C7" t="n">
        <v>57.5</v>
      </c>
      <c r="D7" t="n">
        <v>8082</v>
      </c>
      <c r="E7" t="n">
        <v>7987</v>
      </c>
      <c r="F7" t="n">
        <v>1.01</v>
      </c>
      <c r="G7" t="n">
        <v>1.37</v>
      </c>
      <c r="H7" t="n">
        <v>250614</v>
      </c>
      <c r="I7" t="n">
        <v>84441</v>
      </c>
    </row>
    <row r="8">
      <c r="A8" t="inlineStr">
        <is>
          <t>2026</t>
        </is>
      </c>
      <c r="B8" t="n">
        <v>163</v>
      </c>
      <c r="C8" t="n">
        <v>52.1</v>
      </c>
      <c r="D8" t="n">
        <v>9123</v>
      </c>
      <c r="E8" t="n">
        <v>7730</v>
      </c>
      <c r="F8" t="n">
        <v>1.18</v>
      </c>
      <c r="G8" t="n">
        <v>1.29</v>
      </c>
      <c r="H8" t="n">
        <v>172501</v>
      </c>
      <c r="I8" t="n">
        <v>58528</v>
      </c>
    </row>
    <row r="10">
      <c r="A10" s="38" t="inlineStr">
        <is>
          <t>按月份</t>
        </is>
      </c>
    </row>
    <row r="11">
      <c r="A11" s="36" t="inlineStr">
        <is>
          <t>分组</t>
        </is>
      </c>
      <c r="B11" s="36" t="inlineStr">
        <is>
          <t>笔数</t>
        </is>
      </c>
      <c r="C11" s="36" t="inlineStr">
        <is>
          <t>胜率%</t>
        </is>
      </c>
      <c r="D11" s="36" t="inlineStr">
        <is>
          <t>均盈</t>
        </is>
      </c>
      <c r="E11" s="36" t="inlineStr">
        <is>
          <t>均亏</t>
        </is>
      </c>
      <c r="F11" s="36" t="inlineStr">
        <is>
          <t>盈亏比</t>
        </is>
      </c>
      <c r="G11" s="36" t="inlineStr">
        <is>
          <t>盈亏因子</t>
        </is>
      </c>
      <c r="H11" s="36" t="inlineStr">
        <is>
          <t>盈亏合计</t>
        </is>
      </c>
      <c r="I11" s="36" t="inlineStr">
        <is>
          <t>估算成本</t>
        </is>
      </c>
    </row>
    <row r="12">
      <c r="A12" t="inlineStr">
        <is>
          <t>2021-08</t>
        </is>
      </c>
      <c r="B12" t="n">
        <v>23</v>
      </c>
      <c r="C12" t="n">
        <v>47.8</v>
      </c>
      <c r="D12" t="n">
        <v>2332</v>
      </c>
      <c r="E12" t="n">
        <v>1481</v>
      </c>
      <c r="F12" t="n">
        <v>1.57</v>
      </c>
      <c r="G12" t="n">
        <v>1.44</v>
      </c>
      <c r="H12" t="n">
        <v>7880</v>
      </c>
      <c r="I12" t="n">
        <v>2308</v>
      </c>
    </row>
    <row r="13">
      <c r="A13" t="inlineStr">
        <is>
          <t>2021-09</t>
        </is>
      </c>
      <c r="B13" t="n">
        <v>17</v>
      </c>
      <c r="C13" t="n">
        <v>35.3</v>
      </c>
      <c r="D13" t="n">
        <v>3537</v>
      </c>
      <c r="E13" t="n">
        <v>6206</v>
      </c>
      <c r="F13" t="n">
        <v>0.57</v>
      </c>
      <c r="G13" t="n">
        <v>0.31</v>
      </c>
      <c r="H13" t="n">
        <v>-47051</v>
      </c>
      <c r="I13" t="n">
        <v>3812</v>
      </c>
    </row>
    <row r="14">
      <c r="A14" t="inlineStr">
        <is>
          <t>2021-10</t>
        </is>
      </c>
      <c r="B14" t="n">
        <v>10</v>
      </c>
      <c r="C14" t="n">
        <v>50</v>
      </c>
      <c r="D14" t="n">
        <v>2539</v>
      </c>
      <c r="E14" t="n">
        <v>5815</v>
      </c>
      <c r="F14" t="n">
        <v>0.44</v>
      </c>
      <c r="G14" t="n">
        <v>0.44</v>
      </c>
      <c r="H14" t="n">
        <v>-16381</v>
      </c>
      <c r="I14" t="n">
        <v>854</v>
      </c>
    </row>
    <row r="15">
      <c r="A15" t="inlineStr">
        <is>
          <t>2021-11</t>
        </is>
      </c>
      <c r="B15" t="n">
        <v>14</v>
      </c>
      <c r="C15" t="n">
        <v>50</v>
      </c>
      <c r="D15" t="n">
        <v>957</v>
      </c>
      <c r="E15" t="n">
        <v>2556</v>
      </c>
      <c r="F15" t="n">
        <v>0.37</v>
      </c>
      <c r="G15" t="n">
        <v>0.37</v>
      </c>
      <c r="H15" t="n">
        <v>-11194</v>
      </c>
      <c r="I15" t="n">
        <v>603</v>
      </c>
    </row>
    <row r="16">
      <c r="A16" t="inlineStr">
        <is>
          <t>2021-12</t>
        </is>
      </c>
      <c r="B16" t="n">
        <v>9</v>
      </c>
      <c r="C16" t="n">
        <v>22.2</v>
      </c>
      <c r="D16" t="n">
        <v>1460</v>
      </c>
      <c r="E16" t="n">
        <v>5051</v>
      </c>
      <c r="F16" t="n">
        <v>0.29</v>
      </c>
      <c r="G16" t="n">
        <v>0.08</v>
      </c>
      <c r="H16" t="n">
        <v>-32439</v>
      </c>
      <c r="I16" t="n">
        <v>792</v>
      </c>
    </row>
    <row r="17">
      <c r="A17" t="inlineStr">
        <is>
          <t>2022-01</t>
        </is>
      </c>
      <c r="B17" t="n">
        <v>19</v>
      </c>
      <c r="C17" t="n">
        <v>63.2</v>
      </c>
      <c r="D17" t="n">
        <v>1608</v>
      </c>
      <c r="E17" t="n">
        <v>1786</v>
      </c>
      <c r="F17" t="n">
        <v>0.9</v>
      </c>
      <c r="G17" t="n">
        <v>1.54</v>
      </c>
      <c r="H17" t="n">
        <v>6785</v>
      </c>
      <c r="I17" t="n">
        <v>1452</v>
      </c>
    </row>
    <row r="18">
      <c r="A18" t="inlineStr">
        <is>
          <t>2022-02</t>
        </is>
      </c>
      <c r="B18" t="n">
        <v>14</v>
      </c>
      <c r="C18" t="n">
        <v>42.9</v>
      </c>
      <c r="D18" t="n">
        <v>6396</v>
      </c>
      <c r="E18" t="n">
        <v>7504</v>
      </c>
      <c r="F18" t="n">
        <v>0.85</v>
      </c>
      <c r="G18" t="n">
        <v>0.64</v>
      </c>
      <c r="H18" t="n">
        <v>-21654</v>
      </c>
      <c r="I18" t="n">
        <v>2107</v>
      </c>
    </row>
    <row r="19">
      <c r="A19" t="inlineStr">
        <is>
          <t>2022-03</t>
        </is>
      </c>
      <c r="B19" t="n">
        <v>10</v>
      </c>
      <c r="C19" t="n">
        <v>70</v>
      </c>
      <c r="D19" t="n">
        <v>19012</v>
      </c>
      <c r="E19" t="n">
        <v>5840</v>
      </c>
      <c r="F19" t="n">
        <v>3.26</v>
      </c>
      <c r="G19" t="n">
        <v>7.6</v>
      </c>
      <c r="H19" t="n">
        <v>115565</v>
      </c>
      <c r="I19" t="n">
        <v>1438</v>
      </c>
    </row>
    <row r="20">
      <c r="A20" t="inlineStr">
        <is>
          <t>2022-04</t>
        </is>
      </c>
      <c r="B20" t="n">
        <v>11</v>
      </c>
      <c r="C20" t="n">
        <v>54.5</v>
      </c>
      <c r="D20" t="n">
        <v>9035</v>
      </c>
      <c r="E20" t="n">
        <v>8149</v>
      </c>
      <c r="F20" t="n">
        <v>1.11</v>
      </c>
      <c r="G20" t="n">
        <v>1.33</v>
      </c>
      <c r="H20" t="n">
        <v>13465</v>
      </c>
      <c r="I20" t="n">
        <v>1804</v>
      </c>
    </row>
    <row r="21">
      <c r="A21" t="inlineStr">
        <is>
          <t>2022-05</t>
        </is>
      </c>
      <c r="B21" t="n">
        <v>14</v>
      </c>
      <c r="C21" t="n">
        <v>50</v>
      </c>
      <c r="D21" t="n">
        <v>5801</v>
      </c>
      <c r="E21" t="n">
        <v>8097</v>
      </c>
      <c r="F21" t="n">
        <v>0.72</v>
      </c>
      <c r="G21" t="n">
        <v>0.72</v>
      </c>
      <c r="H21" t="n">
        <v>-16075</v>
      </c>
      <c r="I21" t="n">
        <v>2835</v>
      </c>
    </row>
    <row r="22">
      <c r="A22" t="inlineStr">
        <is>
          <t>2022-06</t>
        </is>
      </c>
      <c r="B22" t="n">
        <v>10</v>
      </c>
      <c r="C22" t="n">
        <v>50</v>
      </c>
      <c r="D22" t="n">
        <v>6970</v>
      </c>
      <c r="E22" t="n">
        <v>8311</v>
      </c>
      <c r="F22" t="n">
        <v>0.84</v>
      </c>
      <c r="G22" t="n">
        <v>0.84</v>
      </c>
      <c r="H22" t="n">
        <v>-6705</v>
      </c>
      <c r="I22" t="n">
        <v>2220</v>
      </c>
    </row>
    <row r="23">
      <c r="A23" t="inlineStr">
        <is>
          <t>2022-07</t>
        </is>
      </c>
      <c r="B23" t="n">
        <v>18</v>
      </c>
      <c r="C23" t="n">
        <v>38.9</v>
      </c>
      <c r="D23" t="n">
        <v>8686</v>
      </c>
      <c r="E23" t="n">
        <v>4569</v>
      </c>
      <c r="F23" t="n">
        <v>1.9</v>
      </c>
      <c r="G23" t="n">
        <v>1.21</v>
      </c>
      <c r="H23" t="n">
        <v>10537</v>
      </c>
      <c r="I23" t="n">
        <v>3079</v>
      </c>
    </row>
    <row r="24">
      <c r="A24" t="inlineStr">
        <is>
          <t>2022-08</t>
        </is>
      </c>
      <c r="B24" t="n">
        <v>11</v>
      </c>
      <c r="C24" t="n">
        <v>45.5</v>
      </c>
      <c r="D24" t="n">
        <v>3584</v>
      </c>
      <c r="E24" t="n">
        <v>7026</v>
      </c>
      <c r="F24" t="n">
        <v>0.51</v>
      </c>
      <c r="G24" t="n">
        <v>0.43</v>
      </c>
      <c r="H24" t="n">
        <v>-24236</v>
      </c>
      <c r="I24" t="n">
        <v>1410</v>
      </c>
    </row>
    <row r="25">
      <c r="A25" t="inlineStr">
        <is>
          <t>2022-09</t>
        </is>
      </c>
      <c r="B25" t="n">
        <v>7</v>
      </c>
      <c r="C25" t="n">
        <v>28.6</v>
      </c>
      <c r="D25" t="n">
        <v>7991</v>
      </c>
      <c r="E25" t="n">
        <v>9307</v>
      </c>
      <c r="F25" t="n">
        <v>0.86</v>
      </c>
      <c r="G25" t="n">
        <v>0.34</v>
      </c>
      <c r="H25" t="n">
        <v>-30553</v>
      </c>
      <c r="I25" t="n">
        <v>1495</v>
      </c>
    </row>
    <row r="26">
      <c r="A26" t="inlineStr">
        <is>
          <t>2022-10</t>
        </is>
      </c>
      <c r="B26" t="n">
        <v>7</v>
      </c>
      <c r="C26" t="n">
        <v>71.40000000000001</v>
      </c>
      <c r="D26" t="n">
        <v>12269</v>
      </c>
      <c r="E26" t="n">
        <v>1465</v>
      </c>
      <c r="F26" t="n">
        <v>8.380000000000001</v>
      </c>
      <c r="G26" t="n">
        <v>20.94</v>
      </c>
      <c r="H26" t="n">
        <v>58417</v>
      </c>
      <c r="I26" t="n">
        <v>1778</v>
      </c>
    </row>
    <row r="27">
      <c r="A27" t="inlineStr">
        <is>
          <t>2022-11</t>
        </is>
      </c>
      <c r="B27" t="n">
        <v>10</v>
      </c>
      <c r="C27" t="n">
        <v>30</v>
      </c>
      <c r="D27" t="n">
        <v>8883</v>
      </c>
      <c r="E27" t="n">
        <v>9045</v>
      </c>
      <c r="F27" t="n">
        <v>0.98</v>
      </c>
      <c r="G27" t="n">
        <v>0.42</v>
      </c>
      <c r="H27" t="n">
        <v>-36667</v>
      </c>
      <c r="I27" t="n">
        <v>2644</v>
      </c>
    </row>
    <row r="28">
      <c r="A28" t="inlineStr">
        <is>
          <t>2022-12</t>
        </is>
      </c>
      <c r="B28" t="n">
        <v>14</v>
      </c>
      <c r="C28" t="n">
        <v>57.1</v>
      </c>
      <c r="D28" t="n">
        <v>6809</v>
      </c>
      <c r="E28" t="n">
        <v>6174</v>
      </c>
      <c r="F28" t="n">
        <v>1.1</v>
      </c>
      <c r="G28" t="n">
        <v>1.47</v>
      </c>
      <c r="H28" t="n">
        <v>17430</v>
      </c>
      <c r="I28" t="n">
        <v>2359</v>
      </c>
    </row>
    <row r="29">
      <c r="A29" t="inlineStr">
        <is>
          <t>2023-01</t>
        </is>
      </c>
      <c r="B29" t="n">
        <v>12</v>
      </c>
      <c r="C29" t="n">
        <v>33.3</v>
      </c>
      <c r="D29" t="n">
        <v>3150</v>
      </c>
      <c r="E29" t="n">
        <v>10662</v>
      </c>
      <c r="F29" t="n">
        <v>0.3</v>
      </c>
      <c r="G29" t="n">
        <v>0.15</v>
      </c>
      <c r="H29" t="n">
        <v>-72695</v>
      </c>
      <c r="I29" t="n">
        <v>3372</v>
      </c>
    </row>
    <row r="30">
      <c r="A30" t="inlineStr">
        <is>
          <t>2023-02</t>
        </is>
      </c>
      <c r="B30" t="n">
        <v>9</v>
      </c>
      <c r="C30" t="n">
        <v>33.3</v>
      </c>
      <c r="D30" t="n">
        <v>11357</v>
      </c>
      <c r="E30" t="n">
        <v>6846</v>
      </c>
      <c r="F30" t="n">
        <v>1.66</v>
      </c>
      <c r="G30" t="n">
        <v>0.83</v>
      </c>
      <c r="H30" t="n">
        <v>-7003</v>
      </c>
      <c r="I30" t="n">
        <v>2305</v>
      </c>
    </row>
    <row r="31">
      <c r="A31" t="inlineStr">
        <is>
          <t>2023-03</t>
        </is>
      </c>
      <c r="B31" t="n">
        <v>21</v>
      </c>
      <c r="C31" t="n">
        <v>61.9</v>
      </c>
      <c r="D31" t="n">
        <v>8305</v>
      </c>
      <c r="E31" t="n">
        <v>4946</v>
      </c>
      <c r="F31" t="n">
        <v>1.68</v>
      </c>
      <c r="G31" t="n">
        <v>2.73</v>
      </c>
      <c r="H31" t="n">
        <v>68398</v>
      </c>
      <c r="I31" t="n">
        <v>4457</v>
      </c>
    </row>
    <row r="32">
      <c r="A32" t="inlineStr">
        <is>
          <t>2023-04</t>
        </is>
      </c>
      <c r="B32" t="n">
        <v>14</v>
      </c>
      <c r="C32" t="n">
        <v>57.1</v>
      </c>
      <c r="D32" t="n">
        <v>7811</v>
      </c>
      <c r="E32" t="n">
        <v>12108</v>
      </c>
      <c r="F32" t="n">
        <v>0.65</v>
      </c>
      <c r="G32" t="n">
        <v>0.86</v>
      </c>
      <c r="H32" t="n">
        <v>-10160</v>
      </c>
      <c r="I32" t="n">
        <v>4721</v>
      </c>
    </row>
    <row r="33">
      <c r="A33" t="inlineStr">
        <is>
          <t>2023-05</t>
        </is>
      </c>
      <c r="B33" t="n">
        <v>19</v>
      </c>
      <c r="C33" t="n">
        <v>47.4</v>
      </c>
      <c r="D33" t="n">
        <v>8688</v>
      </c>
      <c r="E33" t="n">
        <v>6955</v>
      </c>
      <c r="F33" t="n">
        <v>1.25</v>
      </c>
      <c r="G33" t="n">
        <v>1.12</v>
      </c>
      <c r="H33" t="n">
        <v>8644</v>
      </c>
      <c r="I33" t="n">
        <v>5544</v>
      </c>
    </row>
    <row r="34">
      <c r="A34" t="inlineStr">
        <is>
          <t>2023-06</t>
        </is>
      </c>
      <c r="B34" t="n">
        <v>7</v>
      </c>
      <c r="C34" t="n">
        <v>14.3</v>
      </c>
      <c r="D34" t="n">
        <v>4600</v>
      </c>
      <c r="E34" t="n">
        <v>12922</v>
      </c>
      <c r="F34" t="n">
        <v>0.36</v>
      </c>
      <c r="G34" t="n">
        <v>0.06</v>
      </c>
      <c r="H34" t="n">
        <v>-72934</v>
      </c>
      <c r="I34" t="n">
        <v>1324</v>
      </c>
    </row>
    <row r="35">
      <c r="A35" t="inlineStr">
        <is>
          <t>2023-07</t>
        </is>
      </c>
      <c r="B35" t="n">
        <v>24</v>
      </c>
      <c r="C35" t="n">
        <v>54.2</v>
      </c>
      <c r="D35" t="n">
        <v>7728</v>
      </c>
      <c r="E35" t="n">
        <v>7342</v>
      </c>
      <c r="F35" t="n">
        <v>1.05</v>
      </c>
      <c r="G35" t="n">
        <v>1.24</v>
      </c>
      <c r="H35" t="n">
        <v>19711</v>
      </c>
      <c r="I35" t="n">
        <v>6900</v>
      </c>
    </row>
    <row r="36">
      <c r="A36" t="inlineStr">
        <is>
          <t>2023-08</t>
        </is>
      </c>
      <c r="B36" t="n">
        <v>14</v>
      </c>
      <c r="C36" t="n">
        <v>64.3</v>
      </c>
      <c r="D36" t="n">
        <v>6203</v>
      </c>
      <c r="E36" t="n">
        <v>7947</v>
      </c>
      <c r="F36" t="n">
        <v>0.78</v>
      </c>
      <c r="G36" t="n">
        <v>1.41</v>
      </c>
      <c r="H36" t="n">
        <v>16092</v>
      </c>
      <c r="I36" t="n">
        <v>3039</v>
      </c>
    </row>
    <row r="37">
      <c r="A37" t="inlineStr">
        <is>
          <t>2023-09</t>
        </is>
      </c>
      <c r="B37" t="n">
        <v>18</v>
      </c>
      <c r="C37" t="n">
        <v>44.4</v>
      </c>
      <c r="D37" t="n">
        <v>8776</v>
      </c>
      <c r="E37" t="n">
        <v>7620</v>
      </c>
      <c r="F37" t="n">
        <v>1.15</v>
      </c>
      <c r="G37" t="n">
        <v>0.92</v>
      </c>
      <c r="H37" t="n">
        <v>-5995</v>
      </c>
      <c r="I37" t="n">
        <v>4107</v>
      </c>
    </row>
    <row r="38">
      <c r="A38" t="inlineStr">
        <is>
          <t>2023-10</t>
        </is>
      </c>
      <c r="B38" t="n">
        <v>9</v>
      </c>
      <c r="C38" t="n">
        <v>44.4</v>
      </c>
      <c r="D38" t="n">
        <v>4232</v>
      </c>
      <c r="E38" t="n">
        <v>7141</v>
      </c>
      <c r="F38" t="n">
        <v>0.59</v>
      </c>
      <c r="G38" t="n">
        <v>0.47</v>
      </c>
      <c r="H38" t="n">
        <v>-18777</v>
      </c>
      <c r="I38" t="n">
        <v>2137</v>
      </c>
    </row>
    <row r="39">
      <c r="A39" t="inlineStr">
        <is>
          <t>2023-11</t>
        </is>
      </c>
      <c r="B39" t="n">
        <v>14</v>
      </c>
      <c r="C39" t="n">
        <v>42.9</v>
      </c>
      <c r="D39" t="n">
        <v>7055</v>
      </c>
      <c r="E39" t="n">
        <v>5674</v>
      </c>
      <c r="F39" t="n">
        <v>1.24</v>
      </c>
      <c r="G39" t="n">
        <v>0.93</v>
      </c>
      <c r="H39" t="n">
        <v>-3065</v>
      </c>
      <c r="I39" t="n">
        <v>2598</v>
      </c>
    </row>
    <row r="40">
      <c r="A40" t="inlineStr">
        <is>
          <t>2023-12</t>
        </is>
      </c>
      <c r="B40" t="n">
        <v>16</v>
      </c>
      <c r="C40" t="n">
        <v>62.5</v>
      </c>
      <c r="D40" t="n">
        <v>4920</v>
      </c>
      <c r="E40" t="n">
        <v>10464</v>
      </c>
      <c r="F40" t="n">
        <v>0.47</v>
      </c>
      <c r="G40" t="n">
        <v>0.78</v>
      </c>
      <c r="H40" t="n">
        <v>-13591</v>
      </c>
      <c r="I40" t="n">
        <v>3406</v>
      </c>
    </row>
    <row r="41">
      <c r="A41" t="inlineStr">
        <is>
          <t>2024-01</t>
        </is>
      </c>
      <c r="B41" t="n">
        <v>19</v>
      </c>
      <c r="C41" t="n">
        <v>42.1</v>
      </c>
      <c r="D41" t="n">
        <v>4506</v>
      </c>
      <c r="E41" t="n">
        <v>6696</v>
      </c>
      <c r="F41" t="n">
        <v>0.67</v>
      </c>
      <c r="G41" t="n">
        <v>0.49</v>
      </c>
      <c r="H41" t="n">
        <v>-37608</v>
      </c>
      <c r="I41" t="n">
        <v>4392</v>
      </c>
    </row>
    <row r="42">
      <c r="A42" t="inlineStr">
        <is>
          <t>2024-02</t>
        </is>
      </c>
      <c r="B42" t="n">
        <v>13</v>
      </c>
      <c r="C42" t="n">
        <v>15.4</v>
      </c>
      <c r="D42" t="n">
        <v>3845</v>
      </c>
      <c r="E42" t="n">
        <v>2704</v>
      </c>
      <c r="F42" t="n">
        <v>1.42</v>
      </c>
      <c r="G42" t="n">
        <v>0.26</v>
      </c>
      <c r="H42" t="n">
        <v>-22054</v>
      </c>
      <c r="I42" t="n">
        <v>2693</v>
      </c>
    </row>
    <row r="43">
      <c r="A43" t="inlineStr">
        <is>
          <t>2024-03</t>
        </is>
      </c>
      <c r="B43" t="n">
        <v>29</v>
      </c>
      <c r="C43" t="n">
        <v>75.90000000000001</v>
      </c>
      <c r="D43" t="n">
        <v>4718</v>
      </c>
      <c r="E43" t="n">
        <v>4131</v>
      </c>
      <c r="F43" t="n">
        <v>1.14</v>
      </c>
      <c r="G43" t="n">
        <v>3.59</v>
      </c>
      <c r="H43" t="n">
        <v>74881</v>
      </c>
      <c r="I43" t="n">
        <v>5683</v>
      </c>
    </row>
    <row r="44">
      <c r="A44" t="inlineStr">
        <is>
          <t>2024-04</t>
        </is>
      </c>
      <c r="B44" t="n">
        <v>23</v>
      </c>
      <c r="C44" t="n">
        <v>60.9</v>
      </c>
      <c r="D44" t="n">
        <v>6286</v>
      </c>
      <c r="E44" t="n">
        <v>6399</v>
      </c>
      <c r="F44" t="n">
        <v>0.98</v>
      </c>
      <c r="G44" t="n">
        <v>1.53</v>
      </c>
      <c r="H44" t="n">
        <v>30410</v>
      </c>
      <c r="I44" t="n">
        <v>6100</v>
      </c>
    </row>
    <row r="45">
      <c r="A45" t="inlineStr">
        <is>
          <t>2024-05</t>
        </is>
      </c>
      <c r="B45" t="n">
        <v>11</v>
      </c>
      <c r="C45" t="n">
        <v>63.6</v>
      </c>
      <c r="D45" t="n">
        <v>10782</v>
      </c>
      <c r="E45" t="n">
        <v>12044</v>
      </c>
      <c r="F45" t="n">
        <v>0.9</v>
      </c>
      <c r="G45" t="n">
        <v>1.57</v>
      </c>
      <c r="H45" t="n">
        <v>27300</v>
      </c>
      <c r="I45" t="n">
        <v>2649</v>
      </c>
    </row>
    <row r="46">
      <c r="A46" t="inlineStr">
        <is>
          <t>2024-06</t>
        </is>
      </c>
      <c r="B46" t="n">
        <v>14</v>
      </c>
      <c r="C46" t="n">
        <v>42.9</v>
      </c>
      <c r="D46" t="n">
        <v>4485</v>
      </c>
      <c r="E46" t="n">
        <v>1244</v>
      </c>
      <c r="F46" t="n">
        <v>3.6</v>
      </c>
      <c r="G46" t="n">
        <v>2.7</v>
      </c>
      <c r="H46" t="n">
        <v>16955</v>
      </c>
      <c r="I46" t="n">
        <v>3643</v>
      </c>
    </row>
    <row r="47">
      <c r="A47" t="inlineStr">
        <is>
          <t>2024-07</t>
        </is>
      </c>
      <c r="B47" t="n">
        <v>16</v>
      </c>
      <c r="C47" t="n">
        <v>81.2</v>
      </c>
      <c r="D47" t="n">
        <v>8056</v>
      </c>
      <c r="E47" t="n">
        <v>13532</v>
      </c>
      <c r="F47" t="n">
        <v>0.6</v>
      </c>
      <c r="G47" t="n">
        <v>2.58</v>
      </c>
      <c r="H47" t="n">
        <v>64133</v>
      </c>
      <c r="I47" t="n">
        <v>6370</v>
      </c>
    </row>
    <row r="48">
      <c r="A48" t="inlineStr">
        <is>
          <t>2024-08</t>
        </is>
      </c>
      <c r="B48" t="n">
        <v>17</v>
      </c>
      <c r="C48" t="n">
        <v>58.8</v>
      </c>
      <c r="D48" t="n">
        <v>9387</v>
      </c>
      <c r="E48" t="n">
        <v>4498</v>
      </c>
      <c r="F48" t="n">
        <v>2.09</v>
      </c>
      <c r="G48" t="n">
        <v>2.98</v>
      </c>
      <c r="H48" t="n">
        <v>62382</v>
      </c>
      <c r="I48" t="n">
        <v>4891</v>
      </c>
    </row>
    <row r="49">
      <c r="A49" t="inlineStr">
        <is>
          <t>2024-09</t>
        </is>
      </c>
      <c r="B49" t="n">
        <v>23</v>
      </c>
      <c r="C49" t="n">
        <v>52.2</v>
      </c>
      <c r="D49" t="n">
        <v>6894</v>
      </c>
      <c r="E49" t="n">
        <v>7285</v>
      </c>
      <c r="F49" t="n">
        <v>0.95</v>
      </c>
      <c r="G49" t="n">
        <v>1.03</v>
      </c>
      <c r="H49" t="n">
        <v>2594</v>
      </c>
      <c r="I49" t="n">
        <v>6537</v>
      </c>
    </row>
    <row r="50">
      <c r="A50" t="inlineStr">
        <is>
          <t>2024-10</t>
        </is>
      </c>
      <c r="B50" t="n">
        <v>19</v>
      </c>
      <c r="C50" t="n">
        <v>42.1</v>
      </c>
      <c r="D50" t="n">
        <v>7702</v>
      </c>
      <c r="E50" t="n">
        <v>6107</v>
      </c>
      <c r="F50" t="n">
        <v>1.26</v>
      </c>
      <c r="G50" t="n">
        <v>0.92</v>
      </c>
      <c r="H50" t="n">
        <v>-5558</v>
      </c>
      <c r="I50" t="n">
        <v>5134</v>
      </c>
    </row>
    <row r="51">
      <c r="A51" t="inlineStr">
        <is>
          <t>2024-11</t>
        </is>
      </c>
      <c r="B51" t="n">
        <v>11</v>
      </c>
      <c r="C51" t="n">
        <v>63.6</v>
      </c>
      <c r="D51" t="n">
        <v>8986</v>
      </c>
      <c r="E51" t="n">
        <v>1830</v>
      </c>
      <c r="F51" t="n">
        <v>4.91</v>
      </c>
      <c r="G51" t="n">
        <v>8.59</v>
      </c>
      <c r="H51" t="n">
        <v>55580</v>
      </c>
      <c r="I51" t="n">
        <v>2960</v>
      </c>
    </row>
    <row r="52">
      <c r="A52" t="inlineStr">
        <is>
          <t>2024-12</t>
        </is>
      </c>
      <c r="B52" t="n">
        <v>18</v>
      </c>
      <c r="C52" t="n">
        <v>66.7</v>
      </c>
      <c r="D52" t="n">
        <v>10126</v>
      </c>
      <c r="E52" t="n">
        <v>2634</v>
      </c>
      <c r="F52" t="n">
        <v>3.85</v>
      </c>
      <c r="G52" t="n">
        <v>7.69</v>
      </c>
      <c r="H52" t="n">
        <v>105714</v>
      </c>
      <c r="I52" t="n">
        <v>7083</v>
      </c>
    </row>
    <row r="53">
      <c r="A53" t="inlineStr">
        <is>
          <t>2025-01</t>
        </is>
      </c>
      <c r="B53" t="n">
        <v>14</v>
      </c>
      <c r="C53" t="n">
        <v>64.3</v>
      </c>
      <c r="D53" t="n">
        <v>3752</v>
      </c>
      <c r="E53" t="n">
        <v>11303</v>
      </c>
      <c r="F53" t="n">
        <v>0.33</v>
      </c>
      <c r="G53" t="n">
        <v>0.6</v>
      </c>
      <c r="H53" t="n">
        <v>-22747</v>
      </c>
      <c r="I53" t="n">
        <v>6130</v>
      </c>
    </row>
    <row r="54">
      <c r="A54" t="inlineStr">
        <is>
          <t>2025-02</t>
        </is>
      </c>
      <c r="B54" t="n">
        <v>12</v>
      </c>
      <c r="C54" t="n">
        <v>58.3</v>
      </c>
      <c r="D54" t="n">
        <v>5261</v>
      </c>
      <c r="E54" t="n">
        <v>2883</v>
      </c>
      <c r="F54" t="n">
        <v>1.82</v>
      </c>
      <c r="G54" t="n">
        <v>2.55</v>
      </c>
      <c r="H54" t="n">
        <v>22415</v>
      </c>
      <c r="I54" t="n">
        <v>4836</v>
      </c>
    </row>
    <row r="55">
      <c r="A55" t="inlineStr">
        <is>
          <t>2025-03</t>
        </is>
      </c>
      <c r="B55" t="n">
        <v>15</v>
      </c>
      <c r="C55" t="n">
        <v>53.3</v>
      </c>
      <c r="D55" t="n">
        <v>9153</v>
      </c>
      <c r="E55" t="n">
        <v>8826</v>
      </c>
      <c r="F55" t="n">
        <v>1.04</v>
      </c>
      <c r="G55" t="n">
        <v>1.19</v>
      </c>
      <c r="H55" t="n">
        <v>11443</v>
      </c>
      <c r="I55" t="n">
        <v>8114</v>
      </c>
    </row>
    <row r="56">
      <c r="A56" t="inlineStr">
        <is>
          <t>2025-04</t>
        </is>
      </c>
      <c r="B56" t="n">
        <v>13</v>
      </c>
      <c r="C56" t="n">
        <v>69.2</v>
      </c>
      <c r="D56" t="n">
        <v>6163</v>
      </c>
      <c r="E56" t="n">
        <v>4760</v>
      </c>
      <c r="F56" t="n">
        <v>1.29</v>
      </c>
      <c r="G56" t="n">
        <v>2.91</v>
      </c>
      <c r="H56" t="n">
        <v>36430</v>
      </c>
      <c r="I56" t="n">
        <v>4730</v>
      </c>
    </row>
    <row r="57">
      <c r="A57" t="inlineStr">
        <is>
          <t>2025-05</t>
        </is>
      </c>
      <c r="B57" t="n">
        <v>22</v>
      </c>
      <c r="C57" t="n">
        <v>54.5</v>
      </c>
      <c r="D57" t="n">
        <v>5490</v>
      </c>
      <c r="E57" t="n">
        <v>7194</v>
      </c>
      <c r="F57" t="n">
        <v>0.76</v>
      </c>
      <c r="G57" t="n">
        <v>0.92</v>
      </c>
      <c r="H57" t="n">
        <v>-6060</v>
      </c>
      <c r="I57" t="n">
        <v>8927</v>
      </c>
    </row>
    <row r="58">
      <c r="A58" t="inlineStr">
        <is>
          <t>2025-06</t>
        </is>
      </c>
      <c r="B58" t="n">
        <v>11</v>
      </c>
      <c r="C58" t="n">
        <v>45.5</v>
      </c>
      <c r="D58" t="n">
        <v>9680</v>
      </c>
      <c r="E58" t="n">
        <v>12687</v>
      </c>
      <c r="F58" t="n">
        <v>0.76</v>
      </c>
      <c r="G58" t="n">
        <v>0.64</v>
      </c>
      <c r="H58" t="n">
        <v>-27721</v>
      </c>
      <c r="I58" t="n">
        <v>5180</v>
      </c>
    </row>
    <row r="59">
      <c r="A59" t="inlineStr">
        <is>
          <t>2025-07</t>
        </is>
      </c>
      <c r="B59" t="n">
        <v>14</v>
      </c>
      <c r="C59" t="n">
        <v>64.3</v>
      </c>
      <c r="D59" t="n">
        <v>12414</v>
      </c>
      <c r="E59" t="n">
        <v>6946</v>
      </c>
      <c r="F59" t="n">
        <v>1.79</v>
      </c>
      <c r="G59" t="n">
        <v>3.22</v>
      </c>
      <c r="H59" t="n">
        <v>76996</v>
      </c>
      <c r="I59" t="n">
        <v>7583</v>
      </c>
    </row>
    <row r="60">
      <c r="A60" t="inlineStr">
        <is>
          <t>2025-08</t>
        </is>
      </c>
      <c r="B60" t="n">
        <v>15</v>
      </c>
      <c r="C60" t="n">
        <v>40</v>
      </c>
      <c r="D60" t="n">
        <v>15668</v>
      </c>
      <c r="E60" t="n">
        <v>6614</v>
      </c>
      <c r="F60" t="n">
        <v>2.37</v>
      </c>
      <c r="G60" t="n">
        <v>1.58</v>
      </c>
      <c r="H60" t="n">
        <v>34482</v>
      </c>
      <c r="I60" t="n">
        <v>6421</v>
      </c>
    </row>
    <row r="61">
      <c r="A61" t="inlineStr">
        <is>
          <t>2025-09</t>
        </is>
      </c>
      <c r="B61" t="n">
        <v>18</v>
      </c>
      <c r="C61" t="n">
        <v>44.4</v>
      </c>
      <c r="D61" t="n">
        <v>7351</v>
      </c>
      <c r="E61" t="n">
        <v>6614</v>
      </c>
      <c r="F61" t="n">
        <v>1.11</v>
      </c>
      <c r="G61" t="n">
        <v>0.89</v>
      </c>
      <c r="H61" t="n">
        <v>-7332</v>
      </c>
      <c r="I61" t="n">
        <v>6178</v>
      </c>
    </row>
    <row r="62">
      <c r="A62" t="inlineStr">
        <is>
          <t>2025-10</t>
        </is>
      </c>
      <c r="B62" t="n">
        <v>19</v>
      </c>
      <c r="C62" t="n">
        <v>68.40000000000001</v>
      </c>
      <c r="D62" t="n">
        <v>7884</v>
      </c>
      <c r="E62" t="n">
        <v>3914</v>
      </c>
      <c r="F62" t="n">
        <v>2.01</v>
      </c>
      <c r="G62" t="n">
        <v>4.36</v>
      </c>
      <c r="H62" t="n">
        <v>79008</v>
      </c>
      <c r="I62" t="n">
        <v>7522</v>
      </c>
    </row>
    <row r="63">
      <c r="A63" t="inlineStr">
        <is>
          <t>2025-11</t>
        </is>
      </c>
      <c r="B63" t="n">
        <v>19</v>
      </c>
      <c r="C63" t="n">
        <v>68.40000000000001</v>
      </c>
      <c r="D63" t="n">
        <v>6568</v>
      </c>
      <c r="E63" t="n">
        <v>6140</v>
      </c>
      <c r="F63" t="n">
        <v>1.07</v>
      </c>
      <c r="G63" t="n">
        <v>2.32</v>
      </c>
      <c r="H63" t="n">
        <v>48551</v>
      </c>
      <c r="I63" t="n">
        <v>5318</v>
      </c>
    </row>
    <row r="64">
      <c r="A64" t="inlineStr">
        <is>
          <t>2025-12</t>
        </is>
      </c>
      <c r="B64" t="n">
        <v>28</v>
      </c>
      <c r="C64" t="n">
        <v>57.1</v>
      </c>
      <c r="D64" t="n">
        <v>10218</v>
      </c>
      <c r="E64" t="n">
        <v>13195</v>
      </c>
      <c r="F64" t="n">
        <v>0.77</v>
      </c>
      <c r="G64" t="n">
        <v>1.03</v>
      </c>
      <c r="H64" t="n">
        <v>5149</v>
      </c>
      <c r="I64" t="n">
        <v>13502</v>
      </c>
    </row>
    <row r="65">
      <c r="A65" t="inlineStr">
        <is>
          <t>2026-01</t>
        </is>
      </c>
      <c r="B65" t="n">
        <v>14</v>
      </c>
      <c r="C65" t="n">
        <v>57.1</v>
      </c>
      <c r="D65" t="n">
        <v>8232</v>
      </c>
      <c r="E65" t="n">
        <v>8501</v>
      </c>
      <c r="F65" t="n">
        <v>0.97</v>
      </c>
      <c r="G65" t="n">
        <v>1.29</v>
      </c>
      <c r="H65" t="n">
        <v>14849</v>
      </c>
      <c r="I65" t="n">
        <v>3671</v>
      </c>
    </row>
    <row r="66">
      <c r="A66" t="inlineStr">
        <is>
          <t>2026-02</t>
        </is>
      </c>
      <c r="B66" t="n">
        <v>10</v>
      </c>
      <c r="C66" t="n">
        <v>80</v>
      </c>
      <c r="D66" t="n">
        <v>8555</v>
      </c>
      <c r="E66" t="n">
        <v>5165</v>
      </c>
      <c r="F66" t="n">
        <v>1.66</v>
      </c>
      <c r="G66" t="n">
        <v>6.63</v>
      </c>
      <c r="H66" t="n">
        <v>58107</v>
      </c>
      <c r="I66" t="n">
        <v>4188</v>
      </c>
    </row>
    <row r="67">
      <c r="A67" t="inlineStr">
        <is>
          <t>2026-03</t>
        </is>
      </c>
      <c r="B67" t="n">
        <v>23</v>
      </c>
      <c r="C67" t="n">
        <v>43.5</v>
      </c>
      <c r="D67" t="n">
        <v>14228</v>
      </c>
      <c r="E67" t="n">
        <v>10744</v>
      </c>
      <c r="F67" t="n">
        <v>1.32</v>
      </c>
      <c r="G67" t="n">
        <v>1.02</v>
      </c>
      <c r="H67" t="n">
        <v>2604</v>
      </c>
      <c r="I67" t="n">
        <v>7046</v>
      </c>
    </row>
    <row r="68">
      <c r="A68" t="inlineStr">
        <is>
          <t>2026-04</t>
        </is>
      </c>
      <c r="B68" t="n">
        <v>13</v>
      </c>
      <c r="C68" t="n">
        <v>30.8</v>
      </c>
      <c r="D68" t="n">
        <v>5818</v>
      </c>
      <c r="E68" t="n">
        <v>7144</v>
      </c>
      <c r="F68" t="n">
        <v>0.8100000000000001</v>
      </c>
      <c r="G68" t="n">
        <v>0.36</v>
      </c>
      <c r="H68" t="n">
        <v>-41027</v>
      </c>
      <c r="I68" t="n">
        <v>4302</v>
      </c>
    </row>
    <row r="69">
      <c r="A69" t="inlineStr">
        <is>
          <t>2026-05</t>
        </is>
      </c>
      <c r="B69" t="n">
        <v>16</v>
      </c>
      <c r="C69" t="n">
        <v>75</v>
      </c>
      <c r="D69" t="n">
        <v>5728</v>
      </c>
      <c r="E69" t="n">
        <v>14499</v>
      </c>
      <c r="F69" t="n">
        <v>0.4</v>
      </c>
      <c r="G69" t="n">
        <v>1.19</v>
      </c>
      <c r="H69" t="n">
        <v>10743</v>
      </c>
      <c r="I69" t="n">
        <v>6908</v>
      </c>
    </row>
    <row r="70">
      <c r="A70" t="inlineStr">
        <is>
          <t>2026-06</t>
        </is>
      </c>
      <c r="B70" t="n">
        <v>18</v>
      </c>
      <c r="C70" t="n">
        <v>55.6</v>
      </c>
      <c r="D70" t="n">
        <v>5716</v>
      </c>
      <c r="E70" t="n">
        <v>7311</v>
      </c>
      <c r="F70" t="n">
        <v>0.78</v>
      </c>
      <c r="G70" t="n">
        <v>0.98</v>
      </c>
      <c r="H70" t="n">
        <v>-1320</v>
      </c>
      <c r="I70" t="n">
        <v>11586</v>
      </c>
    </row>
    <row r="71">
      <c r="A71" t="inlineStr">
        <is>
          <t>2026-07</t>
        </is>
      </c>
      <c r="B71" t="n">
        <v>14</v>
      </c>
      <c r="C71" t="n">
        <v>42.9</v>
      </c>
      <c r="D71" t="n">
        <v>6877</v>
      </c>
      <c r="E71" t="n">
        <v>7369</v>
      </c>
      <c r="F71" t="n">
        <v>0.93</v>
      </c>
      <c r="G71" t="n">
        <v>0.7</v>
      </c>
      <c r="H71" t="n">
        <v>-17689</v>
      </c>
      <c r="I71" t="n">
        <v>6896</v>
      </c>
    </row>
    <row r="72">
      <c r="A72" t="inlineStr">
        <is>
          <t>2026-08</t>
        </is>
      </c>
      <c r="B72" t="n">
        <v>19</v>
      </c>
      <c r="C72" t="n">
        <v>47.4</v>
      </c>
      <c r="D72" t="n">
        <v>12510</v>
      </c>
      <c r="E72" t="n">
        <v>7515</v>
      </c>
      <c r="F72" t="n">
        <v>1.66</v>
      </c>
      <c r="G72" t="n">
        <v>1.5</v>
      </c>
      <c r="H72" t="n">
        <v>37442</v>
      </c>
      <c r="I72" t="n">
        <v>5370</v>
      </c>
    </row>
    <row r="73">
      <c r="A73" t="inlineStr">
        <is>
          <t>2026-09</t>
        </is>
      </c>
      <c r="B73" t="n">
        <v>23</v>
      </c>
      <c r="C73" t="n">
        <v>39.1</v>
      </c>
      <c r="D73" t="n">
        <v>11416</v>
      </c>
      <c r="E73" t="n">
        <v>5476</v>
      </c>
      <c r="F73" t="n">
        <v>2.08</v>
      </c>
      <c r="G73" t="n">
        <v>1.34</v>
      </c>
      <c r="H73" t="n">
        <v>26071</v>
      </c>
      <c r="I73" t="n">
        <v>4576</v>
      </c>
    </row>
    <row r="74">
      <c r="A74" t="inlineStr">
        <is>
          <t>2026-10</t>
        </is>
      </c>
      <c r="B74" t="n">
        <v>13</v>
      </c>
      <c r="C74" t="n">
        <v>69.2</v>
      </c>
      <c r="D74" t="n">
        <v>10349</v>
      </c>
      <c r="E74" t="n">
        <v>2605</v>
      </c>
      <c r="F74" t="n">
        <v>3.97</v>
      </c>
      <c r="G74" t="n">
        <v>8.94</v>
      </c>
      <c r="H74" t="n">
        <v>82721</v>
      </c>
      <c r="I74" t="n">
        <v>3985</v>
      </c>
    </row>
    <row r="76">
      <c r="A76" s="38" t="inlineStr">
        <is>
          <t>按品种</t>
        </is>
      </c>
    </row>
    <row r="77">
      <c r="A77" s="36" t="inlineStr">
        <is>
          <t>分组</t>
        </is>
      </c>
      <c r="B77" s="36" t="inlineStr">
        <is>
          <t>笔数</t>
        </is>
      </c>
      <c r="C77" s="36" t="inlineStr">
        <is>
          <t>胜率%</t>
        </is>
      </c>
      <c r="D77" s="36" t="inlineStr">
        <is>
          <t>均盈</t>
        </is>
      </c>
      <c r="E77" s="36" t="inlineStr">
        <is>
          <t>均亏</t>
        </is>
      </c>
      <c r="F77" s="36" t="inlineStr">
        <is>
          <t>盈亏比</t>
        </is>
      </c>
      <c r="G77" s="36" t="inlineStr">
        <is>
          <t>盈亏因子</t>
        </is>
      </c>
      <c r="H77" s="36" t="inlineStr">
        <is>
          <t>盈亏合计</t>
        </is>
      </c>
      <c r="I77" s="36" t="inlineStr">
        <is>
          <t>估算成本</t>
        </is>
      </c>
    </row>
    <row r="78">
      <c r="A78" t="inlineStr">
        <is>
          <t>PTA(TA)</t>
        </is>
      </c>
      <c r="B78" t="n">
        <v>30</v>
      </c>
      <c r="C78" t="n">
        <v>50</v>
      </c>
      <c r="D78" t="n">
        <v>6600</v>
      </c>
      <c r="E78" t="n">
        <v>4284</v>
      </c>
      <c r="F78" t="n">
        <v>1.54</v>
      </c>
      <c r="G78" t="n">
        <v>1.54</v>
      </c>
      <c r="H78" t="n">
        <v>34740</v>
      </c>
      <c r="I78" t="n">
        <v>7134</v>
      </c>
    </row>
    <row r="79">
      <c r="A79" t="inlineStr">
        <is>
          <t>PVC(V)</t>
        </is>
      </c>
      <c r="B79" t="n">
        <v>41</v>
      </c>
      <c r="C79" t="n">
        <v>56.1</v>
      </c>
      <c r="D79" t="n">
        <v>7561</v>
      </c>
      <c r="E79" t="n">
        <v>4873</v>
      </c>
      <c r="F79" t="n">
        <v>1.55</v>
      </c>
      <c r="G79" t="n">
        <v>1.98</v>
      </c>
      <c r="H79" t="n">
        <v>86181</v>
      </c>
      <c r="I79" t="n">
        <v>7982</v>
      </c>
    </row>
    <row r="80">
      <c r="A80" t="inlineStr">
        <is>
          <t>乙二醇(EG)</t>
        </is>
      </c>
      <c r="B80" t="n">
        <v>20</v>
      </c>
      <c r="C80" t="n">
        <v>35</v>
      </c>
      <c r="D80" t="n">
        <v>9206</v>
      </c>
      <c r="E80" t="n">
        <v>7775</v>
      </c>
      <c r="F80" t="n">
        <v>1.18</v>
      </c>
      <c r="G80" t="n">
        <v>0.64</v>
      </c>
      <c r="H80" t="n">
        <v>-36629</v>
      </c>
      <c r="I80" t="n">
        <v>3482</v>
      </c>
    </row>
    <row r="81">
      <c r="A81" t="inlineStr">
        <is>
          <t>塑料(L)</t>
        </is>
      </c>
      <c r="B81" t="n">
        <v>28</v>
      </c>
      <c r="C81" t="n">
        <v>64.3</v>
      </c>
      <c r="D81" t="n">
        <v>7397</v>
      </c>
      <c r="E81" t="n">
        <v>9172</v>
      </c>
      <c r="F81" t="n">
        <v>0.8100000000000001</v>
      </c>
      <c r="G81" t="n">
        <v>1.45</v>
      </c>
      <c r="H81" t="n">
        <v>41415</v>
      </c>
      <c r="I81" t="n">
        <v>5804</v>
      </c>
    </row>
    <row r="82">
      <c r="A82" t="inlineStr">
        <is>
          <t>对二甲苯(PX)</t>
        </is>
      </c>
      <c r="B82" t="n">
        <v>2</v>
      </c>
      <c r="C82" t="n">
        <v>0</v>
      </c>
      <c r="D82" t="n">
        <v>0</v>
      </c>
      <c r="E82" t="n">
        <v>8910</v>
      </c>
      <c r="F82" t="n">
        <v>0</v>
      </c>
      <c r="G82" t="n">
        <v>0</v>
      </c>
      <c r="H82" t="n">
        <v>-17820</v>
      </c>
      <c r="I82" t="n">
        <v>521</v>
      </c>
    </row>
    <row r="83">
      <c r="A83" t="inlineStr">
        <is>
          <t>尿素(UR)</t>
        </is>
      </c>
      <c r="B83" t="n">
        <v>11</v>
      </c>
      <c r="C83" t="n">
        <v>63.6</v>
      </c>
      <c r="D83" t="n">
        <v>3760</v>
      </c>
      <c r="E83" t="n">
        <v>3675</v>
      </c>
      <c r="F83" t="n">
        <v>1.02</v>
      </c>
      <c r="G83" t="n">
        <v>1.79</v>
      </c>
      <c r="H83" t="n">
        <v>11620</v>
      </c>
      <c r="I83" t="n">
        <v>4227</v>
      </c>
    </row>
    <row r="84">
      <c r="A84" t="inlineStr">
        <is>
          <t>工业硅(SI)</t>
        </is>
      </c>
      <c r="B84" t="n">
        <v>21</v>
      </c>
      <c r="C84" t="n">
        <v>61.9</v>
      </c>
      <c r="D84" t="n">
        <v>8456</v>
      </c>
      <c r="E84" t="n">
        <v>3984</v>
      </c>
      <c r="F84" t="n">
        <v>2.12</v>
      </c>
      <c r="G84" t="n">
        <v>3.45</v>
      </c>
      <c r="H84" t="n">
        <v>78050</v>
      </c>
      <c r="I84" t="n">
        <v>9654</v>
      </c>
    </row>
    <row r="85">
      <c r="A85" t="inlineStr">
        <is>
          <t>棉花(CF)</t>
        </is>
      </c>
      <c r="B85" t="n">
        <v>33</v>
      </c>
      <c r="C85" t="n">
        <v>48.5</v>
      </c>
      <c r="D85" t="n">
        <v>12895</v>
      </c>
      <c r="E85" t="n">
        <v>4586</v>
      </c>
      <c r="F85" t="n">
        <v>2.81</v>
      </c>
      <c r="G85" t="n">
        <v>2.65</v>
      </c>
      <c r="H85" t="n">
        <v>128366</v>
      </c>
      <c r="I85" t="n">
        <v>16471</v>
      </c>
    </row>
    <row r="86">
      <c r="A86" t="inlineStr">
        <is>
          <t>棕榈油(P)</t>
        </is>
      </c>
      <c r="B86" t="n">
        <v>37</v>
      </c>
      <c r="C86" t="n">
        <v>45.9</v>
      </c>
      <c r="D86" t="n">
        <v>7334</v>
      </c>
      <c r="E86" t="n">
        <v>7962</v>
      </c>
      <c r="F86" t="n">
        <v>0.92</v>
      </c>
      <c r="G86" t="n">
        <v>0.78</v>
      </c>
      <c r="H86" t="n">
        <v>-34558</v>
      </c>
      <c r="I86" t="n">
        <v>6224</v>
      </c>
    </row>
    <row r="87">
      <c r="A87" t="inlineStr">
        <is>
          <t>氧化铝(AO)</t>
        </is>
      </c>
      <c r="B87" t="n">
        <v>4</v>
      </c>
      <c r="C87" t="n">
        <v>25</v>
      </c>
      <c r="D87" t="n">
        <v>440</v>
      </c>
      <c r="E87" t="n">
        <v>13671</v>
      </c>
      <c r="F87" t="n">
        <v>0.03</v>
      </c>
      <c r="G87" t="n">
        <v>0.01</v>
      </c>
      <c r="H87" t="n">
        <v>-40574</v>
      </c>
      <c r="I87" t="n">
        <v>1446</v>
      </c>
    </row>
    <row r="88">
      <c r="A88" t="inlineStr">
        <is>
          <t>沥青(BU)</t>
        </is>
      </c>
      <c r="B88" t="n">
        <v>27</v>
      </c>
      <c r="C88" t="n">
        <v>44.4</v>
      </c>
      <c r="D88" t="n">
        <v>8057</v>
      </c>
      <c r="E88" t="n">
        <v>8797</v>
      </c>
      <c r="F88" t="n">
        <v>0.92</v>
      </c>
      <c r="G88" t="n">
        <v>0.73</v>
      </c>
      <c r="H88" t="n">
        <v>-35273</v>
      </c>
      <c r="I88" t="n">
        <v>5160</v>
      </c>
    </row>
    <row r="89">
      <c r="A89" t="inlineStr">
        <is>
          <t>沪金(AU)</t>
        </is>
      </c>
      <c r="B89" t="n">
        <v>30</v>
      </c>
      <c r="C89" t="n">
        <v>60</v>
      </c>
      <c r="D89" t="n">
        <v>7612</v>
      </c>
      <c r="E89" t="n">
        <v>6696</v>
      </c>
      <c r="F89" t="n">
        <v>1.14</v>
      </c>
      <c r="G89" t="n">
        <v>1.71</v>
      </c>
      <c r="H89" t="n">
        <v>56660</v>
      </c>
      <c r="I89" t="n">
        <v>3829</v>
      </c>
    </row>
    <row r="90">
      <c r="A90" t="inlineStr">
        <is>
          <t>沪铜(CU)</t>
        </is>
      </c>
      <c r="B90" t="n">
        <v>20</v>
      </c>
      <c r="C90" t="n">
        <v>65</v>
      </c>
      <c r="D90" t="n">
        <v>8335</v>
      </c>
      <c r="E90" t="n">
        <v>7182</v>
      </c>
      <c r="F90" t="n">
        <v>1.16</v>
      </c>
      <c r="G90" t="n">
        <v>2.16</v>
      </c>
      <c r="H90" t="n">
        <v>58079</v>
      </c>
      <c r="I90" t="n">
        <v>3479</v>
      </c>
    </row>
    <row r="91">
      <c r="A91" t="inlineStr">
        <is>
          <t>沪铝(AL)</t>
        </is>
      </c>
      <c r="B91" t="n">
        <v>39</v>
      </c>
      <c r="C91" t="n">
        <v>46.2</v>
      </c>
      <c r="D91" t="n">
        <v>5556</v>
      </c>
      <c r="E91" t="n">
        <v>6350</v>
      </c>
      <c r="F91" t="n">
        <v>0.87</v>
      </c>
      <c r="G91" t="n">
        <v>0.75</v>
      </c>
      <c r="H91" t="n">
        <v>-33340</v>
      </c>
      <c r="I91" t="n">
        <v>11794</v>
      </c>
    </row>
    <row r="92">
      <c r="A92" t="inlineStr">
        <is>
          <t>沪银(AG)</t>
        </is>
      </c>
      <c r="B92" t="n">
        <v>39</v>
      </c>
      <c r="C92" t="n">
        <v>53.8</v>
      </c>
      <c r="D92" t="n">
        <v>7060</v>
      </c>
      <c r="E92" t="n">
        <v>4221</v>
      </c>
      <c r="F92" t="n">
        <v>1.67</v>
      </c>
      <c r="G92" t="n">
        <v>1.95</v>
      </c>
      <c r="H92" t="n">
        <v>72285</v>
      </c>
      <c r="I92" t="n">
        <v>5295</v>
      </c>
    </row>
    <row r="93">
      <c r="A93" t="inlineStr">
        <is>
          <t>沪锌(ZN)</t>
        </is>
      </c>
      <c r="B93" t="n">
        <v>35</v>
      </c>
      <c r="C93" t="n">
        <v>48.6</v>
      </c>
      <c r="D93" t="n">
        <v>9231</v>
      </c>
      <c r="E93" t="n">
        <v>3651</v>
      </c>
      <c r="F93" t="n">
        <v>2.53</v>
      </c>
      <c r="G93" t="n">
        <v>2.39</v>
      </c>
      <c r="H93" t="n">
        <v>91204</v>
      </c>
      <c r="I93" t="n">
        <v>7587</v>
      </c>
    </row>
    <row r="94">
      <c r="A94" t="inlineStr">
        <is>
          <t>沪镍(NI)</t>
        </is>
      </c>
      <c r="B94" t="n">
        <v>32</v>
      </c>
      <c r="C94" t="n">
        <v>56.2</v>
      </c>
      <c r="D94" t="n">
        <v>5201</v>
      </c>
      <c r="E94" t="n">
        <v>4196</v>
      </c>
      <c r="F94" t="n">
        <v>1.24</v>
      </c>
      <c r="G94" t="n">
        <v>1.59</v>
      </c>
      <c r="H94" t="n">
        <v>34881</v>
      </c>
      <c r="I94" t="n">
        <v>2600</v>
      </c>
    </row>
    <row r="95">
      <c r="A95" t="inlineStr">
        <is>
          <t>烧碱(SH)</t>
        </is>
      </c>
      <c r="B95" t="n">
        <v>2</v>
      </c>
      <c r="C95" t="n">
        <v>50</v>
      </c>
      <c r="D95" t="n">
        <v>6120</v>
      </c>
      <c r="E95" t="n">
        <v>2400</v>
      </c>
      <c r="F95" t="n">
        <v>2.55</v>
      </c>
      <c r="G95" t="n">
        <v>2.55</v>
      </c>
      <c r="H95" t="n">
        <v>3720</v>
      </c>
      <c r="I95" t="n">
        <v>523</v>
      </c>
    </row>
    <row r="96">
      <c r="A96" t="inlineStr">
        <is>
          <t>热卷(HC)</t>
        </is>
      </c>
      <c r="B96" t="n">
        <v>29</v>
      </c>
      <c r="C96" t="n">
        <v>55.2</v>
      </c>
      <c r="D96" t="n">
        <v>8463</v>
      </c>
      <c r="E96" t="n">
        <v>8132</v>
      </c>
      <c r="F96" t="n">
        <v>1.04</v>
      </c>
      <c r="G96" t="n">
        <v>1.28</v>
      </c>
      <c r="H96" t="n">
        <v>29695</v>
      </c>
      <c r="I96" t="n">
        <v>8704</v>
      </c>
    </row>
    <row r="97">
      <c r="A97" t="inlineStr">
        <is>
          <t>焦煤(JM)</t>
        </is>
      </c>
      <c r="B97" t="n">
        <v>13</v>
      </c>
      <c r="C97" t="n">
        <v>46.2</v>
      </c>
      <c r="D97" t="n">
        <v>4480</v>
      </c>
      <c r="E97" t="n">
        <v>2647</v>
      </c>
      <c r="F97" t="n">
        <v>1.69</v>
      </c>
      <c r="G97" t="n">
        <v>1.45</v>
      </c>
      <c r="H97" t="n">
        <v>8354</v>
      </c>
      <c r="I97" t="n">
        <v>3050</v>
      </c>
    </row>
    <row r="98">
      <c r="A98" t="inlineStr">
        <is>
          <t>燃料油(FU)</t>
        </is>
      </c>
      <c r="B98" t="n">
        <v>20</v>
      </c>
      <c r="C98" t="n">
        <v>60</v>
      </c>
      <c r="D98" t="n">
        <v>13579</v>
      </c>
      <c r="E98" t="n">
        <v>8467</v>
      </c>
      <c r="F98" t="n">
        <v>1.6</v>
      </c>
      <c r="G98" t="n">
        <v>2.41</v>
      </c>
      <c r="H98" t="n">
        <v>95211</v>
      </c>
      <c r="I98" t="n">
        <v>4303</v>
      </c>
    </row>
    <row r="99">
      <c r="A99" t="inlineStr">
        <is>
          <t>玉米(C)</t>
        </is>
      </c>
      <c r="B99" t="n">
        <v>37</v>
      </c>
      <c r="C99" t="n">
        <v>59.5</v>
      </c>
      <c r="D99" t="n">
        <v>11327</v>
      </c>
      <c r="E99" t="n">
        <v>12762</v>
      </c>
      <c r="F99" t="n">
        <v>0.89</v>
      </c>
      <c r="G99" t="n">
        <v>1.3</v>
      </c>
      <c r="H99" t="n">
        <v>57776</v>
      </c>
      <c r="I99" t="n">
        <v>25392</v>
      </c>
    </row>
    <row r="100">
      <c r="A100" t="inlineStr">
        <is>
          <t>玉米淀粉(CS)</t>
        </is>
      </c>
      <c r="B100" t="n">
        <v>2</v>
      </c>
      <c r="C100" t="n">
        <v>100</v>
      </c>
      <c r="D100" t="n">
        <v>1820</v>
      </c>
      <c r="E100" t="n">
        <v>0</v>
      </c>
      <c r="F100" t="n">
        <v>0</v>
      </c>
      <c r="G100" t="n">
        <v>3640</v>
      </c>
      <c r="H100" t="n">
        <v>3640</v>
      </c>
      <c r="I100" t="n">
        <v>564</v>
      </c>
    </row>
    <row r="101">
      <c r="A101" t="inlineStr">
        <is>
          <t>玻璃(FG)</t>
        </is>
      </c>
      <c r="B101" t="n">
        <v>48</v>
      </c>
      <c r="C101" t="n">
        <v>56.2</v>
      </c>
      <c r="D101" t="n">
        <v>4175</v>
      </c>
      <c r="E101" t="n">
        <v>7893</v>
      </c>
      <c r="F101" t="n">
        <v>0.53</v>
      </c>
      <c r="G101" t="n">
        <v>0.68</v>
      </c>
      <c r="H101" t="n">
        <v>-53041</v>
      </c>
      <c r="I101" t="n">
        <v>24491</v>
      </c>
    </row>
    <row r="102">
      <c r="A102" t="inlineStr">
        <is>
          <t>生猪(LH)</t>
        </is>
      </c>
      <c r="B102" t="n">
        <v>2</v>
      </c>
      <c r="C102" t="n">
        <v>100</v>
      </c>
      <c r="D102" t="n">
        <v>27000</v>
      </c>
      <c r="E102" t="n">
        <v>0</v>
      </c>
      <c r="F102" t="n">
        <v>0</v>
      </c>
      <c r="G102" t="n">
        <v>54000</v>
      </c>
      <c r="H102" t="n">
        <v>54000</v>
      </c>
      <c r="I102" t="n">
        <v>891</v>
      </c>
    </row>
    <row r="103">
      <c r="A103" t="inlineStr">
        <is>
          <t>甲醇(MA)</t>
        </is>
      </c>
      <c r="B103" t="n">
        <v>26</v>
      </c>
      <c r="C103" t="n">
        <v>53.8</v>
      </c>
      <c r="D103" t="n">
        <v>3440</v>
      </c>
      <c r="E103" t="n">
        <v>7216</v>
      </c>
      <c r="F103" t="n">
        <v>0.48</v>
      </c>
      <c r="G103" t="n">
        <v>0.5600000000000001</v>
      </c>
      <c r="H103" t="n">
        <v>-38430</v>
      </c>
      <c r="I103" t="n">
        <v>9013</v>
      </c>
    </row>
    <row r="104">
      <c r="A104" t="inlineStr">
        <is>
          <t>白糖(SR)</t>
        </is>
      </c>
      <c r="B104" t="n">
        <v>19</v>
      </c>
      <c r="C104" t="n">
        <v>36.8</v>
      </c>
      <c r="D104" t="n">
        <v>7193</v>
      </c>
      <c r="E104" t="n">
        <v>8154</v>
      </c>
      <c r="F104" t="n">
        <v>0.88</v>
      </c>
      <c r="G104" t="n">
        <v>0.51</v>
      </c>
      <c r="H104" t="n">
        <v>-47504</v>
      </c>
      <c r="I104" t="n">
        <v>6053</v>
      </c>
    </row>
    <row r="105">
      <c r="A105" t="inlineStr">
        <is>
          <t>硅铁(SF)</t>
        </is>
      </c>
      <c r="B105" t="n">
        <v>6</v>
      </c>
      <c r="C105" t="n">
        <v>16.7</v>
      </c>
      <c r="D105" t="n">
        <v>900</v>
      </c>
      <c r="E105" t="n">
        <v>8635</v>
      </c>
      <c r="F105" t="n">
        <v>0.1</v>
      </c>
      <c r="G105" t="n">
        <v>0.02</v>
      </c>
      <c r="H105" t="n">
        <v>-42277</v>
      </c>
      <c r="I105" t="n">
        <v>2175</v>
      </c>
    </row>
    <row r="106">
      <c r="A106" t="inlineStr">
        <is>
          <t>碳酸锂(LC)</t>
        </is>
      </c>
      <c r="B106" t="n">
        <v>22</v>
      </c>
      <c r="C106" t="n">
        <v>54.5</v>
      </c>
      <c r="D106" t="n">
        <v>8693</v>
      </c>
      <c r="E106" t="n">
        <v>3898</v>
      </c>
      <c r="F106" t="n">
        <v>2.23</v>
      </c>
      <c r="G106" t="n">
        <v>2.68</v>
      </c>
      <c r="H106" t="n">
        <v>65339</v>
      </c>
      <c r="I106" t="n">
        <v>4112</v>
      </c>
    </row>
    <row r="107">
      <c r="A107" t="inlineStr">
        <is>
          <t>纯碱(SA)</t>
        </is>
      </c>
      <c r="B107" t="n">
        <v>37</v>
      </c>
      <c r="C107" t="n">
        <v>45.9</v>
      </c>
      <c r="D107" t="n">
        <v>9275</v>
      </c>
      <c r="E107" t="n">
        <v>6996</v>
      </c>
      <c r="F107" t="n">
        <v>1.33</v>
      </c>
      <c r="G107" t="n">
        <v>1.13</v>
      </c>
      <c r="H107" t="n">
        <v>17769</v>
      </c>
      <c r="I107" t="n">
        <v>13173</v>
      </c>
    </row>
    <row r="108">
      <c r="A108" t="inlineStr">
        <is>
          <t>纸浆(SP)</t>
        </is>
      </c>
      <c r="B108" t="n">
        <v>4</v>
      </c>
      <c r="C108" t="n">
        <v>25</v>
      </c>
      <c r="D108" t="n">
        <v>4160</v>
      </c>
      <c r="E108" t="n">
        <v>10261</v>
      </c>
      <c r="F108" t="n">
        <v>0.41</v>
      </c>
      <c r="G108" t="n">
        <v>0.14</v>
      </c>
      <c r="H108" t="n">
        <v>-26623</v>
      </c>
      <c r="I108" t="n">
        <v>2298</v>
      </c>
    </row>
    <row r="109">
      <c r="A109" t="inlineStr">
        <is>
          <t>聚丙烯(PP)</t>
        </is>
      </c>
      <c r="B109" t="n">
        <v>23</v>
      </c>
      <c r="C109" t="n">
        <v>65.2</v>
      </c>
      <c r="D109" t="n">
        <v>7678</v>
      </c>
      <c r="E109" t="n">
        <v>7964</v>
      </c>
      <c r="F109" t="n">
        <v>0.96</v>
      </c>
      <c r="G109" t="n">
        <v>1.81</v>
      </c>
      <c r="H109" t="n">
        <v>51450</v>
      </c>
      <c r="I109" t="n">
        <v>5523</v>
      </c>
    </row>
    <row r="110">
      <c r="A110" t="inlineStr">
        <is>
          <t>苯乙烯(EB)</t>
        </is>
      </c>
      <c r="B110" t="n">
        <v>21</v>
      </c>
      <c r="C110" t="n">
        <v>52.4</v>
      </c>
      <c r="D110" t="n">
        <v>5245</v>
      </c>
      <c r="E110" t="n">
        <v>5493</v>
      </c>
      <c r="F110" t="n">
        <v>0.95</v>
      </c>
      <c r="G110" t="n">
        <v>1.05</v>
      </c>
      <c r="H110" t="n">
        <v>2764</v>
      </c>
      <c r="I110" t="n">
        <v>2667</v>
      </c>
    </row>
    <row r="111">
      <c r="A111" t="inlineStr">
        <is>
          <t>菜油(OI)</t>
        </is>
      </c>
      <c r="B111" t="n">
        <v>11</v>
      </c>
      <c r="C111" t="n">
        <v>36.4</v>
      </c>
      <c r="D111" t="n">
        <v>10798</v>
      </c>
      <c r="E111" t="n">
        <v>4718</v>
      </c>
      <c r="F111" t="n">
        <v>2.29</v>
      </c>
      <c r="G111" t="n">
        <v>1.31</v>
      </c>
      <c r="H111" t="n">
        <v>10164</v>
      </c>
      <c r="I111" t="n">
        <v>1586</v>
      </c>
    </row>
    <row r="112">
      <c r="A112" t="inlineStr">
        <is>
          <t>菜粕(RM)</t>
        </is>
      </c>
      <c r="B112" t="n">
        <v>45</v>
      </c>
      <c r="C112" t="n">
        <v>55.6</v>
      </c>
      <c r="D112" t="n">
        <v>4163</v>
      </c>
      <c r="E112" t="n">
        <v>9406</v>
      </c>
      <c r="F112" t="n">
        <v>0.44</v>
      </c>
      <c r="G112" t="n">
        <v>0.55</v>
      </c>
      <c r="H112" t="n">
        <v>-84040</v>
      </c>
      <c r="I112" t="n">
        <v>12068</v>
      </c>
    </row>
    <row r="113">
      <c r="A113" t="inlineStr">
        <is>
          <t>螺纹钢(RB)</t>
        </is>
      </c>
      <c r="B113" t="n">
        <v>33</v>
      </c>
      <c r="C113" t="n">
        <v>45.5</v>
      </c>
      <c r="D113" t="n">
        <v>3705</v>
      </c>
      <c r="E113" t="n">
        <v>8710</v>
      </c>
      <c r="F113" t="n">
        <v>0.43</v>
      </c>
      <c r="G113" t="n">
        <v>0.35</v>
      </c>
      <c r="H113" t="n">
        <v>-101200</v>
      </c>
      <c r="I113" t="n">
        <v>10295</v>
      </c>
    </row>
    <row r="114">
      <c r="A114" t="inlineStr">
        <is>
          <t>豆一(A)</t>
        </is>
      </c>
      <c r="B114" t="n">
        <v>1</v>
      </c>
      <c r="C114" t="n">
        <v>0</v>
      </c>
      <c r="D114" t="n">
        <v>0</v>
      </c>
      <c r="E114" t="n">
        <v>700</v>
      </c>
      <c r="F114" t="n">
        <v>0</v>
      </c>
      <c r="G114" t="n">
        <v>0</v>
      </c>
      <c r="H114" t="n">
        <v>-700</v>
      </c>
      <c r="I114" t="n">
        <v>351</v>
      </c>
    </row>
    <row r="115">
      <c r="A115" t="inlineStr">
        <is>
          <t>豆二(B)</t>
        </is>
      </c>
      <c r="B115" t="n">
        <v>3</v>
      </c>
      <c r="C115" t="n">
        <v>33.3</v>
      </c>
      <c r="D115" t="n">
        <v>8480</v>
      </c>
      <c r="E115" t="n">
        <v>12575</v>
      </c>
      <c r="F115" t="n">
        <v>0.67</v>
      </c>
      <c r="G115" t="n">
        <v>0.34</v>
      </c>
      <c r="H115" t="n">
        <v>-16670</v>
      </c>
      <c r="I115" t="n">
        <v>985</v>
      </c>
    </row>
    <row r="116">
      <c r="A116" t="inlineStr">
        <is>
          <t>豆油(Y)</t>
        </is>
      </c>
      <c r="B116" t="n">
        <v>38</v>
      </c>
      <c r="C116" t="n">
        <v>60.5</v>
      </c>
      <c r="D116" t="n">
        <v>7231</v>
      </c>
      <c r="E116" t="n">
        <v>5561</v>
      </c>
      <c r="F116" t="n">
        <v>1.3</v>
      </c>
      <c r="G116" t="n">
        <v>1.99</v>
      </c>
      <c r="H116" t="n">
        <v>82896</v>
      </c>
      <c r="I116" t="n">
        <v>9039</v>
      </c>
    </row>
    <row r="117">
      <c r="A117" t="inlineStr">
        <is>
          <t>豆粕(M)</t>
        </is>
      </c>
      <c r="B117" t="n">
        <v>33</v>
      </c>
      <c r="C117" t="n">
        <v>63.6</v>
      </c>
      <c r="D117" t="n">
        <v>9767</v>
      </c>
      <c r="E117" t="n">
        <v>7927</v>
      </c>
      <c r="F117" t="n">
        <v>1.23</v>
      </c>
      <c r="G117" t="n">
        <v>2.16</v>
      </c>
      <c r="H117" t="n">
        <v>109978</v>
      </c>
      <c r="I117" t="n">
        <v>11366</v>
      </c>
    </row>
    <row r="118">
      <c r="A118" t="inlineStr">
        <is>
          <t>铁矿石(I)</t>
        </is>
      </c>
      <c r="B118" t="n">
        <v>21</v>
      </c>
      <c r="C118" t="n">
        <v>52.4</v>
      </c>
      <c r="D118" t="n">
        <v>8500</v>
      </c>
      <c r="E118" t="n">
        <v>9072</v>
      </c>
      <c r="F118" t="n">
        <v>0.9399999999999999</v>
      </c>
      <c r="G118" t="n">
        <v>1.03</v>
      </c>
      <c r="H118" t="n">
        <v>2776</v>
      </c>
      <c r="I118" t="n">
        <v>8851</v>
      </c>
    </row>
    <row r="119">
      <c r="A119" t="inlineStr">
        <is>
          <t>锰硅(SM)</t>
        </is>
      </c>
      <c r="B119" t="n">
        <v>18</v>
      </c>
      <c r="C119" t="n">
        <v>44.4</v>
      </c>
      <c r="D119" t="n">
        <v>9132</v>
      </c>
      <c r="E119" t="n">
        <v>6872</v>
      </c>
      <c r="F119" t="n">
        <v>1.33</v>
      </c>
      <c r="G119" t="n">
        <v>1.06</v>
      </c>
      <c r="H119" t="n">
        <v>4339</v>
      </c>
      <c r="I119" t="n">
        <v>6161</v>
      </c>
    </row>
    <row r="120">
      <c r="A120" t="inlineStr">
        <is>
          <t>鸡蛋(JD)</t>
        </is>
      </c>
      <c r="B120" t="n">
        <v>8</v>
      </c>
      <c r="C120" t="n">
        <v>62.5</v>
      </c>
      <c r="D120" t="n">
        <v>2848</v>
      </c>
      <c r="E120" t="n">
        <v>1773</v>
      </c>
      <c r="F120" t="n">
        <v>1.61</v>
      </c>
      <c r="G120" t="n">
        <v>2.68</v>
      </c>
      <c r="H120" t="n">
        <v>8920</v>
      </c>
      <c r="I120" t="n">
        <v>1681</v>
      </c>
    </row>
    <row r="122">
      <c r="A122" s="38" t="inlineStr">
        <is>
          <t>按板块</t>
        </is>
      </c>
    </row>
    <row r="123">
      <c r="A123" s="36" t="inlineStr">
        <is>
          <t>分组</t>
        </is>
      </c>
      <c r="B123" s="36" t="inlineStr">
        <is>
          <t>笔数</t>
        </is>
      </c>
      <c r="C123" s="36" t="inlineStr">
        <is>
          <t>胜率%</t>
        </is>
      </c>
      <c r="D123" s="36" t="inlineStr">
        <is>
          <t>均盈</t>
        </is>
      </c>
      <c r="E123" s="36" t="inlineStr">
        <is>
          <t>均亏</t>
        </is>
      </c>
      <c r="F123" s="36" t="inlineStr">
        <is>
          <t>盈亏比</t>
        </is>
      </c>
      <c r="G123" s="36" t="inlineStr">
        <is>
          <t>盈亏因子</t>
        </is>
      </c>
      <c r="H123" s="36" t="inlineStr">
        <is>
          <t>盈亏合计</t>
        </is>
      </c>
      <c r="I123" s="36" t="inlineStr">
        <is>
          <t>估算成本</t>
        </is>
      </c>
    </row>
    <row r="124">
      <c r="A124" t="inlineStr">
        <is>
          <t>农产品</t>
        </is>
      </c>
      <c r="B124" t="n">
        <v>217</v>
      </c>
      <c r="C124" t="n">
        <v>56.2</v>
      </c>
      <c r="D124" t="n">
        <v>7975</v>
      </c>
      <c r="E124" t="n">
        <v>8226</v>
      </c>
      <c r="F124" t="n">
        <v>0.97</v>
      </c>
      <c r="G124" t="n">
        <v>1.24</v>
      </c>
      <c r="H124" t="n">
        <v>191406</v>
      </c>
      <c r="I124" t="n">
        <v>70147</v>
      </c>
    </row>
    <row r="125">
      <c r="A125" t="inlineStr">
        <is>
          <t>化工</t>
        </is>
      </c>
      <c r="B125" t="n">
        <v>191</v>
      </c>
      <c r="C125" t="n">
        <v>53.9</v>
      </c>
      <c r="D125" t="n">
        <v>6714</v>
      </c>
      <c r="E125" t="n">
        <v>6453</v>
      </c>
      <c r="F125" t="n">
        <v>1.04</v>
      </c>
      <c r="G125" t="n">
        <v>1.22</v>
      </c>
      <c r="H125" t="n">
        <v>123671</v>
      </c>
      <c r="I125" t="n">
        <v>42126</v>
      </c>
    </row>
    <row r="126">
      <c r="A126" t="inlineStr">
        <is>
          <t>建材</t>
        </is>
      </c>
      <c r="B126" t="n">
        <v>98</v>
      </c>
      <c r="C126" t="n">
        <v>53.1</v>
      </c>
      <c r="D126" t="n">
        <v>5824</v>
      </c>
      <c r="E126" t="n">
        <v>7017</v>
      </c>
      <c r="F126" t="n">
        <v>0.83</v>
      </c>
      <c r="G126" t="n">
        <v>0.9399999999999999</v>
      </c>
      <c r="H126" t="n">
        <v>-19932</v>
      </c>
      <c r="I126" t="n">
        <v>42414</v>
      </c>
    </row>
    <row r="127">
      <c r="A127" t="inlineStr">
        <is>
          <t>有色</t>
        </is>
      </c>
      <c r="B127" t="n">
        <v>173</v>
      </c>
      <c r="C127" t="n">
        <v>53.2</v>
      </c>
      <c r="D127" t="n">
        <v>7322</v>
      </c>
      <c r="E127" t="n">
        <v>5184</v>
      </c>
      <c r="F127" t="n">
        <v>1.41</v>
      </c>
      <c r="G127" t="n">
        <v>1.6</v>
      </c>
      <c r="H127" t="n">
        <v>253639</v>
      </c>
      <c r="I127" t="n">
        <v>40672</v>
      </c>
    </row>
    <row r="128">
      <c r="A128" t="inlineStr">
        <is>
          <t>能源</t>
        </is>
      </c>
      <c r="B128" t="n">
        <v>47</v>
      </c>
      <c r="C128" t="n">
        <v>51.1</v>
      </c>
      <c r="D128" t="n">
        <v>10818</v>
      </c>
      <c r="E128" t="n">
        <v>8682</v>
      </c>
      <c r="F128" t="n">
        <v>1.25</v>
      </c>
      <c r="G128" t="n">
        <v>1.3</v>
      </c>
      <c r="H128" t="n">
        <v>59938</v>
      </c>
      <c r="I128" t="n">
        <v>9463</v>
      </c>
    </row>
    <row r="129">
      <c r="A129" t="inlineStr">
        <is>
          <t>贵金属</t>
        </is>
      </c>
      <c r="B129" t="n">
        <v>69</v>
      </c>
      <c r="C129" t="n">
        <v>56.5</v>
      </c>
      <c r="D129" t="n">
        <v>7315</v>
      </c>
      <c r="E129" t="n">
        <v>5211</v>
      </c>
      <c r="F129" t="n">
        <v>1.4</v>
      </c>
      <c r="G129" t="n">
        <v>1.82</v>
      </c>
      <c r="H129" t="n">
        <v>128945</v>
      </c>
      <c r="I129" t="n">
        <v>9124</v>
      </c>
    </row>
    <row r="130">
      <c r="A130" t="inlineStr">
        <is>
          <t>软商品</t>
        </is>
      </c>
      <c r="B130" t="n">
        <v>56</v>
      </c>
      <c r="C130" t="n">
        <v>42.9</v>
      </c>
      <c r="D130" t="n">
        <v>10868</v>
      </c>
      <c r="E130" t="n">
        <v>6456</v>
      </c>
      <c r="F130" t="n">
        <v>1.68</v>
      </c>
      <c r="G130" t="n">
        <v>1.26</v>
      </c>
      <c r="H130" t="n">
        <v>54239</v>
      </c>
      <c r="I130" t="n">
        <v>24822</v>
      </c>
    </row>
    <row r="131">
      <c r="A131" t="inlineStr">
        <is>
          <t>黑色</t>
        </is>
      </c>
      <c r="B131" t="n">
        <v>120</v>
      </c>
      <c r="C131" t="n">
        <v>47.5</v>
      </c>
      <c r="D131" t="n">
        <v>6760</v>
      </c>
      <c r="E131" t="n">
        <v>7677</v>
      </c>
      <c r="F131" t="n">
        <v>0.88</v>
      </c>
      <c r="G131" t="n">
        <v>0.8</v>
      </c>
      <c r="H131" t="n">
        <v>-98313</v>
      </c>
      <c r="I131" t="n">
        <v>39236</v>
      </c>
    </row>
    <row r="133">
      <c r="A133" s="38" t="inlineStr">
        <is>
          <t>按方向</t>
        </is>
      </c>
    </row>
    <row r="134">
      <c r="A134" s="36" t="inlineStr">
        <is>
          <t>分组</t>
        </is>
      </c>
      <c r="B134" s="36" t="inlineStr">
        <is>
          <t>笔数</t>
        </is>
      </c>
      <c r="C134" s="36" t="inlineStr">
        <is>
          <t>胜率%</t>
        </is>
      </c>
      <c r="D134" s="36" t="inlineStr">
        <is>
          <t>均盈</t>
        </is>
      </c>
      <c r="E134" s="36" t="inlineStr">
        <is>
          <t>均亏</t>
        </is>
      </c>
      <c r="F134" s="36" t="inlineStr">
        <is>
          <t>盈亏比</t>
        </is>
      </c>
      <c r="G134" s="36" t="inlineStr">
        <is>
          <t>盈亏因子</t>
        </is>
      </c>
      <c r="H134" s="36" t="inlineStr">
        <is>
          <t>盈亏合计</t>
        </is>
      </c>
      <c r="I134" s="36" t="inlineStr">
        <is>
          <t>估算成本</t>
        </is>
      </c>
    </row>
    <row r="135">
      <c r="A135" t="inlineStr">
        <is>
          <t>多</t>
        </is>
      </c>
      <c r="B135" t="n">
        <v>499</v>
      </c>
      <c r="C135" t="n">
        <v>53.7</v>
      </c>
      <c r="D135" t="n">
        <v>8108</v>
      </c>
      <c r="E135" t="n">
        <v>6523</v>
      </c>
      <c r="F135" t="n">
        <v>1.24</v>
      </c>
      <c r="G135" t="n">
        <v>1.44</v>
      </c>
      <c r="H135" t="n">
        <v>666127</v>
      </c>
      <c r="I135" t="n">
        <v>119216</v>
      </c>
    </row>
    <row r="136">
      <c r="A136" t="inlineStr">
        <is>
          <t>空</t>
        </is>
      </c>
      <c r="B136" t="n">
        <v>472</v>
      </c>
      <c r="C136" t="n">
        <v>51.9</v>
      </c>
      <c r="D136" t="n">
        <v>6771</v>
      </c>
      <c r="E136" t="n">
        <v>7187</v>
      </c>
      <c r="F136" t="n">
        <v>0.9399999999999999</v>
      </c>
      <c r="G136" t="n">
        <v>1.02</v>
      </c>
      <c r="H136" t="n">
        <v>27466</v>
      </c>
      <c r="I136" t="n">
        <v>158788</v>
      </c>
    </row>
    <row r="138">
      <c r="A138" s="38" t="inlineStr">
        <is>
          <t>按星级</t>
        </is>
      </c>
    </row>
    <row r="139">
      <c r="A139" s="36" t="inlineStr">
        <is>
          <t>分组</t>
        </is>
      </c>
      <c r="B139" s="36" t="inlineStr">
        <is>
          <t>笔数</t>
        </is>
      </c>
      <c r="C139" s="36" t="inlineStr">
        <is>
          <t>胜率%</t>
        </is>
      </c>
      <c r="D139" s="36" t="inlineStr">
        <is>
          <t>均盈</t>
        </is>
      </c>
      <c r="E139" s="36" t="inlineStr">
        <is>
          <t>均亏</t>
        </is>
      </c>
      <c r="F139" s="36" t="inlineStr">
        <is>
          <t>盈亏比</t>
        </is>
      </c>
      <c r="G139" s="36" t="inlineStr">
        <is>
          <t>盈亏因子</t>
        </is>
      </c>
      <c r="H139" s="36" t="inlineStr">
        <is>
          <t>盈亏合计</t>
        </is>
      </c>
      <c r="I139" s="36" t="inlineStr">
        <is>
          <t>估算成本</t>
        </is>
      </c>
    </row>
    <row r="140">
      <c r="A140" t="inlineStr">
        <is>
          <t>2星</t>
        </is>
      </c>
      <c r="B140" t="n">
        <v>33</v>
      </c>
      <c r="C140" t="n">
        <v>39.4</v>
      </c>
      <c r="D140" t="n">
        <v>1778</v>
      </c>
      <c r="E140" t="n">
        <v>4766</v>
      </c>
      <c r="F140" t="n">
        <v>0.37</v>
      </c>
      <c r="G140" t="n">
        <v>0.24</v>
      </c>
      <c r="H140" t="n">
        <v>-72210</v>
      </c>
      <c r="I140" t="n">
        <v>3019</v>
      </c>
    </row>
    <row r="141">
      <c r="A141" t="inlineStr">
        <is>
          <t>3星</t>
        </is>
      </c>
      <c r="B141" t="n">
        <v>938</v>
      </c>
      <c r="C141" t="n">
        <v>53.3</v>
      </c>
      <c r="D141" t="n">
        <v>7618</v>
      </c>
      <c r="E141" t="n">
        <v>6947</v>
      </c>
      <c r="F141" t="n">
        <v>1.1</v>
      </c>
      <c r="G141" t="n">
        <v>1.25</v>
      </c>
      <c r="H141" t="n">
        <v>765803</v>
      </c>
      <c r="I141" t="n">
        <v>274985</v>
      </c>
    </row>
    <row r="143">
      <c r="A143" s="38" t="inlineStr">
        <is>
          <t>按平仓原因</t>
        </is>
      </c>
    </row>
    <row r="144">
      <c r="A144" s="36" t="inlineStr">
        <is>
          <t>分组</t>
        </is>
      </c>
      <c r="B144" s="36" t="inlineStr">
        <is>
          <t>笔数</t>
        </is>
      </c>
      <c r="C144" s="36" t="inlineStr">
        <is>
          <t>胜率%</t>
        </is>
      </c>
      <c r="D144" s="36" t="inlineStr">
        <is>
          <t>均盈</t>
        </is>
      </c>
      <c r="E144" s="36" t="inlineStr">
        <is>
          <t>均亏</t>
        </is>
      </c>
      <c r="F144" s="36" t="inlineStr">
        <is>
          <t>盈亏比</t>
        </is>
      </c>
      <c r="G144" s="36" t="inlineStr">
        <is>
          <t>盈亏因子</t>
        </is>
      </c>
      <c r="H144" s="36" t="inlineStr">
        <is>
          <t>盈亏合计</t>
        </is>
      </c>
      <c r="I144" s="36" t="inlineStr">
        <is>
          <t>估算成本</t>
        </is>
      </c>
    </row>
    <row r="145">
      <c r="A145" t="inlineStr">
        <is>
          <t>反向信号</t>
        </is>
      </c>
      <c r="B145" t="n">
        <v>18</v>
      </c>
      <c r="C145" t="n">
        <v>27.8</v>
      </c>
      <c r="D145" t="n">
        <v>6292</v>
      </c>
      <c r="E145" t="n">
        <v>9546</v>
      </c>
      <c r="F145" t="n">
        <v>0.66</v>
      </c>
      <c r="G145" t="n">
        <v>0.25</v>
      </c>
      <c r="H145" t="n">
        <v>-92640</v>
      </c>
      <c r="I145" t="n">
        <v>6719</v>
      </c>
    </row>
    <row r="146">
      <c r="A146" t="inlineStr">
        <is>
          <t>大将军转向</t>
        </is>
      </c>
      <c r="B146" t="n">
        <v>342</v>
      </c>
      <c r="C146" t="n">
        <v>53.8</v>
      </c>
      <c r="D146" t="n">
        <v>7331</v>
      </c>
      <c r="E146" t="n">
        <v>4048</v>
      </c>
      <c r="F146" t="n">
        <v>1.81</v>
      </c>
      <c r="G146" t="n">
        <v>2.11</v>
      </c>
      <c r="H146" t="n">
        <v>709310</v>
      </c>
      <c r="I146" t="n">
        <v>95052</v>
      </c>
    </row>
    <row r="147">
      <c r="A147" t="inlineStr">
        <is>
          <t>将军撤退</t>
        </is>
      </c>
      <c r="B147" t="n">
        <v>314</v>
      </c>
      <c r="C147" t="n">
        <v>66.59999999999999</v>
      </c>
      <c r="D147" t="n">
        <v>6730</v>
      </c>
      <c r="E147" t="n">
        <v>3392</v>
      </c>
      <c r="F147" t="n">
        <v>1.98</v>
      </c>
      <c r="G147" t="n">
        <v>3.95</v>
      </c>
      <c r="H147" t="n">
        <v>1050530</v>
      </c>
      <c r="I147" t="n">
        <v>88612</v>
      </c>
    </row>
    <row r="148">
      <c r="A148" t="inlineStr">
        <is>
          <t>将军撤退+大将军转向</t>
        </is>
      </c>
      <c r="B148" t="n">
        <v>176</v>
      </c>
      <c r="C148" t="n">
        <v>60.2</v>
      </c>
      <c r="D148" t="n">
        <v>9068</v>
      </c>
      <c r="E148" t="n">
        <v>4750</v>
      </c>
      <c r="F148" t="n">
        <v>1.91</v>
      </c>
      <c r="G148" t="n">
        <v>2.89</v>
      </c>
      <c r="H148" t="n">
        <v>628650</v>
      </c>
      <c r="I148" t="n">
        <v>50233</v>
      </c>
    </row>
    <row r="149">
      <c r="A149" t="inlineStr">
        <is>
          <t>强平(浮亏≥3%)</t>
        </is>
      </c>
      <c r="B149" t="n">
        <v>1</v>
      </c>
      <c r="C149" t="n">
        <v>0</v>
      </c>
      <c r="D149" t="n">
        <v>0</v>
      </c>
      <c r="E149" t="n">
        <v>34200</v>
      </c>
      <c r="F149" t="n">
        <v>0</v>
      </c>
      <c r="G149" t="n">
        <v>0</v>
      </c>
      <c r="H149" t="n">
        <v>-34200</v>
      </c>
      <c r="I149" t="n">
        <v>188</v>
      </c>
    </row>
    <row r="150">
      <c r="A150" t="inlineStr">
        <is>
          <t>止损</t>
        </is>
      </c>
      <c r="B150" t="n">
        <v>107</v>
      </c>
      <c r="C150" t="n">
        <v>8.4</v>
      </c>
      <c r="D150" t="n">
        <v>9311</v>
      </c>
      <c r="E150" t="n">
        <v>15043</v>
      </c>
      <c r="F150" t="n">
        <v>0.62</v>
      </c>
      <c r="G150" t="n">
        <v>0.06</v>
      </c>
      <c r="H150" t="n">
        <v>-1390377</v>
      </c>
      <c r="I150" t="n">
        <v>34513</v>
      </c>
    </row>
    <row r="151">
      <c r="A151" t="inlineStr">
        <is>
          <t>跳空止损</t>
        </is>
      </c>
      <c r="B151" t="n">
        <v>13</v>
      </c>
      <c r="C151" t="n">
        <v>0</v>
      </c>
      <c r="D151" t="n">
        <v>0</v>
      </c>
      <c r="E151" t="n">
        <v>13668</v>
      </c>
      <c r="F151" t="n">
        <v>0</v>
      </c>
      <c r="G151" t="n">
        <v>0</v>
      </c>
      <c r="H151" t="n">
        <v>-177680</v>
      </c>
      <c r="I151" t="n">
        <v>2687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月份</t>
        </is>
      </c>
      <c r="B1" s="36" t="inlineStr">
        <is>
          <t>月度盈亏(毛)</t>
        </is>
      </c>
    </row>
    <row r="2">
      <c r="A2" t="inlineStr">
        <is>
          <t>2021-08</t>
        </is>
      </c>
      <c r="B2" t="n">
        <v>6720</v>
      </c>
    </row>
    <row r="3">
      <c r="A3" t="inlineStr">
        <is>
          <t>2021-09</t>
        </is>
      </c>
      <c r="B3" t="n">
        <v>-52071</v>
      </c>
    </row>
    <row r="4">
      <c r="A4" t="inlineStr">
        <is>
          <t>2021-10</t>
        </is>
      </c>
      <c r="B4" t="n">
        <v>-10201</v>
      </c>
    </row>
    <row r="5">
      <c r="A5" t="inlineStr">
        <is>
          <t>2021-11</t>
        </is>
      </c>
      <c r="B5" t="n">
        <v>-16644</v>
      </c>
    </row>
    <row r="6">
      <c r="A6" t="inlineStr">
        <is>
          <t>2021-12</t>
        </is>
      </c>
      <c r="B6" t="n">
        <v>-26989</v>
      </c>
    </row>
    <row r="7">
      <c r="A7" t="inlineStr">
        <is>
          <t>2022-01</t>
        </is>
      </c>
      <c r="B7" t="n">
        <v>3065</v>
      </c>
    </row>
    <row r="8">
      <c r="A8" t="inlineStr">
        <is>
          <t>2022-02</t>
        </is>
      </c>
      <c r="B8" t="n">
        <v>5746</v>
      </c>
    </row>
    <row r="9">
      <c r="A9" t="inlineStr">
        <is>
          <t>2022-03</t>
        </is>
      </c>
      <c r="B9" t="n">
        <v>82575</v>
      </c>
    </row>
    <row r="10">
      <c r="A10" t="inlineStr">
        <is>
          <t>2022-04</t>
        </is>
      </c>
      <c r="B10" t="n">
        <v>34250</v>
      </c>
    </row>
    <row r="11">
      <c r="A11" t="inlineStr">
        <is>
          <t>2022-05</t>
        </is>
      </c>
      <c r="B11" t="n">
        <v>-28130</v>
      </c>
    </row>
    <row r="12">
      <c r="A12" t="inlineStr">
        <is>
          <t>2022-06</t>
        </is>
      </c>
      <c r="B12" t="n">
        <v>-7295</v>
      </c>
    </row>
    <row r="13">
      <c r="A13" t="inlineStr">
        <is>
          <t>2022-07</t>
        </is>
      </c>
      <c r="B13" t="n">
        <v>-12743</v>
      </c>
    </row>
    <row r="14">
      <c r="A14" t="inlineStr">
        <is>
          <t>2022-08</t>
        </is>
      </c>
      <c r="B14" t="n">
        <v>7264</v>
      </c>
    </row>
    <row r="15">
      <c r="A15" t="inlineStr">
        <is>
          <t>2022-09</t>
        </is>
      </c>
      <c r="B15" t="n">
        <v>4877</v>
      </c>
    </row>
    <row r="16">
      <c r="A16" t="inlineStr">
        <is>
          <t>2022-10</t>
        </is>
      </c>
      <c r="B16" t="n">
        <v>52507</v>
      </c>
    </row>
    <row r="17">
      <c r="A17" t="inlineStr">
        <is>
          <t>2022-11</t>
        </is>
      </c>
      <c r="B17" t="n">
        <v>-77172</v>
      </c>
    </row>
    <row r="18">
      <c r="A18" t="inlineStr">
        <is>
          <t>2022-12</t>
        </is>
      </c>
      <c r="B18" t="n">
        <v>12485</v>
      </c>
    </row>
    <row r="19">
      <c r="A19" t="inlineStr">
        <is>
          <t>2023-01</t>
        </is>
      </c>
      <c r="B19" t="n">
        <v>-46495</v>
      </c>
    </row>
    <row r="20">
      <c r="A20" t="inlineStr">
        <is>
          <t>2023-02</t>
        </is>
      </c>
      <c r="B20" t="n">
        <v>-19908</v>
      </c>
    </row>
    <row r="21">
      <c r="A21" t="inlineStr">
        <is>
          <t>2023-03</t>
        </is>
      </c>
      <c r="B21" t="n">
        <v>47423</v>
      </c>
    </row>
    <row r="22">
      <c r="A22" t="inlineStr">
        <is>
          <t>2023-04</t>
        </is>
      </c>
      <c r="B22" t="n">
        <v>7360</v>
      </c>
    </row>
    <row r="23">
      <c r="A23" t="inlineStr">
        <is>
          <t>2023-05</t>
        </is>
      </c>
      <c r="B23" t="n">
        <v>16274</v>
      </c>
    </row>
    <row r="24">
      <c r="A24" t="inlineStr">
        <is>
          <t>2023-06</t>
        </is>
      </c>
      <c r="B24" t="n">
        <v>-77974</v>
      </c>
    </row>
    <row r="25">
      <c r="A25" t="inlineStr">
        <is>
          <t>2023-07</t>
        </is>
      </c>
      <c r="B25" t="n">
        <v>27931</v>
      </c>
    </row>
    <row r="26">
      <c r="A26" t="inlineStr">
        <is>
          <t>2023-08</t>
        </is>
      </c>
      <c r="B26" t="n">
        <v>3312</v>
      </c>
    </row>
    <row r="27">
      <c r="A27" t="inlineStr">
        <is>
          <t>2023-09</t>
        </is>
      </c>
      <c r="B27" t="n">
        <v>-17685</v>
      </c>
    </row>
    <row r="28">
      <c r="A28" t="inlineStr">
        <is>
          <t>2023-10</t>
        </is>
      </c>
      <c r="B28" t="n">
        <v>-12582</v>
      </c>
    </row>
    <row r="29">
      <c r="A29" t="inlineStr">
        <is>
          <t>2023-11</t>
        </is>
      </c>
      <c r="B29" t="n">
        <v>-4710</v>
      </c>
    </row>
    <row r="30">
      <c r="A30" t="inlineStr">
        <is>
          <t>2023-12</t>
        </is>
      </c>
      <c r="B30" t="n">
        <v>-11721</v>
      </c>
    </row>
    <row r="31">
      <c r="A31" t="inlineStr">
        <is>
          <t>2024-01</t>
        </is>
      </c>
      <c r="B31" t="n">
        <v>-34048</v>
      </c>
    </row>
    <row r="32">
      <c r="A32" t="inlineStr">
        <is>
          <t>2024-02</t>
        </is>
      </c>
      <c r="B32" t="n">
        <v>-31449</v>
      </c>
    </row>
    <row r="33">
      <c r="A33" t="inlineStr">
        <is>
          <t>2024-03</t>
        </is>
      </c>
      <c r="B33" t="n">
        <v>71626</v>
      </c>
    </row>
    <row r="34">
      <c r="A34" t="inlineStr">
        <is>
          <t>2024-04</t>
        </is>
      </c>
      <c r="B34" t="n">
        <v>60470</v>
      </c>
    </row>
    <row r="35">
      <c r="A35" t="inlineStr">
        <is>
          <t>2024-05</t>
        </is>
      </c>
      <c r="B35" t="n">
        <v>18310</v>
      </c>
    </row>
    <row r="36">
      <c r="A36" t="inlineStr">
        <is>
          <t>2024-06</t>
        </is>
      </c>
      <c r="B36" t="n">
        <v>-11805</v>
      </c>
    </row>
    <row r="37">
      <c r="A37" t="inlineStr">
        <is>
          <t>2024-07</t>
        </is>
      </c>
      <c r="B37" t="n">
        <v>81468</v>
      </c>
    </row>
    <row r="38">
      <c r="A38" t="inlineStr">
        <is>
          <t>2024-08</t>
        </is>
      </c>
      <c r="B38" t="n">
        <v>44397</v>
      </c>
    </row>
    <row r="39">
      <c r="A39" t="inlineStr">
        <is>
          <t>2024-09</t>
        </is>
      </c>
      <c r="B39" t="n">
        <v>26224</v>
      </c>
    </row>
    <row r="40">
      <c r="A40" t="inlineStr">
        <is>
          <t>2024-10</t>
        </is>
      </c>
      <c r="B40" t="n">
        <v>5042</v>
      </c>
    </row>
    <row r="41">
      <c r="A41" t="inlineStr">
        <is>
          <t>2024-11</t>
        </is>
      </c>
      <c r="B41" t="n">
        <v>51970</v>
      </c>
    </row>
    <row r="42">
      <c r="A42" t="inlineStr">
        <is>
          <t>2024-12</t>
        </is>
      </c>
      <c r="B42" t="n">
        <v>97354</v>
      </c>
    </row>
    <row r="43">
      <c r="A43" t="inlineStr">
        <is>
          <t>2025-01</t>
        </is>
      </c>
      <c r="B43" t="n">
        <v>-25397</v>
      </c>
    </row>
    <row r="44">
      <c r="A44" t="inlineStr">
        <is>
          <t>2025-02</t>
        </is>
      </c>
      <c r="B44" t="n">
        <v>23995</v>
      </c>
    </row>
    <row r="45">
      <c r="A45" t="inlineStr">
        <is>
          <t>2025-03</t>
        </is>
      </c>
      <c r="B45" t="n">
        <v>18263</v>
      </c>
    </row>
    <row r="46">
      <c r="A46" t="inlineStr">
        <is>
          <t>2025-04</t>
        </is>
      </c>
      <c r="B46" t="n">
        <v>42210</v>
      </c>
    </row>
    <row r="47">
      <c r="A47" t="inlineStr">
        <is>
          <t>2025-05</t>
        </is>
      </c>
      <c r="B47" t="n">
        <v>920</v>
      </c>
    </row>
    <row r="48">
      <c r="A48" t="inlineStr">
        <is>
          <t>2025-06</t>
        </is>
      </c>
      <c r="B48" t="n">
        <v>-34641</v>
      </c>
    </row>
    <row r="49">
      <c r="A49" t="inlineStr">
        <is>
          <t>2025-07</t>
        </is>
      </c>
      <c r="B49" t="n">
        <v>60186</v>
      </c>
    </row>
    <row r="50">
      <c r="A50" t="inlineStr">
        <is>
          <t>2025-08</t>
        </is>
      </c>
      <c r="B50" t="n">
        <v>42852</v>
      </c>
    </row>
    <row r="51">
      <c r="A51" t="inlineStr">
        <is>
          <t>2025-09</t>
        </is>
      </c>
      <c r="B51" t="n">
        <v>12458</v>
      </c>
    </row>
    <row r="52">
      <c r="A52" t="inlineStr">
        <is>
          <t>2025-10</t>
        </is>
      </c>
      <c r="B52" t="n">
        <v>55743</v>
      </c>
    </row>
    <row r="53">
      <c r="A53" t="inlineStr">
        <is>
          <t>2025-11</t>
        </is>
      </c>
      <c r="B53" t="n">
        <v>57946</v>
      </c>
    </row>
    <row r="54">
      <c r="A54" t="inlineStr">
        <is>
          <t>2025-12</t>
        </is>
      </c>
      <c r="B54" t="n">
        <v>-2471</v>
      </c>
    </row>
    <row r="55">
      <c r="A55" t="inlineStr">
        <is>
          <t>2026-01</t>
        </is>
      </c>
      <c r="B55" t="n">
        <v>33549</v>
      </c>
    </row>
    <row r="56">
      <c r="A56" t="inlineStr">
        <is>
          <t>2026-02</t>
        </is>
      </c>
      <c r="B56" t="n">
        <v>24867</v>
      </c>
    </row>
    <row r="57">
      <c r="A57" t="inlineStr">
        <is>
          <t>2026-03</t>
        </is>
      </c>
      <c r="B57" t="n">
        <v>4904</v>
      </c>
    </row>
    <row r="58">
      <c r="A58" t="inlineStr">
        <is>
          <t>2026-04</t>
        </is>
      </c>
      <c r="B58" t="n">
        <v>-49017</v>
      </c>
    </row>
    <row r="59">
      <c r="A59" t="inlineStr">
        <is>
          <t>2026-05</t>
        </is>
      </c>
      <c r="B59" t="n">
        <v>18213</v>
      </c>
    </row>
    <row r="60">
      <c r="A60" t="inlineStr">
        <is>
          <t>2026-06</t>
        </is>
      </c>
      <c r="B60" t="n">
        <v>28510</v>
      </c>
    </row>
    <row r="61">
      <c r="A61" t="inlineStr">
        <is>
          <t>2026-07</t>
        </is>
      </c>
      <c r="B61" t="n">
        <v>-31919</v>
      </c>
    </row>
    <row r="62">
      <c r="A62" t="inlineStr">
        <is>
          <t>2026-08</t>
        </is>
      </c>
      <c r="B62" t="n">
        <v>54467</v>
      </c>
    </row>
    <row r="63">
      <c r="A63" t="inlineStr">
        <is>
          <t>2026-09</t>
        </is>
      </c>
      <c r="B63" t="n">
        <v>1646</v>
      </c>
    </row>
    <row r="64">
      <c r="A64" t="inlineStr">
        <is>
          <t>2026-10</t>
        </is>
      </c>
      <c r="B64" t="n">
        <v>107951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60" customWidth="1" min="3" max="3"/>
  </cols>
  <sheetData>
    <row r="1">
      <c r="A1" s="1" t="inlineStr">
        <is>
          <t>期货信号跟踪台 · 2026-10-29 回测</t>
        </is>
      </c>
    </row>
    <row r="3">
      <c r="A3" s="2" t="inlineStr">
        <is>
          <t>账户资金（元）</t>
        </is>
      </c>
      <c r="B3" s="3" t="n">
        <v>1000000</v>
      </c>
      <c r="C3" s="4" t="inlineStr">
        <is>
          <t>纸面账户规模</t>
        </is>
      </c>
    </row>
    <row r="4">
      <c r="A4" s="2" t="inlineStr">
        <is>
          <t>组合计划风险上限</t>
        </is>
      </c>
      <c r="B4" s="5" t="n">
        <v>0.1</v>
      </c>
      <c r="C4" s="4" t="inlineStr">
        <is>
          <t>所有实盘持仓风险预算占比合计上限</t>
        </is>
      </c>
    </row>
    <row r="5">
      <c r="A5" s="2" t="inlineStr">
        <is>
          <t>单品种风险上限</t>
        </is>
      </c>
      <c r="B5" s="5" t="n">
        <v>0.03</v>
      </c>
      <c r="C5" s="4" t="inlineStr">
        <is>
          <t>单品种最大亏损不超过总资金 3%（硬止损）</t>
        </is>
      </c>
    </row>
    <row r="6">
      <c r="A6" s="2" t="inlineStr">
        <is>
          <t>同板块同方向上限</t>
        </is>
      </c>
      <c r="B6" s="5" t="n">
        <v>0.06</v>
      </c>
      <c r="C6" s="4" t="inlineStr">
        <is>
          <t>同一板块同一方向风险预算合计上限</t>
        </is>
      </c>
    </row>
    <row r="7">
      <c r="A7" s="2" t="inlineStr">
        <is>
          <t>技术止损倍数（ATR）</t>
        </is>
      </c>
      <c r="B7" s="6" t="n">
        <v>3</v>
      </c>
      <c r="C7" s="4" t="inlineStr">
        <is>
          <t>入场价 ∓ 3×ATR(14)，之后按 3×ATR 移动</t>
        </is>
      </c>
    </row>
    <row r="8">
      <c r="A8" s="2" t="inlineStr">
        <is>
          <t>保证金比例（估算）</t>
        </is>
      </c>
      <c r="B8" s="5" t="n">
        <v>0.12</v>
      </c>
      <c r="C8" s="4" t="inlineStr">
        <is>
          <t>假设值，按实际开户比例修改</t>
        </is>
      </c>
    </row>
    <row r="9">
      <c r="A9" s="2" t="inlineStr">
        <is>
          <t>相关同组上限</t>
        </is>
      </c>
      <c r="B9" s="5" t="n">
        <v>0.03</v>
      </c>
      <c r="C9" s="4" t="inlineStr">
        <is>
          <t>同方向、40 日相关 ≥0.8 的品种合计上限</t>
        </is>
      </c>
    </row>
    <row r="12">
      <c r="A12" s="7" t="inlineStr">
        <is>
          <t>规则（跟踪台 v2.5）</t>
        </is>
      </c>
    </row>
    <row r="13">
      <c r="A13" s="2" t="inlineStr">
        <is>
          <t>手数 = 向下取整(风险预算 ÷ (3×ATR×合约乘数))；计划风险 = |入场−止损|×手数×乘数。</t>
        </is>
      </c>
    </row>
    <row r="14">
      <c r="A14" s="2" t="inlineStr">
        <is>
          <t>风险预算% = min(¼凯利, 样本分档上限, 星级上限)：已平&lt;10笔固定1%；10–29笔≤2%；≥30笔≤3%；3星≤3%、2星≤2%、1星只开观察仓。</t>
        </is>
      </c>
    </row>
    <row r="15">
      <c r="A15" s="2" t="inlineStr">
        <is>
          <t>组合 ≤10%；同板块同方向 ≤6%；高相关同组 ≤3%；一级宏观事件前单方向 ≤7%。</t>
        </is>
      </c>
    </row>
    <row r="16">
      <c r="A16" s="2" t="inlineStr">
        <is>
          <t>入场：收盘信号次日开盘（夜盘第一笔）成交记账；“待成交”的入场价暂为信号日收盘价。</t>
        </is>
      </c>
    </row>
    <row r="17">
      <c r="A17" s="2" t="inlineStr">
        <is>
          <t>入场须顺 5 日线（逆势观望）；止损按 3×ATR 移动，不限持有天数（最长 60 日）；同向信号=续持；反向先平后开；将军撤退/大将军转向当天收盘平。</t>
        </is>
      </c>
    </row>
    <row r="18">
      <c r="A18" s="2" t="inlineStr">
        <is>
          <t>蓝色=输入值可改；黑色=公式；绿色=引用参数页。仅供参考，不构成投资建议。</t>
        </is>
      </c>
    </row>
    <row r="20">
      <c r="A20" s="2" t="inlineStr">
        <is>
          <t>宏观：回测（商品全市场五年 2021-08-02 ~ 2026-10-29）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8" customWidth="1" min="5" max="5"/>
    <col width="7" customWidth="1" min="6" max="6"/>
    <col width="11" customWidth="1" min="7" max="7"/>
    <col width="11" customWidth="1" min="8" max="8"/>
    <col width="9" customWidth="1" min="9" max="9"/>
    <col width="11" customWidth="1" min="10" max="10"/>
    <col width="12" customWidth="1" min="11" max="11"/>
    <col width="9" customWidth="1" min="12" max="12"/>
    <col width="14" customWidth="1" min="13" max="13"/>
    <col width="34" customWidth="1" min="14" max="14"/>
    <col width="60" customWidth="1" min="15" max="15"/>
  </cols>
  <sheetData>
    <row r="1">
      <c r="A1" s="8" t="inlineStr">
        <is>
          <t>品种</t>
        </is>
      </c>
      <c r="B1" s="8" t="inlineStr">
        <is>
          <t>代码</t>
        </is>
      </c>
      <c r="C1" s="8" t="inlineStr">
        <is>
          <t>方向</t>
        </is>
      </c>
      <c r="D1" s="8" t="inlineStr">
        <is>
          <t>星级</t>
        </is>
      </c>
      <c r="E1" s="8" t="inlineStr">
        <is>
          <t>动作</t>
        </is>
      </c>
      <c r="F1" s="8" t="inlineStr">
        <is>
          <t>手数</t>
        </is>
      </c>
      <c r="G1" s="8" t="inlineStr">
        <is>
          <t>入场价</t>
        </is>
      </c>
      <c r="H1" s="8" t="inlineStr">
        <is>
          <t>技术止损</t>
        </is>
      </c>
      <c r="I1" s="8" t="inlineStr">
        <is>
          <t>合约乘数</t>
        </is>
      </c>
      <c r="J1" s="8" t="inlineStr">
        <is>
          <t>风险预算占比</t>
        </is>
      </c>
      <c r="K1" s="8" t="inlineStr">
        <is>
          <t>计划风险（元）</t>
        </is>
      </c>
      <c r="L1" s="8" t="inlineStr">
        <is>
          <t>占资金</t>
        </is>
      </c>
      <c r="M1" s="8" t="inlineStr">
        <is>
          <t>合约货值（元）</t>
        </is>
      </c>
      <c r="N1" s="8" t="inlineStr">
        <is>
          <t>仓位依据 / 不做原因</t>
        </is>
      </c>
      <c r="O1" s="8" t="inlineStr">
        <is>
          <t>理由</t>
        </is>
      </c>
    </row>
    <row r="2">
      <c r="A2" s="2" t="inlineStr">
        <is>
          <t>碳酸锂</t>
        </is>
      </c>
      <c r="B2" s="2" t="inlineStr">
        <is>
          <t>LC</t>
        </is>
      </c>
      <c r="C2" s="9" t="inlineStr">
        <is>
          <t>空</t>
        </is>
      </c>
      <c r="D2" s="2" t="inlineStr">
        <is>
          <t>★★★</t>
        </is>
      </c>
      <c r="E2" s="2" t="inlineStr">
        <is>
          <t>续持</t>
        </is>
      </c>
      <c r="F2" s="10" t="n">
        <v>1</v>
      </c>
      <c r="G2" s="11" t="n">
        <v>96200</v>
      </c>
      <c r="H2" s="11" t="n">
        <v>106727.14</v>
      </c>
      <c r="I2" s="10" t="n">
        <v>1</v>
      </c>
      <c r="J2" s="5" t="n">
        <v>0.03</v>
      </c>
      <c r="K2" s="12">
        <f>IF(F2="","",ABS(G2-H2)*F2*I2)</f>
        <v/>
      </c>
      <c r="L2" s="13">
        <f>IF(K2="","",K2/参数!$B$3)</f>
        <v/>
      </c>
      <c r="M2" s="12">
        <f>IF(F2="","",G2*F2*I2)</f>
        <v/>
      </c>
      <c r="N2" s="2" t="inlineStr">
        <is>
          <t>续持原仓（2026-10-26开）</t>
        </is>
      </c>
      <c r="O2" s="2" t="inlineStr">
        <is>
          <t>将军净-13.2%，4个将军</t>
        </is>
      </c>
    </row>
    <row r="3">
      <c r="A3" s="14" t="inlineStr">
        <is>
          <t>热卷</t>
        </is>
      </c>
      <c r="B3" s="14" t="inlineStr">
        <is>
          <t>HC</t>
        </is>
      </c>
      <c r="C3" s="14" t="inlineStr">
        <is>
          <t>空</t>
        </is>
      </c>
      <c r="D3" s="14" t="inlineStr">
        <is>
          <t>★★</t>
        </is>
      </c>
      <c r="E3" s="14" t="inlineStr">
        <is>
          <t>观望</t>
        </is>
      </c>
      <c r="F3" s="14" t="n"/>
      <c r="G3" s="15" t="n">
        <v>3192</v>
      </c>
      <c r="H3" s="15" t="n"/>
      <c r="I3" s="14" t="n">
        <v>10</v>
      </c>
      <c r="J3" s="16" t="n"/>
      <c r="K3" s="17">
        <f>IF(F3="","",ABS(G3-H3)*F3*I3)</f>
        <v/>
      </c>
      <c r="L3" s="18">
        <f>IF(K3="","",K3/参数!$B$3)</f>
        <v/>
      </c>
      <c r="M3" s="17">
        <f>IF(F3="","",G3*F3*I3)</f>
        <v/>
      </c>
      <c r="N3" s="14" t="inlineStr">
        <is>
          <t>逆5日线（收盘在5日线上，不追空）</t>
        </is>
      </c>
      <c r="O3" s="14" t="inlineStr">
        <is>
          <t>将军净-7.8%，4个将军</t>
        </is>
      </c>
    </row>
    <row r="4">
      <c r="A4" s="14" t="inlineStr">
        <is>
          <t>纸浆</t>
        </is>
      </c>
      <c r="B4" s="14" t="inlineStr">
        <is>
          <t>SP</t>
        </is>
      </c>
      <c r="C4" s="14" t="inlineStr">
        <is>
          <t>空</t>
        </is>
      </c>
      <c r="D4" s="14" t="inlineStr">
        <is>
          <t>★★</t>
        </is>
      </c>
      <c r="E4" s="14" t="inlineStr">
        <is>
          <t>观望</t>
        </is>
      </c>
      <c r="F4" s="14" t="n"/>
      <c r="G4" s="15" t="n">
        <v>4604</v>
      </c>
      <c r="H4" s="15" t="n"/>
      <c r="I4" s="14" t="n">
        <v>10</v>
      </c>
      <c r="J4" s="16" t="n"/>
      <c r="K4" s="17">
        <f>IF(F4="","",ABS(G4-H4)*F4*I4)</f>
        <v/>
      </c>
      <c r="L4" s="18">
        <f>IF(K4="","",K4/参数!$B$3)</f>
        <v/>
      </c>
      <c r="M4" s="17">
        <f>IF(F4="","",G4*F4*I4)</f>
        <v/>
      </c>
      <c r="N4" s="14" t="inlineStr">
        <is>
          <t>逆5日线（收盘在5日线上，不追空）</t>
        </is>
      </c>
      <c r="O4" s="14" t="inlineStr">
        <is>
          <t>将军净-20.1%，4个将军</t>
        </is>
      </c>
    </row>
    <row r="5">
      <c r="A5" s="14" t="inlineStr">
        <is>
          <t>沪银</t>
        </is>
      </c>
      <c r="B5" s="14" t="inlineStr">
        <is>
          <t>AG</t>
        </is>
      </c>
      <c r="C5" s="14" t="inlineStr">
        <is>
          <t>空</t>
        </is>
      </c>
      <c r="D5" s="14" t="inlineStr">
        <is>
          <t>★★★</t>
        </is>
      </c>
      <c r="E5" s="14" t="inlineStr">
        <is>
          <t>不做</t>
        </is>
      </c>
      <c r="F5" s="14" t="n"/>
      <c r="G5" s="15" t="n">
        <v>12682</v>
      </c>
      <c r="H5" s="15" t="n"/>
      <c r="I5" s="14" t="n">
        <v>15</v>
      </c>
      <c r="J5" s="16" t="n"/>
      <c r="K5" s="17">
        <f>IF(F5="","",ABS(G5-H5)*F5*I5)</f>
        <v/>
      </c>
      <c r="L5" s="18">
        <f>IF(K5="","",K5/参数!$B$3)</f>
        <v/>
      </c>
      <c r="M5" s="17">
        <f>IF(F5="","",G5*F5*I5)</f>
        <v/>
      </c>
      <c r="N5" s="14" t="inlineStr">
        <is>
          <t>组合风险已近10%，预算缩小</t>
        </is>
      </c>
      <c r="O5" s="14" t="inlineStr">
        <is>
          <t>将军净-17.8%，4个将军</t>
        </is>
      </c>
    </row>
    <row r="6">
      <c r="A6" s="14" t="inlineStr">
        <is>
          <t>豆粕</t>
        </is>
      </c>
      <c r="B6" s="14" t="inlineStr">
        <is>
          <t>M</t>
        </is>
      </c>
      <c r="C6" s="14" t="inlineStr">
        <is>
          <t>空</t>
        </is>
      </c>
      <c r="D6" s="14" t="inlineStr">
        <is>
          <t>★★★</t>
        </is>
      </c>
      <c r="E6" s="14" t="inlineStr">
        <is>
          <t>不做</t>
        </is>
      </c>
      <c r="F6" s="14" t="n"/>
      <c r="G6" s="15" t="n">
        <v>3161</v>
      </c>
      <c r="H6" s="15" t="n"/>
      <c r="I6" s="14" t="n">
        <v>10</v>
      </c>
      <c r="J6" s="16" t="n"/>
      <c r="K6" s="17">
        <f>IF(F6="","",ABS(G6-H6)*F6*I6)</f>
        <v/>
      </c>
      <c r="L6" s="18">
        <f>IF(K6="","",K6/参数!$B$3)</f>
        <v/>
      </c>
      <c r="M6" s="17">
        <f>IF(F6="","",G6*F6*I6)</f>
        <v/>
      </c>
      <c r="N6" s="14" t="inlineStr">
        <is>
          <t>组合风险已近10%，预算缩小</t>
        </is>
      </c>
      <c r="O6" s="14" t="inlineStr">
        <is>
          <t>将军净-12.6%，4个将军</t>
        </is>
      </c>
    </row>
    <row r="7">
      <c r="A7" s="14" t="inlineStr">
        <is>
          <t>PVC</t>
        </is>
      </c>
      <c r="B7" s="14" t="inlineStr">
        <is>
          <t>V</t>
        </is>
      </c>
      <c r="C7" s="14" t="inlineStr">
        <is>
          <t>多</t>
        </is>
      </c>
      <c r="D7" s="14" t="inlineStr">
        <is>
          <t>★★★</t>
        </is>
      </c>
      <c r="E7" s="14" t="inlineStr">
        <is>
          <t>不做</t>
        </is>
      </c>
      <c r="F7" s="14" t="n"/>
      <c r="G7" s="15" t="n">
        <v>5299</v>
      </c>
      <c r="H7" s="15" t="n"/>
      <c r="I7" s="14" t="n">
        <v>5</v>
      </c>
      <c r="J7" s="16" t="n"/>
      <c r="K7" s="17">
        <f>IF(F7="","",ABS(G7-H7)*F7*I7)</f>
        <v/>
      </c>
      <c r="L7" s="18">
        <f>IF(K7="","",K7/参数!$B$3)</f>
        <v/>
      </c>
      <c r="M7" s="17">
        <f>IF(F7="","",G7*F7*I7)</f>
        <v/>
      </c>
      <c r="N7" s="14" t="inlineStr">
        <is>
          <t>组合风险已近10%，预算缩小</t>
        </is>
      </c>
      <c r="O7" s="14" t="inlineStr">
        <is>
          <t>将军净9.3%，4个将军</t>
        </is>
      </c>
    </row>
    <row r="8">
      <c r="A8" s="2" t="inlineStr">
        <is>
          <t>尿素</t>
        </is>
      </c>
      <c r="B8" s="2" t="inlineStr">
        <is>
          <t>UR</t>
        </is>
      </c>
      <c r="C8" s="19" t="inlineStr">
        <is>
          <t>多</t>
        </is>
      </c>
      <c r="D8" s="2" t="inlineStr">
        <is>
          <t>★★</t>
        </is>
      </c>
      <c r="E8" s="2" t="inlineStr">
        <is>
          <t>影子仓</t>
        </is>
      </c>
      <c r="F8" s="10" t="n">
        <v>7</v>
      </c>
      <c r="G8" s="11" t="n">
        <v>1716</v>
      </c>
      <c r="H8" s="11" t="n">
        <v>1647</v>
      </c>
      <c r="I8" s="10" t="n">
        <v>20</v>
      </c>
      <c r="J8" s="5" t="n">
        <v>0.01</v>
      </c>
      <c r="K8" s="12">
        <f>IF(F8="","",ABS(G8-H8)*F8*I8)</f>
        <v/>
      </c>
      <c r="L8" s="13">
        <f>IF(K8="","",K8/参数!$B$3)</f>
        <v/>
      </c>
      <c r="M8" s="12">
        <f>IF(F8="","",G8*F8*I8)</f>
        <v/>
      </c>
      <c r="N8" s="2" t="inlineStr">
        <is>
          <t>凯利≤0，开1%影子仓（只统计，不计入组合）</t>
        </is>
      </c>
      <c r="O8" s="2" t="inlineStr">
        <is>
          <t>将军净5.2%，4个将军</t>
        </is>
      </c>
    </row>
    <row r="9">
      <c r="I9" s="7" t="inlineStr">
        <is>
          <t>合计（不含观察仓）</t>
        </is>
      </c>
      <c r="J9" s="20">
        <f>SUMIFS(J2:J8,$E$2:$E$8,"&lt;&gt;观察仓",$E$2:$E$8,"&lt;&gt;不做")</f>
        <v/>
      </c>
      <c r="K9" s="21">
        <f>SUMIFS(K2:K8,$E$2:$E$8,"&lt;&gt;观察仓",$E$2:$E$8,"&lt;&gt;不做")</f>
        <v/>
      </c>
      <c r="L9" s="22">
        <f>SUMIFS(L2:L8,$E$2:$E$8,"&lt;&gt;观察仓",$E$2:$E$8,"&lt;&gt;不做")</f>
        <v/>
      </c>
      <c r="M9" s="21">
        <f>SUMIFS(M2:M8,$E$2:$E$8,"&lt;&gt;观察仓",$E$2:$E$8,"&lt;&gt;不做")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6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12" customWidth="1" min="14" max="14"/>
    <col width="13" customWidth="1" min="15" max="15"/>
    <col width="8" customWidth="1" min="16" max="16"/>
    <col width="14" customWidth="1" min="17" max="17"/>
    <col width="14" customWidth="1" min="18" max="18"/>
    <col width="8" customWidth="1" min="19" max="19"/>
    <col width="7" customWidth="1" min="20" max="20"/>
  </cols>
  <sheetData>
    <row r="1">
      <c r="A1" s="8" t="inlineStr">
        <is>
          <t>开仓日</t>
        </is>
      </c>
      <c r="B1" s="8" t="inlineStr">
        <is>
          <t>品种</t>
        </is>
      </c>
      <c r="C1" s="8" t="inlineStr">
        <is>
          <t>代码</t>
        </is>
      </c>
      <c r="D1" s="8" t="inlineStr">
        <is>
          <t>方向</t>
        </is>
      </c>
      <c r="E1" s="8" t="inlineStr">
        <is>
          <t>星级</t>
        </is>
      </c>
      <c r="F1" s="8" t="inlineStr">
        <is>
          <t>板块</t>
        </is>
      </c>
      <c r="G1" s="8" t="inlineStr">
        <is>
          <t>状态</t>
        </is>
      </c>
      <c r="H1" s="8" t="inlineStr">
        <is>
          <t>手数</t>
        </is>
      </c>
      <c r="I1" s="8" t="inlineStr">
        <is>
          <t>入场价</t>
        </is>
      </c>
      <c r="J1" s="8" t="inlineStr">
        <is>
          <t>技术止损</t>
        </is>
      </c>
      <c r="K1" s="8" t="inlineStr">
        <is>
          <t>合约乘数</t>
        </is>
      </c>
      <c r="L1" s="8" t="inlineStr">
        <is>
          <t>最新收盘</t>
        </is>
      </c>
      <c r="M1" s="8" t="inlineStr">
        <is>
          <t>风险预算占比</t>
        </is>
      </c>
      <c r="N1" s="8" t="inlineStr">
        <is>
          <t>计划风险（元）</t>
        </is>
      </c>
      <c r="O1" s="8" t="inlineStr">
        <is>
          <t>浮动盈亏（元）</t>
        </is>
      </c>
      <c r="P1" s="8" t="inlineStr">
        <is>
          <t>R倍数</t>
        </is>
      </c>
      <c r="Q1" s="8" t="inlineStr">
        <is>
          <t>合约货值（元）</t>
        </is>
      </c>
      <c r="R1" s="8" t="inlineStr">
        <is>
          <t>保证金估算（元）</t>
        </is>
      </c>
      <c r="S1" s="8" t="inlineStr">
        <is>
          <t>已持天数</t>
        </is>
      </c>
      <c r="T1" s="8" t="inlineStr">
        <is>
          <t>观察仓</t>
        </is>
      </c>
    </row>
    <row r="2">
      <c r="A2" s="2" t="inlineStr">
        <is>
          <t>2026-10-08</t>
        </is>
      </c>
      <c r="B2" s="2" t="inlineStr">
        <is>
          <t>玻璃</t>
        </is>
      </c>
      <c r="C2" s="2" t="inlineStr">
        <is>
          <t>FG</t>
        </is>
      </c>
      <c r="D2" s="9" t="inlineStr">
        <is>
          <t>空</t>
        </is>
      </c>
      <c r="E2" s="2" t="inlineStr">
        <is>
          <t>★★★</t>
        </is>
      </c>
      <c r="F2" s="2" t="inlineStr">
        <is>
          <t>建材</t>
        </is>
      </c>
      <c r="G2" s="2" t="inlineStr">
        <is>
          <t>持有</t>
        </is>
      </c>
      <c r="H2" s="10" t="n">
        <v>22</v>
      </c>
      <c r="I2" s="11" t="n">
        <v>867</v>
      </c>
      <c r="J2" s="11" t="n">
        <v>872.5</v>
      </c>
      <c r="K2" s="10" t="n">
        <v>20</v>
      </c>
      <c r="L2" s="11" t="n">
        <v>857</v>
      </c>
      <c r="M2" s="5" t="n">
        <v>0.03</v>
      </c>
      <c r="N2" s="12">
        <f>ABS(I2-J2)*H2*K2</f>
        <v/>
      </c>
      <c r="O2" s="23">
        <f>IF(D2="多",1,-1)*(L2-I2)*H2*K2</f>
        <v/>
      </c>
      <c r="P2" s="24">
        <f>O2/(M2*参数!$B$3)</f>
        <v/>
      </c>
      <c r="Q2" s="12">
        <f>L2*H2*K2</f>
        <v/>
      </c>
      <c r="R2" s="12">
        <f>Q2*参数!$B$8</f>
        <v/>
      </c>
      <c r="S2" s="10" t="n">
        <v>15</v>
      </c>
      <c r="T2" s="2" t="inlineStr">
        <is>
          <t>否</t>
        </is>
      </c>
    </row>
    <row r="3">
      <c r="A3" s="2" t="inlineStr">
        <is>
          <t>2026-10-21</t>
        </is>
      </c>
      <c r="B3" s="2" t="inlineStr">
        <is>
          <t>纸浆</t>
        </is>
      </c>
      <c r="C3" s="2" t="inlineStr">
        <is>
          <t>SP</t>
        </is>
      </c>
      <c r="D3" s="9" t="inlineStr">
        <is>
          <t>空</t>
        </is>
      </c>
      <c r="E3" s="2" t="inlineStr">
        <is>
          <t>★★★</t>
        </is>
      </c>
      <c r="F3" s="2" t="inlineStr">
        <is>
          <t>软商品</t>
        </is>
      </c>
      <c r="G3" s="2" t="inlineStr">
        <is>
          <t>持有</t>
        </is>
      </c>
      <c r="H3" s="10" t="n">
        <v>14</v>
      </c>
      <c r="I3" s="11" t="n">
        <v>4676</v>
      </c>
      <c r="J3" s="11" t="n">
        <v>4710.86</v>
      </c>
      <c r="K3" s="10" t="n">
        <v>10</v>
      </c>
      <c r="L3" s="11" t="n">
        <v>4604</v>
      </c>
      <c r="M3" s="5" t="n">
        <v>0.03</v>
      </c>
      <c r="N3" s="12">
        <f>ABS(I3-J3)*H3*K3</f>
        <v/>
      </c>
      <c r="O3" s="23">
        <f>IF(D3="多",1,-1)*(L3-I3)*H3*K3</f>
        <v/>
      </c>
      <c r="P3" s="24">
        <f>O3/(M3*参数!$B$3)</f>
        <v/>
      </c>
      <c r="Q3" s="12">
        <f>L3*H3*K3</f>
        <v/>
      </c>
      <c r="R3" s="12">
        <f>Q3*参数!$B$8</f>
        <v/>
      </c>
      <c r="S3" s="10" t="n">
        <v>1</v>
      </c>
      <c r="T3" s="2" t="inlineStr">
        <is>
          <t>否</t>
        </is>
      </c>
    </row>
    <row r="4">
      <c r="A4" s="2" t="inlineStr">
        <is>
          <t>2026-10-26</t>
        </is>
      </c>
      <c r="B4" s="2" t="inlineStr">
        <is>
          <t>碳酸锂</t>
        </is>
      </c>
      <c r="C4" s="2" t="inlineStr">
        <is>
          <t>LC</t>
        </is>
      </c>
      <c r="D4" s="9" t="inlineStr">
        <is>
          <t>空</t>
        </is>
      </c>
      <c r="E4" s="2" t="inlineStr">
        <is>
          <t>★★★</t>
        </is>
      </c>
      <c r="F4" s="2" t="inlineStr">
        <is>
          <t>有色</t>
        </is>
      </c>
      <c r="G4" s="2" t="inlineStr">
        <is>
          <t>持有</t>
        </is>
      </c>
      <c r="H4" s="10" t="n">
        <v>1</v>
      </c>
      <c r="I4" s="11" t="n">
        <v>96200</v>
      </c>
      <c r="J4" s="11" t="n">
        <v>106727.14</v>
      </c>
      <c r="K4" s="10" t="n">
        <v>1</v>
      </c>
      <c r="L4" s="11" t="n">
        <v>88360</v>
      </c>
      <c r="M4" s="5" t="n">
        <v>0.03</v>
      </c>
      <c r="N4" s="12">
        <f>ABS(I4-J4)*H4*K4</f>
        <v/>
      </c>
      <c r="O4" s="23">
        <f>IF(D4="多",1,-1)*(L4-I4)*H4*K4</f>
        <v/>
      </c>
      <c r="P4" s="24">
        <f>O4/(M4*参数!$B$3)</f>
        <v/>
      </c>
      <c r="Q4" s="12">
        <f>L4*H4*K4</f>
        <v/>
      </c>
      <c r="R4" s="12">
        <f>Q4*参数!$B$8</f>
        <v/>
      </c>
      <c r="S4" s="10" t="n">
        <v>0</v>
      </c>
      <c r="T4" s="2" t="inlineStr">
        <is>
          <t>否</t>
        </is>
      </c>
    </row>
    <row r="5">
      <c r="A5" s="2" t="inlineStr">
        <is>
          <t>2026-10-27</t>
        </is>
      </c>
      <c r="B5" s="2" t="inlineStr">
        <is>
          <t>热卷</t>
        </is>
      </c>
      <c r="C5" s="2" t="inlineStr">
        <is>
          <t>HC</t>
        </is>
      </c>
      <c r="D5" s="9" t="inlineStr">
        <is>
          <t>空</t>
        </is>
      </c>
      <c r="E5" s="2" t="inlineStr">
        <is>
          <t>★★★</t>
        </is>
      </c>
      <c r="F5" s="2" t="inlineStr">
        <is>
          <t>黑色</t>
        </is>
      </c>
      <c r="G5" s="2" t="inlineStr">
        <is>
          <t>持有</t>
        </is>
      </c>
      <c r="H5" s="10" t="n">
        <v>11</v>
      </c>
      <c r="I5" s="11" t="n">
        <v>3177</v>
      </c>
      <c r="J5" s="11" t="n">
        <v>3245.14</v>
      </c>
      <c r="K5" s="10" t="n">
        <v>10</v>
      </c>
      <c r="L5" s="11" t="n">
        <v>3192</v>
      </c>
      <c r="M5" s="5" t="n">
        <v>0.01</v>
      </c>
      <c r="N5" s="12">
        <f>ABS(I5-J5)*H5*K5</f>
        <v/>
      </c>
      <c r="O5" s="23">
        <f>IF(D5="多",1,-1)*(L5-I5)*H5*K5</f>
        <v/>
      </c>
      <c r="P5" s="24">
        <f>O5/(M5*参数!$B$3)</f>
        <v/>
      </c>
      <c r="Q5" s="12">
        <f>L5*H5*K5</f>
        <v/>
      </c>
      <c r="R5" s="12">
        <f>Q5*参数!$B$8</f>
        <v/>
      </c>
      <c r="S5" s="10" t="n">
        <v>1</v>
      </c>
      <c r="T5" s="2" t="inlineStr">
        <is>
          <t>否</t>
        </is>
      </c>
    </row>
    <row r="6">
      <c r="A6" s="14" t="inlineStr">
        <is>
          <t>2026-09-29</t>
        </is>
      </c>
      <c r="B6" s="14" t="inlineStr">
        <is>
          <t>PTA</t>
        </is>
      </c>
      <c r="C6" s="14" t="inlineStr">
        <is>
          <t>TA</t>
        </is>
      </c>
      <c r="D6" s="14" t="inlineStr">
        <is>
          <t>多</t>
        </is>
      </c>
      <c r="E6" s="14" t="inlineStr">
        <is>
          <t>★★</t>
        </is>
      </c>
      <c r="F6" s="14" t="inlineStr">
        <is>
          <t>化工</t>
        </is>
      </c>
      <c r="G6" s="14" t="inlineStr">
        <is>
          <t>观察仓</t>
        </is>
      </c>
      <c r="H6" s="14" t="n">
        <v>3</v>
      </c>
      <c r="I6" s="15" t="n">
        <v>6250</v>
      </c>
      <c r="J6" s="15" t="n">
        <v>6266</v>
      </c>
      <c r="K6" s="14" t="n">
        <v>5</v>
      </c>
      <c r="L6" s="15" t="n">
        <v>6648</v>
      </c>
      <c r="M6" s="16" t="n">
        <v>0.01</v>
      </c>
      <c r="N6" s="17">
        <f>ABS(I6-J6)*H6*K6</f>
        <v/>
      </c>
      <c r="O6" s="25">
        <f>IF(D6="多",1,-1)*(L6-I6)*H6*K6</f>
        <v/>
      </c>
      <c r="P6" s="26">
        <f>O6/(M6*参数!$B$3)</f>
        <v/>
      </c>
      <c r="Q6" s="17">
        <f>L6*H6*K6</f>
        <v/>
      </c>
      <c r="R6" s="17">
        <f>Q6*参数!$B$8</f>
        <v/>
      </c>
      <c r="S6" s="14" t="n">
        <v>17</v>
      </c>
      <c r="T6" s="14" t="inlineStr">
        <is>
          <t>是</t>
        </is>
      </c>
    </row>
    <row r="7">
      <c r="A7" s="14" t="inlineStr">
        <is>
          <t>2026-10-16</t>
        </is>
      </c>
      <c r="B7" s="14" t="inlineStr">
        <is>
          <t>硅铁</t>
        </is>
      </c>
      <c r="C7" s="14" t="inlineStr">
        <is>
          <t>SF</t>
        </is>
      </c>
      <c r="D7" s="14" t="inlineStr">
        <is>
          <t>空</t>
        </is>
      </c>
      <c r="E7" s="14" t="inlineStr">
        <is>
          <t>★★</t>
        </is>
      </c>
      <c r="F7" s="14" t="inlineStr">
        <is>
          <t>黑色</t>
        </is>
      </c>
      <c r="G7" s="14" t="inlineStr">
        <is>
          <t>观察仓</t>
        </is>
      </c>
      <c r="H7" s="14" t="n">
        <v>7</v>
      </c>
      <c r="I7" s="15" t="n">
        <v>5870</v>
      </c>
      <c r="J7" s="15" t="n">
        <v>6031.86</v>
      </c>
      <c r="K7" s="14" t="n">
        <v>5</v>
      </c>
      <c r="L7" s="15" t="n">
        <v>5836</v>
      </c>
      <c r="M7" s="16" t="n">
        <v>0.01</v>
      </c>
      <c r="N7" s="17">
        <f>ABS(I7-J7)*H7*K7</f>
        <v/>
      </c>
      <c r="O7" s="25">
        <f>IF(D7="多",1,-1)*(L7-I7)*H7*K7</f>
        <v/>
      </c>
      <c r="P7" s="26">
        <f>O7/(M7*参数!$B$3)</f>
        <v/>
      </c>
      <c r="Q7" s="17">
        <f>L7*H7*K7</f>
        <v/>
      </c>
      <c r="R7" s="17">
        <f>Q7*参数!$B$8</f>
        <v/>
      </c>
      <c r="S7" s="14" t="n">
        <v>9</v>
      </c>
      <c r="T7" s="14" t="inlineStr">
        <is>
          <t>是</t>
        </is>
      </c>
    </row>
    <row r="8">
      <c r="A8" s="14" t="inlineStr">
        <is>
          <t>2026-10-27</t>
        </is>
      </c>
      <c r="B8" s="14" t="inlineStr">
        <is>
          <t>沪镍</t>
        </is>
      </c>
      <c r="C8" s="14" t="inlineStr">
        <is>
          <t>NI</t>
        </is>
      </c>
      <c r="D8" s="14" t="inlineStr">
        <is>
          <t>空</t>
        </is>
      </c>
      <c r="E8" s="14" t="inlineStr">
        <is>
          <t>★★</t>
        </is>
      </c>
      <c r="F8" s="14" t="inlineStr">
        <is>
          <t>有色</t>
        </is>
      </c>
      <c r="G8" s="14" t="inlineStr">
        <is>
          <t>观察仓</t>
        </is>
      </c>
      <c r="H8" s="14" t="n">
        <v>1</v>
      </c>
      <c r="I8" s="15" t="n">
        <v>118130</v>
      </c>
      <c r="J8" s="15" t="n">
        <v>123498.57</v>
      </c>
      <c r="K8" s="14" t="n">
        <v>1</v>
      </c>
      <c r="L8" s="15" t="n">
        <v>118090</v>
      </c>
      <c r="M8" s="16" t="n">
        <v>0.01</v>
      </c>
      <c r="N8" s="17">
        <f>ABS(I8-J8)*H8*K8</f>
        <v/>
      </c>
      <c r="O8" s="25">
        <f>IF(D8="多",1,-1)*(L8-I8)*H8*K8</f>
        <v/>
      </c>
      <c r="P8" s="26">
        <f>O8/(M8*参数!$B$3)</f>
        <v/>
      </c>
      <c r="Q8" s="17">
        <f>L8*H8*K8</f>
        <v/>
      </c>
      <c r="R8" s="17">
        <f>Q8*参数!$B$8</f>
        <v/>
      </c>
      <c r="S8" s="14" t="n">
        <v>1</v>
      </c>
      <c r="T8" s="14" t="inlineStr">
        <is>
          <t>是</t>
        </is>
      </c>
    </row>
    <row r="9">
      <c r="A9" s="14" t="inlineStr">
        <is>
          <t>2026-10-27</t>
        </is>
      </c>
      <c r="B9" s="14" t="inlineStr">
        <is>
          <t>氧化铝</t>
        </is>
      </c>
      <c r="C9" s="14" t="inlineStr">
        <is>
          <t>AO</t>
        </is>
      </c>
      <c r="D9" s="14" t="inlineStr">
        <is>
          <t>空</t>
        </is>
      </c>
      <c r="E9" s="14" t="inlineStr">
        <is>
          <t>★★</t>
        </is>
      </c>
      <c r="F9" s="14" t="inlineStr">
        <is>
          <t>有色</t>
        </is>
      </c>
      <c r="G9" s="14" t="inlineStr">
        <is>
          <t>观察仓</t>
        </is>
      </c>
      <c r="H9" s="14" t="n">
        <v>3</v>
      </c>
      <c r="I9" s="15" t="n">
        <v>2563</v>
      </c>
      <c r="J9" s="15" t="n">
        <v>2688.07</v>
      </c>
      <c r="K9" s="14" t="n">
        <v>20</v>
      </c>
      <c r="L9" s="15" t="n">
        <v>2595</v>
      </c>
      <c r="M9" s="16" t="n">
        <v>0.01</v>
      </c>
      <c r="N9" s="17">
        <f>ABS(I9-J9)*H9*K9</f>
        <v/>
      </c>
      <c r="O9" s="25">
        <f>IF(D9="多",1,-1)*(L9-I9)*H9*K9</f>
        <v/>
      </c>
      <c r="P9" s="26">
        <f>O9/(M9*参数!$B$3)</f>
        <v/>
      </c>
      <c r="Q9" s="17">
        <f>L9*H9*K9</f>
        <v/>
      </c>
      <c r="R9" s="17">
        <f>Q9*参数!$B$8</f>
        <v/>
      </c>
      <c r="S9" s="14" t="n">
        <v>2</v>
      </c>
      <c r="T9" s="14" t="inlineStr">
        <is>
          <t>是</t>
        </is>
      </c>
    </row>
    <row r="10">
      <c r="A10" s="14" t="inlineStr">
        <is>
          <t>2026-10-29</t>
        </is>
      </c>
      <c r="B10" s="14" t="inlineStr">
        <is>
          <t>尿素</t>
        </is>
      </c>
      <c r="C10" s="14" t="inlineStr">
        <is>
          <t>UR</t>
        </is>
      </c>
      <c r="D10" s="14" t="inlineStr">
        <is>
          <t>多</t>
        </is>
      </c>
      <c r="E10" s="14" t="inlineStr">
        <is>
          <t>★★</t>
        </is>
      </c>
      <c r="F10" s="14" t="inlineStr">
        <is>
          <t>建材</t>
        </is>
      </c>
      <c r="G10" s="14" t="inlineStr">
        <is>
          <t>待成交</t>
        </is>
      </c>
      <c r="H10" s="14" t="n">
        <v>7</v>
      </c>
      <c r="I10" s="15" t="n">
        <v>1716</v>
      </c>
      <c r="J10" s="15" t="n">
        <v>1647</v>
      </c>
      <c r="K10" s="14" t="n">
        <v>20</v>
      </c>
      <c r="L10" s="15" t="n">
        <v>1716</v>
      </c>
      <c r="M10" s="16" t="n">
        <v>0.01</v>
      </c>
      <c r="N10" s="17">
        <f>ABS(I10-J10)*H10*K10</f>
        <v/>
      </c>
      <c r="O10" s="25">
        <f>IF(D10="多",1,-1)*(L10-I10)*H10*K10</f>
        <v/>
      </c>
      <c r="P10" s="26">
        <f>O10/(M10*参数!$B$3)</f>
        <v/>
      </c>
      <c r="Q10" s="17">
        <f>L10*H10*K10</f>
        <v/>
      </c>
      <c r="R10" s="17">
        <f>Q10*参数!$B$8</f>
        <v/>
      </c>
      <c r="S10" s="14" t="n">
        <v>0</v>
      </c>
      <c r="T10" s="14" t="inlineStr">
        <is>
          <t>是</t>
        </is>
      </c>
    </row>
    <row r="11">
      <c r="L11" s="7" t="inlineStr">
        <is>
          <t>合计（实盘）</t>
        </is>
      </c>
      <c r="M11" s="20">
        <f>SUMIF($T$2:$T$10,"否",M2:M10)</f>
        <v/>
      </c>
      <c r="N11" s="21">
        <f>SUMIF($T$2:$T$10,"否",N2:N10)</f>
        <v/>
      </c>
      <c r="O11" s="27">
        <f>SUMIF($T$2:$T$10,"否",O2:O10)</f>
        <v/>
      </c>
      <c r="Q11" s="21">
        <f>SUMIF($T$2:$T$10,"否",Q2:Q10)</f>
        <v/>
      </c>
      <c r="R11" s="21">
        <f>SUMIF($T$2:$T$10,"否",R2:R10)</f>
        <v/>
      </c>
    </row>
    <row r="12">
      <c r="L12" s="2" t="inlineStr">
        <is>
          <t>组合上限</t>
        </is>
      </c>
      <c r="M12" s="28">
        <f>参数!$B$4</f>
        <v/>
      </c>
    </row>
    <row r="13">
      <c r="L13" s="2" t="inlineStr">
        <is>
          <t>剩余空间</t>
        </is>
      </c>
      <c r="M13" s="29">
        <f>M12-M11</f>
        <v/>
      </c>
    </row>
    <row r="14">
      <c r="L14" s="2" t="inlineStr">
        <is>
          <t>空单风险预算</t>
        </is>
      </c>
      <c r="M14" s="29">
        <f>SUMIFS(M2:M10,D2:D10,"空",T2:T10,"否")</f>
        <v/>
      </c>
    </row>
    <row r="15">
      <c r="L15" s="2" t="inlineStr">
        <is>
          <t>多单风险预算</t>
        </is>
      </c>
      <c r="M15" s="29">
        <f>SUMIFS(M2:M10,D2:D10,"多",T2:T10,"否")</f>
        <v/>
      </c>
    </row>
    <row r="16">
      <c r="L16" s="2" t="inlineStr">
        <is>
          <t>货值杠杆（倍）</t>
        </is>
      </c>
      <c r="Q16" s="30">
        <f>Q11/参数!$B$3</f>
        <v/>
      </c>
    </row>
    <row r="17">
      <c r="L17" s="2" t="inlineStr">
        <is>
          <t>保证金占资金</t>
        </is>
      </c>
      <c r="R17" s="31">
        <f>R11/参数!$B$3</f>
        <v/>
      </c>
    </row>
    <row r="20">
      <c r="A20" s="7" t="inlineStr">
        <is>
          <t>板块风险（实盘，按方向）</t>
        </is>
      </c>
    </row>
    <row r="21">
      <c r="A21" s="8" t="inlineStr">
        <is>
          <t>板块</t>
        </is>
      </c>
      <c r="B21" s="8" t="inlineStr">
        <is>
          <t>方向</t>
        </is>
      </c>
      <c r="C21" s="8" t="inlineStr">
        <is>
          <t>风险预算占比</t>
        </is>
      </c>
      <c r="D21" s="8" t="inlineStr">
        <is>
          <t>计划风险（元）</t>
        </is>
      </c>
    </row>
    <row r="22">
      <c r="A22" s="2" t="inlineStr">
        <is>
          <t>建材</t>
        </is>
      </c>
      <c r="B22" s="9" t="inlineStr">
        <is>
          <t>空</t>
        </is>
      </c>
      <c r="C22" s="29">
        <f>SUMIFS($M$2:$M$10,$F$2:$F$10,A22,$D$2:$D$10,B22,$T$2:$T$10,"否")</f>
        <v/>
      </c>
      <c r="D22" s="12">
        <f>SUMIFS($N$2:$N$10,$F$2:$F$10,A22,$D$2:$D$10,B22,$T$2:$T$10,"否")</f>
        <v/>
      </c>
    </row>
    <row r="23">
      <c r="A23" s="2" t="inlineStr">
        <is>
          <t>有色</t>
        </is>
      </c>
      <c r="B23" s="9" t="inlineStr">
        <is>
          <t>空</t>
        </is>
      </c>
      <c r="C23" s="29">
        <f>SUMIFS($M$2:$M$10,$F$2:$F$10,A23,$D$2:$D$10,B23,$T$2:$T$10,"否")</f>
        <v/>
      </c>
      <c r="D23" s="12">
        <f>SUMIFS($N$2:$N$10,$F$2:$F$10,A23,$D$2:$D$10,B23,$T$2:$T$10,"否")</f>
        <v/>
      </c>
    </row>
    <row r="24">
      <c r="A24" s="2" t="inlineStr">
        <is>
          <t>软商品</t>
        </is>
      </c>
      <c r="B24" s="9" t="inlineStr">
        <is>
          <t>空</t>
        </is>
      </c>
      <c r="C24" s="29">
        <f>SUMIFS($M$2:$M$10,$F$2:$F$10,A24,$D$2:$D$10,B24,$T$2:$T$10,"否")</f>
        <v/>
      </c>
      <c r="D24" s="12">
        <f>SUMIFS($N$2:$N$10,$F$2:$F$10,A24,$D$2:$D$10,B24,$T$2:$T$10,"否")</f>
        <v/>
      </c>
    </row>
    <row r="25">
      <c r="A25" s="2" t="inlineStr">
        <is>
          <t>黑色</t>
        </is>
      </c>
      <c r="B25" s="9" t="inlineStr">
        <is>
          <t>空</t>
        </is>
      </c>
      <c r="C25" s="29">
        <f>SUMIFS($M$2:$M$10,$F$2:$F$10,A25,$D$2:$D$10,B25,$T$2:$T$10,"否")</f>
        <v/>
      </c>
      <c r="D25" s="12">
        <f>SUMIFS($N$2:$N$10,$F$2:$F$10,A25,$D$2:$D$10,B25,$T$2:$T$10,"否")</f>
        <v/>
      </c>
    </row>
    <row r="27">
      <c r="A27" s="4" t="inlineStr">
        <is>
          <t>R倍数 = 浮动盈亏 ÷ 风险预算。“待成交”行的入场价是信号日收盘价，次日按开盘价成交后更新。保证金按参数页比例粗估。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14" t="inlineStr">
        <is>
          <t>2026-10-28</t>
        </is>
      </c>
      <c r="B2" s="14" t="inlineStr">
        <is>
          <t>2026-10-29</t>
        </is>
      </c>
      <c r="C2" s="14" t="inlineStr">
        <is>
          <t>沥青</t>
        </is>
      </c>
      <c r="D2" s="14" t="inlineStr">
        <is>
          <t>BU</t>
        </is>
      </c>
      <c r="E2" s="14" t="inlineStr">
        <is>
          <t>多</t>
        </is>
      </c>
      <c r="F2" s="14" t="inlineStr">
        <is>
          <t>★★</t>
        </is>
      </c>
      <c r="G2" s="14" t="n">
        <v>1</v>
      </c>
      <c r="H2" s="15" t="n">
        <v>5097</v>
      </c>
      <c r="I2" s="15" t="n">
        <v>5110</v>
      </c>
      <c r="J2" s="14" t="n">
        <v>10</v>
      </c>
      <c r="K2" s="14" t="n">
        <v>10000</v>
      </c>
      <c r="L2" s="25">
        <f>IF(E2="多",1,-1)*(I2-H2)*G2*J2</f>
        <v/>
      </c>
      <c r="M2" s="26">
        <f>L2/K2</f>
        <v/>
      </c>
      <c r="N2" s="14" t="inlineStr">
        <is>
          <t>将军撤退+大将军转向</t>
        </is>
      </c>
      <c r="O2" s="14" t="inlineStr">
        <is>
          <t>是</t>
        </is>
      </c>
    </row>
    <row r="3">
      <c r="A3" s="14" t="inlineStr">
        <is>
          <t>2026-10-21</t>
        </is>
      </c>
      <c r="B3" s="14" t="inlineStr">
        <is>
          <t>2026-10-29</t>
        </is>
      </c>
      <c r="C3" s="14" t="inlineStr">
        <is>
          <t>棕榈油</t>
        </is>
      </c>
      <c r="D3" s="14" t="inlineStr">
        <is>
          <t>P</t>
        </is>
      </c>
      <c r="E3" s="14" t="inlineStr">
        <is>
          <t>多</t>
        </is>
      </c>
      <c r="F3" s="14" t="inlineStr">
        <is>
          <t>★★</t>
        </is>
      </c>
      <c r="G3" s="14" t="n">
        <v>1</v>
      </c>
      <c r="H3" s="15" t="n">
        <v>9610</v>
      </c>
      <c r="I3" s="15" t="n">
        <v>9177.360000000001</v>
      </c>
      <c r="J3" s="14" t="n">
        <v>10</v>
      </c>
      <c r="K3" s="14" t="n">
        <v>10000</v>
      </c>
      <c r="L3" s="25">
        <f>IF(E3="多",1,-1)*(I3-H3)*G3*J3</f>
        <v/>
      </c>
      <c r="M3" s="26">
        <f>L3/K3</f>
        <v/>
      </c>
      <c r="N3" s="14" t="inlineStr">
        <is>
          <t>止损</t>
        </is>
      </c>
      <c r="O3" s="14" t="inlineStr">
        <is>
          <t>是</t>
        </is>
      </c>
    </row>
    <row r="4">
      <c r="K4" s="7" t="inlineStr">
        <is>
          <t>合计（实盘）</t>
        </is>
      </c>
      <c r="L4" s="27">
        <f>SUMIF(O2:O3,"否",L2:L3)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14" t="inlineStr">
        <is>
          <t>2026-10-28</t>
        </is>
      </c>
      <c r="B2" s="14" t="inlineStr">
        <is>
          <t>2026-10-29</t>
        </is>
      </c>
      <c r="C2" s="14" t="inlineStr">
        <is>
          <t>沥青</t>
        </is>
      </c>
      <c r="D2" s="14" t="inlineStr">
        <is>
          <t>BU</t>
        </is>
      </c>
      <c r="E2" s="14" t="inlineStr">
        <is>
          <t>多</t>
        </is>
      </c>
      <c r="F2" s="14" t="inlineStr">
        <is>
          <t>★★</t>
        </is>
      </c>
      <c r="G2" s="14" t="n">
        <v>1</v>
      </c>
      <c r="H2" s="15" t="n">
        <v>5097</v>
      </c>
      <c r="I2" s="15" t="n">
        <v>5110</v>
      </c>
      <c r="J2" s="14" t="n">
        <v>10</v>
      </c>
      <c r="K2" s="14" t="n">
        <v>10000</v>
      </c>
      <c r="L2" s="25">
        <f>IF(E2="多",1,-1)*(I2-H2)*G2*J2</f>
        <v/>
      </c>
      <c r="M2" s="26">
        <f>L2/K2</f>
        <v/>
      </c>
      <c r="N2" s="14" t="inlineStr">
        <is>
          <t>将军撤退+大将军转向</t>
        </is>
      </c>
      <c r="O2" s="14" t="inlineStr">
        <is>
          <t>是</t>
        </is>
      </c>
    </row>
    <row r="3">
      <c r="A3" s="14" t="inlineStr">
        <is>
          <t>2026-10-21</t>
        </is>
      </c>
      <c r="B3" s="14" t="inlineStr">
        <is>
          <t>2026-10-29</t>
        </is>
      </c>
      <c r="C3" s="14" t="inlineStr">
        <is>
          <t>棕榈油</t>
        </is>
      </c>
      <c r="D3" s="14" t="inlineStr">
        <is>
          <t>P</t>
        </is>
      </c>
      <c r="E3" s="14" t="inlineStr">
        <is>
          <t>多</t>
        </is>
      </c>
      <c r="F3" s="14" t="inlineStr">
        <is>
          <t>★★</t>
        </is>
      </c>
      <c r="G3" s="14" t="n">
        <v>1</v>
      </c>
      <c r="H3" s="15" t="n">
        <v>9610</v>
      </c>
      <c r="I3" s="15" t="n">
        <v>9177.360000000001</v>
      </c>
      <c r="J3" s="14" t="n">
        <v>10</v>
      </c>
      <c r="K3" s="14" t="n">
        <v>10000</v>
      </c>
      <c r="L3" s="25">
        <f>IF(E3="多",1,-1)*(I3-H3)*G3*J3</f>
        <v/>
      </c>
      <c r="M3" s="26">
        <f>L3/K3</f>
        <v/>
      </c>
      <c r="N3" s="14" t="inlineStr">
        <is>
          <t>止损</t>
        </is>
      </c>
      <c r="O3" s="14" t="inlineStr">
        <is>
          <t>是</t>
        </is>
      </c>
    </row>
    <row r="4">
      <c r="A4" s="14" t="inlineStr">
        <is>
          <t>2026-10-27</t>
        </is>
      </c>
      <c r="B4" s="14" t="inlineStr">
        <is>
          <t>2026-10-28</t>
        </is>
      </c>
      <c r="C4" s="14" t="inlineStr">
        <is>
          <t>沪铝</t>
        </is>
      </c>
      <c r="D4" s="14" t="inlineStr">
        <is>
          <t>AL</t>
        </is>
      </c>
      <c r="E4" s="14" t="inlineStr">
        <is>
          <t>多</t>
        </is>
      </c>
      <c r="F4" s="14" t="inlineStr">
        <is>
          <t>★★</t>
        </is>
      </c>
      <c r="G4" s="14" t="n">
        <v>2</v>
      </c>
      <c r="H4" s="15" t="n">
        <v>23585</v>
      </c>
      <c r="I4" s="15" t="n">
        <v>23540</v>
      </c>
      <c r="J4" s="14" t="n">
        <v>5</v>
      </c>
      <c r="K4" s="14" t="n">
        <v>10000</v>
      </c>
      <c r="L4" s="25">
        <f>IF(E4="多",1,-1)*(I4-H4)*G4*J4</f>
        <v/>
      </c>
      <c r="M4" s="26">
        <f>L4/K4</f>
        <v/>
      </c>
      <c r="N4" s="14" t="inlineStr">
        <is>
          <t>将军撤退</t>
        </is>
      </c>
      <c r="O4" s="14" t="inlineStr">
        <is>
          <t>是</t>
        </is>
      </c>
    </row>
    <row r="5">
      <c r="A5" s="14" t="inlineStr">
        <is>
          <t>2026-10-26</t>
        </is>
      </c>
      <c r="B5" s="14" t="inlineStr">
        <is>
          <t>2026-10-28</t>
        </is>
      </c>
      <c r="C5" s="14" t="inlineStr">
        <is>
          <t>PVC</t>
        </is>
      </c>
      <c r="D5" s="14" t="inlineStr">
        <is>
          <t>V</t>
        </is>
      </c>
      <c r="E5" s="14" t="inlineStr">
        <is>
          <t>多</t>
        </is>
      </c>
      <c r="F5" s="14" t="inlineStr">
        <is>
          <t>★★</t>
        </is>
      </c>
      <c r="G5" s="14" t="n">
        <v>5</v>
      </c>
      <c r="H5" s="15" t="n">
        <v>5134</v>
      </c>
      <c r="I5" s="15" t="n">
        <v>5267</v>
      </c>
      <c r="J5" s="14" t="n">
        <v>5</v>
      </c>
      <c r="K5" s="14" t="n">
        <v>10000</v>
      </c>
      <c r="L5" s="25">
        <f>IF(E5="多",1,-1)*(I5-H5)*G5*J5</f>
        <v/>
      </c>
      <c r="M5" s="26">
        <f>L5/K5</f>
        <v/>
      </c>
      <c r="N5" s="14" t="inlineStr">
        <is>
          <t>将军撤退</t>
        </is>
      </c>
      <c r="O5" s="14" t="inlineStr">
        <is>
          <t>是</t>
        </is>
      </c>
    </row>
    <row r="6">
      <c r="A6" s="14" t="inlineStr">
        <is>
          <t>2026-10-23</t>
        </is>
      </c>
      <c r="B6" s="14" t="inlineStr">
        <is>
          <t>2026-10-28</t>
        </is>
      </c>
      <c r="C6" s="14" t="inlineStr">
        <is>
          <t>玉米</t>
        </is>
      </c>
      <c r="D6" s="14" t="inlineStr">
        <is>
          <t>C</t>
        </is>
      </c>
      <c r="E6" s="14" t="inlineStr">
        <is>
          <t>多</t>
        </is>
      </c>
      <c r="F6" s="14" t="inlineStr">
        <is>
          <t>★★</t>
        </is>
      </c>
      <c r="G6" s="14" t="n">
        <v>15</v>
      </c>
      <c r="H6" s="15" t="n">
        <v>2212</v>
      </c>
      <c r="I6" s="15" t="n">
        <v>2224</v>
      </c>
      <c r="J6" s="14" t="n">
        <v>10</v>
      </c>
      <c r="K6" s="14" t="n">
        <v>10000</v>
      </c>
      <c r="L6" s="25">
        <f>IF(E6="多",1,-1)*(I6-H6)*G6*J6</f>
        <v/>
      </c>
      <c r="M6" s="26">
        <f>L6/K6</f>
        <v/>
      </c>
      <c r="N6" s="14" t="inlineStr">
        <is>
          <t>将军撤退</t>
        </is>
      </c>
      <c r="O6" s="14" t="inlineStr">
        <is>
          <t>是</t>
        </is>
      </c>
    </row>
    <row r="7">
      <c r="A7" s="14" t="inlineStr">
        <is>
          <t>2026-10-19</t>
        </is>
      </c>
      <c r="B7" s="14" t="inlineStr">
        <is>
          <t>2026-10-28</t>
        </is>
      </c>
      <c r="C7" s="14" t="inlineStr">
        <is>
          <t>沥青</t>
        </is>
      </c>
      <c r="D7" s="14" t="inlineStr">
        <is>
          <t>BU</t>
        </is>
      </c>
      <c r="E7" s="14" t="inlineStr">
        <is>
          <t>空</t>
        </is>
      </c>
      <c r="F7" s="14" t="inlineStr">
        <is>
          <t>★★</t>
        </is>
      </c>
      <c r="G7" s="14" t="n">
        <v>1</v>
      </c>
      <c r="H7" s="15" t="n">
        <v>4424</v>
      </c>
      <c r="I7" s="15" t="n">
        <v>5022.93</v>
      </c>
      <c r="J7" s="14" t="n">
        <v>10</v>
      </c>
      <c r="K7" s="14" t="n">
        <v>10000</v>
      </c>
      <c r="L7" s="25">
        <f>IF(E7="多",1,-1)*(I7-H7)*G7*J7</f>
        <v/>
      </c>
      <c r="M7" s="26">
        <f>L7/K7</f>
        <v/>
      </c>
      <c r="N7" s="14" t="inlineStr">
        <is>
          <t>止损</t>
        </is>
      </c>
      <c r="O7" s="14" t="inlineStr">
        <is>
          <t>是</t>
        </is>
      </c>
    </row>
    <row r="8">
      <c r="A8" s="14" t="inlineStr">
        <is>
          <t>2026-09-30</t>
        </is>
      </c>
      <c r="B8" s="14" t="inlineStr">
        <is>
          <t>2026-10-28</t>
        </is>
      </c>
      <c r="C8" s="14" t="inlineStr">
        <is>
          <t>乙二醇</t>
        </is>
      </c>
      <c r="D8" s="14" t="inlineStr">
        <is>
          <t>EG</t>
        </is>
      </c>
      <c r="E8" s="14" t="inlineStr">
        <is>
          <t>多</t>
        </is>
      </c>
      <c r="F8" s="14" t="inlineStr">
        <is>
          <t>★★</t>
        </is>
      </c>
      <c r="G8" s="14" t="n">
        <v>1</v>
      </c>
      <c r="H8" s="15" t="n">
        <v>4943</v>
      </c>
      <c r="I8" s="15" t="n">
        <v>5258</v>
      </c>
      <c r="J8" s="14" t="n">
        <v>10</v>
      </c>
      <c r="K8" s="14" t="n">
        <v>10000</v>
      </c>
      <c r="L8" s="25">
        <f>IF(E8="多",1,-1)*(I8-H8)*G8*J8</f>
        <v/>
      </c>
      <c r="M8" s="26">
        <f>L8/K8</f>
        <v/>
      </c>
      <c r="N8" s="14" t="inlineStr">
        <is>
          <t>大将军转向</t>
        </is>
      </c>
      <c r="O8" s="14" t="inlineStr">
        <is>
          <t>是</t>
        </is>
      </c>
    </row>
    <row r="9">
      <c r="A9" s="2" t="inlineStr">
        <is>
          <t>2026-10-26</t>
        </is>
      </c>
      <c r="B9" s="2" t="inlineStr">
        <is>
          <t>2026-10-27</t>
        </is>
      </c>
      <c r="C9" s="2" t="inlineStr">
        <is>
          <t>螺纹钢</t>
        </is>
      </c>
      <c r="D9" s="2" t="inlineStr">
        <is>
          <t>RB</t>
        </is>
      </c>
      <c r="E9" s="9" t="inlineStr">
        <is>
          <t>空</t>
        </is>
      </c>
      <c r="F9" s="2" t="inlineStr">
        <is>
          <t>★★★</t>
        </is>
      </c>
      <c r="G9" s="10" t="n">
        <v>12</v>
      </c>
      <c r="H9" s="11" t="n">
        <v>3036</v>
      </c>
      <c r="I9" s="11" t="n">
        <v>3040</v>
      </c>
      <c r="J9" s="10" t="n">
        <v>10</v>
      </c>
      <c r="K9" s="10" t="n">
        <v>10000</v>
      </c>
      <c r="L9" s="23">
        <f>IF(E9="多",1,-1)*(I9-H9)*G9*J9</f>
        <v/>
      </c>
      <c r="M9" s="24">
        <f>L9/K9</f>
        <v/>
      </c>
      <c r="N9" s="2" t="inlineStr">
        <is>
          <t>将军撤退+大将军转向</t>
        </is>
      </c>
      <c r="O9" s="2" t="inlineStr">
        <is>
          <t>否</t>
        </is>
      </c>
    </row>
    <row r="10">
      <c r="A10" s="14" t="inlineStr">
        <is>
          <t>2026-10-22</t>
        </is>
      </c>
      <c r="B10" s="14" t="inlineStr">
        <is>
          <t>2026-10-26</t>
        </is>
      </c>
      <c r="C10" s="14" t="inlineStr">
        <is>
          <t>鸡蛋</t>
        </is>
      </c>
      <c r="D10" s="14" t="inlineStr">
        <is>
          <t>JD</t>
        </is>
      </c>
      <c r="E10" s="14" t="inlineStr">
        <is>
          <t>空</t>
        </is>
      </c>
      <c r="F10" s="14" t="inlineStr">
        <is>
          <t>★★</t>
        </is>
      </c>
      <c r="G10" s="14" t="n">
        <v>3</v>
      </c>
      <c r="H10" s="15" t="n">
        <v>3240</v>
      </c>
      <c r="I10" s="15" t="n">
        <v>3305</v>
      </c>
      <c r="J10" s="14" t="n">
        <v>10</v>
      </c>
      <c r="K10" s="14" t="n">
        <v>10000</v>
      </c>
      <c r="L10" s="25">
        <f>IF(E10="多",1,-1)*(I10-H10)*G10*J10</f>
        <v/>
      </c>
      <c r="M10" s="26">
        <f>L10/K10</f>
        <v/>
      </c>
      <c r="N10" s="14" t="inlineStr">
        <is>
          <t>将军撤退</t>
        </is>
      </c>
      <c r="O10" s="14" t="inlineStr">
        <is>
          <t>是</t>
        </is>
      </c>
    </row>
    <row r="11">
      <c r="A11" s="2" t="inlineStr">
        <is>
          <t>2026-10-22</t>
        </is>
      </c>
      <c r="B11" s="2" t="inlineStr">
        <is>
          <t>2026-10-26</t>
        </is>
      </c>
      <c r="C11" s="2" t="inlineStr">
        <is>
          <t>燃料油</t>
        </is>
      </c>
      <c r="D11" s="2" t="inlineStr">
        <is>
          <t>FU</t>
        </is>
      </c>
      <c r="E11" s="19" t="inlineStr">
        <is>
          <t>多</t>
        </is>
      </c>
      <c r="F11" s="2" t="inlineStr">
        <is>
          <t>★★★</t>
        </is>
      </c>
      <c r="G11" s="10" t="n">
        <v>1</v>
      </c>
      <c r="H11" s="11" t="n">
        <v>4947</v>
      </c>
      <c r="I11" s="11" t="n">
        <v>5295</v>
      </c>
      <c r="J11" s="10" t="n">
        <v>10</v>
      </c>
      <c r="K11" s="10" t="n">
        <v>10000</v>
      </c>
      <c r="L11" s="23">
        <f>IF(E11="多",1,-1)*(I11-H11)*G11*J11</f>
        <v/>
      </c>
      <c r="M11" s="24">
        <f>L11/K11</f>
        <v/>
      </c>
      <c r="N11" s="2" t="inlineStr">
        <is>
          <t>将军撤退</t>
        </is>
      </c>
      <c r="O11" s="2" t="inlineStr">
        <is>
          <t>否</t>
        </is>
      </c>
    </row>
    <row r="12">
      <c r="A12" s="14" t="inlineStr">
        <is>
          <t>2026-10-22</t>
        </is>
      </c>
      <c r="B12" s="14" t="inlineStr">
        <is>
          <t>2026-10-26</t>
        </is>
      </c>
      <c r="C12" s="14" t="inlineStr">
        <is>
          <t>豆一</t>
        </is>
      </c>
      <c r="D12" s="14" t="inlineStr">
        <is>
          <t>A</t>
        </is>
      </c>
      <c r="E12" s="14" t="inlineStr">
        <is>
          <t>多</t>
        </is>
      </c>
      <c r="F12" s="14" t="inlineStr">
        <is>
          <t>★★★</t>
        </is>
      </c>
      <c r="G12" s="14" t="n">
        <v>3</v>
      </c>
      <c r="H12" s="15" t="n">
        <v>5450</v>
      </c>
      <c r="I12" s="15" t="n">
        <v>5379</v>
      </c>
      <c r="J12" s="14" t="n">
        <v>10</v>
      </c>
      <c r="K12" s="14" t="n">
        <v>10000</v>
      </c>
      <c r="L12" s="25">
        <f>IF(E12="多",1,-1)*(I12-H12)*G12*J12</f>
        <v/>
      </c>
      <c r="M12" s="26">
        <f>L12/K12</f>
        <v/>
      </c>
      <c r="N12" s="14" t="inlineStr">
        <is>
          <t>大将军转向</t>
        </is>
      </c>
      <c r="O12" s="14" t="inlineStr">
        <is>
          <t>是</t>
        </is>
      </c>
    </row>
    <row r="13">
      <c r="A13" s="2" t="inlineStr">
        <is>
          <t>2026-10-14</t>
        </is>
      </c>
      <c r="B13" s="2" t="inlineStr">
        <is>
          <t>2026-10-26</t>
        </is>
      </c>
      <c r="C13" s="2" t="inlineStr">
        <is>
          <t>沪银</t>
        </is>
      </c>
      <c r="D13" s="2" t="inlineStr">
        <is>
          <t>AG</t>
        </is>
      </c>
      <c r="E13" s="9" t="inlineStr">
        <is>
          <t>空</t>
        </is>
      </c>
      <c r="F13" s="2" t="inlineStr">
        <is>
          <t>★★★</t>
        </is>
      </c>
      <c r="G13" s="10" t="n">
        <v>1</v>
      </c>
      <c r="H13" s="11" t="n">
        <v>14000</v>
      </c>
      <c r="I13" s="11" t="n">
        <v>13040</v>
      </c>
      <c r="J13" s="10" t="n">
        <v>15</v>
      </c>
      <c r="K13" s="10" t="n">
        <v>30000</v>
      </c>
      <c r="L13" s="23">
        <f>IF(E13="多",1,-1)*(I13-H13)*G13*J13</f>
        <v/>
      </c>
      <c r="M13" s="24">
        <f>L13/K13</f>
        <v/>
      </c>
      <c r="N13" s="2" t="inlineStr">
        <is>
          <t>将军撤退+大将军转向</t>
        </is>
      </c>
      <c r="O13" s="2" t="inlineStr">
        <is>
          <t>否</t>
        </is>
      </c>
    </row>
    <row r="14">
      <c r="A14" s="14" t="inlineStr">
        <is>
          <t>2026-10-12</t>
        </is>
      </c>
      <c r="B14" s="14" t="inlineStr">
        <is>
          <t>2026-10-26</t>
        </is>
      </c>
      <c r="C14" s="14" t="inlineStr">
        <is>
          <t>螺纹钢</t>
        </is>
      </c>
      <c r="D14" s="14" t="inlineStr">
        <is>
          <t>RB</t>
        </is>
      </c>
      <c r="E14" s="14" t="inlineStr">
        <is>
          <t>多</t>
        </is>
      </c>
      <c r="F14" s="14" t="inlineStr">
        <is>
          <t>★★</t>
        </is>
      </c>
      <c r="G14" s="14" t="n">
        <v>11</v>
      </c>
      <c r="H14" s="15" t="n">
        <v>3094</v>
      </c>
      <c r="I14" s="15" t="n">
        <v>3037</v>
      </c>
      <c r="J14" s="14" t="n">
        <v>10</v>
      </c>
      <c r="K14" s="14" t="n">
        <v>10000</v>
      </c>
      <c r="L14" s="25">
        <f>IF(E14="多",1,-1)*(I14-H14)*G14*J14</f>
        <v/>
      </c>
      <c r="M14" s="26">
        <f>L14/K14</f>
        <v/>
      </c>
      <c r="N14" s="14" t="inlineStr">
        <is>
          <t>反向信号</t>
        </is>
      </c>
      <c r="O14" s="14" t="inlineStr">
        <is>
          <t>是</t>
        </is>
      </c>
    </row>
    <row r="15">
      <c r="A15" s="2" t="inlineStr">
        <is>
          <t>2026-10-21</t>
        </is>
      </c>
      <c r="B15" s="2" t="inlineStr">
        <is>
          <t>2026-10-22</t>
        </is>
      </c>
      <c r="C15" s="2" t="inlineStr">
        <is>
          <t>烧碱</t>
        </is>
      </c>
      <c r="D15" s="2" t="inlineStr">
        <is>
          <t>SH</t>
        </is>
      </c>
      <c r="E15" s="9" t="inlineStr">
        <is>
          <t>空</t>
        </is>
      </c>
      <c r="F15" s="2" t="inlineStr">
        <is>
          <t>★★★</t>
        </is>
      </c>
      <c r="G15" s="10" t="n">
        <v>3</v>
      </c>
      <c r="H15" s="11" t="n">
        <v>1678</v>
      </c>
      <c r="I15" s="11" t="n">
        <v>1610</v>
      </c>
      <c r="J15" s="10" t="n">
        <v>30</v>
      </c>
      <c r="K15" s="10" t="n">
        <v>10000</v>
      </c>
      <c r="L15" s="23">
        <f>IF(E15="多",1,-1)*(I15-H15)*G15*J15</f>
        <v/>
      </c>
      <c r="M15" s="24">
        <f>L15/K15</f>
        <v/>
      </c>
      <c r="N15" s="2" t="inlineStr">
        <is>
          <t>将军撤退</t>
        </is>
      </c>
      <c r="O15" s="2" t="inlineStr">
        <is>
          <t>否</t>
        </is>
      </c>
    </row>
    <row r="16">
      <c r="A16" s="2" t="inlineStr">
        <is>
          <t>2026-10-16</t>
        </is>
      </c>
      <c r="B16" s="2" t="inlineStr">
        <is>
          <t>2026-10-21</t>
        </is>
      </c>
      <c r="C16" s="2" t="inlineStr">
        <is>
          <t>沪镍</t>
        </is>
      </c>
      <c r="D16" s="2" t="inlineStr">
        <is>
          <t>NI</t>
        </is>
      </c>
      <c r="E16" s="9" t="inlineStr">
        <is>
          <t>空</t>
        </is>
      </c>
      <c r="F16" s="2" t="inlineStr">
        <is>
          <t>★★★</t>
        </is>
      </c>
      <c r="G16" s="10" t="n">
        <v>1</v>
      </c>
      <c r="H16" s="11" t="n">
        <v>115720</v>
      </c>
      <c r="I16" s="11" t="n">
        <v>121379.29</v>
      </c>
      <c r="J16" s="10" t="n">
        <v>1</v>
      </c>
      <c r="K16" s="10" t="n">
        <v>10000</v>
      </c>
      <c r="L16" s="23">
        <f>IF(E16="多",1,-1)*(I16-H16)*G16*J16</f>
        <v/>
      </c>
      <c r="M16" s="24">
        <f>L16/K16</f>
        <v/>
      </c>
      <c r="N16" s="2" t="inlineStr">
        <is>
          <t>止损</t>
        </is>
      </c>
      <c r="O16" s="2" t="inlineStr">
        <is>
          <t>否</t>
        </is>
      </c>
    </row>
    <row r="17">
      <c r="A17" s="14" t="inlineStr">
        <is>
          <t>2026-10-09</t>
        </is>
      </c>
      <c r="B17" s="14" t="inlineStr">
        <is>
          <t>2026-10-21</t>
        </is>
      </c>
      <c r="C17" s="14" t="inlineStr">
        <is>
          <t>铁矿石</t>
        </is>
      </c>
      <c r="D17" s="14" t="inlineStr">
        <is>
          <t>I</t>
        </is>
      </c>
      <c r="E17" s="14" t="inlineStr">
        <is>
          <t>空</t>
        </is>
      </c>
      <c r="F17" s="14" t="inlineStr">
        <is>
          <t>★★★</t>
        </is>
      </c>
      <c r="G17" s="14" t="n">
        <v>3</v>
      </c>
      <c r="H17" s="15" t="n">
        <v>681</v>
      </c>
      <c r="I17" s="15" t="n">
        <v>681.5</v>
      </c>
      <c r="J17" s="14" t="n">
        <v>100</v>
      </c>
      <c r="K17" s="14" t="n">
        <v>10000</v>
      </c>
      <c r="L17" s="25">
        <f>IF(E17="多",1,-1)*(I17-H17)*G17*J17</f>
        <v/>
      </c>
      <c r="M17" s="26">
        <f>L17/K17</f>
        <v/>
      </c>
      <c r="N17" s="14" t="inlineStr">
        <is>
          <t>大将军转向</t>
        </is>
      </c>
      <c r="O17" s="14" t="inlineStr">
        <is>
          <t>是</t>
        </is>
      </c>
    </row>
    <row r="18">
      <c r="A18" s="2" t="inlineStr">
        <is>
          <t>2026-10-08</t>
        </is>
      </c>
      <c r="B18" s="2" t="inlineStr">
        <is>
          <t>2026-10-21</t>
        </is>
      </c>
      <c r="C18" s="2" t="inlineStr">
        <is>
          <t>棉花</t>
        </is>
      </c>
      <c r="D18" s="2" t="inlineStr">
        <is>
          <t>CF</t>
        </is>
      </c>
      <c r="E18" s="9" t="inlineStr">
        <is>
          <t>空</t>
        </is>
      </c>
      <c r="F18" s="2" t="inlineStr">
        <is>
          <t>★★★</t>
        </is>
      </c>
      <c r="G18" s="10" t="n">
        <v>8</v>
      </c>
      <c r="H18" s="11" t="n">
        <v>15720</v>
      </c>
      <c r="I18" s="11" t="n">
        <v>15785</v>
      </c>
      <c r="J18" s="10" t="n">
        <v>5</v>
      </c>
      <c r="K18" s="10" t="n">
        <v>30000</v>
      </c>
      <c r="L18" s="23">
        <f>IF(E18="多",1,-1)*(I18-H18)*G18*J18</f>
        <v/>
      </c>
      <c r="M18" s="24">
        <f>L18/K18</f>
        <v/>
      </c>
      <c r="N18" s="2" t="inlineStr">
        <is>
          <t>大将军转向</t>
        </is>
      </c>
      <c r="O18" s="2" t="inlineStr">
        <is>
          <t>否</t>
        </is>
      </c>
    </row>
    <row r="19">
      <c r="A19" s="14" t="inlineStr">
        <is>
          <t>2026-09-30</t>
        </is>
      </c>
      <c r="B19" s="14" t="inlineStr">
        <is>
          <t>2026-10-21</t>
        </is>
      </c>
      <c r="C19" s="14" t="inlineStr">
        <is>
          <t>甲醇</t>
        </is>
      </c>
      <c r="D19" s="14" t="inlineStr">
        <is>
          <t>MA</t>
        </is>
      </c>
      <c r="E19" s="14" t="inlineStr">
        <is>
          <t>多</t>
        </is>
      </c>
      <c r="F19" s="14" t="inlineStr">
        <is>
          <t>★★</t>
        </is>
      </c>
      <c r="G19" s="14" t="n">
        <v>3</v>
      </c>
      <c r="H19" s="15" t="n">
        <v>3029</v>
      </c>
      <c r="I19" s="15" t="n">
        <v>3084.64</v>
      </c>
      <c r="J19" s="14" t="n">
        <v>10</v>
      </c>
      <c r="K19" s="14" t="n">
        <v>10000</v>
      </c>
      <c r="L19" s="25">
        <f>IF(E19="多",1,-1)*(I19-H19)*G19*J19</f>
        <v/>
      </c>
      <c r="M19" s="26">
        <f>L19/K19</f>
        <v/>
      </c>
      <c r="N19" s="14" t="inlineStr">
        <is>
          <t>止损</t>
        </is>
      </c>
      <c r="O19" s="14" t="inlineStr">
        <is>
          <t>是</t>
        </is>
      </c>
    </row>
    <row r="20">
      <c r="A20" s="14" t="inlineStr">
        <is>
          <t>2026-09-17</t>
        </is>
      </c>
      <c r="B20" s="14" t="inlineStr">
        <is>
          <t>2026-10-21</t>
        </is>
      </c>
      <c r="C20" s="14" t="inlineStr">
        <is>
          <t>棕榈油</t>
        </is>
      </c>
      <c r="D20" s="14" t="inlineStr">
        <is>
          <t>P</t>
        </is>
      </c>
      <c r="E20" s="14" t="inlineStr">
        <is>
          <t>空</t>
        </is>
      </c>
      <c r="F20" s="14" t="inlineStr">
        <is>
          <t>★★★</t>
        </is>
      </c>
      <c r="G20" s="14" t="n">
        <v>1</v>
      </c>
      <c r="H20" s="15" t="n">
        <v>9942</v>
      </c>
      <c r="I20" s="15" t="n">
        <v>9648</v>
      </c>
      <c r="J20" s="14" t="n">
        <v>10</v>
      </c>
      <c r="K20" s="14" t="n">
        <v>10000</v>
      </c>
      <c r="L20" s="25">
        <f>IF(E20="多",1,-1)*(I20-H20)*G20*J20</f>
        <v/>
      </c>
      <c r="M20" s="26">
        <f>L20/K20</f>
        <v/>
      </c>
      <c r="N20" s="14" t="inlineStr">
        <is>
          <t>反向信号</t>
        </is>
      </c>
      <c r="O20" s="14" t="inlineStr">
        <is>
          <t>是</t>
        </is>
      </c>
    </row>
    <row r="21">
      <c r="A21" s="14" t="inlineStr">
        <is>
          <t>2026-10-16</t>
        </is>
      </c>
      <c r="B21" s="14" t="inlineStr">
        <is>
          <t>2026-10-20</t>
        </is>
      </c>
      <c r="C21" s="14" t="inlineStr">
        <is>
          <t>燃料油</t>
        </is>
      </c>
      <c r="D21" s="14" t="inlineStr">
        <is>
          <t>FU</t>
        </is>
      </c>
      <c r="E21" s="14" t="inlineStr">
        <is>
          <t>多</t>
        </is>
      </c>
      <c r="F21" s="14" t="inlineStr">
        <is>
          <t>★★★</t>
        </is>
      </c>
      <c r="G21" s="14" t="n">
        <v>1</v>
      </c>
      <c r="H21" s="15" t="n">
        <v>4855</v>
      </c>
      <c r="I21" s="15" t="n">
        <v>4976</v>
      </c>
      <c r="J21" s="14" t="n">
        <v>10</v>
      </c>
      <c r="K21" s="14" t="n">
        <v>10000</v>
      </c>
      <c r="L21" s="25">
        <f>IF(E21="多",1,-1)*(I21-H21)*G21*J21</f>
        <v/>
      </c>
      <c r="M21" s="26">
        <f>L21/K21</f>
        <v/>
      </c>
      <c r="N21" s="14" t="inlineStr">
        <is>
          <t>将军撤退</t>
        </is>
      </c>
      <c r="O21" s="14" t="inlineStr">
        <is>
          <t>是</t>
        </is>
      </c>
    </row>
    <row r="22">
      <c r="A22" s="2" t="inlineStr">
        <is>
          <t>2026-10-14</t>
        </is>
      </c>
      <c r="B22" s="2" t="inlineStr">
        <is>
          <t>2026-10-16</t>
        </is>
      </c>
      <c r="C22" s="2" t="inlineStr">
        <is>
          <t>尿素</t>
        </is>
      </c>
      <c r="D22" s="2" t="inlineStr">
        <is>
          <t>UR</t>
        </is>
      </c>
      <c r="E22" s="9" t="inlineStr">
        <is>
          <t>空</t>
        </is>
      </c>
      <c r="F22" s="2" t="inlineStr">
        <is>
          <t>★★★</t>
        </is>
      </c>
      <c r="G22" s="10" t="n">
        <v>7</v>
      </c>
      <c r="H22" s="11" t="n">
        <v>1664</v>
      </c>
      <c r="I22" s="11" t="n">
        <v>1676</v>
      </c>
      <c r="J22" s="10" t="n">
        <v>20</v>
      </c>
      <c r="K22" s="10" t="n">
        <v>10000</v>
      </c>
      <c r="L22" s="23">
        <f>IF(E22="多",1,-1)*(I22-H22)*G22*J22</f>
        <v/>
      </c>
      <c r="M22" s="24">
        <f>L22/K22</f>
        <v/>
      </c>
      <c r="N22" s="2" t="inlineStr">
        <is>
          <t>大将军转向</t>
        </is>
      </c>
      <c r="O22" s="2" t="inlineStr">
        <is>
          <t>否</t>
        </is>
      </c>
    </row>
    <row r="23">
      <c r="A23" s="14" t="inlineStr">
        <is>
          <t>2026-10-13</t>
        </is>
      </c>
      <c r="B23" s="14" t="inlineStr">
        <is>
          <t>2026-10-16</t>
        </is>
      </c>
      <c r="C23" s="14" t="inlineStr">
        <is>
          <t>硅铁</t>
        </is>
      </c>
      <c r="D23" s="14" t="inlineStr">
        <is>
          <t>SF</t>
        </is>
      </c>
      <c r="E23" s="14" t="inlineStr">
        <is>
          <t>多</t>
        </is>
      </c>
      <c r="F23" s="14" t="inlineStr">
        <is>
          <t>★★</t>
        </is>
      </c>
      <c r="G23" s="14" t="n">
        <v>7</v>
      </c>
      <c r="H23" s="15" t="n">
        <v>5970</v>
      </c>
      <c r="I23" s="15" t="n">
        <v>5848</v>
      </c>
      <c r="J23" s="14" t="n">
        <v>5</v>
      </c>
      <c r="K23" s="14" t="n">
        <v>10000</v>
      </c>
      <c r="L23" s="25">
        <f>IF(E23="多",1,-1)*(I23-H23)*G23*J23</f>
        <v/>
      </c>
      <c r="M23" s="26">
        <f>L23/K23</f>
        <v/>
      </c>
      <c r="N23" s="14" t="inlineStr">
        <is>
          <t>反向信号</t>
        </is>
      </c>
      <c r="O23" s="14" t="inlineStr">
        <is>
          <t>是</t>
        </is>
      </c>
    </row>
    <row r="24">
      <c r="A24" s="14" t="inlineStr">
        <is>
          <t>2026-10-14</t>
        </is>
      </c>
      <c r="B24" s="14" t="inlineStr">
        <is>
          <t>2026-10-15</t>
        </is>
      </c>
      <c r="C24" s="14" t="inlineStr">
        <is>
          <t>锰硅</t>
        </is>
      </c>
      <c r="D24" s="14" t="inlineStr">
        <is>
          <t>SM</t>
        </is>
      </c>
      <c r="E24" s="14" t="inlineStr">
        <is>
          <t>多</t>
        </is>
      </c>
      <c r="F24" s="14" t="inlineStr">
        <is>
          <t>★★</t>
        </is>
      </c>
      <c r="G24" s="14" t="n">
        <v>11</v>
      </c>
      <c r="H24" s="15" t="n">
        <v>5836</v>
      </c>
      <c r="I24" s="15" t="n">
        <v>5890</v>
      </c>
      <c r="J24" s="14" t="n">
        <v>5</v>
      </c>
      <c r="K24" s="14" t="n">
        <v>10000</v>
      </c>
      <c r="L24" s="25">
        <f>IF(E24="多",1,-1)*(I24-H24)*G24*J24</f>
        <v/>
      </c>
      <c r="M24" s="26">
        <f>L24/K24</f>
        <v/>
      </c>
      <c r="N24" s="14" t="inlineStr">
        <is>
          <t>将军撤退</t>
        </is>
      </c>
      <c r="O24" s="14" t="inlineStr">
        <is>
          <t>是</t>
        </is>
      </c>
    </row>
    <row r="25">
      <c r="A25" s="2" t="inlineStr">
        <is>
          <t>2026-10-12</t>
        </is>
      </c>
      <c r="B25" s="2" t="inlineStr">
        <is>
          <t>2026-10-14</t>
        </is>
      </c>
      <c r="C25" s="2" t="inlineStr">
        <is>
          <t>纯碱</t>
        </is>
      </c>
      <c r="D25" s="2" t="inlineStr">
        <is>
          <t>SA</t>
        </is>
      </c>
      <c r="E25" s="9" t="inlineStr">
        <is>
          <t>空</t>
        </is>
      </c>
      <c r="F25" s="2" t="inlineStr">
        <is>
          <t>★★★</t>
        </is>
      </c>
      <c r="G25" s="10" t="n">
        <v>22</v>
      </c>
      <c r="H25" s="11" t="n">
        <v>987</v>
      </c>
      <c r="I25" s="11" t="n">
        <v>944</v>
      </c>
      <c r="J25" s="10" t="n">
        <v>20</v>
      </c>
      <c r="K25" s="10" t="n">
        <v>30000</v>
      </c>
      <c r="L25" s="23">
        <f>IF(E25="多",1,-1)*(I25-H25)*G25*J25</f>
        <v/>
      </c>
      <c r="M25" s="24">
        <f>L25/K25</f>
        <v/>
      </c>
      <c r="N25" s="2" t="inlineStr">
        <is>
          <t>将军撤退</t>
        </is>
      </c>
      <c r="O25" s="2" t="inlineStr">
        <is>
          <t>否</t>
        </is>
      </c>
    </row>
    <row r="26">
      <c r="A26" s="14" t="inlineStr">
        <is>
          <t>2026-10-12</t>
        </is>
      </c>
      <c r="B26" s="14" t="inlineStr">
        <is>
          <t>2026-10-13</t>
        </is>
      </c>
      <c r="C26" s="14" t="inlineStr">
        <is>
          <t>锰硅</t>
        </is>
      </c>
      <c r="D26" s="14" t="inlineStr">
        <is>
          <t>SM</t>
        </is>
      </c>
      <c r="E26" s="14" t="inlineStr">
        <is>
          <t>多</t>
        </is>
      </c>
      <c r="F26" s="14" t="inlineStr">
        <is>
          <t>★★</t>
        </is>
      </c>
      <c r="G26" s="14" t="n">
        <v>11</v>
      </c>
      <c r="H26" s="15" t="n">
        <v>5872</v>
      </c>
      <c r="I26" s="15" t="n">
        <v>5858</v>
      </c>
      <c r="J26" s="14" t="n">
        <v>5</v>
      </c>
      <c r="K26" s="14" t="n">
        <v>10000</v>
      </c>
      <c r="L26" s="25">
        <f>IF(E26="多",1,-1)*(I26-H26)*G26*J26</f>
        <v/>
      </c>
      <c r="M26" s="26">
        <f>L26/K26</f>
        <v/>
      </c>
      <c r="N26" s="14" t="inlineStr">
        <is>
          <t>大将军转向</t>
        </is>
      </c>
      <c r="O26" s="14" t="inlineStr">
        <is>
          <t>是</t>
        </is>
      </c>
    </row>
    <row r="27">
      <c r="A27" s="14" t="inlineStr">
        <is>
          <t>2026-10-08</t>
        </is>
      </c>
      <c r="B27" s="14" t="inlineStr">
        <is>
          <t>2026-10-13</t>
        </is>
      </c>
      <c r="C27" s="14" t="inlineStr">
        <is>
          <t>焦煤</t>
        </is>
      </c>
      <c r="D27" s="14" t="inlineStr">
        <is>
          <t>JM</t>
        </is>
      </c>
      <c r="E27" s="14" t="inlineStr">
        <is>
          <t>多</t>
        </is>
      </c>
      <c r="F27" s="14" t="inlineStr">
        <is>
          <t>★★</t>
        </is>
      </c>
      <c r="G27" s="14" t="n">
        <v>1</v>
      </c>
      <c r="H27" s="15" t="n">
        <v>1479</v>
      </c>
      <c r="I27" s="15" t="n">
        <v>1566</v>
      </c>
      <c r="J27" s="14" t="n">
        <v>60</v>
      </c>
      <c r="K27" s="14" t="n">
        <v>10000</v>
      </c>
      <c r="L27" s="25">
        <f>IF(E27="多",1,-1)*(I27-H27)*G27*J27</f>
        <v/>
      </c>
      <c r="M27" s="26">
        <f>L27/K27</f>
        <v/>
      </c>
      <c r="N27" s="14" t="inlineStr">
        <is>
          <t>将军撤退</t>
        </is>
      </c>
      <c r="O27" s="14" t="inlineStr">
        <is>
          <t>是</t>
        </is>
      </c>
    </row>
    <row r="28">
      <c r="A28" s="2" t="inlineStr">
        <is>
          <t>2026-10-09</t>
        </is>
      </c>
      <c r="B28" s="2" t="inlineStr">
        <is>
          <t>2026-10-12</t>
        </is>
      </c>
      <c r="C28" s="2" t="inlineStr">
        <is>
          <t>尿素</t>
        </is>
      </c>
      <c r="D28" s="2" t="inlineStr">
        <is>
          <t>UR</t>
        </is>
      </c>
      <c r="E28" s="9" t="inlineStr">
        <is>
          <t>空</t>
        </is>
      </c>
      <c r="F28" s="2" t="inlineStr">
        <is>
          <t>★★★</t>
        </is>
      </c>
      <c r="G28" s="10" t="n">
        <v>7</v>
      </c>
      <c r="H28" s="11" t="n">
        <v>1731</v>
      </c>
      <c r="I28" s="11" t="n">
        <v>1713</v>
      </c>
      <c r="J28" s="10" t="n">
        <v>20</v>
      </c>
      <c r="K28" s="10" t="n">
        <v>10000</v>
      </c>
      <c r="L28" s="23">
        <f>IF(E28="多",1,-1)*(I28-H28)*G28*J28</f>
        <v/>
      </c>
      <c r="M28" s="24">
        <f>L28/K28</f>
        <v/>
      </c>
      <c r="N28" s="2" t="inlineStr">
        <is>
          <t>大将军转向</t>
        </is>
      </c>
      <c r="O28" s="2" t="inlineStr">
        <is>
          <t>否</t>
        </is>
      </c>
    </row>
    <row r="29">
      <c r="A29" s="2" t="inlineStr">
        <is>
          <t>2026-09-30</t>
        </is>
      </c>
      <c r="B29" s="2" t="inlineStr">
        <is>
          <t>2026-10-12</t>
        </is>
      </c>
      <c r="C29" s="2" t="inlineStr">
        <is>
          <t>沪镍</t>
        </is>
      </c>
      <c r="D29" s="2" t="inlineStr">
        <is>
          <t>NI</t>
        </is>
      </c>
      <c r="E29" s="9" t="inlineStr">
        <is>
          <t>空</t>
        </is>
      </c>
      <c r="F29" s="2" t="inlineStr">
        <is>
          <t>★★★</t>
        </is>
      </c>
      <c r="G29" s="10" t="n">
        <v>5</v>
      </c>
      <c r="H29" s="11" t="n">
        <v>120790</v>
      </c>
      <c r="I29" s="11" t="n">
        <v>117810</v>
      </c>
      <c r="J29" s="10" t="n">
        <v>1</v>
      </c>
      <c r="K29" s="10" t="n">
        <v>30000</v>
      </c>
      <c r="L29" s="23">
        <f>IF(E29="多",1,-1)*(I29-H29)*G29*J29</f>
        <v/>
      </c>
      <c r="M29" s="24">
        <f>L29/K29</f>
        <v/>
      </c>
      <c r="N29" s="2" t="inlineStr">
        <is>
          <t>将军撤退+大将军转向</t>
        </is>
      </c>
      <c r="O29" s="2" t="inlineStr">
        <is>
          <t>否</t>
        </is>
      </c>
    </row>
    <row r="30">
      <c r="A30" s="14" t="inlineStr">
        <is>
          <t>2026-10-08</t>
        </is>
      </c>
      <c r="B30" s="14" t="inlineStr">
        <is>
          <t>2026-10-09</t>
        </is>
      </c>
      <c r="C30" s="14" t="inlineStr">
        <is>
          <t>白糖</t>
        </is>
      </c>
      <c r="D30" s="14" t="inlineStr">
        <is>
          <t>SR</t>
        </is>
      </c>
      <c r="E30" s="14" t="inlineStr">
        <is>
          <t>多</t>
        </is>
      </c>
      <c r="F30" s="14" t="inlineStr">
        <is>
          <t>★★</t>
        </is>
      </c>
      <c r="G30" s="14" t="n">
        <v>6</v>
      </c>
      <c r="H30" s="15" t="n">
        <v>5464</v>
      </c>
      <c r="I30" s="15" t="n">
        <v>5491</v>
      </c>
      <c r="J30" s="14" t="n">
        <v>10</v>
      </c>
      <c r="K30" s="14" t="n">
        <v>10000</v>
      </c>
      <c r="L30" s="25">
        <f>IF(E30="多",1,-1)*(I30-H30)*G30*J30</f>
        <v/>
      </c>
      <c r="M30" s="26">
        <f>L30/K30</f>
        <v/>
      </c>
      <c r="N30" s="14" t="inlineStr">
        <is>
          <t>将军撤退</t>
        </is>
      </c>
      <c r="O30" s="14" t="inlineStr">
        <is>
          <t>是</t>
        </is>
      </c>
    </row>
    <row r="31">
      <c r="A31" s="2" t="inlineStr">
        <is>
          <t>2026-09-30</t>
        </is>
      </c>
      <c r="B31" s="2" t="inlineStr">
        <is>
          <t>2026-10-08</t>
        </is>
      </c>
      <c r="C31" s="2" t="inlineStr">
        <is>
          <t>纯碱</t>
        </is>
      </c>
      <c r="D31" s="2" t="inlineStr">
        <is>
          <t>SA</t>
        </is>
      </c>
      <c r="E31" s="9" t="inlineStr">
        <is>
          <t>空</t>
        </is>
      </c>
      <c r="F31" s="2" t="inlineStr">
        <is>
          <t>★★★</t>
        </is>
      </c>
      <c r="G31" s="10" t="n">
        <v>21</v>
      </c>
      <c r="H31" s="11" t="n">
        <v>1013</v>
      </c>
      <c r="I31" s="11" t="n">
        <v>983</v>
      </c>
      <c r="J31" s="10" t="n">
        <v>20</v>
      </c>
      <c r="K31" s="10" t="n">
        <v>30000</v>
      </c>
      <c r="L31" s="23">
        <f>IF(E31="多",1,-1)*(I31-H31)*G31*J31</f>
        <v/>
      </c>
      <c r="M31" s="24">
        <f>L31/K31</f>
        <v/>
      </c>
      <c r="N31" s="2" t="inlineStr">
        <is>
          <t>大将军转向</t>
        </is>
      </c>
      <c r="O31" s="2" t="inlineStr">
        <is>
          <t>否</t>
        </is>
      </c>
    </row>
    <row r="32">
      <c r="A32" s="14" t="inlineStr">
        <is>
          <t>2026-09-29</t>
        </is>
      </c>
      <c r="B32" s="14" t="inlineStr">
        <is>
          <t>2026-10-08</t>
        </is>
      </c>
      <c r="C32" s="14" t="inlineStr">
        <is>
          <t>硅铁</t>
        </is>
      </c>
      <c r="D32" s="14" t="inlineStr">
        <is>
          <t>SF</t>
        </is>
      </c>
      <c r="E32" s="14" t="inlineStr">
        <is>
          <t>空</t>
        </is>
      </c>
      <c r="F32" s="14" t="inlineStr">
        <is>
          <t>★★</t>
        </is>
      </c>
      <c r="G32" s="14" t="n">
        <v>5</v>
      </c>
      <c r="H32" s="15" t="n">
        <v>5966</v>
      </c>
      <c r="I32" s="15" t="n">
        <v>6032</v>
      </c>
      <c r="J32" s="14" t="n">
        <v>5</v>
      </c>
      <c r="K32" s="14" t="n">
        <v>10000</v>
      </c>
      <c r="L32" s="25">
        <f>IF(E32="多",1,-1)*(I32-H32)*G32*J32</f>
        <v/>
      </c>
      <c r="M32" s="26">
        <f>L32/K32</f>
        <v/>
      </c>
      <c r="N32" s="14" t="inlineStr">
        <is>
          <t>大将军转向</t>
        </is>
      </c>
      <c r="O32" s="14" t="inlineStr">
        <is>
          <t>是</t>
        </is>
      </c>
    </row>
    <row r="33">
      <c r="A33" s="14" t="inlineStr">
        <is>
          <t>2026-09-29</t>
        </is>
      </c>
      <c r="B33" s="14" t="inlineStr">
        <is>
          <t>2026-10-08</t>
        </is>
      </c>
      <c r="C33" s="14" t="inlineStr">
        <is>
          <t>热卷</t>
        </is>
      </c>
      <c r="D33" s="14" t="inlineStr">
        <is>
          <t>HC</t>
        </is>
      </c>
      <c r="E33" s="14" t="inlineStr">
        <is>
          <t>空</t>
        </is>
      </c>
      <c r="F33" s="14" t="inlineStr">
        <is>
          <t>★★</t>
        </is>
      </c>
      <c r="G33" s="14" t="n">
        <v>12</v>
      </c>
      <c r="H33" s="15" t="n">
        <v>3275</v>
      </c>
      <c r="I33" s="15" t="n">
        <v>3242</v>
      </c>
      <c r="J33" s="14" t="n">
        <v>10</v>
      </c>
      <c r="K33" s="14" t="n">
        <v>10000</v>
      </c>
      <c r="L33" s="25">
        <f>IF(E33="多",1,-1)*(I33-H33)*G33*J33</f>
        <v/>
      </c>
      <c r="M33" s="26">
        <f>L33/K33</f>
        <v/>
      </c>
      <c r="N33" s="14" t="inlineStr">
        <is>
          <t>将军撤退+大将军转向</t>
        </is>
      </c>
      <c r="O33" s="14" t="inlineStr">
        <is>
          <t>是</t>
        </is>
      </c>
    </row>
    <row r="34">
      <c r="A34" s="2" t="inlineStr">
        <is>
          <t>2026-09-29</t>
        </is>
      </c>
      <c r="B34" s="2" t="inlineStr">
        <is>
          <t>2026-10-08</t>
        </is>
      </c>
      <c r="C34" s="2" t="inlineStr">
        <is>
          <t>沥青</t>
        </is>
      </c>
      <c r="D34" s="2" t="inlineStr">
        <is>
          <t>BU</t>
        </is>
      </c>
      <c r="E34" s="19" t="inlineStr">
        <is>
          <t>多</t>
        </is>
      </c>
      <c r="F34" s="2" t="inlineStr">
        <is>
          <t>★★★</t>
        </is>
      </c>
      <c r="G34" s="10" t="n">
        <v>4</v>
      </c>
      <c r="H34" s="11" t="n">
        <v>5130</v>
      </c>
      <c r="I34" s="11" t="n">
        <v>5557</v>
      </c>
      <c r="J34" s="10" t="n">
        <v>10</v>
      </c>
      <c r="K34" s="10" t="n">
        <v>30000</v>
      </c>
      <c r="L34" s="23">
        <f>IF(E34="多",1,-1)*(I34-H34)*G34*J34</f>
        <v/>
      </c>
      <c r="M34" s="24">
        <f>L34/K34</f>
        <v/>
      </c>
      <c r="N34" s="2" t="inlineStr">
        <is>
          <t>将军撤退</t>
        </is>
      </c>
      <c r="O34" s="2" t="inlineStr">
        <is>
          <t>否</t>
        </is>
      </c>
    </row>
    <row r="35">
      <c r="A35" s="2" t="inlineStr">
        <is>
          <t>2026-09-22</t>
        </is>
      </c>
      <c r="B35" s="2" t="inlineStr">
        <is>
          <t>2026-10-08</t>
        </is>
      </c>
      <c r="C35" s="2" t="inlineStr">
        <is>
          <t>玉米淀粉</t>
        </is>
      </c>
      <c r="D35" s="2" t="inlineStr">
        <is>
          <t>CS</t>
        </is>
      </c>
      <c r="E35" s="9" t="inlineStr">
        <is>
          <t>空</t>
        </is>
      </c>
      <c r="F35" s="2" t="inlineStr">
        <is>
          <t>★★★</t>
        </is>
      </c>
      <c r="G35" s="10" t="n">
        <v>12</v>
      </c>
      <c r="H35" s="11" t="n">
        <v>2435</v>
      </c>
      <c r="I35" s="11" t="n">
        <v>2409</v>
      </c>
      <c r="J35" s="10" t="n">
        <v>10</v>
      </c>
      <c r="K35" s="10" t="n">
        <v>10000</v>
      </c>
      <c r="L35" s="23">
        <f>IF(E35="多",1,-1)*(I35-H35)*G35*J35</f>
        <v/>
      </c>
      <c r="M35" s="24">
        <f>L35/K35</f>
        <v/>
      </c>
      <c r="N35" s="2" t="inlineStr">
        <is>
          <t>大将军转向</t>
        </is>
      </c>
      <c r="O35" s="2" t="inlineStr">
        <is>
          <t>否</t>
        </is>
      </c>
    </row>
    <row r="36">
      <c r="A36" s="14" t="inlineStr">
        <is>
          <t>2026-09-17</t>
        </is>
      </c>
      <c r="B36" s="14" t="inlineStr">
        <is>
          <t>2026-10-08</t>
        </is>
      </c>
      <c r="C36" s="14" t="inlineStr">
        <is>
          <t>沪铝</t>
        </is>
      </c>
      <c r="D36" s="14" t="inlineStr">
        <is>
          <t>AL</t>
        </is>
      </c>
      <c r="E36" s="14" t="inlineStr">
        <is>
          <t>多</t>
        </is>
      </c>
      <c r="F36" s="14" t="inlineStr">
        <is>
          <t>★★★</t>
        </is>
      </c>
      <c r="G36" s="14" t="n">
        <v>2</v>
      </c>
      <c r="H36" s="15" t="n">
        <v>24260</v>
      </c>
      <c r="I36" s="15" t="n">
        <v>23600</v>
      </c>
      <c r="J36" s="14" t="n">
        <v>5</v>
      </c>
      <c r="K36" s="14" t="n">
        <v>10000</v>
      </c>
      <c r="L36" s="25">
        <f>IF(E36="多",1,-1)*(I36-H36)*G36*J36</f>
        <v/>
      </c>
      <c r="M36" s="26">
        <f>L36/K36</f>
        <v/>
      </c>
      <c r="N36" s="14" t="inlineStr">
        <is>
          <t>跳空止损</t>
        </is>
      </c>
      <c r="O36" s="14" t="inlineStr">
        <is>
          <t>是</t>
        </is>
      </c>
    </row>
    <row r="37">
      <c r="A37" s="2" t="inlineStr">
        <is>
          <t>2026-09-29</t>
        </is>
      </c>
      <c r="B37" s="2" t="inlineStr">
        <is>
          <t>2026-09-30</t>
        </is>
      </c>
      <c r="C37" s="2" t="inlineStr">
        <is>
          <t>苯乙烯</t>
        </is>
      </c>
      <c r="D37" s="2" t="inlineStr">
        <is>
          <t>EB</t>
        </is>
      </c>
      <c r="E37" s="19" t="inlineStr">
        <is>
          <t>多</t>
        </is>
      </c>
      <c r="F37" s="2" t="inlineStr">
        <is>
          <t>★★★</t>
        </is>
      </c>
      <c r="G37" s="10" t="n">
        <v>5</v>
      </c>
      <c r="H37" s="11" t="n">
        <v>9720</v>
      </c>
      <c r="I37" s="11" t="n">
        <v>9892</v>
      </c>
      <c r="J37" s="10" t="n">
        <v>5</v>
      </c>
      <c r="K37" s="10" t="n">
        <v>30000</v>
      </c>
      <c r="L37" s="23">
        <f>IF(E37="多",1,-1)*(I37-H37)*G37*J37</f>
        <v/>
      </c>
      <c r="M37" s="24">
        <f>L37/K37</f>
        <v/>
      </c>
      <c r="N37" s="2" t="inlineStr">
        <is>
          <t>将军撤退</t>
        </is>
      </c>
      <c r="O37" s="2" t="inlineStr">
        <is>
          <t>否</t>
        </is>
      </c>
    </row>
    <row r="38">
      <c r="A38" s="14" t="inlineStr">
        <is>
          <t>2026-09-24</t>
        </is>
      </c>
      <c r="B38" s="14" t="inlineStr">
        <is>
          <t>2026-09-30</t>
        </is>
      </c>
      <c r="C38" s="14" t="inlineStr">
        <is>
          <t>鸡蛋</t>
        </is>
      </c>
      <c r="D38" s="14" t="inlineStr">
        <is>
          <t>JD</t>
        </is>
      </c>
      <c r="E38" s="14" t="inlineStr">
        <is>
          <t>多</t>
        </is>
      </c>
      <c r="F38" s="14" t="inlineStr">
        <is>
          <t>★★</t>
        </is>
      </c>
      <c r="G38" s="14" t="n">
        <v>5</v>
      </c>
      <c r="H38" s="15" t="n">
        <v>3840</v>
      </c>
      <c r="I38" s="15" t="n">
        <v>3715</v>
      </c>
      <c r="J38" s="14" t="n">
        <v>10</v>
      </c>
      <c r="K38" s="14" t="n">
        <v>10000</v>
      </c>
      <c r="L38" s="25">
        <f>IF(E38="多",1,-1)*(I38-H38)*G38*J38</f>
        <v/>
      </c>
      <c r="M38" s="26">
        <f>L38/K38</f>
        <v/>
      </c>
      <c r="N38" s="14" t="inlineStr">
        <is>
          <t>将军撤退</t>
        </is>
      </c>
      <c r="O38" s="14" t="inlineStr">
        <is>
          <t>是</t>
        </is>
      </c>
    </row>
    <row r="39">
      <c r="A39" s="2" t="inlineStr">
        <is>
          <t>2026-09-17</t>
        </is>
      </c>
      <c r="B39" s="2" t="inlineStr">
        <is>
          <t>2026-09-29</t>
        </is>
      </c>
      <c r="C39" s="2" t="inlineStr">
        <is>
          <t>棉花</t>
        </is>
      </c>
      <c r="D39" s="2" t="inlineStr">
        <is>
          <t>CF</t>
        </is>
      </c>
      <c r="E39" s="9" t="inlineStr">
        <is>
          <t>空</t>
        </is>
      </c>
      <c r="F39" s="2" t="inlineStr">
        <is>
          <t>★★★</t>
        </is>
      </c>
      <c r="G39" s="10" t="n">
        <v>9</v>
      </c>
      <c r="H39" s="11" t="n">
        <v>15770</v>
      </c>
      <c r="I39" s="11" t="n">
        <v>15780</v>
      </c>
      <c r="J39" s="10" t="n">
        <v>5</v>
      </c>
      <c r="K39" s="10" t="n">
        <v>30000</v>
      </c>
      <c r="L39" s="23">
        <f>IF(E39="多",1,-1)*(I39-H39)*G39*J39</f>
        <v/>
      </c>
      <c r="M39" s="24">
        <f>L39/K39</f>
        <v/>
      </c>
      <c r="N39" s="2" t="inlineStr">
        <is>
          <t>将军撤退+大将军转向</t>
        </is>
      </c>
      <c r="O39" s="2" t="inlineStr">
        <is>
          <t>否</t>
        </is>
      </c>
    </row>
    <row r="40">
      <c r="A40" s="2" t="inlineStr">
        <is>
          <t>2026-09-11</t>
        </is>
      </c>
      <c r="B40" s="2" t="inlineStr">
        <is>
          <t>2026-09-29</t>
        </is>
      </c>
      <c r="C40" s="2" t="inlineStr">
        <is>
          <t>生猪</t>
        </is>
      </c>
      <c r="D40" s="2" t="inlineStr">
        <is>
          <t>LH</t>
        </is>
      </c>
      <c r="E40" s="9" t="inlineStr">
        <is>
          <t>空</t>
        </is>
      </c>
      <c r="F40" s="2" t="inlineStr">
        <is>
          <t>★★★</t>
        </is>
      </c>
      <c r="G40" s="10" t="n">
        <v>3</v>
      </c>
      <c r="H40" s="11" t="n">
        <v>11465</v>
      </c>
      <c r="I40" s="11" t="n">
        <v>10560</v>
      </c>
      <c r="J40" s="10" t="n">
        <v>16</v>
      </c>
      <c r="K40" s="10" t="n">
        <v>30000</v>
      </c>
      <c r="L40" s="23">
        <f>IF(E40="多",1,-1)*(I40-H40)*G40*J40</f>
        <v/>
      </c>
      <c r="M40" s="24">
        <f>L40/K40</f>
        <v/>
      </c>
      <c r="N40" s="2" t="inlineStr">
        <is>
          <t>将军撤退+大将军转向</t>
        </is>
      </c>
      <c r="O40" s="2" t="inlineStr">
        <is>
          <t>否</t>
        </is>
      </c>
    </row>
    <row r="41">
      <c r="A41" s="2" t="inlineStr">
        <is>
          <t>2026-09-09</t>
        </is>
      </c>
      <c r="B41" s="2" t="inlineStr">
        <is>
          <t>2026-09-29</t>
        </is>
      </c>
      <c r="C41" s="2" t="inlineStr">
        <is>
          <t>豆二</t>
        </is>
      </c>
      <c r="D41" s="2" t="inlineStr">
        <is>
          <t>B</t>
        </is>
      </c>
      <c r="E41" s="19" t="inlineStr">
        <is>
          <t>多</t>
        </is>
      </c>
      <c r="F41" s="2" t="inlineStr">
        <is>
          <t>★★★</t>
        </is>
      </c>
      <c r="G41" s="10" t="n">
        <v>13</v>
      </c>
      <c r="H41" s="11" t="n">
        <v>4180</v>
      </c>
      <c r="I41" s="11" t="n">
        <v>4005</v>
      </c>
      <c r="J41" s="10" t="n">
        <v>10</v>
      </c>
      <c r="K41" s="10" t="n">
        <v>30000</v>
      </c>
      <c r="L41" s="23">
        <f>IF(E41="多",1,-1)*(I41-H41)*G41*J41</f>
        <v/>
      </c>
      <c r="M41" s="24">
        <f>L41/K41</f>
        <v/>
      </c>
      <c r="N41" s="2" t="inlineStr">
        <is>
          <t>跳空止损</t>
        </is>
      </c>
      <c r="O41" s="2" t="inlineStr">
        <is>
          <t>否</t>
        </is>
      </c>
    </row>
    <row r="42">
      <c r="A42" s="14" t="inlineStr">
        <is>
          <t>2026-09-07</t>
        </is>
      </c>
      <c r="B42" s="14" t="inlineStr">
        <is>
          <t>2026-09-29</t>
        </is>
      </c>
      <c r="C42" s="14" t="inlineStr">
        <is>
          <t>豆粕</t>
        </is>
      </c>
      <c r="D42" s="14" t="inlineStr">
        <is>
          <t>M</t>
        </is>
      </c>
      <c r="E42" s="14" t="inlineStr">
        <is>
          <t>多</t>
        </is>
      </c>
      <c r="F42" s="14" t="inlineStr">
        <is>
          <t>★★</t>
        </is>
      </c>
      <c r="G42" s="14" t="n">
        <v>5</v>
      </c>
      <c r="H42" s="15" t="n">
        <v>3407</v>
      </c>
      <c r="I42" s="15" t="n">
        <v>3348.57</v>
      </c>
      <c r="J42" s="14" t="n">
        <v>10</v>
      </c>
      <c r="K42" s="14" t="n">
        <v>10000</v>
      </c>
      <c r="L42" s="25">
        <f>IF(E42="多",1,-1)*(I42-H42)*G42*J42</f>
        <v/>
      </c>
      <c r="M42" s="26">
        <f>L42/K42</f>
        <v/>
      </c>
      <c r="N42" s="14" t="inlineStr">
        <is>
          <t>止损</t>
        </is>
      </c>
      <c r="O42" s="14" t="inlineStr">
        <is>
          <t>是</t>
        </is>
      </c>
    </row>
    <row r="43">
      <c r="A43" s="14" t="inlineStr">
        <is>
          <t>2026-09-24</t>
        </is>
      </c>
      <c r="B43" s="14" t="inlineStr">
        <is>
          <t>2026-09-28</t>
        </is>
      </c>
      <c r="C43" s="14" t="inlineStr">
        <is>
          <t>尿素</t>
        </is>
      </c>
      <c r="D43" s="14" t="inlineStr">
        <is>
          <t>UR</t>
        </is>
      </c>
      <c r="E43" s="14" t="inlineStr">
        <is>
          <t>空</t>
        </is>
      </c>
      <c r="F43" s="14" t="inlineStr">
        <is>
          <t>★★</t>
        </is>
      </c>
      <c r="G43" s="14" t="n">
        <v>6</v>
      </c>
      <c r="H43" s="15" t="n">
        <v>1757</v>
      </c>
      <c r="I43" s="15" t="n">
        <v>1752</v>
      </c>
      <c r="J43" s="14" t="n">
        <v>20</v>
      </c>
      <c r="K43" s="14" t="n">
        <v>10000</v>
      </c>
      <c r="L43" s="25">
        <f>IF(E43="多",1,-1)*(I43-H43)*G43*J43</f>
        <v/>
      </c>
      <c r="M43" s="26">
        <f>L43/K43</f>
        <v/>
      </c>
      <c r="N43" s="14" t="inlineStr">
        <is>
          <t>将军撤退+大将军转向</t>
        </is>
      </c>
      <c r="O43" s="14" t="inlineStr">
        <is>
          <t>是</t>
        </is>
      </c>
    </row>
    <row r="44">
      <c r="A44" s="14" t="inlineStr">
        <is>
          <t>2026-09-15</t>
        </is>
      </c>
      <c r="B44" s="14" t="inlineStr">
        <is>
          <t>2026-09-28</t>
        </is>
      </c>
      <c r="C44" s="14" t="inlineStr">
        <is>
          <t>纯碱</t>
        </is>
      </c>
      <c r="D44" s="14" t="inlineStr">
        <is>
          <t>SA</t>
        </is>
      </c>
      <c r="E44" s="14" t="inlineStr">
        <is>
          <t>空</t>
        </is>
      </c>
      <c r="F44" s="14" t="inlineStr">
        <is>
          <t>★★★</t>
        </is>
      </c>
      <c r="G44" s="14" t="n">
        <v>4</v>
      </c>
      <c r="H44" s="15" t="n">
        <v>1008</v>
      </c>
      <c r="I44" s="15" t="n">
        <v>1014</v>
      </c>
      <c r="J44" s="14" t="n">
        <v>20</v>
      </c>
      <c r="K44" s="14" t="n">
        <v>10000</v>
      </c>
      <c r="L44" s="25">
        <f>IF(E44="多",1,-1)*(I44-H44)*G44*J44</f>
        <v/>
      </c>
      <c r="M44" s="26">
        <f>L44/K44</f>
        <v/>
      </c>
      <c r="N44" s="14" t="inlineStr">
        <is>
          <t>将军撤退</t>
        </is>
      </c>
      <c r="O44" s="14" t="inlineStr">
        <is>
          <t>是</t>
        </is>
      </c>
    </row>
    <row r="45">
      <c r="A45" s="14" t="inlineStr">
        <is>
          <t>2026-09-22</t>
        </is>
      </c>
      <c r="B45" s="14" t="inlineStr">
        <is>
          <t>2026-09-24</t>
        </is>
      </c>
      <c r="C45" s="14" t="inlineStr">
        <is>
          <t>玉米</t>
        </is>
      </c>
      <c r="D45" s="14" t="inlineStr">
        <is>
          <t>C</t>
        </is>
      </c>
      <c r="E45" s="14" t="inlineStr">
        <is>
          <t>空</t>
        </is>
      </c>
      <c r="F45" s="14" t="inlineStr">
        <is>
          <t>★★</t>
        </is>
      </c>
      <c r="G45" s="14" t="n">
        <v>14</v>
      </c>
      <c r="H45" s="15" t="n">
        <v>2181</v>
      </c>
      <c r="I45" s="15" t="n">
        <v>2181</v>
      </c>
      <c r="J45" s="14" t="n">
        <v>10</v>
      </c>
      <c r="K45" s="14" t="n">
        <v>10000</v>
      </c>
      <c r="L45" s="25">
        <f>IF(E45="多",1,-1)*(I45-H45)*G45*J45</f>
        <v/>
      </c>
      <c r="M45" s="26">
        <f>L45/K45</f>
        <v/>
      </c>
      <c r="N45" s="14" t="inlineStr">
        <is>
          <t>将军撤退+大将军转向</t>
        </is>
      </c>
      <c r="O45" s="14" t="inlineStr">
        <is>
          <t>是</t>
        </is>
      </c>
    </row>
    <row r="46">
      <c r="A46" s="14" t="inlineStr">
        <is>
          <t>2026-09-11</t>
        </is>
      </c>
      <c r="B46" s="14" t="inlineStr">
        <is>
          <t>2026-09-23</t>
        </is>
      </c>
      <c r="C46" s="14" t="inlineStr">
        <is>
          <t>塑料</t>
        </is>
      </c>
      <c r="D46" s="14" t="inlineStr">
        <is>
          <t>L</t>
        </is>
      </c>
      <c r="E46" s="14" t="inlineStr">
        <is>
          <t>多</t>
        </is>
      </c>
      <c r="F46" s="14" t="inlineStr">
        <is>
          <t>★★</t>
        </is>
      </c>
      <c r="G46" s="14" t="n">
        <v>2</v>
      </c>
      <c r="H46" s="15" t="n">
        <v>8529</v>
      </c>
      <c r="I46" s="15" t="n">
        <v>8100</v>
      </c>
      <c r="J46" s="14" t="n">
        <v>5</v>
      </c>
      <c r="K46" s="14" t="n">
        <v>10000</v>
      </c>
      <c r="L46" s="25">
        <f>IF(E46="多",1,-1)*(I46-H46)*G46*J46</f>
        <v/>
      </c>
      <c r="M46" s="26">
        <f>L46/K46</f>
        <v/>
      </c>
      <c r="N46" s="14" t="inlineStr">
        <is>
          <t>跳空止损</t>
        </is>
      </c>
      <c r="O46" s="14" t="inlineStr">
        <is>
          <t>是</t>
        </is>
      </c>
    </row>
    <row r="47">
      <c r="A47" s="2" t="inlineStr">
        <is>
          <t>2026-09-18</t>
        </is>
      </c>
      <c r="B47" s="2" t="inlineStr">
        <is>
          <t>2026-09-22</t>
        </is>
      </c>
      <c r="C47" s="2" t="inlineStr">
        <is>
          <t>鸡蛋</t>
        </is>
      </c>
      <c r="D47" s="2" t="inlineStr">
        <is>
          <t>JD</t>
        </is>
      </c>
      <c r="E47" s="19" t="inlineStr">
        <is>
          <t>多</t>
        </is>
      </c>
      <c r="F47" s="2" t="inlineStr">
        <is>
          <t>★★★</t>
        </is>
      </c>
      <c r="G47" s="10" t="n">
        <v>5</v>
      </c>
      <c r="H47" s="11" t="n">
        <v>3857</v>
      </c>
      <c r="I47" s="11" t="n">
        <v>3885</v>
      </c>
      <c r="J47" s="10" t="n">
        <v>10</v>
      </c>
      <c r="K47" s="10" t="n">
        <v>10000</v>
      </c>
      <c r="L47" s="23">
        <f>IF(E47="多",1,-1)*(I47-H47)*G47*J47</f>
        <v/>
      </c>
      <c r="M47" s="24">
        <f>L47/K47</f>
        <v/>
      </c>
      <c r="N47" s="2" t="inlineStr">
        <is>
          <t>将军撤退+大将军转向</t>
        </is>
      </c>
      <c r="O47" s="2" t="inlineStr">
        <is>
          <t>否</t>
        </is>
      </c>
    </row>
    <row r="48">
      <c r="A48" s="14" t="inlineStr">
        <is>
          <t>2026-09-17</t>
        </is>
      </c>
      <c r="B48" s="14" t="inlineStr">
        <is>
          <t>2026-09-22</t>
        </is>
      </c>
      <c r="C48" s="14" t="inlineStr">
        <is>
          <t>沥青</t>
        </is>
      </c>
      <c r="D48" s="14" t="inlineStr">
        <is>
          <t>BU</t>
        </is>
      </c>
      <c r="E48" s="14" t="inlineStr">
        <is>
          <t>多</t>
        </is>
      </c>
      <c r="F48" s="14" t="inlineStr">
        <is>
          <t>★★</t>
        </is>
      </c>
      <c r="G48" s="14" t="n">
        <v>1</v>
      </c>
      <c r="H48" s="15" t="n">
        <v>5350</v>
      </c>
      <c r="I48" s="15" t="n">
        <v>5098</v>
      </c>
      <c r="J48" s="14" t="n">
        <v>10</v>
      </c>
      <c r="K48" s="14" t="n">
        <v>10000</v>
      </c>
      <c r="L48" s="25">
        <f>IF(E48="多",1,-1)*(I48-H48)*G48*J48</f>
        <v/>
      </c>
      <c r="M48" s="26">
        <f>L48/K48</f>
        <v/>
      </c>
      <c r="N48" s="14" t="inlineStr">
        <is>
          <t>将军撤退</t>
        </is>
      </c>
      <c r="O48" s="14" t="inlineStr">
        <is>
          <t>是</t>
        </is>
      </c>
    </row>
    <row r="49">
      <c r="A49" s="14" t="inlineStr">
        <is>
          <t>2026-09-11</t>
        </is>
      </c>
      <c r="B49" s="14" t="inlineStr">
        <is>
          <t>2026-09-22</t>
        </is>
      </c>
      <c r="C49" s="14" t="inlineStr">
        <is>
          <t>尿素</t>
        </is>
      </c>
      <c r="D49" s="14" t="inlineStr">
        <is>
          <t>UR</t>
        </is>
      </c>
      <c r="E49" s="14" t="inlineStr">
        <is>
          <t>空</t>
        </is>
      </c>
      <c r="F49" s="14" t="inlineStr">
        <is>
          <t>★★</t>
        </is>
      </c>
      <c r="G49" s="14" t="n">
        <v>5</v>
      </c>
      <c r="H49" s="15" t="n">
        <v>1802</v>
      </c>
      <c r="I49" s="15" t="n">
        <v>1762</v>
      </c>
      <c r="J49" s="14" t="n">
        <v>20</v>
      </c>
      <c r="K49" s="14" t="n">
        <v>10000</v>
      </c>
      <c r="L49" s="25">
        <f>IF(E49="多",1,-1)*(I49-H49)*G49*J49</f>
        <v/>
      </c>
      <c r="M49" s="26">
        <f>L49/K49</f>
        <v/>
      </c>
      <c r="N49" s="14" t="inlineStr">
        <is>
          <t>大将军转向</t>
        </is>
      </c>
      <c r="O49" s="14" t="inlineStr">
        <is>
          <t>是</t>
        </is>
      </c>
    </row>
    <row r="50">
      <c r="A50" s="14" t="inlineStr">
        <is>
          <t>2026-09-18</t>
        </is>
      </c>
      <c r="B50" s="14" t="inlineStr">
        <is>
          <t>2026-09-21</t>
        </is>
      </c>
      <c r="C50" s="14" t="inlineStr">
        <is>
          <t>PVC</t>
        </is>
      </c>
      <c r="D50" s="14" t="inlineStr">
        <is>
          <t>V</t>
        </is>
      </c>
      <c r="E50" s="14" t="inlineStr">
        <is>
          <t>空</t>
        </is>
      </c>
      <c r="F50" s="14" t="inlineStr">
        <is>
          <t>★★</t>
        </is>
      </c>
      <c r="G50" s="14" t="n">
        <v>4</v>
      </c>
      <c r="H50" s="15" t="n">
        <v>4725</v>
      </c>
      <c r="I50" s="15" t="n">
        <v>4755</v>
      </c>
      <c r="J50" s="14" t="n">
        <v>5</v>
      </c>
      <c r="K50" s="14" t="n">
        <v>10000</v>
      </c>
      <c r="L50" s="25">
        <f>IF(E50="多",1,-1)*(I50-H50)*G50*J50</f>
        <v/>
      </c>
      <c r="M50" s="26">
        <f>L50/K50</f>
        <v/>
      </c>
      <c r="N50" s="14" t="inlineStr">
        <is>
          <t>大将军转向</t>
        </is>
      </c>
      <c r="O50" s="14" t="inlineStr">
        <is>
          <t>是</t>
        </is>
      </c>
    </row>
    <row r="51">
      <c r="A51" s="14" t="inlineStr">
        <is>
          <t>2026-09-14</t>
        </is>
      </c>
      <c r="B51" s="14" t="inlineStr">
        <is>
          <t>2026-09-18</t>
        </is>
      </c>
      <c r="C51" s="14" t="inlineStr">
        <is>
          <t>玉米</t>
        </is>
      </c>
      <c r="D51" s="14" t="inlineStr">
        <is>
          <t>C</t>
        </is>
      </c>
      <c r="E51" s="14" t="inlineStr">
        <is>
          <t>空</t>
        </is>
      </c>
      <c r="F51" s="14" t="inlineStr">
        <is>
          <t>★★</t>
        </is>
      </c>
      <c r="G51" s="14" t="n">
        <v>15</v>
      </c>
      <c r="H51" s="15" t="n">
        <v>2221</v>
      </c>
      <c r="I51" s="15" t="n">
        <v>2185</v>
      </c>
      <c r="J51" s="14" t="n">
        <v>10</v>
      </c>
      <c r="K51" s="14" t="n">
        <v>10000</v>
      </c>
      <c r="L51" s="25">
        <f>IF(E51="多",1,-1)*(I51-H51)*G51*J51</f>
        <v/>
      </c>
      <c r="M51" s="26">
        <f>L51/K51</f>
        <v/>
      </c>
      <c r="N51" s="14" t="inlineStr">
        <is>
          <t>将军撤退</t>
        </is>
      </c>
      <c r="O51" s="14" t="inlineStr">
        <is>
          <t>是</t>
        </is>
      </c>
    </row>
    <row r="52">
      <c r="A52" s="2" t="inlineStr">
        <is>
          <t>2026-09-16</t>
        </is>
      </c>
      <c r="B52" s="2" t="inlineStr">
        <is>
          <t>2026-09-17</t>
        </is>
      </c>
      <c r="C52" s="2" t="inlineStr">
        <is>
          <t>沪镍</t>
        </is>
      </c>
      <c r="D52" s="2" t="inlineStr">
        <is>
          <t>NI</t>
        </is>
      </c>
      <c r="E52" s="9" t="inlineStr">
        <is>
          <t>空</t>
        </is>
      </c>
      <c r="F52" s="2" t="inlineStr">
        <is>
          <t>★★★</t>
        </is>
      </c>
      <c r="G52" s="10" t="n">
        <v>1</v>
      </c>
      <c r="H52" s="11" t="n">
        <v>123440</v>
      </c>
      <c r="I52" s="11" t="n">
        <v>123780</v>
      </c>
      <c r="J52" s="10" t="n">
        <v>1</v>
      </c>
      <c r="K52" s="10" t="n">
        <v>10000</v>
      </c>
      <c r="L52" s="23">
        <f>IF(E52="多",1,-1)*(I52-H52)*G52*J52</f>
        <v/>
      </c>
      <c r="M52" s="24">
        <f>L52/K52</f>
        <v/>
      </c>
      <c r="N52" s="2" t="inlineStr">
        <is>
          <t>将军撤退</t>
        </is>
      </c>
      <c r="O52" s="2" t="inlineStr">
        <is>
          <t>否</t>
        </is>
      </c>
    </row>
    <row r="53">
      <c r="A53" s="2" t="inlineStr">
        <is>
          <t>2026-09-11</t>
        </is>
      </c>
      <c r="B53" s="2" t="inlineStr">
        <is>
          <t>2026-09-17</t>
        </is>
      </c>
      <c r="C53" s="2" t="inlineStr">
        <is>
          <t>甲醇</t>
        </is>
      </c>
      <c r="D53" s="2" t="inlineStr">
        <is>
          <t>MA</t>
        </is>
      </c>
      <c r="E53" s="19" t="inlineStr">
        <is>
          <t>多</t>
        </is>
      </c>
      <c r="F53" s="2" t="inlineStr">
        <is>
          <t>★★★</t>
        </is>
      </c>
      <c r="G53" s="10" t="n">
        <v>7</v>
      </c>
      <c r="H53" s="11" t="n">
        <v>3000</v>
      </c>
      <c r="I53" s="11" t="n">
        <v>2995</v>
      </c>
      <c r="J53" s="10" t="n">
        <v>10</v>
      </c>
      <c r="K53" s="10" t="n">
        <v>30000</v>
      </c>
      <c r="L53" s="23">
        <f>IF(E53="多",1,-1)*(I53-H53)*G53*J53</f>
        <v/>
      </c>
      <c r="M53" s="24">
        <f>L53/K53</f>
        <v/>
      </c>
      <c r="N53" s="2" t="inlineStr">
        <is>
          <t>将军撤退+大将军转向</t>
        </is>
      </c>
      <c r="O53" s="2" t="inlineStr">
        <is>
          <t>否</t>
        </is>
      </c>
    </row>
    <row r="54">
      <c r="A54" s="14" t="inlineStr">
        <is>
          <t>2026-09-09</t>
        </is>
      </c>
      <c r="B54" s="14" t="inlineStr">
        <is>
          <t>2026-09-17</t>
        </is>
      </c>
      <c r="C54" s="14" t="inlineStr">
        <is>
          <t>玻璃</t>
        </is>
      </c>
      <c r="D54" s="14" t="inlineStr">
        <is>
          <t>FG</t>
        </is>
      </c>
      <c r="E54" s="14" t="inlineStr">
        <is>
          <t>空</t>
        </is>
      </c>
      <c r="F54" s="14" t="inlineStr">
        <is>
          <t>★★</t>
        </is>
      </c>
      <c r="G54" s="14" t="n">
        <v>7</v>
      </c>
      <c r="H54" s="15" t="n">
        <v>970</v>
      </c>
      <c r="I54" s="15" t="n">
        <v>905</v>
      </c>
      <c r="J54" s="14" t="n">
        <v>20</v>
      </c>
      <c r="K54" s="14" t="n">
        <v>10000</v>
      </c>
      <c r="L54" s="25">
        <f>IF(E54="多",1,-1)*(I54-H54)*G54*J54</f>
        <v/>
      </c>
      <c r="M54" s="26">
        <f>L54/K54</f>
        <v/>
      </c>
      <c r="N54" s="14" t="inlineStr">
        <is>
          <t>将军撤退</t>
        </is>
      </c>
      <c r="O54" s="14" t="inlineStr">
        <is>
          <t>是</t>
        </is>
      </c>
    </row>
    <row r="55">
      <c r="A55" s="2" t="inlineStr">
        <is>
          <t>2026-09-11</t>
        </is>
      </c>
      <c r="B55" s="2" t="inlineStr">
        <is>
          <t>2026-09-16</t>
        </is>
      </c>
      <c r="C55" s="2" t="inlineStr">
        <is>
          <t>燃料油</t>
        </is>
      </c>
      <c r="D55" s="2" t="inlineStr">
        <is>
          <t>FU</t>
        </is>
      </c>
      <c r="E55" s="19" t="inlineStr">
        <is>
          <t>多</t>
        </is>
      </c>
      <c r="F55" s="2" t="inlineStr">
        <is>
          <t>★★★</t>
        </is>
      </c>
      <c r="G55" s="10" t="n">
        <v>1</v>
      </c>
      <c r="H55" s="11" t="n">
        <v>4230</v>
      </c>
      <c r="I55" s="11" t="n">
        <v>4488</v>
      </c>
      <c r="J55" s="10" t="n">
        <v>10</v>
      </c>
      <c r="K55" s="10" t="n">
        <v>10000</v>
      </c>
      <c r="L55" s="23">
        <f>IF(E55="多",1,-1)*(I55-H55)*G55*J55</f>
        <v/>
      </c>
      <c r="M55" s="24">
        <f>L55/K55</f>
        <v/>
      </c>
      <c r="N55" s="2" t="inlineStr">
        <is>
          <t>大将军转向</t>
        </is>
      </c>
      <c r="O55" s="2" t="inlineStr">
        <is>
          <t>否</t>
        </is>
      </c>
    </row>
    <row r="56">
      <c r="A56" s="14" t="inlineStr">
        <is>
          <t>2026-09-14</t>
        </is>
      </c>
      <c r="B56" s="14" t="inlineStr">
        <is>
          <t>2026-09-15</t>
        </is>
      </c>
      <c r="C56" s="14" t="inlineStr">
        <is>
          <t>棉花</t>
        </is>
      </c>
      <c r="D56" s="14" t="inlineStr">
        <is>
          <t>CF</t>
        </is>
      </c>
      <c r="E56" s="14" t="inlineStr">
        <is>
          <t>空</t>
        </is>
      </c>
      <c r="F56" s="14" t="inlineStr">
        <is>
          <t>★★</t>
        </is>
      </c>
      <c r="G56" s="14" t="n">
        <v>2</v>
      </c>
      <c r="H56" s="15" t="n">
        <v>16200</v>
      </c>
      <c r="I56" s="15" t="n">
        <v>16055</v>
      </c>
      <c r="J56" s="14" t="n">
        <v>5</v>
      </c>
      <c r="K56" s="14" t="n">
        <v>10000</v>
      </c>
      <c r="L56" s="25">
        <f>IF(E56="多",1,-1)*(I56-H56)*G56*J56</f>
        <v/>
      </c>
      <c r="M56" s="26">
        <f>L56/K56</f>
        <v/>
      </c>
      <c r="N56" s="14" t="inlineStr">
        <is>
          <t>大将军转向</t>
        </is>
      </c>
      <c r="O56" s="14" t="inlineStr">
        <is>
          <t>是</t>
        </is>
      </c>
    </row>
    <row r="57">
      <c r="A57" s="14" t="inlineStr">
        <is>
          <t>2026-09-10</t>
        </is>
      </c>
      <c r="B57" s="14" t="inlineStr">
        <is>
          <t>2026-09-14</t>
        </is>
      </c>
      <c r="C57" s="14" t="inlineStr">
        <is>
          <t>乙二醇</t>
        </is>
      </c>
      <c r="D57" s="14" t="inlineStr">
        <is>
          <t>EG</t>
        </is>
      </c>
      <c r="E57" s="14" t="inlineStr">
        <is>
          <t>多</t>
        </is>
      </c>
      <c r="F57" s="14" t="inlineStr">
        <is>
          <t>★★</t>
        </is>
      </c>
      <c r="G57" s="14" t="n">
        <v>1</v>
      </c>
      <c r="H57" s="15" t="n">
        <v>6138</v>
      </c>
      <c r="I57" s="15" t="n">
        <v>5842</v>
      </c>
      <c r="J57" s="14" t="n">
        <v>10</v>
      </c>
      <c r="K57" s="14" t="n">
        <v>10000</v>
      </c>
      <c r="L57" s="25">
        <f>IF(E57="多",1,-1)*(I57-H57)*G57*J57</f>
        <v/>
      </c>
      <c r="M57" s="26">
        <f>L57/K57</f>
        <v/>
      </c>
      <c r="N57" s="14" t="inlineStr">
        <is>
          <t>大将军转向</t>
        </is>
      </c>
      <c r="O57" s="14" t="inlineStr">
        <is>
          <t>是</t>
        </is>
      </c>
    </row>
    <row r="58">
      <c r="A58" s="14" t="inlineStr">
        <is>
          <t>2026-09-10</t>
        </is>
      </c>
      <c r="B58" s="14" t="inlineStr">
        <is>
          <t>2026-09-11</t>
        </is>
      </c>
      <c r="C58" s="14" t="inlineStr">
        <is>
          <t>苯乙烯</t>
        </is>
      </c>
      <c r="D58" s="14" t="inlineStr">
        <is>
          <t>EB</t>
        </is>
      </c>
      <c r="E58" s="14" t="inlineStr">
        <is>
          <t>多</t>
        </is>
      </c>
      <c r="F58" s="14" t="inlineStr">
        <is>
          <t>★★</t>
        </is>
      </c>
      <c r="G58" s="14" t="n">
        <v>1</v>
      </c>
      <c r="H58" s="15" t="n">
        <v>10724</v>
      </c>
      <c r="I58" s="15" t="n">
        <v>10036</v>
      </c>
      <c r="J58" s="14" t="n">
        <v>5</v>
      </c>
      <c r="K58" s="14" t="n">
        <v>10000</v>
      </c>
      <c r="L58" s="25">
        <f>IF(E58="多",1,-1)*(I58-H58)*G58*J58</f>
        <v/>
      </c>
      <c r="M58" s="26">
        <f>L58/K58</f>
        <v/>
      </c>
      <c r="N58" s="14" t="inlineStr">
        <is>
          <t>将军撤退</t>
        </is>
      </c>
      <c r="O58" s="14" t="inlineStr">
        <is>
          <t>是</t>
        </is>
      </c>
    </row>
    <row r="59">
      <c r="A59" s="2" t="inlineStr">
        <is>
          <t>2026-09-10</t>
        </is>
      </c>
      <c r="B59" s="2" t="inlineStr">
        <is>
          <t>2026-09-11</t>
        </is>
      </c>
      <c r="C59" s="2" t="inlineStr">
        <is>
          <t>沥青</t>
        </is>
      </c>
      <c r="D59" s="2" t="inlineStr">
        <is>
          <t>BU</t>
        </is>
      </c>
      <c r="E59" s="19" t="inlineStr">
        <is>
          <t>多</t>
        </is>
      </c>
      <c r="F59" s="2" t="inlineStr">
        <is>
          <t>★★★</t>
        </is>
      </c>
      <c r="G59" s="10" t="n">
        <v>5</v>
      </c>
      <c r="H59" s="11" t="n">
        <v>5285</v>
      </c>
      <c r="I59" s="11" t="n">
        <v>5106</v>
      </c>
      <c r="J59" s="10" t="n">
        <v>10</v>
      </c>
      <c r="K59" s="10" t="n">
        <v>30000</v>
      </c>
      <c r="L59" s="23">
        <f>IF(E59="多",1,-1)*(I59-H59)*G59*J59</f>
        <v/>
      </c>
      <c r="M59" s="24">
        <f>L59/K59</f>
        <v/>
      </c>
      <c r="N59" s="2" t="inlineStr">
        <is>
          <t>将军撤退+大将军转向</t>
        </is>
      </c>
      <c r="O59" s="2" t="inlineStr">
        <is>
          <t>否</t>
        </is>
      </c>
    </row>
    <row r="60">
      <c r="A60" s="2" t="inlineStr">
        <is>
          <t>2026-09-08</t>
        </is>
      </c>
      <c r="B60" s="2" t="inlineStr">
        <is>
          <t>2026-09-11</t>
        </is>
      </c>
      <c r="C60" s="2" t="inlineStr">
        <is>
          <t>沪铜</t>
        </is>
      </c>
      <c r="D60" s="2" t="inlineStr">
        <is>
          <t>CU</t>
        </is>
      </c>
      <c r="E60" s="19" t="inlineStr">
        <is>
          <t>多</t>
        </is>
      </c>
      <c r="F60" s="2" t="inlineStr">
        <is>
          <t>★★★</t>
        </is>
      </c>
      <c r="G60" s="10" t="n">
        <v>1</v>
      </c>
      <c r="H60" s="11" t="n">
        <v>111170</v>
      </c>
      <c r="I60" s="11" t="n">
        <v>108500</v>
      </c>
      <c r="J60" s="10" t="n">
        <v>5</v>
      </c>
      <c r="K60" s="10" t="n">
        <v>30000</v>
      </c>
      <c r="L60" s="23">
        <f>IF(E60="多",1,-1)*(I60-H60)*G60*J60</f>
        <v/>
      </c>
      <c r="M60" s="24">
        <f>L60/K60</f>
        <v/>
      </c>
      <c r="N60" s="2" t="inlineStr">
        <is>
          <t>跳空止损</t>
        </is>
      </c>
      <c r="O60" s="2" t="inlineStr">
        <is>
          <t>否</t>
        </is>
      </c>
    </row>
    <row r="61">
      <c r="A61" s="2" t="inlineStr">
        <is>
          <t>2026-09-04</t>
        </is>
      </c>
      <c r="B61" s="2" t="inlineStr">
        <is>
          <t>2026-09-10</t>
        </is>
      </c>
      <c r="C61" s="2" t="inlineStr">
        <is>
          <t>聚丙烯</t>
        </is>
      </c>
      <c r="D61" s="2" t="inlineStr">
        <is>
          <t>PP</t>
        </is>
      </c>
      <c r="E61" s="19" t="inlineStr">
        <is>
          <t>多</t>
        </is>
      </c>
      <c r="F61" s="2" t="inlineStr">
        <is>
          <t>★★★</t>
        </is>
      </c>
      <c r="G61" s="10" t="n">
        <v>9</v>
      </c>
      <c r="H61" s="11" t="n">
        <v>8495</v>
      </c>
      <c r="I61" s="11" t="n">
        <v>8939</v>
      </c>
      <c r="J61" s="10" t="n">
        <v>5</v>
      </c>
      <c r="K61" s="10" t="n">
        <v>30000</v>
      </c>
      <c r="L61" s="23">
        <f>IF(E61="多",1,-1)*(I61-H61)*G61*J61</f>
        <v/>
      </c>
      <c r="M61" s="24">
        <f>L61/K61</f>
        <v/>
      </c>
      <c r="N61" s="2" t="inlineStr">
        <is>
          <t>将军撤退+大将军转向</t>
        </is>
      </c>
      <c r="O61" s="2" t="inlineStr">
        <is>
          <t>否</t>
        </is>
      </c>
    </row>
    <row r="62">
      <c r="A62" s="2" t="inlineStr">
        <is>
          <t>2026-09-01</t>
        </is>
      </c>
      <c r="B62" s="2" t="inlineStr">
        <is>
          <t>2026-09-10</t>
        </is>
      </c>
      <c r="C62" s="2" t="inlineStr">
        <is>
          <t>豆油</t>
        </is>
      </c>
      <c r="D62" s="2" t="inlineStr">
        <is>
          <t>Y</t>
        </is>
      </c>
      <c r="E62" s="19" t="inlineStr">
        <is>
          <t>多</t>
        </is>
      </c>
      <c r="F62" s="2" t="inlineStr">
        <is>
          <t>★★★</t>
        </is>
      </c>
      <c r="G62" s="10" t="n">
        <v>2</v>
      </c>
      <c r="H62" s="11" t="n">
        <v>9098</v>
      </c>
      <c r="I62" s="11" t="n">
        <v>9064</v>
      </c>
      <c r="J62" s="10" t="n">
        <v>10</v>
      </c>
      <c r="K62" s="10" t="n">
        <v>10000</v>
      </c>
      <c r="L62" s="23">
        <f>IF(E62="多",1,-1)*(I62-H62)*G62*J62</f>
        <v/>
      </c>
      <c r="M62" s="24">
        <f>L62/K62</f>
        <v/>
      </c>
      <c r="N62" s="2" t="inlineStr">
        <is>
          <t>将军撤退+大将军转向</t>
        </is>
      </c>
      <c r="O62" s="2" t="inlineStr">
        <is>
          <t>否</t>
        </is>
      </c>
    </row>
    <row r="63">
      <c r="A63" s="2" t="inlineStr">
        <is>
          <t>2026-09-07</t>
        </is>
      </c>
      <c r="B63" s="2" t="inlineStr">
        <is>
          <t>2026-09-09</t>
        </is>
      </c>
      <c r="C63" s="2" t="inlineStr">
        <is>
          <t>沪锌</t>
        </is>
      </c>
      <c r="D63" s="2" t="inlineStr">
        <is>
          <t>ZN</t>
        </is>
      </c>
      <c r="E63" s="19" t="inlineStr">
        <is>
          <t>多</t>
        </is>
      </c>
      <c r="F63" s="2" t="inlineStr">
        <is>
          <t>★★★</t>
        </is>
      </c>
      <c r="G63" s="10" t="n">
        <v>4</v>
      </c>
      <c r="H63" s="11" t="n">
        <v>27110</v>
      </c>
      <c r="I63" s="11" t="n">
        <v>27735</v>
      </c>
      <c r="J63" s="10" t="n">
        <v>5</v>
      </c>
      <c r="K63" s="10" t="n">
        <v>30000</v>
      </c>
      <c r="L63" s="23">
        <f>IF(E63="多",1,-1)*(I63-H63)*G63*J63</f>
        <v/>
      </c>
      <c r="M63" s="24">
        <f>L63/K63</f>
        <v/>
      </c>
      <c r="N63" s="2" t="inlineStr">
        <is>
          <t>大将军转向</t>
        </is>
      </c>
      <c r="O63" s="2" t="inlineStr">
        <is>
          <t>否</t>
        </is>
      </c>
    </row>
    <row r="64">
      <c r="A64" s="2" t="inlineStr">
        <is>
          <t>2026-09-04</t>
        </is>
      </c>
      <c r="B64" s="2" t="inlineStr">
        <is>
          <t>2026-09-08</t>
        </is>
      </c>
      <c r="C64" s="2" t="inlineStr">
        <is>
          <t>豆二</t>
        </is>
      </c>
      <c r="D64" s="2" t="inlineStr">
        <is>
          <t>B</t>
        </is>
      </c>
      <c r="E64" s="19" t="inlineStr">
        <is>
          <t>多</t>
        </is>
      </c>
      <c r="F64" s="2" t="inlineStr">
        <is>
          <t>★★★</t>
        </is>
      </c>
      <c r="G64" s="10" t="n">
        <v>12</v>
      </c>
      <c r="H64" s="11" t="n">
        <v>4186</v>
      </c>
      <c r="I64" s="11" t="n">
        <v>4166</v>
      </c>
      <c r="J64" s="10" t="n">
        <v>10</v>
      </c>
      <c r="K64" s="10" t="n">
        <v>30000</v>
      </c>
      <c r="L64" s="23">
        <f>IF(E64="多",1,-1)*(I64-H64)*G64*J64</f>
        <v/>
      </c>
      <c r="M64" s="24">
        <f>L64/K64</f>
        <v/>
      </c>
      <c r="N64" s="2" t="inlineStr">
        <is>
          <t>将军撤退+大将军转向</t>
        </is>
      </c>
      <c r="O64" s="2" t="inlineStr">
        <is>
          <t>否</t>
        </is>
      </c>
    </row>
    <row r="65">
      <c r="A65" s="2" t="inlineStr">
        <is>
          <t>2026-09-04</t>
        </is>
      </c>
      <c r="B65" s="2" t="inlineStr">
        <is>
          <t>2026-09-07</t>
        </is>
      </c>
      <c r="C65" s="2" t="inlineStr">
        <is>
          <t>乙二醇</t>
        </is>
      </c>
      <c r="D65" s="2" t="inlineStr">
        <is>
          <t>EG</t>
        </is>
      </c>
      <c r="E65" s="19" t="inlineStr">
        <is>
          <t>多</t>
        </is>
      </c>
      <c r="F65" s="2" t="inlineStr">
        <is>
          <t>★★★</t>
        </is>
      </c>
      <c r="G65" s="10" t="n">
        <v>4</v>
      </c>
      <c r="H65" s="11" t="n">
        <v>5830</v>
      </c>
      <c r="I65" s="11" t="n">
        <v>5773</v>
      </c>
      <c r="J65" s="10" t="n">
        <v>10</v>
      </c>
      <c r="K65" s="10" t="n">
        <v>30000</v>
      </c>
      <c r="L65" s="23">
        <f>IF(E65="多",1,-1)*(I65-H65)*G65*J65</f>
        <v/>
      </c>
      <c r="M65" s="24">
        <f>L65/K65</f>
        <v/>
      </c>
      <c r="N65" s="2" t="inlineStr">
        <is>
          <t>将军撤退</t>
        </is>
      </c>
      <c r="O65" s="2" t="inlineStr">
        <is>
          <t>否</t>
        </is>
      </c>
    </row>
    <row r="66">
      <c r="A66" s="2" t="inlineStr">
        <is>
          <t>2026-09-03</t>
        </is>
      </c>
      <c r="B66" s="2" t="inlineStr">
        <is>
          <t>2026-09-04</t>
        </is>
      </c>
      <c r="C66" s="2" t="inlineStr">
        <is>
          <t>苯乙烯</t>
        </is>
      </c>
      <c r="D66" s="2" t="inlineStr">
        <is>
          <t>EB</t>
        </is>
      </c>
      <c r="E66" s="19" t="inlineStr">
        <is>
          <t>多</t>
        </is>
      </c>
      <c r="F66" s="2" t="inlineStr">
        <is>
          <t>★★★</t>
        </is>
      </c>
      <c r="G66" s="10" t="n">
        <v>6</v>
      </c>
      <c r="H66" s="11" t="n">
        <v>9695</v>
      </c>
      <c r="I66" s="11" t="n">
        <v>9612</v>
      </c>
      <c r="J66" s="10" t="n">
        <v>5</v>
      </c>
      <c r="K66" s="10" t="n">
        <v>30000</v>
      </c>
      <c r="L66" s="23">
        <f>IF(E66="多",1,-1)*(I66-H66)*G66*J66</f>
        <v/>
      </c>
      <c r="M66" s="24">
        <f>L66/K66</f>
        <v/>
      </c>
      <c r="N66" s="2" t="inlineStr">
        <is>
          <t>大将军转向</t>
        </is>
      </c>
      <c r="O66" s="2" t="inlineStr">
        <is>
          <t>否</t>
        </is>
      </c>
    </row>
    <row r="67">
      <c r="A67" s="14" t="inlineStr">
        <is>
          <t>2026-09-02</t>
        </is>
      </c>
      <c r="B67" s="14" t="inlineStr">
        <is>
          <t>2026-09-04</t>
        </is>
      </c>
      <c r="C67" s="14" t="inlineStr">
        <is>
          <t>锰硅</t>
        </is>
      </c>
      <c r="D67" s="14" t="inlineStr">
        <is>
          <t>SM</t>
        </is>
      </c>
      <c r="E67" s="14" t="inlineStr">
        <is>
          <t>多</t>
        </is>
      </c>
      <c r="F67" s="14" t="inlineStr">
        <is>
          <t>★★</t>
        </is>
      </c>
      <c r="G67" s="14" t="n">
        <v>9</v>
      </c>
      <c r="H67" s="15" t="n">
        <v>6062</v>
      </c>
      <c r="I67" s="15" t="n">
        <v>6166</v>
      </c>
      <c r="J67" s="14" t="n">
        <v>5</v>
      </c>
      <c r="K67" s="14" t="n">
        <v>10000</v>
      </c>
      <c r="L67" s="25">
        <f>IF(E67="多",1,-1)*(I67-H67)*G67*J67</f>
        <v/>
      </c>
      <c r="M67" s="26">
        <f>L67/K67</f>
        <v/>
      </c>
      <c r="N67" s="14" t="inlineStr">
        <is>
          <t>将军撤退</t>
        </is>
      </c>
      <c r="O67" s="14" t="inlineStr">
        <is>
          <t>是</t>
        </is>
      </c>
    </row>
    <row r="68">
      <c r="A68" s="2" t="inlineStr">
        <is>
          <t>2026-09-02</t>
        </is>
      </c>
      <c r="B68" s="2" t="inlineStr">
        <is>
          <t>2026-09-04</t>
        </is>
      </c>
      <c r="C68" s="2" t="inlineStr">
        <is>
          <t>沪镍</t>
        </is>
      </c>
      <c r="D68" s="2" t="inlineStr">
        <is>
          <t>NI</t>
        </is>
      </c>
      <c r="E68" s="9" t="inlineStr">
        <is>
          <t>空</t>
        </is>
      </c>
      <c r="F68" s="2" t="inlineStr">
        <is>
          <t>★★★</t>
        </is>
      </c>
      <c r="G68" s="10" t="n">
        <v>4</v>
      </c>
      <c r="H68" s="11" t="n">
        <v>127000</v>
      </c>
      <c r="I68" s="11" t="n">
        <v>127780</v>
      </c>
      <c r="J68" s="10" t="n">
        <v>1</v>
      </c>
      <c r="K68" s="10" t="n">
        <v>30000</v>
      </c>
      <c r="L68" s="23">
        <f>IF(E68="多",1,-1)*(I68-H68)*G68*J68</f>
        <v/>
      </c>
      <c r="M68" s="24">
        <f>L68/K68</f>
        <v/>
      </c>
      <c r="N68" s="2" t="inlineStr">
        <is>
          <t>大将军转向</t>
        </is>
      </c>
      <c r="O68" s="2" t="inlineStr">
        <is>
          <t>否</t>
        </is>
      </c>
    </row>
    <row r="69">
      <c r="A69" s="2" t="inlineStr">
        <is>
          <t>2026-08-28</t>
        </is>
      </c>
      <c r="B69" s="2" t="inlineStr">
        <is>
          <t>2026-09-04</t>
        </is>
      </c>
      <c r="C69" s="2" t="inlineStr">
        <is>
          <t>沪锌</t>
        </is>
      </c>
      <c r="D69" s="2" t="inlineStr">
        <is>
          <t>ZN</t>
        </is>
      </c>
      <c r="E69" s="19" t="inlineStr">
        <is>
          <t>多</t>
        </is>
      </c>
      <c r="F69" s="2" t="inlineStr">
        <is>
          <t>★★★</t>
        </is>
      </c>
      <c r="G69" s="10" t="n">
        <v>5</v>
      </c>
      <c r="H69" s="11" t="n">
        <v>26240</v>
      </c>
      <c r="I69" s="11" t="n">
        <v>26745</v>
      </c>
      <c r="J69" s="10" t="n">
        <v>5</v>
      </c>
      <c r="K69" s="10" t="n">
        <v>30000</v>
      </c>
      <c r="L69" s="23">
        <f>IF(E69="多",1,-1)*(I69-H69)*G69*J69</f>
        <v/>
      </c>
      <c r="M69" s="24">
        <f>L69/K69</f>
        <v/>
      </c>
      <c r="N69" s="2" t="inlineStr">
        <is>
          <t>大将军转向</t>
        </is>
      </c>
      <c r="O69" s="2" t="inlineStr">
        <is>
          <t>否</t>
        </is>
      </c>
    </row>
    <row r="70">
      <c r="A70" s="2" t="inlineStr">
        <is>
          <t>2026-08-20</t>
        </is>
      </c>
      <c r="B70" s="2" t="inlineStr">
        <is>
          <t>2026-09-03</t>
        </is>
      </c>
      <c r="C70" s="2" t="inlineStr">
        <is>
          <t>棉花</t>
        </is>
      </c>
      <c r="D70" s="2" t="inlineStr">
        <is>
          <t>CF</t>
        </is>
      </c>
      <c r="E70" s="19" t="inlineStr">
        <is>
          <t>多</t>
        </is>
      </c>
      <c r="F70" s="2" t="inlineStr">
        <is>
          <t>★★★</t>
        </is>
      </c>
      <c r="G70" s="10" t="n">
        <v>3</v>
      </c>
      <c r="H70" s="11" t="n">
        <v>17060</v>
      </c>
      <c r="I70" s="11" t="n">
        <v>16751.43</v>
      </c>
      <c r="J70" s="10" t="n">
        <v>5</v>
      </c>
      <c r="K70" s="10" t="n">
        <v>10000</v>
      </c>
      <c r="L70" s="23">
        <f>IF(E70="多",1,-1)*(I70-H70)*G70*J70</f>
        <v/>
      </c>
      <c r="M70" s="24">
        <f>L70/K70</f>
        <v/>
      </c>
      <c r="N70" s="2" t="inlineStr">
        <is>
          <t>止损</t>
        </is>
      </c>
      <c r="O70" s="2" t="inlineStr">
        <is>
          <t>否</t>
        </is>
      </c>
    </row>
    <row r="71">
      <c r="A71" s="2" t="inlineStr">
        <is>
          <t>2026-09-01</t>
        </is>
      </c>
      <c r="B71" s="2" t="inlineStr">
        <is>
          <t>2026-09-02</t>
        </is>
      </c>
      <c r="C71" s="2" t="inlineStr">
        <is>
          <t>沥青</t>
        </is>
      </c>
      <c r="D71" s="2" t="inlineStr">
        <is>
          <t>BU</t>
        </is>
      </c>
      <c r="E71" s="19" t="inlineStr">
        <is>
          <t>多</t>
        </is>
      </c>
      <c r="F71" s="2" t="inlineStr">
        <is>
          <t>★★★</t>
        </is>
      </c>
      <c r="G71" s="10" t="n">
        <v>8</v>
      </c>
      <c r="H71" s="11" t="n">
        <v>4995</v>
      </c>
      <c r="I71" s="11" t="n">
        <v>4974</v>
      </c>
      <c r="J71" s="10" t="n">
        <v>10</v>
      </c>
      <c r="K71" s="10" t="n">
        <v>30000</v>
      </c>
      <c r="L71" s="23">
        <f>IF(E71="多",1,-1)*(I71-H71)*G71*J71</f>
        <v/>
      </c>
      <c r="M71" s="24">
        <f>L71/K71</f>
        <v/>
      </c>
      <c r="N71" s="2" t="inlineStr">
        <is>
          <t>将军撤退+大将军转向</t>
        </is>
      </c>
      <c r="O71" s="2" t="inlineStr">
        <is>
          <t>否</t>
        </is>
      </c>
    </row>
    <row r="72">
      <c r="A72" s="2" t="inlineStr">
        <is>
          <t>2026-08-31</t>
        </is>
      </c>
      <c r="B72" s="2" t="inlineStr">
        <is>
          <t>2026-09-02</t>
        </is>
      </c>
      <c r="C72" s="2" t="inlineStr">
        <is>
          <t>螺纹钢</t>
        </is>
      </c>
      <c r="D72" s="2" t="inlineStr">
        <is>
          <t>RB</t>
        </is>
      </c>
      <c r="E72" s="19" t="inlineStr">
        <is>
          <t>多</t>
        </is>
      </c>
      <c r="F72" s="2" t="inlineStr">
        <is>
          <t>★★★</t>
        </is>
      </c>
      <c r="G72" s="10" t="n">
        <v>24</v>
      </c>
      <c r="H72" s="11" t="n">
        <v>3197</v>
      </c>
      <c r="I72" s="11" t="n">
        <v>3142</v>
      </c>
      <c r="J72" s="10" t="n">
        <v>10</v>
      </c>
      <c r="K72" s="10" t="n">
        <v>20000</v>
      </c>
      <c r="L72" s="23">
        <f>IF(E72="多",1,-1)*(I72-H72)*G72*J72</f>
        <v/>
      </c>
      <c r="M72" s="24">
        <f>L72/K72</f>
        <v/>
      </c>
      <c r="N72" s="2" t="inlineStr">
        <is>
          <t>将军撤退+大将军转向</t>
        </is>
      </c>
      <c r="O72" s="2" t="inlineStr">
        <is>
          <t>否</t>
        </is>
      </c>
    </row>
    <row r="73">
      <c r="A73" s="14" t="inlineStr">
        <is>
          <t>2026-08-18</t>
        </is>
      </c>
      <c r="B73" s="14" t="inlineStr">
        <is>
          <t>2026-09-02</t>
        </is>
      </c>
      <c r="C73" s="14" t="inlineStr">
        <is>
          <t>豆粕</t>
        </is>
      </c>
      <c r="D73" s="14" t="inlineStr">
        <is>
          <t>M</t>
        </is>
      </c>
      <c r="E73" s="14" t="inlineStr">
        <is>
          <t>多</t>
        </is>
      </c>
      <c r="F73" s="14" t="inlineStr">
        <is>
          <t>★★★</t>
        </is>
      </c>
      <c r="G73" s="14" t="n">
        <v>9</v>
      </c>
      <c r="H73" s="15" t="n">
        <v>3242</v>
      </c>
      <c r="I73" s="15" t="n">
        <v>3361</v>
      </c>
      <c r="J73" s="14" t="n">
        <v>10</v>
      </c>
      <c r="K73" s="14" t="n">
        <v>10000</v>
      </c>
      <c r="L73" s="25">
        <f>IF(E73="多",1,-1)*(I73-H73)*G73*J73</f>
        <v/>
      </c>
      <c r="M73" s="26">
        <f>L73/K73</f>
        <v/>
      </c>
      <c r="N73" s="14" t="inlineStr">
        <is>
          <t>将军撤退</t>
        </is>
      </c>
      <c r="O73" s="14" t="inlineStr">
        <is>
          <t>是</t>
        </is>
      </c>
    </row>
    <row r="74">
      <c r="A74" s="2" t="inlineStr">
        <is>
          <t>2026-08-31</t>
        </is>
      </c>
      <c r="B74" s="2" t="inlineStr">
        <is>
          <t>2026-09-01</t>
        </is>
      </c>
      <c r="C74" s="2" t="inlineStr">
        <is>
          <t>苯乙烯</t>
        </is>
      </c>
      <c r="D74" s="2" t="inlineStr">
        <is>
          <t>EB</t>
        </is>
      </c>
      <c r="E74" s="19" t="inlineStr">
        <is>
          <t>多</t>
        </is>
      </c>
      <c r="F74" s="2" t="inlineStr">
        <is>
          <t>★★★</t>
        </is>
      </c>
      <c r="G74" s="10" t="n">
        <v>7</v>
      </c>
      <c r="H74" s="11" t="n">
        <v>9140</v>
      </c>
      <c r="I74" s="11" t="n">
        <v>9165</v>
      </c>
      <c r="J74" s="10" t="n">
        <v>5</v>
      </c>
      <c r="K74" s="10" t="n">
        <v>30000</v>
      </c>
      <c r="L74" s="23">
        <f>IF(E74="多",1,-1)*(I74-H74)*G74*J74</f>
        <v/>
      </c>
      <c r="M74" s="24">
        <f>L74/K74</f>
        <v/>
      </c>
      <c r="N74" s="2" t="inlineStr">
        <is>
          <t>将军撤退</t>
        </is>
      </c>
      <c r="O74" s="2" t="inlineStr">
        <is>
          <t>否</t>
        </is>
      </c>
    </row>
    <row r="75">
      <c r="A75" s="2" t="inlineStr">
        <is>
          <t>2026-08-27</t>
        </is>
      </c>
      <c r="B75" s="2" t="inlineStr">
        <is>
          <t>2026-09-01</t>
        </is>
      </c>
      <c r="C75" s="2" t="inlineStr">
        <is>
          <t>焦煤</t>
        </is>
      </c>
      <c r="D75" s="2" t="inlineStr">
        <is>
          <t>JM</t>
        </is>
      </c>
      <c r="E75" s="19" t="inlineStr">
        <is>
          <t>多</t>
        </is>
      </c>
      <c r="F75" s="2" t="inlineStr">
        <is>
          <t>★★★</t>
        </is>
      </c>
      <c r="G75" s="10" t="n">
        <v>1</v>
      </c>
      <c r="H75" s="11" t="n">
        <v>1610</v>
      </c>
      <c r="I75" s="11" t="n">
        <v>1694</v>
      </c>
      <c r="J75" s="10" t="n">
        <v>60</v>
      </c>
      <c r="K75" s="10" t="n">
        <v>10000</v>
      </c>
      <c r="L75" s="23">
        <f>IF(E75="多",1,-1)*(I75-H75)*G75*J75</f>
        <v/>
      </c>
      <c r="M75" s="24">
        <f>L75/K75</f>
        <v/>
      </c>
      <c r="N75" s="2" t="inlineStr">
        <is>
          <t>大将军转向</t>
        </is>
      </c>
      <c r="O75" s="2" t="inlineStr">
        <is>
          <t>否</t>
        </is>
      </c>
    </row>
    <row r="76">
      <c r="A76" s="2" t="inlineStr">
        <is>
          <t>2026-08-28</t>
        </is>
      </c>
      <c r="B76" s="2" t="inlineStr">
        <is>
          <t>2026-08-31</t>
        </is>
      </c>
      <c r="C76" s="2" t="inlineStr">
        <is>
          <t>沥青</t>
        </is>
      </c>
      <c r="D76" s="2" t="inlineStr">
        <is>
          <t>BU</t>
        </is>
      </c>
      <c r="E76" s="19" t="inlineStr">
        <is>
          <t>多</t>
        </is>
      </c>
      <c r="F76" s="2" t="inlineStr">
        <is>
          <t>★★★</t>
        </is>
      </c>
      <c r="G76" s="10" t="n">
        <v>9</v>
      </c>
      <c r="H76" s="11" t="n">
        <v>4631</v>
      </c>
      <c r="I76" s="11" t="n">
        <v>4850</v>
      </c>
      <c r="J76" s="10" t="n">
        <v>10</v>
      </c>
      <c r="K76" s="10" t="n">
        <v>30000</v>
      </c>
      <c r="L76" s="23">
        <f>IF(E76="多",1,-1)*(I76-H76)*G76*J76</f>
        <v/>
      </c>
      <c r="M76" s="24">
        <f>L76/K76</f>
        <v/>
      </c>
      <c r="N76" s="2" t="inlineStr">
        <is>
          <t>将军撤退+大将军转向</t>
        </is>
      </c>
      <c r="O76" s="2" t="inlineStr">
        <is>
          <t>否</t>
        </is>
      </c>
    </row>
    <row r="77">
      <c r="A77" s="2" t="inlineStr">
        <is>
          <t>2026-08-21</t>
        </is>
      </c>
      <c r="B77" s="2" t="inlineStr">
        <is>
          <t>2026-08-31</t>
        </is>
      </c>
      <c r="C77" s="2" t="inlineStr">
        <is>
          <t>豆油</t>
        </is>
      </c>
      <c r="D77" s="2" t="inlineStr">
        <is>
          <t>Y</t>
        </is>
      </c>
      <c r="E77" s="19" t="inlineStr">
        <is>
          <t>多</t>
        </is>
      </c>
      <c r="F77" s="2" t="inlineStr">
        <is>
          <t>★★★</t>
        </is>
      </c>
      <c r="G77" s="10" t="n">
        <v>8</v>
      </c>
      <c r="H77" s="11" t="n">
        <v>8830</v>
      </c>
      <c r="I77" s="11" t="n">
        <v>9045</v>
      </c>
      <c r="J77" s="10" t="n">
        <v>10</v>
      </c>
      <c r="K77" s="10" t="n">
        <v>20000</v>
      </c>
      <c r="L77" s="23">
        <f>IF(E77="多",1,-1)*(I77-H77)*G77*J77</f>
        <v/>
      </c>
      <c r="M77" s="24">
        <f>L77/K77</f>
        <v/>
      </c>
      <c r="N77" s="2" t="inlineStr">
        <is>
          <t>将军撤退</t>
        </is>
      </c>
      <c r="O77" s="2" t="inlineStr">
        <is>
          <t>否</t>
        </is>
      </c>
    </row>
    <row r="78">
      <c r="A78" s="2" t="inlineStr">
        <is>
          <t>2026-08-24</t>
        </is>
      </c>
      <c r="B78" s="2" t="inlineStr">
        <is>
          <t>2026-08-28</t>
        </is>
      </c>
      <c r="C78" s="2" t="inlineStr">
        <is>
          <t>PVC</t>
        </is>
      </c>
      <c r="D78" s="2" t="inlineStr">
        <is>
          <t>V</t>
        </is>
      </c>
      <c r="E78" s="9" t="inlineStr">
        <is>
          <t>空</t>
        </is>
      </c>
      <c r="F78" s="2" t="inlineStr">
        <is>
          <t>★★★</t>
        </is>
      </c>
      <c r="G78" s="10" t="n">
        <v>30</v>
      </c>
      <c r="H78" s="11" t="n">
        <v>4644</v>
      </c>
      <c r="I78" s="11" t="n">
        <v>4578</v>
      </c>
      <c r="J78" s="10" t="n">
        <v>5</v>
      </c>
      <c r="K78" s="10" t="n">
        <v>30000</v>
      </c>
      <c r="L78" s="23">
        <f>IF(E78="多",1,-1)*(I78-H78)*G78*J78</f>
        <v/>
      </c>
      <c r="M78" s="24">
        <f>L78/K78</f>
        <v/>
      </c>
      <c r="N78" s="2" t="inlineStr">
        <is>
          <t>大将军转向</t>
        </is>
      </c>
      <c r="O78" s="2" t="inlineStr">
        <is>
          <t>否</t>
        </is>
      </c>
    </row>
    <row r="79">
      <c r="A79" s="2" t="inlineStr">
        <is>
          <t>2026-08-19</t>
        </is>
      </c>
      <c r="B79" s="2" t="inlineStr">
        <is>
          <t>2026-08-28</t>
        </is>
      </c>
      <c r="C79" s="2" t="inlineStr">
        <is>
          <t>沪镍</t>
        </is>
      </c>
      <c r="D79" s="2" t="inlineStr">
        <is>
          <t>NI</t>
        </is>
      </c>
      <c r="E79" s="9" t="inlineStr">
        <is>
          <t>空</t>
        </is>
      </c>
      <c r="F79" s="2" t="inlineStr">
        <is>
          <t>★★★</t>
        </is>
      </c>
      <c r="G79" s="10" t="n">
        <v>4</v>
      </c>
      <c r="H79" s="11" t="n">
        <v>129000</v>
      </c>
      <c r="I79" s="11" t="n">
        <v>128310</v>
      </c>
      <c r="J79" s="10" t="n">
        <v>1</v>
      </c>
      <c r="K79" s="10" t="n">
        <v>30000</v>
      </c>
      <c r="L79" s="23">
        <f>IF(E79="多",1,-1)*(I79-H79)*G79*J79</f>
        <v/>
      </c>
      <c r="M79" s="24">
        <f>L79/K79</f>
        <v/>
      </c>
      <c r="N79" s="2" t="inlineStr">
        <is>
          <t>将军撤退</t>
        </is>
      </c>
      <c r="O79" s="2" t="inlineStr">
        <is>
          <t>否</t>
        </is>
      </c>
    </row>
    <row r="80">
      <c r="A80" s="2" t="inlineStr">
        <is>
          <t>2026-08-26</t>
        </is>
      </c>
      <c r="B80" s="2" t="inlineStr">
        <is>
          <t>2026-08-27</t>
        </is>
      </c>
      <c r="C80" s="2" t="inlineStr">
        <is>
          <t>沪锌</t>
        </is>
      </c>
      <c r="D80" s="2" t="inlineStr">
        <is>
          <t>ZN</t>
        </is>
      </c>
      <c r="E80" s="19" t="inlineStr">
        <is>
          <t>多</t>
        </is>
      </c>
      <c r="F80" s="2" t="inlineStr">
        <is>
          <t>★★★</t>
        </is>
      </c>
      <c r="G80" s="10" t="n">
        <v>1</v>
      </c>
      <c r="H80" s="11" t="n">
        <v>26455</v>
      </c>
      <c r="I80" s="11" t="n">
        <v>26140</v>
      </c>
      <c r="J80" s="10" t="n">
        <v>5</v>
      </c>
      <c r="K80" s="10" t="n">
        <v>10000</v>
      </c>
      <c r="L80" s="23">
        <f>IF(E80="多",1,-1)*(I80-H80)*G80*J80</f>
        <v/>
      </c>
      <c r="M80" s="24">
        <f>L80/K80</f>
        <v/>
      </c>
      <c r="N80" s="2" t="inlineStr">
        <is>
          <t>大将军转向</t>
        </is>
      </c>
      <c r="O80" s="2" t="inlineStr">
        <is>
          <t>否</t>
        </is>
      </c>
    </row>
    <row r="81">
      <c r="A81" s="2" t="inlineStr">
        <is>
          <t>2026-08-19</t>
        </is>
      </c>
      <c r="B81" s="2" t="inlineStr">
        <is>
          <t>2026-08-26</t>
        </is>
      </c>
      <c r="C81" s="2" t="inlineStr">
        <is>
          <t>聚丙烯</t>
        </is>
      </c>
      <c r="D81" s="2" t="inlineStr">
        <is>
          <t>PP</t>
        </is>
      </c>
      <c r="E81" s="19" t="inlineStr">
        <is>
          <t>多</t>
        </is>
      </c>
      <c r="F81" s="2" t="inlineStr">
        <is>
          <t>★★★</t>
        </is>
      </c>
      <c r="G81" s="10" t="n">
        <v>3</v>
      </c>
      <c r="H81" s="11" t="n">
        <v>7998</v>
      </c>
      <c r="I81" s="11" t="n">
        <v>7768.14</v>
      </c>
      <c r="J81" s="10" t="n">
        <v>5</v>
      </c>
      <c r="K81" s="10" t="n">
        <v>10000</v>
      </c>
      <c r="L81" s="23">
        <f>IF(E81="多",1,-1)*(I81-H81)*G81*J81</f>
        <v/>
      </c>
      <c r="M81" s="24">
        <f>L81/K81</f>
        <v/>
      </c>
      <c r="N81" s="2" t="inlineStr">
        <is>
          <t>止损</t>
        </is>
      </c>
      <c r="O81" s="2" t="inlineStr">
        <is>
          <t>否</t>
        </is>
      </c>
    </row>
    <row r="82">
      <c r="A82" s="2" t="inlineStr">
        <is>
          <t>2026-08-21</t>
        </is>
      </c>
      <c r="B82" s="2" t="inlineStr">
        <is>
          <t>2026-08-24</t>
        </is>
      </c>
      <c r="C82" s="2" t="inlineStr">
        <is>
          <t>玻璃</t>
        </is>
      </c>
      <c r="D82" s="2" t="inlineStr">
        <is>
          <t>FG</t>
        </is>
      </c>
      <c r="E82" s="9" t="inlineStr">
        <is>
          <t>空</t>
        </is>
      </c>
      <c r="F82" s="2" t="inlineStr">
        <is>
          <t>★★★</t>
        </is>
      </c>
      <c r="G82" s="10" t="n">
        <v>24</v>
      </c>
      <c r="H82" s="11" t="n">
        <v>908</v>
      </c>
      <c r="I82" s="11" t="n">
        <v>922</v>
      </c>
      <c r="J82" s="10" t="n">
        <v>20</v>
      </c>
      <c r="K82" s="10" t="n">
        <v>30000</v>
      </c>
      <c r="L82" s="23">
        <f>IF(E82="多",1,-1)*(I82-H82)*G82*J82</f>
        <v/>
      </c>
      <c r="M82" s="24">
        <f>L82/K82</f>
        <v/>
      </c>
      <c r="N82" s="2" t="inlineStr">
        <is>
          <t>大将军转向</t>
        </is>
      </c>
      <c r="O82" s="2" t="inlineStr">
        <is>
          <t>否</t>
        </is>
      </c>
    </row>
    <row r="83">
      <c r="A83" s="14" t="inlineStr">
        <is>
          <t>2026-08-13</t>
        </is>
      </c>
      <c r="B83" s="14" t="inlineStr">
        <is>
          <t>2026-08-24</t>
        </is>
      </c>
      <c r="C83" s="14" t="inlineStr">
        <is>
          <t>螺纹钢</t>
        </is>
      </c>
      <c r="D83" s="14" t="inlineStr">
        <is>
          <t>RB</t>
        </is>
      </c>
      <c r="E83" s="14" t="inlineStr">
        <is>
          <t>空</t>
        </is>
      </c>
      <c r="F83" s="14" t="inlineStr">
        <is>
          <t>★★</t>
        </is>
      </c>
      <c r="G83" s="14" t="n">
        <v>11</v>
      </c>
      <c r="H83" s="15" t="n">
        <v>3002</v>
      </c>
      <c r="I83" s="15" t="n">
        <v>3072</v>
      </c>
      <c r="J83" s="14" t="n">
        <v>10</v>
      </c>
      <c r="K83" s="14" t="n">
        <v>10000</v>
      </c>
      <c r="L83" s="25">
        <f>IF(E83="多",1,-1)*(I83-H83)*G83*J83</f>
        <v/>
      </c>
      <c r="M83" s="26">
        <f>L83/K83</f>
        <v/>
      </c>
      <c r="N83" s="14" t="inlineStr">
        <is>
          <t>止损</t>
        </is>
      </c>
      <c r="O83" s="14" t="inlineStr">
        <is>
          <t>是</t>
        </is>
      </c>
    </row>
    <row r="84">
      <c r="A84" s="14" t="inlineStr">
        <is>
          <t>2026-08-13</t>
        </is>
      </c>
      <c r="B84" s="14" t="inlineStr">
        <is>
          <t>2026-08-24</t>
        </is>
      </c>
      <c r="C84" s="14" t="inlineStr">
        <is>
          <t>热卷</t>
        </is>
      </c>
      <c r="D84" s="14" t="inlineStr">
        <is>
          <t>HC</t>
        </is>
      </c>
      <c r="E84" s="14" t="inlineStr">
        <is>
          <t>空</t>
        </is>
      </c>
      <c r="F84" s="14" t="inlineStr">
        <is>
          <t>★★</t>
        </is>
      </c>
      <c r="G84" s="14" t="n">
        <v>11</v>
      </c>
      <c r="H84" s="15" t="n">
        <v>3235</v>
      </c>
      <c r="I84" s="15" t="n">
        <v>3308.43</v>
      </c>
      <c r="J84" s="14" t="n">
        <v>10</v>
      </c>
      <c r="K84" s="14" t="n">
        <v>10000</v>
      </c>
      <c r="L84" s="25">
        <f>IF(E84="多",1,-1)*(I84-H84)*G84*J84</f>
        <v/>
      </c>
      <c r="M84" s="26">
        <f>L84/K84</f>
        <v/>
      </c>
      <c r="N84" s="14" t="inlineStr">
        <is>
          <t>止损</t>
        </is>
      </c>
      <c r="O84" s="14" t="inlineStr">
        <is>
          <t>是</t>
        </is>
      </c>
    </row>
    <row r="85">
      <c r="A85" s="2" t="inlineStr">
        <is>
          <t>2026-08-20</t>
        </is>
      </c>
      <c r="B85" s="2" t="inlineStr">
        <is>
          <t>2026-08-21</t>
        </is>
      </c>
      <c r="C85" s="2" t="inlineStr">
        <is>
          <t>沥青</t>
        </is>
      </c>
      <c r="D85" s="2" t="inlineStr">
        <is>
          <t>BU</t>
        </is>
      </c>
      <c r="E85" s="19" t="inlineStr">
        <is>
          <t>多</t>
        </is>
      </c>
      <c r="F85" s="2" t="inlineStr">
        <is>
          <t>★★★</t>
        </is>
      </c>
      <c r="G85" s="10" t="n">
        <v>6</v>
      </c>
      <c r="H85" s="11" t="n">
        <v>4544</v>
      </c>
      <c r="I85" s="11" t="n">
        <v>4508</v>
      </c>
      <c r="J85" s="10" t="n">
        <v>10</v>
      </c>
      <c r="K85" s="10" t="n">
        <v>20000</v>
      </c>
      <c r="L85" s="23">
        <f>IF(E85="多",1,-1)*(I85-H85)*G85*J85</f>
        <v/>
      </c>
      <c r="M85" s="24">
        <f>L85/K85</f>
        <v/>
      </c>
      <c r="N85" s="2" t="inlineStr">
        <is>
          <t>大将军转向</t>
        </is>
      </c>
      <c r="O85" s="2" t="inlineStr">
        <is>
          <t>否</t>
        </is>
      </c>
    </row>
    <row r="86">
      <c r="A86" s="2" t="inlineStr">
        <is>
          <t>2026-08-19</t>
        </is>
      </c>
      <c r="B86" s="2" t="inlineStr">
        <is>
          <t>2026-08-21</t>
        </is>
      </c>
      <c r="C86" s="2" t="inlineStr">
        <is>
          <t>焦煤</t>
        </is>
      </c>
      <c r="D86" s="2" t="inlineStr">
        <is>
          <t>JM</t>
        </is>
      </c>
      <c r="E86" s="19" t="inlineStr">
        <is>
          <t>多</t>
        </is>
      </c>
      <c r="F86" s="2" t="inlineStr">
        <is>
          <t>★★★</t>
        </is>
      </c>
      <c r="G86" s="10" t="n">
        <v>4</v>
      </c>
      <c r="H86" s="11" t="n">
        <v>1586.5</v>
      </c>
      <c r="I86" s="11" t="n">
        <v>1581.5</v>
      </c>
      <c r="J86" s="10" t="n">
        <v>60</v>
      </c>
      <c r="K86" s="10" t="n">
        <v>30000</v>
      </c>
      <c r="L86" s="23">
        <f>IF(E86="多",1,-1)*(I86-H86)*G86*J86</f>
        <v/>
      </c>
      <c r="M86" s="24">
        <f>L86/K86</f>
        <v/>
      </c>
      <c r="N86" s="2" t="inlineStr">
        <is>
          <t>将军撤退</t>
        </is>
      </c>
      <c r="O86" s="2" t="inlineStr">
        <is>
          <t>否</t>
        </is>
      </c>
    </row>
    <row r="87">
      <c r="A87" s="14" t="inlineStr">
        <is>
          <t>2026-08-11</t>
        </is>
      </c>
      <c r="B87" s="14" t="inlineStr">
        <is>
          <t>2026-08-21</t>
        </is>
      </c>
      <c r="C87" s="14" t="inlineStr">
        <is>
          <t>硅铁</t>
        </is>
      </c>
      <c r="D87" s="14" t="inlineStr">
        <is>
          <t>SF</t>
        </is>
      </c>
      <c r="E87" s="14" t="inlineStr">
        <is>
          <t>多</t>
        </is>
      </c>
      <c r="F87" s="14" t="inlineStr">
        <is>
          <t>★★</t>
        </is>
      </c>
      <c r="G87" s="14" t="n">
        <v>6</v>
      </c>
      <c r="H87" s="15" t="n">
        <v>5894</v>
      </c>
      <c r="I87" s="15" t="n">
        <v>6022</v>
      </c>
      <c r="J87" s="14" t="n">
        <v>5</v>
      </c>
      <c r="K87" s="14" t="n">
        <v>10000</v>
      </c>
      <c r="L87" s="25">
        <f>IF(E87="多",1,-1)*(I87-H87)*G87*J87</f>
        <v/>
      </c>
      <c r="M87" s="26">
        <f>L87/K87</f>
        <v/>
      </c>
      <c r="N87" s="14" t="inlineStr">
        <is>
          <t>大将军转向</t>
        </is>
      </c>
      <c r="O87" s="14" t="inlineStr">
        <is>
          <t>是</t>
        </is>
      </c>
    </row>
    <row r="88">
      <c r="A88" s="14" t="inlineStr">
        <is>
          <t>2026-08-14</t>
        </is>
      </c>
      <c r="B88" s="14" t="inlineStr">
        <is>
          <t>2026-08-20</t>
        </is>
      </c>
      <c r="C88" s="14" t="inlineStr">
        <is>
          <t>玻璃</t>
        </is>
      </c>
      <c r="D88" s="14" t="inlineStr">
        <is>
          <t>FG</t>
        </is>
      </c>
      <c r="E88" s="14" t="inlineStr">
        <is>
          <t>空</t>
        </is>
      </c>
      <c r="F88" s="14" t="inlineStr">
        <is>
          <t>★★★</t>
        </is>
      </c>
      <c r="G88" s="14" t="n">
        <v>8</v>
      </c>
      <c r="H88" s="15" t="n">
        <v>927</v>
      </c>
      <c r="I88" s="15" t="n">
        <v>917</v>
      </c>
      <c r="J88" s="14" t="n">
        <v>20</v>
      </c>
      <c r="K88" s="14" t="n">
        <v>10000</v>
      </c>
      <c r="L88" s="25">
        <f>IF(E88="多",1,-1)*(I88-H88)*G88*J88</f>
        <v/>
      </c>
      <c r="M88" s="26">
        <f>L88/K88</f>
        <v/>
      </c>
      <c r="N88" s="14" t="inlineStr">
        <is>
          <t>将军撤退+大将军转向</t>
        </is>
      </c>
      <c r="O88" s="14" t="inlineStr">
        <is>
          <t>是</t>
        </is>
      </c>
    </row>
    <row r="89">
      <c r="A89" s="2" t="inlineStr">
        <is>
          <t>2026-08-06</t>
        </is>
      </c>
      <c r="B89" s="2" t="inlineStr">
        <is>
          <t>2026-08-20</t>
        </is>
      </c>
      <c r="C89" s="2" t="inlineStr">
        <is>
          <t>菜油</t>
        </is>
      </c>
      <c r="D89" s="2" t="inlineStr">
        <is>
          <t>OI</t>
        </is>
      </c>
      <c r="E89" s="19" t="inlineStr">
        <is>
          <t>多</t>
        </is>
      </c>
      <c r="F89" s="2" t="inlineStr">
        <is>
          <t>★★★</t>
        </is>
      </c>
      <c r="G89" s="10" t="n">
        <v>6</v>
      </c>
      <c r="H89" s="11" t="n">
        <v>10125</v>
      </c>
      <c r="I89" s="11" t="n">
        <v>10682</v>
      </c>
      <c r="J89" s="10" t="n">
        <v>10</v>
      </c>
      <c r="K89" s="10" t="n">
        <v>30000</v>
      </c>
      <c r="L89" s="23">
        <f>IF(E89="多",1,-1)*(I89-H89)*G89*J89</f>
        <v/>
      </c>
      <c r="M89" s="24">
        <f>L89/K89</f>
        <v/>
      </c>
      <c r="N89" s="2" t="inlineStr">
        <is>
          <t>大将军转向</t>
        </is>
      </c>
      <c r="O89" s="2" t="inlineStr">
        <is>
          <t>否</t>
        </is>
      </c>
    </row>
    <row r="90">
      <c r="A90" s="14" t="inlineStr">
        <is>
          <t>2026-08-18</t>
        </is>
      </c>
      <c r="B90" s="14" t="inlineStr">
        <is>
          <t>2026-08-19</t>
        </is>
      </c>
      <c r="C90" s="14" t="inlineStr">
        <is>
          <t>锰硅</t>
        </is>
      </c>
      <c r="D90" s="14" t="inlineStr">
        <is>
          <t>SM</t>
        </is>
      </c>
      <c r="E90" s="14" t="inlineStr">
        <is>
          <t>多</t>
        </is>
      </c>
      <c r="F90" s="14" t="inlineStr">
        <is>
          <t>★★</t>
        </is>
      </c>
      <c r="G90" s="14" t="n">
        <v>10</v>
      </c>
      <c r="H90" s="15" t="n">
        <v>5904</v>
      </c>
      <c r="I90" s="15" t="n">
        <v>5922</v>
      </c>
      <c r="J90" s="14" t="n">
        <v>5</v>
      </c>
      <c r="K90" s="14" t="n">
        <v>10000</v>
      </c>
      <c r="L90" s="25">
        <f>IF(E90="多",1,-1)*(I90-H90)*G90*J90</f>
        <v/>
      </c>
      <c r="M90" s="26">
        <f>L90/K90</f>
        <v/>
      </c>
      <c r="N90" s="14" t="inlineStr">
        <is>
          <t>将军撤退</t>
        </is>
      </c>
      <c r="O90" s="14" t="inlineStr">
        <is>
          <t>是</t>
        </is>
      </c>
    </row>
    <row r="91">
      <c r="A91" s="14" t="inlineStr">
        <is>
          <t>2026-08-18</t>
        </is>
      </c>
      <c r="B91" s="14" t="inlineStr">
        <is>
          <t>2026-08-19</t>
        </is>
      </c>
      <c r="C91" s="14" t="inlineStr">
        <is>
          <t>燃料油</t>
        </is>
      </c>
      <c r="D91" s="14" t="inlineStr">
        <is>
          <t>FU</t>
        </is>
      </c>
      <c r="E91" s="14" t="inlineStr">
        <is>
          <t>多</t>
        </is>
      </c>
      <c r="F91" s="14" t="inlineStr">
        <is>
          <t>★★</t>
        </is>
      </c>
      <c r="G91" s="14" t="n">
        <v>2</v>
      </c>
      <c r="H91" s="15" t="n">
        <v>3749</v>
      </c>
      <c r="I91" s="15" t="n">
        <v>3825</v>
      </c>
      <c r="J91" s="14" t="n">
        <v>10</v>
      </c>
      <c r="K91" s="14" t="n">
        <v>10000</v>
      </c>
      <c r="L91" s="25">
        <f>IF(E91="多",1,-1)*(I91-H91)*G91*J91</f>
        <v/>
      </c>
      <c r="M91" s="26">
        <f>L91/K91</f>
        <v/>
      </c>
      <c r="N91" s="14" t="inlineStr">
        <is>
          <t>大将军转向</t>
        </is>
      </c>
      <c r="O91" s="14" t="inlineStr">
        <is>
          <t>是</t>
        </is>
      </c>
    </row>
    <row r="92">
      <c r="A92" s="2" t="inlineStr">
        <is>
          <t>2026-08-18</t>
        </is>
      </c>
      <c r="B92" s="2" t="inlineStr">
        <is>
          <t>2026-08-19</t>
        </is>
      </c>
      <c r="C92" s="2" t="inlineStr">
        <is>
          <t>豆一</t>
        </is>
      </c>
      <c r="D92" s="2" t="inlineStr">
        <is>
          <t>A</t>
        </is>
      </c>
      <c r="E92" s="19" t="inlineStr">
        <is>
          <t>多</t>
        </is>
      </c>
      <c r="F92" s="2" t="inlineStr">
        <is>
          <t>★★★</t>
        </is>
      </c>
      <c r="G92" s="10" t="n">
        <v>14</v>
      </c>
      <c r="H92" s="11" t="n">
        <v>5079</v>
      </c>
      <c r="I92" s="11" t="n">
        <v>5074</v>
      </c>
      <c r="J92" s="10" t="n">
        <v>10</v>
      </c>
      <c r="K92" s="10" t="n">
        <v>30000</v>
      </c>
      <c r="L92" s="23">
        <f>IF(E92="多",1,-1)*(I92-H92)*G92*J92</f>
        <v/>
      </c>
      <c r="M92" s="24">
        <f>L92/K92</f>
        <v/>
      </c>
      <c r="N92" s="2" t="inlineStr">
        <is>
          <t>将军撤退+大将军转向</t>
        </is>
      </c>
      <c r="O92" s="2" t="inlineStr">
        <is>
          <t>否</t>
        </is>
      </c>
    </row>
    <row r="93">
      <c r="A93" s="14" t="inlineStr">
        <is>
          <t>2026-08-17</t>
        </is>
      </c>
      <c r="B93" s="14" t="inlineStr">
        <is>
          <t>2026-08-19</t>
        </is>
      </c>
      <c r="C93" s="14" t="inlineStr">
        <is>
          <t>玉米</t>
        </is>
      </c>
      <c r="D93" s="14" t="inlineStr">
        <is>
          <t>C</t>
        </is>
      </c>
      <c r="E93" s="14" t="inlineStr">
        <is>
          <t>空</t>
        </is>
      </c>
      <c r="F93" s="14" t="inlineStr">
        <is>
          <t>★★</t>
        </is>
      </c>
      <c r="G93" s="14" t="n">
        <v>20</v>
      </c>
      <c r="H93" s="15" t="n">
        <v>2200</v>
      </c>
      <c r="I93" s="15" t="n">
        <v>2248.86</v>
      </c>
      <c r="J93" s="14" t="n">
        <v>10</v>
      </c>
      <c r="K93" s="14" t="n">
        <v>10000</v>
      </c>
      <c r="L93" s="25">
        <f>IF(E93="多",1,-1)*(I93-H93)*G93*J93</f>
        <v/>
      </c>
      <c r="M93" s="26">
        <f>L93/K93</f>
        <v/>
      </c>
      <c r="N93" s="14" t="inlineStr">
        <is>
          <t>止损</t>
        </is>
      </c>
      <c r="O93" s="14" t="inlineStr">
        <is>
          <t>是</t>
        </is>
      </c>
    </row>
    <row r="94">
      <c r="A94" s="14" t="inlineStr">
        <is>
          <t>2026-08-11</t>
        </is>
      </c>
      <c r="B94" s="14" t="inlineStr">
        <is>
          <t>2026-08-19</t>
        </is>
      </c>
      <c r="C94" s="14" t="inlineStr">
        <is>
          <t>玉米淀粉</t>
        </is>
      </c>
      <c r="D94" s="14" t="inlineStr">
        <is>
          <t>CS</t>
        </is>
      </c>
      <c r="E94" s="14" t="inlineStr">
        <is>
          <t>空</t>
        </is>
      </c>
      <c r="F94" s="14" t="inlineStr">
        <is>
          <t>★★★</t>
        </is>
      </c>
      <c r="G94" s="14" t="n">
        <v>17</v>
      </c>
      <c r="H94" s="15" t="n">
        <v>2511</v>
      </c>
      <c r="I94" s="15" t="n">
        <v>2555.07</v>
      </c>
      <c r="J94" s="14" t="n">
        <v>10</v>
      </c>
      <c r="K94" s="14" t="n">
        <v>10000</v>
      </c>
      <c r="L94" s="25">
        <f>IF(E94="多",1,-1)*(I94-H94)*G94*J94</f>
        <v/>
      </c>
      <c r="M94" s="26">
        <f>L94/K94</f>
        <v/>
      </c>
      <c r="N94" s="14" t="inlineStr">
        <is>
          <t>止损</t>
        </is>
      </c>
      <c r="O94" s="14" t="inlineStr">
        <is>
          <t>是</t>
        </is>
      </c>
    </row>
    <row r="95">
      <c r="A95" s="14" t="inlineStr">
        <is>
          <t>2026-08-07</t>
        </is>
      </c>
      <c r="B95" s="14" t="inlineStr">
        <is>
          <t>2026-08-19</t>
        </is>
      </c>
      <c r="C95" s="14" t="inlineStr">
        <is>
          <t>纸浆</t>
        </is>
      </c>
      <c r="D95" s="14" t="inlineStr">
        <is>
          <t>SP</t>
        </is>
      </c>
      <c r="E95" s="14" t="inlineStr">
        <is>
          <t>空</t>
        </is>
      </c>
      <c r="F95" s="14" t="inlineStr">
        <is>
          <t>★★★</t>
        </is>
      </c>
      <c r="G95" s="14" t="n">
        <v>5</v>
      </c>
      <c r="H95" s="15" t="n">
        <v>4670</v>
      </c>
      <c r="I95" s="15" t="n">
        <v>4733.29</v>
      </c>
      <c r="J95" s="14" t="n">
        <v>10</v>
      </c>
      <c r="K95" s="14" t="n">
        <v>10000</v>
      </c>
      <c r="L95" s="25">
        <f>IF(E95="多",1,-1)*(I95-H95)*G95*J95</f>
        <v/>
      </c>
      <c r="M95" s="26">
        <f>L95/K95</f>
        <v/>
      </c>
      <c r="N95" s="14" t="inlineStr">
        <is>
          <t>止损</t>
        </is>
      </c>
      <c r="O95" s="14" t="inlineStr">
        <is>
          <t>是</t>
        </is>
      </c>
    </row>
    <row r="96">
      <c r="A96" s="2" t="inlineStr">
        <is>
          <t>2026-08-14</t>
        </is>
      </c>
      <c r="B96" s="2" t="inlineStr">
        <is>
          <t>2026-08-18</t>
        </is>
      </c>
      <c r="C96" s="2" t="inlineStr">
        <is>
          <t>塑料</t>
        </is>
      </c>
      <c r="D96" s="2" t="inlineStr">
        <is>
          <t>L</t>
        </is>
      </c>
      <c r="E96" s="19" t="inlineStr">
        <is>
          <t>多</t>
        </is>
      </c>
      <c r="F96" s="2" t="inlineStr">
        <is>
          <t>★★★</t>
        </is>
      </c>
      <c r="G96" s="10" t="n">
        <v>4</v>
      </c>
      <c r="H96" s="11" t="n">
        <v>7484</v>
      </c>
      <c r="I96" s="11" t="n">
        <v>7789</v>
      </c>
      <c r="J96" s="10" t="n">
        <v>5</v>
      </c>
      <c r="K96" s="10" t="n">
        <v>10000</v>
      </c>
      <c r="L96" s="23">
        <f>IF(E96="多",1,-1)*(I96-H96)*G96*J96</f>
        <v/>
      </c>
      <c r="M96" s="24">
        <f>L96/K96</f>
        <v/>
      </c>
      <c r="N96" s="2" t="inlineStr">
        <is>
          <t>大将军转向</t>
        </is>
      </c>
      <c r="O96" s="2" t="inlineStr">
        <is>
          <t>否</t>
        </is>
      </c>
    </row>
    <row r="97">
      <c r="A97" s="2" t="inlineStr">
        <is>
          <t>2026-08-12</t>
        </is>
      </c>
      <c r="B97" s="2" t="inlineStr">
        <is>
          <t>2026-08-18</t>
        </is>
      </c>
      <c r="C97" s="2" t="inlineStr">
        <is>
          <t>豆油</t>
        </is>
      </c>
      <c r="D97" s="2" t="inlineStr">
        <is>
          <t>Y</t>
        </is>
      </c>
      <c r="E97" s="9" t="inlineStr">
        <is>
          <t>空</t>
        </is>
      </c>
      <c r="F97" s="2" t="inlineStr">
        <is>
          <t>★★★</t>
        </is>
      </c>
      <c r="G97" s="10" t="n">
        <v>14</v>
      </c>
      <c r="H97" s="11" t="n">
        <v>8442</v>
      </c>
      <c r="I97" s="11" t="n">
        <v>8593.07</v>
      </c>
      <c r="J97" s="10" t="n">
        <v>10</v>
      </c>
      <c r="K97" s="10" t="n">
        <v>30000</v>
      </c>
      <c r="L97" s="23">
        <f>IF(E97="多",1,-1)*(I97-H97)*G97*J97</f>
        <v/>
      </c>
      <c r="M97" s="24">
        <f>L97/K97</f>
        <v/>
      </c>
      <c r="N97" s="2" t="inlineStr">
        <is>
          <t>止损</t>
        </is>
      </c>
      <c r="O97" s="2" t="inlineStr">
        <is>
          <t>否</t>
        </is>
      </c>
    </row>
    <row r="98">
      <c r="A98" s="2" t="inlineStr">
        <is>
          <t>2026-08-11</t>
        </is>
      </c>
      <c r="B98" s="2" t="inlineStr">
        <is>
          <t>2026-08-18</t>
        </is>
      </c>
      <c r="C98" s="2" t="inlineStr">
        <is>
          <t>乙二醇</t>
        </is>
      </c>
      <c r="D98" s="2" t="inlineStr">
        <is>
          <t>EG</t>
        </is>
      </c>
      <c r="E98" s="19" t="inlineStr">
        <is>
          <t>多</t>
        </is>
      </c>
      <c r="F98" s="2" t="inlineStr">
        <is>
          <t>★★★</t>
        </is>
      </c>
      <c r="G98" s="10" t="n">
        <v>5</v>
      </c>
      <c r="H98" s="11" t="n">
        <v>4879</v>
      </c>
      <c r="I98" s="11" t="n">
        <v>5275</v>
      </c>
      <c r="J98" s="10" t="n">
        <v>10</v>
      </c>
      <c r="K98" s="10" t="n">
        <v>30000</v>
      </c>
      <c r="L98" s="23">
        <f>IF(E98="多",1,-1)*(I98-H98)*G98*J98</f>
        <v/>
      </c>
      <c r="M98" s="24">
        <f>L98/K98</f>
        <v/>
      </c>
      <c r="N98" s="2" t="inlineStr">
        <is>
          <t>将军撤退</t>
        </is>
      </c>
      <c r="O98" s="2" t="inlineStr">
        <is>
          <t>否</t>
        </is>
      </c>
    </row>
    <row r="99">
      <c r="A99" s="2" t="inlineStr">
        <is>
          <t>2026-07-15</t>
        </is>
      </c>
      <c r="B99" s="2" t="inlineStr">
        <is>
          <t>2026-08-14</t>
        </is>
      </c>
      <c r="C99" s="2" t="inlineStr">
        <is>
          <t>沪镍</t>
        </is>
      </c>
      <c r="D99" s="2" t="inlineStr">
        <is>
          <t>NI</t>
        </is>
      </c>
      <c r="E99" s="9" t="inlineStr">
        <is>
          <t>空</t>
        </is>
      </c>
      <c r="F99" s="2" t="inlineStr">
        <is>
          <t>★★★</t>
        </is>
      </c>
      <c r="G99" s="10" t="n">
        <v>1</v>
      </c>
      <c r="H99" s="11" t="n">
        <v>128880</v>
      </c>
      <c r="I99" s="11" t="n">
        <v>127040</v>
      </c>
      <c r="J99" s="10" t="n">
        <v>1</v>
      </c>
      <c r="K99" s="10" t="n">
        <v>10000</v>
      </c>
      <c r="L99" s="23">
        <f>IF(E99="多",1,-1)*(I99-H99)*G99*J99</f>
        <v/>
      </c>
      <c r="M99" s="24">
        <f>L99/K99</f>
        <v/>
      </c>
      <c r="N99" s="2" t="inlineStr">
        <is>
          <t>大将军转向</t>
        </is>
      </c>
      <c r="O99" s="2" t="inlineStr">
        <is>
          <t>否</t>
        </is>
      </c>
    </row>
    <row r="100">
      <c r="A100" s="14" t="inlineStr">
        <is>
          <t>2026-08-04</t>
        </is>
      </c>
      <c r="B100" s="14" t="inlineStr">
        <is>
          <t>2026-08-13</t>
        </is>
      </c>
      <c r="C100" s="14" t="inlineStr">
        <is>
          <t>沪铝</t>
        </is>
      </c>
      <c r="D100" s="14" t="inlineStr">
        <is>
          <t>AL</t>
        </is>
      </c>
      <c r="E100" s="14" t="inlineStr">
        <is>
          <t>多</t>
        </is>
      </c>
      <c r="F100" s="14" t="inlineStr">
        <is>
          <t>★★★</t>
        </is>
      </c>
      <c r="G100" s="14" t="n">
        <v>2</v>
      </c>
      <c r="H100" s="15" t="n">
        <v>23800</v>
      </c>
      <c r="I100" s="15" t="n">
        <v>24090</v>
      </c>
      <c r="J100" s="14" t="n">
        <v>5</v>
      </c>
      <c r="K100" s="14" t="n">
        <v>10000</v>
      </c>
      <c r="L100" s="25">
        <f>IF(E100="多",1,-1)*(I100-H100)*G100*J100</f>
        <v/>
      </c>
      <c r="M100" s="26">
        <f>L100/K100</f>
        <v/>
      </c>
      <c r="N100" s="14" t="inlineStr">
        <is>
          <t>大将军转向</t>
        </is>
      </c>
      <c r="O100" s="14" t="inlineStr">
        <is>
          <t>是</t>
        </is>
      </c>
    </row>
    <row r="101">
      <c r="A101" s="14" t="inlineStr">
        <is>
          <t>2026-08-05</t>
        </is>
      </c>
      <c r="B101" s="14" t="inlineStr">
        <is>
          <t>2026-08-12</t>
        </is>
      </c>
      <c r="C101" s="14" t="inlineStr">
        <is>
          <t>玉米</t>
        </is>
      </c>
      <c r="D101" s="14" t="inlineStr">
        <is>
          <t>C</t>
        </is>
      </c>
      <c r="E101" s="14" t="inlineStr">
        <is>
          <t>空</t>
        </is>
      </c>
      <c r="F101" s="14" t="inlineStr">
        <is>
          <t>★★★</t>
        </is>
      </c>
      <c r="G101" s="14" t="n">
        <v>21</v>
      </c>
      <c r="H101" s="15" t="n">
        <v>2251</v>
      </c>
      <c r="I101" s="15" t="n">
        <v>2263</v>
      </c>
      <c r="J101" s="14" t="n">
        <v>10</v>
      </c>
      <c r="K101" s="14" t="n">
        <v>10000</v>
      </c>
      <c r="L101" s="25">
        <f>IF(E101="多",1,-1)*(I101-H101)*G101*J101</f>
        <v/>
      </c>
      <c r="M101" s="26">
        <f>L101/K101</f>
        <v/>
      </c>
      <c r="N101" s="14" t="inlineStr">
        <is>
          <t>将军撤退</t>
        </is>
      </c>
      <c r="O101" s="14" t="inlineStr">
        <is>
          <t>是</t>
        </is>
      </c>
    </row>
    <row r="102">
      <c r="A102" s="2" t="inlineStr">
        <is>
          <t>2026-07-13</t>
        </is>
      </c>
      <c r="B102" s="2" t="inlineStr">
        <is>
          <t>2026-08-12</t>
        </is>
      </c>
      <c r="C102" s="2" t="inlineStr">
        <is>
          <t>氧化铝</t>
        </is>
      </c>
      <c r="D102" s="2" t="inlineStr">
        <is>
          <t>AO</t>
        </is>
      </c>
      <c r="E102" s="9" t="inlineStr">
        <is>
          <t>空</t>
        </is>
      </c>
      <c r="F102" s="2" t="inlineStr">
        <is>
          <t>★★★</t>
        </is>
      </c>
      <c r="G102" s="10" t="n">
        <v>11</v>
      </c>
      <c r="H102" s="11" t="n">
        <v>2676</v>
      </c>
      <c r="I102" s="11" t="n">
        <v>2739.57</v>
      </c>
      <c r="J102" s="10" t="n">
        <v>20</v>
      </c>
      <c r="K102" s="10" t="n">
        <v>30000</v>
      </c>
      <c r="L102" s="23">
        <f>IF(E102="多",1,-1)*(I102-H102)*G102*J102</f>
        <v/>
      </c>
      <c r="M102" s="24">
        <f>L102/K102</f>
        <v/>
      </c>
      <c r="N102" s="2" t="inlineStr">
        <is>
          <t>止损</t>
        </is>
      </c>
      <c r="O102" s="2" t="inlineStr">
        <is>
          <t>否</t>
        </is>
      </c>
    </row>
    <row r="103">
      <c r="A103" s="14" t="inlineStr">
        <is>
          <t>2026-08-10</t>
        </is>
      </c>
      <c r="B103" s="14" t="inlineStr">
        <is>
          <t>2026-08-11</t>
        </is>
      </c>
      <c r="C103" s="14" t="inlineStr">
        <is>
          <t>硅铁</t>
        </is>
      </c>
      <c r="D103" s="14" t="inlineStr">
        <is>
          <t>SF</t>
        </is>
      </c>
      <c r="E103" s="14" t="inlineStr">
        <is>
          <t>空</t>
        </is>
      </c>
      <c r="F103" s="14" t="inlineStr">
        <is>
          <t>★★</t>
        </is>
      </c>
      <c r="G103" s="14" t="n">
        <v>6</v>
      </c>
      <c r="H103" s="15" t="n">
        <v>5888</v>
      </c>
      <c r="I103" s="15" t="n">
        <v>5906</v>
      </c>
      <c r="J103" s="14" t="n">
        <v>5</v>
      </c>
      <c r="K103" s="14" t="n">
        <v>10000</v>
      </c>
      <c r="L103" s="25">
        <f>IF(E103="多",1,-1)*(I103-H103)*G103*J103</f>
        <v/>
      </c>
      <c r="M103" s="26">
        <f>L103/K103</f>
        <v/>
      </c>
      <c r="N103" s="14" t="inlineStr">
        <is>
          <t>反向信号</t>
        </is>
      </c>
      <c r="O103" s="14" t="inlineStr">
        <is>
          <t>是</t>
        </is>
      </c>
    </row>
    <row r="104">
      <c r="A104" s="14" t="inlineStr">
        <is>
          <t>2026-08-10</t>
        </is>
      </c>
      <c r="B104" s="14" t="inlineStr">
        <is>
          <t>2026-08-11</t>
        </is>
      </c>
      <c r="C104" s="14" t="inlineStr">
        <is>
          <t>沥青</t>
        </is>
      </c>
      <c r="D104" s="14" t="inlineStr">
        <is>
          <t>BU</t>
        </is>
      </c>
      <c r="E104" s="14" t="inlineStr">
        <is>
          <t>多</t>
        </is>
      </c>
      <c r="F104" s="14" t="inlineStr">
        <is>
          <t>★★</t>
        </is>
      </c>
      <c r="G104" s="14" t="n">
        <v>3</v>
      </c>
      <c r="H104" s="15" t="n">
        <v>4060</v>
      </c>
      <c r="I104" s="15" t="n">
        <v>4155</v>
      </c>
      <c r="J104" s="14" t="n">
        <v>10</v>
      </c>
      <c r="K104" s="14" t="n">
        <v>10000</v>
      </c>
      <c r="L104" s="25">
        <f>IF(E104="多",1,-1)*(I104-H104)*G104*J104</f>
        <v/>
      </c>
      <c r="M104" s="26">
        <f>L104/K104</f>
        <v/>
      </c>
      <c r="N104" s="14" t="inlineStr">
        <is>
          <t>将军撤退+大将军转向</t>
        </is>
      </c>
      <c r="O104" s="14" t="inlineStr">
        <is>
          <t>是</t>
        </is>
      </c>
    </row>
    <row r="105">
      <c r="A105" s="2" t="inlineStr">
        <is>
          <t>2026-08-10</t>
        </is>
      </c>
      <c r="B105" s="2" t="inlineStr">
        <is>
          <t>2026-08-11</t>
        </is>
      </c>
      <c r="C105" s="2" t="inlineStr">
        <is>
          <t>沪银</t>
        </is>
      </c>
      <c r="D105" s="2" t="inlineStr">
        <is>
          <t>AG</t>
        </is>
      </c>
      <c r="E105" s="19" t="inlineStr">
        <is>
          <t>多</t>
        </is>
      </c>
      <c r="F105" s="2" t="inlineStr">
        <is>
          <t>★★★</t>
        </is>
      </c>
      <c r="G105" s="10" t="n">
        <v>1</v>
      </c>
      <c r="H105" s="11" t="n">
        <v>15624</v>
      </c>
      <c r="I105" s="11" t="n">
        <v>15748</v>
      </c>
      <c r="J105" s="10" t="n">
        <v>15</v>
      </c>
      <c r="K105" s="10" t="n">
        <v>30000</v>
      </c>
      <c r="L105" s="23">
        <f>IF(E105="多",1,-1)*(I105-H105)*G105*J105</f>
        <v/>
      </c>
      <c r="M105" s="24">
        <f>L105/K105</f>
        <v/>
      </c>
      <c r="N105" s="2" t="inlineStr">
        <is>
          <t>大将军转向</t>
        </is>
      </c>
      <c r="O105" s="2" t="inlineStr">
        <is>
          <t>否</t>
        </is>
      </c>
    </row>
    <row r="106">
      <c r="A106" s="14" t="inlineStr">
        <is>
          <t>2026-08-05</t>
        </is>
      </c>
      <c r="B106" s="14" t="inlineStr">
        <is>
          <t>2026-08-11</t>
        </is>
      </c>
      <c r="C106" s="14" t="inlineStr">
        <is>
          <t>豆一</t>
        </is>
      </c>
      <c r="D106" s="14" t="inlineStr">
        <is>
          <t>A</t>
        </is>
      </c>
      <c r="E106" s="14" t="inlineStr">
        <is>
          <t>多</t>
        </is>
      </c>
      <c r="F106" s="14" t="inlineStr">
        <is>
          <t>★★</t>
        </is>
      </c>
      <c r="G106" s="14" t="n">
        <v>8</v>
      </c>
      <c r="H106" s="15" t="n">
        <v>4745</v>
      </c>
      <c r="I106" s="15" t="n">
        <v>4914</v>
      </c>
      <c r="J106" s="14" t="n">
        <v>10</v>
      </c>
      <c r="K106" s="14" t="n">
        <v>10000</v>
      </c>
      <c r="L106" s="25">
        <f>IF(E106="多",1,-1)*(I106-H106)*G106*J106</f>
        <v/>
      </c>
      <c r="M106" s="26">
        <f>L106/K106</f>
        <v/>
      </c>
      <c r="N106" s="14" t="inlineStr">
        <is>
          <t>大将军转向</t>
        </is>
      </c>
      <c r="O106" s="14" t="inlineStr">
        <is>
          <t>是</t>
        </is>
      </c>
    </row>
    <row r="107">
      <c r="A107" s="14" t="inlineStr">
        <is>
          <t>2026-08-04</t>
        </is>
      </c>
      <c r="B107" s="14" t="inlineStr">
        <is>
          <t>2026-08-11</t>
        </is>
      </c>
      <c r="C107" s="14" t="inlineStr">
        <is>
          <t>热卷</t>
        </is>
      </c>
      <c r="D107" s="14" t="inlineStr">
        <is>
          <t>HC</t>
        </is>
      </c>
      <c r="E107" s="14" t="inlineStr">
        <is>
          <t>空</t>
        </is>
      </c>
      <c r="F107" s="14" t="inlineStr">
        <is>
          <t>★★★</t>
        </is>
      </c>
      <c r="G107" s="14" t="n">
        <v>12</v>
      </c>
      <c r="H107" s="15" t="n">
        <v>3205</v>
      </c>
      <c r="I107" s="15" t="n">
        <v>3244</v>
      </c>
      <c r="J107" s="14" t="n">
        <v>10</v>
      </c>
      <c r="K107" s="14" t="n">
        <v>10000</v>
      </c>
      <c r="L107" s="25">
        <f>IF(E107="多",1,-1)*(I107-H107)*G107*J107</f>
        <v/>
      </c>
      <c r="M107" s="26">
        <f>L107/K107</f>
        <v/>
      </c>
      <c r="N107" s="14" t="inlineStr">
        <is>
          <t>将军撤退</t>
        </is>
      </c>
      <c r="O107" s="14" t="inlineStr">
        <is>
          <t>是</t>
        </is>
      </c>
    </row>
    <row r="108">
      <c r="A108" s="14" t="inlineStr">
        <is>
          <t>2026-07-22</t>
        </is>
      </c>
      <c r="B108" s="14" t="inlineStr">
        <is>
          <t>2026-08-11</t>
        </is>
      </c>
      <c r="C108" s="14" t="inlineStr">
        <is>
          <t>塑料</t>
        </is>
      </c>
      <c r="D108" s="14" t="inlineStr">
        <is>
          <t>L</t>
        </is>
      </c>
      <c r="E108" s="14" t="inlineStr">
        <is>
          <t>多</t>
        </is>
      </c>
      <c r="F108" s="14" t="inlineStr">
        <is>
          <t>★★</t>
        </is>
      </c>
      <c r="G108" s="14" t="n">
        <v>3</v>
      </c>
      <c r="H108" s="15" t="n">
        <v>7860</v>
      </c>
      <c r="I108" s="15" t="n">
        <v>7852</v>
      </c>
      <c r="J108" s="14" t="n">
        <v>5</v>
      </c>
      <c r="K108" s="14" t="n">
        <v>10000</v>
      </c>
      <c r="L108" s="25">
        <f>IF(E108="多",1,-1)*(I108-H108)*G108*J108</f>
        <v/>
      </c>
      <c r="M108" s="26">
        <f>L108/K108</f>
        <v/>
      </c>
      <c r="N108" s="14" t="inlineStr">
        <is>
          <t>将军撤退</t>
        </is>
      </c>
      <c r="O108" s="14" t="inlineStr">
        <is>
          <t>是</t>
        </is>
      </c>
    </row>
    <row r="109">
      <c r="A109" s="14" t="inlineStr">
        <is>
          <t>2026-07-30</t>
        </is>
      </c>
      <c r="B109" s="14" t="inlineStr">
        <is>
          <t>2026-08-07</t>
        </is>
      </c>
      <c r="C109" s="14" t="inlineStr">
        <is>
          <t>工业硅</t>
        </is>
      </c>
      <c r="D109" s="14" t="inlineStr">
        <is>
          <t>SI</t>
        </is>
      </c>
      <c r="E109" s="14" t="inlineStr">
        <is>
          <t>空</t>
        </is>
      </c>
      <c r="F109" s="14" t="inlineStr">
        <is>
          <t>★★</t>
        </is>
      </c>
      <c r="G109" s="14" t="n">
        <v>5</v>
      </c>
      <c r="H109" s="15" t="n">
        <v>8170</v>
      </c>
      <c r="I109" s="15" t="n">
        <v>8490.709999999999</v>
      </c>
      <c r="J109" s="14" t="n">
        <v>5</v>
      </c>
      <c r="K109" s="14" t="n">
        <v>10000</v>
      </c>
      <c r="L109" s="25">
        <f>IF(E109="多",1,-1)*(I109-H109)*G109*J109</f>
        <v/>
      </c>
      <c r="M109" s="26">
        <f>L109/K109</f>
        <v/>
      </c>
      <c r="N109" s="14" t="inlineStr">
        <is>
          <t>止损</t>
        </is>
      </c>
      <c r="O109" s="14" t="inlineStr">
        <is>
          <t>是</t>
        </is>
      </c>
    </row>
    <row r="110">
      <c r="A110" s="14" t="inlineStr">
        <is>
          <t>2026-08-05</t>
        </is>
      </c>
      <c r="B110" s="14" t="inlineStr">
        <is>
          <t>2026-08-06</t>
        </is>
      </c>
      <c r="C110" s="14" t="inlineStr">
        <is>
          <t>硅铁</t>
        </is>
      </c>
      <c r="D110" s="14" t="inlineStr">
        <is>
          <t>SF</t>
        </is>
      </c>
      <c r="E110" s="14" t="inlineStr">
        <is>
          <t>多</t>
        </is>
      </c>
      <c r="F110" s="14" t="inlineStr">
        <is>
          <t>★★</t>
        </is>
      </c>
      <c r="G110" s="14" t="n">
        <v>6</v>
      </c>
      <c r="H110" s="15" t="n">
        <v>5880</v>
      </c>
      <c r="I110" s="15" t="n">
        <v>5924</v>
      </c>
      <c r="J110" s="14" t="n">
        <v>5</v>
      </c>
      <c r="K110" s="14" t="n">
        <v>10000</v>
      </c>
      <c r="L110" s="25">
        <f>IF(E110="多",1,-1)*(I110-H110)*G110*J110</f>
        <v/>
      </c>
      <c r="M110" s="26">
        <f>L110/K110</f>
        <v/>
      </c>
      <c r="N110" s="14" t="inlineStr">
        <is>
          <t>大将军转向</t>
        </is>
      </c>
      <c r="O110" s="14" t="inlineStr">
        <is>
          <t>是</t>
        </is>
      </c>
    </row>
    <row r="111">
      <c r="A111" s="14" t="inlineStr">
        <is>
          <t>2026-08-05</t>
        </is>
      </c>
      <c r="B111" s="14" t="inlineStr">
        <is>
          <t>2026-08-06</t>
        </is>
      </c>
      <c r="C111" s="14" t="inlineStr">
        <is>
          <t>玉米淀粉</t>
        </is>
      </c>
      <c r="D111" s="14" t="inlineStr">
        <is>
          <t>CS</t>
        </is>
      </c>
      <c r="E111" s="14" t="inlineStr">
        <is>
          <t>空</t>
        </is>
      </c>
      <c r="F111" s="14" t="inlineStr">
        <is>
          <t>★★</t>
        </is>
      </c>
      <c r="G111" s="14" t="n">
        <v>18</v>
      </c>
      <c r="H111" s="15" t="n">
        <v>2605</v>
      </c>
      <c r="I111" s="15" t="n">
        <v>2586</v>
      </c>
      <c r="J111" s="14" t="n">
        <v>10</v>
      </c>
      <c r="K111" s="14" t="n">
        <v>10000</v>
      </c>
      <c r="L111" s="25">
        <f>IF(E111="多",1,-1)*(I111-H111)*G111*J111</f>
        <v/>
      </c>
      <c r="M111" s="26">
        <f>L111/K111</f>
        <v/>
      </c>
      <c r="N111" s="14" t="inlineStr">
        <is>
          <t>将军撤退</t>
        </is>
      </c>
      <c r="O111" s="14" t="inlineStr">
        <is>
          <t>是</t>
        </is>
      </c>
    </row>
    <row r="112">
      <c r="A112" s="14" t="inlineStr">
        <is>
          <t>2026-08-04</t>
        </is>
      </c>
      <c r="B112" s="14" t="inlineStr">
        <is>
          <t>2026-08-05</t>
        </is>
      </c>
      <c r="C112" s="14" t="inlineStr">
        <is>
          <t>纯碱</t>
        </is>
      </c>
      <c r="D112" s="14" t="inlineStr">
        <is>
          <t>SA</t>
        </is>
      </c>
      <c r="E112" s="14" t="inlineStr">
        <is>
          <t>空</t>
        </is>
      </c>
      <c r="F112" s="14" t="inlineStr">
        <is>
          <t>★★</t>
        </is>
      </c>
      <c r="G112" s="14" t="n">
        <v>7</v>
      </c>
      <c r="H112" s="15" t="n">
        <v>922</v>
      </c>
      <c r="I112" s="15" t="n">
        <v>937</v>
      </c>
      <c r="J112" s="14" t="n">
        <v>20</v>
      </c>
      <c r="K112" s="14" t="n">
        <v>10000</v>
      </c>
      <c r="L112" s="25">
        <f>IF(E112="多",1,-1)*(I112-H112)*G112*J112</f>
        <v/>
      </c>
      <c r="M112" s="26">
        <f>L112/K112</f>
        <v/>
      </c>
      <c r="N112" s="14" t="inlineStr">
        <is>
          <t>将军撤退+大将军转向</t>
        </is>
      </c>
      <c r="O112" s="14" t="inlineStr">
        <is>
          <t>是</t>
        </is>
      </c>
    </row>
    <row r="113">
      <c r="A113" s="14" t="inlineStr">
        <is>
          <t>2026-08-03</t>
        </is>
      </c>
      <c r="B113" s="14" t="inlineStr">
        <is>
          <t>2026-08-05</t>
        </is>
      </c>
      <c r="C113" s="14" t="inlineStr">
        <is>
          <t>螺纹钢</t>
        </is>
      </c>
      <c r="D113" s="14" t="inlineStr">
        <is>
          <t>RB</t>
        </is>
      </c>
      <c r="E113" s="14" t="inlineStr">
        <is>
          <t>空</t>
        </is>
      </c>
      <c r="F113" s="14" t="inlineStr">
        <is>
          <t>★★</t>
        </is>
      </c>
      <c r="G113" s="14" t="n">
        <v>11</v>
      </c>
      <c r="H113" s="15" t="n">
        <v>2976</v>
      </c>
      <c r="I113" s="15" t="n">
        <v>2990</v>
      </c>
      <c r="J113" s="14" t="n">
        <v>10</v>
      </c>
      <c r="K113" s="14" t="n">
        <v>10000</v>
      </c>
      <c r="L113" s="25">
        <f>IF(E113="多",1,-1)*(I113-H113)*G113*J113</f>
        <v/>
      </c>
      <c r="M113" s="26">
        <f>L113/K113</f>
        <v/>
      </c>
      <c r="N113" s="14" t="inlineStr">
        <is>
          <t>大将军转向</t>
        </is>
      </c>
      <c r="O113" s="14" t="inlineStr">
        <is>
          <t>是</t>
        </is>
      </c>
    </row>
    <row r="114">
      <c r="A114" s="2" t="inlineStr">
        <is>
          <t>2026-07-30</t>
        </is>
      </c>
      <c r="B114" s="2" t="inlineStr">
        <is>
          <t>2026-08-05</t>
        </is>
      </c>
      <c r="C114" s="2" t="inlineStr">
        <is>
          <t>白糖</t>
        </is>
      </c>
      <c r="D114" s="2" t="inlineStr">
        <is>
          <t>SR</t>
        </is>
      </c>
      <c r="E114" s="9" t="inlineStr">
        <is>
          <t>空</t>
        </is>
      </c>
      <c r="F114" s="2" t="inlineStr">
        <is>
          <t>★★★</t>
        </is>
      </c>
      <c r="G114" s="10" t="n">
        <v>23</v>
      </c>
      <c r="H114" s="11" t="n">
        <v>5092</v>
      </c>
      <c r="I114" s="11" t="n">
        <v>5108</v>
      </c>
      <c r="J114" s="10" t="n">
        <v>10</v>
      </c>
      <c r="K114" s="10" t="n">
        <v>30000</v>
      </c>
      <c r="L114" s="23">
        <f>IF(E114="多",1,-1)*(I114-H114)*G114*J114</f>
        <v/>
      </c>
      <c r="M114" s="24">
        <f>L114/K114</f>
        <v/>
      </c>
      <c r="N114" s="2" t="inlineStr">
        <is>
          <t>将军撤退</t>
        </is>
      </c>
      <c r="O114" s="2" t="inlineStr">
        <is>
          <t>否</t>
        </is>
      </c>
    </row>
    <row r="115">
      <c r="A115" s="2" t="inlineStr">
        <is>
          <t>2026-07-23</t>
        </is>
      </c>
      <c r="B115" s="2" t="inlineStr">
        <is>
          <t>2026-08-05</t>
        </is>
      </c>
      <c r="C115" s="2" t="inlineStr">
        <is>
          <t>沥青</t>
        </is>
      </c>
      <c r="D115" s="2" t="inlineStr">
        <is>
          <t>BU</t>
        </is>
      </c>
      <c r="E115" s="19" t="inlineStr">
        <is>
          <t>多</t>
        </is>
      </c>
      <c r="F115" s="2" t="inlineStr">
        <is>
          <t>★★★</t>
        </is>
      </c>
      <c r="G115" s="10" t="n">
        <v>7</v>
      </c>
      <c r="H115" s="11" t="n">
        <v>4330</v>
      </c>
      <c r="I115" s="11" t="n">
        <v>4036.71</v>
      </c>
      <c r="J115" s="10" t="n">
        <v>10</v>
      </c>
      <c r="K115" s="10" t="n">
        <v>30000</v>
      </c>
      <c r="L115" s="23">
        <f>IF(E115="多",1,-1)*(I115-H115)*G115*J115</f>
        <v/>
      </c>
      <c r="M115" s="24">
        <f>L115/K115</f>
        <v/>
      </c>
      <c r="N115" s="2" t="inlineStr">
        <is>
          <t>止损</t>
        </is>
      </c>
      <c r="O115" s="2" t="inlineStr">
        <is>
          <t>否</t>
        </is>
      </c>
    </row>
    <row r="116">
      <c r="A116" s="14" t="inlineStr">
        <is>
          <t>2026-07-20</t>
        </is>
      </c>
      <c r="B116" s="14" t="inlineStr">
        <is>
          <t>2026-08-05</t>
        </is>
      </c>
      <c r="C116" s="14" t="inlineStr">
        <is>
          <t>苯乙烯</t>
        </is>
      </c>
      <c r="D116" s="14" t="inlineStr">
        <is>
          <t>EB</t>
        </is>
      </c>
      <c r="E116" s="14" t="inlineStr">
        <is>
          <t>多</t>
        </is>
      </c>
      <c r="F116" s="14" t="inlineStr">
        <is>
          <t>★★</t>
        </is>
      </c>
      <c r="G116" s="14" t="n">
        <v>2</v>
      </c>
      <c r="H116" s="15" t="n">
        <v>8844</v>
      </c>
      <c r="I116" s="15" t="n">
        <v>8163.64</v>
      </c>
      <c r="J116" s="14" t="n">
        <v>5</v>
      </c>
      <c r="K116" s="14" t="n">
        <v>10000</v>
      </c>
      <c r="L116" s="25">
        <f>IF(E116="多",1,-1)*(I116-H116)*G116*J116</f>
        <v/>
      </c>
      <c r="M116" s="26">
        <f>L116/K116</f>
        <v/>
      </c>
      <c r="N116" s="14" t="inlineStr">
        <is>
          <t>止损</t>
        </is>
      </c>
      <c r="O116" s="14" t="inlineStr">
        <is>
          <t>是</t>
        </is>
      </c>
    </row>
    <row r="117">
      <c r="A117" s="14" t="inlineStr">
        <is>
          <t>2026-07-29</t>
        </is>
      </c>
      <c r="B117" s="14" t="inlineStr">
        <is>
          <t>2026-08-04</t>
        </is>
      </c>
      <c r="C117" s="14" t="inlineStr">
        <is>
          <t>玉米淀粉</t>
        </is>
      </c>
      <c r="D117" s="14" t="inlineStr">
        <is>
          <t>CS</t>
        </is>
      </c>
      <c r="E117" s="14" t="inlineStr">
        <is>
          <t>空</t>
        </is>
      </c>
      <c r="F117" s="14" t="inlineStr">
        <is>
          <t>★★★</t>
        </is>
      </c>
      <c r="G117" s="14" t="n">
        <v>18</v>
      </c>
      <c r="H117" s="15" t="n">
        <v>2630</v>
      </c>
      <c r="I117" s="15" t="n">
        <v>2595</v>
      </c>
      <c r="J117" s="14" t="n">
        <v>10</v>
      </c>
      <c r="K117" s="14" t="n">
        <v>10000</v>
      </c>
      <c r="L117" s="25">
        <f>IF(E117="多",1,-1)*(I117-H117)*G117*J117</f>
        <v/>
      </c>
      <c r="M117" s="26">
        <f>L117/K117</f>
        <v/>
      </c>
      <c r="N117" s="14" t="inlineStr">
        <is>
          <t>将军撤退</t>
        </is>
      </c>
      <c r="O117" s="14" t="inlineStr">
        <is>
          <t>是</t>
        </is>
      </c>
    </row>
    <row r="118">
      <c r="A118" s="14" t="inlineStr">
        <is>
          <t>2026-07-28</t>
        </is>
      </c>
      <c r="B118" s="14" t="inlineStr">
        <is>
          <t>2026-07-31</t>
        </is>
      </c>
      <c r="C118" s="14" t="inlineStr">
        <is>
          <t>玻璃</t>
        </is>
      </c>
      <c r="D118" s="14" t="inlineStr">
        <is>
          <t>FG</t>
        </is>
      </c>
      <c r="E118" s="14" t="inlineStr">
        <is>
          <t>空</t>
        </is>
      </c>
      <c r="F118" s="14" t="inlineStr">
        <is>
          <t>★★★</t>
        </is>
      </c>
      <c r="G118" s="14" t="n">
        <v>8</v>
      </c>
      <c r="H118" s="15" t="n">
        <v>886</v>
      </c>
      <c r="I118" s="15" t="n">
        <v>875</v>
      </c>
      <c r="J118" s="14" t="n">
        <v>20</v>
      </c>
      <c r="K118" s="14" t="n">
        <v>10000</v>
      </c>
      <c r="L118" s="25">
        <f>IF(E118="多",1,-1)*(I118-H118)*G118*J118</f>
        <v/>
      </c>
      <c r="M118" s="26">
        <f>L118/K118</f>
        <v/>
      </c>
      <c r="N118" s="14" t="inlineStr">
        <is>
          <t>大将军转向</t>
        </is>
      </c>
      <c r="O118" s="14" t="inlineStr">
        <is>
          <t>是</t>
        </is>
      </c>
    </row>
    <row r="119">
      <c r="A119" s="2" t="inlineStr">
        <is>
          <t>2026-07-29</t>
        </is>
      </c>
      <c r="B119" s="2" t="inlineStr">
        <is>
          <t>2026-07-30</t>
        </is>
      </c>
      <c r="C119" s="2" t="inlineStr">
        <is>
          <t>纯碱</t>
        </is>
      </c>
      <c r="D119" s="2" t="inlineStr">
        <is>
          <t>SA</t>
        </is>
      </c>
      <c r="E119" s="9" t="inlineStr">
        <is>
          <t>空</t>
        </is>
      </c>
      <c r="F119" s="2" t="inlineStr">
        <is>
          <t>★★★</t>
        </is>
      </c>
      <c r="G119" s="10" t="n">
        <v>24</v>
      </c>
      <c r="H119" s="11" t="n">
        <v>964</v>
      </c>
      <c r="I119" s="11" t="n">
        <v>944</v>
      </c>
      <c r="J119" s="10" t="n">
        <v>20</v>
      </c>
      <c r="K119" s="10" t="n">
        <v>30000</v>
      </c>
      <c r="L119" s="23">
        <f>IF(E119="多",1,-1)*(I119-H119)*G119*J119</f>
        <v/>
      </c>
      <c r="M119" s="24">
        <f>L119/K119</f>
        <v/>
      </c>
      <c r="N119" s="2" t="inlineStr">
        <is>
          <t>将军撤退</t>
        </is>
      </c>
      <c r="O119" s="2" t="inlineStr">
        <is>
          <t>否</t>
        </is>
      </c>
    </row>
    <row r="120">
      <c r="A120" s="2" t="inlineStr">
        <is>
          <t>2026-07-22</t>
        </is>
      </c>
      <c r="B120" s="2" t="inlineStr">
        <is>
          <t>2026-07-29</t>
        </is>
      </c>
      <c r="C120" s="2" t="inlineStr">
        <is>
          <t>生猪</t>
        </is>
      </c>
      <c r="D120" s="2" t="inlineStr">
        <is>
          <t>LH</t>
        </is>
      </c>
      <c r="E120" s="9" t="inlineStr">
        <is>
          <t>空</t>
        </is>
      </c>
      <c r="F120" s="2" t="inlineStr">
        <is>
          <t>★★★</t>
        </is>
      </c>
      <c r="G120" s="10" t="n">
        <v>2</v>
      </c>
      <c r="H120" s="11" t="n">
        <v>11265</v>
      </c>
      <c r="I120" s="11" t="n">
        <v>10935</v>
      </c>
      <c r="J120" s="10" t="n">
        <v>16</v>
      </c>
      <c r="K120" s="10" t="n">
        <v>30000</v>
      </c>
      <c r="L120" s="23">
        <f>IF(E120="多",1,-1)*(I120-H120)*G120*J120</f>
        <v/>
      </c>
      <c r="M120" s="24">
        <f>L120/K120</f>
        <v/>
      </c>
      <c r="N120" s="2" t="inlineStr">
        <is>
          <t>大将军转向</t>
        </is>
      </c>
      <c r="O120" s="2" t="inlineStr">
        <is>
          <t>否</t>
        </is>
      </c>
    </row>
    <row r="121">
      <c r="A121" s="14" t="inlineStr">
        <is>
          <t>2026-07-01</t>
        </is>
      </c>
      <c r="B121" s="14" t="inlineStr">
        <is>
          <t>2026-07-28</t>
        </is>
      </c>
      <c r="C121" s="14" t="inlineStr">
        <is>
          <t>豆粕</t>
        </is>
      </c>
      <c r="D121" s="14" t="inlineStr">
        <is>
          <t>M</t>
        </is>
      </c>
      <c r="E121" s="14" t="inlineStr">
        <is>
          <t>多</t>
        </is>
      </c>
      <c r="F121" s="14" t="inlineStr">
        <is>
          <t>★★★</t>
        </is>
      </c>
      <c r="G121" s="14" t="n">
        <v>11</v>
      </c>
      <c r="H121" s="15" t="n">
        <v>2976</v>
      </c>
      <c r="I121" s="15" t="n">
        <v>3110</v>
      </c>
      <c r="J121" s="14" t="n">
        <v>10</v>
      </c>
      <c r="K121" s="14" t="n">
        <v>10000</v>
      </c>
      <c r="L121" s="25">
        <f>IF(E121="多",1,-1)*(I121-H121)*G121*J121</f>
        <v/>
      </c>
      <c r="M121" s="26">
        <f>L121/K121</f>
        <v/>
      </c>
      <c r="N121" s="14" t="inlineStr">
        <is>
          <t>止损</t>
        </is>
      </c>
      <c r="O121" s="14" t="inlineStr">
        <is>
          <t>是</t>
        </is>
      </c>
    </row>
    <row r="122">
      <c r="A122" s="14" t="inlineStr">
        <is>
          <t>2026-06-30</t>
        </is>
      </c>
      <c r="B122" s="14" t="inlineStr">
        <is>
          <t>2026-07-28</t>
        </is>
      </c>
      <c r="C122" s="14" t="inlineStr">
        <is>
          <t>热卷</t>
        </is>
      </c>
      <c r="D122" s="14" t="inlineStr">
        <is>
          <t>HC</t>
        </is>
      </c>
      <c r="E122" s="14" t="inlineStr">
        <is>
          <t>空</t>
        </is>
      </c>
      <c r="F122" s="14" t="inlineStr">
        <is>
          <t>★★</t>
        </is>
      </c>
      <c r="G122" s="14" t="n">
        <v>12</v>
      </c>
      <c r="H122" s="15" t="n">
        <v>3315</v>
      </c>
      <c r="I122" s="15" t="n">
        <v>3281</v>
      </c>
      <c r="J122" s="14" t="n">
        <v>10</v>
      </c>
      <c r="K122" s="14" t="n">
        <v>10000</v>
      </c>
      <c r="L122" s="25">
        <f>IF(E122="多",1,-1)*(I122-H122)*G122*J122</f>
        <v/>
      </c>
      <c r="M122" s="26">
        <f>L122/K122</f>
        <v/>
      </c>
      <c r="N122" s="14" t="inlineStr">
        <is>
          <t>大将军转向</t>
        </is>
      </c>
      <c r="O122" s="14" t="inlineStr">
        <is>
          <t>是</t>
        </is>
      </c>
    </row>
    <row r="123">
      <c r="A123" s="14" t="inlineStr">
        <is>
          <t>2026-07-10</t>
        </is>
      </c>
      <c r="B123" s="14" t="inlineStr">
        <is>
          <t>2026-07-27</t>
        </is>
      </c>
      <c r="C123" s="14" t="inlineStr">
        <is>
          <t>硅铁</t>
        </is>
      </c>
      <c r="D123" s="14" t="inlineStr">
        <is>
          <t>SF</t>
        </is>
      </c>
      <c r="E123" s="14" t="inlineStr">
        <is>
          <t>空</t>
        </is>
      </c>
      <c r="F123" s="14" t="inlineStr">
        <is>
          <t>★★</t>
        </is>
      </c>
      <c r="G123" s="14" t="n">
        <v>10</v>
      </c>
      <c r="H123" s="15" t="n">
        <v>5792</v>
      </c>
      <c r="I123" s="15" t="n">
        <v>5923.86</v>
      </c>
      <c r="J123" s="14" t="n">
        <v>5</v>
      </c>
      <c r="K123" s="14" t="n">
        <v>10000</v>
      </c>
      <c r="L123" s="25">
        <f>IF(E123="多",1,-1)*(I123-H123)*G123*J123</f>
        <v/>
      </c>
      <c r="M123" s="26">
        <f>L123/K123</f>
        <v/>
      </c>
      <c r="N123" s="14" t="inlineStr">
        <is>
          <t>止损</t>
        </is>
      </c>
      <c r="O123" s="14" t="inlineStr">
        <is>
          <t>是</t>
        </is>
      </c>
    </row>
    <row r="124">
      <c r="A124" s="14" t="inlineStr">
        <is>
          <t>2026-07-23</t>
        </is>
      </c>
      <c r="B124" s="14" t="inlineStr">
        <is>
          <t>2026-07-24</t>
        </is>
      </c>
      <c r="C124" s="14" t="inlineStr">
        <is>
          <t>PVC</t>
        </is>
      </c>
      <c r="D124" s="14" t="inlineStr">
        <is>
          <t>V</t>
        </is>
      </c>
      <c r="E124" s="14" t="inlineStr">
        <is>
          <t>多</t>
        </is>
      </c>
      <c r="F124" s="14" t="inlineStr">
        <is>
          <t>★★</t>
        </is>
      </c>
      <c r="G124" s="14" t="n">
        <v>5</v>
      </c>
      <c r="H124" s="15" t="n">
        <v>4650</v>
      </c>
      <c r="I124" s="15" t="n">
        <v>4656</v>
      </c>
      <c r="J124" s="14" t="n">
        <v>5</v>
      </c>
      <c r="K124" s="14" t="n">
        <v>10000</v>
      </c>
      <c r="L124" s="25">
        <f>IF(E124="多",1,-1)*(I124-H124)*G124*J124</f>
        <v/>
      </c>
      <c r="M124" s="26">
        <f>L124/K124</f>
        <v/>
      </c>
      <c r="N124" s="14" t="inlineStr">
        <is>
          <t>将军撤退</t>
        </is>
      </c>
      <c r="O124" s="14" t="inlineStr">
        <is>
          <t>是</t>
        </is>
      </c>
    </row>
    <row r="125">
      <c r="A125" s="14" t="inlineStr">
        <is>
          <t>2026-07-23</t>
        </is>
      </c>
      <c r="B125" s="14" t="inlineStr">
        <is>
          <t>2026-07-24</t>
        </is>
      </c>
      <c r="C125" s="14" t="inlineStr">
        <is>
          <t>菜粕</t>
        </is>
      </c>
      <c r="D125" s="14" t="inlineStr">
        <is>
          <t>RM</t>
        </is>
      </c>
      <c r="E125" s="14" t="inlineStr">
        <is>
          <t>多</t>
        </is>
      </c>
      <c r="F125" s="14" t="inlineStr">
        <is>
          <t>★★</t>
        </is>
      </c>
      <c r="G125" s="14" t="n">
        <v>8</v>
      </c>
      <c r="H125" s="15" t="n">
        <v>2368</v>
      </c>
      <c r="I125" s="15" t="n">
        <v>2467</v>
      </c>
      <c r="J125" s="14" t="n">
        <v>10</v>
      </c>
      <c r="K125" s="14" t="n">
        <v>10000</v>
      </c>
      <c r="L125" s="25">
        <f>IF(E125="多",1,-1)*(I125-H125)*G125*J125</f>
        <v/>
      </c>
      <c r="M125" s="26">
        <f>L125/K125</f>
        <v/>
      </c>
      <c r="N125" s="14" t="inlineStr">
        <is>
          <t>将军撤退</t>
        </is>
      </c>
      <c r="O125" s="14" t="inlineStr">
        <is>
          <t>是</t>
        </is>
      </c>
    </row>
    <row r="126">
      <c r="A126" s="2" t="inlineStr">
        <is>
          <t>2026-07-21</t>
        </is>
      </c>
      <c r="B126" s="2" t="inlineStr">
        <is>
          <t>2026-07-22</t>
        </is>
      </c>
      <c r="C126" s="2" t="inlineStr">
        <is>
          <t>沪铜</t>
        </is>
      </c>
      <c r="D126" s="2" t="inlineStr">
        <is>
          <t>CU</t>
        </is>
      </c>
      <c r="E126" s="19" t="inlineStr">
        <is>
          <t>多</t>
        </is>
      </c>
      <c r="F126" s="2" t="inlineStr">
        <is>
          <t>★★★</t>
        </is>
      </c>
      <c r="G126" s="10" t="n">
        <v>1</v>
      </c>
      <c r="H126" s="11" t="n">
        <v>106130</v>
      </c>
      <c r="I126" s="11" t="n">
        <v>105820</v>
      </c>
      <c r="J126" s="10" t="n">
        <v>5</v>
      </c>
      <c r="K126" s="10" t="n">
        <v>30000</v>
      </c>
      <c r="L126" s="23">
        <f>IF(E126="多",1,-1)*(I126-H126)*G126*J126</f>
        <v/>
      </c>
      <c r="M126" s="24">
        <f>L126/K126</f>
        <v/>
      </c>
      <c r="N126" s="2" t="inlineStr">
        <is>
          <t>大将军转向</t>
        </is>
      </c>
      <c r="O126" s="2" t="inlineStr">
        <is>
          <t>否</t>
        </is>
      </c>
    </row>
    <row r="127">
      <c r="A127" s="14" t="inlineStr">
        <is>
          <t>2026-07-21</t>
        </is>
      </c>
      <c r="B127" s="14" t="inlineStr">
        <is>
          <t>2026-07-22</t>
        </is>
      </c>
      <c r="C127" s="14" t="inlineStr">
        <is>
          <t>沥青</t>
        </is>
      </c>
      <c r="D127" s="14" t="inlineStr">
        <is>
          <t>BU</t>
        </is>
      </c>
      <c r="E127" s="14" t="inlineStr">
        <is>
          <t>多</t>
        </is>
      </c>
      <c r="F127" s="14" t="inlineStr">
        <is>
          <t>★★</t>
        </is>
      </c>
      <c r="G127" s="14" t="n">
        <v>2</v>
      </c>
      <c r="H127" s="15" t="n">
        <v>4235</v>
      </c>
      <c r="I127" s="15" t="n">
        <v>4222</v>
      </c>
      <c r="J127" s="14" t="n">
        <v>10</v>
      </c>
      <c r="K127" s="14" t="n">
        <v>10000</v>
      </c>
      <c r="L127" s="25">
        <f>IF(E127="多",1,-1)*(I127-H127)*G127*J127</f>
        <v/>
      </c>
      <c r="M127" s="26">
        <f>L127/K127</f>
        <v/>
      </c>
      <c r="N127" s="14" t="inlineStr">
        <is>
          <t>将军撤退+大将军转向</t>
        </is>
      </c>
      <c r="O127" s="14" t="inlineStr">
        <is>
          <t>是</t>
        </is>
      </c>
    </row>
    <row r="128">
      <c r="A128" s="14" t="inlineStr">
        <is>
          <t>2026-07-06</t>
        </is>
      </c>
      <c r="B128" s="14" t="inlineStr">
        <is>
          <t>2026-07-22</t>
        </is>
      </c>
      <c r="C128" s="14" t="inlineStr">
        <is>
          <t>豆油</t>
        </is>
      </c>
      <c r="D128" s="14" t="inlineStr">
        <is>
          <t>Y</t>
        </is>
      </c>
      <c r="E128" s="14" t="inlineStr">
        <is>
          <t>多</t>
        </is>
      </c>
      <c r="F128" s="14" t="inlineStr">
        <is>
          <t>★★★</t>
        </is>
      </c>
      <c r="G128" s="14" t="n">
        <v>3</v>
      </c>
      <c r="H128" s="15" t="n">
        <v>8532</v>
      </c>
      <c r="I128" s="15" t="n">
        <v>8431.790000000001</v>
      </c>
      <c r="J128" s="14" t="n">
        <v>10</v>
      </c>
      <c r="K128" s="14" t="n">
        <v>10000</v>
      </c>
      <c r="L128" s="25">
        <f>IF(E128="多",1,-1)*(I128-H128)*G128*J128</f>
        <v/>
      </c>
      <c r="M128" s="26">
        <f>L128/K128</f>
        <v/>
      </c>
      <c r="N128" s="14" t="inlineStr">
        <is>
          <t>止损</t>
        </is>
      </c>
      <c r="O128" s="14" t="inlineStr">
        <is>
          <t>是</t>
        </is>
      </c>
    </row>
    <row r="129">
      <c r="A129" s="2" t="inlineStr">
        <is>
          <t>2026-07-16</t>
        </is>
      </c>
      <c r="B129" s="2" t="inlineStr">
        <is>
          <t>2026-07-21</t>
        </is>
      </c>
      <c r="C129" s="2" t="inlineStr">
        <is>
          <t>菜油</t>
        </is>
      </c>
      <c r="D129" s="2" t="inlineStr">
        <is>
          <t>OI</t>
        </is>
      </c>
      <c r="E129" s="19" t="inlineStr">
        <is>
          <t>多</t>
        </is>
      </c>
      <c r="F129" s="2" t="inlineStr">
        <is>
          <t>★★★</t>
        </is>
      </c>
      <c r="G129" s="10" t="n">
        <v>5</v>
      </c>
      <c r="H129" s="11" t="n">
        <v>10051</v>
      </c>
      <c r="I129" s="11" t="n">
        <v>10037</v>
      </c>
      <c r="J129" s="10" t="n">
        <v>10</v>
      </c>
      <c r="K129" s="10" t="n">
        <v>20000</v>
      </c>
      <c r="L129" s="23">
        <f>IF(E129="多",1,-1)*(I129-H129)*G129*J129</f>
        <v/>
      </c>
      <c r="M129" s="24">
        <f>L129/K129</f>
        <v/>
      </c>
      <c r="N129" s="2" t="inlineStr">
        <is>
          <t>大将军转向</t>
        </is>
      </c>
      <c r="O129" s="2" t="inlineStr">
        <is>
          <t>否</t>
        </is>
      </c>
    </row>
    <row r="130">
      <c r="A130" s="14" t="inlineStr">
        <is>
          <t>2026-07-17</t>
        </is>
      </c>
      <c r="B130" s="14" t="inlineStr">
        <is>
          <t>2026-07-20</t>
        </is>
      </c>
      <c r="C130" s="14" t="inlineStr">
        <is>
          <t>乙二醇</t>
        </is>
      </c>
      <c r="D130" s="14" t="inlineStr">
        <is>
          <t>EG</t>
        </is>
      </c>
      <c r="E130" s="14" t="inlineStr">
        <is>
          <t>多</t>
        </is>
      </c>
      <c r="F130" s="14" t="inlineStr">
        <is>
          <t>★★</t>
        </is>
      </c>
      <c r="G130" s="14" t="n">
        <v>2</v>
      </c>
      <c r="H130" s="15" t="n">
        <v>4630</v>
      </c>
      <c r="I130" s="15" t="n">
        <v>4785</v>
      </c>
      <c r="J130" s="14" t="n">
        <v>10</v>
      </c>
      <c r="K130" s="14" t="n">
        <v>10000</v>
      </c>
      <c r="L130" s="25">
        <f>IF(E130="多",1,-1)*(I130-H130)*G130*J130</f>
        <v/>
      </c>
      <c r="M130" s="26">
        <f>L130/K130</f>
        <v/>
      </c>
      <c r="N130" s="14" t="inlineStr">
        <is>
          <t>将军撤退</t>
        </is>
      </c>
      <c r="O130" s="14" t="inlineStr">
        <is>
          <t>是</t>
        </is>
      </c>
    </row>
    <row r="131">
      <c r="A131" s="2" t="inlineStr">
        <is>
          <t>2026-07-15</t>
        </is>
      </c>
      <c r="B131" s="2" t="inlineStr">
        <is>
          <t>2026-07-17</t>
        </is>
      </c>
      <c r="C131" s="2" t="inlineStr">
        <is>
          <t>螺纹钢</t>
        </is>
      </c>
      <c r="D131" s="2" t="inlineStr">
        <is>
          <t>RB</t>
        </is>
      </c>
      <c r="E131" s="19" t="inlineStr">
        <is>
          <t>多</t>
        </is>
      </c>
      <c r="F131" s="2" t="inlineStr">
        <is>
          <t>★★★</t>
        </is>
      </c>
      <c r="G131" s="10" t="n">
        <v>39</v>
      </c>
      <c r="H131" s="11" t="n">
        <v>3111</v>
      </c>
      <c r="I131" s="11" t="n">
        <v>3112</v>
      </c>
      <c r="J131" s="10" t="n">
        <v>10</v>
      </c>
      <c r="K131" s="10" t="n">
        <v>30000</v>
      </c>
      <c r="L131" s="23">
        <f>IF(E131="多",1,-1)*(I131-H131)*G131*J131</f>
        <v/>
      </c>
      <c r="M131" s="24">
        <f>L131/K131</f>
        <v/>
      </c>
      <c r="N131" s="2" t="inlineStr">
        <is>
          <t>将军撤退+大将军转向</t>
        </is>
      </c>
      <c r="O131" s="2" t="inlineStr">
        <is>
          <t>否</t>
        </is>
      </c>
    </row>
    <row r="132">
      <c r="A132" s="2" t="inlineStr">
        <is>
          <t>2026-07-03</t>
        </is>
      </c>
      <c r="B132" s="2" t="inlineStr">
        <is>
          <t>2026-07-17</t>
        </is>
      </c>
      <c r="C132" s="2" t="inlineStr">
        <is>
          <t>尿素</t>
        </is>
      </c>
      <c r="D132" s="2" t="inlineStr">
        <is>
          <t>UR</t>
        </is>
      </c>
      <c r="E132" s="9" t="inlineStr">
        <is>
          <t>空</t>
        </is>
      </c>
      <c r="F132" s="2" t="inlineStr">
        <is>
          <t>★★★</t>
        </is>
      </c>
      <c r="G132" s="10" t="n">
        <v>5</v>
      </c>
      <c r="H132" s="11" t="n">
        <v>1720</v>
      </c>
      <c r="I132" s="11" t="n">
        <v>1687</v>
      </c>
      <c r="J132" s="10" t="n">
        <v>20</v>
      </c>
      <c r="K132" s="10" t="n">
        <v>10000</v>
      </c>
      <c r="L132" s="23">
        <f>IF(E132="多",1,-1)*(I132-H132)*G132*J132</f>
        <v/>
      </c>
      <c r="M132" s="24">
        <f>L132/K132</f>
        <v/>
      </c>
      <c r="N132" s="2" t="inlineStr">
        <is>
          <t>大将军转向</t>
        </is>
      </c>
      <c r="O132" s="2" t="inlineStr">
        <is>
          <t>否</t>
        </is>
      </c>
    </row>
    <row r="133">
      <c r="A133" s="14" t="inlineStr">
        <is>
          <t>2026-07-14</t>
        </is>
      </c>
      <c r="B133" s="14" t="inlineStr">
        <is>
          <t>2026-07-16</t>
        </is>
      </c>
      <c r="C133" s="14" t="inlineStr">
        <is>
          <t>塑料</t>
        </is>
      </c>
      <c r="D133" s="14" t="inlineStr">
        <is>
          <t>L</t>
        </is>
      </c>
      <c r="E133" s="14" t="inlineStr">
        <is>
          <t>多</t>
        </is>
      </c>
      <c r="F133" s="14" t="inlineStr">
        <is>
          <t>★★</t>
        </is>
      </c>
      <c r="G133" s="14" t="n">
        <v>3</v>
      </c>
      <c r="H133" s="15" t="n">
        <v>7758</v>
      </c>
      <c r="I133" s="15" t="n">
        <v>7697</v>
      </c>
      <c r="J133" s="14" t="n">
        <v>5</v>
      </c>
      <c r="K133" s="14" t="n">
        <v>10000</v>
      </c>
      <c r="L133" s="25">
        <f>IF(E133="多",1,-1)*(I133-H133)*G133*J133</f>
        <v/>
      </c>
      <c r="M133" s="26">
        <f>L133/K133</f>
        <v/>
      </c>
      <c r="N133" s="14" t="inlineStr">
        <is>
          <t>大将军转向</t>
        </is>
      </c>
      <c r="O133" s="14" t="inlineStr">
        <is>
          <t>是</t>
        </is>
      </c>
    </row>
    <row r="134">
      <c r="A134" s="2" t="inlineStr">
        <is>
          <t>2026-07-07</t>
        </is>
      </c>
      <c r="B134" s="2" t="inlineStr">
        <is>
          <t>2026-07-16</t>
        </is>
      </c>
      <c r="C134" s="2" t="inlineStr">
        <is>
          <t>烧碱</t>
        </is>
      </c>
      <c r="D134" s="2" t="inlineStr">
        <is>
          <t>SH</t>
        </is>
      </c>
      <c r="E134" s="9" t="inlineStr">
        <is>
          <t>空</t>
        </is>
      </c>
      <c r="F134" s="2" t="inlineStr">
        <is>
          <t>★★★</t>
        </is>
      </c>
      <c r="G134" s="10" t="n">
        <v>5</v>
      </c>
      <c r="H134" s="11" t="n">
        <v>1890</v>
      </c>
      <c r="I134" s="11" t="n">
        <v>1906</v>
      </c>
      <c r="J134" s="10" t="n">
        <v>30</v>
      </c>
      <c r="K134" s="10" t="n">
        <v>20000</v>
      </c>
      <c r="L134" s="23">
        <f>IF(E134="多",1,-1)*(I134-H134)*G134*J134</f>
        <v/>
      </c>
      <c r="M134" s="24">
        <f>L134/K134</f>
        <v/>
      </c>
      <c r="N134" s="2" t="inlineStr">
        <is>
          <t>将军撤退</t>
        </is>
      </c>
      <c r="O134" s="2" t="inlineStr">
        <is>
          <t>否</t>
        </is>
      </c>
    </row>
    <row r="135">
      <c r="A135" s="14" t="inlineStr">
        <is>
          <t>2026-07-14</t>
        </is>
      </c>
      <c r="B135" s="14" t="inlineStr">
        <is>
          <t>2026-07-15</t>
        </is>
      </c>
      <c r="C135" s="14" t="inlineStr">
        <is>
          <t>乙二醇</t>
        </is>
      </c>
      <c r="D135" s="14" t="inlineStr">
        <is>
          <t>EG</t>
        </is>
      </c>
      <c r="E135" s="14" t="inlineStr">
        <is>
          <t>多</t>
        </is>
      </c>
      <c r="F135" s="14" t="inlineStr">
        <is>
          <t>★★</t>
        </is>
      </c>
      <c r="G135" s="14" t="n">
        <v>2</v>
      </c>
      <c r="H135" s="15" t="n">
        <v>4562</v>
      </c>
      <c r="I135" s="15" t="n">
        <v>4650</v>
      </c>
      <c r="J135" s="14" t="n">
        <v>10</v>
      </c>
      <c r="K135" s="14" t="n">
        <v>10000</v>
      </c>
      <c r="L135" s="25">
        <f>IF(E135="多",1,-1)*(I135-H135)*G135*J135</f>
        <v/>
      </c>
      <c r="M135" s="26">
        <f>L135/K135</f>
        <v/>
      </c>
      <c r="N135" s="14" t="inlineStr">
        <is>
          <t>大将军转向</t>
        </is>
      </c>
      <c r="O135" s="14" t="inlineStr">
        <is>
          <t>是</t>
        </is>
      </c>
    </row>
    <row r="136">
      <c r="A136" s="2" t="inlineStr">
        <is>
          <t>2026-07-13</t>
        </is>
      </c>
      <c r="B136" s="2" t="inlineStr">
        <is>
          <t>2026-07-15</t>
        </is>
      </c>
      <c r="C136" s="2" t="inlineStr">
        <is>
          <t>螺纹钢</t>
        </is>
      </c>
      <c r="D136" s="2" t="inlineStr">
        <is>
          <t>RB</t>
        </is>
      </c>
      <c r="E136" s="9" t="inlineStr">
        <is>
          <t>空</t>
        </is>
      </c>
      <c r="F136" s="2" t="inlineStr">
        <is>
          <t>★★★</t>
        </is>
      </c>
      <c r="G136" s="10" t="n">
        <v>42</v>
      </c>
      <c r="H136" s="11" t="n">
        <v>3054</v>
      </c>
      <c r="I136" s="11" t="n">
        <v>3115</v>
      </c>
      <c r="J136" s="10" t="n">
        <v>10</v>
      </c>
      <c r="K136" s="10" t="n">
        <v>30000</v>
      </c>
      <c r="L136" s="23">
        <f>IF(E136="多",1,-1)*(I136-H136)*G136*J136</f>
        <v/>
      </c>
      <c r="M136" s="24">
        <f>L136/K136</f>
        <v/>
      </c>
      <c r="N136" s="2" t="inlineStr">
        <is>
          <t>反向信号</t>
        </is>
      </c>
      <c r="O136" s="2" t="inlineStr">
        <is>
          <t>否</t>
        </is>
      </c>
    </row>
    <row r="137">
      <c r="A137" s="2" t="inlineStr">
        <is>
          <t>2026-06-24</t>
        </is>
      </c>
      <c r="B137" s="2" t="inlineStr">
        <is>
          <t>2026-07-09</t>
        </is>
      </c>
      <c r="C137" s="2" t="inlineStr">
        <is>
          <t>沪镍</t>
        </is>
      </c>
      <c r="D137" s="2" t="inlineStr">
        <is>
          <t>NI</t>
        </is>
      </c>
      <c r="E137" s="9" t="inlineStr">
        <is>
          <t>空</t>
        </is>
      </c>
      <c r="F137" s="2" t="inlineStr">
        <is>
          <t>★★★</t>
        </is>
      </c>
      <c r="G137" s="10" t="n">
        <v>3</v>
      </c>
      <c r="H137" s="11" t="n">
        <v>129750</v>
      </c>
      <c r="I137" s="11" t="n">
        <v>127980</v>
      </c>
      <c r="J137" s="10" t="n">
        <v>1</v>
      </c>
      <c r="K137" s="10" t="n">
        <v>30000</v>
      </c>
      <c r="L137" s="23">
        <f>IF(E137="多",1,-1)*(I137-H137)*G137*J137</f>
        <v/>
      </c>
      <c r="M137" s="24">
        <f>L137/K137</f>
        <v/>
      </c>
      <c r="N137" s="2" t="inlineStr">
        <is>
          <t>将军撤退</t>
        </is>
      </c>
      <c r="O137" s="2" t="inlineStr">
        <is>
          <t>否</t>
        </is>
      </c>
    </row>
    <row r="138">
      <c r="A138" s="2" t="inlineStr">
        <is>
          <t>2026-07-07</t>
        </is>
      </c>
      <c r="B138" s="2" t="inlineStr">
        <is>
          <t>2026-07-08</t>
        </is>
      </c>
      <c r="C138" s="2" t="inlineStr">
        <is>
          <t>菜粕</t>
        </is>
      </c>
      <c r="D138" s="2" t="inlineStr">
        <is>
          <t>RM</t>
        </is>
      </c>
      <c r="E138" s="19" t="inlineStr">
        <is>
          <t>多</t>
        </is>
      </c>
      <c r="F138" s="2" t="inlineStr">
        <is>
          <t>★★★</t>
        </is>
      </c>
      <c r="G138" s="10" t="n">
        <v>8</v>
      </c>
      <c r="H138" s="11" t="n">
        <v>2322</v>
      </c>
      <c r="I138" s="11" t="n">
        <v>2305</v>
      </c>
      <c r="J138" s="10" t="n">
        <v>10</v>
      </c>
      <c r="K138" s="10" t="n">
        <v>10000</v>
      </c>
      <c r="L138" s="23">
        <f>IF(E138="多",1,-1)*(I138-H138)*G138*J138</f>
        <v/>
      </c>
      <c r="M138" s="24">
        <f>L138/K138</f>
        <v/>
      </c>
      <c r="N138" s="2" t="inlineStr">
        <is>
          <t>大将军转向</t>
        </is>
      </c>
      <c r="O138" s="2" t="inlineStr">
        <is>
          <t>否</t>
        </is>
      </c>
    </row>
    <row r="139">
      <c r="A139" s="14" t="inlineStr">
        <is>
          <t>2026-07-03</t>
        </is>
      </c>
      <c r="B139" s="14" t="inlineStr">
        <is>
          <t>2026-07-08</t>
        </is>
      </c>
      <c r="C139" s="14" t="inlineStr">
        <is>
          <t>工业硅</t>
        </is>
      </c>
      <c r="D139" s="14" t="inlineStr">
        <is>
          <t>SI</t>
        </is>
      </c>
      <c r="E139" s="14" t="inlineStr">
        <is>
          <t>空</t>
        </is>
      </c>
      <c r="F139" s="14" t="inlineStr">
        <is>
          <t>★★★</t>
        </is>
      </c>
      <c r="G139" s="14" t="n">
        <v>6</v>
      </c>
      <c r="H139" s="15" t="n">
        <v>8365</v>
      </c>
      <c r="I139" s="15" t="n">
        <v>8170</v>
      </c>
      <c r="J139" s="14" t="n">
        <v>5</v>
      </c>
      <c r="K139" s="14" t="n">
        <v>10000</v>
      </c>
      <c r="L139" s="25">
        <f>IF(E139="多",1,-1)*(I139-H139)*G139*J139</f>
        <v/>
      </c>
      <c r="M139" s="26">
        <f>L139/K139</f>
        <v/>
      </c>
      <c r="N139" s="14" t="inlineStr">
        <is>
          <t>将军撤退</t>
        </is>
      </c>
      <c r="O139" s="14" t="inlineStr">
        <is>
          <t>是</t>
        </is>
      </c>
    </row>
    <row r="140">
      <c r="A140" s="14" t="inlineStr">
        <is>
          <t>2026-07-03</t>
        </is>
      </c>
      <c r="B140" s="14" t="inlineStr">
        <is>
          <t>2026-07-08</t>
        </is>
      </c>
      <c r="C140" s="14" t="inlineStr">
        <is>
          <t>鸡蛋</t>
        </is>
      </c>
      <c r="D140" s="14" t="inlineStr">
        <is>
          <t>JD</t>
        </is>
      </c>
      <c r="E140" s="14" t="inlineStr">
        <is>
          <t>多</t>
        </is>
      </c>
      <c r="F140" s="14" t="inlineStr">
        <is>
          <t>★★</t>
        </is>
      </c>
      <c r="G140" s="14" t="n">
        <v>3</v>
      </c>
      <c r="H140" s="15" t="n">
        <v>4615</v>
      </c>
      <c r="I140" s="15" t="n">
        <v>4714</v>
      </c>
      <c r="J140" s="14" t="n">
        <v>10</v>
      </c>
      <c r="K140" s="14" t="n">
        <v>10000</v>
      </c>
      <c r="L140" s="25">
        <f>IF(E140="多",1,-1)*(I140-H140)*G140*J140</f>
        <v/>
      </c>
      <c r="M140" s="26">
        <f>L140/K140</f>
        <v/>
      </c>
      <c r="N140" s="14" t="inlineStr">
        <is>
          <t>将军撤退+大将军转向</t>
        </is>
      </c>
      <c r="O140" s="14" t="inlineStr">
        <is>
          <t>是</t>
        </is>
      </c>
    </row>
    <row r="141">
      <c r="A141" s="2" t="inlineStr">
        <is>
          <t>2026-07-01</t>
        </is>
      </c>
      <c r="B141" s="2" t="inlineStr">
        <is>
          <t>2026-07-08</t>
        </is>
      </c>
      <c r="C141" s="2" t="inlineStr">
        <is>
          <t>玻璃</t>
        </is>
      </c>
      <c r="D141" s="2" t="inlineStr">
        <is>
          <t>FG</t>
        </is>
      </c>
      <c r="E141" s="9" t="inlineStr">
        <is>
          <t>空</t>
        </is>
      </c>
      <c r="F141" s="2" t="inlineStr">
        <is>
          <t>★★★</t>
        </is>
      </c>
      <c r="G141" s="10" t="n">
        <v>28</v>
      </c>
      <c r="H141" s="11" t="n">
        <v>960</v>
      </c>
      <c r="I141" s="11" t="n">
        <v>962</v>
      </c>
      <c r="J141" s="10" t="n">
        <v>20</v>
      </c>
      <c r="K141" s="10" t="n">
        <v>30000</v>
      </c>
      <c r="L141" s="23">
        <f>IF(E141="多",1,-1)*(I141-H141)*G141*J141</f>
        <v/>
      </c>
      <c r="M141" s="24">
        <f>L141/K141</f>
        <v/>
      </c>
      <c r="N141" s="2" t="inlineStr">
        <is>
          <t>大将军转向</t>
        </is>
      </c>
      <c r="O141" s="2" t="inlineStr">
        <is>
          <t>否</t>
        </is>
      </c>
    </row>
    <row r="142">
      <c r="A142" s="2" t="inlineStr">
        <is>
          <t>2026-07-01</t>
        </is>
      </c>
      <c r="B142" s="2" t="inlineStr">
        <is>
          <t>2026-07-07</t>
        </is>
      </c>
      <c r="C142" s="2" t="inlineStr">
        <is>
          <t>锰硅</t>
        </is>
      </c>
      <c r="D142" s="2" t="inlineStr">
        <is>
          <t>SM</t>
        </is>
      </c>
      <c r="E142" s="9" t="inlineStr">
        <is>
          <t>空</t>
        </is>
      </c>
      <c r="F142" s="2" t="inlineStr">
        <is>
          <t>★★★</t>
        </is>
      </c>
      <c r="G142" s="10" t="n">
        <v>35</v>
      </c>
      <c r="H142" s="11" t="n">
        <v>5756</v>
      </c>
      <c r="I142" s="11" t="n">
        <v>5894.71</v>
      </c>
      <c r="J142" s="10" t="n">
        <v>5</v>
      </c>
      <c r="K142" s="10" t="n">
        <v>30000</v>
      </c>
      <c r="L142" s="23">
        <f>IF(E142="多",1,-1)*(I142-H142)*G142*J142</f>
        <v/>
      </c>
      <c r="M142" s="24">
        <f>L142/K142</f>
        <v/>
      </c>
      <c r="N142" s="2" t="inlineStr">
        <is>
          <t>止损</t>
        </is>
      </c>
      <c r="O142" s="2" t="inlineStr">
        <is>
          <t>否</t>
        </is>
      </c>
    </row>
    <row r="143">
      <c r="A143" s="14" t="inlineStr">
        <is>
          <t>2026-06-09</t>
        </is>
      </c>
      <c r="B143" s="14" t="inlineStr">
        <is>
          <t>2026-07-06</t>
        </is>
      </c>
      <c r="C143" s="14" t="inlineStr">
        <is>
          <t>白糖</t>
        </is>
      </c>
      <c r="D143" s="14" t="inlineStr">
        <is>
          <t>SR</t>
        </is>
      </c>
      <c r="E143" s="14" t="inlineStr">
        <is>
          <t>空</t>
        </is>
      </c>
      <c r="F143" s="14" t="inlineStr">
        <is>
          <t>★★★</t>
        </is>
      </c>
      <c r="G143" s="14" t="n">
        <v>7</v>
      </c>
      <c r="H143" s="15" t="n">
        <v>5309</v>
      </c>
      <c r="I143" s="15" t="n">
        <v>5327.86</v>
      </c>
      <c r="J143" s="14" t="n">
        <v>10</v>
      </c>
      <c r="K143" s="14" t="n">
        <v>10000</v>
      </c>
      <c r="L143" s="25">
        <f>IF(E143="多",1,-1)*(I143-H143)*G143*J143</f>
        <v/>
      </c>
      <c r="M143" s="26">
        <f>L143/K143</f>
        <v/>
      </c>
      <c r="N143" s="14" t="inlineStr">
        <is>
          <t>止损</t>
        </is>
      </c>
      <c r="O143" s="14" t="inlineStr">
        <is>
          <t>是</t>
        </is>
      </c>
    </row>
    <row r="144">
      <c r="A144" s="14" t="inlineStr">
        <is>
          <t>2026-06-05</t>
        </is>
      </c>
      <c r="B144" s="14" t="inlineStr">
        <is>
          <t>2026-07-06</t>
        </is>
      </c>
      <c r="C144" s="14" t="inlineStr">
        <is>
          <t>豆油</t>
        </is>
      </c>
      <c r="D144" s="14" t="inlineStr">
        <is>
          <t>Y</t>
        </is>
      </c>
      <c r="E144" s="14" t="inlineStr">
        <is>
          <t>空</t>
        </is>
      </c>
      <c r="F144" s="14" t="inlineStr">
        <is>
          <t>★★</t>
        </is>
      </c>
      <c r="G144" s="14" t="n">
        <v>3</v>
      </c>
      <c r="H144" s="15" t="n">
        <v>8440</v>
      </c>
      <c r="I144" s="15" t="n">
        <v>8501.860000000001</v>
      </c>
      <c r="J144" s="14" t="n">
        <v>10</v>
      </c>
      <c r="K144" s="14" t="n">
        <v>10000</v>
      </c>
      <c r="L144" s="25">
        <f>IF(E144="多",1,-1)*(I144-H144)*G144*J144</f>
        <v/>
      </c>
      <c r="M144" s="26">
        <f>L144/K144</f>
        <v/>
      </c>
      <c r="N144" s="14" t="inlineStr">
        <is>
          <t>止损</t>
        </is>
      </c>
      <c r="O144" s="14" t="inlineStr">
        <is>
          <t>是</t>
        </is>
      </c>
    </row>
    <row r="145">
      <c r="A145" s="2" t="inlineStr">
        <is>
          <t>2026-07-01</t>
        </is>
      </c>
      <c r="B145" s="2" t="inlineStr">
        <is>
          <t>2026-07-03</t>
        </is>
      </c>
      <c r="C145" s="2" t="inlineStr">
        <is>
          <t>PVC</t>
        </is>
      </c>
      <c r="D145" s="2" t="inlineStr">
        <is>
          <t>V</t>
        </is>
      </c>
      <c r="E145" s="9" t="inlineStr">
        <is>
          <t>空</t>
        </is>
      </c>
      <c r="F145" s="2" t="inlineStr">
        <is>
          <t>★★★</t>
        </is>
      </c>
      <c r="G145" s="10" t="n">
        <v>7</v>
      </c>
      <c r="H145" s="11" t="n">
        <v>4398</v>
      </c>
      <c r="I145" s="11" t="n">
        <v>4453</v>
      </c>
      <c r="J145" s="10" t="n">
        <v>5</v>
      </c>
      <c r="K145" s="10" t="n">
        <v>10000</v>
      </c>
      <c r="L145" s="23">
        <f>IF(E145="多",1,-1)*(I145-H145)*G145*J145</f>
        <v/>
      </c>
      <c r="M145" s="24">
        <f>L145/K145</f>
        <v/>
      </c>
      <c r="N145" s="2" t="inlineStr">
        <is>
          <t>将军撤退</t>
        </is>
      </c>
      <c r="O145" s="2" t="inlineStr">
        <is>
          <t>否</t>
        </is>
      </c>
    </row>
    <row r="146">
      <c r="A146" s="14" t="inlineStr">
        <is>
          <t>2026-06-29</t>
        </is>
      </c>
      <c r="B146" s="14" t="inlineStr">
        <is>
          <t>2026-07-01</t>
        </is>
      </c>
      <c r="C146" s="14" t="inlineStr">
        <is>
          <t>工业硅</t>
        </is>
      </c>
      <c r="D146" s="14" t="inlineStr">
        <is>
          <t>SI</t>
        </is>
      </c>
      <c r="E146" s="14" t="inlineStr">
        <is>
          <t>空</t>
        </is>
      </c>
      <c r="F146" s="14" t="inlineStr">
        <is>
          <t>★★★</t>
        </is>
      </c>
      <c r="G146" s="14" t="n">
        <v>5</v>
      </c>
      <c r="H146" s="15" t="n">
        <v>8410</v>
      </c>
      <c r="I146" s="15" t="n">
        <v>8375</v>
      </c>
      <c r="J146" s="14" t="n">
        <v>5</v>
      </c>
      <c r="K146" s="14" t="n">
        <v>10000</v>
      </c>
      <c r="L146" s="25">
        <f>IF(E146="多",1,-1)*(I146-H146)*G146*J146</f>
        <v/>
      </c>
      <c r="M146" s="26">
        <f>L146/K146</f>
        <v/>
      </c>
      <c r="N146" s="14" t="inlineStr">
        <is>
          <t>将军撤退</t>
        </is>
      </c>
      <c r="O146" s="14" t="inlineStr">
        <is>
          <t>是</t>
        </is>
      </c>
    </row>
    <row r="147">
      <c r="A147" s="2" t="inlineStr">
        <is>
          <t>2026-06-23</t>
        </is>
      </c>
      <c r="B147" s="2" t="inlineStr">
        <is>
          <t>2026-07-01</t>
        </is>
      </c>
      <c r="C147" s="2" t="inlineStr">
        <is>
          <t>尿素</t>
        </is>
      </c>
      <c r="D147" s="2" t="inlineStr">
        <is>
          <t>UR</t>
        </is>
      </c>
      <c r="E147" s="9" t="inlineStr">
        <is>
          <t>空</t>
        </is>
      </c>
      <c r="F147" s="2" t="inlineStr">
        <is>
          <t>★★★</t>
        </is>
      </c>
      <c r="G147" s="10" t="n">
        <v>11</v>
      </c>
      <c r="H147" s="11" t="n">
        <v>1778</v>
      </c>
      <c r="I147" s="11" t="n">
        <v>1723</v>
      </c>
      <c r="J147" s="10" t="n">
        <v>20</v>
      </c>
      <c r="K147" s="10" t="n">
        <v>30000</v>
      </c>
      <c r="L147" s="23">
        <f>IF(E147="多",1,-1)*(I147-H147)*G147*J147</f>
        <v/>
      </c>
      <c r="M147" s="24">
        <f>L147/K147</f>
        <v/>
      </c>
      <c r="N147" s="2" t="inlineStr">
        <is>
          <t>将军撤退+大将军转向</t>
        </is>
      </c>
      <c r="O147" s="2" t="inlineStr">
        <is>
          <t>否</t>
        </is>
      </c>
    </row>
    <row r="148">
      <c r="A148" s="2" t="inlineStr">
        <is>
          <t>2026-06-25</t>
        </is>
      </c>
      <c r="B148" s="2" t="inlineStr">
        <is>
          <t>2026-06-30</t>
        </is>
      </c>
      <c r="C148" s="2" t="inlineStr">
        <is>
          <t>PVC</t>
        </is>
      </c>
      <c r="D148" s="2" t="inlineStr">
        <is>
          <t>V</t>
        </is>
      </c>
      <c r="E148" s="9" t="inlineStr">
        <is>
          <t>空</t>
        </is>
      </c>
      <c r="F148" s="2" t="inlineStr">
        <is>
          <t>★★★</t>
        </is>
      </c>
      <c r="G148" s="10" t="n">
        <v>7</v>
      </c>
      <c r="H148" s="11" t="n">
        <v>4460</v>
      </c>
      <c r="I148" s="11" t="n">
        <v>4456</v>
      </c>
      <c r="J148" s="10" t="n">
        <v>5</v>
      </c>
      <c r="K148" s="10" t="n">
        <v>10000</v>
      </c>
      <c r="L148" s="23">
        <f>IF(E148="多",1,-1)*(I148-H148)*G148*J148</f>
        <v/>
      </c>
      <c r="M148" s="24">
        <f>L148/K148</f>
        <v/>
      </c>
      <c r="N148" s="2" t="inlineStr">
        <is>
          <t>将军撤退</t>
        </is>
      </c>
      <c r="O148" s="2" t="inlineStr">
        <is>
          <t>否</t>
        </is>
      </c>
    </row>
    <row r="149">
      <c r="A149" s="2" t="inlineStr">
        <is>
          <t>2026-06-24</t>
        </is>
      </c>
      <c r="B149" s="2" t="inlineStr">
        <is>
          <t>2026-06-29</t>
        </is>
      </c>
      <c r="C149" s="2" t="inlineStr">
        <is>
          <t>纯碱</t>
        </is>
      </c>
      <c r="D149" s="2" t="inlineStr">
        <is>
          <t>SA</t>
        </is>
      </c>
      <c r="E149" s="9" t="inlineStr">
        <is>
          <t>空</t>
        </is>
      </c>
      <c r="F149" s="2" t="inlineStr">
        <is>
          <t>★★★</t>
        </is>
      </c>
      <c r="G149" s="10" t="n">
        <v>28</v>
      </c>
      <c r="H149" s="11" t="n">
        <v>1118</v>
      </c>
      <c r="I149" s="11" t="n">
        <v>1103</v>
      </c>
      <c r="J149" s="10" t="n">
        <v>20</v>
      </c>
      <c r="K149" s="10" t="n">
        <v>30000</v>
      </c>
      <c r="L149" s="23">
        <f>IF(E149="多",1,-1)*(I149-H149)*G149*J149</f>
        <v/>
      </c>
      <c r="M149" s="24">
        <f>L149/K149</f>
        <v/>
      </c>
      <c r="N149" s="2" t="inlineStr">
        <is>
          <t>大将军转向</t>
        </is>
      </c>
      <c r="O149" s="2" t="inlineStr">
        <is>
          <t>否</t>
        </is>
      </c>
    </row>
    <row r="150">
      <c r="A150" s="14" t="inlineStr">
        <is>
          <t>2026-06-16</t>
        </is>
      </c>
      <c r="B150" s="14" t="inlineStr">
        <is>
          <t>2026-06-29</t>
        </is>
      </c>
      <c r="C150" s="14" t="inlineStr">
        <is>
          <t>苯乙烯</t>
        </is>
      </c>
      <c r="D150" s="14" t="inlineStr">
        <is>
          <t>EB</t>
        </is>
      </c>
      <c r="E150" s="14" t="inlineStr">
        <is>
          <t>空</t>
        </is>
      </c>
      <c r="F150" s="14" t="inlineStr">
        <is>
          <t>★★</t>
        </is>
      </c>
      <c r="G150" s="14" t="n">
        <v>2</v>
      </c>
      <c r="H150" s="15" t="n">
        <v>7751</v>
      </c>
      <c r="I150" s="15" t="n">
        <v>7249</v>
      </c>
      <c r="J150" s="14" t="n">
        <v>5</v>
      </c>
      <c r="K150" s="14" t="n">
        <v>10000</v>
      </c>
      <c r="L150" s="25">
        <f>IF(E150="多",1,-1)*(I150-H150)*G150*J150</f>
        <v/>
      </c>
      <c r="M150" s="26">
        <f>L150/K150</f>
        <v/>
      </c>
      <c r="N150" s="14" t="inlineStr">
        <is>
          <t>将军撤退</t>
        </is>
      </c>
      <c r="O150" s="14" t="inlineStr">
        <is>
          <t>是</t>
        </is>
      </c>
    </row>
    <row r="151">
      <c r="A151" s="14" t="inlineStr">
        <is>
          <t>2026-06-04</t>
        </is>
      </c>
      <c r="B151" s="14" t="inlineStr">
        <is>
          <t>2026-06-26</t>
        </is>
      </c>
      <c r="C151" s="14" t="inlineStr">
        <is>
          <t>豆粕</t>
        </is>
      </c>
      <c r="D151" s="14" t="inlineStr">
        <is>
          <t>M</t>
        </is>
      </c>
      <c r="E151" s="14" t="inlineStr">
        <is>
          <t>空</t>
        </is>
      </c>
      <c r="F151" s="14" t="inlineStr">
        <is>
          <t>★★★</t>
        </is>
      </c>
      <c r="G151" s="14" t="n">
        <v>10</v>
      </c>
      <c r="H151" s="15" t="n">
        <v>2943</v>
      </c>
      <c r="I151" s="15" t="n">
        <v>2969.29</v>
      </c>
      <c r="J151" s="14" t="n">
        <v>10</v>
      </c>
      <c r="K151" s="14" t="n">
        <v>10000</v>
      </c>
      <c r="L151" s="25">
        <f>IF(E151="多",1,-1)*(I151-H151)*G151*J151</f>
        <v/>
      </c>
      <c r="M151" s="26">
        <f>L151/K151</f>
        <v/>
      </c>
      <c r="N151" s="14" t="inlineStr">
        <is>
          <t>止损</t>
        </is>
      </c>
      <c r="O151" s="14" t="inlineStr">
        <is>
          <t>是</t>
        </is>
      </c>
    </row>
    <row r="152">
      <c r="A152" s="14" t="inlineStr">
        <is>
          <t>2026-06-11</t>
        </is>
      </c>
      <c r="B152" s="14" t="inlineStr">
        <is>
          <t>2026-06-25</t>
        </is>
      </c>
      <c r="C152" s="14" t="inlineStr">
        <is>
          <t>玉米</t>
        </is>
      </c>
      <c r="D152" s="14" t="inlineStr">
        <is>
          <t>C</t>
        </is>
      </c>
      <c r="E152" s="14" t="inlineStr">
        <is>
          <t>多</t>
        </is>
      </c>
      <c r="F152" s="14" t="inlineStr">
        <is>
          <t>★★</t>
        </is>
      </c>
      <c r="G152" s="14" t="n">
        <v>17</v>
      </c>
      <c r="H152" s="15" t="n">
        <v>2346</v>
      </c>
      <c r="I152" s="15" t="n">
        <v>2297.93</v>
      </c>
      <c r="J152" s="14" t="n">
        <v>10</v>
      </c>
      <c r="K152" s="14" t="n">
        <v>10000</v>
      </c>
      <c r="L152" s="25">
        <f>IF(E152="多",1,-1)*(I152-H152)*G152*J152</f>
        <v/>
      </c>
      <c r="M152" s="26">
        <f>L152/K152</f>
        <v/>
      </c>
      <c r="N152" s="14" t="inlineStr">
        <is>
          <t>止损</t>
        </is>
      </c>
      <c r="O152" s="14" t="inlineStr">
        <is>
          <t>是</t>
        </is>
      </c>
    </row>
    <row r="153">
      <c r="A153" s="2" t="inlineStr">
        <is>
          <t>2026-06-23</t>
        </is>
      </c>
      <c r="B153" s="2" t="inlineStr">
        <is>
          <t>2026-06-24</t>
        </is>
      </c>
      <c r="C153" s="2" t="inlineStr">
        <is>
          <t>沥青</t>
        </is>
      </c>
      <c r="D153" s="2" t="inlineStr">
        <is>
          <t>BU</t>
        </is>
      </c>
      <c r="E153" s="9" t="inlineStr">
        <is>
          <t>空</t>
        </is>
      </c>
      <c r="F153" s="2" t="inlineStr">
        <is>
          <t>★★★</t>
        </is>
      </c>
      <c r="G153" s="10" t="n">
        <v>6</v>
      </c>
      <c r="H153" s="11" t="n">
        <v>3792</v>
      </c>
      <c r="I153" s="11" t="n">
        <v>3819</v>
      </c>
      <c r="J153" s="10" t="n">
        <v>10</v>
      </c>
      <c r="K153" s="10" t="n">
        <v>30000</v>
      </c>
      <c r="L153" s="23">
        <f>IF(E153="多",1,-1)*(I153-H153)*G153*J153</f>
        <v/>
      </c>
      <c r="M153" s="24">
        <f>L153/K153</f>
        <v/>
      </c>
      <c r="N153" s="2" t="inlineStr">
        <is>
          <t>将军撤退</t>
        </is>
      </c>
      <c r="O153" s="2" t="inlineStr">
        <is>
          <t>否</t>
        </is>
      </c>
    </row>
    <row r="154">
      <c r="A154" s="2" t="inlineStr">
        <is>
          <t>2026-06-22</t>
        </is>
      </c>
      <c r="B154" s="2" t="inlineStr">
        <is>
          <t>2026-06-24</t>
        </is>
      </c>
      <c r="C154" s="2" t="inlineStr">
        <is>
          <t>玻璃</t>
        </is>
      </c>
      <c r="D154" s="2" t="inlineStr">
        <is>
          <t>FG</t>
        </is>
      </c>
      <c r="E154" s="9" t="inlineStr">
        <is>
          <t>空</t>
        </is>
      </c>
      <c r="F154" s="2" t="inlineStr">
        <is>
          <t>★★★</t>
        </is>
      </c>
      <c r="G154" s="10" t="n">
        <v>26</v>
      </c>
      <c r="H154" s="11" t="n">
        <v>975</v>
      </c>
      <c r="I154" s="11" t="n">
        <v>973</v>
      </c>
      <c r="J154" s="10" t="n">
        <v>20</v>
      </c>
      <c r="K154" s="10" t="n">
        <v>30000</v>
      </c>
      <c r="L154" s="23">
        <f>IF(E154="多",1,-1)*(I154-H154)*G154*J154</f>
        <v/>
      </c>
      <c r="M154" s="24">
        <f>L154/K154</f>
        <v/>
      </c>
      <c r="N154" s="2" t="inlineStr">
        <is>
          <t>将军撤退</t>
        </is>
      </c>
      <c r="O154" s="2" t="inlineStr">
        <is>
          <t>否</t>
        </is>
      </c>
    </row>
    <row r="155">
      <c r="A155" s="14" t="inlineStr">
        <is>
          <t>2026-06-11</t>
        </is>
      </c>
      <c r="B155" s="14" t="inlineStr">
        <is>
          <t>2026-06-24</t>
        </is>
      </c>
      <c r="C155" s="14" t="inlineStr">
        <is>
          <t>PVC</t>
        </is>
      </c>
      <c r="D155" s="14" t="inlineStr">
        <is>
          <t>V</t>
        </is>
      </c>
      <c r="E155" s="14" t="inlineStr">
        <is>
          <t>空</t>
        </is>
      </c>
      <c r="F155" s="14" t="inlineStr">
        <is>
          <t>★★★</t>
        </is>
      </c>
      <c r="G155" s="14" t="n">
        <v>7</v>
      </c>
      <c r="H155" s="15" t="n">
        <v>4706</v>
      </c>
      <c r="I155" s="15" t="n">
        <v>4490</v>
      </c>
      <c r="J155" s="14" t="n">
        <v>5</v>
      </c>
      <c r="K155" s="14" t="n">
        <v>10000</v>
      </c>
      <c r="L155" s="25">
        <f>IF(E155="多",1,-1)*(I155-H155)*G155*J155</f>
        <v/>
      </c>
      <c r="M155" s="26">
        <f>L155/K155</f>
        <v/>
      </c>
      <c r="N155" s="14" t="inlineStr">
        <is>
          <t>将军撤退</t>
        </is>
      </c>
      <c r="O155" s="14" t="inlineStr">
        <is>
          <t>是</t>
        </is>
      </c>
    </row>
    <row r="156">
      <c r="A156" s="14" t="inlineStr">
        <is>
          <t>2026-06-15</t>
        </is>
      </c>
      <c r="B156" s="14" t="inlineStr">
        <is>
          <t>2026-06-23</t>
        </is>
      </c>
      <c r="C156" s="14" t="inlineStr">
        <is>
          <t>菜油</t>
        </is>
      </c>
      <c r="D156" s="14" t="inlineStr">
        <is>
          <t>OI</t>
        </is>
      </c>
      <c r="E156" s="14" t="inlineStr">
        <is>
          <t>空</t>
        </is>
      </c>
      <c r="F156" s="14" t="inlineStr">
        <is>
          <t>★★</t>
        </is>
      </c>
      <c r="G156" s="14" t="n">
        <v>1</v>
      </c>
      <c r="H156" s="15" t="n">
        <v>9802</v>
      </c>
      <c r="I156" s="15" t="n">
        <v>9659</v>
      </c>
      <c r="J156" s="14" t="n">
        <v>10</v>
      </c>
      <c r="K156" s="14" t="n">
        <v>10000</v>
      </c>
      <c r="L156" s="25">
        <f>IF(E156="多",1,-1)*(I156-H156)*G156*J156</f>
        <v/>
      </c>
      <c r="M156" s="26">
        <f>L156/K156</f>
        <v/>
      </c>
      <c r="N156" s="14" t="inlineStr">
        <is>
          <t>大将军转向</t>
        </is>
      </c>
      <c r="O156" s="14" t="inlineStr">
        <is>
          <t>是</t>
        </is>
      </c>
    </row>
    <row r="157">
      <c r="A157" s="14" t="inlineStr">
        <is>
          <t>2026-06-15</t>
        </is>
      </c>
      <c r="B157" s="14" t="inlineStr">
        <is>
          <t>2026-06-23</t>
        </is>
      </c>
      <c r="C157" s="14" t="inlineStr">
        <is>
          <t>塑料</t>
        </is>
      </c>
      <c r="D157" s="14" t="inlineStr">
        <is>
          <t>L</t>
        </is>
      </c>
      <c r="E157" s="14" t="inlineStr">
        <is>
          <t>空</t>
        </is>
      </c>
      <c r="F157" s="14" t="inlineStr">
        <is>
          <t>★★</t>
        </is>
      </c>
      <c r="G157" s="14" t="n">
        <v>3</v>
      </c>
      <c r="H157" s="15" t="n">
        <v>7646</v>
      </c>
      <c r="I157" s="15" t="n">
        <v>7051</v>
      </c>
      <c r="J157" s="14" t="n">
        <v>5</v>
      </c>
      <c r="K157" s="14" t="n">
        <v>10000</v>
      </c>
      <c r="L157" s="25">
        <f>IF(E157="多",1,-1)*(I157-H157)*G157*J157</f>
        <v/>
      </c>
      <c r="M157" s="26">
        <f>L157/K157</f>
        <v/>
      </c>
      <c r="N157" s="14" t="inlineStr">
        <is>
          <t>将军撤退</t>
        </is>
      </c>
      <c r="O157" s="14" t="inlineStr">
        <is>
          <t>是</t>
        </is>
      </c>
    </row>
    <row r="158">
      <c r="A158" s="14" t="inlineStr">
        <is>
          <t>2026-06-10</t>
        </is>
      </c>
      <c r="B158" s="14" t="inlineStr">
        <is>
          <t>2026-06-23</t>
        </is>
      </c>
      <c r="C158" s="14" t="inlineStr">
        <is>
          <t>硅铁</t>
        </is>
      </c>
      <c r="D158" s="14" t="inlineStr">
        <is>
          <t>SF</t>
        </is>
      </c>
      <c r="E158" s="14" t="inlineStr">
        <is>
          <t>多</t>
        </is>
      </c>
      <c r="F158" s="14" t="inlineStr">
        <is>
          <t>★★</t>
        </is>
      </c>
      <c r="G158" s="14" t="n">
        <v>5</v>
      </c>
      <c r="H158" s="15" t="n">
        <v>5876</v>
      </c>
      <c r="I158" s="15" t="n">
        <v>5642.71</v>
      </c>
      <c r="J158" s="14" t="n">
        <v>5</v>
      </c>
      <c r="K158" s="14" t="n">
        <v>10000</v>
      </c>
      <c r="L158" s="25">
        <f>IF(E158="多",1,-1)*(I158-H158)*G158*J158</f>
        <v/>
      </c>
      <c r="M158" s="26">
        <f>L158/K158</f>
        <v/>
      </c>
      <c r="N158" s="14" t="inlineStr">
        <is>
          <t>止损</t>
        </is>
      </c>
      <c r="O158" s="14" t="inlineStr">
        <is>
          <t>是</t>
        </is>
      </c>
    </row>
    <row r="159">
      <c r="A159" s="2" t="inlineStr">
        <is>
          <t>2026-06-08</t>
        </is>
      </c>
      <c r="B159" s="2" t="inlineStr">
        <is>
          <t>2026-06-23</t>
        </is>
      </c>
      <c r="C159" s="2" t="inlineStr">
        <is>
          <t>铁矿石</t>
        </is>
      </c>
      <c r="D159" s="2" t="inlineStr">
        <is>
          <t>I</t>
        </is>
      </c>
      <c r="E159" s="9" t="inlineStr">
        <is>
          <t>空</t>
        </is>
      </c>
      <c r="F159" s="2" t="inlineStr">
        <is>
          <t>★★★</t>
        </is>
      </c>
      <c r="G159" s="10" t="n">
        <v>10</v>
      </c>
      <c r="H159" s="11" t="n">
        <v>759</v>
      </c>
      <c r="I159" s="11" t="n">
        <v>738.5</v>
      </c>
      <c r="J159" s="10" t="n">
        <v>100</v>
      </c>
      <c r="K159" s="10" t="n">
        <v>30000</v>
      </c>
      <c r="L159" s="23">
        <f>IF(E159="多",1,-1)*(I159-H159)*G159*J159</f>
        <v/>
      </c>
      <c r="M159" s="24">
        <f>L159/K159</f>
        <v/>
      </c>
      <c r="N159" s="2" t="inlineStr">
        <is>
          <t>将军撤退</t>
        </is>
      </c>
      <c r="O159" s="2" t="inlineStr">
        <is>
          <t>否</t>
        </is>
      </c>
    </row>
    <row r="160">
      <c r="A160" s="2" t="inlineStr">
        <is>
          <t>2026-06-17</t>
        </is>
      </c>
      <c r="B160" s="2" t="inlineStr">
        <is>
          <t>2026-06-22</t>
        </is>
      </c>
      <c r="C160" s="2" t="inlineStr">
        <is>
          <t>甲醇</t>
        </is>
      </c>
      <c r="D160" s="2" t="inlineStr">
        <is>
          <t>MA</t>
        </is>
      </c>
      <c r="E160" s="9" t="inlineStr">
        <is>
          <t>空</t>
        </is>
      </c>
      <c r="F160" s="2" t="inlineStr">
        <is>
          <t>★★★</t>
        </is>
      </c>
      <c r="G160" s="10" t="n">
        <v>9</v>
      </c>
      <c r="H160" s="11" t="n">
        <v>2638</v>
      </c>
      <c r="I160" s="11" t="n">
        <v>2528</v>
      </c>
      <c r="J160" s="10" t="n">
        <v>10</v>
      </c>
      <c r="K160" s="10" t="n">
        <v>30000</v>
      </c>
      <c r="L160" s="23">
        <f>IF(E160="多",1,-1)*(I160-H160)*G160*J160</f>
        <v/>
      </c>
      <c r="M160" s="24">
        <f>L160/K160</f>
        <v/>
      </c>
      <c r="N160" s="2" t="inlineStr">
        <is>
          <t>将军撤退</t>
        </is>
      </c>
      <c r="O160" s="2" t="inlineStr">
        <is>
          <t>否</t>
        </is>
      </c>
    </row>
    <row r="161">
      <c r="A161" s="2" t="inlineStr">
        <is>
          <t>2026-06-09</t>
        </is>
      </c>
      <c r="B161" s="2" t="inlineStr">
        <is>
          <t>2026-06-22</t>
        </is>
      </c>
      <c r="C161" s="2" t="inlineStr">
        <is>
          <t>菜粕</t>
        </is>
      </c>
      <c r="D161" s="2" t="inlineStr">
        <is>
          <t>RM</t>
        </is>
      </c>
      <c r="E161" s="9" t="inlineStr">
        <is>
          <t>空</t>
        </is>
      </c>
      <c r="F161" s="2" t="inlineStr">
        <is>
          <t>★★★</t>
        </is>
      </c>
      <c r="G161" s="10" t="n">
        <v>31</v>
      </c>
      <c r="H161" s="11" t="n">
        <v>2235</v>
      </c>
      <c r="I161" s="11" t="n">
        <v>2302.5</v>
      </c>
      <c r="J161" s="10" t="n">
        <v>10</v>
      </c>
      <c r="K161" s="10" t="n">
        <v>30000</v>
      </c>
      <c r="L161" s="23">
        <f>IF(E161="多",1,-1)*(I161-H161)*G161*J161</f>
        <v/>
      </c>
      <c r="M161" s="24">
        <f>L161/K161</f>
        <v/>
      </c>
      <c r="N161" s="2" t="inlineStr">
        <is>
          <t>止损</t>
        </is>
      </c>
      <c r="O161" s="2" t="inlineStr">
        <is>
          <t>否</t>
        </is>
      </c>
    </row>
    <row r="162">
      <c r="A162" s="14" t="inlineStr">
        <is>
          <t>2026-05-25</t>
        </is>
      </c>
      <c r="B162" s="14" t="inlineStr">
        <is>
          <t>2026-06-22</t>
        </is>
      </c>
      <c r="C162" s="14" t="inlineStr">
        <is>
          <t>工业硅</t>
        </is>
      </c>
      <c r="D162" s="14" t="inlineStr">
        <is>
          <t>SI</t>
        </is>
      </c>
      <c r="E162" s="14" t="inlineStr">
        <is>
          <t>多</t>
        </is>
      </c>
      <c r="F162" s="14" t="inlineStr">
        <is>
          <t>★★</t>
        </is>
      </c>
      <c r="G162" s="14" t="n">
        <v>3</v>
      </c>
      <c r="H162" s="15" t="n">
        <v>8540</v>
      </c>
      <c r="I162" s="15" t="n">
        <v>8540</v>
      </c>
      <c r="J162" s="14" t="n">
        <v>5</v>
      </c>
      <c r="K162" s="14" t="n">
        <v>10000</v>
      </c>
      <c r="L162" s="25">
        <f>IF(E162="多",1,-1)*(I162-H162)*G162*J162</f>
        <v/>
      </c>
      <c r="M162" s="26">
        <f>L162/K162</f>
        <v/>
      </c>
      <c r="N162" s="14" t="inlineStr">
        <is>
          <t>大将军转向</t>
        </is>
      </c>
      <c r="O162" s="14" t="inlineStr">
        <is>
          <t>是</t>
        </is>
      </c>
    </row>
    <row r="163">
      <c r="A163" s="2" t="inlineStr">
        <is>
          <t>2026-06-16</t>
        </is>
      </c>
      <c r="B163" s="2" t="inlineStr">
        <is>
          <t>2026-06-17</t>
        </is>
      </c>
      <c r="C163" s="2" t="inlineStr">
        <is>
          <t>尿素</t>
        </is>
      </c>
      <c r="D163" s="2" t="inlineStr">
        <is>
          <t>UR</t>
        </is>
      </c>
      <c r="E163" s="9" t="inlineStr">
        <is>
          <t>空</t>
        </is>
      </c>
      <c r="F163" s="2" t="inlineStr">
        <is>
          <t>★★★</t>
        </is>
      </c>
      <c r="G163" s="10" t="n">
        <v>12</v>
      </c>
      <c r="H163" s="11" t="n">
        <v>1802</v>
      </c>
      <c r="I163" s="11" t="n">
        <v>1836</v>
      </c>
      <c r="J163" s="10" t="n">
        <v>20</v>
      </c>
      <c r="K163" s="10" t="n">
        <v>30000</v>
      </c>
      <c r="L163" s="23">
        <f>IF(E163="多",1,-1)*(I163-H163)*G163*J163</f>
        <v/>
      </c>
      <c r="M163" s="24">
        <f>L163/K163</f>
        <v/>
      </c>
      <c r="N163" s="2" t="inlineStr">
        <is>
          <t>将军撤退</t>
        </is>
      </c>
      <c r="O163" s="2" t="inlineStr">
        <is>
          <t>否</t>
        </is>
      </c>
    </row>
    <row r="164">
      <c r="A164" s="2" t="inlineStr">
        <is>
          <t>2026-06-12</t>
        </is>
      </c>
      <c r="B164" s="2" t="inlineStr">
        <is>
          <t>2026-06-15</t>
        </is>
      </c>
      <c r="C164" s="2" t="inlineStr">
        <is>
          <t>玻璃</t>
        </is>
      </c>
      <c r="D164" s="2" t="inlineStr">
        <is>
          <t>FG</t>
        </is>
      </c>
      <c r="E164" s="9" t="inlineStr">
        <is>
          <t>空</t>
        </is>
      </c>
      <c r="F164" s="2" t="inlineStr">
        <is>
          <t>★★★</t>
        </is>
      </c>
      <c r="G164" s="10" t="n">
        <v>25</v>
      </c>
      <c r="H164" s="11" t="n">
        <v>988</v>
      </c>
      <c r="I164" s="11" t="n">
        <v>1014</v>
      </c>
      <c r="J164" s="10" t="n">
        <v>20</v>
      </c>
      <c r="K164" s="10" t="n">
        <v>30000</v>
      </c>
      <c r="L164" s="23">
        <f>IF(E164="多",1,-1)*(I164-H164)*G164*J164</f>
        <v/>
      </c>
      <c r="M164" s="24">
        <f>L164/K164</f>
        <v/>
      </c>
      <c r="N164" s="2" t="inlineStr">
        <is>
          <t>大将军转向</t>
        </is>
      </c>
      <c r="O164" s="2" t="inlineStr">
        <is>
          <t>否</t>
        </is>
      </c>
    </row>
    <row r="165">
      <c r="A165" s="14" t="inlineStr">
        <is>
          <t>2026-06-05</t>
        </is>
      </c>
      <c r="B165" s="14" t="inlineStr">
        <is>
          <t>2026-06-15</t>
        </is>
      </c>
      <c r="C165" s="14" t="inlineStr">
        <is>
          <t>沥青</t>
        </is>
      </c>
      <c r="D165" s="14" t="inlineStr">
        <is>
          <t>BU</t>
        </is>
      </c>
      <c r="E165" s="14" t="inlineStr">
        <is>
          <t>多</t>
        </is>
      </c>
      <c r="F165" s="14" t="inlineStr">
        <is>
          <t>★★★</t>
        </is>
      </c>
      <c r="G165" s="14" t="n">
        <v>3</v>
      </c>
      <c r="H165" s="15" t="n">
        <v>4335</v>
      </c>
      <c r="I165" s="15" t="n">
        <v>4221.29</v>
      </c>
      <c r="J165" s="14" t="n">
        <v>10</v>
      </c>
      <c r="K165" s="14" t="n">
        <v>10000</v>
      </c>
      <c r="L165" s="25">
        <f>IF(E165="多",1,-1)*(I165-H165)*G165*J165</f>
        <v/>
      </c>
      <c r="M165" s="26">
        <f>L165/K165</f>
        <v/>
      </c>
      <c r="N165" s="14" t="inlineStr">
        <is>
          <t>止损</t>
        </is>
      </c>
      <c r="O165" s="14" t="inlineStr">
        <is>
          <t>是</t>
        </is>
      </c>
    </row>
    <row r="166">
      <c r="A166" s="14" t="inlineStr">
        <is>
          <t>2026-05-22</t>
        </is>
      </c>
      <c r="B166" s="14" t="inlineStr">
        <is>
          <t>2026-06-15</t>
        </is>
      </c>
      <c r="C166" s="14" t="inlineStr">
        <is>
          <t>纯碱</t>
        </is>
      </c>
      <c r="D166" s="14" t="inlineStr">
        <is>
          <t>SA</t>
        </is>
      </c>
      <c r="E166" s="14" t="inlineStr">
        <is>
          <t>空</t>
        </is>
      </c>
      <c r="F166" s="14" t="inlineStr">
        <is>
          <t>★★</t>
        </is>
      </c>
      <c r="G166" s="14" t="n">
        <v>7</v>
      </c>
      <c r="H166" s="15" t="n">
        <v>1178</v>
      </c>
      <c r="I166" s="15" t="n">
        <v>1168</v>
      </c>
      <c r="J166" s="14" t="n">
        <v>20</v>
      </c>
      <c r="K166" s="14" t="n">
        <v>10000</v>
      </c>
      <c r="L166" s="25">
        <f>IF(E166="多",1,-1)*(I166-H166)*G166*J166</f>
        <v/>
      </c>
      <c r="M166" s="26">
        <f>L166/K166</f>
        <v/>
      </c>
      <c r="N166" s="14" t="inlineStr">
        <is>
          <t>将军撤退</t>
        </is>
      </c>
      <c r="O166" s="14" t="inlineStr">
        <is>
          <t>是</t>
        </is>
      </c>
    </row>
    <row r="167">
      <c r="A167" s="14" t="inlineStr">
        <is>
          <t>2026-06-11</t>
        </is>
      </c>
      <c r="B167" s="14" t="inlineStr">
        <is>
          <t>2026-06-12</t>
        </is>
      </c>
      <c r="C167" s="14" t="inlineStr">
        <is>
          <t>尿素</t>
        </is>
      </c>
      <c r="D167" s="14" t="inlineStr">
        <is>
          <t>UR</t>
        </is>
      </c>
      <c r="E167" s="14" t="inlineStr">
        <is>
          <t>空</t>
        </is>
      </c>
      <c r="F167" s="14" t="inlineStr">
        <is>
          <t>★★</t>
        </is>
      </c>
      <c r="G167" s="14" t="n">
        <v>4</v>
      </c>
      <c r="H167" s="15" t="n">
        <v>1790</v>
      </c>
      <c r="I167" s="15" t="n">
        <v>1792</v>
      </c>
      <c r="J167" s="14" t="n">
        <v>20</v>
      </c>
      <c r="K167" s="14" t="n">
        <v>10000</v>
      </c>
      <c r="L167" s="25">
        <f>IF(E167="多",1,-1)*(I167-H167)*G167*J167</f>
        <v/>
      </c>
      <c r="M167" s="26">
        <f>L167/K167</f>
        <v/>
      </c>
      <c r="N167" s="14" t="inlineStr">
        <is>
          <t>大将军转向</t>
        </is>
      </c>
      <c r="O167" s="14" t="inlineStr">
        <is>
          <t>是</t>
        </is>
      </c>
    </row>
    <row r="168">
      <c r="A168" s="2" t="inlineStr">
        <is>
          <t>2026-06-04</t>
        </is>
      </c>
      <c r="B168" s="2" t="inlineStr">
        <is>
          <t>2026-06-11</t>
        </is>
      </c>
      <c r="C168" s="2" t="inlineStr">
        <is>
          <t>热卷</t>
        </is>
      </c>
      <c r="D168" s="2" t="inlineStr">
        <is>
          <t>HC</t>
        </is>
      </c>
      <c r="E168" s="9" t="inlineStr">
        <is>
          <t>空</t>
        </is>
      </c>
      <c r="F168" s="2" t="inlineStr">
        <is>
          <t>★★★</t>
        </is>
      </c>
      <c r="G168" s="10" t="n">
        <v>28</v>
      </c>
      <c r="H168" s="11" t="n">
        <v>3372</v>
      </c>
      <c r="I168" s="11" t="n">
        <v>3358</v>
      </c>
      <c r="J168" s="10" t="n">
        <v>10</v>
      </c>
      <c r="K168" s="10" t="n">
        <v>30000</v>
      </c>
      <c r="L168" s="23">
        <f>IF(E168="多",1,-1)*(I168-H168)*G168*J168</f>
        <v/>
      </c>
      <c r="M168" s="24">
        <f>L168/K168</f>
        <v/>
      </c>
      <c r="N168" s="2" t="inlineStr">
        <is>
          <t>大将军转向</t>
        </is>
      </c>
      <c r="O168" s="2" t="inlineStr">
        <is>
          <t>否</t>
        </is>
      </c>
    </row>
    <row r="169">
      <c r="A169" s="2" t="inlineStr">
        <is>
          <t>2026-05-29</t>
        </is>
      </c>
      <c r="B169" s="2" t="inlineStr">
        <is>
          <t>2026-06-11</t>
        </is>
      </c>
      <c r="C169" s="2" t="inlineStr">
        <is>
          <t>乙二醇</t>
        </is>
      </c>
      <c r="D169" s="2" t="inlineStr">
        <is>
          <t>EG</t>
        </is>
      </c>
      <c r="E169" s="9" t="inlineStr">
        <is>
          <t>空</t>
        </is>
      </c>
      <c r="F169" s="2" t="inlineStr">
        <is>
          <t>★★★</t>
        </is>
      </c>
      <c r="G169" s="10" t="n">
        <v>2</v>
      </c>
      <c r="H169" s="11" t="n">
        <v>4436</v>
      </c>
      <c r="I169" s="11" t="n">
        <v>4637</v>
      </c>
      <c r="J169" s="10" t="n">
        <v>10</v>
      </c>
      <c r="K169" s="10" t="n">
        <v>10000</v>
      </c>
      <c r="L169" s="23">
        <f>IF(E169="多",1,-1)*(I169-H169)*G169*J169</f>
        <v/>
      </c>
      <c r="M169" s="24">
        <f>L169/K169</f>
        <v/>
      </c>
      <c r="N169" s="2" t="inlineStr">
        <is>
          <t>将军撤退</t>
        </is>
      </c>
      <c r="O169" s="2" t="inlineStr">
        <is>
          <t>否</t>
        </is>
      </c>
    </row>
    <row r="170">
      <c r="A170" s="2" t="inlineStr">
        <is>
          <t>2026-06-08</t>
        </is>
      </c>
      <c r="B170" s="2" t="inlineStr">
        <is>
          <t>2026-06-09</t>
        </is>
      </c>
      <c r="C170" s="2" t="inlineStr">
        <is>
          <t>玻璃</t>
        </is>
      </c>
      <c r="D170" s="2" t="inlineStr">
        <is>
          <t>FG</t>
        </is>
      </c>
      <c r="E170" s="9" t="inlineStr">
        <is>
          <t>空</t>
        </is>
      </c>
      <c r="F170" s="2" t="inlineStr">
        <is>
          <t>★★★</t>
        </is>
      </c>
      <c r="G170" s="10" t="n">
        <v>21</v>
      </c>
      <c r="H170" s="11" t="n">
        <v>1001</v>
      </c>
      <c r="I170" s="11" t="n">
        <v>995</v>
      </c>
      <c r="J170" s="10" t="n">
        <v>20</v>
      </c>
      <c r="K170" s="10" t="n">
        <v>30000</v>
      </c>
      <c r="L170" s="23">
        <f>IF(E170="多",1,-1)*(I170-H170)*G170*J170</f>
        <v/>
      </c>
      <c r="M170" s="24">
        <f>L170/K170</f>
        <v/>
      </c>
      <c r="N170" s="2" t="inlineStr">
        <is>
          <t>大将军转向</t>
        </is>
      </c>
      <c r="O170" s="2" t="inlineStr">
        <is>
          <t>否</t>
        </is>
      </c>
    </row>
    <row r="171">
      <c r="A171" s="14" t="inlineStr">
        <is>
          <t>2026-06-05</t>
        </is>
      </c>
      <c r="B171" s="14" t="inlineStr">
        <is>
          <t>2026-06-09</t>
        </is>
      </c>
      <c r="C171" s="14" t="inlineStr">
        <is>
          <t>螺纹钢</t>
        </is>
      </c>
      <c r="D171" s="14" t="inlineStr">
        <is>
          <t>RB</t>
        </is>
      </c>
      <c r="E171" s="14" t="inlineStr">
        <is>
          <t>空</t>
        </is>
      </c>
      <c r="F171" s="14" t="inlineStr">
        <is>
          <t>★★</t>
        </is>
      </c>
      <c r="G171" s="14" t="n">
        <v>10</v>
      </c>
      <c r="H171" s="15" t="n">
        <v>3165</v>
      </c>
      <c r="I171" s="15" t="n">
        <v>3156</v>
      </c>
      <c r="J171" s="14" t="n">
        <v>10</v>
      </c>
      <c r="K171" s="14" t="n">
        <v>10000</v>
      </c>
      <c r="L171" s="25">
        <f>IF(E171="多",1,-1)*(I171-H171)*G171*J171</f>
        <v/>
      </c>
      <c r="M171" s="26">
        <f>L171/K171</f>
        <v/>
      </c>
      <c r="N171" s="14" t="inlineStr">
        <is>
          <t>将军撤退</t>
        </is>
      </c>
      <c r="O171" s="14" t="inlineStr">
        <is>
          <t>是</t>
        </is>
      </c>
    </row>
    <row r="172">
      <c r="A172" s="14" t="inlineStr">
        <is>
          <t>2026-06-03</t>
        </is>
      </c>
      <c r="B172" s="14" t="inlineStr">
        <is>
          <t>2026-06-08</t>
        </is>
      </c>
      <c r="C172" s="14" t="inlineStr">
        <is>
          <t>棕榈油</t>
        </is>
      </c>
      <c r="D172" s="14" t="inlineStr">
        <is>
          <t>P</t>
        </is>
      </c>
      <c r="E172" s="14" t="inlineStr">
        <is>
          <t>多</t>
        </is>
      </c>
      <c r="F172" s="14" t="inlineStr">
        <is>
          <t>★★</t>
        </is>
      </c>
      <c r="G172" s="14" t="n">
        <v>2</v>
      </c>
      <c r="H172" s="15" t="n">
        <v>9800</v>
      </c>
      <c r="I172" s="15" t="n">
        <v>9321.5</v>
      </c>
      <c r="J172" s="14" t="n">
        <v>10</v>
      </c>
      <c r="K172" s="14" t="n">
        <v>10000</v>
      </c>
      <c r="L172" s="25">
        <f>IF(E172="多",1,-1)*(I172-H172)*G172*J172</f>
        <v/>
      </c>
      <c r="M172" s="26">
        <f>L172/K172</f>
        <v/>
      </c>
      <c r="N172" s="14" t="inlineStr">
        <is>
          <t>止损</t>
        </is>
      </c>
      <c r="O172" s="14" t="inlineStr">
        <is>
          <t>是</t>
        </is>
      </c>
    </row>
    <row r="173">
      <c r="A173" s="14" t="inlineStr">
        <is>
          <t>2026-05-14</t>
        </is>
      </c>
      <c r="B173" s="14" t="inlineStr">
        <is>
          <t>2026-06-08</t>
        </is>
      </c>
      <c r="C173" s="14" t="inlineStr">
        <is>
          <t>棉花</t>
        </is>
      </c>
      <c r="D173" s="14" t="inlineStr">
        <is>
          <t>CF</t>
        </is>
      </c>
      <c r="E173" s="14" t="inlineStr">
        <is>
          <t>多</t>
        </is>
      </c>
      <c r="F173" s="14" t="inlineStr">
        <is>
          <t>★★</t>
        </is>
      </c>
      <c r="G173" s="14" t="n">
        <v>2</v>
      </c>
      <c r="H173" s="15" t="n">
        <v>16310</v>
      </c>
      <c r="I173" s="15" t="n">
        <v>15837.86</v>
      </c>
      <c r="J173" s="14" t="n">
        <v>5</v>
      </c>
      <c r="K173" s="14" t="n">
        <v>10000</v>
      </c>
      <c r="L173" s="25">
        <f>IF(E173="多",1,-1)*(I173-H173)*G173*J173</f>
        <v/>
      </c>
      <c r="M173" s="26">
        <f>L173/K173</f>
        <v/>
      </c>
      <c r="N173" s="14" t="inlineStr">
        <is>
          <t>止损</t>
        </is>
      </c>
      <c r="O173" s="14" t="inlineStr">
        <is>
          <t>是</t>
        </is>
      </c>
    </row>
    <row r="174">
      <c r="A174" s="2" t="inlineStr">
        <is>
          <t>2026-06-04</t>
        </is>
      </c>
      <c r="B174" s="2" t="inlineStr">
        <is>
          <t>2026-06-05</t>
        </is>
      </c>
      <c r="C174" s="2" t="inlineStr">
        <is>
          <t>尿素</t>
        </is>
      </c>
      <c r="D174" s="2" t="inlineStr">
        <is>
          <t>UR</t>
        </is>
      </c>
      <c r="E174" s="9" t="inlineStr">
        <is>
          <t>空</t>
        </is>
      </c>
      <c r="F174" s="2" t="inlineStr">
        <is>
          <t>★★★</t>
        </is>
      </c>
      <c r="G174" s="10" t="n">
        <v>14</v>
      </c>
      <c r="H174" s="11" t="n">
        <v>1773</v>
      </c>
      <c r="I174" s="11" t="n">
        <v>1765</v>
      </c>
      <c r="J174" s="10" t="n">
        <v>20</v>
      </c>
      <c r="K174" s="10" t="n">
        <v>30000</v>
      </c>
      <c r="L174" s="23">
        <f>IF(E174="多",1,-1)*(I174-H174)*G174*J174</f>
        <v/>
      </c>
      <c r="M174" s="24">
        <f>L174/K174</f>
        <v/>
      </c>
      <c r="N174" s="2" t="inlineStr">
        <is>
          <t>大将军转向</t>
        </is>
      </c>
      <c r="O174" s="2" t="inlineStr">
        <is>
          <t>否</t>
        </is>
      </c>
    </row>
    <row r="175">
      <c r="A175" s="2" t="inlineStr">
        <is>
          <t>2026-06-04</t>
        </is>
      </c>
      <c r="B175" s="2" t="inlineStr">
        <is>
          <t>2026-06-05</t>
        </is>
      </c>
      <c r="C175" s="2" t="inlineStr">
        <is>
          <t>纸浆</t>
        </is>
      </c>
      <c r="D175" s="2" t="inlineStr">
        <is>
          <t>SP</t>
        </is>
      </c>
      <c r="E175" s="9" t="inlineStr">
        <is>
          <t>空</t>
        </is>
      </c>
      <c r="F175" s="2" t="inlineStr">
        <is>
          <t>★★★</t>
        </is>
      </c>
      <c r="G175" s="10" t="n">
        <v>18</v>
      </c>
      <c r="H175" s="11" t="n">
        <v>4804</v>
      </c>
      <c r="I175" s="11" t="n">
        <v>4846</v>
      </c>
      <c r="J175" s="10" t="n">
        <v>10</v>
      </c>
      <c r="K175" s="10" t="n">
        <v>30000</v>
      </c>
      <c r="L175" s="23">
        <f>IF(E175="多",1,-1)*(I175-H175)*G175*J175</f>
        <v/>
      </c>
      <c r="M175" s="24">
        <f>L175/K175</f>
        <v/>
      </c>
      <c r="N175" s="2" t="inlineStr">
        <is>
          <t>将军撤退+大将军转向</t>
        </is>
      </c>
      <c r="O175" s="2" t="inlineStr">
        <is>
          <t>否</t>
        </is>
      </c>
    </row>
    <row r="176">
      <c r="A176" s="14" t="inlineStr">
        <is>
          <t>2026-06-03</t>
        </is>
      </c>
      <c r="B176" s="14" t="inlineStr">
        <is>
          <t>2026-06-04</t>
        </is>
      </c>
      <c r="C176" s="14" t="inlineStr">
        <is>
          <t>铁矿石</t>
        </is>
      </c>
      <c r="D176" s="14" t="inlineStr">
        <is>
          <t>I</t>
        </is>
      </c>
      <c r="E176" s="14" t="inlineStr">
        <is>
          <t>空</t>
        </is>
      </c>
      <c r="F176" s="14" t="inlineStr">
        <is>
          <t>★★</t>
        </is>
      </c>
      <c r="G176" s="14" t="n">
        <v>3</v>
      </c>
      <c r="H176" s="15" t="n">
        <v>780</v>
      </c>
      <c r="I176" s="15" t="n">
        <v>767.5</v>
      </c>
      <c r="J176" s="14" t="n">
        <v>100</v>
      </c>
      <c r="K176" s="14" t="n">
        <v>10000</v>
      </c>
      <c r="L176" s="25">
        <f>IF(E176="多",1,-1)*(I176-H176)*G176*J176</f>
        <v/>
      </c>
      <c r="M176" s="26">
        <f>L176/K176</f>
        <v/>
      </c>
      <c r="N176" s="14" t="inlineStr">
        <is>
          <t>将军撤退</t>
        </is>
      </c>
      <c r="O176" s="14" t="inlineStr">
        <is>
          <t>是</t>
        </is>
      </c>
    </row>
    <row r="177">
      <c r="A177" s="2" t="inlineStr">
        <is>
          <t>2026-05-28</t>
        </is>
      </c>
      <c r="B177" s="2" t="inlineStr">
        <is>
          <t>2026-06-04</t>
        </is>
      </c>
      <c r="C177" s="2" t="inlineStr">
        <is>
          <t>菜粕</t>
        </is>
      </c>
      <c r="D177" s="2" t="inlineStr">
        <is>
          <t>RM</t>
        </is>
      </c>
      <c r="E177" s="9" t="inlineStr">
        <is>
          <t>空</t>
        </is>
      </c>
      <c r="F177" s="2" t="inlineStr">
        <is>
          <t>★★★</t>
        </is>
      </c>
      <c r="G177" s="10" t="n">
        <v>28</v>
      </c>
      <c r="H177" s="11" t="n">
        <v>2304</v>
      </c>
      <c r="I177" s="11" t="n">
        <v>2283</v>
      </c>
      <c r="J177" s="10" t="n">
        <v>10</v>
      </c>
      <c r="K177" s="10" t="n">
        <v>30000</v>
      </c>
      <c r="L177" s="23">
        <f>IF(E177="多",1,-1)*(I177-H177)*G177*J177</f>
        <v/>
      </c>
      <c r="M177" s="24">
        <f>L177/K177</f>
        <v/>
      </c>
      <c r="N177" s="2" t="inlineStr">
        <is>
          <t>大将军转向</t>
        </is>
      </c>
      <c r="O177" s="2" t="inlineStr">
        <is>
          <t>否</t>
        </is>
      </c>
    </row>
    <row r="178">
      <c r="A178" s="2" t="inlineStr">
        <is>
          <t>2026-05-22</t>
        </is>
      </c>
      <c r="B178" s="2" t="inlineStr">
        <is>
          <t>2026-06-04</t>
        </is>
      </c>
      <c r="C178" s="2" t="inlineStr">
        <is>
          <t>玻璃</t>
        </is>
      </c>
      <c r="D178" s="2" t="inlineStr">
        <is>
          <t>FG</t>
        </is>
      </c>
      <c r="E178" s="9" t="inlineStr">
        <is>
          <t>空</t>
        </is>
      </c>
      <c r="F178" s="2" t="inlineStr">
        <is>
          <t>★★★</t>
        </is>
      </c>
      <c r="G178" s="10" t="n">
        <v>20</v>
      </c>
      <c r="H178" s="11" t="n">
        <v>1023</v>
      </c>
      <c r="I178" s="11" t="n">
        <v>1031</v>
      </c>
      <c r="J178" s="10" t="n">
        <v>20</v>
      </c>
      <c r="K178" s="10" t="n">
        <v>30000</v>
      </c>
      <c r="L178" s="23">
        <f>IF(E178="多",1,-1)*(I178-H178)*G178*J178</f>
        <v/>
      </c>
      <c r="M178" s="24">
        <f>L178/K178</f>
        <v/>
      </c>
      <c r="N178" s="2" t="inlineStr">
        <is>
          <t>将军撤退</t>
        </is>
      </c>
      <c r="O178" s="2" t="inlineStr">
        <is>
          <t>否</t>
        </is>
      </c>
    </row>
    <row r="179">
      <c r="A179" s="2" t="inlineStr">
        <is>
          <t>2026-06-02</t>
        </is>
      </c>
      <c r="B179" s="2" t="inlineStr">
        <is>
          <t>2026-06-03</t>
        </is>
      </c>
      <c r="C179" s="2" t="inlineStr">
        <is>
          <t>纸浆</t>
        </is>
      </c>
      <c r="D179" s="2" t="inlineStr">
        <is>
          <t>SP</t>
        </is>
      </c>
      <c r="E179" s="9" t="inlineStr">
        <is>
          <t>空</t>
        </is>
      </c>
      <c r="F179" s="2" t="inlineStr">
        <is>
          <t>★★★</t>
        </is>
      </c>
      <c r="G179" s="10" t="n">
        <v>17</v>
      </c>
      <c r="H179" s="11" t="n">
        <v>4860</v>
      </c>
      <c r="I179" s="11" t="n">
        <v>4860</v>
      </c>
      <c r="J179" s="10" t="n">
        <v>10</v>
      </c>
      <c r="K179" s="10" t="n">
        <v>30000</v>
      </c>
      <c r="L179" s="23">
        <f>IF(E179="多",1,-1)*(I179-H179)*G179*J179</f>
        <v/>
      </c>
      <c r="M179" s="24">
        <f>L179/K179</f>
        <v/>
      </c>
      <c r="N179" s="2" t="inlineStr">
        <is>
          <t>将军撤退</t>
        </is>
      </c>
      <c r="O179" s="2" t="inlineStr">
        <is>
          <t>否</t>
        </is>
      </c>
    </row>
    <row r="180">
      <c r="A180" s="14" t="inlineStr">
        <is>
          <t>2026-06-01</t>
        </is>
      </c>
      <c r="B180" s="14" t="inlineStr">
        <is>
          <t>2026-06-02</t>
        </is>
      </c>
      <c r="C180" s="14" t="inlineStr">
        <is>
          <t>沥青</t>
        </is>
      </c>
      <c r="D180" s="14" t="inlineStr">
        <is>
          <t>BU</t>
        </is>
      </c>
      <c r="E180" s="14" t="inlineStr">
        <is>
          <t>多</t>
        </is>
      </c>
      <c r="F180" s="14" t="inlineStr">
        <is>
          <t>★★</t>
        </is>
      </c>
      <c r="G180" s="14" t="n">
        <v>2</v>
      </c>
      <c r="H180" s="15" t="n">
        <v>4326</v>
      </c>
      <c r="I180" s="15" t="n">
        <v>4321</v>
      </c>
      <c r="J180" s="14" t="n">
        <v>10</v>
      </c>
      <c r="K180" s="14" t="n">
        <v>10000</v>
      </c>
      <c r="L180" s="25">
        <f>IF(E180="多",1,-1)*(I180-H180)*G180*J180</f>
        <v/>
      </c>
      <c r="M180" s="26">
        <f>L180/K180</f>
        <v/>
      </c>
      <c r="N180" s="14" t="inlineStr">
        <is>
          <t>大将军转向</t>
        </is>
      </c>
      <c r="O180" s="14" t="inlineStr">
        <is>
          <t>是</t>
        </is>
      </c>
    </row>
    <row r="181">
      <c r="A181" s="2" t="inlineStr">
        <is>
          <t>2026-05-29</t>
        </is>
      </c>
      <c r="B181" s="2" t="inlineStr">
        <is>
          <t>2026-06-02</t>
        </is>
      </c>
      <c r="C181" s="2" t="inlineStr">
        <is>
          <t>沪锌</t>
        </is>
      </c>
      <c r="D181" s="2" t="inlineStr">
        <is>
          <t>ZN</t>
        </is>
      </c>
      <c r="E181" s="19" t="inlineStr">
        <is>
          <t>多</t>
        </is>
      </c>
      <c r="F181" s="2" t="inlineStr">
        <is>
          <t>★★★</t>
        </is>
      </c>
      <c r="G181" s="10" t="n">
        <v>5</v>
      </c>
      <c r="H181" s="11" t="n">
        <v>24880</v>
      </c>
      <c r="I181" s="11" t="n">
        <v>24985</v>
      </c>
      <c r="J181" s="10" t="n">
        <v>5</v>
      </c>
      <c r="K181" s="10" t="n">
        <v>30000</v>
      </c>
      <c r="L181" s="23">
        <f>IF(E181="多",1,-1)*(I181-H181)*G181*J181</f>
        <v/>
      </c>
      <c r="M181" s="24">
        <f>L181/K181</f>
        <v/>
      </c>
      <c r="N181" s="2" t="inlineStr">
        <is>
          <t>大将军转向</t>
        </is>
      </c>
      <c r="O181" s="2" t="inlineStr">
        <is>
          <t>否</t>
        </is>
      </c>
    </row>
    <row r="182">
      <c r="A182" s="14" t="inlineStr">
        <is>
          <t>2026-05-20</t>
        </is>
      </c>
      <c r="B182" s="14" t="inlineStr">
        <is>
          <t>2026-06-01</t>
        </is>
      </c>
      <c r="C182" s="14" t="inlineStr">
        <is>
          <t>鸡蛋</t>
        </is>
      </c>
      <c r="D182" s="14" t="inlineStr">
        <is>
          <t>JD</t>
        </is>
      </c>
      <c r="E182" s="14" t="inlineStr">
        <is>
          <t>多</t>
        </is>
      </c>
      <c r="F182" s="14" t="inlineStr">
        <is>
          <t>★★</t>
        </is>
      </c>
      <c r="G182" s="14" t="n">
        <v>4</v>
      </c>
      <c r="H182" s="15" t="n">
        <v>4474</v>
      </c>
      <c r="I182" s="15" t="n">
        <v>4880</v>
      </c>
      <c r="J182" s="14" t="n">
        <v>10</v>
      </c>
      <c r="K182" s="14" t="n">
        <v>10000</v>
      </c>
      <c r="L182" s="25">
        <f>IF(E182="多",1,-1)*(I182-H182)*G182*J182</f>
        <v/>
      </c>
      <c r="M182" s="26">
        <f>L182/K182</f>
        <v/>
      </c>
      <c r="N182" s="14" t="inlineStr">
        <is>
          <t>大将军转向</t>
        </is>
      </c>
      <c r="O182" s="14" t="inlineStr">
        <is>
          <t>是</t>
        </is>
      </c>
    </row>
    <row r="183">
      <c r="A183" s="2" t="inlineStr">
        <is>
          <t>2026-05-21</t>
        </is>
      </c>
      <c r="B183" s="2" t="inlineStr">
        <is>
          <t>2026-05-28</t>
        </is>
      </c>
      <c r="C183" s="2" t="inlineStr">
        <is>
          <t>螺纹钢</t>
        </is>
      </c>
      <c r="D183" s="2" t="inlineStr">
        <is>
          <t>RB</t>
        </is>
      </c>
      <c r="E183" s="9" t="inlineStr">
        <is>
          <t>空</t>
        </is>
      </c>
      <c r="F183" s="2" t="inlineStr">
        <is>
          <t>★★★</t>
        </is>
      </c>
      <c r="G183" s="10" t="n">
        <v>30</v>
      </c>
      <c r="H183" s="11" t="n">
        <v>3175</v>
      </c>
      <c r="I183" s="11" t="n">
        <v>3145</v>
      </c>
      <c r="J183" s="10" t="n">
        <v>10</v>
      </c>
      <c r="K183" s="10" t="n">
        <v>30000</v>
      </c>
      <c r="L183" s="23">
        <f>IF(E183="多",1,-1)*(I183-H183)*G183*J183</f>
        <v/>
      </c>
      <c r="M183" s="24">
        <f>L183/K183</f>
        <v/>
      </c>
      <c r="N183" s="2" t="inlineStr">
        <is>
          <t>大将军转向</t>
        </is>
      </c>
      <c r="O183" s="2" t="inlineStr">
        <is>
          <t>否</t>
        </is>
      </c>
    </row>
    <row r="184">
      <c r="A184" s="14" t="inlineStr">
        <is>
          <t>2026-05-26</t>
        </is>
      </c>
      <c r="B184" s="14" t="inlineStr">
        <is>
          <t>2026-05-27</t>
        </is>
      </c>
      <c r="C184" s="14" t="inlineStr">
        <is>
          <t>PVC</t>
        </is>
      </c>
      <c r="D184" s="14" t="inlineStr">
        <is>
          <t>V</t>
        </is>
      </c>
      <c r="E184" s="14" t="inlineStr">
        <is>
          <t>空</t>
        </is>
      </c>
      <c r="F184" s="14" t="inlineStr">
        <is>
          <t>★★</t>
        </is>
      </c>
      <c r="G184" s="14" t="n">
        <v>5</v>
      </c>
      <c r="H184" s="15" t="n">
        <v>4850</v>
      </c>
      <c r="I184" s="15" t="n">
        <v>4873</v>
      </c>
      <c r="J184" s="14" t="n">
        <v>5</v>
      </c>
      <c r="K184" s="14" t="n">
        <v>10000</v>
      </c>
      <c r="L184" s="25">
        <f>IF(E184="多",1,-1)*(I184-H184)*G184*J184</f>
        <v/>
      </c>
      <c r="M184" s="26">
        <f>L184/K184</f>
        <v/>
      </c>
      <c r="N184" s="14" t="inlineStr">
        <is>
          <t>将军撤退</t>
        </is>
      </c>
      <c r="O184" s="14" t="inlineStr">
        <is>
          <t>是</t>
        </is>
      </c>
    </row>
    <row r="185">
      <c r="A185" s="14" t="inlineStr">
        <is>
          <t>2026-05-26</t>
        </is>
      </c>
      <c r="B185" s="14" t="inlineStr">
        <is>
          <t>2026-05-27</t>
        </is>
      </c>
      <c r="C185" s="14" t="inlineStr">
        <is>
          <t>棕榈油</t>
        </is>
      </c>
      <c r="D185" s="14" t="inlineStr">
        <is>
          <t>P</t>
        </is>
      </c>
      <c r="E185" s="14" t="inlineStr">
        <is>
          <t>空</t>
        </is>
      </c>
      <c r="F185" s="14" t="inlineStr">
        <is>
          <t>★★</t>
        </is>
      </c>
      <c r="G185" s="14" t="n">
        <v>1</v>
      </c>
      <c r="H185" s="15" t="n">
        <v>9475</v>
      </c>
      <c r="I185" s="15" t="n">
        <v>9517</v>
      </c>
      <c r="J185" s="14" t="n">
        <v>10</v>
      </c>
      <c r="K185" s="14" t="n">
        <v>10000</v>
      </c>
      <c r="L185" s="25">
        <f>IF(E185="多",1,-1)*(I185-H185)*G185*J185</f>
        <v/>
      </c>
      <c r="M185" s="26">
        <f>L185/K185</f>
        <v/>
      </c>
      <c r="N185" s="14" t="inlineStr">
        <is>
          <t>将军撤退</t>
        </is>
      </c>
      <c r="O185" s="14" t="inlineStr">
        <is>
          <t>是</t>
        </is>
      </c>
    </row>
    <row r="186">
      <c r="A186" s="2" t="inlineStr">
        <is>
          <t>2026-05-22</t>
        </is>
      </c>
      <c r="B186" s="2" t="inlineStr">
        <is>
          <t>2026-05-27</t>
        </is>
      </c>
      <c r="C186" s="2" t="inlineStr">
        <is>
          <t>锰硅</t>
        </is>
      </c>
      <c r="D186" s="2" t="inlineStr">
        <is>
          <t>SM</t>
        </is>
      </c>
      <c r="E186" s="9" t="inlineStr">
        <is>
          <t>空</t>
        </is>
      </c>
      <c r="F186" s="2" t="inlineStr">
        <is>
          <t>★★★</t>
        </is>
      </c>
      <c r="G186" s="10" t="n">
        <v>7</v>
      </c>
      <c r="H186" s="11" t="n">
        <v>5976</v>
      </c>
      <c r="I186" s="11" t="n">
        <v>5996</v>
      </c>
      <c r="J186" s="10" t="n">
        <v>5</v>
      </c>
      <c r="K186" s="10" t="n">
        <v>10000</v>
      </c>
      <c r="L186" s="23">
        <f>IF(E186="多",1,-1)*(I186-H186)*G186*J186</f>
        <v/>
      </c>
      <c r="M186" s="24">
        <f>L186/K186</f>
        <v/>
      </c>
      <c r="N186" s="2" t="inlineStr">
        <is>
          <t>大将军转向</t>
        </is>
      </c>
      <c r="O186" s="2" t="inlineStr">
        <is>
          <t>否</t>
        </is>
      </c>
    </row>
    <row r="187">
      <c r="A187" s="2" t="inlineStr">
        <is>
          <t>2026-05-20</t>
        </is>
      </c>
      <c r="B187" s="2" t="inlineStr">
        <is>
          <t>2026-05-27</t>
        </is>
      </c>
      <c r="C187" s="2" t="inlineStr">
        <is>
          <t>玉米淀粉</t>
        </is>
      </c>
      <c r="D187" s="2" t="inlineStr">
        <is>
          <t>CS</t>
        </is>
      </c>
      <c r="E187" s="9" t="inlineStr">
        <is>
          <t>空</t>
        </is>
      </c>
      <c r="F187" s="2" t="inlineStr">
        <is>
          <t>★★★</t>
        </is>
      </c>
      <c r="G187" s="10" t="n">
        <v>13</v>
      </c>
      <c r="H187" s="11" t="n">
        <v>2670</v>
      </c>
      <c r="I187" s="11" t="n">
        <v>2666</v>
      </c>
      <c r="J187" s="10" t="n">
        <v>10</v>
      </c>
      <c r="K187" s="10" t="n">
        <v>10000</v>
      </c>
      <c r="L187" s="23">
        <f>IF(E187="多",1,-1)*(I187-H187)*G187*J187</f>
        <v/>
      </c>
      <c r="M187" s="24">
        <f>L187/K187</f>
        <v/>
      </c>
      <c r="N187" s="2" t="inlineStr">
        <is>
          <t>大将军转向</t>
        </is>
      </c>
      <c r="O187" s="2" t="inlineStr">
        <is>
          <t>否</t>
        </is>
      </c>
    </row>
    <row r="188">
      <c r="A188" s="2" t="inlineStr">
        <is>
          <t>2026-05-21</t>
        </is>
      </c>
      <c r="B188" s="2" t="inlineStr">
        <is>
          <t>2026-05-26</t>
        </is>
      </c>
      <c r="C188" s="2" t="inlineStr">
        <is>
          <t>玉米</t>
        </is>
      </c>
      <c r="D188" s="2" t="inlineStr">
        <is>
          <t>C</t>
        </is>
      </c>
      <c r="E188" s="9" t="inlineStr">
        <is>
          <t>空</t>
        </is>
      </c>
      <c r="F188" s="2" t="inlineStr">
        <is>
          <t>★★★</t>
        </is>
      </c>
      <c r="G188" s="10" t="n">
        <v>29</v>
      </c>
      <c r="H188" s="11" t="n">
        <v>2330</v>
      </c>
      <c r="I188" s="11" t="n">
        <v>2316</v>
      </c>
      <c r="J188" s="10" t="n">
        <v>10</v>
      </c>
      <c r="K188" s="10" t="n">
        <v>20000</v>
      </c>
      <c r="L188" s="23">
        <f>IF(E188="多",1,-1)*(I188-H188)*G188*J188</f>
        <v/>
      </c>
      <c r="M188" s="24">
        <f>L188/K188</f>
        <v/>
      </c>
      <c r="N188" s="2" t="inlineStr">
        <is>
          <t>将军撤退</t>
        </is>
      </c>
      <c r="O188" s="2" t="inlineStr">
        <is>
          <t>否</t>
        </is>
      </c>
    </row>
    <row r="189">
      <c r="A189" s="14" t="inlineStr">
        <is>
          <t>2026-04-24</t>
        </is>
      </c>
      <c r="B189" s="14" t="inlineStr">
        <is>
          <t>2026-05-26</t>
        </is>
      </c>
      <c r="C189" s="14" t="inlineStr">
        <is>
          <t>氧化铝</t>
        </is>
      </c>
      <c r="D189" s="14" t="inlineStr">
        <is>
          <t>AO</t>
        </is>
      </c>
      <c r="E189" s="14" t="inlineStr">
        <is>
          <t>空</t>
        </is>
      </c>
      <c r="F189" s="14" t="inlineStr">
        <is>
          <t>★★★</t>
        </is>
      </c>
      <c r="G189" s="14" t="n">
        <v>3</v>
      </c>
      <c r="H189" s="15" t="n">
        <v>2870</v>
      </c>
      <c r="I189" s="15" t="n">
        <v>2834.36</v>
      </c>
      <c r="J189" s="14" t="n">
        <v>20</v>
      </c>
      <c r="K189" s="14" t="n">
        <v>10000</v>
      </c>
      <c r="L189" s="25">
        <f>IF(E189="多",1,-1)*(I189-H189)*G189*J189</f>
        <v/>
      </c>
      <c r="M189" s="26">
        <f>L189/K189</f>
        <v/>
      </c>
      <c r="N189" s="14" t="inlineStr">
        <is>
          <t>止损</t>
        </is>
      </c>
      <c r="O189" s="14" t="inlineStr">
        <is>
          <t>是</t>
        </is>
      </c>
    </row>
    <row r="190">
      <c r="A190" s="2" t="inlineStr">
        <is>
          <t>2026-05-21</t>
        </is>
      </c>
      <c r="B190" s="2" t="inlineStr">
        <is>
          <t>2026-05-22</t>
        </is>
      </c>
      <c r="C190" s="2" t="inlineStr">
        <is>
          <t>PVC</t>
        </is>
      </c>
      <c r="D190" s="2" t="inlineStr">
        <is>
          <t>V</t>
        </is>
      </c>
      <c r="E190" s="9" t="inlineStr">
        <is>
          <t>空</t>
        </is>
      </c>
      <c r="F190" s="2" t="inlineStr">
        <is>
          <t>★★★</t>
        </is>
      </c>
      <c r="G190" s="10" t="n">
        <v>17</v>
      </c>
      <c r="H190" s="11" t="n">
        <v>4868</v>
      </c>
      <c r="I190" s="11" t="n">
        <v>4846</v>
      </c>
      <c r="J190" s="10" t="n">
        <v>5</v>
      </c>
      <c r="K190" s="10" t="n">
        <v>30000</v>
      </c>
      <c r="L190" s="23">
        <f>IF(E190="多",1,-1)*(I190-H190)*G190*J190</f>
        <v/>
      </c>
      <c r="M190" s="24">
        <f>L190/K190</f>
        <v/>
      </c>
      <c r="N190" s="2" t="inlineStr">
        <is>
          <t>大将军转向</t>
        </is>
      </c>
      <c r="O190" s="2" t="inlineStr">
        <is>
          <t>否</t>
        </is>
      </c>
    </row>
    <row r="191">
      <c r="A191" s="14" t="inlineStr">
        <is>
          <t>2026-05-21</t>
        </is>
      </c>
      <c r="B191" s="14" t="inlineStr">
        <is>
          <t>2026-05-22</t>
        </is>
      </c>
      <c r="C191" s="14" t="inlineStr">
        <is>
          <t>沥青</t>
        </is>
      </c>
      <c r="D191" s="14" t="inlineStr">
        <is>
          <t>BU</t>
        </is>
      </c>
      <c r="E191" s="14" t="inlineStr">
        <is>
          <t>多</t>
        </is>
      </c>
      <c r="F191" s="14" t="inlineStr">
        <is>
          <t>★★</t>
        </is>
      </c>
      <c r="G191" s="14" t="n">
        <v>3</v>
      </c>
      <c r="H191" s="15" t="n">
        <v>4403</v>
      </c>
      <c r="I191" s="15" t="n">
        <v>4333</v>
      </c>
      <c r="J191" s="14" t="n">
        <v>10</v>
      </c>
      <c r="K191" s="14" t="n">
        <v>10000</v>
      </c>
      <c r="L191" s="25">
        <f>IF(E191="多",1,-1)*(I191-H191)*G191*J191</f>
        <v/>
      </c>
      <c r="M191" s="26">
        <f>L191/K191</f>
        <v/>
      </c>
      <c r="N191" s="14" t="inlineStr">
        <is>
          <t>大将军转向</t>
        </is>
      </c>
      <c r="O191" s="14" t="inlineStr">
        <is>
          <t>是</t>
        </is>
      </c>
    </row>
    <row r="192">
      <c r="A192" s="2" t="inlineStr">
        <is>
          <t>2026-05-20</t>
        </is>
      </c>
      <c r="B192" s="2" t="inlineStr">
        <is>
          <t>2026-05-21</t>
        </is>
      </c>
      <c r="C192" s="2" t="inlineStr">
        <is>
          <t>玻璃</t>
        </is>
      </c>
      <c r="D192" s="2" t="inlineStr">
        <is>
          <t>FG</t>
        </is>
      </c>
      <c r="E192" s="9" t="inlineStr">
        <is>
          <t>空</t>
        </is>
      </c>
      <c r="F192" s="2" t="inlineStr">
        <is>
          <t>★★★</t>
        </is>
      </c>
      <c r="G192" s="10" t="n">
        <v>20</v>
      </c>
      <c r="H192" s="11" t="n">
        <v>1011</v>
      </c>
      <c r="I192" s="11" t="n">
        <v>1028</v>
      </c>
      <c r="J192" s="10" t="n">
        <v>20</v>
      </c>
      <c r="K192" s="10" t="n">
        <v>30000</v>
      </c>
      <c r="L192" s="23">
        <f>IF(E192="多",1,-1)*(I192-H192)*G192*J192</f>
        <v/>
      </c>
      <c r="M192" s="24">
        <f>L192/K192</f>
        <v/>
      </c>
      <c r="N192" s="2" t="inlineStr">
        <is>
          <t>将军撤退+大将军转向</t>
        </is>
      </c>
      <c r="O192" s="2" t="inlineStr">
        <is>
          <t>否</t>
        </is>
      </c>
    </row>
    <row r="193">
      <c r="A193" s="2" t="inlineStr">
        <is>
          <t>2026-05-18</t>
        </is>
      </c>
      <c r="B193" s="2" t="inlineStr">
        <is>
          <t>2026-05-21</t>
        </is>
      </c>
      <c r="C193" s="2" t="inlineStr">
        <is>
          <t>尿素</t>
        </is>
      </c>
      <c r="D193" s="2" t="inlineStr">
        <is>
          <t>UR</t>
        </is>
      </c>
      <c r="E193" s="9" t="inlineStr">
        <is>
          <t>空</t>
        </is>
      </c>
      <c r="F193" s="2" t="inlineStr">
        <is>
          <t>★★★</t>
        </is>
      </c>
      <c r="G193" s="10" t="n">
        <v>13</v>
      </c>
      <c r="H193" s="11" t="n">
        <v>1834</v>
      </c>
      <c r="I193" s="11" t="n">
        <v>1830</v>
      </c>
      <c r="J193" s="10" t="n">
        <v>20</v>
      </c>
      <c r="K193" s="10" t="n">
        <v>30000</v>
      </c>
      <c r="L193" s="23">
        <f>IF(E193="多",1,-1)*(I193-H193)*G193*J193</f>
        <v/>
      </c>
      <c r="M193" s="24">
        <f>L193/K193</f>
        <v/>
      </c>
      <c r="N193" s="2" t="inlineStr">
        <is>
          <t>将军撤退</t>
        </is>
      </c>
      <c r="O193" s="2" t="inlineStr">
        <is>
          <t>否</t>
        </is>
      </c>
    </row>
    <row r="194">
      <c r="A194" s="14" t="inlineStr">
        <is>
          <t>2026-05-18</t>
        </is>
      </c>
      <c r="B194" s="14" t="inlineStr">
        <is>
          <t>2026-05-21</t>
        </is>
      </c>
      <c r="C194" s="14" t="inlineStr">
        <is>
          <t>聚丙烯</t>
        </is>
      </c>
      <c r="D194" s="14" t="inlineStr">
        <is>
          <t>PP</t>
        </is>
      </c>
      <c r="E194" s="14" t="inlineStr">
        <is>
          <t>多</t>
        </is>
      </c>
      <c r="F194" s="14" t="inlineStr">
        <is>
          <t>★★</t>
        </is>
      </c>
      <c r="G194" s="14" t="n">
        <v>3</v>
      </c>
      <c r="H194" s="15" t="n">
        <v>8800</v>
      </c>
      <c r="I194" s="15" t="n">
        <v>8890</v>
      </c>
      <c r="J194" s="14" t="n">
        <v>5</v>
      </c>
      <c r="K194" s="14" t="n">
        <v>10000</v>
      </c>
      <c r="L194" s="25">
        <f>IF(E194="多",1,-1)*(I194-H194)*G194*J194</f>
        <v/>
      </c>
      <c r="M194" s="26">
        <f>L194/K194</f>
        <v/>
      </c>
      <c r="N194" s="14" t="inlineStr">
        <is>
          <t>将军撤退+大将军转向</t>
        </is>
      </c>
      <c r="O194" s="14" t="inlineStr">
        <is>
          <t>是</t>
        </is>
      </c>
    </row>
    <row r="195">
      <c r="A195" s="14" t="inlineStr">
        <is>
          <t>2026-05-15</t>
        </is>
      </c>
      <c r="B195" s="14" t="inlineStr">
        <is>
          <t>2026-05-21</t>
        </is>
      </c>
      <c r="C195" s="14" t="inlineStr">
        <is>
          <t>纯碱</t>
        </is>
      </c>
      <c r="D195" s="14" t="inlineStr">
        <is>
          <t>SA</t>
        </is>
      </c>
      <c r="E195" s="14" t="inlineStr">
        <is>
          <t>空</t>
        </is>
      </c>
      <c r="F195" s="14" t="inlineStr">
        <is>
          <t>★★★</t>
        </is>
      </c>
      <c r="G195" s="14" t="n">
        <v>7</v>
      </c>
      <c r="H195" s="15" t="n">
        <v>1192</v>
      </c>
      <c r="I195" s="15" t="n">
        <v>1182</v>
      </c>
      <c r="J195" s="14" t="n">
        <v>20</v>
      </c>
      <c r="K195" s="14" t="n">
        <v>10000</v>
      </c>
      <c r="L195" s="25">
        <f>IF(E195="多",1,-1)*(I195-H195)*G195*J195</f>
        <v/>
      </c>
      <c r="M195" s="26">
        <f>L195/K195</f>
        <v/>
      </c>
      <c r="N195" s="14" t="inlineStr">
        <is>
          <t>将军撤退</t>
        </is>
      </c>
      <c r="O195" s="14" t="inlineStr">
        <is>
          <t>是</t>
        </is>
      </c>
    </row>
    <row r="196">
      <c r="A196" s="2" t="inlineStr">
        <is>
          <t>2026-05-11</t>
        </is>
      </c>
      <c r="B196" s="2" t="inlineStr">
        <is>
          <t>2026-05-21</t>
        </is>
      </c>
      <c r="C196" s="2" t="inlineStr">
        <is>
          <t>铁矿石</t>
        </is>
      </c>
      <c r="D196" s="2" t="inlineStr">
        <is>
          <t>I</t>
        </is>
      </c>
      <c r="E196" s="19" t="inlineStr">
        <is>
          <t>多</t>
        </is>
      </c>
      <c r="F196" s="2" t="inlineStr">
        <is>
          <t>★★★</t>
        </is>
      </c>
      <c r="G196" s="10" t="n">
        <v>8</v>
      </c>
      <c r="H196" s="11" t="n">
        <v>822.5</v>
      </c>
      <c r="I196" s="11" t="n">
        <v>790.04</v>
      </c>
      <c r="J196" s="10" t="n">
        <v>100</v>
      </c>
      <c r="K196" s="10" t="n">
        <v>30000</v>
      </c>
      <c r="L196" s="23">
        <f>IF(E196="多",1,-1)*(I196-H196)*G196*J196</f>
        <v/>
      </c>
      <c r="M196" s="24">
        <f>L196/K196</f>
        <v/>
      </c>
      <c r="N196" s="2" t="inlineStr">
        <is>
          <t>止损</t>
        </is>
      </c>
      <c r="O196" s="2" t="inlineStr">
        <is>
          <t>否</t>
        </is>
      </c>
    </row>
    <row r="197">
      <c r="A197" s="2" t="inlineStr">
        <is>
          <t>2026-05-19</t>
        </is>
      </c>
      <c r="B197" s="2" t="inlineStr">
        <is>
          <t>2026-05-20</t>
        </is>
      </c>
      <c r="C197" s="2" t="inlineStr">
        <is>
          <t>沥青</t>
        </is>
      </c>
      <c r="D197" s="2" t="inlineStr">
        <is>
          <t>BU</t>
        </is>
      </c>
      <c r="E197" s="19" t="inlineStr">
        <is>
          <t>多</t>
        </is>
      </c>
      <c r="F197" s="2" t="inlineStr">
        <is>
          <t>★★★</t>
        </is>
      </c>
      <c r="G197" s="10" t="n">
        <v>9</v>
      </c>
      <c r="H197" s="11" t="n">
        <v>4372</v>
      </c>
      <c r="I197" s="11" t="n">
        <v>4386</v>
      </c>
      <c r="J197" s="10" t="n">
        <v>10</v>
      </c>
      <c r="K197" s="10" t="n">
        <v>30000</v>
      </c>
      <c r="L197" s="23">
        <f>IF(E197="多",1,-1)*(I197-H197)*G197*J197</f>
        <v/>
      </c>
      <c r="M197" s="24">
        <f>L197/K197</f>
        <v/>
      </c>
      <c r="N197" s="2" t="inlineStr">
        <is>
          <t>大将军转向</t>
        </is>
      </c>
      <c r="O197" s="2" t="inlineStr">
        <is>
          <t>否</t>
        </is>
      </c>
    </row>
    <row r="198">
      <c r="A198" s="14" t="inlineStr">
        <is>
          <t>2026-05-18</t>
        </is>
      </c>
      <c r="B198" s="14" t="inlineStr">
        <is>
          <t>2026-05-20</t>
        </is>
      </c>
      <c r="C198" s="14" t="inlineStr">
        <is>
          <t>甲醇</t>
        </is>
      </c>
      <c r="D198" s="14" t="inlineStr">
        <is>
          <t>MA</t>
        </is>
      </c>
      <c r="E198" s="14" t="inlineStr">
        <is>
          <t>多</t>
        </is>
      </c>
      <c r="F198" s="14" t="inlineStr">
        <is>
          <t>★★</t>
        </is>
      </c>
      <c r="G198" s="14" t="n">
        <v>4</v>
      </c>
      <c r="H198" s="15" t="n">
        <v>2949</v>
      </c>
      <c r="I198" s="15" t="n">
        <v>2968</v>
      </c>
      <c r="J198" s="14" t="n">
        <v>10</v>
      </c>
      <c r="K198" s="14" t="n">
        <v>10000</v>
      </c>
      <c r="L198" s="25">
        <f>IF(E198="多",1,-1)*(I198-H198)*G198*J198</f>
        <v/>
      </c>
      <c r="M198" s="26">
        <f>L198/K198</f>
        <v/>
      </c>
      <c r="N198" s="14" t="inlineStr">
        <is>
          <t>将军撤退</t>
        </is>
      </c>
      <c r="O198" s="14" t="inlineStr">
        <is>
          <t>是</t>
        </is>
      </c>
    </row>
    <row r="199">
      <c r="A199" s="14" t="inlineStr">
        <is>
          <t>2026-04-16</t>
        </is>
      </c>
      <c r="B199" s="14" t="inlineStr">
        <is>
          <t>2026-05-20</t>
        </is>
      </c>
      <c r="C199" s="14" t="inlineStr">
        <is>
          <t>硅铁</t>
        </is>
      </c>
      <c r="D199" s="14" t="inlineStr">
        <is>
          <t>SF</t>
        </is>
      </c>
      <c r="E199" s="14" t="inlineStr">
        <is>
          <t>多</t>
        </is>
      </c>
      <c r="F199" s="14" t="inlineStr">
        <is>
          <t>★★</t>
        </is>
      </c>
      <c r="G199" s="14" t="n">
        <v>6</v>
      </c>
      <c r="H199" s="15" t="n">
        <v>5712</v>
      </c>
      <c r="I199" s="15" t="n">
        <v>5876</v>
      </c>
      <c r="J199" s="14" t="n">
        <v>5</v>
      </c>
      <c r="K199" s="14" t="n">
        <v>10000</v>
      </c>
      <c r="L199" s="25">
        <f>IF(E199="多",1,-1)*(I199-H199)*G199*J199</f>
        <v/>
      </c>
      <c r="M199" s="26">
        <f>L199/K199</f>
        <v/>
      </c>
      <c r="N199" s="14" t="inlineStr">
        <is>
          <t>大将军转向</t>
        </is>
      </c>
      <c r="O199" s="14" t="inlineStr">
        <is>
          <t>是</t>
        </is>
      </c>
    </row>
    <row r="200">
      <c r="A200" s="14" t="inlineStr">
        <is>
          <t>2026-05-11</t>
        </is>
      </c>
      <c r="B200" s="14" t="inlineStr">
        <is>
          <t>2026-05-19</t>
        </is>
      </c>
      <c r="C200" s="14" t="inlineStr">
        <is>
          <t>玉米</t>
        </is>
      </c>
      <c r="D200" s="14" t="inlineStr">
        <is>
          <t>C</t>
        </is>
      </c>
      <c r="E200" s="14" t="inlineStr">
        <is>
          <t>空</t>
        </is>
      </c>
      <c r="F200" s="14" t="inlineStr">
        <is>
          <t>★★</t>
        </is>
      </c>
      <c r="G200" s="14" t="n">
        <v>14</v>
      </c>
      <c r="H200" s="15" t="n">
        <v>2355</v>
      </c>
      <c r="I200" s="15" t="n">
        <v>2365</v>
      </c>
      <c r="J200" s="14" t="n">
        <v>10</v>
      </c>
      <c r="K200" s="14" t="n">
        <v>10000</v>
      </c>
      <c r="L200" s="25">
        <f>IF(E200="多",1,-1)*(I200-H200)*G200*J200</f>
        <v/>
      </c>
      <c r="M200" s="26">
        <f>L200/K200</f>
        <v/>
      </c>
      <c r="N200" s="14" t="inlineStr">
        <is>
          <t>大将军转向</t>
        </is>
      </c>
      <c r="O200" s="14" t="inlineStr">
        <is>
          <t>是</t>
        </is>
      </c>
    </row>
    <row r="201">
      <c r="A201" s="2" t="inlineStr">
        <is>
          <t>2026-04-24</t>
        </is>
      </c>
      <c r="B201" s="2" t="inlineStr">
        <is>
          <t>2026-05-19</t>
        </is>
      </c>
      <c r="C201" s="2" t="inlineStr">
        <is>
          <t>玻璃</t>
        </is>
      </c>
      <c r="D201" s="2" t="inlineStr">
        <is>
          <t>FG</t>
        </is>
      </c>
      <c r="E201" s="9" t="inlineStr">
        <is>
          <t>空</t>
        </is>
      </c>
      <c r="F201" s="2" t="inlineStr">
        <is>
          <t>★★★</t>
        </is>
      </c>
      <c r="G201" s="10" t="n">
        <v>8</v>
      </c>
      <c r="H201" s="11" t="n">
        <v>1078</v>
      </c>
      <c r="I201" s="11" t="n">
        <v>1021</v>
      </c>
      <c r="J201" s="10" t="n">
        <v>20</v>
      </c>
      <c r="K201" s="10" t="n">
        <v>10000</v>
      </c>
      <c r="L201" s="23">
        <f>IF(E201="多",1,-1)*(I201-H201)*G201*J201</f>
        <v/>
      </c>
      <c r="M201" s="24">
        <f>L201/K201</f>
        <v/>
      </c>
      <c r="N201" s="2" t="inlineStr">
        <is>
          <t>大将军转向</t>
        </is>
      </c>
      <c r="O201" s="2" t="inlineStr">
        <is>
          <t>否</t>
        </is>
      </c>
    </row>
    <row r="202">
      <c r="A202" s="14" t="inlineStr">
        <is>
          <t>2026-05-15</t>
        </is>
      </c>
      <c r="B202" s="14" t="inlineStr">
        <is>
          <t>2026-05-18</t>
        </is>
      </c>
      <c r="C202" s="14" t="inlineStr">
        <is>
          <t>工业硅</t>
        </is>
      </c>
      <c r="D202" s="14" t="inlineStr">
        <is>
          <t>SI</t>
        </is>
      </c>
      <c r="E202" s="14" t="inlineStr">
        <is>
          <t>空</t>
        </is>
      </c>
      <c r="F202" s="14" t="inlineStr">
        <is>
          <t>★★</t>
        </is>
      </c>
      <c r="G202" s="14" t="n">
        <v>3</v>
      </c>
      <c r="H202" s="15" t="n">
        <v>8475</v>
      </c>
      <c r="I202" s="15" t="n">
        <v>8445</v>
      </c>
      <c r="J202" s="14" t="n">
        <v>5</v>
      </c>
      <c r="K202" s="14" t="n">
        <v>10000</v>
      </c>
      <c r="L202" s="25">
        <f>IF(E202="多",1,-1)*(I202-H202)*G202*J202</f>
        <v/>
      </c>
      <c r="M202" s="26">
        <f>L202/K202</f>
        <v/>
      </c>
      <c r="N202" s="14" t="inlineStr">
        <is>
          <t>将军撤退</t>
        </is>
      </c>
      <c r="O202" s="14" t="inlineStr">
        <is>
          <t>是</t>
        </is>
      </c>
    </row>
    <row r="203">
      <c r="A203" s="2" t="inlineStr">
        <is>
          <t>2026-05-12</t>
        </is>
      </c>
      <c r="B203" s="2" t="inlineStr">
        <is>
          <t>2026-05-18</t>
        </is>
      </c>
      <c r="C203" s="2" t="inlineStr">
        <is>
          <t>沥青</t>
        </is>
      </c>
      <c r="D203" s="2" t="inlineStr">
        <is>
          <t>BU</t>
        </is>
      </c>
      <c r="E203" s="19" t="inlineStr">
        <is>
          <t>多</t>
        </is>
      </c>
      <c r="F203" s="2" t="inlineStr">
        <is>
          <t>★★★</t>
        </is>
      </c>
      <c r="G203" s="10" t="n">
        <v>8</v>
      </c>
      <c r="H203" s="11" t="n">
        <v>4479</v>
      </c>
      <c r="I203" s="11" t="n">
        <v>4487</v>
      </c>
      <c r="J203" s="10" t="n">
        <v>10</v>
      </c>
      <c r="K203" s="10" t="n">
        <v>30000</v>
      </c>
      <c r="L203" s="23">
        <f>IF(E203="多",1,-1)*(I203-H203)*G203*J203</f>
        <v/>
      </c>
      <c r="M203" s="24">
        <f>L203/K203</f>
        <v/>
      </c>
      <c r="N203" s="2" t="inlineStr">
        <is>
          <t>大将军转向</t>
        </is>
      </c>
      <c r="O203" s="2" t="inlineStr">
        <is>
          <t>否</t>
        </is>
      </c>
    </row>
    <row r="204">
      <c r="A204" s="14" t="inlineStr">
        <is>
          <t>2026-05-11</t>
        </is>
      </c>
      <c r="B204" s="14" t="inlineStr">
        <is>
          <t>2026-05-15</t>
        </is>
      </c>
      <c r="C204" s="14" t="inlineStr">
        <is>
          <t>锰硅</t>
        </is>
      </c>
      <c r="D204" s="14" t="inlineStr">
        <is>
          <t>SM</t>
        </is>
      </c>
      <c r="E204" s="14" t="inlineStr">
        <is>
          <t>空</t>
        </is>
      </c>
      <c r="F204" s="14" t="inlineStr">
        <is>
          <t>★★★</t>
        </is>
      </c>
      <c r="G204" s="14" t="n">
        <v>8</v>
      </c>
      <c r="H204" s="15" t="n">
        <v>5940</v>
      </c>
      <c r="I204" s="15" t="n">
        <v>5842</v>
      </c>
      <c r="J204" s="14" t="n">
        <v>5</v>
      </c>
      <c r="K204" s="14" t="n">
        <v>10000</v>
      </c>
      <c r="L204" s="25">
        <f>IF(E204="多",1,-1)*(I204-H204)*G204*J204</f>
        <v/>
      </c>
      <c r="M204" s="26">
        <f>L204/K204</f>
        <v/>
      </c>
      <c r="N204" s="14" t="inlineStr">
        <is>
          <t>将军撤退+大将军转向</t>
        </is>
      </c>
      <c r="O204" s="14" t="inlineStr">
        <is>
          <t>是</t>
        </is>
      </c>
    </row>
    <row r="205">
      <c r="A205" s="2" t="inlineStr">
        <is>
          <t>2026-05-07</t>
        </is>
      </c>
      <c r="B205" s="2" t="inlineStr">
        <is>
          <t>2026-05-15</t>
        </is>
      </c>
      <c r="C205" s="2" t="inlineStr">
        <is>
          <t>白糖</t>
        </is>
      </c>
      <c r="D205" s="2" t="inlineStr">
        <is>
          <t>SR</t>
        </is>
      </c>
      <c r="E205" s="19" t="inlineStr">
        <is>
          <t>多</t>
        </is>
      </c>
      <c r="F205" s="2" t="inlineStr">
        <is>
          <t>★★★</t>
        </is>
      </c>
      <c r="G205" s="10" t="n">
        <v>18</v>
      </c>
      <c r="H205" s="11" t="n">
        <v>5430</v>
      </c>
      <c r="I205" s="11" t="n">
        <v>5437</v>
      </c>
      <c r="J205" s="10" t="n">
        <v>10</v>
      </c>
      <c r="K205" s="10" t="n">
        <v>30000</v>
      </c>
      <c r="L205" s="23">
        <f>IF(E205="多",1,-1)*(I205-H205)*G205*J205</f>
        <v/>
      </c>
      <c r="M205" s="24">
        <f>L205/K205</f>
        <v/>
      </c>
      <c r="N205" s="2" t="inlineStr">
        <is>
          <t>将军撤退+大将军转向</t>
        </is>
      </c>
      <c r="O205" s="2" t="inlineStr">
        <is>
          <t>否</t>
        </is>
      </c>
    </row>
    <row r="206">
      <c r="A206" s="14" t="inlineStr">
        <is>
          <t>2026-04-28</t>
        </is>
      </c>
      <c r="B206" s="14" t="inlineStr">
        <is>
          <t>2026-05-12</t>
        </is>
      </c>
      <c r="C206" s="14" t="inlineStr">
        <is>
          <t>聚丙烯</t>
        </is>
      </c>
      <c r="D206" s="14" t="inlineStr">
        <is>
          <t>PP</t>
        </is>
      </c>
      <c r="E206" s="14" t="inlineStr">
        <is>
          <t>多</t>
        </is>
      </c>
      <c r="F206" s="14" t="inlineStr">
        <is>
          <t>★★★</t>
        </is>
      </c>
      <c r="G206" s="14" t="n">
        <v>3</v>
      </c>
      <c r="H206" s="15" t="n">
        <v>8788</v>
      </c>
      <c r="I206" s="15" t="n">
        <v>8811</v>
      </c>
      <c r="J206" s="14" t="n">
        <v>5</v>
      </c>
      <c r="K206" s="14" t="n">
        <v>10000</v>
      </c>
      <c r="L206" s="25">
        <f>IF(E206="多",1,-1)*(I206-H206)*G206*J206</f>
        <v/>
      </c>
      <c r="M206" s="26">
        <f>L206/K206</f>
        <v/>
      </c>
      <c r="N206" s="14" t="inlineStr">
        <is>
          <t>大将军转向</t>
        </is>
      </c>
      <c r="O206" s="14" t="inlineStr">
        <is>
          <t>是</t>
        </is>
      </c>
    </row>
    <row r="207">
      <c r="A207" s="2" t="inlineStr">
        <is>
          <t>2026-04-22</t>
        </is>
      </c>
      <c r="B207" s="2" t="inlineStr">
        <is>
          <t>2026-05-12</t>
        </is>
      </c>
      <c r="C207" s="2" t="inlineStr">
        <is>
          <t>沪铜</t>
        </is>
      </c>
      <c r="D207" s="2" t="inlineStr">
        <is>
          <t>CU</t>
        </is>
      </c>
      <c r="E207" s="19" t="inlineStr">
        <is>
          <t>多</t>
        </is>
      </c>
      <c r="F207" s="2" t="inlineStr">
        <is>
          <t>★★★</t>
        </is>
      </c>
      <c r="G207" s="10" t="n">
        <v>1</v>
      </c>
      <c r="H207" s="11" t="n">
        <v>102620</v>
      </c>
      <c r="I207" s="11" t="n">
        <v>106510</v>
      </c>
      <c r="J207" s="10" t="n">
        <v>5</v>
      </c>
      <c r="K207" s="10" t="n">
        <v>30000</v>
      </c>
      <c r="L207" s="23">
        <f>IF(E207="多",1,-1)*(I207-H207)*G207*J207</f>
        <v/>
      </c>
      <c r="M207" s="24">
        <f>L207/K207</f>
        <v/>
      </c>
      <c r="N207" s="2" t="inlineStr">
        <is>
          <t>将军撤退</t>
        </is>
      </c>
      <c r="O207" s="2" t="inlineStr">
        <is>
          <t>否</t>
        </is>
      </c>
    </row>
    <row r="208">
      <c r="A208" s="14" t="inlineStr">
        <is>
          <t>2026-05-08</t>
        </is>
      </c>
      <c r="B208" s="14" t="inlineStr">
        <is>
          <t>2026-05-11</t>
        </is>
      </c>
      <c r="C208" s="14" t="inlineStr">
        <is>
          <t>螺纹钢</t>
        </is>
      </c>
      <c r="D208" s="14" t="inlineStr">
        <is>
          <t>RB</t>
        </is>
      </c>
      <c r="E208" s="14" t="inlineStr">
        <is>
          <t>多</t>
        </is>
      </c>
      <c r="F208" s="14" t="inlineStr">
        <is>
          <t>★★</t>
        </is>
      </c>
      <c r="G208" s="14" t="n">
        <v>11</v>
      </c>
      <c r="H208" s="15" t="n">
        <v>3262</v>
      </c>
      <c r="I208" s="15" t="n">
        <v>3286</v>
      </c>
      <c r="J208" s="14" t="n">
        <v>10</v>
      </c>
      <c r="K208" s="14" t="n">
        <v>10000</v>
      </c>
      <c r="L208" s="25">
        <f>IF(E208="多",1,-1)*(I208-H208)*G208*J208</f>
        <v/>
      </c>
      <c r="M208" s="26">
        <f>L208/K208</f>
        <v/>
      </c>
      <c r="N208" s="14" t="inlineStr">
        <is>
          <t>将军撤退</t>
        </is>
      </c>
      <c r="O208" s="14" t="inlineStr">
        <is>
          <t>是</t>
        </is>
      </c>
    </row>
    <row r="209">
      <c r="A209" s="2" t="inlineStr">
        <is>
          <t>2026-04-30</t>
        </is>
      </c>
      <c r="B209" s="2" t="inlineStr">
        <is>
          <t>2026-05-11</t>
        </is>
      </c>
      <c r="C209" s="2" t="inlineStr">
        <is>
          <t>热卷</t>
        </is>
      </c>
      <c r="D209" s="2" t="inlineStr">
        <is>
          <t>HC</t>
        </is>
      </c>
      <c r="E209" s="19" t="inlineStr">
        <is>
          <t>多</t>
        </is>
      </c>
      <c r="F209" s="2" t="inlineStr">
        <is>
          <t>★★★</t>
        </is>
      </c>
      <c r="G209" s="10" t="n">
        <v>33</v>
      </c>
      <c r="H209" s="11" t="n">
        <v>3435</v>
      </c>
      <c r="I209" s="11" t="n">
        <v>3497</v>
      </c>
      <c r="J209" s="10" t="n">
        <v>10</v>
      </c>
      <c r="K209" s="10" t="n">
        <v>30000</v>
      </c>
      <c r="L209" s="23">
        <f>IF(E209="多",1,-1)*(I209-H209)*G209*J209</f>
        <v/>
      </c>
      <c r="M209" s="24">
        <f>L209/K209</f>
        <v/>
      </c>
      <c r="N209" s="2" t="inlineStr">
        <is>
          <t>将军撤退+大将军转向</t>
        </is>
      </c>
      <c r="O209" s="2" t="inlineStr">
        <is>
          <t>否</t>
        </is>
      </c>
    </row>
    <row r="210">
      <c r="A210" s="14" t="inlineStr">
        <is>
          <t>2026-04-22</t>
        </is>
      </c>
      <c r="B210" s="14" t="inlineStr">
        <is>
          <t>2026-05-11</t>
        </is>
      </c>
      <c r="C210" s="14" t="inlineStr">
        <is>
          <t>棉花</t>
        </is>
      </c>
      <c r="D210" s="14" t="inlineStr">
        <is>
          <t>CF</t>
        </is>
      </c>
      <c r="E210" s="14" t="inlineStr">
        <is>
          <t>多</t>
        </is>
      </c>
      <c r="F210" s="14" t="inlineStr">
        <is>
          <t>★★★</t>
        </is>
      </c>
      <c r="G210" s="14" t="n">
        <v>2</v>
      </c>
      <c r="H210" s="15" t="n">
        <v>16230</v>
      </c>
      <c r="I210" s="15" t="n">
        <v>16335</v>
      </c>
      <c r="J210" s="14" t="n">
        <v>5</v>
      </c>
      <c r="K210" s="14" t="n">
        <v>10000</v>
      </c>
      <c r="L210" s="25">
        <f>IF(E210="多",1,-1)*(I210-H210)*G210*J210</f>
        <v/>
      </c>
      <c r="M210" s="26">
        <f>L210/K210</f>
        <v/>
      </c>
      <c r="N210" s="14" t="inlineStr">
        <is>
          <t>大将军转向</t>
        </is>
      </c>
      <c r="O210" s="14" t="inlineStr">
        <is>
          <t>是</t>
        </is>
      </c>
    </row>
    <row r="211">
      <c r="A211" s="2" t="inlineStr">
        <is>
          <t>2026-05-06</t>
        </is>
      </c>
      <c r="B211" s="2" t="inlineStr">
        <is>
          <t>2026-05-07</t>
        </is>
      </c>
      <c r="C211" s="2" t="inlineStr">
        <is>
          <t>碳酸锂</t>
        </is>
      </c>
      <c r="D211" s="2" t="inlineStr">
        <is>
          <t>LC</t>
        </is>
      </c>
      <c r="E211" s="19" t="inlineStr">
        <is>
          <t>多</t>
        </is>
      </c>
      <c r="F211" s="2" t="inlineStr">
        <is>
          <t>★★★</t>
        </is>
      </c>
      <c r="G211" s="10" t="n">
        <v>1</v>
      </c>
      <c r="H211" s="11" t="n">
        <v>199000</v>
      </c>
      <c r="I211" s="11" t="n">
        <v>199060</v>
      </c>
      <c r="J211" s="10" t="n">
        <v>1</v>
      </c>
      <c r="K211" s="10" t="n">
        <v>30000</v>
      </c>
      <c r="L211" s="23">
        <f>IF(E211="多",1,-1)*(I211-H211)*G211*J211</f>
        <v/>
      </c>
      <c r="M211" s="24">
        <f>L211/K211</f>
        <v/>
      </c>
      <c r="N211" s="2" t="inlineStr">
        <is>
          <t>大将军转向</t>
        </is>
      </c>
      <c r="O211" s="2" t="inlineStr">
        <is>
          <t>否</t>
        </is>
      </c>
    </row>
    <row r="212">
      <c r="A212" s="2" t="inlineStr">
        <is>
          <t>2026-04-20</t>
        </is>
      </c>
      <c r="B212" s="2" t="inlineStr">
        <is>
          <t>2026-05-06</t>
        </is>
      </c>
      <c r="C212" s="2" t="inlineStr">
        <is>
          <t>白糖</t>
        </is>
      </c>
      <c r="D212" s="2" t="inlineStr">
        <is>
          <t>SR</t>
        </is>
      </c>
      <c r="E212" s="9" t="inlineStr">
        <is>
          <t>空</t>
        </is>
      </c>
      <c r="F212" s="2" t="inlineStr">
        <is>
          <t>★★★</t>
        </is>
      </c>
      <c r="G212" s="10" t="n">
        <v>17</v>
      </c>
      <c r="H212" s="11" t="n">
        <v>5314</v>
      </c>
      <c r="I212" s="11" t="n">
        <v>5458.29</v>
      </c>
      <c r="J212" s="10" t="n">
        <v>10</v>
      </c>
      <c r="K212" s="10" t="n">
        <v>30000</v>
      </c>
      <c r="L212" s="23">
        <f>IF(E212="多",1,-1)*(I212-H212)*G212*J212</f>
        <v/>
      </c>
      <c r="M212" s="24">
        <f>L212/K212</f>
        <v/>
      </c>
      <c r="N212" s="2" t="inlineStr">
        <is>
          <t>止损</t>
        </is>
      </c>
      <c r="O212" s="2" t="inlineStr">
        <is>
          <t>否</t>
        </is>
      </c>
    </row>
    <row r="213">
      <c r="A213" s="2" t="inlineStr">
        <is>
          <t>2026-04-20</t>
        </is>
      </c>
      <c r="B213" s="2" t="inlineStr">
        <is>
          <t>2026-04-30</t>
        </is>
      </c>
      <c r="C213" s="2" t="inlineStr">
        <is>
          <t>碳酸锂</t>
        </is>
      </c>
      <c r="D213" s="2" t="inlineStr">
        <is>
          <t>LC</t>
        </is>
      </c>
      <c r="E213" s="19" t="inlineStr">
        <is>
          <t>多</t>
        </is>
      </c>
      <c r="F213" s="2" t="inlineStr">
        <is>
          <t>★★★</t>
        </is>
      </c>
      <c r="G213" s="10" t="n">
        <v>1</v>
      </c>
      <c r="H213" s="11" t="n">
        <v>180900</v>
      </c>
      <c r="I213" s="11" t="n">
        <v>189080</v>
      </c>
      <c r="J213" s="10" t="n">
        <v>1</v>
      </c>
      <c r="K213" s="10" t="n">
        <v>30000</v>
      </c>
      <c r="L213" s="23">
        <f>IF(E213="多",1,-1)*(I213-H213)*G213*J213</f>
        <v/>
      </c>
      <c r="M213" s="24">
        <f>L213/K213</f>
        <v/>
      </c>
      <c r="N213" s="2" t="inlineStr">
        <is>
          <t>大将军转向</t>
        </is>
      </c>
      <c r="O213" s="2" t="inlineStr">
        <is>
          <t>否</t>
        </is>
      </c>
    </row>
    <row r="214">
      <c r="A214" s="14" t="inlineStr">
        <is>
          <t>2026-04-10</t>
        </is>
      </c>
      <c r="B214" s="14" t="inlineStr">
        <is>
          <t>2026-04-30</t>
        </is>
      </c>
      <c r="C214" s="14" t="inlineStr">
        <is>
          <t>豆一</t>
        </is>
      </c>
      <c r="D214" s="14" t="inlineStr">
        <is>
          <t>A</t>
        </is>
      </c>
      <c r="E214" s="14" t="inlineStr">
        <is>
          <t>多</t>
        </is>
      </c>
      <c r="F214" s="14" t="inlineStr">
        <is>
          <t>★★</t>
        </is>
      </c>
      <c r="G214" s="14" t="n">
        <v>4</v>
      </c>
      <c r="H214" s="15" t="n">
        <v>4890</v>
      </c>
      <c r="I214" s="15" t="n">
        <v>4927</v>
      </c>
      <c r="J214" s="14" t="n">
        <v>10</v>
      </c>
      <c r="K214" s="14" t="n">
        <v>10000</v>
      </c>
      <c r="L214" s="25">
        <f>IF(E214="多",1,-1)*(I214-H214)*G214*J214</f>
        <v/>
      </c>
      <c r="M214" s="26">
        <f>L214/K214</f>
        <v/>
      </c>
      <c r="N214" s="14" t="inlineStr">
        <is>
          <t>大将军转向</t>
        </is>
      </c>
      <c r="O214" s="14" t="inlineStr">
        <is>
          <t>是</t>
        </is>
      </c>
    </row>
    <row r="215">
      <c r="A215" s="14" t="inlineStr">
        <is>
          <t>2026-04-27</t>
        </is>
      </c>
      <c r="B215" s="14" t="inlineStr">
        <is>
          <t>2026-04-28</t>
        </is>
      </c>
      <c r="C215" s="14" t="inlineStr">
        <is>
          <t>沪铝</t>
        </is>
      </c>
      <c r="D215" s="14" t="inlineStr">
        <is>
          <t>AL</t>
        </is>
      </c>
      <c r="E215" s="14" t="inlineStr">
        <is>
          <t>空</t>
        </is>
      </c>
      <c r="F215" s="14" t="inlineStr">
        <is>
          <t>★★</t>
        </is>
      </c>
      <c r="G215" s="14" t="n">
        <v>1</v>
      </c>
      <c r="H215" s="15" t="n">
        <v>24810</v>
      </c>
      <c r="I215" s="15" t="n">
        <v>24610</v>
      </c>
      <c r="J215" s="14" t="n">
        <v>5</v>
      </c>
      <c r="K215" s="14" t="n">
        <v>10000</v>
      </c>
      <c r="L215" s="25">
        <f>IF(E215="多",1,-1)*(I215-H215)*G215*J215</f>
        <v/>
      </c>
      <c r="M215" s="26">
        <f>L215/K215</f>
        <v/>
      </c>
      <c r="N215" s="14" t="inlineStr">
        <is>
          <t>将军撤退+大将军转向</t>
        </is>
      </c>
      <c r="O215" s="14" t="inlineStr">
        <is>
          <t>是</t>
        </is>
      </c>
    </row>
    <row r="216">
      <c r="A216" s="14" t="inlineStr">
        <is>
          <t>2026-04-24</t>
        </is>
      </c>
      <c r="B216" s="14" t="inlineStr">
        <is>
          <t>2026-04-28</t>
        </is>
      </c>
      <c r="C216" s="14" t="inlineStr">
        <is>
          <t>锰硅</t>
        </is>
      </c>
      <c r="D216" s="14" t="inlineStr">
        <is>
          <t>SM</t>
        </is>
      </c>
      <c r="E216" s="14" t="inlineStr">
        <is>
          <t>空</t>
        </is>
      </c>
      <c r="F216" s="14" t="inlineStr">
        <is>
          <t>★★</t>
        </is>
      </c>
      <c r="G216" s="14" t="n">
        <v>7</v>
      </c>
      <c r="H216" s="15" t="n">
        <v>6144</v>
      </c>
      <c r="I216" s="15" t="n">
        <v>6094</v>
      </c>
      <c r="J216" s="14" t="n">
        <v>5</v>
      </c>
      <c r="K216" s="14" t="n">
        <v>10000</v>
      </c>
      <c r="L216" s="25">
        <f>IF(E216="多",1,-1)*(I216-H216)*G216*J216</f>
        <v/>
      </c>
      <c r="M216" s="26">
        <f>L216/K216</f>
        <v/>
      </c>
      <c r="N216" s="14" t="inlineStr">
        <is>
          <t>将军撤退</t>
        </is>
      </c>
      <c r="O216" s="14" t="inlineStr">
        <is>
          <t>是</t>
        </is>
      </c>
    </row>
    <row r="217">
      <c r="A217" s="14" t="inlineStr">
        <is>
          <t>2026-04-24</t>
        </is>
      </c>
      <c r="B217" s="14" t="inlineStr">
        <is>
          <t>2026-04-27</t>
        </is>
      </c>
      <c r="C217" s="14" t="inlineStr">
        <is>
          <t>甲醇</t>
        </is>
      </c>
      <c r="D217" s="14" t="inlineStr">
        <is>
          <t>MA</t>
        </is>
      </c>
      <c r="E217" s="14" t="inlineStr">
        <is>
          <t>多</t>
        </is>
      </c>
      <c r="F217" s="14" t="inlineStr">
        <is>
          <t>★★</t>
        </is>
      </c>
      <c r="G217" s="14" t="n">
        <v>2</v>
      </c>
      <c r="H217" s="15" t="n">
        <v>2891</v>
      </c>
      <c r="I217" s="15" t="n">
        <v>2939</v>
      </c>
      <c r="J217" s="14" t="n">
        <v>10</v>
      </c>
      <c r="K217" s="14" t="n">
        <v>10000</v>
      </c>
      <c r="L217" s="25">
        <f>IF(E217="多",1,-1)*(I217-H217)*G217*J217</f>
        <v/>
      </c>
      <c r="M217" s="26">
        <f>L217/K217</f>
        <v/>
      </c>
      <c r="N217" s="14" t="inlineStr">
        <is>
          <t>大将军转向</t>
        </is>
      </c>
      <c r="O217" s="14" t="inlineStr">
        <is>
          <t>是</t>
        </is>
      </c>
    </row>
    <row r="218">
      <c r="A218" s="14" t="inlineStr">
        <is>
          <t>2026-04-23</t>
        </is>
      </c>
      <c r="B218" s="14" t="inlineStr">
        <is>
          <t>2026-04-27</t>
        </is>
      </c>
      <c r="C218" s="14" t="inlineStr">
        <is>
          <t>乙二醇</t>
        </is>
      </c>
      <c r="D218" s="14" t="inlineStr">
        <is>
          <t>EG</t>
        </is>
      </c>
      <c r="E218" s="14" t="inlineStr">
        <is>
          <t>多</t>
        </is>
      </c>
      <c r="F218" s="14" t="inlineStr">
        <is>
          <t>★★</t>
        </is>
      </c>
      <c r="G218" s="14" t="n">
        <v>1</v>
      </c>
      <c r="H218" s="15" t="n">
        <v>4819</v>
      </c>
      <c r="I218" s="15" t="n">
        <v>4941</v>
      </c>
      <c r="J218" s="14" t="n">
        <v>10</v>
      </c>
      <c r="K218" s="14" t="n">
        <v>10000</v>
      </c>
      <c r="L218" s="25">
        <f>IF(E218="多",1,-1)*(I218-H218)*G218*J218</f>
        <v/>
      </c>
      <c r="M218" s="26">
        <f>L218/K218</f>
        <v/>
      </c>
      <c r="N218" s="14" t="inlineStr">
        <is>
          <t>将军撤退+大将军转向</t>
        </is>
      </c>
      <c r="O218" s="14" t="inlineStr">
        <is>
          <t>是</t>
        </is>
      </c>
    </row>
    <row r="219">
      <c r="A219" s="14" t="inlineStr">
        <is>
          <t>2026-04-17</t>
        </is>
      </c>
      <c r="B219" s="14" t="inlineStr">
        <is>
          <t>2026-04-27</t>
        </is>
      </c>
      <c r="C219" s="14" t="inlineStr">
        <is>
          <t>沪铝</t>
        </is>
      </c>
      <c r="D219" s="14" t="inlineStr">
        <is>
          <t>AL</t>
        </is>
      </c>
      <c r="E219" s="14" t="inlineStr">
        <is>
          <t>多</t>
        </is>
      </c>
      <c r="F219" s="14" t="inlineStr">
        <is>
          <t>★★</t>
        </is>
      </c>
      <c r="G219" s="14" t="n">
        <v>1</v>
      </c>
      <c r="H219" s="15" t="n">
        <v>25445</v>
      </c>
      <c r="I219" s="15" t="n">
        <v>24855</v>
      </c>
      <c r="J219" s="14" t="n">
        <v>5</v>
      </c>
      <c r="K219" s="14" t="n">
        <v>10000</v>
      </c>
      <c r="L219" s="25">
        <f>IF(E219="多",1,-1)*(I219-H219)*G219*J219</f>
        <v/>
      </c>
      <c r="M219" s="26">
        <f>L219/K219</f>
        <v/>
      </c>
      <c r="N219" s="14" t="inlineStr">
        <is>
          <t>反向信号</t>
        </is>
      </c>
      <c r="O219" s="14" t="inlineStr">
        <is>
          <t>是</t>
        </is>
      </c>
    </row>
    <row r="220">
      <c r="A220" s="14" t="inlineStr">
        <is>
          <t>2026-04-22</t>
        </is>
      </c>
      <c r="B220" s="14" t="inlineStr">
        <is>
          <t>2026-04-23</t>
        </is>
      </c>
      <c r="C220" s="14" t="inlineStr">
        <is>
          <t>PTA</t>
        </is>
      </c>
      <c r="D220" s="14" t="inlineStr">
        <is>
          <t>TA</t>
        </is>
      </c>
      <c r="E220" s="14" t="inlineStr">
        <is>
          <t>多</t>
        </is>
      </c>
      <c r="F220" s="14" t="inlineStr">
        <is>
          <t>★★</t>
        </is>
      </c>
      <c r="G220" s="14" t="n">
        <v>2</v>
      </c>
      <c r="H220" s="15" t="n">
        <v>6412</v>
      </c>
      <c r="I220" s="15" t="n">
        <v>6536</v>
      </c>
      <c r="J220" s="14" t="n">
        <v>5</v>
      </c>
      <c r="K220" s="14" t="n">
        <v>10000</v>
      </c>
      <c r="L220" s="25">
        <f>IF(E220="多",1,-1)*(I220-H220)*G220*J220</f>
        <v/>
      </c>
      <c r="M220" s="26">
        <f>L220/K220</f>
        <v/>
      </c>
      <c r="N220" s="14" t="inlineStr">
        <is>
          <t>将军撤退+大将军转向</t>
        </is>
      </c>
      <c r="O220" s="14" t="inlineStr">
        <is>
          <t>是</t>
        </is>
      </c>
    </row>
    <row r="221">
      <c r="A221" s="14" t="inlineStr">
        <is>
          <t>2026-04-22</t>
        </is>
      </c>
      <c r="B221" s="14" t="inlineStr">
        <is>
          <t>2026-04-23</t>
        </is>
      </c>
      <c r="C221" s="14" t="inlineStr">
        <is>
          <t>锰硅</t>
        </is>
      </c>
      <c r="D221" s="14" t="inlineStr">
        <is>
          <t>SM</t>
        </is>
      </c>
      <c r="E221" s="14" t="inlineStr">
        <is>
          <t>空</t>
        </is>
      </c>
      <c r="F221" s="14" t="inlineStr">
        <is>
          <t>★★</t>
        </is>
      </c>
      <c r="G221" s="14" t="n">
        <v>6</v>
      </c>
      <c r="H221" s="15" t="n">
        <v>6234</v>
      </c>
      <c r="I221" s="15" t="n">
        <v>6170</v>
      </c>
      <c r="J221" s="14" t="n">
        <v>5</v>
      </c>
      <c r="K221" s="14" t="n">
        <v>10000</v>
      </c>
      <c r="L221" s="25">
        <f>IF(E221="多",1,-1)*(I221-H221)*G221*J221</f>
        <v/>
      </c>
      <c r="M221" s="26">
        <f>L221/K221</f>
        <v/>
      </c>
      <c r="N221" s="14" t="inlineStr">
        <is>
          <t>将军撤退+大将军转向</t>
        </is>
      </c>
      <c r="O221" s="14" t="inlineStr">
        <is>
          <t>是</t>
        </is>
      </c>
    </row>
    <row r="222">
      <c r="A222" s="14" t="inlineStr">
        <is>
          <t>2026-04-21</t>
        </is>
      </c>
      <c r="B222" s="14" t="inlineStr">
        <is>
          <t>2026-04-22</t>
        </is>
      </c>
      <c r="C222" s="14" t="inlineStr">
        <is>
          <t>沪锌</t>
        </is>
      </c>
      <c r="D222" s="14" t="inlineStr">
        <is>
          <t>ZN</t>
        </is>
      </c>
      <c r="E222" s="14" t="inlineStr">
        <is>
          <t>多</t>
        </is>
      </c>
      <c r="F222" s="14" t="inlineStr">
        <is>
          <t>★★</t>
        </is>
      </c>
      <c r="G222" s="14" t="n">
        <v>2</v>
      </c>
      <c r="H222" s="15" t="n">
        <v>24290</v>
      </c>
      <c r="I222" s="15" t="n">
        <v>24250</v>
      </c>
      <c r="J222" s="14" t="n">
        <v>5</v>
      </c>
      <c r="K222" s="14" t="n">
        <v>10000</v>
      </c>
      <c r="L222" s="25">
        <f>IF(E222="多",1,-1)*(I222-H222)*G222*J222</f>
        <v/>
      </c>
      <c r="M222" s="26">
        <f>L222/K222</f>
        <v/>
      </c>
      <c r="N222" s="14" t="inlineStr">
        <is>
          <t>将军撤退</t>
        </is>
      </c>
      <c r="O222" s="14" t="inlineStr">
        <is>
          <t>是</t>
        </is>
      </c>
    </row>
    <row r="223">
      <c r="A223" s="2" t="inlineStr">
        <is>
          <t>2026-04-20</t>
        </is>
      </c>
      <c r="B223" s="2" t="inlineStr">
        <is>
          <t>2026-04-22</t>
        </is>
      </c>
      <c r="C223" s="2" t="inlineStr">
        <is>
          <t>玉米</t>
        </is>
      </c>
      <c r="D223" s="2" t="inlineStr">
        <is>
          <t>C</t>
        </is>
      </c>
      <c r="E223" s="19" t="inlineStr">
        <is>
          <t>多</t>
        </is>
      </c>
      <c r="F223" s="2" t="inlineStr">
        <is>
          <t>★★★</t>
        </is>
      </c>
      <c r="G223" s="10" t="n">
        <v>19</v>
      </c>
      <c r="H223" s="11" t="n">
        <v>2415</v>
      </c>
      <c r="I223" s="11" t="n">
        <v>2434</v>
      </c>
      <c r="J223" s="10" t="n">
        <v>10</v>
      </c>
      <c r="K223" s="10" t="n">
        <v>10000</v>
      </c>
      <c r="L223" s="23">
        <f>IF(E223="多",1,-1)*(I223-H223)*G223*J223</f>
        <v/>
      </c>
      <c r="M223" s="24">
        <f>L223/K223</f>
        <v/>
      </c>
      <c r="N223" s="2" t="inlineStr">
        <is>
          <t>将军撤退+大将军转向</t>
        </is>
      </c>
      <c r="O223" s="2" t="inlineStr">
        <is>
          <t>否</t>
        </is>
      </c>
    </row>
    <row r="224">
      <c r="A224" s="2" t="inlineStr">
        <is>
          <t>2026-04-17</t>
        </is>
      </c>
      <c r="B224" s="2" t="inlineStr">
        <is>
          <t>2026-04-22</t>
        </is>
      </c>
      <c r="C224" s="2" t="inlineStr">
        <is>
          <t>菜粕</t>
        </is>
      </c>
      <c r="D224" s="2" t="inlineStr">
        <is>
          <t>RM</t>
        </is>
      </c>
      <c r="E224" s="9" t="inlineStr">
        <is>
          <t>空</t>
        </is>
      </c>
      <c r="F224" s="2" t="inlineStr">
        <is>
          <t>★★★</t>
        </is>
      </c>
      <c r="G224" s="10" t="n">
        <v>30</v>
      </c>
      <c r="H224" s="11" t="n">
        <v>2319</v>
      </c>
      <c r="I224" s="11" t="n">
        <v>2392.79</v>
      </c>
      <c r="J224" s="10" t="n">
        <v>10</v>
      </c>
      <c r="K224" s="10" t="n">
        <v>30000</v>
      </c>
      <c r="L224" s="23">
        <f>IF(E224="多",1,-1)*(I224-H224)*G224*J224</f>
        <v/>
      </c>
      <c r="M224" s="24">
        <f>L224/K224</f>
        <v/>
      </c>
      <c r="N224" s="2" t="inlineStr">
        <is>
          <t>止损</t>
        </is>
      </c>
      <c r="O224" s="2" t="inlineStr">
        <is>
          <t>否</t>
        </is>
      </c>
    </row>
    <row r="225">
      <c r="A225" s="14" t="inlineStr">
        <is>
          <t>2026-04-01</t>
        </is>
      </c>
      <c r="B225" s="14" t="inlineStr">
        <is>
          <t>2026-04-22</t>
        </is>
      </c>
      <c r="C225" s="14" t="inlineStr">
        <is>
          <t>豆粕</t>
        </is>
      </c>
      <c r="D225" s="14" t="inlineStr">
        <is>
          <t>M</t>
        </is>
      </c>
      <c r="E225" s="14" t="inlineStr">
        <is>
          <t>空</t>
        </is>
      </c>
      <c r="F225" s="14" t="inlineStr">
        <is>
          <t>★★★</t>
        </is>
      </c>
      <c r="G225" s="14" t="n">
        <v>5</v>
      </c>
      <c r="H225" s="15" t="n">
        <v>2960</v>
      </c>
      <c r="I225" s="15" t="n">
        <v>3031.79</v>
      </c>
      <c r="J225" s="14" t="n">
        <v>10</v>
      </c>
      <c r="K225" s="14" t="n">
        <v>10000</v>
      </c>
      <c r="L225" s="25">
        <f>IF(E225="多",1,-1)*(I225-H225)*G225*J225</f>
        <v/>
      </c>
      <c r="M225" s="26">
        <f>L225/K225</f>
        <v/>
      </c>
      <c r="N225" s="14" t="inlineStr">
        <is>
          <t>止损</t>
        </is>
      </c>
      <c r="O225" s="14" t="inlineStr">
        <is>
          <t>是</t>
        </is>
      </c>
    </row>
    <row r="226">
      <c r="A226" s="14" t="inlineStr">
        <is>
          <t>2026-04-20</t>
        </is>
      </c>
      <c r="B226" s="14" t="inlineStr">
        <is>
          <t>2026-04-21</t>
        </is>
      </c>
      <c r="C226" s="14" t="inlineStr">
        <is>
          <t>锰硅</t>
        </is>
      </c>
      <c r="D226" s="14" t="inlineStr">
        <is>
          <t>SM</t>
        </is>
      </c>
      <c r="E226" s="14" t="inlineStr">
        <is>
          <t>空</t>
        </is>
      </c>
      <c r="F226" s="14" t="inlineStr">
        <is>
          <t>★★</t>
        </is>
      </c>
      <c r="G226" s="14" t="n">
        <v>5</v>
      </c>
      <c r="H226" s="15" t="n">
        <v>6184</v>
      </c>
      <c r="I226" s="15" t="n">
        <v>6200</v>
      </c>
      <c r="J226" s="14" t="n">
        <v>5</v>
      </c>
      <c r="K226" s="14" t="n">
        <v>10000</v>
      </c>
      <c r="L226" s="25">
        <f>IF(E226="多",1,-1)*(I226-H226)*G226*J226</f>
        <v/>
      </c>
      <c r="M226" s="26">
        <f>L226/K226</f>
        <v/>
      </c>
      <c r="N226" s="14" t="inlineStr">
        <is>
          <t>将军撤退</t>
        </is>
      </c>
      <c r="O226" s="14" t="inlineStr">
        <is>
          <t>是</t>
        </is>
      </c>
    </row>
    <row r="227">
      <c r="A227" s="14" t="inlineStr">
        <is>
          <t>2026-04-13</t>
        </is>
      </c>
      <c r="B227" s="14" t="inlineStr">
        <is>
          <t>2026-04-21</t>
        </is>
      </c>
      <c r="C227" s="14" t="inlineStr">
        <is>
          <t>纯碱</t>
        </is>
      </c>
      <c r="D227" s="14" t="inlineStr">
        <is>
          <t>SA</t>
        </is>
      </c>
      <c r="E227" s="14" t="inlineStr">
        <is>
          <t>空</t>
        </is>
      </c>
      <c r="F227" s="14" t="inlineStr">
        <is>
          <t>★★</t>
        </is>
      </c>
      <c r="G227" s="14" t="n">
        <v>6</v>
      </c>
      <c r="H227" s="15" t="n">
        <v>1210</v>
      </c>
      <c r="I227" s="15" t="n">
        <v>1247</v>
      </c>
      <c r="J227" s="14" t="n">
        <v>20</v>
      </c>
      <c r="K227" s="14" t="n">
        <v>10000</v>
      </c>
      <c r="L227" s="25">
        <f>IF(E227="多",1,-1)*(I227-H227)*G227*J227</f>
        <v/>
      </c>
      <c r="M227" s="26">
        <f>L227/K227</f>
        <v/>
      </c>
      <c r="N227" s="14" t="inlineStr">
        <is>
          <t>将军撤退</t>
        </is>
      </c>
      <c r="O227" s="14" t="inlineStr">
        <is>
          <t>是</t>
        </is>
      </c>
    </row>
    <row r="228">
      <c r="A228" s="2" t="inlineStr">
        <is>
          <t>2026-04-15</t>
        </is>
      </c>
      <c r="B228" s="2" t="inlineStr">
        <is>
          <t>2026-04-20</t>
        </is>
      </c>
      <c r="C228" s="2" t="inlineStr">
        <is>
          <t>沪镍</t>
        </is>
      </c>
      <c r="D228" s="2" t="inlineStr">
        <is>
          <t>NI</t>
        </is>
      </c>
      <c r="E228" s="19" t="inlineStr">
        <is>
          <t>多</t>
        </is>
      </c>
      <c r="F228" s="2" t="inlineStr">
        <is>
          <t>★★★</t>
        </is>
      </c>
      <c r="G228" s="10" t="n">
        <v>3</v>
      </c>
      <c r="H228" s="11" t="n">
        <v>142370</v>
      </c>
      <c r="I228" s="11" t="n">
        <v>141930</v>
      </c>
      <c r="J228" s="10" t="n">
        <v>1</v>
      </c>
      <c r="K228" s="10" t="n">
        <v>30000</v>
      </c>
      <c r="L228" s="23">
        <f>IF(E228="多",1,-1)*(I228-H228)*G228*J228</f>
        <v/>
      </c>
      <c r="M228" s="24">
        <f>L228/K228</f>
        <v/>
      </c>
      <c r="N228" s="2" t="inlineStr">
        <is>
          <t>将军撤退</t>
        </is>
      </c>
      <c r="O228" s="2" t="inlineStr">
        <is>
          <t>否</t>
        </is>
      </c>
    </row>
    <row r="229">
      <c r="A229" s="2" t="inlineStr">
        <is>
          <t>2026-04-14</t>
        </is>
      </c>
      <c r="B229" s="2" t="inlineStr">
        <is>
          <t>2026-04-20</t>
        </is>
      </c>
      <c r="C229" s="2" t="inlineStr">
        <is>
          <t>氧化铝</t>
        </is>
      </c>
      <c r="D229" s="2" t="inlineStr">
        <is>
          <t>AO</t>
        </is>
      </c>
      <c r="E229" s="9" t="inlineStr">
        <is>
          <t>空</t>
        </is>
      </c>
      <c r="F229" s="2" t="inlineStr">
        <is>
          <t>★★★</t>
        </is>
      </c>
      <c r="G229" s="10" t="n">
        <v>2</v>
      </c>
      <c r="H229" s="11" t="n">
        <v>2788</v>
      </c>
      <c r="I229" s="11" t="n">
        <v>2790</v>
      </c>
      <c r="J229" s="10" t="n">
        <v>20</v>
      </c>
      <c r="K229" s="10" t="n">
        <v>10000</v>
      </c>
      <c r="L229" s="23">
        <f>IF(E229="多",1,-1)*(I229-H229)*G229*J229</f>
        <v/>
      </c>
      <c r="M229" s="24">
        <f>L229/K229</f>
        <v/>
      </c>
      <c r="N229" s="2" t="inlineStr">
        <is>
          <t>将军撤退</t>
        </is>
      </c>
      <c r="O229" s="2" t="inlineStr">
        <is>
          <t>否</t>
        </is>
      </c>
    </row>
    <row r="230">
      <c r="A230" s="14" t="inlineStr">
        <is>
          <t>2026-04-08</t>
        </is>
      </c>
      <c r="B230" s="14" t="inlineStr">
        <is>
          <t>2026-04-20</t>
        </is>
      </c>
      <c r="C230" s="14" t="inlineStr">
        <is>
          <t>沪锌</t>
        </is>
      </c>
      <c r="D230" s="14" t="inlineStr">
        <is>
          <t>ZN</t>
        </is>
      </c>
      <c r="E230" s="14" t="inlineStr">
        <is>
          <t>多</t>
        </is>
      </c>
      <c r="F230" s="14" t="inlineStr">
        <is>
          <t>★★★</t>
        </is>
      </c>
      <c r="G230" s="14" t="n">
        <v>1</v>
      </c>
      <c r="H230" s="15" t="n">
        <v>23835</v>
      </c>
      <c r="I230" s="15" t="n">
        <v>24205</v>
      </c>
      <c r="J230" s="14" t="n">
        <v>5</v>
      </c>
      <c r="K230" s="14" t="n">
        <v>10000</v>
      </c>
      <c r="L230" s="25">
        <f>IF(E230="多",1,-1)*(I230-H230)*G230*J230</f>
        <v/>
      </c>
      <c r="M230" s="26">
        <f>L230/K230</f>
        <v/>
      </c>
      <c r="N230" s="14" t="inlineStr">
        <is>
          <t>大将军转向</t>
        </is>
      </c>
      <c r="O230" s="14" t="inlineStr">
        <is>
          <t>是</t>
        </is>
      </c>
    </row>
    <row r="231">
      <c r="A231" s="14" t="inlineStr">
        <is>
          <t>2026-04-07</t>
        </is>
      </c>
      <c r="B231" s="14" t="inlineStr">
        <is>
          <t>2026-04-20</t>
        </is>
      </c>
      <c r="C231" s="14" t="inlineStr">
        <is>
          <t>聚丙烯</t>
        </is>
      </c>
      <c r="D231" s="14" t="inlineStr">
        <is>
          <t>PP</t>
        </is>
      </c>
      <c r="E231" s="14" t="inlineStr">
        <is>
          <t>多</t>
        </is>
      </c>
      <c r="F231" s="14" t="inlineStr">
        <is>
          <t>★★</t>
        </is>
      </c>
      <c r="G231" s="14" t="n">
        <v>1</v>
      </c>
      <c r="H231" s="15" t="n">
        <v>9375</v>
      </c>
      <c r="I231" s="15" t="n">
        <v>8120</v>
      </c>
      <c r="J231" s="14" t="n">
        <v>5</v>
      </c>
      <c r="K231" s="14" t="n">
        <v>10000</v>
      </c>
      <c r="L231" s="25">
        <f>IF(E231="多",1,-1)*(I231-H231)*G231*J231</f>
        <v/>
      </c>
      <c r="M231" s="26">
        <f>L231/K231</f>
        <v/>
      </c>
      <c r="N231" s="14" t="inlineStr">
        <is>
          <t>跳空止损</t>
        </is>
      </c>
      <c r="O231" s="14" t="inlineStr">
        <is>
          <t>是</t>
        </is>
      </c>
    </row>
    <row r="232">
      <c r="A232" s="2" t="inlineStr">
        <is>
          <t>2026-04-07</t>
        </is>
      </c>
      <c r="B232" s="2" t="inlineStr">
        <is>
          <t>2026-04-20</t>
        </is>
      </c>
      <c r="C232" s="2" t="inlineStr">
        <is>
          <t>乙二醇</t>
        </is>
      </c>
      <c r="D232" s="2" t="inlineStr">
        <is>
          <t>EG</t>
        </is>
      </c>
      <c r="E232" s="19" t="inlineStr">
        <is>
          <t>多</t>
        </is>
      </c>
      <c r="F232" s="2" t="inlineStr">
        <is>
          <t>★★★</t>
        </is>
      </c>
      <c r="G232" s="10" t="n">
        <v>2</v>
      </c>
      <c r="H232" s="11" t="n">
        <v>5651</v>
      </c>
      <c r="I232" s="11" t="n">
        <v>4650</v>
      </c>
      <c r="J232" s="10" t="n">
        <v>10</v>
      </c>
      <c r="K232" s="10" t="n">
        <v>30000</v>
      </c>
      <c r="L232" s="23">
        <f>IF(E232="多",1,-1)*(I232-H232)*G232*J232</f>
        <v/>
      </c>
      <c r="M232" s="24">
        <f>L232/K232</f>
        <v/>
      </c>
      <c r="N232" s="2" t="inlineStr">
        <is>
          <t>跳空止损</t>
        </is>
      </c>
      <c r="O232" s="2" t="inlineStr">
        <is>
          <t>否</t>
        </is>
      </c>
    </row>
    <row r="233">
      <c r="A233" s="14" t="inlineStr">
        <is>
          <t>2026-04-14</t>
        </is>
      </c>
      <c r="B233" s="14" t="inlineStr">
        <is>
          <t>2026-04-17</t>
        </is>
      </c>
      <c r="C233" s="14" t="inlineStr">
        <is>
          <t>螺纹钢</t>
        </is>
      </c>
      <c r="D233" s="14" t="inlineStr">
        <is>
          <t>RB</t>
        </is>
      </c>
      <c r="E233" s="14" t="inlineStr">
        <is>
          <t>空</t>
        </is>
      </c>
      <c r="F233" s="14" t="inlineStr">
        <is>
          <t>★★</t>
        </is>
      </c>
      <c r="G233" s="14" t="n">
        <v>13</v>
      </c>
      <c r="H233" s="15" t="n">
        <v>3094</v>
      </c>
      <c r="I233" s="15" t="n">
        <v>3133</v>
      </c>
      <c r="J233" s="14" t="n">
        <v>10</v>
      </c>
      <c r="K233" s="14" t="n">
        <v>10000</v>
      </c>
      <c r="L233" s="25">
        <f>IF(E233="多",1,-1)*(I233-H233)*G233*J233</f>
        <v/>
      </c>
      <c r="M233" s="26">
        <f>L233/K233</f>
        <v/>
      </c>
      <c r="N233" s="14" t="inlineStr">
        <is>
          <t>大将军转向</t>
        </is>
      </c>
      <c r="O233" s="14" t="inlineStr">
        <is>
          <t>是</t>
        </is>
      </c>
    </row>
    <row r="234">
      <c r="A234" s="14" t="inlineStr">
        <is>
          <t>2026-04-13</t>
        </is>
      </c>
      <c r="B234" s="14" t="inlineStr">
        <is>
          <t>2026-04-17</t>
        </is>
      </c>
      <c r="C234" s="14" t="inlineStr">
        <is>
          <t>鸡蛋</t>
        </is>
      </c>
      <c r="D234" s="14" t="inlineStr">
        <is>
          <t>JD</t>
        </is>
      </c>
      <c r="E234" s="14" t="inlineStr">
        <is>
          <t>多</t>
        </is>
      </c>
      <c r="F234" s="14" t="inlineStr">
        <is>
          <t>★★</t>
        </is>
      </c>
      <c r="G234" s="14" t="n">
        <v>6</v>
      </c>
      <c r="H234" s="15" t="n">
        <v>3270</v>
      </c>
      <c r="I234" s="15" t="n">
        <v>3361</v>
      </c>
      <c r="J234" s="14" t="n">
        <v>10</v>
      </c>
      <c r="K234" s="14" t="n">
        <v>10000</v>
      </c>
      <c r="L234" s="25">
        <f>IF(E234="多",1,-1)*(I234-H234)*G234*J234</f>
        <v/>
      </c>
      <c r="M234" s="26">
        <f>L234/K234</f>
        <v/>
      </c>
      <c r="N234" s="14" t="inlineStr">
        <is>
          <t>大将军转向</t>
        </is>
      </c>
      <c r="O234" s="14" t="inlineStr">
        <is>
          <t>是</t>
        </is>
      </c>
    </row>
    <row r="235">
      <c r="A235" s="2" t="inlineStr">
        <is>
          <t>2026-04-13</t>
        </is>
      </c>
      <c r="B235" s="2" t="inlineStr">
        <is>
          <t>2026-04-17</t>
        </is>
      </c>
      <c r="C235" s="2" t="inlineStr">
        <is>
          <t>玻璃</t>
        </is>
      </c>
      <c r="D235" s="2" t="inlineStr">
        <is>
          <t>FG</t>
        </is>
      </c>
      <c r="E235" s="9" t="inlineStr">
        <is>
          <t>空</t>
        </is>
      </c>
      <c r="F235" s="2" t="inlineStr">
        <is>
          <t>★★★</t>
        </is>
      </c>
      <c r="G235" s="10" t="n">
        <v>21</v>
      </c>
      <c r="H235" s="11" t="n">
        <v>1058</v>
      </c>
      <c r="I235" s="11" t="n">
        <v>1078</v>
      </c>
      <c r="J235" s="10" t="n">
        <v>20</v>
      </c>
      <c r="K235" s="10" t="n">
        <v>30000</v>
      </c>
      <c r="L235" s="23">
        <f>IF(E235="多",1,-1)*(I235-H235)*G235*J235</f>
        <v/>
      </c>
      <c r="M235" s="24">
        <f>L235/K235</f>
        <v/>
      </c>
      <c r="N235" s="2" t="inlineStr">
        <is>
          <t>将军撤退</t>
        </is>
      </c>
      <c r="O235" s="2" t="inlineStr">
        <is>
          <t>否</t>
        </is>
      </c>
    </row>
    <row r="236">
      <c r="A236" s="14" t="inlineStr">
        <is>
          <t>2026-04-02</t>
        </is>
      </c>
      <c r="B236" s="14" t="inlineStr">
        <is>
          <t>2026-04-16</t>
        </is>
      </c>
      <c r="C236" s="14" t="inlineStr">
        <is>
          <t>热卷</t>
        </is>
      </c>
      <c r="D236" s="14" t="inlineStr">
        <is>
          <t>HC</t>
        </is>
      </c>
      <c r="E236" s="14" t="inlineStr">
        <is>
          <t>空</t>
        </is>
      </c>
      <c r="F236" s="14" t="inlineStr">
        <is>
          <t>★★★</t>
        </is>
      </c>
      <c r="G236" s="14" t="n">
        <v>12</v>
      </c>
      <c r="H236" s="15" t="n">
        <v>3298</v>
      </c>
      <c r="I236" s="15" t="n">
        <v>3323.79</v>
      </c>
      <c r="J236" s="14" t="n">
        <v>10</v>
      </c>
      <c r="K236" s="14" t="n">
        <v>10000</v>
      </c>
      <c r="L236" s="25">
        <f>IF(E236="多",1,-1)*(I236-H236)*G236*J236</f>
        <v/>
      </c>
      <c r="M236" s="26">
        <f>L236/K236</f>
        <v/>
      </c>
      <c r="N236" s="14" t="inlineStr">
        <is>
          <t>止损</t>
        </is>
      </c>
      <c r="O236" s="14" t="inlineStr">
        <is>
          <t>是</t>
        </is>
      </c>
    </row>
    <row r="237">
      <c r="A237" s="14" t="inlineStr">
        <is>
          <t>2026-04-08</t>
        </is>
      </c>
      <c r="B237" s="14" t="inlineStr">
        <is>
          <t>2026-04-15</t>
        </is>
      </c>
      <c r="C237" s="14" t="inlineStr">
        <is>
          <t>PVC</t>
        </is>
      </c>
      <c r="D237" s="14" t="inlineStr">
        <is>
          <t>V</t>
        </is>
      </c>
      <c r="E237" s="14" t="inlineStr">
        <is>
          <t>空</t>
        </is>
      </c>
      <c r="F237" s="14" t="inlineStr">
        <is>
          <t>★★★</t>
        </is>
      </c>
      <c r="G237" s="14" t="n">
        <v>2</v>
      </c>
      <c r="H237" s="15" t="n">
        <v>5260</v>
      </c>
      <c r="I237" s="15" t="n">
        <v>5100</v>
      </c>
      <c r="J237" s="14" t="n">
        <v>5</v>
      </c>
      <c r="K237" s="14" t="n">
        <v>10000</v>
      </c>
      <c r="L237" s="25">
        <f>IF(E237="多",1,-1)*(I237-H237)*G237*J237</f>
        <v/>
      </c>
      <c r="M237" s="26">
        <f>L237/K237</f>
        <v/>
      </c>
      <c r="N237" s="14" t="inlineStr">
        <is>
          <t>大将军转向</t>
        </is>
      </c>
      <c r="O237" s="14" t="inlineStr">
        <is>
          <t>是</t>
        </is>
      </c>
    </row>
    <row r="238">
      <c r="A238" s="2" t="inlineStr">
        <is>
          <t>2026-03-27</t>
        </is>
      </c>
      <c r="B238" s="2" t="inlineStr">
        <is>
          <t>2026-04-15</t>
        </is>
      </c>
      <c r="C238" s="2" t="inlineStr">
        <is>
          <t>碳酸锂</t>
        </is>
      </c>
      <c r="D238" s="2" t="inlineStr">
        <is>
          <t>LC</t>
        </is>
      </c>
      <c r="E238" s="19" t="inlineStr">
        <is>
          <t>多</t>
        </is>
      </c>
      <c r="F238" s="2" t="inlineStr">
        <is>
          <t>★★★</t>
        </is>
      </c>
      <c r="G238" s="10" t="n">
        <v>1</v>
      </c>
      <c r="H238" s="11" t="n">
        <v>170480</v>
      </c>
      <c r="I238" s="11" t="n">
        <v>168660</v>
      </c>
      <c r="J238" s="10" t="n">
        <v>1</v>
      </c>
      <c r="K238" s="10" t="n">
        <v>30000</v>
      </c>
      <c r="L238" s="23">
        <f>IF(E238="多",1,-1)*(I238-H238)*G238*J238</f>
        <v/>
      </c>
      <c r="M238" s="24">
        <f>L238/K238</f>
        <v/>
      </c>
      <c r="N238" s="2" t="inlineStr">
        <is>
          <t>大将军转向</t>
        </is>
      </c>
      <c r="O238" s="2" t="inlineStr">
        <is>
          <t>否</t>
        </is>
      </c>
    </row>
    <row r="239">
      <c r="A239" s="2" t="inlineStr">
        <is>
          <t>2026-04-07</t>
        </is>
      </c>
      <c r="B239" s="2" t="inlineStr">
        <is>
          <t>2026-04-13</t>
        </is>
      </c>
      <c r="C239" s="2" t="inlineStr">
        <is>
          <t>鸡蛋</t>
        </is>
      </c>
      <c r="D239" s="2" t="inlineStr">
        <is>
          <t>JD</t>
        </is>
      </c>
      <c r="E239" s="9" t="inlineStr">
        <is>
          <t>空</t>
        </is>
      </c>
      <c r="F239" s="2" t="inlineStr">
        <is>
          <t>★★★</t>
        </is>
      </c>
      <c r="G239" s="10" t="n">
        <v>6</v>
      </c>
      <c r="H239" s="11" t="n">
        <v>3205</v>
      </c>
      <c r="I239" s="11" t="n">
        <v>3273</v>
      </c>
      <c r="J239" s="10" t="n">
        <v>10</v>
      </c>
      <c r="K239" s="10" t="n">
        <v>10000</v>
      </c>
      <c r="L239" s="23">
        <f>IF(E239="多",1,-1)*(I239-H239)*G239*J239</f>
        <v/>
      </c>
      <c r="M239" s="24">
        <f>L239/K239</f>
        <v/>
      </c>
      <c r="N239" s="2" t="inlineStr">
        <is>
          <t>反向信号</t>
        </is>
      </c>
      <c r="O239" s="2" t="inlineStr">
        <is>
          <t>否</t>
        </is>
      </c>
    </row>
    <row r="240">
      <c r="A240" s="14" t="inlineStr">
        <is>
          <t>2026-04-08</t>
        </is>
      </c>
      <c r="B240" s="14" t="inlineStr">
        <is>
          <t>2026-04-10</t>
        </is>
      </c>
      <c r="C240" s="14" t="inlineStr">
        <is>
          <t>纯碱</t>
        </is>
      </c>
      <c r="D240" s="14" t="inlineStr">
        <is>
          <t>SA</t>
        </is>
      </c>
      <c r="E240" s="14" t="inlineStr">
        <is>
          <t>空</t>
        </is>
      </c>
      <c r="F240" s="14" t="inlineStr">
        <is>
          <t>★★★</t>
        </is>
      </c>
      <c r="G240" s="14" t="n">
        <v>5</v>
      </c>
      <c r="H240" s="15" t="n">
        <v>1145</v>
      </c>
      <c r="I240" s="15" t="n">
        <v>1146</v>
      </c>
      <c r="J240" s="14" t="n">
        <v>20</v>
      </c>
      <c r="K240" s="14" t="n">
        <v>10000</v>
      </c>
      <c r="L240" s="25">
        <f>IF(E240="多",1,-1)*(I240-H240)*G240*J240</f>
        <v/>
      </c>
      <c r="M240" s="26">
        <f>L240/K240</f>
        <v/>
      </c>
      <c r="N240" s="14" t="inlineStr">
        <is>
          <t>将军撤退</t>
        </is>
      </c>
      <c r="O240" s="14" t="inlineStr">
        <is>
          <t>是</t>
        </is>
      </c>
    </row>
    <row r="241">
      <c r="A241" s="2" t="inlineStr">
        <is>
          <t>2026-04-07</t>
        </is>
      </c>
      <c r="B241" s="2" t="inlineStr">
        <is>
          <t>2026-04-10</t>
        </is>
      </c>
      <c r="C241" s="2" t="inlineStr">
        <is>
          <t>玻璃</t>
        </is>
      </c>
      <c r="D241" s="2" t="inlineStr">
        <is>
          <t>FG</t>
        </is>
      </c>
      <c r="E241" s="9" t="inlineStr">
        <is>
          <t>空</t>
        </is>
      </c>
      <c r="F241" s="2" t="inlineStr">
        <is>
          <t>★★★</t>
        </is>
      </c>
      <c r="G241" s="10" t="n">
        <v>18</v>
      </c>
      <c r="H241" s="11" t="n">
        <v>974</v>
      </c>
      <c r="I241" s="11" t="n">
        <v>963</v>
      </c>
      <c r="J241" s="10" t="n">
        <v>20</v>
      </c>
      <c r="K241" s="10" t="n">
        <v>30000</v>
      </c>
      <c r="L241" s="23">
        <f>IF(E241="多",1,-1)*(I241-H241)*G241*J241</f>
        <v/>
      </c>
      <c r="M241" s="24">
        <f>L241/K241</f>
        <v/>
      </c>
      <c r="N241" s="2" t="inlineStr">
        <is>
          <t>将军撤退</t>
        </is>
      </c>
      <c r="O241" s="2" t="inlineStr">
        <is>
          <t>否</t>
        </is>
      </c>
    </row>
    <row r="242">
      <c r="A242" s="14" t="inlineStr">
        <is>
          <t>2026-04-07</t>
        </is>
      </c>
      <c r="B242" s="14" t="inlineStr">
        <is>
          <t>2026-04-08</t>
        </is>
      </c>
      <c r="C242" s="14" t="inlineStr">
        <is>
          <t>锰硅</t>
        </is>
      </c>
      <c r="D242" s="14" t="inlineStr">
        <is>
          <t>SM</t>
        </is>
      </c>
      <c r="E242" s="14" t="inlineStr">
        <is>
          <t>空</t>
        </is>
      </c>
      <c r="F242" s="14" t="inlineStr">
        <is>
          <t>★★</t>
        </is>
      </c>
      <c r="G242" s="14" t="n">
        <v>3</v>
      </c>
      <c r="H242" s="15" t="n">
        <v>6298</v>
      </c>
      <c r="I242" s="15" t="n">
        <v>6230</v>
      </c>
      <c r="J242" s="14" t="n">
        <v>5</v>
      </c>
      <c r="K242" s="14" t="n">
        <v>10000</v>
      </c>
      <c r="L242" s="25">
        <f>IF(E242="多",1,-1)*(I242-H242)*G242*J242</f>
        <v/>
      </c>
      <c r="M242" s="26">
        <f>L242/K242</f>
        <v/>
      </c>
      <c r="N242" s="14" t="inlineStr">
        <is>
          <t>大将军转向</t>
        </is>
      </c>
      <c r="O242" s="14" t="inlineStr">
        <is>
          <t>是</t>
        </is>
      </c>
    </row>
    <row r="243">
      <c r="A243" s="14" t="inlineStr">
        <is>
          <t>2026-03-25</t>
        </is>
      </c>
      <c r="B243" s="14" t="inlineStr">
        <is>
          <t>2026-04-08</t>
        </is>
      </c>
      <c r="C243" s="14" t="inlineStr">
        <is>
          <t>硅铁</t>
        </is>
      </c>
      <c r="D243" s="14" t="inlineStr">
        <is>
          <t>SF</t>
        </is>
      </c>
      <c r="E243" s="14" t="inlineStr">
        <is>
          <t>多</t>
        </is>
      </c>
      <c r="F243" s="14" t="inlineStr">
        <is>
          <t>★★</t>
        </is>
      </c>
      <c r="G243" s="14" t="n">
        <v>4</v>
      </c>
      <c r="H243" s="15" t="n">
        <v>6212</v>
      </c>
      <c r="I243" s="15" t="n">
        <v>5804</v>
      </c>
      <c r="J243" s="14" t="n">
        <v>5</v>
      </c>
      <c r="K243" s="14" t="n">
        <v>10000</v>
      </c>
      <c r="L243" s="25">
        <f>IF(E243="多",1,-1)*(I243-H243)*G243*J243</f>
        <v/>
      </c>
      <c r="M243" s="26">
        <f>L243/K243</f>
        <v/>
      </c>
      <c r="N243" s="14" t="inlineStr">
        <is>
          <t>跳空止损</t>
        </is>
      </c>
      <c r="O243" s="14" t="inlineStr">
        <is>
          <t>是</t>
        </is>
      </c>
    </row>
    <row r="244">
      <c r="A244" s="2" t="inlineStr">
        <is>
          <t>2026-04-03</t>
        </is>
      </c>
      <c r="B244" s="2" t="inlineStr">
        <is>
          <t>2026-04-07</t>
        </is>
      </c>
      <c r="C244" s="2" t="inlineStr">
        <is>
          <t>菜粕</t>
        </is>
      </c>
      <c r="D244" s="2" t="inlineStr">
        <is>
          <t>RM</t>
        </is>
      </c>
      <c r="E244" s="9" t="inlineStr">
        <is>
          <t>空</t>
        </is>
      </c>
      <c r="F244" s="2" t="inlineStr">
        <is>
          <t>★★★</t>
        </is>
      </c>
      <c r="G244" s="10" t="n">
        <v>23</v>
      </c>
      <c r="H244" s="11" t="n">
        <v>2220</v>
      </c>
      <c r="I244" s="11" t="n">
        <v>2239</v>
      </c>
      <c r="J244" s="10" t="n">
        <v>10</v>
      </c>
      <c r="K244" s="10" t="n">
        <v>30000</v>
      </c>
      <c r="L244" s="23">
        <f>IF(E244="多",1,-1)*(I244-H244)*G244*J244</f>
        <v/>
      </c>
      <c r="M244" s="24">
        <f>L244/K244</f>
        <v/>
      </c>
      <c r="N244" s="2" t="inlineStr">
        <is>
          <t>大将军转向</t>
        </is>
      </c>
      <c r="O244" s="2" t="inlineStr">
        <is>
          <t>否</t>
        </is>
      </c>
    </row>
    <row r="245">
      <c r="A245" s="2" t="inlineStr">
        <is>
          <t>2026-04-01</t>
        </is>
      </c>
      <c r="B245" s="2" t="inlineStr">
        <is>
          <t>2026-04-02</t>
        </is>
      </c>
      <c r="C245" s="2" t="inlineStr">
        <is>
          <t>焦煤</t>
        </is>
      </c>
      <c r="D245" s="2" t="inlineStr">
        <is>
          <t>JM</t>
        </is>
      </c>
      <c r="E245" s="9" t="inlineStr">
        <is>
          <t>空</t>
        </is>
      </c>
      <c r="F245" s="2" t="inlineStr">
        <is>
          <t>★★★</t>
        </is>
      </c>
      <c r="G245" s="10" t="n">
        <v>3</v>
      </c>
      <c r="H245" s="11" t="n">
        <v>1120</v>
      </c>
      <c r="I245" s="11" t="n">
        <v>1131.5</v>
      </c>
      <c r="J245" s="10" t="n">
        <v>60</v>
      </c>
      <c r="K245" s="10" t="n">
        <v>30000</v>
      </c>
      <c r="L245" s="23">
        <f>IF(E245="多",1,-1)*(I245-H245)*G245*J245</f>
        <v/>
      </c>
      <c r="M245" s="24">
        <f>L245/K245</f>
        <v/>
      </c>
      <c r="N245" s="2" t="inlineStr">
        <is>
          <t>将军撤退</t>
        </is>
      </c>
      <c r="O245" s="2" t="inlineStr">
        <is>
          <t>否</t>
        </is>
      </c>
    </row>
    <row r="246">
      <c r="A246" s="2" t="inlineStr">
        <is>
          <t>2026-03-31</t>
        </is>
      </c>
      <c r="B246" s="2" t="inlineStr">
        <is>
          <t>2026-04-02</t>
        </is>
      </c>
      <c r="C246" s="2" t="inlineStr">
        <is>
          <t>菜粕</t>
        </is>
      </c>
      <c r="D246" s="2" t="inlineStr">
        <is>
          <t>RM</t>
        </is>
      </c>
      <c r="E246" s="9" t="inlineStr">
        <is>
          <t>空</t>
        </is>
      </c>
      <c r="F246" s="2" t="inlineStr">
        <is>
          <t>★★★</t>
        </is>
      </c>
      <c r="G246" s="10" t="n">
        <v>16</v>
      </c>
      <c r="H246" s="11" t="n">
        <v>2303</v>
      </c>
      <c r="I246" s="11" t="n">
        <v>2256</v>
      </c>
      <c r="J246" s="10" t="n">
        <v>10</v>
      </c>
      <c r="K246" s="10" t="n">
        <v>30000</v>
      </c>
      <c r="L246" s="23">
        <f>IF(E246="多",1,-1)*(I246-H246)*G246*J246</f>
        <v/>
      </c>
      <c r="M246" s="24">
        <f>L246/K246</f>
        <v/>
      </c>
      <c r="N246" s="2" t="inlineStr">
        <is>
          <t>将军撤退+大将军转向</t>
        </is>
      </c>
      <c r="O246" s="2" t="inlineStr">
        <is>
          <t>否</t>
        </is>
      </c>
    </row>
    <row r="247">
      <c r="A247" s="2" t="inlineStr">
        <is>
          <t>2026-03-26</t>
        </is>
      </c>
      <c r="B247" s="2" t="inlineStr">
        <is>
          <t>2026-03-31</t>
        </is>
      </c>
      <c r="C247" s="2" t="inlineStr">
        <is>
          <t>甲醇</t>
        </is>
      </c>
      <c r="D247" s="2" t="inlineStr">
        <is>
          <t>MA</t>
        </is>
      </c>
      <c r="E247" s="19" t="inlineStr">
        <is>
          <t>多</t>
        </is>
      </c>
      <c r="F247" s="2" t="inlineStr">
        <is>
          <t>★★★</t>
        </is>
      </c>
      <c r="G247" s="10" t="n">
        <v>4</v>
      </c>
      <c r="H247" s="11" t="n">
        <v>3258</v>
      </c>
      <c r="I247" s="11" t="n">
        <v>3229</v>
      </c>
      <c r="J247" s="10" t="n">
        <v>10</v>
      </c>
      <c r="K247" s="10" t="n">
        <v>30000</v>
      </c>
      <c r="L247" s="23">
        <f>IF(E247="多",1,-1)*(I247-H247)*G247*J247</f>
        <v/>
      </c>
      <c r="M247" s="24">
        <f>L247/K247</f>
        <v/>
      </c>
      <c r="N247" s="2" t="inlineStr">
        <is>
          <t>将军撤退+大将军转向</t>
        </is>
      </c>
      <c r="O247" s="2" t="inlineStr">
        <is>
          <t>否</t>
        </is>
      </c>
    </row>
    <row r="248">
      <c r="A248" s="14" t="inlineStr">
        <is>
          <t>2026-03-25</t>
        </is>
      </c>
      <c r="B248" s="14" t="inlineStr">
        <is>
          <t>2026-03-31</t>
        </is>
      </c>
      <c r="C248" s="14" t="inlineStr">
        <is>
          <t>玻璃</t>
        </is>
      </c>
      <c r="D248" s="14" t="inlineStr">
        <is>
          <t>FG</t>
        </is>
      </c>
      <c r="E248" s="14" t="inlineStr">
        <is>
          <t>空</t>
        </is>
      </c>
      <c r="F248" s="14" t="inlineStr">
        <is>
          <t>★★</t>
        </is>
      </c>
      <c r="G248" s="14" t="n">
        <v>4</v>
      </c>
      <c r="H248" s="15" t="n">
        <v>1058</v>
      </c>
      <c r="I248" s="15" t="n">
        <v>1019</v>
      </c>
      <c r="J248" s="14" t="n">
        <v>20</v>
      </c>
      <c r="K248" s="14" t="n">
        <v>10000</v>
      </c>
      <c r="L248" s="25">
        <f>IF(E248="多",1,-1)*(I248-H248)*G248*J248</f>
        <v/>
      </c>
      <c r="M248" s="26">
        <f>L248/K248</f>
        <v/>
      </c>
      <c r="N248" s="14" t="inlineStr">
        <is>
          <t>将军撤退</t>
        </is>
      </c>
      <c r="O248" s="14" t="inlineStr">
        <is>
          <t>是</t>
        </is>
      </c>
    </row>
    <row r="249">
      <c r="A249" s="14" t="inlineStr">
        <is>
          <t>2026-03-20</t>
        </is>
      </c>
      <c r="B249" s="14" t="inlineStr">
        <is>
          <t>2026-03-31</t>
        </is>
      </c>
      <c r="C249" s="14" t="inlineStr">
        <is>
          <t>纯碱</t>
        </is>
      </c>
      <c r="D249" s="14" t="inlineStr">
        <is>
          <t>SA</t>
        </is>
      </c>
      <c r="E249" s="14" t="inlineStr">
        <is>
          <t>空</t>
        </is>
      </c>
      <c r="F249" s="14" t="inlineStr">
        <is>
          <t>★★</t>
        </is>
      </c>
      <c r="G249" s="14" t="n">
        <v>4</v>
      </c>
      <c r="H249" s="15" t="n">
        <v>1204</v>
      </c>
      <c r="I249" s="15" t="n">
        <v>1177</v>
      </c>
      <c r="J249" s="14" t="n">
        <v>20</v>
      </c>
      <c r="K249" s="14" t="n">
        <v>10000</v>
      </c>
      <c r="L249" s="25">
        <f>IF(E249="多",1,-1)*(I249-H249)*G249*J249</f>
        <v/>
      </c>
      <c r="M249" s="26">
        <f>L249/K249</f>
        <v/>
      </c>
      <c r="N249" s="14" t="inlineStr">
        <is>
          <t>大将军转向</t>
        </is>
      </c>
      <c r="O249" s="14" t="inlineStr">
        <is>
          <t>是</t>
        </is>
      </c>
    </row>
    <row r="250">
      <c r="A250" s="2" t="inlineStr">
        <is>
          <t>2026-03-23</t>
        </is>
      </c>
      <c r="B250" s="2" t="inlineStr">
        <is>
          <t>2026-03-30</t>
        </is>
      </c>
      <c r="C250" s="2" t="inlineStr">
        <is>
          <t>玉米</t>
        </is>
      </c>
      <c r="D250" s="2" t="inlineStr">
        <is>
          <t>C</t>
        </is>
      </c>
      <c r="E250" s="19" t="inlineStr">
        <is>
          <t>多</t>
        </is>
      </c>
      <c r="F250" s="2" t="inlineStr">
        <is>
          <t>★★★</t>
        </is>
      </c>
      <c r="G250" s="10" t="n">
        <v>44</v>
      </c>
      <c r="H250" s="11" t="n">
        <v>2401</v>
      </c>
      <c r="I250" s="11" t="n">
        <v>2348.79</v>
      </c>
      <c r="J250" s="10" t="n">
        <v>10</v>
      </c>
      <c r="K250" s="10" t="n">
        <v>30000</v>
      </c>
      <c r="L250" s="23">
        <f>IF(E250="多",1,-1)*(I250-H250)*G250*J250</f>
        <v/>
      </c>
      <c r="M250" s="24">
        <f>L250/K250</f>
        <v/>
      </c>
      <c r="N250" s="2" t="inlineStr">
        <is>
          <t>止损</t>
        </is>
      </c>
      <c r="O250" s="2" t="inlineStr">
        <is>
          <t>否</t>
        </is>
      </c>
    </row>
    <row r="251">
      <c r="A251" s="2" t="inlineStr">
        <is>
          <t>2026-03-24</t>
        </is>
      </c>
      <c r="B251" s="2" t="inlineStr">
        <is>
          <t>2026-03-26</t>
        </is>
      </c>
      <c r="C251" s="2" t="inlineStr">
        <is>
          <t>热卷</t>
        </is>
      </c>
      <c r="D251" s="2" t="inlineStr">
        <is>
          <t>HC</t>
        </is>
      </c>
      <c r="E251" s="19" t="inlineStr">
        <is>
          <t>多</t>
        </is>
      </c>
      <c r="F251" s="2" t="inlineStr">
        <is>
          <t>★★★</t>
        </is>
      </c>
      <c r="G251" s="10" t="n">
        <v>33</v>
      </c>
      <c r="H251" s="11" t="n">
        <v>3324</v>
      </c>
      <c r="I251" s="11" t="n">
        <v>3305</v>
      </c>
      <c r="J251" s="10" t="n">
        <v>10</v>
      </c>
      <c r="K251" s="10" t="n">
        <v>30000</v>
      </c>
      <c r="L251" s="23">
        <f>IF(E251="多",1,-1)*(I251-H251)*G251*J251</f>
        <v/>
      </c>
      <c r="M251" s="24">
        <f>L251/K251</f>
        <v/>
      </c>
      <c r="N251" s="2" t="inlineStr">
        <is>
          <t>将军撤退</t>
        </is>
      </c>
      <c r="O251" s="2" t="inlineStr">
        <is>
          <t>否</t>
        </is>
      </c>
    </row>
    <row r="252">
      <c r="A252" s="2" t="inlineStr">
        <is>
          <t>2026-03-18</t>
        </is>
      </c>
      <c r="B252" s="2" t="inlineStr">
        <is>
          <t>2026-03-25</t>
        </is>
      </c>
      <c r="C252" s="2" t="inlineStr">
        <is>
          <t>沪锌</t>
        </is>
      </c>
      <c r="D252" s="2" t="inlineStr">
        <is>
          <t>ZN</t>
        </is>
      </c>
      <c r="E252" s="9" t="inlineStr">
        <is>
          <t>空</t>
        </is>
      </c>
      <c r="F252" s="2" t="inlineStr">
        <is>
          <t>★★★</t>
        </is>
      </c>
      <c r="G252" s="10" t="n">
        <v>5</v>
      </c>
      <c r="H252" s="11" t="n">
        <v>23110</v>
      </c>
      <c r="I252" s="11" t="n">
        <v>22935</v>
      </c>
      <c r="J252" s="10" t="n">
        <v>5</v>
      </c>
      <c r="K252" s="10" t="n">
        <v>30000</v>
      </c>
      <c r="L252" s="23">
        <f>IF(E252="多",1,-1)*(I252-H252)*G252*J252</f>
        <v/>
      </c>
      <c r="M252" s="24">
        <f>L252/K252</f>
        <v/>
      </c>
      <c r="N252" s="2" t="inlineStr">
        <is>
          <t>将军撤退+大将军转向</t>
        </is>
      </c>
      <c r="O252" s="2" t="inlineStr">
        <is>
          <t>否</t>
        </is>
      </c>
    </row>
    <row r="253">
      <c r="A253" s="2" t="inlineStr">
        <is>
          <t>2026-03-23</t>
        </is>
      </c>
      <c r="B253" s="2" t="inlineStr">
        <is>
          <t>2026-03-24</t>
        </is>
      </c>
      <c r="C253" s="2" t="inlineStr">
        <is>
          <t>PTA</t>
        </is>
      </c>
      <c r="D253" s="2" t="inlineStr">
        <is>
          <t>TA</t>
        </is>
      </c>
      <c r="E253" s="19" t="inlineStr">
        <is>
          <t>多</t>
        </is>
      </c>
      <c r="F253" s="2" t="inlineStr">
        <is>
          <t>★★★</t>
        </is>
      </c>
      <c r="G253" s="10" t="n">
        <v>1</v>
      </c>
      <c r="H253" s="11" t="n">
        <v>6730</v>
      </c>
      <c r="I253" s="11" t="n">
        <v>6694</v>
      </c>
      <c r="J253" s="10" t="n">
        <v>5</v>
      </c>
      <c r="K253" s="10" t="n">
        <v>10000</v>
      </c>
      <c r="L253" s="23">
        <f>IF(E253="多",1,-1)*(I253-H253)*G253*J253</f>
        <v/>
      </c>
      <c r="M253" s="24">
        <f>L253/K253</f>
        <v/>
      </c>
      <c r="N253" s="2" t="inlineStr">
        <is>
          <t>将军撤退</t>
        </is>
      </c>
      <c r="O253" s="2" t="inlineStr">
        <is>
          <t>否</t>
        </is>
      </c>
    </row>
    <row r="254">
      <c r="A254" s="2" t="inlineStr">
        <is>
          <t>2026-03-19</t>
        </is>
      </c>
      <c r="B254" s="2" t="inlineStr">
        <is>
          <t>2026-03-24</t>
        </is>
      </c>
      <c r="C254" s="2" t="inlineStr">
        <is>
          <t>菜油</t>
        </is>
      </c>
      <c r="D254" s="2" t="inlineStr">
        <is>
          <t>OI</t>
        </is>
      </c>
      <c r="E254" s="19" t="inlineStr">
        <is>
          <t>多</t>
        </is>
      </c>
      <c r="F254" s="2" t="inlineStr">
        <is>
          <t>★★★</t>
        </is>
      </c>
      <c r="G254" s="10" t="n">
        <v>4</v>
      </c>
      <c r="H254" s="11" t="n">
        <v>9861</v>
      </c>
      <c r="I254" s="11" t="n">
        <v>9813</v>
      </c>
      <c r="J254" s="10" t="n">
        <v>10</v>
      </c>
      <c r="K254" s="10" t="n">
        <v>30000</v>
      </c>
      <c r="L254" s="23">
        <f>IF(E254="多",1,-1)*(I254-H254)*G254*J254</f>
        <v/>
      </c>
      <c r="M254" s="24">
        <f>L254/K254</f>
        <v/>
      </c>
      <c r="N254" s="2" t="inlineStr">
        <is>
          <t>将军撤退</t>
        </is>
      </c>
      <c r="O254" s="2" t="inlineStr">
        <is>
          <t>否</t>
        </is>
      </c>
    </row>
    <row r="255">
      <c r="A255" s="14" t="inlineStr">
        <is>
          <t>2026-03-18</t>
        </is>
      </c>
      <c r="B255" s="14" t="inlineStr">
        <is>
          <t>2026-03-24</t>
        </is>
      </c>
      <c r="C255" s="14" t="inlineStr">
        <is>
          <t>菜粕</t>
        </is>
      </c>
      <c r="D255" s="14" t="inlineStr">
        <is>
          <t>RM</t>
        </is>
      </c>
      <c r="E255" s="14" t="inlineStr">
        <is>
          <t>空</t>
        </is>
      </c>
      <c r="F255" s="14" t="inlineStr">
        <is>
          <t>★★</t>
        </is>
      </c>
      <c r="G255" s="14" t="n">
        <v>4</v>
      </c>
      <c r="H255" s="15" t="n">
        <v>2451</v>
      </c>
      <c r="I255" s="15" t="n">
        <v>2365</v>
      </c>
      <c r="J255" s="14" t="n">
        <v>10</v>
      </c>
      <c r="K255" s="14" t="n">
        <v>10000</v>
      </c>
      <c r="L255" s="25">
        <f>IF(E255="多",1,-1)*(I255-H255)*G255*J255</f>
        <v/>
      </c>
      <c r="M255" s="26">
        <f>L255/K255</f>
        <v/>
      </c>
      <c r="N255" s="14" t="inlineStr">
        <is>
          <t>大将军转向</t>
        </is>
      </c>
      <c r="O255" s="14" t="inlineStr">
        <is>
          <t>是</t>
        </is>
      </c>
    </row>
    <row r="256">
      <c r="A256" s="14" t="inlineStr">
        <is>
          <t>2026-03-18</t>
        </is>
      </c>
      <c r="B256" s="14" t="inlineStr">
        <is>
          <t>2026-03-24</t>
        </is>
      </c>
      <c r="C256" s="14" t="inlineStr">
        <is>
          <t>铁矿石</t>
        </is>
      </c>
      <c r="D256" s="14" t="inlineStr">
        <is>
          <t>I</t>
        </is>
      </c>
      <c r="E256" s="14" t="inlineStr">
        <is>
          <t>多</t>
        </is>
      </c>
      <c r="F256" s="14" t="inlineStr">
        <is>
          <t>★★★</t>
        </is>
      </c>
      <c r="G256" s="14" t="n">
        <v>2</v>
      </c>
      <c r="H256" s="15" t="n">
        <v>809</v>
      </c>
      <c r="I256" s="15" t="n">
        <v>824</v>
      </c>
      <c r="J256" s="14" t="n">
        <v>100</v>
      </c>
      <c r="K256" s="14" t="n">
        <v>10000</v>
      </c>
      <c r="L256" s="25">
        <f>IF(E256="多",1,-1)*(I256-H256)*G256*J256</f>
        <v/>
      </c>
      <c r="M256" s="26">
        <f>L256/K256</f>
        <v/>
      </c>
      <c r="N256" s="14" t="inlineStr">
        <is>
          <t>将军撤退+大将军转向</t>
        </is>
      </c>
      <c r="O256" s="14" t="inlineStr">
        <is>
          <t>是</t>
        </is>
      </c>
    </row>
    <row r="257">
      <c r="A257" s="2" t="inlineStr">
        <is>
          <t>2026-03-20</t>
        </is>
      </c>
      <c r="B257" s="2" t="inlineStr">
        <is>
          <t>2026-03-23</t>
        </is>
      </c>
      <c r="C257" s="2" t="inlineStr">
        <is>
          <t>乙二醇</t>
        </is>
      </c>
      <c r="D257" s="2" t="inlineStr">
        <is>
          <t>EG</t>
        </is>
      </c>
      <c r="E257" s="19" t="inlineStr">
        <is>
          <t>多</t>
        </is>
      </c>
      <c r="F257" s="2" t="inlineStr">
        <is>
          <t>★★★</t>
        </is>
      </c>
      <c r="G257" s="10" t="n">
        <v>2</v>
      </c>
      <c r="H257" s="11" t="n">
        <v>5425</v>
      </c>
      <c r="I257" s="11" t="n">
        <v>5574</v>
      </c>
      <c r="J257" s="10" t="n">
        <v>10</v>
      </c>
      <c r="K257" s="10" t="n">
        <v>30000</v>
      </c>
      <c r="L257" s="23">
        <f>IF(E257="多",1,-1)*(I257-H257)*G257*J257</f>
        <v/>
      </c>
      <c r="M257" s="24">
        <f>L257/K257</f>
        <v/>
      </c>
      <c r="N257" s="2" t="inlineStr">
        <is>
          <t>将军撤退</t>
        </is>
      </c>
      <c r="O257" s="2" t="inlineStr">
        <is>
          <t>否</t>
        </is>
      </c>
    </row>
    <row r="258">
      <c r="A258" s="14" t="inlineStr">
        <is>
          <t>2026-03-18</t>
        </is>
      </c>
      <c r="B258" s="14" t="inlineStr">
        <is>
          <t>2026-03-23</t>
        </is>
      </c>
      <c r="C258" s="14" t="inlineStr">
        <is>
          <t>热卷</t>
        </is>
      </c>
      <c r="D258" s="14" t="inlineStr">
        <is>
          <t>HC</t>
        </is>
      </c>
      <c r="E258" s="14" t="inlineStr">
        <is>
          <t>多</t>
        </is>
      </c>
      <c r="F258" s="14" t="inlineStr">
        <is>
          <t>★★</t>
        </is>
      </c>
      <c r="G258" s="14" t="n">
        <v>11</v>
      </c>
      <c r="H258" s="15" t="n">
        <v>3310</v>
      </c>
      <c r="I258" s="15" t="n">
        <v>3330</v>
      </c>
      <c r="J258" s="14" t="n">
        <v>10</v>
      </c>
      <c r="K258" s="14" t="n">
        <v>10000</v>
      </c>
      <c r="L258" s="25">
        <f>IF(E258="多",1,-1)*(I258-H258)*G258*J258</f>
        <v/>
      </c>
      <c r="M258" s="26">
        <f>L258/K258</f>
        <v/>
      </c>
      <c r="N258" s="14" t="inlineStr">
        <is>
          <t>将军撤退</t>
        </is>
      </c>
      <c r="O258" s="14" t="inlineStr">
        <is>
          <t>是</t>
        </is>
      </c>
    </row>
    <row r="259">
      <c r="A259" s="2" t="inlineStr">
        <is>
          <t>2026-03-19</t>
        </is>
      </c>
      <c r="B259" s="2" t="inlineStr">
        <is>
          <t>2026-03-20</t>
        </is>
      </c>
      <c r="C259" s="2" t="inlineStr">
        <is>
          <t>PVC</t>
        </is>
      </c>
      <c r="D259" s="2" t="inlineStr">
        <is>
          <t>V</t>
        </is>
      </c>
      <c r="E259" s="19" t="inlineStr">
        <is>
          <t>多</t>
        </is>
      </c>
      <c r="F259" s="2" t="inlineStr">
        <is>
          <t>★★★</t>
        </is>
      </c>
      <c r="G259" s="10" t="n">
        <v>2</v>
      </c>
      <c r="H259" s="11" t="n">
        <v>5830</v>
      </c>
      <c r="I259" s="11" t="n">
        <v>5875</v>
      </c>
      <c r="J259" s="10" t="n">
        <v>5</v>
      </c>
      <c r="K259" s="10" t="n">
        <v>10000</v>
      </c>
      <c r="L259" s="23">
        <f>IF(E259="多",1,-1)*(I259-H259)*G259*J259</f>
        <v/>
      </c>
      <c r="M259" s="24">
        <f>L259/K259</f>
        <v/>
      </c>
      <c r="N259" s="2" t="inlineStr">
        <is>
          <t>将军撤退</t>
        </is>
      </c>
      <c r="O259" s="2" t="inlineStr">
        <is>
          <t>否</t>
        </is>
      </c>
    </row>
    <row r="260">
      <c r="A260" s="2" t="inlineStr">
        <is>
          <t>2026-03-11</t>
        </is>
      </c>
      <c r="B260" s="2" t="inlineStr">
        <is>
          <t>2026-03-20</t>
        </is>
      </c>
      <c r="C260" s="2" t="inlineStr">
        <is>
          <t>沪铝</t>
        </is>
      </c>
      <c r="D260" s="2" t="inlineStr">
        <is>
          <t>AL</t>
        </is>
      </c>
      <c r="E260" s="19" t="inlineStr">
        <is>
          <t>多</t>
        </is>
      </c>
      <c r="F260" s="2" t="inlineStr">
        <is>
          <t>★★★</t>
        </is>
      </c>
      <c r="G260" s="10" t="n">
        <v>3</v>
      </c>
      <c r="H260" s="11" t="n">
        <v>25380</v>
      </c>
      <c r="I260" s="11" t="n">
        <v>23100</v>
      </c>
      <c r="J260" s="10" t="n">
        <v>5</v>
      </c>
      <c r="K260" s="10" t="n">
        <v>30000</v>
      </c>
      <c r="L260" s="23">
        <f>IF(E260="多",1,-1)*(I260-H260)*G260*J260</f>
        <v/>
      </c>
      <c r="M260" s="24">
        <f>L260/K260</f>
        <v/>
      </c>
      <c r="N260" s="2" t="inlineStr">
        <is>
          <t>强平(浮亏≥3%)</t>
        </is>
      </c>
      <c r="O260" s="2" t="inlineStr">
        <is>
          <t>否</t>
        </is>
      </c>
    </row>
    <row r="261">
      <c r="A261" s="2" t="inlineStr">
        <is>
          <t>2026-03-17</t>
        </is>
      </c>
      <c r="B261" s="2" t="inlineStr">
        <is>
          <t>2026-03-19</t>
        </is>
      </c>
      <c r="C261" s="2" t="inlineStr">
        <is>
          <t>沪铜</t>
        </is>
      </c>
      <c r="D261" s="2" t="inlineStr">
        <is>
          <t>CU</t>
        </is>
      </c>
      <c r="E261" s="9" t="inlineStr">
        <is>
          <t>空</t>
        </is>
      </c>
      <c r="F261" s="2" t="inlineStr">
        <is>
          <t>★★★</t>
        </is>
      </c>
      <c r="G261" s="10" t="n">
        <v>1</v>
      </c>
      <c r="H261" s="11" t="n">
        <v>99400</v>
      </c>
      <c r="I261" s="11" t="n">
        <v>94420</v>
      </c>
      <c r="J261" s="10" t="n">
        <v>5</v>
      </c>
      <c r="K261" s="10" t="n">
        <v>30000</v>
      </c>
      <c r="L261" s="23">
        <f>IF(E261="多",1,-1)*(I261-H261)*G261*J261</f>
        <v/>
      </c>
      <c r="M261" s="24">
        <f>L261/K261</f>
        <v/>
      </c>
      <c r="N261" s="2" t="inlineStr">
        <is>
          <t>将军撤退+大将军转向</t>
        </is>
      </c>
      <c r="O261" s="2" t="inlineStr">
        <is>
          <t>否</t>
        </is>
      </c>
    </row>
    <row r="262">
      <c r="A262" s="14" t="inlineStr">
        <is>
          <t>2026-03-11</t>
        </is>
      </c>
      <c r="B262" s="14" t="inlineStr">
        <is>
          <t>2026-03-19</t>
        </is>
      </c>
      <c r="C262" s="14" t="inlineStr">
        <is>
          <t>乙二醇</t>
        </is>
      </c>
      <c r="D262" s="14" t="inlineStr">
        <is>
          <t>EG</t>
        </is>
      </c>
      <c r="E262" s="14" t="inlineStr">
        <is>
          <t>多</t>
        </is>
      </c>
      <c r="F262" s="14" t="inlineStr">
        <is>
          <t>★★★</t>
        </is>
      </c>
      <c r="G262" s="14" t="n">
        <v>1</v>
      </c>
      <c r="H262" s="15" t="n">
        <v>4658</v>
      </c>
      <c r="I262" s="15" t="n">
        <v>5220</v>
      </c>
      <c r="J262" s="14" t="n">
        <v>10</v>
      </c>
      <c r="K262" s="14" t="n">
        <v>10000</v>
      </c>
      <c r="L262" s="25">
        <f>IF(E262="多",1,-1)*(I262-H262)*G262*J262</f>
        <v/>
      </c>
      <c r="M262" s="26">
        <f>L262/K262</f>
        <v/>
      </c>
      <c r="N262" s="14" t="inlineStr">
        <is>
          <t>大将军转向</t>
        </is>
      </c>
      <c r="O262" s="14" t="inlineStr">
        <is>
          <t>是</t>
        </is>
      </c>
    </row>
    <row r="263">
      <c r="A263" s="2" t="inlineStr">
        <is>
          <t>2026-03-11</t>
        </is>
      </c>
      <c r="B263" s="2" t="inlineStr">
        <is>
          <t>2026-03-18</t>
        </is>
      </c>
      <c r="C263" s="2" t="inlineStr">
        <is>
          <t>锰硅</t>
        </is>
      </c>
      <c r="D263" s="2" t="inlineStr">
        <is>
          <t>SM</t>
        </is>
      </c>
      <c r="E263" s="19" t="inlineStr">
        <is>
          <t>多</t>
        </is>
      </c>
      <c r="F263" s="2" t="inlineStr">
        <is>
          <t>★★★</t>
        </is>
      </c>
      <c r="G263" s="10" t="n">
        <v>5</v>
      </c>
      <c r="H263" s="11" t="n">
        <v>6160</v>
      </c>
      <c r="I263" s="11" t="n">
        <v>6138</v>
      </c>
      <c r="J263" s="10" t="n">
        <v>5</v>
      </c>
      <c r="K263" s="10" t="n">
        <v>10000</v>
      </c>
      <c r="L263" s="23">
        <f>IF(E263="多",1,-1)*(I263-H263)*G263*J263</f>
        <v/>
      </c>
      <c r="M263" s="24">
        <f>L263/K263</f>
        <v/>
      </c>
      <c r="N263" s="2" t="inlineStr">
        <is>
          <t>将军撤退+大将军转向</t>
        </is>
      </c>
      <c r="O263" s="2" t="inlineStr">
        <is>
          <t>否</t>
        </is>
      </c>
    </row>
    <row r="264">
      <c r="A264" s="2" t="inlineStr">
        <is>
          <t>2026-03-11</t>
        </is>
      </c>
      <c r="B264" s="2" t="inlineStr">
        <is>
          <t>2026-03-18</t>
        </is>
      </c>
      <c r="C264" s="2" t="inlineStr">
        <is>
          <t>工业硅</t>
        </is>
      </c>
      <c r="D264" s="2" t="inlineStr">
        <is>
          <t>SI</t>
        </is>
      </c>
      <c r="E264" s="9" t="inlineStr">
        <is>
          <t>空</t>
        </is>
      </c>
      <c r="F264" s="2" t="inlineStr">
        <is>
          <t>★★★</t>
        </is>
      </c>
      <c r="G264" s="10" t="n">
        <v>10</v>
      </c>
      <c r="H264" s="11" t="n">
        <v>8680</v>
      </c>
      <c r="I264" s="11" t="n">
        <v>8375</v>
      </c>
      <c r="J264" s="10" t="n">
        <v>5</v>
      </c>
      <c r="K264" s="10" t="n">
        <v>30000</v>
      </c>
      <c r="L264" s="23">
        <f>IF(E264="多",1,-1)*(I264-H264)*G264*J264</f>
        <v/>
      </c>
      <c r="M264" s="24">
        <f>L264/K264</f>
        <v/>
      </c>
      <c r="N264" s="2" t="inlineStr">
        <is>
          <t>将军撤退</t>
        </is>
      </c>
      <c r="O264" s="2" t="inlineStr">
        <is>
          <t>否</t>
        </is>
      </c>
    </row>
    <row r="265">
      <c r="A265" s="2" t="inlineStr">
        <is>
          <t>2026-03-11</t>
        </is>
      </c>
      <c r="B265" s="2" t="inlineStr">
        <is>
          <t>2026-03-17</t>
        </is>
      </c>
      <c r="C265" s="2" t="inlineStr">
        <is>
          <t>豆粕</t>
        </is>
      </c>
      <c r="D265" s="2" t="inlineStr">
        <is>
          <t>M</t>
        </is>
      </c>
      <c r="E265" s="19" t="inlineStr">
        <is>
          <t>多</t>
        </is>
      </c>
      <c r="F265" s="2" t="inlineStr">
        <is>
          <t>★★★</t>
        </is>
      </c>
      <c r="G265" s="10" t="n">
        <v>18</v>
      </c>
      <c r="H265" s="11" t="n">
        <v>3097</v>
      </c>
      <c r="I265" s="11" t="n">
        <v>3002.14</v>
      </c>
      <c r="J265" s="10" t="n">
        <v>10</v>
      </c>
      <c r="K265" s="10" t="n">
        <v>30000</v>
      </c>
      <c r="L265" s="23">
        <f>IF(E265="多",1,-1)*(I265-H265)*G265*J265</f>
        <v/>
      </c>
      <c r="M265" s="24">
        <f>L265/K265</f>
        <v/>
      </c>
      <c r="N265" s="2" t="inlineStr">
        <is>
          <t>止损</t>
        </is>
      </c>
      <c r="O265" s="2" t="inlineStr">
        <is>
          <t>否</t>
        </is>
      </c>
    </row>
    <row r="266">
      <c r="A266" s="14" t="inlineStr">
        <is>
          <t>2026-03-04</t>
        </is>
      </c>
      <c r="B266" s="14" t="inlineStr">
        <is>
          <t>2026-03-16</t>
        </is>
      </c>
      <c r="C266" s="14" t="inlineStr">
        <is>
          <t>棕榈油</t>
        </is>
      </c>
      <c r="D266" s="14" t="inlineStr">
        <is>
          <t>P</t>
        </is>
      </c>
      <c r="E266" s="14" t="inlineStr">
        <is>
          <t>多</t>
        </is>
      </c>
      <c r="F266" s="14" t="inlineStr">
        <is>
          <t>★★★</t>
        </is>
      </c>
      <c r="G266" s="14" t="n">
        <v>2</v>
      </c>
      <c r="H266" s="15" t="n">
        <v>8960</v>
      </c>
      <c r="I266" s="15" t="n">
        <v>10010</v>
      </c>
      <c r="J266" s="14" t="n">
        <v>10</v>
      </c>
      <c r="K266" s="14" t="n">
        <v>10000</v>
      </c>
      <c r="L266" s="25">
        <f>IF(E266="多",1,-1)*(I266-H266)*G266*J266</f>
        <v/>
      </c>
      <c r="M266" s="26">
        <f>L266/K266</f>
        <v/>
      </c>
      <c r="N266" s="14" t="inlineStr">
        <is>
          <t>将军撤退+大将军转向</t>
        </is>
      </c>
      <c r="O266" s="14" t="inlineStr">
        <is>
          <t>是</t>
        </is>
      </c>
    </row>
    <row r="267">
      <c r="A267" s="14" t="inlineStr">
        <is>
          <t>2026-03-10</t>
        </is>
      </c>
      <c r="B267" s="14" t="inlineStr">
        <is>
          <t>2026-03-13</t>
        </is>
      </c>
      <c r="C267" s="14" t="inlineStr">
        <is>
          <t>苯乙烯</t>
        </is>
      </c>
      <c r="D267" s="14" t="inlineStr">
        <is>
          <t>EB</t>
        </is>
      </c>
      <c r="E267" s="14" t="inlineStr">
        <is>
          <t>多</t>
        </is>
      </c>
      <c r="F267" s="14" t="inlineStr">
        <is>
          <t>★★</t>
        </is>
      </c>
      <c r="G267" s="14" t="n">
        <v>1</v>
      </c>
      <c r="H267" s="15" t="n">
        <v>9999</v>
      </c>
      <c r="I267" s="15" t="n">
        <v>10000</v>
      </c>
      <c r="J267" s="14" t="n">
        <v>5</v>
      </c>
      <c r="K267" s="14" t="n">
        <v>10000</v>
      </c>
      <c r="L267" s="25">
        <f>IF(E267="多",1,-1)*(I267-H267)*G267*J267</f>
        <v/>
      </c>
      <c r="M267" s="26">
        <f>L267/K267</f>
        <v/>
      </c>
      <c r="N267" s="14" t="inlineStr">
        <is>
          <t>将军撤退+大将军转向</t>
        </is>
      </c>
      <c r="O267" s="14" t="inlineStr">
        <is>
          <t>是</t>
        </is>
      </c>
    </row>
    <row r="268">
      <c r="A268" s="14" t="inlineStr">
        <is>
          <t>2026-03-11</t>
        </is>
      </c>
      <c r="B268" s="14" t="inlineStr">
        <is>
          <t>2026-03-12</t>
        </is>
      </c>
      <c r="C268" s="14" t="inlineStr">
        <is>
          <t>PVC</t>
        </is>
      </c>
      <c r="D268" s="14" t="inlineStr">
        <is>
          <t>V</t>
        </is>
      </c>
      <c r="E268" s="14" t="inlineStr">
        <is>
          <t>多</t>
        </is>
      </c>
      <c r="F268" s="14" t="inlineStr">
        <is>
          <t>★★</t>
        </is>
      </c>
      <c r="G268" s="14" t="n">
        <v>3</v>
      </c>
      <c r="H268" s="15" t="n">
        <v>5635</v>
      </c>
      <c r="I268" s="15" t="n">
        <v>5620</v>
      </c>
      <c r="J268" s="14" t="n">
        <v>5</v>
      </c>
      <c r="K268" s="14" t="n">
        <v>10000</v>
      </c>
      <c r="L268" s="25">
        <f>IF(E268="多",1,-1)*(I268-H268)*G268*J268</f>
        <v/>
      </c>
      <c r="M268" s="26">
        <f>L268/K268</f>
        <v/>
      </c>
      <c r="N268" s="14" t="inlineStr">
        <is>
          <t>将军撤退+大将军转向</t>
        </is>
      </c>
      <c r="O268" s="14" t="inlineStr">
        <is>
          <t>是</t>
        </is>
      </c>
    </row>
    <row r="269">
      <c r="A269" s="14" t="inlineStr">
        <is>
          <t>2026-02-27</t>
        </is>
      </c>
      <c r="B269" s="14" t="inlineStr">
        <is>
          <t>2026-03-12</t>
        </is>
      </c>
      <c r="C269" s="14" t="inlineStr">
        <is>
          <t>热卷</t>
        </is>
      </c>
      <c r="D269" s="14" t="inlineStr">
        <is>
          <t>HC</t>
        </is>
      </c>
      <c r="E269" s="14" t="inlineStr">
        <is>
          <t>空</t>
        </is>
      </c>
      <c r="F269" s="14" t="inlineStr">
        <is>
          <t>★★</t>
        </is>
      </c>
      <c r="G269" s="14" t="n">
        <v>11</v>
      </c>
      <c r="H269" s="15" t="n">
        <v>3218</v>
      </c>
      <c r="I269" s="15" t="n">
        <v>3286.21</v>
      </c>
      <c r="J269" s="14" t="n">
        <v>10</v>
      </c>
      <c r="K269" s="14" t="n">
        <v>10000</v>
      </c>
      <c r="L269" s="25">
        <f>IF(E269="多",1,-1)*(I269-H269)*G269*J269</f>
        <v/>
      </c>
      <c r="M269" s="26">
        <f>L269/K269</f>
        <v/>
      </c>
      <c r="N269" s="14" t="inlineStr">
        <is>
          <t>止损</t>
        </is>
      </c>
      <c r="O269" s="14" t="inlineStr">
        <is>
          <t>是</t>
        </is>
      </c>
    </row>
    <row r="270">
      <c r="A270" s="2" t="inlineStr">
        <is>
          <t>2026-03-09</t>
        </is>
      </c>
      <c r="B270" s="2" t="inlineStr">
        <is>
          <t>2026-03-11</t>
        </is>
      </c>
      <c r="C270" s="2" t="inlineStr">
        <is>
          <t>豆二</t>
        </is>
      </c>
      <c r="D270" s="2" t="inlineStr">
        <is>
          <t>B</t>
        </is>
      </c>
      <c r="E270" s="19" t="inlineStr">
        <is>
          <t>多</t>
        </is>
      </c>
      <c r="F270" s="2" t="inlineStr">
        <is>
          <t>★★★</t>
        </is>
      </c>
      <c r="G270" s="10" t="n">
        <v>16</v>
      </c>
      <c r="H270" s="11" t="n">
        <v>3790</v>
      </c>
      <c r="I270" s="11" t="n">
        <v>3843</v>
      </c>
      <c r="J270" s="10" t="n">
        <v>10</v>
      </c>
      <c r="K270" s="10" t="n">
        <v>30000</v>
      </c>
      <c r="L270" s="23">
        <f>IF(E270="多",1,-1)*(I270-H270)*G270*J270</f>
        <v/>
      </c>
      <c r="M270" s="24">
        <f>L270/K270</f>
        <v/>
      </c>
      <c r="N270" s="2" t="inlineStr">
        <is>
          <t>将军撤退</t>
        </is>
      </c>
      <c r="O270" s="2" t="inlineStr">
        <is>
          <t>否</t>
        </is>
      </c>
    </row>
    <row r="271">
      <c r="A271" s="2" t="inlineStr">
        <is>
          <t>2026-03-06</t>
        </is>
      </c>
      <c r="B271" s="2" t="inlineStr">
        <is>
          <t>2026-03-11</t>
        </is>
      </c>
      <c r="C271" s="2" t="inlineStr">
        <is>
          <t>菜油</t>
        </is>
      </c>
      <c r="D271" s="2" t="inlineStr">
        <is>
          <t>OI</t>
        </is>
      </c>
      <c r="E271" s="19" t="inlineStr">
        <is>
          <t>多</t>
        </is>
      </c>
      <c r="F271" s="2" t="inlineStr">
        <is>
          <t>★★★</t>
        </is>
      </c>
      <c r="G271" s="10" t="n">
        <v>7</v>
      </c>
      <c r="H271" s="11" t="n">
        <v>9760</v>
      </c>
      <c r="I271" s="11" t="n">
        <v>9666.639999999999</v>
      </c>
      <c r="J271" s="10" t="n">
        <v>10</v>
      </c>
      <c r="K271" s="10" t="n">
        <v>30000</v>
      </c>
      <c r="L271" s="23">
        <f>IF(E271="多",1,-1)*(I271-H271)*G271*J271</f>
        <v/>
      </c>
      <c r="M271" s="24">
        <f>L271/K271</f>
        <v/>
      </c>
      <c r="N271" s="2" t="inlineStr">
        <is>
          <t>止损</t>
        </is>
      </c>
      <c r="O271" s="2" t="inlineStr">
        <is>
          <t>否</t>
        </is>
      </c>
    </row>
    <row r="272">
      <c r="A272" s="2" t="inlineStr">
        <is>
          <t>2026-03-05</t>
        </is>
      </c>
      <c r="B272" s="2" t="inlineStr">
        <is>
          <t>2026-03-10</t>
        </is>
      </c>
      <c r="C272" s="2" t="inlineStr">
        <is>
          <t>PTA</t>
        </is>
      </c>
      <c r="D272" s="2" t="inlineStr">
        <is>
          <t>TA</t>
        </is>
      </c>
      <c r="E272" s="19" t="inlineStr">
        <is>
          <t>多</t>
        </is>
      </c>
      <c r="F272" s="2" t="inlineStr">
        <is>
          <t>★★★</t>
        </is>
      </c>
      <c r="G272" s="10" t="n">
        <v>11</v>
      </c>
      <c r="H272" s="11" t="n">
        <v>5880</v>
      </c>
      <c r="I272" s="11" t="n">
        <v>6200</v>
      </c>
      <c r="J272" s="10" t="n">
        <v>5</v>
      </c>
      <c r="K272" s="10" t="n">
        <v>30000</v>
      </c>
      <c r="L272" s="23">
        <f>IF(E272="多",1,-1)*(I272-H272)*G272*J272</f>
        <v/>
      </c>
      <c r="M272" s="24">
        <f>L272/K272</f>
        <v/>
      </c>
      <c r="N272" s="2" t="inlineStr">
        <is>
          <t>将军撤退+大将军转向</t>
        </is>
      </c>
      <c r="O272" s="2" t="inlineStr">
        <is>
          <t>否</t>
        </is>
      </c>
    </row>
    <row r="273">
      <c r="A273" s="2" t="inlineStr">
        <is>
          <t>2026-03-05</t>
        </is>
      </c>
      <c r="B273" s="2" t="inlineStr">
        <is>
          <t>2026-03-09</t>
        </is>
      </c>
      <c r="C273" s="2" t="inlineStr">
        <is>
          <t>豆粕</t>
        </is>
      </c>
      <c r="D273" s="2" t="inlineStr">
        <is>
          <t>M</t>
        </is>
      </c>
      <c r="E273" s="19" t="inlineStr">
        <is>
          <t>多</t>
        </is>
      </c>
      <c r="F273" s="2" t="inlineStr">
        <is>
          <t>★★★</t>
        </is>
      </c>
      <c r="G273" s="10" t="n">
        <v>30</v>
      </c>
      <c r="H273" s="11" t="n">
        <v>2847</v>
      </c>
      <c r="I273" s="11" t="n">
        <v>2995</v>
      </c>
      <c r="J273" s="10" t="n">
        <v>10</v>
      </c>
      <c r="K273" s="10" t="n">
        <v>30000</v>
      </c>
      <c r="L273" s="23">
        <f>IF(E273="多",1,-1)*(I273-H273)*G273*J273</f>
        <v/>
      </c>
      <c r="M273" s="24">
        <f>L273/K273</f>
        <v/>
      </c>
      <c r="N273" s="2" t="inlineStr">
        <is>
          <t>大将军转向</t>
        </is>
      </c>
      <c r="O273" s="2" t="inlineStr">
        <is>
          <t>否</t>
        </is>
      </c>
    </row>
    <row r="274">
      <c r="A274" s="14" t="inlineStr">
        <is>
          <t>2026-03-04</t>
        </is>
      </c>
      <c r="B274" s="14" t="inlineStr">
        <is>
          <t>2026-03-05</t>
        </is>
      </c>
      <c r="C274" s="14" t="inlineStr">
        <is>
          <t>PVC</t>
        </is>
      </c>
      <c r="D274" s="14" t="inlineStr">
        <is>
          <t>V</t>
        </is>
      </c>
      <c r="E274" s="14" t="inlineStr">
        <is>
          <t>多</t>
        </is>
      </c>
      <c r="F274" s="14" t="inlineStr">
        <is>
          <t>★★</t>
        </is>
      </c>
      <c r="G274" s="14" t="n">
        <v>6</v>
      </c>
      <c r="H274" s="15" t="n">
        <v>4984</v>
      </c>
      <c r="I274" s="15" t="n">
        <v>5016</v>
      </c>
      <c r="J274" s="14" t="n">
        <v>5</v>
      </c>
      <c r="K274" s="14" t="n">
        <v>10000</v>
      </c>
      <c r="L274" s="25">
        <f>IF(E274="多",1,-1)*(I274-H274)*G274*J274</f>
        <v/>
      </c>
      <c r="M274" s="26">
        <f>L274/K274</f>
        <v/>
      </c>
      <c r="N274" s="14" t="inlineStr">
        <is>
          <t>大将军转向</t>
        </is>
      </c>
      <c r="O274" s="14" t="inlineStr">
        <is>
          <t>是</t>
        </is>
      </c>
    </row>
    <row r="275">
      <c r="A275" s="2" t="inlineStr">
        <is>
          <t>2026-02-24</t>
        </is>
      </c>
      <c r="B275" s="2" t="inlineStr">
        <is>
          <t>2026-03-05</t>
        </is>
      </c>
      <c r="C275" s="2" t="inlineStr">
        <is>
          <t>螺纹钢</t>
        </is>
      </c>
      <c r="D275" s="2" t="inlineStr">
        <is>
          <t>RB</t>
        </is>
      </c>
      <c r="E275" s="9" t="inlineStr">
        <is>
          <t>空</t>
        </is>
      </c>
      <c r="F275" s="2" t="inlineStr">
        <is>
          <t>★★★</t>
        </is>
      </c>
      <c r="G275" s="10" t="n">
        <v>10</v>
      </c>
      <c r="H275" s="11" t="n">
        <v>3029</v>
      </c>
      <c r="I275" s="11" t="n">
        <v>3075</v>
      </c>
      <c r="J275" s="10" t="n">
        <v>10</v>
      </c>
      <c r="K275" s="10" t="n">
        <v>10000</v>
      </c>
      <c r="L275" s="23">
        <f>IF(E275="多",1,-1)*(I275-H275)*G275*J275</f>
        <v/>
      </c>
      <c r="M275" s="24">
        <f>L275/K275</f>
        <v/>
      </c>
      <c r="N275" s="2" t="inlineStr">
        <is>
          <t>大将军转向</t>
        </is>
      </c>
      <c r="O275" s="2" t="inlineStr">
        <is>
          <t>否</t>
        </is>
      </c>
    </row>
    <row r="276">
      <c r="A276" s="2" t="inlineStr">
        <is>
          <t>2026-02-04</t>
        </is>
      </c>
      <c r="B276" s="2" t="inlineStr">
        <is>
          <t>2026-03-04</t>
        </is>
      </c>
      <c r="C276" s="2" t="inlineStr">
        <is>
          <t>苯乙烯</t>
        </is>
      </c>
      <c r="D276" s="2" t="inlineStr">
        <is>
          <t>EB</t>
        </is>
      </c>
      <c r="E276" s="19" t="inlineStr">
        <is>
          <t>多</t>
        </is>
      </c>
      <c r="F276" s="2" t="inlineStr">
        <is>
          <t>★★★</t>
        </is>
      </c>
      <c r="G276" s="10" t="n">
        <v>8</v>
      </c>
      <c r="H276" s="11" t="n">
        <v>7782</v>
      </c>
      <c r="I276" s="11" t="n">
        <v>8213</v>
      </c>
      <c r="J276" s="10" t="n">
        <v>5</v>
      </c>
      <c r="K276" s="10" t="n">
        <v>30000</v>
      </c>
      <c r="L276" s="23">
        <f>IF(E276="多",1,-1)*(I276-H276)*G276*J276</f>
        <v/>
      </c>
      <c r="M276" s="24">
        <f>L276/K276</f>
        <v/>
      </c>
      <c r="N276" s="2" t="inlineStr">
        <is>
          <t>大将军转向</t>
        </is>
      </c>
      <c r="O276" s="2" t="inlineStr">
        <is>
          <t>否</t>
        </is>
      </c>
    </row>
    <row r="277">
      <c r="A277" s="2" t="inlineStr">
        <is>
          <t>2026-03-02</t>
        </is>
      </c>
      <c r="B277" s="2" t="inlineStr">
        <is>
          <t>2026-03-03</t>
        </is>
      </c>
      <c r="C277" s="2" t="inlineStr">
        <is>
          <t>工业硅</t>
        </is>
      </c>
      <c r="D277" s="2" t="inlineStr">
        <is>
          <t>SI</t>
        </is>
      </c>
      <c r="E277" s="9" t="inlineStr">
        <is>
          <t>空</t>
        </is>
      </c>
      <c r="F277" s="2" t="inlineStr">
        <is>
          <t>★★★</t>
        </is>
      </c>
      <c r="G277" s="10" t="n">
        <v>12</v>
      </c>
      <c r="H277" s="11" t="n">
        <v>8315</v>
      </c>
      <c r="I277" s="11" t="n">
        <v>8205</v>
      </c>
      <c r="J277" s="10" t="n">
        <v>5</v>
      </c>
      <c r="K277" s="10" t="n">
        <v>30000</v>
      </c>
      <c r="L277" s="23">
        <f>IF(E277="多",1,-1)*(I277-H277)*G277*J277</f>
        <v/>
      </c>
      <c r="M277" s="24">
        <f>L277/K277</f>
        <v/>
      </c>
      <c r="N277" s="2" t="inlineStr">
        <is>
          <t>将军撤退+大将军转向</t>
        </is>
      </c>
      <c r="O277" s="2" t="inlineStr">
        <is>
          <t>否</t>
        </is>
      </c>
    </row>
    <row r="278">
      <c r="A278" s="2" t="inlineStr">
        <is>
          <t>2026-03-02</t>
        </is>
      </c>
      <c r="B278" s="2" t="inlineStr">
        <is>
          <t>2026-03-03</t>
        </is>
      </c>
      <c r="C278" s="2" t="inlineStr">
        <is>
          <t>沪铝</t>
        </is>
      </c>
      <c r="D278" s="2" t="inlineStr">
        <is>
          <t>AL</t>
        </is>
      </c>
      <c r="E278" s="19" t="inlineStr">
        <is>
          <t>多</t>
        </is>
      </c>
      <c r="F278" s="2" t="inlineStr">
        <is>
          <t>★★★</t>
        </is>
      </c>
      <c r="G278" s="10" t="n">
        <v>4</v>
      </c>
      <c r="H278" s="11" t="n">
        <v>24500</v>
      </c>
      <c r="I278" s="11" t="n">
        <v>23905</v>
      </c>
      <c r="J278" s="10" t="n">
        <v>5</v>
      </c>
      <c r="K278" s="10" t="n">
        <v>30000</v>
      </c>
      <c r="L278" s="23">
        <f>IF(E278="多",1,-1)*(I278-H278)*G278*J278</f>
        <v/>
      </c>
      <c r="M278" s="24">
        <f>L278/K278</f>
        <v/>
      </c>
      <c r="N278" s="2" t="inlineStr">
        <is>
          <t>大将军转向</t>
        </is>
      </c>
      <c r="O278" s="2" t="inlineStr">
        <is>
          <t>否</t>
        </is>
      </c>
    </row>
    <row r="279">
      <c r="A279" s="14" t="inlineStr">
        <is>
          <t>2026-02-27</t>
        </is>
      </c>
      <c r="B279" s="14" t="inlineStr">
        <is>
          <t>2026-03-02</t>
        </is>
      </c>
      <c r="C279" s="14" t="inlineStr">
        <is>
          <t>沪锌</t>
        </is>
      </c>
      <c r="D279" s="14" t="inlineStr">
        <is>
          <t>ZN</t>
        </is>
      </c>
      <c r="E279" s="14" t="inlineStr">
        <is>
          <t>多</t>
        </is>
      </c>
      <c r="F279" s="14" t="inlineStr">
        <is>
          <t>★★</t>
        </is>
      </c>
      <c r="G279" s="14" t="n">
        <v>1</v>
      </c>
      <c r="H279" s="15" t="n">
        <v>24540</v>
      </c>
      <c r="I279" s="15" t="n">
        <v>24850</v>
      </c>
      <c r="J279" s="14" t="n">
        <v>5</v>
      </c>
      <c r="K279" s="14" t="n">
        <v>10000</v>
      </c>
      <c r="L279" s="25">
        <f>IF(E279="多",1,-1)*(I279-H279)*G279*J279</f>
        <v/>
      </c>
      <c r="M279" s="26">
        <f>L279/K279</f>
        <v/>
      </c>
      <c r="N279" s="14" t="inlineStr">
        <is>
          <t>大将军转向</t>
        </is>
      </c>
      <c r="O279" s="14" t="inlineStr">
        <is>
          <t>是</t>
        </is>
      </c>
    </row>
    <row r="280">
      <c r="A280" s="2" t="inlineStr">
        <is>
          <t>2026-02-26</t>
        </is>
      </c>
      <c r="B280" s="2" t="inlineStr">
        <is>
          <t>2026-03-02</t>
        </is>
      </c>
      <c r="C280" s="2" t="inlineStr">
        <is>
          <t>棕榈油</t>
        </is>
      </c>
      <c r="D280" s="2" t="inlineStr">
        <is>
          <t>P</t>
        </is>
      </c>
      <c r="E280" s="9" t="inlineStr">
        <is>
          <t>空</t>
        </is>
      </c>
      <c r="F280" s="2" t="inlineStr">
        <is>
          <t>★★★</t>
        </is>
      </c>
      <c r="G280" s="10" t="n">
        <v>6</v>
      </c>
      <c r="H280" s="11" t="n">
        <v>8718</v>
      </c>
      <c r="I280" s="11" t="n">
        <v>8898</v>
      </c>
      <c r="J280" s="10" t="n">
        <v>10</v>
      </c>
      <c r="K280" s="10" t="n">
        <v>30000</v>
      </c>
      <c r="L280" s="23">
        <f>IF(E280="多",1,-1)*(I280-H280)*G280*J280</f>
        <v/>
      </c>
      <c r="M280" s="24">
        <f>L280/K280</f>
        <v/>
      </c>
      <c r="N280" s="2" t="inlineStr">
        <is>
          <t>大将军转向</t>
        </is>
      </c>
      <c r="O280" s="2" t="inlineStr">
        <is>
          <t>否</t>
        </is>
      </c>
    </row>
    <row r="281">
      <c r="A281" s="2" t="inlineStr">
        <is>
          <t>2026-02-26</t>
        </is>
      </c>
      <c r="B281" s="2" t="inlineStr">
        <is>
          <t>2026-03-02</t>
        </is>
      </c>
      <c r="C281" s="2" t="inlineStr">
        <is>
          <t>塑料</t>
        </is>
      </c>
      <c r="D281" s="2" t="inlineStr">
        <is>
          <t>L</t>
        </is>
      </c>
      <c r="E281" s="9" t="inlineStr">
        <is>
          <t>空</t>
        </is>
      </c>
      <c r="F281" s="2" t="inlineStr">
        <is>
          <t>★★★</t>
        </is>
      </c>
      <c r="G281" s="10" t="n">
        <v>15</v>
      </c>
      <c r="H281" s="11" t="n">
        <v>6641</v>
      </c>
      <c r="I281" s="11" t="n">
        <v>6927.79</v>
      </c>
      <c r="J281" s="10" t="n">
        <v>5</v>
      </c>
      <c r="K281" s="10" t="n">
        <v>30000</v>
      </c>
      <c r="L281" s="23">
        <f>IF(E281="多",1,-1)*(I281-H281)*G281*J281</f>
        <v/>
      </c>
      <c r="M281" s="24">
        <f>L281/K281</f>
        <v/>
      </c>
      <c r="N281" s="2" t="inlineStr">
        <is>
          <t>止损</t>
        </is>
      </c>
      <c r="O281" s="2" t="inlineStr">
        <is>
          <t>否</t>
        </is>
      </c>
    </row>
    <row r="282">
      <c r="A282" s="14" t="inlineStr">
        <is>
          <t>2026-02-26</t>
        </is>
      </c>
      <c r="B282" s="14" t="inlineStr">
        <is>
          <t>2026-02-27</t>
        </is>
      </c>
      <c r="C282" s="14" t="inlineStr">
        <is>
          <t>PVC</t>
        </is>
      </c>
      <c r="D282" s="14" t="inlineStr">
        <is>
          <t>V</t>
        </is>
      </c>
      <c r="E282" s="14" t="inlineStr">
        <is>
          <t>空</t>
        </is>
      </c>
      <c r="F282" s="14" t="inlineStr">
        <is>
          <t>★★</t>
        </is>
      </c>
      <c r="G282" s="14" t="n">
        <v>5</v>
      </c>
      <c r="H282" s="15" t="n">
        <v>4835</v>
      </c>
      <c r="I282" s="15" t="n">
        <v>4792</v>
      </c>
      <c r="J282" s="14" t="n">
        <v>5</v>
      </c>
      <c r="K282" s="14" t="n">
        <v>10000</v>
      </c>
      <c r="L282" s="25">
        <f>IF(E282="多",1,-1)*(I282-H282)*G282*J282</f>
        <v/>
      </c>
      <c r="M282" s="26">
        <f>L282/K282</f>
        <v/>
      </c>
      <c r="N282" s="14" t="inlineStr">
        <is>
          <t>将军撤退+大将军转向</t>
        </is>
      </c>
      <c r="O282" s="14" t="inlineStr">
        <is>
          <t>是</t>
        </is>
      </c>
    </row>
    <row r="283">
      <c r="A283" s="14" t="inlineStr">
        <is>
          <t>2026-02-13</t>
        </is>
      </c>
      <c r="B283" s="14" t="inlineStr">
        <is>
          <t>2026-02-27</t>
        </is>
      </c>
      <c r="C283" s="14" t="inlineStr">
        <is>
          <t>玻璃</t>
        </is>
      </c>
      <c r="D283" s="14" t="inlineStr">
        <is>
          <t>FG</t>
        </is>
      </c>
      <c r="E283" s="14" t="inlineStr">
        <is>
          <t>空</t>
        </is>
      </c>
      <c r="F283" s="14" t="inlineStr">
        <is>
          <t>★★</t>
        </is>
      </c>
      <c r="G283" s="14" t="n">
        <v>5</v>
      </c>
      <c r="H283" s="15" t="n">
        <v>1050</v>
      </c>
      <c r="I283" s="15" t="n">
        <v>1062</v>
      </c>
      <c r="J283" s="14" t="n">
        <v>20</v>
      </c>
      <c r="K283" s="14" t="n">
        <v>10000</v>
      </c>
      <c r="L283" s="25">
        <f>IF(E283="多",1,-1)*(I283-H283)*G283*J283</f>
        <v/>
      </c>
      <c r="M283" s="26">
        <f>L283/K283</f>
        <v/>
      </c>
      <c r="N283" s="14" t="inlineStr">
        <is>
          <t>大将军转向</t>
        </is>
      </c>
      <c r="O283" s="14" t="inlineStr">
        <is>
          <t>是</t>
        </is>
      </c>
    </row>
    <row r="284">
      <c r="A284" s="2" t="inlineStr">
        <is>
          <t>2026-02-25</t>
        </is>
      </c>
      <c r="B284" s="2" t="inlineStr">
        <is>
          <t>2026-02-26</t>
        </is>
      </c>
      <c r="C284" s="2" t="inlineStr">
        <is>
          <t>白糖</t>
        </is>
      </c>
      <c r="D284" s="2" t="inlineStr">
        <is>
          <t>SR</t>
        </is>
      </c>
      <c r="E284" s="19" t="inlineStr">
        <is>
          <t>多</t>
        </is>
      </c>
      <c r="F284" s="2" t="inlineStr">
        <is>
          <t>★★★</t>
        </is>
      </c>
      <c r="G284" s="10" t="n">
        <v>20</v>
      </c>
      <c r="H284" s="11" t="n">
        <v>5241</v>
      </c>
      <c r="I284" s="11" t="n">
        <v>5285</v>
      </c>
      <c r="J284" s="10" t="n">
        <v>10</v>
      </c>
      <c r="K284" s="10" t="n">
        <v>30000</v>
      </c>
      <c r="L284" s="23">
        <f>IF(E284="多",1,-1)*(I284-H284)*G284*J284</f>
        <v/>
      </c>
      <c r="M284" s="24">
        <f>L284/K284</f>
        <v/>
      </c>
      <c r="N284" s="2" t="inlineStr">
        <is>
          <t>大将军转向</t>
        </is>
      </c>
      <c r="O284" s="2" t="inlineStr">
        <is>
          <t>否</t>
        </is>
      </c>
    </row>
    <row r="285">
      <c r="A285" s="14" t="inlineStr">
        <is>
          <t>2026-02-25</t>
        </is>
      </c>
      <c r="B285" s="14" t="inlineStr">
        <is>
          <t>2026-02-26</t>
        </is>
      </c>
      <c r="C285" s="14" t="inlineStr">
        <is>
          <t>锰硅</t>
        </is>
      </c>
      <c r="D285" s="14" t="inlineStr">
        <is>
          <t>SM</t>
        </is>
      </c>
      <c r="E285" s="14" t="inlineStr">
        <is>
          <t>空</t>
        </is>
      </c>
      <c r="F285" s="14" t="inlineStr">
        <is>
          <t>★★</t>
        </is>
      </c>
      <c r="G285" s="14" t="n">
        <v>9</v>
      </c>
      <c r="H285" s="15" t="n">
        <v>5748</v>
      </c>
      <c r="I285" s="15" t="n">
        <v>5951.57</v>
      </c>
      <c r="J285" s="14" t="n">
        <v>5</v>
      </c>
      <c r="K285" s="14" t="n">
        <v>10000</v>
      </c>
      <c r="L285" s="25">
        <f>IF(E285="多",1,-1)*(I285-H285)*G285*J285</f>
        <v/>
      </c>
      <c r="M285" s="26">
        <f>L285/K285</f>
        <v/>
      </c>
      <c r="N285" s="14" t="inlineStr">
        <is>
          <t>止损</t>
        </is>
      </c>
      <c r="O285" s="14" t="inlineStr">
        <is>
          <t>是</t>
        </is>
      </c>
    </row>
    <row r="286">
      <c r="A286" s="2" t="inlineStr">
        <is>
          <t>2026-02-24</t>
        </is>
      </c>
      <c r="B286" s="2" t="inlineStr">
        <is>
          <t>2026-02-25</t>
        </is>
      </c>
      <c r="C286" s="2" t="inlineStr">
        <is>
          <t>沪锌</t>
        </is>
      </c>
      <c r="D286" s="2" t="inlineStr">
        <is>
          <t>ZN</t>
        </is>
      </c>
      <c r="E286" s="19" t="inlineStr">
        <is>
          <t>多</t>
        </is>
      </c>
      <c r="F286" s="2" t="inlineStr">
        <is>
          <t>★★★</t>
        </is>
      </c>
      <c r="G286" s="10" t="n">
        <v>3</v>
      </c>
      <c r="H286" s="11" t="n">
        <v>24585</v>
      </c>
      <c r="I286" s="11" t="n">
        <v>24710</v>
      </c>
      <c r="J286" s="10" t="n">
        <v>5</v>
      </c>
      <c r="K286" s="10" t="n">
        <v>30000</v>
      </c>
      <c r="L286" s="23">
        <f>IF(E286="多",1,-1)*(I286-H286)*G286*J286</f>
        <v/>
      </c>
      <c r="M286" s="24">
        <f>L286/K286</f>
        <v/>
      </c>
      <c r="N286" s="2" t="inlineStr">
        <is>
          <t>将军撤退</t>
        </is>
      </c>
      <c r="O286" s="2" t="inlineStr">
        <is>
          <t>否</t>
        </is>
      </c>
    </row>
    <row r="287">
      <c r="A287" s="2" t="inlineStr">
        <is>
          <t>2026-01-14</t>
        </is>
      </c>
      <c r="B287" s="2" t="inlineStr">
        <is>
          <t>2026-02-25</t>
        </is>
      </c>
      <c r="C287" s="2" t="inlineStr">
        <is>
          <t>棉花</t>
        </is>
      </c>
      <c r="D287" s="2" t="inlineStr">
        <is>
          <t>CF</t>
        </is>
      </c>
      <c r="E287" s="19" t="inlineStr">
        <is>
          <t>多</t>
        </is>
      </c>
      <c r="F287" s="2" t="inlineStr">
        <is>
          <t>★★★</t>
        </is>
      </c>
      <c r="G287" s="10" t="n">
        <v>8</v>
      </c>
      <c r="H287" s="11" t="n">
        <v>14840</v>
      </c>
      <c r="I287" s="11" t="n">
        <v>15380</v>
      </c>
      <c r="J287" s="10" t="n">
        <v>5</v>
      </c>
      <c r="K287" s="10" t="n">
        <v>30000</v>
      </c>
      <c r="L287" s="23">
        <f>IF(E287="多",1,-1)*(I287-H287)*G287*J287</f>
        <v/>
      </c>
      <c r="M287" s="24">
        <f>L287/K287</f>
        <v/>
      </c>
      <c r="N287" s="2" t="inlineStr">
        <is>
          <t>大将军转向</t>
        </is>
      </c>
      <c r="O287" s="2" t="inlineStr">
        <is>
          <t>否</t>
        </is>
      </c>
    </row>
    <row r="288">
      <c r="A288" s="2" t="inlineStr">
        <is>
          <t>2026-02-11</t>
        </is>
      </c>
      <c r="B288" s="2" t="inlineStr">
        <is>
          <t>2026-02-24</t>
        </is>
      </c>
      <c r="C288" s="2" t="inlineStr">
        <is>
          <t>PTA</t>
        </is>
      </c>
      <c r="D288" s="2" t="inlineStr">
        <is>
          <t>TA</t>
        </is>
      </c>
      <c r="E288" s="19" t="inlineStr">
        <is>
          <t>多</t>
        </is>
      </c>
      <c r="F288" s="2" t="inlineStr">
        <is>
          <t>★★★</t>
        </is>
      </c>
      <c r="G288" s="10" t="n">
        <v>13</v>
      </c>
      <c r="H288" s="11" t="n">
        <v>5300</v>
      </c>
      <c r="I288" s="11" t="n">
        <v>5352</v>
      </c>
      <c r="J288" s="10" t="n">
        <v>5</v>
      </c>
      <c r="K288" s="10" t="n">
        <v>30000</v>
      </c>
      <c r="L288" s="23">
        <f>IF(E288="多",1,-1)*(I288-H288)*G288*J288</f>
        <v/>
      </c>
      <c r="M288" s="24">
        <f>L288/K288</f>
        <v/>
      </c>
      <c r="N288" s="2" t="inlineStr">
        <is>
          <t>大将军转向</t>
        </is>
      </c>
      <c r="O288" s="2" t="inlineStr">
        <is>
          <t>否</t>
        </is>
      </c>
    </row>
    <row r="289">
      <c r="A289" s="14" t="inlineStr">
        <is>
          <t>2026-02-11</t>
        </is>
      </c>
      <c r="B289" s="14" t="inlineStr">
        <is>
          <t>2026-02-24</t>
        </is>
      </c>
      <c r="C289" s="14" t="inlineStr">
        <is>
          <t>热卷</t>
        </is>
      </c>
      <c r="D289" s="14" t="inlineStr">
        <is>
          <t>HC</t>
        </is>
      </c>
      <c r="E289" s="14" t="inlineStr">
        <is>
          <t>空</t>
        </is>
      </c>
      <c r="F289" s="14" t="inlineStr">
        <is>
          <t>★★★</t>
        </is>
      </c>
      <c r="G289" s="14" t="n">
        <v>13</v>
      </c>
      <c r="H289" s="15" t="n">
        <v>3229</v>
      </c>
      <c r="I289" s="15" t="n">
        <v>3195</v>
      </c>
      <c r="J289" s="14" t="n">
        <v>10</v>
      </c>
      <c r="K289" s="14" t="n">
        <v>10000</v>
      </c>
      <c r="L289" s="25">
        <f>IF(E289="多",1,-1)*(I289-H289)*G289*J289</f>
        <v/>
      </c>
      <c r="M289" s="26">
        <f>L289/K289</f>
        <v/>
      </c>
      <c r="N289" s="14" t="inlineStr">
        <is>
          <t>将军撤退</t>
        </is>
      </c>
      <c r="O289" s="14" t="inlineStr">
        <is>
          <t>是</t>
        </is>
      </c>
    </row>
    <row r="290">
      <c r="A290" s="14" t="inlineStr">
        <is>
          <t>2026-02-09</t>
        </is>
      </c>
      <c r="B290" s="14" t="inlineStr">
        <is>
          <t>2026-02-24</t>
        </is>
      </c>
      <c r="C290" s="14" t="inlineStr">
        <is>
          <t>铁矿石</t>
        </is>
      </c>
      <c r="D290" s="14" t="inlineStr">
        <is>
          <t>I</t>
        </is>
      </c>
      <c r="E290" s="14" t="inlineStr">
        <is>
          <t>空</t>
        </is>
      </c>
      <c r="F290" s="14" t="inlineStr">
        <is>
          <t>★★</t>
        </is>
      </c>
      <c r="G290" s="14" t="n">
        <v>2</v>
      </c>
      <c r="H290" s="15" t="n">
        <v>765</v>
      </c>
      <c r="I290" s="15" t="n">
        <v>740.5</v>
      </c>
      <c r="J290" s="14" t="n">
        <v>100</v>
      </c>
      <c r="K290" s="14" t="n">
        <v>10000</v>
      </c>
      <c r="L290" s="25">
        <f>IF(E290="多",1,-1)*(I290-H290)*G290*J290</f>
        <v/>
      </c>
      <c r="M290" s="26">
        <f>L290/K290</f>
        <v/>
      </c>
      <c r="N290" s="14" t="inlineStr">
        <is>
          <t>将军撤退</t>
        </is>
      </c>
      <c r="O290" s="14" t="inlineStr">
        <is>
          <t>是</t>
        </is>
      </c>
    </row>
    <row r="291">
      <c r="A291" s="14" t="inlineStr">
        <is>
          <t>2026-02-12</t>
        </is>
      </c>
      <c r="B291" s="14" t="inlineStr">
        <is>
          <t>2026-02-13</t>
        </is>
      </c>
      <c r="C291" s="14" t="inlineStr">
        <is>
          <t>聚丙烯</t>
        </is>
      </c>
      <c r="D291" s="14" t="inlineStr">
        <is>
          <t>PP</t>
        </is>
      </c>
      <c r="E291" s="14" t="inlineStr">
        <is>
          <t>空</t>
        </is>
      </c>
      <c r="F291" s="14" t="inlineStr">
        <is>
          <t>★★</t>
        </is>
      </c>
      <c r="G291" s="14" t="n">
        <v>6</v>
      </c>
      <c r="H291" s="15" t="n">
        <v>6628</v>
      </c>
      <c r="I291" s="15" t="n">
        <v>6568</v>
      </c>
      <c r="J291" s="14" t="n">
        <v>5</v>
      </c>
      <c r="K291" s="14" t="n">
        <v>10000</v>
      </c>
      <c r="L291" s="25">
        <f>IF(E291="多",1,-1)*(I291-H291)*G291*J291</f>
        <v/>
      </c>
      <c r="M291" s="26">
        <f>L291/K291</f>
        <v/>
      </c>
      <c r="N291" s="14" t="inlineStr">
        <is>
          <t>将军撤退</t>
        </is>
      </c>
      <c r="O291" s="14" t="inlineStr">
        <is>
          <t>是</t>
        </is>
      </c>
    </row>
    <row r="292">
      <c r="A292" s="2" t="inlineStr">
        <is>
          <t>2026-02-11</t>
        </is>
      </c>
      <c r="B292" s="2" t="inlineStr">
        <is>
          <t>2026-02-13</t>
        </is>
      </c>
      <c r="C292" s="2" t="inlineStr">
        <is>
          <t>沪锌</t>
        </is>
      </c>
      <c r="D292" s="2" t="inlineStr">
        <is>
          <t>ZN</t>
        </is>
      </c>
      <c r="E292" s="19" t="inlineStr">
        <is>
          <t>多</t>
        </is>
      </c>
      <c r="F292" s="2" t="inlineStr">
        <is>
          <t>★★★</t>
        </is>
      </c>
      <c r="G292" s="10" t="n">
        <v>1</v>
      </c>
      <c r="H292" s="11" t="n">
        <v>24780</v>
      </c>
      <c r="I292" s="11" t="n">
        <v>24250</v>
      </c>
      <c r="J292" s="10" t="n">
        <v>5</v>
      </c>
      <c r="K292" s="10" t="n">
        <v>10000</v>
      </c>
      <c r="L292" s="23">
        <f>IF(E292="多",1,-1)*(I292-H292)*G292*J292</f>
        <v/>
      </c>
      <c r="M292" s="24">
        <f>L292/K292</f>
        <v/>
      </c>
      <c r="N292" s="2" t="inlineStr">
        <is>
          <t>将军撤退+大将军转向</t>
        </is>
      </c>
      <c r="O292" s="2" t="inlineStr">
        <is>
          <t>否</t>
        </is>
      </c>
    </row>
    <row r="293">
      <c r="A293" s="14" t="inlineStr">
        <is>
          <t>2026-02-11</t>
        </is>
      </c>
      <c r="B293" s="14" t="inlineStr">
        <is>
          <t>2026-02-12</t>
        </is>
      </c>
      <c r="C293" s="14" t="inlineStr">
        <is>
          <t>燃料油</t>
        </is>
      </c>
      <c r="D293" s="14" t="inlineStr">
        <is>
          <t>FU</t>
        </is>
      </c>
      <c r="E293" s="14" t="inlineStr">
        <is>
          <t>多</t>
        </is>
      </c>
      <c r="F293" s="14" t="inlineStr">
        <is>
          <t>★★</t>
        </is>
      </c>
      <c r="G293" s="14" t="n">
        <v>3</v>
      </c>
      <c r="H293" s="15" t="n">
        <v>2922</v>
      </c>
      <c r="I293" s="15" t="n">
        <v>2888</v>
      </c>
      <c r="J293" s="14" t="n">
        <v>10</v>
      </c>
      <c r="K293" s="14" t="n">
        <v>10000</v>
      </c>
      <c r="L293" s="25">
        <f>IF(E293="多",1,-1)*(I293-H293)*G293*J293</f>
        <v/>
      </c>
      <c r="M293" s="26">
        <f>L293/K293</f>
        <v/>
      </c>
      <c r="N293" s="14" t="inlineStr">
        <is>
          <t>将军撤退</t>
        </is>
      </c>
      <c r="O293" s="14" t="inlineStr">
        <is>
          <t>是</t>
        </is>
      </c>
    </row>
    <row r="294">
      <c r="A294" s="2" t="inlineStr">
        <is>
          <t>2026-02-06</t>
        </is>
      </c>
      <c r="B294" s="2" t="inlineStr">
        <is>
          <t>2026-02-11</t>
        </is>
      </c>
      <c r="C294" s="2" t="inlineStr">
        <is>
          <t>螺纹钢</t>
        </is>
      </c>
      <c r="D294" s="2" t="inlineStr">
        <is>
          <t>RB</t>
        </is>
      </c>
      <c r="E294" s="9" t="inlineStr">
        <is>
          <t>空</t>
        </is>
      </c>
      <c r="F294" s="2" t="inlineStr">
        <is>
          <t>★★★</t>
        </is>
      </c>
      <c r="G294" s="10" t="n">
        <v>34</v>
      </c>
      <c r="H294" s="11" t="n">
        <v>3079</v>
      </c>
      <c r="I294" s="11" t="n">
        <v>3054</v>
      </c>
      <c r="J294" s="10" t="n">
        <v>10</v>
      </c>
      <c r="K294" s="10" t="n">
        <v>30000</v>
      </c>
      <c r="L294" s="23">
        <f>IF(E294="多",1,-1)*(I294-H294)*G294*J294</f>
        <v/>
      </c>
      <c r="M294" s="24">
        <f>L294/K294</f>
        <v/>
      </c>
      <c r="N294" s="2" t="inlineStr">
        <is>
          <t>将军撤退</t>
        </is>
      </c>
      <c r="O294" s="2" t="inlineStr">
        <is>
          <t>否</t>
        </is>
      </c>
    </row>
    <row r="295">
      <c r="A295" s="14" t="inlineStr">
        <is>
          <t>2026-02-05</t>
        </is>
      </c>
      <c r="B295" s="14" t="inlineStr">
        <is>
          <t>2026-02-11</t>
        </is>
      </c>
      <c r="C295" s="14" t="inlineStr">
        <is>
          <t>PTA</t>
        </is>
      </c>
      <c r="D295" s="14" t="inlineStr">
        <is>
          <t>TA</t>
        </is>
      </c>
      <c r="E295" s="14" t="inlineStr">
        <is>
          <t>空</t>
        </is>
      </c>
      <c r="F295" s="14" t="inlineStr">
        <is>
          <t>★★</t>
        </is>
      </c>
      <c r="G295" s="14" t="n">
        <v>4</v>
      </c>
      <c r="H295" s="15" t="n">
        <v>5126</v>
      </c>
      <c r="I295" s="15" t="n">
        <v>5260</v>
      </c>
      <c r="J295" s="14" t="n">
        <v>5</v>
      </c>
      <c r="K295" s="14" t="n">
        <v>10000</v>
      </c>
      <c r="L295" s="25">
        <f>IF(E295="多",1,-1)*(I295-H295)*G295*J295</f>
        <v/>
      </c>
      <c r="M295" s="26">
        <f>L295/K295</f>
        <v/>
      </c>
      <c r="N295" s="14" t="inlineStr">
        <is>
          <t>反向信号</t>
        </is>
      </c>
      <c r="O295" s="14" t="inlineStr">
        <is>
          <t>是</t>
        </is>
      </c>
    </row>
    <row r="296">
      <c r="A296" s="14" t="inlineStr">
        <is>
          <t>2026-02-09</t>
        </is>
      </c>
      <c r="B296" s="14" t="inlineStr">
        <is>
          <t>2026-02-10</t>
        </is>
      </c>
      <c r="C296" s="14" t="inlineStr">
        <is>
          <t>棕榈油</t>
        </is>
      </c>
      <c r="D296" s="14" t="inlineStr">
        <is>
          <t>P</t>
        </is>
      </c>
      <c r="E296" s="14" t="inlineStr">
        <is>
          <t>空</t>
        </is>
      </c>
      <c r="F296" s="14" t="inlineStr">
        <is>
          <t>★★</t>
        </is>
      </c>
      <c r="G296" s="14" t="n">
        <v>2</v>
      </c>
      <c r="H296" s="15" t="n">
        <v>9014</v>
      </c>
      <c r="I296" s="15" t="n">
        <v>8940</v>
      </c>
      <c r="J296" s="14" t="n">
        <v>10</v>
      </c>
      <c r="K296" s="14" t="n">
        <v>10000</v>
      </c>
      <c r="L296" s="25">
        <f>IF(E296="多",1,-1)*(I296-H296)*G296*J296</f>
        <v/>
      </c>
      <c r="M296" s="26">
        <f>L296/K296</f>
        <v/>
      </c>
      <c r="N296" s="14" t="inlineStr">
        <is>
          <t>将军撤退</t>
        </is>
      </c>
      <c r="O296" s="14" t="inlineStr">
        <is>
          <t>是</t>
        </is>
      </c>
    </row>
    <row r="297">
      <c r="A297" s="14" t="inlineStr">
        <is>
          <t>2026-02-06</t>
        </is>
      </c>
      <c r="B297" s="14" t="inlineStr">
        <is>
          <t>2026-02-10</t>
        </is>
      </c>
      <c r="C297" s="14" t="inlineStr">
        <is>
          <t>工业硅</t>
        </is>
      </c>
      <c r="D297" s="14" t="inlineStr">
        <is>
          <t>SI</t>
        </is>
      </c>
      <c r="E297" s="14" t="inlineStr">
        <is>
          <t>空</t>
        </is>
      </c>
      <c r="F297" s="14" t="inlineStr">
        <is>
          <t>★★</t>
        </is>
      </c>
      <c r="G297" s="14" t="n">
        <v>3</v>
      </c>
      <c r="H297" s="15" t="n">
        <v>8515</v>
      </c>
      <c r="I297" s="15" t="n">
        <v>8375</v>
      </c>
      <c r="J297" s="14" t="n">
        <v>5</v>
      </c>
      <c r="K297" s="14" t="n">
        <v>10000</v>
      </c>
      <c r="L297" s="25">
        <f>IF(E297="多",1,-1)*(I297-H297)*G297*J297</f>
        <v/>
      </c>
      <c r="M297" s="26">
        <f>L297/K297</f>
        <v/>
      </c>
      <c r="N297" s="14" t="inlineStr">
        <is>
          <t>将军撤退</t>
        </is>
      </c>
      <c r="O297" s="14" t="inlineStr">
        <is>
          <t>是</t>
        </is>
      </c>
    </row>
    <row r="298">
      <c r="A298" s="14" t="inlineStr">
        <is>
          <t>2026-02-06</t>
        </is>
      </c>
      <c r="B298" s="14" t="inlineStr">
        <is>
          <t>2026-02-10</t>
        </is>
      </c>
      <c r="C298" s="14" t="inlineStr">
        <is>
          <t>燃料油</t>
        </is>
      </c>
      <c r="D298" s="14" t="inlineStr">
        <is>
          <t>FU</t>
        </is>
      </c>
      <c r="E298" s="14" t="inlineStr">
        <is>
          <t>多</t>
        </is>
      </c>
      <c r="F298" s="14" t="inlineStr">
        <is>
          <t>★★</t>
        </is>
      </c>
      <c r="G298" s="14" t="n">
        <v>3</v>
      </c>
      <c r="H298" s="15" t="n">
        <v>2784</v>
      </c>
      <c r="I298" s="15" t="n">
        <v>2845</v>
      </c>
      <c r="J298" s="14" t="n">
        <v>10</v>
      </c>
      <c r="K298" s="14" t="n">
        <v>10000</v>
      </c>
      <c r="L298" s="25">
        <f>IF(E298="多",1,-1)*(I298-H298)*G298*J298</f>
        <v/>
      </c>
      <c r="M298" s="26">
        <f>L298/K298</f>
        <v/>
      </c>
      <c r="N298" s="14" t="inlineStr">
        <is>
          <t>将军撤退</t>
        </is>
      </c>
      <c r="O298" s="14" t="inlineStr">
        <is>
          <t>是</t>
        </is>
      </c>
    </row>
    <row r="299">
      <c r="A299" s="14" t="inlineStr">
        <is>
          <t>2026-01-23</t>
        </is>
      </c>
      <c r="B299" s="14" t="inlineStr">
        <is>
          <t>2026-02-10</t>
        </is>
      </c>
      <c r="C299" s="14" t="inlineStr">
        <is>
          <t>玉米</t>
        </is>
      </c>
      <c r="D299" s="14" t="inlineStr">
        <is>
          <t>C</t>
        </is>
      </c>
      <c r="E299" s="14" t="inlineStr">
        <is>
          <t>多</t>
        </is>
      </c>
      <c r="F299" s="14" t="inlineStr">
        <is>
          <t>★★</t>
        </is>
      </c>
      <c r="G299" s="14" t="n">
        <v>15</v>
      </c>
      <c r="H299" s="15" t="n">
        <v>2303</v>
      </c>
      <c r="I299" s="15" t="n">
        <v>2286</v>
      </c>
      <c r="J299" s="14" t="n">
        <v>10</v>
      </c>
      <c r="K299" s="14" t="n">
        <v>10000</v>
      </c>
      <c r="L299" s="25">
        <f>IF(E299="多",1,-1)*(I299-H299)*G299*J299</f>
        <v/>
      </c>
      <c r="M299" s="26">
        <f>L299/K299</f>
        <v/>
      </c>
      <c r="N299" s="14" t="inlineStr">
        <is>
          <t>大将军转向</t>
        </is>
      </c>
      <c r="O299" s="14" t="inlineStr">
        <is>
          <t>是</t>
        </is>
      </c>
    </row>
    <row r="300">
      <c r="A300" s="14" t="inlineStr">
        <is>
          <t>2026-02-06</t>
        </is>
      </c>
      <c r="B300" s="14" t="inlineStr">
        <is>
          <t>2026-02-09</t>
        </is>
      </c>
      <c r="C300" s="14" t="inlineStr">
        <is>
          <t>硅铁</t>
        </is>
      </c>
      <c r="D300" s="14" t="inlineStr">
        <is>
          <t>SF</t>
        </is>
      </c>
      <c r="E300" s="14" t="inlineStr">
        <is>
          <t>空</t>
        </is>
      </c>
      <c r="F300" s="14" t="inlineStr">
        <is>
          <t>★★</t>
        </is>
      </c>
      <c r="G300" s="14" t="n">
        <v>7</v>
      </c>
      <c r="H300" s="15" t="n">
        <v>5622</v>
      </c>
      <c r="I300" s="15" t="n">
        <v>5594</v>
      </c>
      <c r="J300" s="14" t="n">
        <v>5</v>
      </c>
      <c r="K300" s="14" t="n">
        <v>10000</v>
      </c>
      <c r="L300" s="25">
        <f>IF(E300="多",1,-1)*(I300-H300)*G300*J300</f>
        <v/>
      </c>
      <c r="M300" s="26">
        <f>L300/K300</f>
        <v/>
      </c>
      <c r="N300" s="14" t="inlineStr">
        <is>
          <t>将军撤退</t>
        </is>
      </c>
      <c r="O300" s="14" t="inlineStr">
        <is>
          <t>是</t>
        </is>
      </c>
    </row>
    <row r="301">
      <c r="A301" s="14" t="inlineStr">
        <is>
          <t>2026-02-05</t>
        </is>
      </c>
      <c r="B301" s="14" t="inlineStr">
        <is>
          <t>2026-02-09</t>
        </is>
      </c>
      <c r="C301" s="14" t="inlineStr">
        <is>
          <t>鸡蛋</t>
        </is>
      </c>
      <c r="D301" s="14" t="inlineStr">
        <is>
          <t>JD</t>
        </is>
      </c>
      <c r="E301" s="14" t="inlineStr">
        <is>
          <t>空</t>
        </is>
      </c>
      <c r="F301" s="14" t="inlineStr">
        <is>
          <t>★★</t>
        </is>
      </c>
      <c r="G301" s="14" t="n">
        <v>7</v>
      </c>
      <c r="H301" s="15" t="n">
        <v>3166</v>
      </c>
      <c r="I301" s="15" t="n">
        <v>3149</v>
      </c>
      <c r="J301" s="14" t="n">
        <v>10</v>
      </c>
      <c r="K301" s="14" t="n">
        <v>10000</v>
      </c>
      <c r="L301" s="25">
        <f>IF(E301="多",1,-1)*(I301-H301)*G301*J301</f>
        <v/>
      </c>
      <c r="M301" s="26">
        <f>L301/K301</f>
        <v/>
      </c>
      <c r="N301" s="14" t="inlineStr">
        <is>
          <t>将军撤退+大将军转向</t>
        </is>
      </c>
      <c r="O301" s="14" t="inlineStr">
        <is>
          <t>是</t>
        </is>
      </c>
    </row>
    <row r="302">
      <c r="A302" s="14" t="inlineStr">
        <is>
          <t>2026-02-02</t>
        </is>
      </c>
      <c r="B302" s="14" t="inlineStr">
        <is>
          <t>2026-02-09</t>
        </is>
      </c>
      <c r="C302" s="14" t="inlineStr">
        <is>
          <t>热卷</t>
        </is>
      </c>
      <c r="D302" s="14" t="inlineStr">
        <is>
          <t>HC</t>
        </is>
      </c>
      <c r="E302" s="14" t="inlineStr">
        <is>
          <t>空</t>
        </is>
      </c>
      <c r="F302" s="14" t="inlineStr">
        <is>
          <t>★★★</t>
        </is>
      </c>
      <c r="G302" s="14" t="n">
        <v>11</v>
      </c>
      <c r="H302" s="15" t="n">
        <v>3270</v>
      </c>
      <c r="I302" s="15" t="n">
        <v>3239</v>
      </c>
      <c r="J302" s="14" t="n">
        <v>10</v>
      </c>
      <c r="K302" s="14" t="n">
        <v>10000</v>
      </c>
      <c r="L302" s="25">
        <f>IF(E302="多",1,-1)*(I302-H302)*G302*J302</f>
        <v/>
      </c>
      <c r="M302" s="26">
        <f>L302/K302</f>
        <v/>
      </c>
      <c r="N302" s="14" t="inlineStr">
        <is>
          <t>将军撤退</t>
        </is>
      </c>
      <c r="O302" s="14" t="inlineStr">
        <is>
          <t>是</t>
        </is>
      </c>
    </row>
    <row r="303">
      <c r="A303" s="14" t="inlineStr">
        <is>
          <t>2026-02-02</t>
        </is>
      </c>
      <c r="B303" s="14" t="inlineStr">
        <is>
          <t>2026-02-05</t>
        </is>
      </c>
      <c r="C303" s="14" t="inlineStr">
        <is>
          <t>对二甲苯</t>
        </is>
      </c>
      <c r="D303" s="14" t="inlineStr">
        <is>
          <t>PX</t>
        </is>
      </c>
      <c r="E303" s="14" t="inlineStr">
        <is>
          <t>空</t>
        </is>
      </c>
      <c r="F303" s="14" t="inlineStr">
        <is>
          <t>★★</t>
        </is>
      </c>
      <c r="G303" s="14" t="n">
        <v>3</v>
      </c>
      <c r="H303" s="15" t="n">
        <v>7180</v>
      </c>
      <c r="I303" s="15" t="n">
        <v>7200</v>
      </c>
      <c r="J303" s="14" t="n">
        <v>5</v>
      </c>
      <c r="K303" s="14" t="n">
        <v>10000</v>
      </c>
      <c r="L303" s="25">
        <f>IF(E303="多",1,-1)*(I303-H303)*G303*J303</f>
        <v/>
      </c>
      <c r="M303" s="26">
        <f>L303/K303</f>
        <v/>
      </c>
      <c r="N303" s="14" t="inlineStr">
        <is>
          <t>大将军转向</t>
        </is>
      </c>
      <c r="O303" s="14" t="inlineStr">
        <is>
          <t>是</t>
        </is>
      </c>
    </row>
    <row r="304">
      <c r="A304" s="2" t="inlineStr">
        <is>
          <t>2026-02-02</t>
        </is>
      </c>
      <c r="B304" s="2" t="inlineStr">
        <is>
          <t>2026-02-05</t>
        </is>
      </c>
      <c r="C304" s="2" t="inlineStr">
        <is>
          <t>豆粕</t>
        </is>
      </c>
      <c r="D304" s="2" t="inlineStr">
        <is>
          <t>M</t>
        </is>
      </c>
      <c r="E304" s="9" t="inlineStr">
        <is>
          <t>空</t>
        </is>
      </c>
      <c r="F304" s="2" t="inlineStr">
        <is>
          <t>★★★</t>
        </is>
      </c>
      <c r="G304" s="10" t="n">
        <v>35</v>
      </c>
      <c r="H304" s="11" t="n">
        <v>2756</v>
      </c>
      <c r="I304" s="11" t="n">
        <v>2731</v>
      </c>
      <c r="J304" s="10" t="n">
        <v>10</v>
      </c>
      <c r="K304" s="10" t="n">
        <v>30000</v>
      </c>
      <c r="L304" s="23">
        <f>IF(E304="多",1,-1)*(I304-H304)*G304*J304</f>
        <v/>
      </c>
      <c r="M304" s="24">
        <f>L304/K304</f>
        <v/>
      </c>
      <c r="N304" s="2" t="inlineStr">
        <is>
          <t>将军撤退</t>
        </is>
      </c>
      <c r="O304" s="2" t="inlineStr">
        <is>
          <t>否</t>
        </is>
      </c>
    </row>
    <row r="305">
      <c r="A305" s="2" t="inlineStr">
        <is>
          <t>2026-02-02</t>
        </is>
      </c>
      <c r="B305" s="2" t="inlineStr">
        <is>
          <t>2026-02-04</t>
        </is>
      </c>
      <c r="C305" s="2" t="inlineStr">
        <is>
          <t>鸡蛋</t>
        </is>
      </c>
      <c r="D305" s="2" t="inlineStr">
        <is>
          <t>JD</t>
        </is>
      </c>
      <c r="E305" s="9" t="inlineStr">
        <is>
          <t>空</t>
        </is>
      </c>
      <c r="F305" s="2" t="inlineStr">
        <is>
          <t>★★★</t>
        </is>
      </c>
      <c r="G305" s="10" t="n">
        <v>21</v>
      </c>
      <c r="H305" s="11" t="n">
        <v>2965</v>
      </c>
      <c r="I305" s="11" t="n">
        <v>2945</v>
      </c>
      <c r="J305" s="10" t="n">
        <v>10</v>
      </c>
      <c r="K305" s="10" t="n">
        <v>30000</v>
      </c>
      <c r="L305" s="23">
        <f>IF(E305="多",1,-1)*(I305-H305)*G305*J305</f>
        <v/>
      </c>
      <c r="M305" s="24">
        <f>L305/K305</f>
        <v/>
      </c>
      <c r="N305" s="2" t="inlineStr">
        <is>
          <t>将军撤退</t>
        </is>
      </c>
      <c r="O305" s="2" t="inlineStr">
        <is>
          <t>否</t>
        </is>
      </c>
    </row>
    <row r="306">
      <c r="A306" s="14" t="inlineStr">
        <is>
          <t>2026-01-26</t>
        </is>
      </c>
      <c r="B306" s="14" t="inlineStr">
        <is>
          <t>2026-02-04</t>
        </is>
      </c>
      <c r="C306" s="14" t="inlineStr">
        <is>
          <t>铁矿石</t>
        </is>
      </c>
      <c r="D306" s="14" t="inlineStr">
        <is>
          <t>I</t>
        </is>
      </c>
      <c r="E306" s="14" t="inlineStr">
        <is>
          <t>空</t>
        </is>
      </c>
      <c r="F306" s="14" t="inlineStr">
        <is>
          <t>★★★</t>
        </is>
      </c>
      <c r="G306" s="14" t="n">
        <v>2</v>
      </c>
      <c r="H306" s="15" t="n">
        <v>786.5</v>
      </c>
      <c r="I306" s="15" t="n">
        <v>781.5</v>
      </c>
      <c r="J306" s="14" t="n">
        <v>100</v>
      </c>
      <c r="K306" s="14" t="n">
        <v>10000</v>
      </c>
      <c r="L306" s="25">
        <f>IF(E306="多",1,-1)*(I306-H306)*G306*J306</f>
        <v/>
      </c>
      <c r="M306" s="26">
        <f>L306/K306</f>
        <v/>
      </c>
      <c r="N306" s="14" t="inlineStr">
        <is>
          <t>将军撤退+大将军转向</t>
        </is>
      </c>
      <c r="O306" s="14" t="inlineStr">
        <is>
          <t>是</t>
        </is>
      </c>
    </row>
    <row r="307">
      <c r="A307" s="14" t="inlineStr">
        <is>
          <t>2026-01-30</t>
        </is>
      </c>
      <c r="B307" s="14" t="inlineStr">
        <is>
          <t>2026-02-02</t>
        </is>
      </c>
      <c r="C307" s="14" t="inlineStr">
        <is>
          <t>塑料</t>
        </is>
      </c>
      <c r="D307" s="14" t="inlineStr">
        <is>
          <t>L</t>
        </is>
      </c>
      <c r="E307" s="14" t="inlineStr">
        <is>
          <t>多</t>
        </is>
      </c>
      <c r="F307" s="14" t="inlineStr">
        <is>
          <t>★★</t>
        </is>
      </c>
      <c r="G307" s="14" t="n">
        <v>5</v>
      </c>
      <c r="H307" s="15" t="n">
        <v>7029</v>
      </c>
      <c r="I307" s="15" t="n">
        <v>6878</v>
      </c>
      <c r="J307" s="14" t="n">
        <v>5</v>
      </c>
      <c r="K307" s="14" t="n">
        <v>10000</v>
      </c>
      <c r="L307" s="25">
        <f>IF(E307="多",1,-1)*(I307-H307)*G307*J307</f>
        <v/>
      </c>
      <c r="M307" s="26">
        <f>L307/K307</f>
        <v/>
      </c>
      <c r="N307" s="14" t="inlineStr">
        <is>
          <t>大将军转向</t>
        </is>
      </c>
      <c r="O307" s="14" t="inlineStr">
        <is>
          <t>是</t>
        </is>
      </c>
    </row>
    <row r="308">
      <c r="A308" s="2" t="inlineStr">
        <is>
          <t>2026-01-29</t>
        </is>
      </c>
      <c r="B308" s="2" t="inlineStr">
        <is>
          <t>2026-02-02</t>
        </is>
      </c>
      <c r="C308" s="2" t="inlineStr">
        <is>
          <t>苯乙烯</t>
        </is>
      </c>
      <c r="D308" s="2" t="inlineStr">
        <is>
          <t>EB</t>
        </is>
      </c>
      <c r="E308" s="19" t="inlineStr">
        <is>
          <t>多</t>
        </is>
      </c>
      <c r="F308" s="2" t="inlineStr">
        <is>
          <t>★★★</t>
        </is>
      </c>
      <c r="G308" s="10" t="n">
        <v>3</v>
      </c>
      <c r="H308" s="11" t="n">
        <v>7950</v>
      </c>
      <c r="I308" s="11" t="n">
        <v>7438</v>
      </c>
      <c r="J308" s="10" t="n">
        <v>5</v>
      </c>
      <c r="K308" s="10" t="n">
        <v>10000</v>
      </c>
      <c r="L308" s="23">
        <f>IF(E308="多",1,-1)*(I308-H308)*G308*J308</f>
        <v/>
      </c>
      <c r="M308" s="24">
        <f>L308/K308</f>
        <v/>
      </c>
      <c r="N308" s="2" t="inlineStr">
        <is>
          <t>大将军转向</t>
        </is>
      </c>
      <c r="O308" s="2" t="inlineStr">
        <is>
          <t>否</t>
        </is>
      </c>
    </row>
    <row r="309">
      <c r="A309" s="2" t="inlineStr">
        <is>
          <t>2026-01-20</t>
        </is>
      </c>
      <c r="B309" s="2" t="inlineStr">
        <is>
          <t>2026-02-02</t>
        </is>
      </c>
      <c r="C309" s="2" t="inlineStr">
        <is>
          <t>豆油</t>
        </is>
      </c>
      <c r="D309" s="2" t="inlineStr">
        <is>
          <t>Y</t>
        </is>
      </c>
      <c r="E309" s="19" t="inlineStr">
        <is>
          <t>多</t>
        </is>
      </c>
      <c r="F309" s="2" t="inlineStr">
        <is>
          <t>★★★</t>
        </is>
      </c>
      <c r="G309" s="10" t="n">
        <v>12</v>
      </c>
      <c r="H309" s="11" t="n">
        <v>8040</v>
      </c>
      <c r="I309" s="11" t="n">
        <v>8134.43</v>
      </c>
      <c r="J309" s="10" t="n">
        <v>10</v>
      </c>
      <c r="K309" s="10" t="n">
        <v>30000</v>
      </c>
      <c r="L309" s="23">
        <f>IF(E309="多",1,-1)*(I309-H309)*G309*J309</f>
        <v/>
      </c>
      <c r="M309" s="24">
        <f>L309/K309</f>
        <v/>
      </c>
      <c r="N309" s="2" t="inlineStr">
        <is>
          <t>止损</t>
        </is>
      </c>
      <c r="O309" s="2" t="inlineStr">
        <is>
          <t>否</t>
        </is>
      </c>
    </row>
    <row r="310">
      <c r="A310" s="2" t="inlineStr">
        <is>
          <t>2026-01-23</t>
        </is>
      </c>
      <c r="B310" s="2" t="inlineStr">
        <is>
          <t>2026-01-30</t>
        </is>
      </c>
      <c r="C310" s="2" t="inlineStr">
        <is>
          <t>沪锌</t>
        </is>
      </c>
      <c r="D310" s="2" t="inlineStr">
        <is>
          <t>ZN</t>
        </is>
      </c>
      <c r="E310" s="19" t="inlineStr">
        <is>
          <t>多</t>
        </is>
      </c>
      <c r="F310" s="2" t="inlineStr">
        <is>
          <t>★★★</t>
        </is>
      </c>
      <c r="G310" s="10" t="n">
        <v>4</v>
      </c>
      <c r="H310" s="11" t="n">
        <v>24715</v>
      </c>
      <c r="I310" s="11" t="n">
        <v>25835</v>
      </c>
      <c r="J310" s="10" t="n">
        <v>5</v>
      </c>
      <c r="K310" s="10" t="n">
        <v>30000</v>
      </c>
      <c r="L310" s="23">
        <f>IF(E310="多",1,-1)*(I310-H310)*G310*J310</f>
        <v/>
      </c>
      <c r="M310" s="24">
        <f>L310/K310</f>
        <v/>
      </c>
      <c r="N310" s="2" t="inlineStr">
        <is>
          <t>大将军转向</t>
        </is>
      </c>
      <c r="O310" s="2" t="inlineStr">
        <is>
          <t>否</t>
        </is>
      </c>
    </row>
    <row r="311">
      <c r="A311" s="2" t="inlineStr">
        <is>
          <t>2026-01-26</t>
        </is>
      </c>
      <c r="B311" s="2" t="inlineStr">
        <is>
          <t>2026-01-29</t>
        </is>
      </c>
      <c r="C311" s="2" t="inlineStr">
        <is>
          <t>塑料</t>
        </is>
      </c>
      <c r="D311" s="2" t="inlineStr">
        <is>
          <t>L</t>
        </is>
      </c>
      <c r="E311" s="19" t="inlineStr">
        <is>
          <t>多</t>
        </is>
      </c>
      <c r="F311" s="2" t="inlineStr">
        <is>
          <t>★★★</t>
        </is>
      </c>
      <c r="G311" s="10" t="n">
        <v>6</v>
      </c>
      <c r="H311" s="11" t="n">
        <v>6913</v>
      </c>
      <c r="I311" s="11" t="n">
        <v>7049</v>
      </c>
      <c r="J311" s="10" t="n">
        <v>5</v>
      </c>
      <c r="K311" s="10" t="n">
        <v>10000</v>
      </c>
      <c r="L311" s="23">
        <f>IF(E311="多",1,-1)*(I311-H311)*G311*J311</f>
        <v/>
      </c>
      <c r="M311" s="24">
        <f>L311/K311</f>
        <v/>
      </c>
      <c r="N311" s="2" t="inlineStr">
        <is>
          <t>将军撤退</t>
        </is>
      </c>
      <c r="O311" s="2" t="inlineStr">
        <is>
          <t>否</t>
        </is>
      </c>
    </row>
    <row r="312">
      <c r="A312" s="14" t="inlineStr">
        <is>
          <t>2026-01-13</t>
        </is>
      </c>
      <c r="B312" s="14" t="inlineStr">
        <is>
          <t>2026-01-29</t>
        </is>
      </c>
      <c r="C312" s="14" t="inlineStr">
        <is>
          <t>白糖</t>
        </is>
      </c>
      <c r="D312" s="14" t="inlineStr">
        <is>
          <t>SR</t>
        </is>
      </c>
      <c r="E312" s="14" t="inlineStr">
        <is>
          <t>空</t>
        </is>
      </c>
      <c r="F312" s="14" t="inlineStr">
        <is>
          <t>★★★</t>
        </is>
      </c>
      <c r="G312" s="14" t="n">
        <v>7</v>
      </c>
      <c r="H312" s="15" t="n">
        <v>5260</v>
      </c>
      <c r="I312" s="15" t="n">
        <v>5255.36</v>
      </c>
      <c r="J312" s="14" t="n">
        <v>10</v>
      </c>
      <c r="K312" s="14" t="n">
        <v>10000</v>
      </c>
      <c r="L312" s="25">
        <f>IF(E312="多",1,-1)*(I312-H312)*G312*J312</f>
        <v/>
      </c>
      <c r="M312" s="26">
        <f>L312/K312</f>
        <v/>
      </c>
      <c r="N312" s="14" t="inlineStr">
        <is>
          <t>止损</t>
        </is>
      </c>
      <c r="O312" s="14" t="inlineStr">
        <is>
          <t>是</t>
        </is>
      </c>
    </row>
    <row r="313">
      <c r="A313" s="14" t="inlineStr">
        <is>
          <t>2026-01-27</t>
        </is>
      </c>
      <c r="B313" s="14" t="inlineStr">
        <is>
          <t>2026-01-28</t>
        </is>
      </c>
      <c r="C313" s="14" t="inlineStr">
        <is>
          <t>螺纹钢</t>
        </is>
      </c>
      <c r="D313" s="14" t="inlineStr">
        <is>
          <t>RB</t>
        </is>
      </c>
      <c r="E313" s="14" t="inlineStr">
        <is>
          <t>空</t>
        </is>
      </c>
      <c r="F313" s="14" t="inlineStr">
        <is>
          <t>★★</t>
        </is>
      </c>
      <c r="G313" s="14" t="n">
        <v>11</v>
      </c>
      <c r="H313" s="15" t="n">
        <v>3126</v>
      </c>
      <c r="I313" s="15" t="n">
        <v>3123</v>
      </c>
      <c r="J313" s="14" t="n">
        <v>10</v>
      </c>
      <c r="K313" s="14" t="n">
        <v>10000</v>
      </c>
      <c r="L313" s="25">
        <f>IF(E313="多",1,-1)*(I313-H313)*G313*J313</f>
        <v/>
      </c>
      <c r="M313" s="26">
        <f>L313/K313</f>
        <v/>
      </c>
      <c r="N313" s="14" t="inlineStr">
        <is>
          <t>将军撤退</t>
        </is>
      </c>
      <c r="O313" s="14" t="inlineStr">
        <is>
          <t>是</t>
        </is>
      </c>
    </row>
    <row r="314">
      <c r="A314" s="14" t="inlineStr">
        <is>
          <t>2026-01-23</t>
        </is>
      </c>
      <c r="B314" s="14" t="inlineStr">
        <is>
          <t>2026-01-26</t>
        </is>
      </c>
      <c r="C314" s="14" t="inlineStr">
        <is>
          <t>PTA</t>
        </is>
      </c>
      <c r="D314" s="14" t="inlineStr">
        <is>
          <t>TA</t>
        </is>
      </c>
      <c r="E314" s="14" t="inlineStr">
        <is>
          <t>多</t>
        </is>
      </c>
      <c r="F314" s="14" t="inlineStr">
        <is>
          <t>★★</t>
        </is>
      </c>
      <c r="G314" s="14" t="n">
        <v>5</v>
      </c>
      <c r="H314" s="15" t="n">
        <v>5476</v>
      </c>
      <c r="I314" s="15" t="n">
        <v>5438</v>
      </c>
      <c r="J314" s="14" t="n">
        <v>5</v>
      </c>
      <c r="K314" s="14" t="n">
        <v>10000</v>
      </c>
      <c r="L314" s="25">
        <f>IF(E314="多",1,-1)*(I314-H314)*G314*J314</f>
        <v/>
      </c>
      <c r="M314" s="26">
        <f>L314/K314</f>
        <v/>
      </c>
      <c r="N314" s="14" t="inlineStr">
        <is>
          <t>将军撤退+大将军转向</t>
        </is>
      </c>
      <c r="O314" s="14" t="inlineStr">
        <is>
          <t>是</t>
        </is>
      </c>
    </row>
    <row r="315">
      <c r="A315" s="2" t="inlineStr">
        <is>
          <t>2026-01-22</t>
        </is>
      </c>
      <c r="B315" s="2" t="inlineStr">
        <is>
          <t>2026-01-23</t>
        </is>
      </c>
      <c r="C315" s="2" t="inlineStr">
        <is>
          <t>苯乙烯</t>
        </is>
      </c>
      <c r="D315" s="2" t="inlineStr">
        <is>
          <t>EB</t>
        </is>
      </c>
      <c r="E315" s="19" t="inlineStr">
        <is>
          <t>多</t>
        </is>
      </c>
      <c r="F315" s="2" t="inlineStr">
        <is>
          <t>★★★</t>
        </is>
      </c>
      <c r="G315" s="10" t="n">
        <v>4</v>
      </c>
      <c r="H315" s="11" t="n">
        <v>7654</v>
      </c>
      <c r="I315" s="11" t="n">
        <v>7708</v>
      </c>
      <c r="J315" s="10" t="n">
        <v>5</v>
      </c>
      <c r="K315" s="10" t="n">
        <v>10000</v>
      </c>
      <c r="L315" s="23">
        <f>IF(E315="多",1,-1)*(I315-H315)*G315*J315</f>
        <v/>
      </c>
      <c r="M315" s="24">
        <f>L315/K315</f>
        <v/>
      </c>
      <c r="N315" s="2" t="inlineStr">
        <is>
          <t>将军撤退</t>
        </is>
      </c>
      <c r="O315" s="2" t="inlineStr">
        <is>
          <t>否</t>
        </is>
      </c>
    </row>
    <row r="316">
      <c r="A316" s="2" t="inlineStr">
        <is>
          <t>2026-01-19</t>
        </is>
      </c>
      <c r="B316" s="2" t="inlineStr">
        <is>
          <t>2026-01-23</t>
        </is>
      </c>
      <c r="C316" s="2" t="inlineStr">
        <is>
          <t>沪镍</t>
        </is>
      </c>
      <c r="D316" s="2" t="inlineStr">
        <is>
          <t>NI</t>
        </is>
      </c>
      <c r="E316" s="19" t="inlineStr">
        <is>
          <t>多</t>
        </is>
      </c>
      <c r="F316" s="2" t="inlineStr">
        <is>
          <t>★★★</t>
        </is>
      </c>
      <c r="G316" s="10" t="n">
        <v>1</v>
      </c>
      <c r="H316" s="11" t="n">
        <v>142960</v>
      </c>
      <c r="I316" s="11" t="n">
        <v>148360</v>
      </c>
      <c r="J316" s="10" t="n">
        <v>1</v>
      </c>
      <c r="K316" s="10" t="n">
        <v>30000</v>
      </c>
      <c r="L316" s="23">
        <f>IF(E316="多",1,-1)*(I316-H316)*G316*J316</f>
        <v/>
      </c>
      <c r="M316" s="24">
        <f>L316/K316</f>
        <v/>
      </c>
      <c r="N316" s="2" t="inlineStr">
        <is>
          <t>将军撤退+大将军转向</t>
        </is>
      </c>
      <c r="O316" s="2" t="inlineStr">
        <is>
          <t>否</t>
        </is>
      </c>
    </row>
    <row r="317">
      <c r="A317" s="14" t="inlineStr">
        <is>
          <t>2026-01-16</t>
        </is>
      </c>
      <c r="B317" s="14" t="inlineStr">
        <is>
          <t>2026-01-23</t>
        </is>
      </c>
      <c r="C317" s="14" t="inlineStr">
        <is>
          <t>对二甲苯</t>
        </is>
      </c>
      <c r="D317" s="14" t="inlineStr">
        <is>
          <t>PX</t>
        </is>
      </c>
      <c r="E317" s="14" t="inlineStr">
        <is>
          <t>空</t>
        </is>
      </c>
      <c r="F317" s="14" t="inlineStr">
        <is>
          <t>★★</t>
        </is>
      </c>
      <c r="G317" s="14" t="n">
        <v>3</v>
      </c>
      <c r="H317" s="15" t="n">
        <v>7172</v>
      </c>
      <c r="I317" s="15" t="n">
        <v>7573.14</v>
      </c>
      <c r="J317" s="14" t="n">
        <v>5</v>
      </c>
      <c r="K317" s="14" t="n">
        <v>10000</v>
      </c>
      <c r="L317" s="25">
        <f>IF(E317="多",1,-1)*(I317-H317)*G317*J317</f>
        <v/>
      </c>
      <c r="M317" s="26">
        <f>L317/K317</f>
        <v/>
      </c>
      <c r="N317" s="14" t="inlineStr">
        <is>
          <t>止损</t>
        </is>
      </c>
      <c r="O317" s="14" t="inlineStr">
        <is>
          <t>是</t>
        </is>
      </c>
    </row>
    <row r="318">
      <c r="A318" s="14" t="inlineStr">
        <is>
          <t>2026-01-15</t>
        </is>
      </c>
      <c r="B318" s="14" t="inlineStr">
        <is>
          <t>2026-01-23</t>
        </is>
      </c>
      <c r="C318" s="14" t="inlineStr">
        <is>
          <t>聚丙烯</t>
        </is>
      </c>
      <c r="D318" s="14" t="inlineStr">
        <is>
          <t>PP</t>
        </is>
      </c>
      <c r="E318" s="14" t="inlineStr">
        <is>
          <t>多</t>
        </is>
      </c>
      <c r="F318" s="14" t="inlineStr">
        <is>
          <t>★★</t>
        </is>
      </c>
      <c r="G318" s="14" t="n">
        <v>8</v>
      </c>
      <c r="H318" s="15" t="n">
        <v>6580</v>
      </c>
      <c r="I318" s="15" t="n">
        <v>6656</v>
      </c>
      <c r="J318" s="14" t="n">
        <v>5</v>
      </c>
      <c r="K318" s="14" t="n">
        <v>10000</v>
      </c>
      <c r="L318" s="25">
        <f>IF(E318="多",1,-1)*(I318-H318)*G318*J318</f>
        <v/>
      </c>
      <c r="M318" s="26">
        <f>L318/K318</f>
        <v/>
      </c>
      <c r="N318" s="14" t="inlineStr">
        <is>
          <t>将军撤退</t>
        </is>
      </c>
      <c r="O318" s="14" t="inlineStr">
        <is>
          <t>是</t>
        </is>
      </c>
    </row>
    <row r="319">
      <c r="A319" s="14" t="inlineStr">
        <is>
          <t>2026-01-21</t>
        </is>
      </c>
      <c r="B319" s="14" t="inlineStr">
        <is>
          <t>2026-01-22</t>
        </is>
      </c>
      <c r="C319" s="14" t="inlineStr">
        <is>
          <t>锰硅</t>
        </is>
      </c>
      <c r="D319" s="14" t="inlineStr">
        <is>
          <t>SM</t>
        </is>
      </c>
      <c r="E319" s="14" t="inlineStr">
        <is>
          <t>空</t>
        </is>
      </c>
      <c r="F319" s="14" t="inlineStr">
        <is>
          <t>★★</t>
        </is>
      </c>
      <c r="G319" s="14" t="n">
        <v>7</v>
      </c>
      <c r="H319" s="15" t="n">
        <v>5790</v>
      </c>
      <c r="I319" s="15" t="n">
        <v>5814</v>
      </c>
      <c r="J319" s="14" t="n">
        <v>5</v>
      </c>
      <c r="K319" s="14" t="n">
        <v>10000</v>
      </c>
      <c r="L319" s="25">
        <f>IF(E319="多",1,-1)*(I319-H319)*G319*J319</f>
        <v/>
      </c>
      <c r="M319" s="26">
        <f>L319/K319</f>
        <v/>
      </c>
      <c r="N319" s="14" t="inlineStr">
        <is>
          <t>将军撤退+大将军转向</t>
        </is>
      </c>
      <c r="O319" s="14" t="inlineStr">
        <is>
          <t>是</t>
        </is>
      </c>
    </row>
    <row r="320">
      <c r="A320" s="14" t="inlineStr">
        <is>
          <t>2026-01-21</t>
        </is>
      </c>
      <c r="B320" s="14" t="inlineStr">
        <is>
          <t>2026-01-22</t>
        </is>
      </c>
      <c r="C320" s="14" t="inlineStr">
        <is>
          <t>菜粕</t>
        </is>
      </c>
      <c r="D320" s="14" t="inlineStr">
        <is>
          <t>RM</t>
        </is>
      </c>
      <c r="E320" s="14" t="inlineStr">
        <is>
          <t>空</t>
        </is>
      </c>
      <c r="F320" s="14" t="inlineStr">
        <is>
          <t>★★</t>
        </is>
      </c>
      <c r="G320" s="14" t="n">
        <v>8</v>
      </c>
      <c r="H320" s="15" t="n">
        <v>2237</v>
      </c>
      <c r="I320" s="15" t="n">
        <v>2250</v>
      </c>
      <c r="J320" s="14" t="n">
        <v>10</v>
      </c>
      <c r="K320" s="14" t="n">
        <v>10000</v>
      </c>
      <c r="L320" s="25">
        <f>IF(E320="多",1,-1)*(I320-H320)*G320*J320</f>
        <v/>
      </c>
      <c r="M320" s="26">
        <f>L320/K320</f>
        <v/>
      </c>
      <c r="N320" s="14" t="inlineStr">
        <is>
          <t>将军撤退+大将军转向</t>
        </is>
      </c>
      <c r="O320" s="14" t="inlineStr">
        <is>
          <t>是</t>
        </is>
      </c>
    </row>
    <row r="321">
      <c r="A321" s="14" t="inlineStr">
        <is>
          <t>2026-01-19</t>
        </is>
      </c>
      <c r="B321" s="14" t="inlineStr">
        <is>
          <t>2026-01-22</t>
        </is>
      </c>
      <c r="C321" s="14" t="inlineStr">
        <is>
          <t>玻璃</t>
        </is>
      </c>
      <c r="D321" s="14" t="inlineStr">
        <is>
          <t>FG</t>
        </is>
      </c>
      <c r="E321" s="14" t="inlineStr">
        <is>
          <t>空</t>
        </is>
      </c>
      <c r="F321" s="14" t="inlineStr">
        <is>
          <t>★★★</t>
        </is>
      </c>
      <c r="G321" s="14" t="n">
        <v>4</v>
      </c>
      <c r="H321" s="15" t="n">
        <v>1070</v>
      </c>
      <c r="I321" s="15" t="n">
        <v>1057</v>
      </c>
      <c r="J321" s="14" t="n">
        <v>20</v>
      </c>
      <c r="K321" s="14" t="n">
        <v>10000</v>
      </c>
      <c r="L321" s="25">
        <f>IF(E321="多",1,-1)*(I321-H321)*G321*J321</f>
        <v/>
      </c>
      <c r="M321" s="26">
        <f>L321/K321</f>
        <v/>
      </c>
      <c r="N321" s="14" t="inlineStr">
        <is>
          <t>将军撤退</t>
        </is>
      </c>
      <c r="O321" s="14" t="inlineStr">
        <is>
          <t>是</t>
        </is>
      </c>
    </row>
    <row r="322">
      <c r="A322" s="2" t="inlineStr">
        <is>
          <t>2026-01-15</t>
        </is>
      </c>
      <c r="B322" s="2" t="inlineStr">
        <is>
          <t>2026-01-22</t>
        </is>
      </c>
      <c r="C322" s="2" t="inlineStr">
        <is>
          <t>玉米</t>
        </is>
      </c>
      <c r="D322" s="2" t="inlineStr">
        <is>
          <t>C</t>
        </is>
      </c>
      <c r="E322" s="19" t="inlineStr">
        <is>
          <t>多</t>
        </is>
      </c>
      <c r="F322" s="2" t="inlineStr">
        <is>
          <t>★★★</t>
        </is>
      </c>
      <c r="G322" s="10" t="n">
        <v>13</v>
      </c>
      <c r="H322" s="11" t="n">
        <v>2298</v>
      </c>
      <c r="I322" s="11" t="n">
        <v>2295</v>
      </c>
      <c r="J322" s="10" t="n">
        <v>10</v>
      </c>
      <c r="K322" s="10" t="n">
        <v>10000</v>
      </c>
      <c r="L322" s="23">
        <f>IF(E322="多",1,-1)*(I322-H322)*G322*J322</f>
        <v/>
      </c>
      <c r="M322" s="24">
        <f>L322/K322</f>
        <v/>
      </c>
      <c r="N322" s="2" t="inlineStr">
        <is>
          <t>将军撤退</t>
        </is>
      </c>
      <c r="O322" s="2" t="inlineStr">
        <is>
          <t>否</t>
        </is>
      </c>
    </row>
    <row r="323">
      <c r="A323" s="14" t="inlineStr">
        <is>
          <t>2026-01-19</t>
        </is>
      </c>
      <c r="B323" s="14" t="inlineStr">
        <is>
          <t>2026-01-21</t>
        </is>
      </c>
      <c r="C323" s="14" t="inlineStr">
        <is>
          <t>氧化铝</t>
        </is>
      </c>
      <c r="D323" s="14" t="inlineStr">
        <is>
          <t>AO</t>
        </is>
      </c>
      <c r="E323" s="14" t="inlineStr">
        <is>
          <t>空</t>
        </is>
      </c>
      <c r="F323" s="14" t="inlineStr">
        <is>
          <t>★★</t>
        </is>
      </c>
      <c r="G323" s="14" t="n">
        <v>1</v>
      </c>
      <c r="H323" s="15" t="n">
        <v>2730</v>
      </c>
      <c r="I323" s="15" t="n">
        <v>2672</v>
      </c>
      <c r="J323" s="14" t="n">
        <v>20</v>
      </c>
      <c r="K323" s="14" t="n">
        <v>10000</v>
      </c>
      <c r="L323" s="25">
        <f>IF(E323="多",1,-1)*(I323-H323)*G323*J323</f>
        <v/>
      </c>
      <c r="M323" s="26">
        <f>L323/K323</f>
        <v/>
      </c>
      <c r="N323" s="14" t="inlineStr">
        <is>
          <t>将军撤退</t>
        </is>
      </c>
      <c r="O323" s="14" t="inlineStr">
        <is>
          <t>是</t>
        </is>
      </c>
    </row>
    <row r="324">
      <c r="A324" s="14" t="inlineStr">
        <is>
          <t>2026-01-15</t>
        </is>
      </c>
      <c r="B324" s="14" t="inlineStr">
        <is>
          <t>2026-01-20</t>
        </is>
      </c>
      <c r="C324" s="14" t="inlineStr">
        <is>
          <t>苯乙烯</t>
        </is>
      </c>
      <c r="D324" s="14" t="inlineStr">
        <is>
          <t>EB</t>
        </is>
      </c>
      <c r="E324" s="14" t="inlineStr">
        <is>
          <t>多</t>
        </is>
      </c>
      <c r="F324" s="14" t="inlineStr">
        <is>
          <t>★★★</t>
        </is>
      </c>
      <c r="G324" s="14" t="n">
        <v>4</v>
      </c>
      <c r="H324" s="15" t="n">
        <v>7163</v>
      </c>
      <c r="I324" s="15" t="n">
        <v>7248</v>
      </c>
      <c r="J324" s="14" t="n">
        <v>5</v>
      </c>
      <c r="K324" s="14" t="n">
        <v>10000</v>
      </c>
      <c r="L324" s="25">
        <f>IF(E324="多",1,-1)*(I324-H324)*G324*J324</f>
        <v/>
      </c>
      <c r="M324" s="26">
        <f>L324/K324</f>
        <v/>
      </c>
      <c r="N324" s="14" t="inlineStr">
        <is>
          <t>将军撤退</t>
        </is>
      </c>
      <c r="O324" s="14" t="inlineStr">
        <is>
          <t>是</t>
        </is>
      </c>
    </row>
    <row r="325">
      <c r="A325" s="2" t="inlineStr">
        <is>
          <t>2026-01-13</t>
        </is>
      </c>
      <c r="B325" s="2" t="inlineStr">
        <is>
          <t>2026-01-20</t>
        </is>
      </c>
      <c r="C325" s="2" t="inlineStr">
        <is>
          <t>棕榈油</t>
        </is>
      </c>
      <c r="D325" s="2" t="inlineStr">
        <is>
          <t>P</t>
        </is>
      </c>
      <c r="E325" s="19" t="inlineStr">
        <is>
          <t>多</t>
        </is>
      </c>
      <c r="F325" s="2" t="inlineStr">
        <is>
          <t>★★★</t>
        </is>
      </c>
      <c r="G325" s="10" t="n">
        <v>8</v>
      </c>
      <c r="H325" s="11" t="n">
        <v>8744</v>
      </c>
      <c r="I325" s="11" t="n">
        <v>8748</v>
      </c>
      <c r="J325" s="10" t="n">
        <v>10</v>
      </c>
      <c r="K325" s="10" t="n">
        <v>30000</v>
      </c>
      <c r="L325" s="23">
        <f>IF(E325="多",1,-1)*(I325-H325)*G325*J325</f>
        <v/>
      </c>
      <c r="M325" s="24">
        <f>L325/K325</f>
        <v/>
      </c>
      <c r="N325" s="2" t="inlineStr">
        <is>
          <t>将军撤退</t>
        </is>
      </c>
      <c r="O325" s="2" t="inlineStr">
        <is>
          <t>否</t>
        </is>
      </c>
    </row>
    <row r="326">
      <c r="A326" s="14" t="inlineStr">
        <is>
          <t>2026-01-14</t>
        </is>
      </c>
      <c r="B326" s="14" t="inlineStr">
        <is>
          <t>2026-01-19</t>
        </is>
      </c>
      <c r="C326" s="14" t="inlineStr">
        <is>
          <t>工业硅</t>
        </is>
      </c>
      <c r="D326" s="14" t="inlineStr">
        <is>
          <t>SI</t>
        </is>
      </c>
      <c r="E326" s="14" t="inlineStr">
        <is>
          <t>多</t>
        </is>
      </c>
      <c r="F326" s="14" t="inlineStr">
        <is>
          <t>★★</t>
        </is>
      </c>
      <c r="G326" s="14" t="n">
        <v>2</v>
      </c>
      <c r="H326" s="15" t="n">
        <v>8790</v>
      </c>
      <c r="I326" s="15" t="n">
        <v>8845</v>
      </c>
      <c r="J326" s="14" t="n">
        <v>5</v>
      </c>
      <c r="K326" s="14" t="n">
        <v>10000</v>
      </c>
      <c r="L326" s="25">
        <f>IF(E326="多",1,-1)*(I326-H326)*G326*J326</f>
        <v/>
      </c>
      <c r="M326" s="26">
        <f>L326/K326</f>
        <v/>
      </c>
      <c r="N326" s="14" t="inlineStr">
        <is>
          <t>将军撤退</t>
        </is>
      </c>
      <c r="O326" s="14" t="inlineStr">
        <is>
          <t>是</t>
        </is>
      </c>
    </row>
    <row r="327">
      <c r="A327" s="14" t="inlineStr">
        <is>
          <t>2026-01-12</t>
        </is>
      </c>
      <c r="B327" s="14" t="inlineStr">
        <is>
          <t>2026-01-19</t>
        </is>
      </c>
      <c r="C327" s="14" t="inlineStr">
        <is>
          <t>豆油</t>
        </is>
      </c>
      <c r="D327" s="14" t="inlineStr">
        <is>
          <t>Y</t>
        </is>
      </c>
      <c r="E327" s="14" t="inlineStr">
        <is>
          <t>多</t>
        </is>
      </c>
      <c r="F327" s="14" t="inlineStr">
        <is>
          <t>★★★</t>
        </is>
      </c>
      <c r="G327" s="14" t="n">
        <v>4</v>
      </c>
      <c r="H327" s="15" t="n">
        <v>8008</v>
      </c>
      <c r="I327" s="15" t="n">
        <v>7996</v>
      </c>
      <c r="J327" s="14" t="n">
        <v>10</v>
      </c>
      <c r="K327" s="14" t="n">
        <v>10000</v>
      </c>
      <c r="L327" s="25">
        <f>IF(E327="多",1,-1)*(I327-H327)*G327*J327</f>
        <v/>
      </c>
      <c r="M327" s="26">
        <f>L327/K327</f>
        <v/>
      </c>
      <c r="N327" s="14" t="inlineStr">
        <is>
          <t>大将军转向</t>
        </is>
      </c>
      <c r="O327" s="14" t="inlineStr">
        <is>
          <t>是</t>
        </is>
      </c>
    </row>
    <row r="328">
      <c r="A328" s="14" t="inlineStr">
        <is>
          <t>2026-01-06</t>
        </is>
      </c>
      <c r="B328" s="14" t="inlineStr">
        <is>
          <t>2026-01-19</t>
        </is>
      </c>
      <c r="C328" s="14" t="inlineStr">
        <is>
          <t>铁矿石</t>
        </is>
      </c>
      <c r="D328" s="14" t="inlineStr">
        <is>
          <t>I</t>
        </is>
      </c>
      <c r="E328" s="14" t="inlineStr">
        <is>
          <t>多</t>
        </is>
      </c>
      <c r="F328" s="14" t="inlineStr">
        <is>
          <t>★★★</t>
        </is>
      </c>
      <c r="G328" s="14" t="n">
        <v>2</v>
      </c>
      <c r="H328" s="15" t="n">
        <v>801</v>
      </c>
      <c r="I328" s="15" t="n">
        <v>790.79</v>
      </c>
      <c r="J328" s="14" t="n">
        <v>100</v>
      </c>
      <c r="K328" s="14" t="n">
        <v>10000</v>
      </c>
      <c r="L328" s="25">
        <f>IF(E328="多",1,-1)*(I328-H328)*G328*J328</f>
        <v/>
      </c>
      <c r="M328" s="26">
        <f>L328/K328</f>
        <v/>
      </c>
      <c r="N328" s="14" t="inlineStr">
        <is>
          <t>止损</t>
        </is>
      </c>
      <c r="O328" s="14" t="inlineStr">
        <is>
          <t>是</t>
        </is>
      </c>
    </row>
    <row r="329">
      <c r="A329" s="2" t="inlineStr">
        <is>
          <t>2026-01-12</t>
        </is>
      </c>
      <c r="B329" s="2" t="inlineStr">
        <is>
          <t>2026-01-16</t>
        </is>
      </c>
      <c r="C329" s="2" t="inlineStr">
        <is>
          <t>对二甲苯</t>
        </is>
      </c>
      <c r="D329" s="2" t="inlineStr">
        <is>
          <t>PX</t>
        </is>
      </c>
      <c r="E329" s="19" t="inlineStr">
        <is>
          <t>多</t>
        </is>
      </c>
      <c r="F329" s="2" t="inlineStr">
        <is>
          <t>★★★</t>
        </is>
      </c>
      <c r="G329" s="10" t="n">
        <v>10</v>
      </c>
      <c r="H329" s="11" t="n">
        <v>7308</v>
      </c>
      <c r="I329" s="11" t="n">
        <v>7086</v>
      </c>
      <c r="J329" s="10" t="n">
        <v>5</v>
      </c>
      <c r="K329" s="10" t="n">
        <v>30000</v>
      </c>
      <c r="L329" s="23">
        <f>IF(E329="多",1,-1)*(I329-H329)*G329*J329</f>
        <v/>
      </c>
      <c r="M329" s="24">
        <f>L329/K329</f>
        <v/>
      </c>
      <c r="N329" s="2" t="inlineStr">
        <is>
          <t>反向信号</t>
        </is>
      </c>
      <c r="O329" s="2" t="inlineStr">
        <is>
          <t>否</t>
        </is>
      </c>
    </row>
    <row r="330">
      <c r="A330" s="14" t="inlineStr">
        <is>
          <t>2026-01-09</t>
        </is>
      </c>
      <c r="B330" s="14" t="inlineStr">
        <is>
          <t>2026-01-15</t>
        </is>
      </c>
      <c r="C330" s="14" t="inlineStr">
        <is>
          <t>锰硅</t>
        </is>
      </c>
      <c r="D330" s="14" t="inlineStr">
        <is>
          <t>SM</t>
        </is>
      </c>
      <c r="E330" s="14" t="inlineStr">
        <is>
          <t>空</t>
        </is>
      </c>
      <c r="F330" s="14" t="inlineStr">
        <is>
          <t>★★</t>
        </is>
      </c>
      <c r="G330" s="14" t="n">
        <v>7</v>
      </c>
      <c r="H330" s="15" t="n">
        <v>5964</v>
      </c>
      <c r="I330" s="15" t="n">
        <v>5870</v>
      </c>
      <c r="J330" s="14" t="n">
        <v>5</v>
      </c>
      <c r="K330" s="14" t="n">
        <v>10000</v>
      </c>
      <c r="L330" s="25">
        <f>IF(E330="多",1,-1)*(I330-H330)*G330*J330</f>
        <v/>
      </c>
      <c r="M330" s="26">
        <f>L330/K330</f>
        <v/>
      </c>
      <c r="N330" s="14" t="inlineStr">
        <is>
          <t>大将军转向</t>
        </is>
      </c>
      <c r="O330" s="14" t="inlineStr">
        <is>
          <t>是</t>
        </is>
      </c>
    </row>
    <row r="331">
      <c r="A331" s="14" t="inlineStr">
        <is>
          <t>2026-01-13</t>
        </is>
      </c>
      <c r="B331" s="14" t="inlineStr">
        <is>
          <t>2026-01-14</t>
        </is>
      </c>
      <c r="C331" s="14" t="inlineStr">
        <is>
          <t>聚丙烯</t>
        </is>
      </c>
      <c r="D331" s="14" t="inlineStr">
        <is>
          <t>PP</t>
        </is>
      </c>
      <c r="E331" s="14" t="inlineStr">
        <is>
          <t>多</t>
        </is>
      </c>
      <c r="F331" s="14" t="inlineStr">
        <is>
          <t>★★</t>
        </is>
      </c>
      <c r="G331" s="14" t="n">
        <v>7</v>
      </c>
      <c r="H331" s="15" t="n">
        <v>6563</v>
      </c>
      <c r="I331" s="15" t="n">
        <v>6590</v>
      </c>
      <c r="J331" s="14" t="n">
        <v>5</v>
      </c>
      <c r="K331" s="14" t="n">
        <v>10000</v>
      </c>
      <c r="L331" s="25">
        <f>IF(E331="多",1,-1)*(I331-H331)*G331*J331</f>
        <v/>
      </c>
      <c r="M331" s="26">
        <f>L331/K331</f>
        <v/>
      </c>
      <c r="N331" s="14" t="inlineStr">
        <is>
          <t>大将军转向</t>
        </is>
      </c>
      <c r="O331" s="14" t="inlineStr">
        <is>
          <t>是</t>
        </is>
      </c>
    </row>
    <row r="332">
      <c r="A332" s="2" t="inlineStr">
        <is>
          <t>2026-01-12</t>
        </is>
      </c>
      <c r="B332" s="2" t="inlineStr">
        <is>
          <t>2026-01-14</t>
        </is>
      </c>
      <c r="C332" s="2" t="inlineStr">
        <is>
          <t>沪铝</t>
        </is>
      </c>
      <c r="D332" s="2" t="inlineStr">
        <is>
          <t>AL</t>
        </is>
      </c>
      <c r="E332" s="19" t="inlineStr">
        <is>
          <t>多</t>
        </is>
      </c>
      <c r="F332" s="2" t="inlineStr">
        <is>
          <t>★★★</t>
        </is>
      </c>
      <c r="G332" s="10" t="n">
        <v>3</v>
      </c>
      <c r="H332" s="11" t="n">
        <v>24750</v>
      </c>
      <c r="I332" s="11" t="n">
        <v>24595</v>
      </c>
      <c r="J332" s="10" t="n">
        <v>5</v>
      </c>
      <c r="K332" s="10" t="n">
        <v>30000</v>
      </c>
      <c r="L332" s="23">
        <f>IF(E332="多",1,-1)*(I332-H332)*G332*J332</f>
        <v/>
      </c>
      <c r="M332" s="24">
        <f>L332/K332</f>
        <v/>
      </c>
      <c r="N332" s="2" t="inlineStr">
        <is>
          <t>大将军转向</t>
        </is>
      </c>
      <c r="O332" s="2" t="inlineStr">
        <is>
          <t>否</t>
        </is>
      </c>
    </row>
    <row r="333">
      <c r="A333" s="2" t="inlineStr">
        <is>
          <t>2026-01-08</t>
        </is>
      </c>
      <c r="B333" s="2" t="inlineStr">
        <is>
          <t>2026-01-13</t>
        </is>
      </c>
      <c r="C333" s="2" t="inlineStr">
        <is>
          <t>碳酸锂</t>
        </is>
      </c>
      <c r="D333" s="2" t="inlineStr">
        <is>
          <t>LC</t>
        </is>
      </c>
      <c r="E333" s="19" t="inlineStr">
        <is>
          <t>多</t>
        </is>
      </c>
      <c r="F333" s="2" t="inlineStr">
        <is>
          <t>★★★</t>
        </is>
      </c>
      <c r="G333" s="10" t="n">
        <v>1</v>
      </c>
      <c r="H333" s="11" t="n">
        <v>142000</v>
      </c>
      <c r="I333" s="11" t="n">
        <v>166980</v>
      </c>
      <c r="J333" s="10" t="n">
        <v>1</v>
      </c>
      <c r="K333" s="10" t="n">
        <v>30000</v>
      </c>
      <c r="L333" s="23">
        <f>IF(E333="多",1,-1)*(I333-H333)*G333*J333</f>
        <v/>
      </c>
      <c r="M333" s="24">
        <f>L333/K333</f>
        <v/>
      </c>
      <c r="N333" s="2" t="inlineStr">
        <is>
          <t>将军撤退+大将军转向</t>
        </is>
      </c>
      <c r="O333" s="2" t="inlineStr">
        <is>
          <t>否</t>
        </is>
      </c>
    </row>
    <row r="334">
      <c r="A334" s="2" t="inlineStr">
        <is>
          <t>2026-01-09</t>
        </is>
      </c>
      <c r="B334" s="2" t="inlineStr">
        <is>
          <t>2026-01-12</t>
        </is>
      </c>
      <c r="C334" s="2" t="inlineStr">
        <is>
          <t>聚丙烯</t>
        </is>
      </c>
      <c r="D334" s="2" t="inlineStr">
        <is>
          <t>PP</t>
        </is>
      </c>
      <c r="E334" s="19" t="inlineStr">
        <is>
          <t>多</t>
        </is>
      </c>
      <c r="F334" s="2" t="inlineStr">
        <is>
          <t>★★★</t>
        </is>
      </c>
      <c r="G334" s="10" t="n">
        <v>23</v>
      </c>
      <c r="H334" s="11" t="n">
        <v>6507</v>
      </c>
      <c r="I334" s="11" t="n">
        <v>6560</v>
      </c>
      <c r="J334" s="10" t="n">
        <v>5</v>
      </c>
      <c r="K334" s="10" t="n">
        <v>30000</v>
      </c>
      <c r="L334" s="23">
        <f>IF(E334="多",1,-1)*(I334-H334)*G334*J334</f>
        <v/>
      </c>
      <c r="M334" s="24">
        <f>L334/K334</f>
        <v/>
      </c>
      <c r="N334" s="2" t="inlineStr">
        <is>
          <t>将军撤退</t>
        </is>
      </c>
      <c r="O334" s="2" t="inlineStr">
        <is>
          <t>否</t>
        </is>
      </c>
    </row>
    <row r="335">
      <c r="A335" s="2" t="inlineStr">
        <is>
          <t>2026-01-09</t>
        </is>
      </c>
      <c r="B335" s="2" t="inlineStr">
        <is>
          <t>2026-01-12</t>
        </is>
      </c>
      <c r="C335" s="2" t="inlineStr">
        <is>
          <t>焦煤</t>
        </is>
      </c>
      <c r="D335" s="2" t="inlineStr">
        <is>
          <t>JM</t>
        </is>
      </c>
      <c r="E335" s="19" t="inlineStr">
        <is>
          <t>多</t>
        </is>
      </c>
      <c r="F335" s="2" t="inlineStr">
        <is>
          <t>★★★</t>
        </is>
      </c>
      <c r="G335" s="10" t="n">
        <v>1</v>
      </c>
      <c r="H335" s="11" t="n">
        <v>1213</v>
      </c>
      <c r="I335" s="11" t="n">
        <v>1238</v>
      </c>
      <c r="J335" s="10" t="n">
        <v>60</v>
      </c>
      <c r="K335" s="10" t="n">
        <v>10000</v>
      </c>
      <c r="L335" s="23">
        <f>IF(E335="多",1,-1)*(I335-H335)*G335*J335</f>
        <v/>
      </c>
      <c r="M335" s="24">
        <f>L335/K335</f>
        <v/>
      </c>
      <c r="N335" s="2" t="inlineStr">
        <is>
          <t>将军撤退</t>
        </is>
      </c>
      <c r="O335" s="2" t="inlineStr">
        <is>
          <t>否</t>
        </is>
      </c>
    </row>
    <row r="336">
      <c r="A336" s="2" t="inlineStr">
        <is>
          <t>2025-12-30</t>
        </is>
      </c>
      <c r="B336" s="2" t="inlineStr">
        <is>
          <t>2026-01-12</t>
        </is>
      </c>
      <c r="C336" s="2" t="inlineStr">
        <is>
          <t>棉花</t>
        </is>
      </c>
      <c r="D336" s="2" t="inlineStr">
        <is>
          <t>CF</t>
        </is>
      </c>
      <c r="E336" s="19" t="inlineStr">
        <is>
          <t>多</t>
        </is>
      </c>
      <c r="F336" s="2" t="inlineStr">
        <is>
          <t>★★★</t>
        </is>
      </c>
      <c r="G336" s="10" t="n">
        <v>12</v>
      </c>
      <c r="H336" s="11" t="n">
        <v>14585</v>
      </c>
      <c r="I336" s="11" t="n">
        <v>14536.79</v>
      </c>
      <c r="J336" s="10" t="n">
        <v>5</v>
      </c>
      <c r="K336" s="10" t="n">
        <v>30000</v>
      </c>
      <c r="L336" s="23">
        <f>IF(E336="多",1,-1)*(I336-H336)*G336*J336</f>
        <v/>
      </c>
      <c r="M336" s="24">
        <f>L336/K336</f>
        <v/>
      </c>
      <c r="N336" s="2" t="inlineStr">
        <is>
          <t>止损</t>
        </is>
      </c>
      <c r="O336" s="2" t="inlineStr">
        <is>
          <t>否</t>
        </is>
      </c>
    </row>
    <row r="337">
      <c r="A337" s="14" t="inlineStr">
        <is>
          <t>2025-12-24</t>
        </is>
      </c>
      <c r="B337" s="14" t="inlineStr">
        <is>
          <t>2026-01-12</t>
        </is>
      </c>
      <c r="C337" s="14" t="inlineStr">
        <is>
          <t>PVC</t>
        </is>
      </c>
      <c r="D337" s="14" t="inlineStr">
        <is>
          <t>V</t>
        </is>
      </c>
      <c r="E337" s="14" t="inlineStr">
        <is>
          <t>多</t>
        </is>
      </c>
      <c r="F337" s="14" t="inlineStr">
        <is>
          <t>★★</t>
        </is>
      </c>
      <c r="G337" s="14" t="n">
        <v>7</v>
      </c>
      <c r="H337" s="15" t="n">
        <v>4781</v>
      </c>
      <c r="I337" s="15" t="n">
        <v>4722.93</v>
      </c>
      <c r="J337" s="14" t="n">
        <v>5</v>
      </c>
      <c r="K337" s="14" t="n">
        <v>10000</v>
      </c>
      <c r="L337" s="25">
        <f>IF(E337="多",1,-1)*(I337-H337)*G337*J337</f>
        <v/>
      </c>
      <c r="M337" s="26">
        <f>L337/K337</f>
        <v/>
      </c>
      <c r="N337" s="14" t="inlineStr">
        <is>
          <t>止损</t>
        </is>
      </c>
      <c r="O337" s="14" t="inlineStr">
        <is>
          <t>是</t>
        </is>
      </c>
    </row>
    <row r="338">
      <c r="A338" s="14" t="inlineStr">
        <is>
          <t>2026-01-07</t>
        </is>
      </c>
      <c r="B338" s="14" t="inlineStr">
        <is>
          <t>2026-01-09</t>
        </is>
      </c>
      <c r="C338" s="14" t="inlineStr">
        <is>
          <t>甲醇</t>
        </is>
      </c>
      <c r="D338" s="14" t="inlineStr">
        <is>
          <t>MA</t>
        </is>
      </c>
      <c r="E338" s="14" t="inlineStr">
        <is>
          <t>多</t>
        </is>
      </c>
      <c r="F338" s="14" t="inlineStr">
        <is>
          <t>★★</t>
        </is>
      </c>
      <c r="G338" s="14" t="n">
        <v>6</v>
      </c>
      <c r="H338" s="15" t="n">
        <v>2267</v>
      </c>
      <c r="I338" s="15" t="n">
        <v>2273</v>
      </c>
      <c r="J338" s="14" t="n">
        <v>10</v>
      </c>
      <c r="K338" s="14" t="n">
        <v>10000</v>
      </c>
      <c r="L338" s="25">
        <f>IF(E338="多",1,-1)*(I338-H338)*G338*J338</f>
        <v/>
      </c>
      <c r="M338" s="26">
        <f>L338/K338</f>
        <v/>
      </c>
      <c r="N338" s="14" t="inlineStr">
        <is>
          <t>将军撤退</t>
        </is>
      </c>
      <c r="O338" s="14" t="inlineStr">
        <is>
          <t>是</t>
        </is>
      </c>
    </row>
    <row r="339">
      <c r="A339" s="2" t="inlineStr">
        <is>
          <t>2026-01-06</t>
        </is>
      </c>
      <c r="B339" s="2" t="inlineStr">
        <is>
          <t>2026-01-09</t>
        </is>
      </c>
      <c r="C339" s="2" t="inlineStr">
        <is>
          <t>对二甲苯</t>
        </is>
      </c>
      <c r="D339" s="2" t="inlineStr">
        <is>
          <t>PX</t>
        </is>
      </c>
      <c r="E339" s="19" t="inlineStr">
        <is>
          <t>多</t>
        </is>
      </c>
      <c r="F339" s="2" t="inlineStr">
        <is>
          <t>★★★</t>
        </is>
      </c>
      <c r="G339" s="10" t="n">
        <v>12</v>
      </c>
      <c r="H339" s="11" t="n">
        <v>7350</v>
      </c>
      <c r="I339" s="11" t="n">
        <v>7238</v>
      </c>
      <c r="J339" s="10" t="n">
        <v>5</v>
      </c>
      <c r="K339" s="10" t="n">
        <v>30000</v>
      </c>
      <c r="L339" s="23">
        <f>IF(E339="多",1,-1)*(I339-H339)*G339*J339</f>
        <v/>
      </c>
      <c r="M339" s="24">
        <f>L339/K339</f>
        <v/>
      </c>
      <c r="N339" s="2" t="inlineStr">
        <is>
          <t>将军撤退</t>
        </is>
      </c>
      <c r="O339" s="2" t="inlineStr">
        <is>
          <t>否</t>
        </is>
      </c>
    </row>
    <row r="340">
      <c r="A340" s="14" t="inlineStr">
        <is>
          <t>2026-01-07</t>
        </is>
      </c>
      <c r="B340" s="14" t="inlineStr">
        <is>
          <t>2026-01-08</t>
        </is>
      </c>
      <c r="C340" s="14" t="inlineStr">
        <is>
          <t>焦煤</t>
        </is>
      </c>
      <c r="D340" s="14" t="inlineStr">
        <is>
          <t>JM</t>
        </is>
      </c>
      <c r="E340" s="14" t="inlineStr">
        <is>
          <t>多</t>
        </is>
      </c>
      <c r="F340" s="14" t="inlineStr">
        <is>
          <t>★★</t>
        </is>
      </c>
      <c r="G340" s="14" t="n">
        <v>1</v>
      </c>
      <c r="H340" s="15" t="n">
        <v>1189</v>
      </c>
      <c r="I340" s="15" t="n">
        <v>1190</v>
      </c>
      <c r="J340" s="14" t="n">
        <v>60</v>
      </c>
      <c r="K340" s="14" t="n">
        <v>10000</v>
      </c>
      <c r="L340" s="25">
        <f>IF(E340="多",1,-1)*(I340-H340)*G340*J340</f>
        <v/>
      </c>
      <c r="M340" s="26">
        <f>L340/K340</f>
        <v/>
      </c>
      <c r="N340" s="14" t="inlineStr">
        <is>
          <t>将军撤退+大将军转向</t>
        </is>
      </c>
      <c r="O340" s="14" t="inlineStr">
        <is>
          <t>是</t>
        </is>
      </c>
    </row>
    <row r="341">
      <c r="A341" s="14" t="inlineStr">
        <is>
          <t>2026-01-06</t>
        </is>
      </c>
      <c r="B341" s="14" t="inlineStr">
        <is>
          <t>2026-01-08</t>
        </is>
      </c>
      <c r="C341" s="14" t="inlineStr">
        <is>
          <t>苯乙烯</t>
        </is>
      </c>
      <c r="D341" s="14" t="inlineStr">
        <is>
          <t>EB</t>
        </is>
      </c>
      <c r="E341" s="14" t="inlineStr">
        <is>
          <t>多</t>
        </is>
      </c>
      <c r="F341" s="14" t="inlineStr">
        <is>
          <t>★★</t>
        </is>
      </c>
      <c r="G341" s="14" t="n">
        <v>5</v>
      </c>
      <c r="H341" s="15" t="n">
        <v>6830</v>
      </c>
      <c r="I341" s="15" t="n">
        <v>6807</v>
      </c>
      <c r="J341" s="14" t="n">
        <v>5</v>
      </c>
      <c r="K341" s="14" t="n">
        <v>10000</v>
      </c>
      <c r="L341" s="25">
        <f>IF(E341="多",1,-1)*(I341-H341)*G341*J341</f>
        <v/>
      </c>
      <c r="M341" s="26">
        <f>L341/K341</f>
        <v/>
      </c>
      <c r="N341" s="14" t="inlineStr">
        <is>
          <t>将军撤退</t>
        </is>
      </c>
      <c r="O341" s="14" t="inlineStr">
        <is>
          <t>是</t>
        </is>
      </c>
    </row>
    <row r="342">
      <c r="A342" s="2" t="inlineStr">
        <is>
          <t>2025-12-31</t>
        </is>
      </c>
      <c r="B342" s="2" t="inlineStr">
        <is>
          <t>2026-01-08</t>
        </is>
      </c>
      <c r="C342" s="2" t="inlineStr">
        <is>
          <t>豆粕</t>
        </is>
      </c>
      <c r="D342" s="2" t="inlineStr">
        <is>
          <t>M</t>
        </is>
      </c>
      <c r="E342" s="9" t="inlineStr">
        <is>
          <t>空</t>
        </is>
      </c>
      <c r="F342" s="2" t="inlineStr">
        <is>
          <t>★★★</t>
        </is>
      </c>
      <c r="G342" s="10" t="n">
        <v>33</v>
      </c>
      <c r="H342" s="11" t="n">
        <v>2738</v>
      </c>
      <c r="I342" s="11" t="n">
        <v>2821.57</v>
      </c>
      <c r="J342" s="10" t="n">
        <v>10</v>
      </c>
      <c r="K342" s="10" t="n">
        <v>30000</v>
      </c>
      <c r="L342" s="23">
        <f>IF(E342="多",1,-1)*(I342-H342)*G342*J342</f>
        <v/>
      </c>
      <c r="M342" s="24">
        <f>L342/K342</f>
        <v/>
      </c>
      <c r="N342" s="2" t="inlineStr">
        <is>
          <t>止损</t>
        </is>
      </c>
      <c r="O342" s="2" t="inlineStr">
        <is>
          <t>否</t>
        </is>
      </c>
    </row>
    <row r="343">
      <c r="A343" s="14" t="inlineStr">
        <is>
          <t>2025-12-30</t>
        </is>
      </c>
      <c r="B343" s="14" t="inlineStr">
        <is>
          <t>2026-01-07</t>
        </is>
      </c>
      <c r="C343" s="14" t="inlineStr">
        <is>
          <t>菜粕</t>
        </is>
      </c>
      <c r="D343" s="14" t="inlineStr">
        <is>
          <t>RM</t>
        </is>
      </c>
      <c r="E343" s="14" t="inlineStr">
        <is>
          <t>多</t>
        </is>
      </c>
      <c r="F343" s="14" t="inlineStr">
        <is>
          <t>★★★</t>
        </is>
      </c>
      <c r="G343" s="14" t="n">
        <v>10</v>
      </c>
      <c r="H343" s="15" t="n">
        <v>2400</v>
      </c>
      <c r="I343" s="15" t="n">
        <v>2419</v>
      </c>
      <c r="J343" s="14" t="n">
        <v>10</v>
      </c>
      <c r="K343" s="14" t="n">
        <v>10000</v>
      </c>
      <c r="L343" s="25">
        <f>IF(E343="多",1,-1)*(I343-H343)*G343*J343</f>
        <v/>
      </c>
      <c r="M343" s="26">
        <f>L343/K343</f>
        <v/>
      </c>
      <c r="N343" s="14" t="inlineStr">
        <is>
          <t>大将军转向</t>
        </is>
      </c>
      <c r="O343" s="14" t="inlineStr">
        <is>
          <t>是</t>
        </is>
      </c>
    </row>
    <row r="344">
      <c r="A344" s="14" t="inlineStr">
        <is>
          <t>2025-12-31</t>
        </is>
      </c>
      <c r="B344" s="14" t="inlineStr">
        <is>
          <t>2026-01-05</t>
        </is>
      </c>
      <c r="C344" s="14" t="inlineStr">
        <is>
          <t>玻璃</t>
        </is>
      </c>
      <c r="D344" s="14" t="inlineStr">
        <is>
          <t>FG</t>
        </is>
      </c>
      <c r="E344" s="14" t="inlineStr">
        <is>
          <t>多</t>
        </is>
      </c>
      <c r="F344" s="14" t="inlineStr">
        <is>
          <t>★★</t>
        </is>
      </c>
      <c r="G344" s="14" t="n">
        <v>6</v>
      </c>
      <c r="H344" s="15" t="n">
        <v>1094</v>
      </c>
      <c r="I344" s="15" t="n">
        <v>1081</v>
      </c>
      <c r="J344" s="14" t="n">
        <v>20</v>
      </c>
      <c r="K344" s="14" t="n">
        <v>10000</v>
      </c>
      <c r="L344" s="25">
        <f>IF(E344="多",1,-1)*(I344-H344)*G344*J344</f>
        <v/>
      </c>
      <c r="M344" s="26">
        <f>L344/K344</f>
        <v/>
      </c>
      <c r="N344" s="14" t="inlineStr">
        <is>
          <t>将军撤退</t>
        </is>
      </c>
      <c r="O344" s="14" t="inlineStr">
        <is>
          <t>是</t>
        </is>
      </c>
    </row>
    <row r="345">
      <c r="A345" s="14" t="inlineStr">
        <is>
          <t>2025-12-30</t>
        </is>
      </c>
      <c r="B345" s="14" t="inlineStr">
        <is>
          <t>2025-12-31</t>
        </is>
      </c>
      <c r="C345" s="14" t="inlineStr">
        <is>
          <t>焦煤</t>
        </is>
      </c>
      <c r="D345" s="14" t="inlineStr">
        <is>
          <t>JM</t>
        </is>
      </c>
      <c r="E345" s="14" t="inlineStr">
        <is>
          <t>多</t>
        </is>
      </c>
      <c r="F345" s="14" t="inlineStr">
        <is>
          <t>★★</t>
        </is>
      </c>
      <c r="G345" s="14" t="n">
        <v>1</v>
      </c>
      <c r="H345" s="15" t="n">
        <v>1124</v>
      </c>
      <c r="I345" s="15" t="n">
        <v>1115</v>
      </c>
      <c r="J345" s="14" t="n">
        <v>60</v>
      </c>
      <c r="K345" s="14" t="n">
        <v>10000</v>
      </c>
      <c r="L345" s="25">
        <f>IF(E345="多",1,-1)*(I345-H345)*G345*J345</f>
        <v/>
      </c>
      <c r="M345" s="26">
        <f>L345/K345</f>
        <v/>
      </c>
      <c r="N345" s="14" t="inlineStr">
        <is>
          <t>将军撤退</t>
        </is>
      </c>
      <c r="O345" s="14" t="inlineStr">
        <is>
          <t>是</t>
        </is>
      </c>
    </row>
    <row r="346">
      <c r="A346" s="14" t="inlineStr">
        <is>
          <t>2025-12-30</t>
        </is>
      </c>
      <c r="B346" s="14" t="inlineStr">
        <is>
          <t>2025-12-31</t>
        </is>
      </c>
      <c r="C346" s="14" t="inlineStr">
        <is>
          <t>鸡蛋</t>
        </is>
      </c>
      <c r="D346" s="14" t="inlineStr">
        <is>
          <t>JD</t>
        </is>
      </c>
      <c r="E346" s="14" t="inlineStr">
        <is>
          <t>空</t>
        </is>
      </c>
      <c r="F346" s="14" t="inlineStr">
        <is>
          <t>★★</t>
        </is>
      </c>
      <c r="G346" s="14" t="n">
        <v>8</v>
      </c>
      <c r="H346" s="15" t="n">
        <v>2955</v>
      </c>
      <c r="I346" s="15" t="n">
        <v>2951</v>
      </c>
      <c r="J346" s="14" t="n">
        <v>10</v>
      </c>
      <c r="K346" s="14" t="n">
        <v>10000</v>
      </c>
      <c r="L346" s="25">
        <f>IF(E346="多",1,-1)*(I346-H346)*G346*J346</f>
        <v/>
      </c>
      <c r="M346" s="26">
        <f>L346/K346</f>
        <v/>
      </c>
      <c r="N346" s="14" t="inlineStr">
        <is>
          <t>将军撤退</t>
        </is>
      </c>
      <c r="O346" s="14" t="inlineStr">
        <is>
          <t>是</t>
        </is>
      </c>
    </row>
    <row r="347">
      <c r="A347" s="2" t="inlineStr">
        <is>
          <t>2025-12-26</t>
        </is>
      </c>
      <c r="B347" s="2" t="inlineStr">
        <is>
          <t>2025-12-31</t>
        </is>
      </c>
      <c r="C347" s="2" t="inlineStr">
        <is>
          <t>PTA</t>
        </is>
      </c>
      <c r="D347" s="2" t="inlineStr">
        <is>
          <t>TA</t>
        </is>
      </c>
      <c r="E347" s="19" t="inlineStr">
        <is>
          <t>多</t>
        </is>
      </c>
      <c r="F347" s="2" t="inlineStr">
        <is>
          <t>★★★</t>
        </is>
      </c>
      <c r="G347" s="10" t="n">
        <v>21</v>
      </c>
      <c r="H347" s="11" t="n">
        <v>5230</v>
      </c>
      <c r="I347" s="11" t="n">
        <v>5110</v>
      </c>
      <c r="J347" s="10" t="n">
        <v>5</v>
      </c>
      <c r="K347" s="10" t="n">
        <v>30000</v>
      </c>
      <c r="L347" s="23">
        <f>IF(E347="多",1,-1)*(I347-H347)*G347*J347</f>
        <v/>
      </c>
      <c r="M347" s="24">
        <f>L347/K347</f>
        <v/>
      </c>
      <c r="N347" s="2" t="inlineStr">
        <is>
          <t>大将军转向</t>
        </is>
      </c>
      <c r="O347" s="2" t="inlineStr">
        <is>
          <t>否</t>
        </is>
      </c>
    </row>
    <row r="348">
      <c r="A348" s="14" t="inlineStr">
        <is>
          <t>2025-12-23</t>
        </is>
      </c>
      <c r="B348" s="14" t="inlineStr">
        <is>
          <t>2025-12-30</t>
        </is>
      </c>
      <c r="C348" s="14" t="inlineStr">
        <is>
          <t>沪锌</t>
        </is>
      </c>
      <c r="D348" s="14" t="inlineStr">
        <is>
          <t>ZN</t>
        </is>
      </c>
      <c r="E348" s="14" t="inlineStr">
        <is>
          <t>多</t>
        </is>
      </c>
      <c r="F348" s="14" t="inlineStr">
        <is>
          <t>★★</t>
        </is>
      </c>
      <c r="G348" s="14" t="n">
        <v>2</v>
      </c>
      <c r="H348" s="15" t="n">
        <v>23290</v>
      </c>
      <c r="I348" s="15" t="n">
        <v>23380</v>
      </c>
      <c r="J348" s="14" t="n">
        <v>5</v>
      </c>
      <c r="K348" s="14" t="n">
        <v>10000</v>
      </c>
      <c r="L348" s="25">
        <f>IF(E348="多",1,-1)*(I348-H348)*G348*J348</f>
        <v/>
      </c>
      <c r="M348" s="26">
        <f>L348/K348</f>
        <v/>
      </c>
      <c r="N348" s="14" t="inlineStr">
        <is>
          <t>将军撤退</t>
        </is>
      </c>
      <c r="O348" s="14" t="inlineStr">
        <is>
          <t>是</t>
        </is>
      </c>
    </row>
    <row r="349">
      <c r="A349" s="2" t="inlineStr">
        <is>
          <t>2025-12-17</t>
        </is>
      </c>
      <c r="B349" s="2" t="inlineStr">
        <is>
          <t>2025-12-30</t>
        </is>
      </c>
      <c r="C349" s="2" t="inlineStr">
        <is>
          <t>锰硅</t>
        </is>
      </c>
      <c r="D349" s="2" t="inlineStr">
        <is>
          <t>SM</t>
        </is>
      </c>
      <c r="E349" s="19" t="inlineStr">
        <is>
          <t>多</t>
        </is>
      </c>
      <c r="F349" s="2" t="inlineStr">
        <is>
          <t>★★★</t>
        </is>
      </c>
      <c r="G349" s="10" t="n">
        <v>29</v>
      </c>
      <c r="H349" s="11" t="n">
        <v>5798</v>
      </c>
      <c r="I349" s="11" t="n">
        <v>5942</v>
      </c>
      <c r="J349" s="10" t="n">
        <v>5</v>
      </c>
      <c r="K349" s="10" t="n">
        <v>30000</v>
      </c>
      <c r="L349" s="23">
        <f>IF(E349="多",1,-1)*(I349-H349)*G349*J349</f>
        <v/>
      </c>
      <c r="M349" s="24">
        <f>L349/K349</f>
        <v/>
      </c>
      <c r="N349" s="2" t="inlineStr">
        <is>
          <t>将军撤退</t>
        </is>
      </c>
      <c r="O349" s="2" t="inlineStr">
        <is>
          <t>否</t>
        </is>
      </c>
    </row>
    <row r="350">
      <c r="A350" s="2" t="inlineStr">
        <is>
          <t>2025-12-24</t>
        </is>
      </c>
      <c r="B350" s="2" t="inlineStr">
        <is>
          <t>2025-12-26</t>
        </is>
      </c>
      <c r="C350" s="2" t="inlineStr">
        <is>
          <t>豆粕</t>
        </is>
      </c>
      <c r="D350" s="2" t="inlineStr">
        <is>
          <t>M</t>
        </is>
      </c>
      <c r="E350" s="9" t="inlineStr">
        <is>
          <t>空</t>
        </is>
      </c>
      <c r="F350" s="2" t="inlineStr">
        <is>
          <t>★★★</t>
        </is>
      </c>
      <c r="G350" s="10" t="n">
        <v>11</v>
      </c>
      <c r="H350" s="11" t="n">
        <v>2728</v>
      </c>
      <c r="I350" s="11" t="n">
        <v>2790</v>
      </c>
      <c r="J350" s="10" t="n">
        <v>10</v>
      </c>
      <c r="K350" s="10" t="n">
        <v>10000</v>
      </c>
      <c r="L350" s="23">
        <f>IF(E350="多",1,-1)*(I350-H350)*G350*J350</f>
        <v/>
      </c>
      <c r="M350" s="24">
        <f>L350/K350</f>
        <v/>
      </c>
      <c r="N350" s="2" t="inlineStr">
        <is>
          <t>大将军转向</t>
        </is>
      </c>
      <c r="O350" s="2" t="inlineStr">
        <is>
          <t>否</t>
        </is>
      </c>
    </row>
    <row r="351">
      <c r="A351" s="2" t="inlineStr">
        <is>
          <t>2025-12-23</t>
        </is>
      </c>
      <c r="B351" s="2" t="inlineStr">
        <is>
          <t>2025-12-26</t>
        </is>
      </c>
      <c r="C351" s="2" t="inlineStr">
        <is>
          <t>棉花</t>
        </is>
      </c>
      <c r="D351" s="2" t="inlineStr">
        <is>
          <t>CF</t>
        </is>
      </c>
      <c r="E351" s="19" t="inlineStr">
        <is>
          <t>多</t>
        </is>
      </c>
      <c r="F351" s="2" t="inlineStr">
        <is>
          <t>★★★</t>
        </is>
      </c>
      <c r="G351" s="10" t="n">
        <v>18</v>
      </c>
      <c r="H351" s="11" t="n">
        <v>14160</v>
      </c>
      <c r="I351" s="11" t="n">
        <v>14535</v>
      </c>
      <c r="J351" s="10" t="n">
        <v>5</v>
      </c>
      <c r="K351" s="10" t="n">
        <v>30000</v>
      </c>
      <c r="L351" s="23">
        <f>IF(E351="多",1,-1)*(I351-H351)*G351*J351</f>
        <v/>
      </c>
      <c r="M351" s="24">
        <f>L351/K351</f>
        <v/>
      </c>
      <c r="N351" s="2" t="inlineStr">
        <is>
          <t>将军撤退+大将军转向</t>
        </is>
      </c>
      <c r="O351" s="2" t="inlineStr">
        <is>
          <t>否</t>
        </is>
      </c>
    </row>
    <row r="352">
      <c r="A352" s="2" t="inlineStr">
        <is>
          <t>2025-12-22</t>
        </is>
      </c>
      <c r="B352" s="2" t="inlineStr">
        <is>
          <t>2025-12-26</t>
        </is>
      </c>
      <c r="C352" s="2" t="inlineStr">
        <is>
          <t>氧化铝</t>
        </is>
      </c>
      <c r="D352" s="2" t="inlineStr">
        <is>
          <t>AO</t>
        </is>
      </c>
      <c r="E352" s="9" t="inlineStr">
        <is>
          <t>空</t>
        </is>
      </c>
      <c r="F352" s="2" t="inlineStr">
        <is>
          <t>★★★</t>
        </is>
      </c>
      <c r="G352" s="10" t="n">
        <v>8</v>
      </c>
      <c r="H352" s="11" t="n">
        <v>2606</v>
      </c>
      <c r="I352" s="11" t="n">
        <v>2774.43</v>
      </c>
      <c r="J352" s="10" t="n">
        <v>20</v>
      </c>
      <c r="K352" s="10" t="n">
        <v>30000</v>
      </c>
      <c r="L352" s="23">
        <f>IF(E352="多",1,-1)*(I352-H352)*G352*J352</f>
        <v/>
      </c>
      <c r="M352" s="24">
        <f>L352/K352</f>
        <v/>
      </c>
      <c r="N352" s="2" t="inlineStr">
        <is>
          <t>止损</t>
        </is>
      </c>
      <c r="O352" s="2" t="inlineStr">
        <is>
          <t>否</t>
        </is>
      </c>
    </row>
    <row r="353">
      <c r="A353" s="14" t="inlineStr">
        <is>
          <t>2025-12-24</t>
        </is>
      </c>
      <c r="B353" s="14" t="inlineStr">
        <is>
          <t>2025-12-25</t>
        </is>
      </c>
      <c r="C353" s="14" t="inlineStr">
        <is>
          <t>工业硅</t>
        </is>
      </c>
      <c r="D353" s="14" t="inlineStr">
        <is>
          <t>SI</t>
        </is>
      </c>
      <c r="E353" s="14" t="inlineStr">
        <is>
          <t>多</t>
        </is>
      </c>
      <c r="F353" s="14" t="inlineStr">
        <is>
          <t>★★</t>
        </is>
      </c>
      <c r="G353" s="14" t="n">
        <v>2</v>
      </c>
      <c r="H353" s="15" t="n">
        <v>8820</v>
      </c>
      <c r="I353" s="15" t="n">
        <v>8835</v>
      </c>
      <c r="J353" s="14" t="n">
        <v>5</v>
      </c>
      <c r="K353" s="14" t="n">
        <v>10000</v>
      </c>
      <c r="L353" s="25">
        <f>IF(E353="多",1,-1)*(I353-H353)*G353*J353</f>
        <v/>
      </c>
      <c r="M353" s="26">
        <f>L353/K353</f>
        <v/>
      </c>
      <c r="N353" s="14" t="inlineStr">
        <is>
          <t>大将军转向</t>
        </is>
      </c>
      <c r="O353" s="14" t="inlineStr">
        <is>
          <t>是</t>
        </is>
      </c>
    </row>
    <row r="354">
      <c r="A354" s="14" t="inlineStr">
        <is>
          <t>2025-12-17</t>
        </is>
      </c>
      <c r="B354" s="14" t="inlineStr">
        <is>
          <t>2025-12-24</t>
        </is>
      </c>
      <c r="C354" s="14" t="inlineStr">
        <is>
          <t>豆油</t>
        </is>
      </c>
      <c r="D354" s="14" t="inlineStr">
        <is>
          <t>Y</t>
        </is>
      </c>
      <c r="E354" s="14" t="inlineStr">
        <is>
          <t>空</t>
        </is>
      </c>
      <c r="F354" s="14" t="inlineStr">
        <is>
          <t>★★</t>
        </is>
      </c>
      <c r="G354" s="14" t="n">
        <v>4</v>
      </c>
      <c r="H354" s="15" t="n">
        <v>7820</v>
      </c>
      <c r="I354" s="15" t="n">
        <v>7764</v>
      </c>
      <c r="J354" s="14" t="n">
        <v>10</v>
      </c>
      <c r="K354" s="14" t="n">
        <v>10000</v>
      </c>
      <c r="L354" s="25">
        <f>IF(E354="多",1,-1)*(I354-H354)*G354*J354</f>
        <v/>
      </c>
      <c r="M354" s="26">
        <f>L354/K354</f>
        <v/>
      </c>
      <c r="N354" s="14" t="inlineStr">
        <is>
          <t>将军撤退</t>
        </is>
      </c>
      <c r="O354" s="14" t="inlineStr">
        <is>
          <t>是</t>
        </is>
      </c>
    </row>
    <row r="355">
      <c r="A355" s="14" t="inlineStr">
        <is>
          <t>2025-12-22</t>
        </is>
      </c>
      <c r="B355" s="14" t="inlineStr">
        <is>
          <t>2025-12-23</t>
        </is>
      </c>
      <c r="C355" s="14" t="inlineStr">
        <is>
          <t>豆粕</t>
        </is>
      </c>
      <c r="D355" s="14" t="inlineStr">
        <is>
          <t>M</t>
        </is>
      </c>
      <c r="E355" s="14" t="inlineStr">
        <is>
          <t>空</t>
        </is>
      </c>
      <c r="F355" s="14" t="inlineStr">
        <is>
          <t>★★</t>
        </is>
      </c>
      <c r="G355" s="14" t="n">
        <v>10</v>
      </c>
      <c r="H355" s="15" t="n">
        <v>2741</v>
      </c>
      <c r="I355" s="15" t="n">
        <v>2745</v>
      </c>
      <c r="J355" s="14" t="n">
        <v>10</v>
      </c>
      <c r="K355" s="14" t="n">
        <v>10000</v>
      </c>
      <c r="L355" s="25">
        <f>IF(E355="多",1,-1)*(I355-H355)*G355*J355</f>
        <v/>
      </c>
      <c r="M355" s="26">
        <f>L355/K355</f>
        <v/>
      </c>
      <c r="N355" s="14" t="inlineStr">
        <is>
          <t>将军撤退</t>
        </is>
      </c>
      <c r="O355" s="14" t="inlineStr">
        <is>
          <t>是</t>
        </is>
      </c>
    </row>
    <row r="356">
      <c r="A356" s="14" t="inlineStr">
        <is>
          <t>2025-12-22</t>
        </is>
      </c>
      <c r="B356" s="14" t="inlineStr">
        <is>
          <t>2025-12-23</t>
        </is>
      </c>
      <c r="C356" s="14" t="inlineStr">
        <is>
          <t>鸡蛋</t>
        </is>
      </c>
      <c r="D356" s="14" t="inlineStr">
        <is>
          <t>JD</t>
        </is>
      </c>
      <c r="E356" s="14" t="inlineStr">
        <is>
          <t>空</t>
        </is>
      </c>
      <c r="F356" s="14" t="inlineStr">
        <is>
          <t>★★</t>
        </is>
      </c>
      <c r="G356" s="14" t="n">
        <v>7</v>
      </c>
      <c r="H356" s="15" t="n">
        <v>2885</v>
      </c>
      <c r="I356" s="15" t="n">
        <v>2876</v>
      </c>
      <c r="J356" s="14" t="n">
        <v>10</v>
      </c>
      <c r="K356" s="14" t="n">
        <v>10000</v>
      </c>
      <c r="L356" s="25">
        <f>IF(E356="多",1,-1)*(I356-H356)*G356*J356</f>
        <v/>
      </c>
      <c r="M356" s="26">
        <f>L356/K356</f>
        <v/>
      </c>
      <c r="N356" s="14" t="inlineStr">
        <is>
          <t>大将军转向</t>
        </is>
      </c>
      <c r="O356" s="14" t="inlineStr">
        <is>
          <t>是</t>
        </is>
      </c>
    </row>
    <row r="357">
      <c r="A357" s="14" t="inlineStr">
        <is>
          <t>2025-12-22</t>
        </is>
      </c>
      <c r="B357" s="14" t="inlineStr">
        <is>
          <t>2025-12-23</t>
        </is>
      </c>
      <c r="C357" s="14" t="inlineStr">
        <is>
          <t>沪铝</t>
        </is>
      </c>
      <c r="D357" s="14" t="inlineStr">
        <is>
          <t>AL</t>
        </is>
      </c>
      <c r="E357" s="14" t="inlineStr">
        <is>
          <t>多</t>
        </is>
      </c>
      <c r="F357" s="14" t="inlineStr">
        <is>
          <t>★★</t>
        </is>
      </c>
      <c r="G357" s="14" t="n">
        <v>2</v>
      </c>
      <c r="H357" s="15" t="n">
        <v>22115</v>
      </c>
      <c r="I357" s="15" t="n">
        <v>22195</v>
      </c>
      <c r="J357" s="14" t="n">
        <v>5</v>
      </c>
      <c r="K357" s="14" t="n">
        <v>10000</v>
      </c>
      <c r="L357" s="25">
        <f>IF(E357="多",1,-1)*(I357-H357)*G357*J357</f>
        <v/>
      </c>
      <c r="M357" s="26">
        <f>L357/K357</f>
        <v/>
      </c>
      <c r="N357" s="14" t="inlineStr">
        <is>
          <t>将军撤退</t>
        </is>
      </c>
      <c r="O357" s="14" t="inlineStr">
        <is>
          <t>是</t>
        </is>
      </c>
    </row>
    <row r="358">
      <c r="A358" s="2" t="inlineStr">
        <is>
          <t>2025-12-19</t>
        </is>
      </c>
      <c r="B358" s="2" t="inlineStr">
        <is>
          <t>2025-12-23</t>
        </is>
      </c>
      <c r="C358" s="2" t="inlineStr">
        <is>
          <t>玻璃</t>
        </is>
      </c>
      <c r="D358" s="2" t="inlineStr">
        <is>
          <t>FG</t>
        </is>
      </c>
      <c r="E358" s="9" t="inlineStr">
        <is>
          <t>空</t>
        </is>
      </c>
      <c r="F358" s="2" t="inlineStr">
        <is>
          <t>★★★</t>
        </is>
      </c>
      <c r="G358" s="10" t="n">
        <v>20</v>
      </c>
      <c r="H358" s="11" t="n">
        <v>1037</v>
      </c>
      <c r="I358" s="11" t="n">
        <v>1028</v>
      </c>
      <c r="J358" s="10" t="n">
        <v>20</v>
      </c>
      <c r="K358" s="10" t="n">
        <v>30000</v>
      </c>
      <c r="L358" s="23">
        <f>IF(E358="多",1,-1)*(I358-H358)*G358*J358</f>
        <v/>
      </c>
      <c r="M358" s="24">
        <f>L358/K358</f>
        <v/>
      </c>
      <c r="N358" s="2" t="inlineStr">
        <is>
          <t>大将军转向</t>
        </is>
      </c>
      <c r="O358" s="2" t="inlineStr">
        <is>
          <t>否</t>
        </is>
      </c>
    </row>
    <row r="359">
      <c r="A359" s="14" t="inlineStr">
        <is>
          <t>2025-12-18</t>
        </is>
      </c>
      <c r="B359" s="14" t="inlineStr">
        <is>
          <t>2025-12-22</t>
        </is>
      </c>
      <c r="C359" s="14" t="inlineStr">
        <is>
          <t>沪镍</t>
        </is>
      </c>
      <c r="D359" s="14" t="inlineStr">
        <is>
          <t>NI</t>
        </is>
      </c>
      <c r="E359" s="14" t="inlineStr">
        <is>
          <t>空</t>
        </is>
      </c>
      <c r="F359" s="14" t="inlineStr">
        <is>
          <t>★★</t>
        </is>
      </c>
      <c r="G359" s="14" t="n">
        <v>2</v>
      </c>
      <c r="H359" s="15" t="n">
        <v>114290</v>
      </c>
      <c r="I359" s="15" t="n">
        <v>118582.14</v>
      </c>
      <c r="J359" s="14" t="n">
        <v>1</v>
      </c>
      <c r="K359" s="14" t="n">
        <v>10000</v>
      </c>
      <c r="L359" s="25">
        <f>IF(E359="多",1,-1)*(I359-H359)*G359*J359</f>
        <v/>
      </c>
      <c r="M359" s="26">
        <f>L359/K359</f>
        <v/>
      </c>
      <c r="N359" s="14" t="inlineStr">
        <is>
          <t>止损</t>
        </is>
      </c>
      <c r="O359" s="14" t="inlineStr">
        <is>
          <t>是</t>
        </is>
      </c>
    </row>
    <row r="360">
      <c r="A360" s="2" t="inlineStr">
        <is>
          <t>2025-12-17</t>
        </is>
      </c>
      <c r="B360" s="2" t="inlineStr">
        <is>
          <t>2025-12-22</t>
        </is>
      </c>
      <c r="C360" s="2" t="inlineStr">
        <is>
          <t>沪铜</t>
        </is>
      </c>
      <c r="D360" s="2" t="inlineStr">
        <is>
          <t>CU</t>
        </is>
      </c>
      <c r="E360" s="19" t="inlineStr">
        <is>
          <t>多</t>
        </is>
      </c>
      <c r="F360" s="2" t="inlineStr">
        <is>
          <t>★★★</t>
        </is>
      </c>
      <c r="G360" s="10" t="n">
        <v>1</v>
      </c>
      <c r="H360" s="11" t="n">
        <v>92830</v>
      </c>
      <c r="I360" s="11" t="n">
        <v>94320</v>
      </c>
      <c r="J360" s="10" t="n">
        <v>5</v>
      </c>
      <c r="K360" s="10" t="n">
        <v>30000</v>
      </c>
      <c r="L360" s="23">
        <f>IF(E360="多",1,-1)*(I360-H360)*G360*J360</f>
        <v/>
      </c>
      <c r="M360" s="24">
        <f>L360/K360</f>
        <v/>
      </c>
      <c r="N360" s="2" t="inlineStr">
        <is>
          <t>大将军转向</t>
        </is>
      </c>
      <c r="O360" s="2" t="inlineStr">
        <is>
          <t>否</t>
        </is>
      </c>
    </row>
    <row r="361">
      <c r="A361" s="14" t="inlineStr">
        <is>
          <t>2025-12-16</t>
        </is>
      </c>
      <c r="B361" s="14" t="inlineStr">
        <is>
          <t>2025-12-22</t>
        </is>
      </c>
      <c r="C361" s="14" t="inlineStr">
        <is>
          <t>塑料</t>
        </is>
      </c>
      <c r="D361" s="14" t="inlineStr">
        <is>
          <t>L</t>
        </is>
      </c>
      <c r="E361" s="14" t="inlineStr">
        <is>
          <t>空</t>
        </is>
      </c>
      <c r="F361" s="14" t="inlineStr">
        <is>
          <t>★★★</t>
        </is>
      </c>
      <c r="G361" s="14" t="n">
        <v>8</v>
      </c>
      <c r="H361" s="15" t="n">
        <v>6525</v>
      </c>
      <c r="I361" s="15" t="n">
        <v>6240</v>
      </c>
      <c r="J361" s="14" t="n">
        <v>5</v>
      </c>
      <c r="K361" s="14" t="n">
        <v>10000</v>
      </c>
      <c r="L361" s="25">
        <f>IF(E361="多",1,-1)*(I361-H361)*G361*J361</f>
        <v/>
      </c>
      <c r="M361" s="26">
        <f>L361/K361</f>
        <v/>
      </c>
      <c r="N361" s="14" t="inlineStr">
        <is>
          <t>将军撤退+大将军转向</t>
        </is>
      </c>
      <c r="O361" s="14" t="inlineStr">
        <is>
          <t>是</t>
        </is>
      </c>
    </row>
    <row r="362">
      <c r="A362" s="2" t="inlineStr">
        <is>
          <t>2025-12-18</t>
        </is>
      </c>
      <c r="B362" s="2" t="inlineStr">
        <is>
          <t>2025-12-19</t>
        </is>
      </c>
      <c r="C362" s="2" t="inlineStr">
        <is>
          <t>鸡蛋</t>
        </is>
      </c>
      <c r="D362" s="2" t="inlineStr">
        <is>
          <t>JD</t>
        </is>
      </c>
      <c r="E362" s="9" t="inlineStr">
        <is>
          <t>空</t>
        </is>
      </c>
      <c r="F362" s="2" t="inlineStr">
        <is>
          <t>★★★</t>
        </is>
      </c>
      <c r="G362" s="10" t="n">
        <v>6</v>
      </c>
      <c r="H362" s="11" t="n">
        <v>2908</v>
      </c>
      <c r="I362" s="11" t="n">
        <v>2886</v>
      </c>
      <c r="J362" s="10" t="n">
        <v>10</v>
      </c>
      <c r="K362" s="10" t="n">
        <v>10000</v>
      </c>
      <c r="L362" s="23">
        <f>IF(E362="多",1,-1)*(I362-H362)*G362*J362</f>
        <v/>
      </c>
      <c r="M362" s="24">
        <f>L362/K362</f>
        <v/>
      </c>
      <c r="N362" s="2" t="inlineStr">
        <is>
          <t>将军撤退+大将军转向</t>
        </is>
      </c>
      <c r="O362" s="2" t="inlineStr">
        <is>
          <t>否</t>
        </is>
      </c>
    </row>
    <row r="363">
      <c r="A363" s="2" t="inlineStr">
        <is>
          <t>2025-12-18</t>
        </is>
      </c>
      <c r="B363" s="2" t="inlineStr">
        <is>
          <t>2025-12-19</t>
        </is>
      </c>
      <c r="C363" s="2" t="inlineStr">
        <is>
          <t>沪银</t>
        </is>
      </c>
      <c r="D363" s="2" t="inlineStr">
        <is>
          <t>AG</t>
        </is>
      </c>
      <c r="E363" s="19" t="inlineStr">
        <is>
          <t>多</t>
        </is>
      </c>
      <c r="F363" s="2" t="inlineStr">
        <is>
          <t>★★★</t>
        </is>
      </c>
      <c r="G363" s="10" t="n">
        <v>1</v>
      </c>
      <c r="H363" s="11" t="n">
        <v>15447</v>
      </c>
      <c r="I363" s="11" t="n">
        <v>15376</v>
      </c>
      <c r="J363" s="10" t="n">
        <v>15</v>
      </c>
      <c r="K363" s="10" t="n">
        <v>30000</v>
      </c>
      <c r="L363" s="23">
        <f>IF(E363="多",1,-1)*(I363-H363)*G363*J363</f>
        <v/>
      </c>
      <c r="M363" s="24">
        <f>L363/K363</f>
        <v/>
      </c>
      <c r="N363" s="2" t="inlineStr">
        <is>
          <t>将军撤退</t>
        </is>
      </c>
      <c r="O363" s="2" t="inlineStr">
        <is>
          <t>否</t>
        </is>
      </c>
    </row>
    <row r="364">
      <c r="A364" s="14" t="inlineStr">
        <is>
          <t>2025-12-09</t>
        </is>
      </c>
      <c r="B364" s="14" t="inlineStr">
        <is>
          <t>2025-12-19</t>
        </is>
      </c>
      <c r="C364" s="14" t="inlineStr">
        <is>
          <t>对二甲苯</t>
        </is>
      </c>
      <c r="D364" s="14" t="inlineStr">
        <is>
          <t>PX</t>
        </is>
      </c>
      <c r="E364" s="14" t="inlineStr">
        <is>
          <t>空</t>
        </is>
      </c>
      <c r="F364" s="14" t="inlineStr">
        <is>
          <t>★★</t>
        </is>
      </c>
      <c r="G364" s="14" t="n">
        <v>6</v>
      </c>
      <c r="H364" s="15" t="n">
        <v>6786</v>
      </c>
      <c r="I364" s="15" t="n">
        <v>6988.14</v>
      </c>
      <c r="J364" s="14" t="n">
        <v>5</v>
      </c>
      <c r="K364" s="14" t="n">
        <v>10000</v>
      </c>
      <c r="L364" s="25">
        <f>IF(E364="多",1,-1)*(I364-H364)*G364*J364</f>
        <v/>
      </c>
      <c r="M364" s="26">
        <f>L364/K364</f>
        <v/>
      </c>
      <c r="N364" s="14" t="inlineStr">
        <is>
          <t>止损</t>
        </is>
      </c>
      <c r="O364" s="14" t="inlineStr">
        <is>
          <t>是</t>
        </is>
      </c>
    </row>
    <row r="365">
      <c r="A365" s="2" t="inlineStr">
        <is>
          <t>2025-12-12</t>
        </is>
      </c>
      <c r="B365" s="2" t="inlineStr">
        <is>
          <t>2025-12-18</t>
        </is>
      </c>
      <c r="C365" s="2" t="inlineStr">
        <is>
          <t>纯碱</t>
        </is>
      </c>
      <c r="D365" s="2" t="inlineStr">
        <is>
          <t>SA</t>
        </is>
      </c>
      <c r="E365" s="9" t="inlineStr">
        <is>
          <t>空</t>
        </is>
      </c>
      <c r="F365" s="2" t="inlineStr">
        <is>
          <t>★★★</t>
        </is>
      </c>
      <c r="G365" s="10" t="n">
        <v>21</v>
      </c>
      <c r="H365" s="11" t="n">
        <v>1123</v>
      </c>
      <c r="I365" s="11" t="n">
        <v>1191.36</v>
      </c>
      <c r="J365" s="10" t="n">
        <v>20</v>
      </c>
      <c r="K365" s="10" t="n">
        <v>30000</v>
      </c>
      <c r="L365" s="23">
        <f>IF(E365="多",1,-1)*(I365-H365)*G365*J365</f>
        <v/>
      </c>
      <c r="M365" s="24">
        <f>L365/K365</f>
        <v/>
      </c>
      <c r="N365" s="2" t="inlineStr">
        <is>
          <t>止损</t>
        </is>
      </c>
      <c r="O365" s="2" t="inlineStr">
        <is>
          <t>否</t>
        </is>
      </c>
    </row>
    <row r="366">
      <c r="A366" s="2" t="inlineStr">
        <is>
          <t>2025-12-09</t>
        </is>
      </c>
      <c r="B366" s="2" t="inlineStr">
        <is>
          <t>2025-12-17</t>
        </is>
      </c>
      <c r="C366" s="2" t="inlineStr">
        <is>
          <t>碳酸锂</t>
        </is>
      </c>
      <c r="D366" s="2" t="inlineStr">
        <is>
          <t>LC</t>
        </is>
      </c>
      <c r="E366" s="9" t="inlineStr">
        <is>
          <t>空</t>
        </is>
      </c>
      <c r="F366" s="2" t="inlineStr">
        <is>
          <t>★★★</t>
        </is>
      </c>
      <c r="G366" s="10" t="n">
        <v>2</v>
      </c>
      <c r="H366" s="11" t="n">
        <v>93000</v>
      </c>
      <c r="I366" s="11" t="n">
        <v>103067.14</v>
      </c>
      <c r="J366" s="10" t="n">
        <v>1</v>
      </c>
      <c r="K366" s="10" t="n">
        <v>30000</v>
      </c>
      <c r="L366" s="23">
        <f>IF(E366="多",1,-1)*(I366-H366)*G366*J366</f>
        <v/>
      </c>
      <c r="M366" s="24">
        <f>L366/K366</f>
        <v/>
      </c>
      <c r="N366" s="2" t="inlineStr">
        <is>
          <t>止损</t>
        </is>
      </c>
      <c r="O366" s="2" t="inlineStr">
        <is>
          <t>否</t>
        </is>
      </c>
    </row>
    <row r="367">
      <c r="A367" s="2" t="inlineStr">
        <is>
          <t>2025-12-12</t>
        </is>
      </c>
      <c r="B367" s="2" t="inlineStr">
        <is>
          <t>2025-12-16</t>
        </is>
      </c>
      <c r="C367" s="2" t="inlineStr">
        <is>
          <t>PVC</t>
        </is>
      </c>
      <c r="D367" s="2" t="inlineStr">
        <is>
          <t>V</t>
        </is>
      </c>
      <c r="E367" s="9" t="inlineStr">
        <is>
          <t>空</t>
        </is>
      </c>
      <c r="F367" s="2" t="inlineStr">
        <is>
          <t>★★★</t>
        </is>
      </c>
      <c r="G367" s="10" t="n">
        <v>11</v>
      </c>
      <c r="H367" s="11" t="n">
        <v>4488</v>
      </c>
      <c r="I367" s="11" t="n">
        <v>4663.71</v>
      </c>
      <c r="J367" s="10" t="n">
        <v>5</v>
      </c>
      <c r="K367" s="10" t="n">
        <v>10000</v>
      </c>
      <c r="L367" s="23">
        <f>IF(E367="多",1,-1)*(I367-H367)*G367*J367</f>
        <v/>
      </c>
      <c r="M367" s="24">
        <f>L367/K367</f>
        <v/>
      </c>
      <c r="N367" s="2" t="inlineStr">
        <is>
          <t>止损</t>
        </is>
      </c>
      <c r="O367" s="2" t="inlineStr">
        <is>
          <t>否</t>
        </is>
      </c>
    </row>
    <row r="368">
      <c r="A368" s="2" t="inlineStr">
        <is>
          <t>2025-12-11</t>
        </is>
      </c>
      <c r="B368" s="2" t="inlineStr">
        <is>
          <t>2025-12-16</t>
        </is>
      </c>
      <c r="C368" s="2" t="inlineStr">
        <is>
          <t>棉花</t>
        </is>
      </c>
      <c r="D368" s="2" t="inlineStr">
        <is>
          <t>CF</t>
        </is>
      </c>
      <c r="E368" s="19" t="inlineStr">
        <is>
          <t>多</t>
        </is>
      </c>
      <c r="F368" s="2" t="inlineStr">
        <is>
          <t>★★★</t>
        </is>
      </c>
      <c r="G368" s="10" t="n">
        <v>21</v>
      </c>
      <c r="H368" s="11" t="n">
        <v>13850</v>
      </c>
      <c r="I368" s="11" t="n">
        <v>13945</v>
      </c>
      <c r="J368" s="10" t="n">
        <v>5</v>
      </c>
      <c r="K368" s="10" t="n">
        <v>30000</v>
      </c>
      <c r="L368" s="23">
        <f>IF(E368="多",1,-1)*(I368-H368)*G368*J368</f>
        <v/>
      </c>
      <c r="M368" s="24">
        <f>L368/K368</f>
        <v/>
      </c>
      <c r="N368" s="2" t="inlineStr">
        <is>
          <t>大将军转向</t>
        </is>
      </c>
      <c r="O368" s="2" t="inlineStr">
        <is>
          <t>否</t>
        </is>
      </c>
    </row>
    <row r="369">
      <c r="A369" s="14" t="inlineStr">
        <is>
          <t>2025-12-11</t>
        </is>
      </c>
      <c r="B369" s="14" t="inlineStr">
        <is>
          <t>2025-12-12</t>
        </is>
      </c>
      <c r="C369" s="14" t="inlineStr">
        <is>
          <t>甲醇</t>
        </is>
      </c>
      <c r="D369" s="14" t="inlineStr">
        <is>
          <t>MA</t>
        </is>
      </c>
      <c r="E369" s="14" t="inlineStr">
        <is>
          <t>空</t>
        </is>
      </c>
      <c r="F369" s="14" t="inlineStr">
        <is>
          <t>★★</t>
        </is>
      </c>
      <c r="G369" s="14" t="n">
        <v>8</v>
      </c>
      <c r="H369" s="15" t="n">
        <v>2125</v>
      </c>
      <c r="I369" s="15" t="n">
        <v>2099</v>
      </c>
      <c r="J369" s="14" t="n">
        <v>10</v>
      </c>
      <c r="K369" s="14" t="n">
        <v>10000</v>
      </c>
      <c r="L369" s="25">
        <f>IF(E369="多",1,-1)*(I369-H369)*G369*J369</f>
        <v/>
      </c>
      <c r="M369" s="26">
        <f>L369/K369</f>
        <v/>
      </c>
      <c r="N369" s="14" t="inlineStr">
        <is>
          <t>将军撤退</t>
        </is>
      </c>
      <c r="O369" s="14" t="inlineStr">
        <is>
          <t>是</t>
        </is>
      </c>
    </row>
    <row r="370">
      <c r="A370" s="2" t="inlineStr">
        <is>
          <t>2025-12-11</t>
        </is>
      </c>
      <c r="B370" s="2" t="inlineStr">
        <is>
          <t>2025-12-12</t>
        </is>
      </c>
      <c r="C370" s="2" t="inlineStr">
        <is>
          <t>氧化铝</t>
        </is>
      </c>
      <c r="D370" s="2" t="inlineStr">
        <is>
          <t>AO</t>
        </is>
      </c>
      <c r="E370" s="9" t="inlineStr">
        <is>
          <t>空</t>
        </is>
      </c>
      <c r="F370" s="2" t="inlineStr">
        <is>
          <t>★★★</t>
        </is>
      </c>
      <c r="G370" s="10" t="n">
        <v>11</v>
      </c>
      <c r="H370" s="11" t="n">
        <v>2472</v>
      </c>
      <c r="I370" s="11" t="n">
        <v>2470</v>
      </c>
      <c r="J370" s="10" t="n">
        <v>20</v>
      </c>
      <c r="K370" s="10" t="n">
        <v>30000</v>
      </c>
      <c r="L370" s="23">
        <f>IF(E370="多",1,-1)*(I370-H370)*G370*J370</f>
        <v/>
      </c>
      <c r="M370" s="24">
        <f>L370/K370</f>
        <v/>
      </c>
      <c r="N370" s="2" t="inlineStr">
        <is>
          <t>将军撤退</t>
        </is>
      </c>
      <c r="O370" s="2" t="inlineStr">
        <is>
          <t>否</t>
        </is>
      </c>
    </row>
    <row r="371">
      <c r="A371" s="2" t="inlineStr">
        <is>
          <t>2025-12-05</t>
        </is>
      </c>
      <c r="B371" s="2" t="inlineStr">
        <is>
          <t>2025-12-12</t>
        </is>
      </c>
      <c r="C371" s="2" t="inlineStr">
        <is>
          <t>鸡蛋</t>
        </is>
      </c>
      <c r="D371" s="2" t="inlineStr">
        <is>
          <t>JD</t>
        </is>
      </c>
      <c r="E371" s="9" t="inlineStr">
        <is>
          <t>空</t>
        </is>
      </c>
      <c r="F371" s="2" t="inlineStr">
        <is>
          <t>★★★</t>
        </is>
      </c>
      <c r="G371" s="10" t="n">
        <v>5</v>
      </c>
      <c r="H371" s="11" t="n">
        <v>3037</v>
      </c>
      <c r="I371" s="11" t="n">
        <v>2921</v>
      </c>
      <c r="J371" s="10" t="n">
        <v>10</v>
      </c>
      <c r="K371" s="10" t="n">
        <v>10000</v>
      </c>
      <c r="L371" s="23">
        <f>IF(E371="多",1,-1)*(I371-H371)*G371*J371</f>
        <v/>
      </c>
      <c r="M371" s="24">
        <f>L371/K371</f>
        <v/>
      </c>
      <c r="N371" s="2" t="inlineStr">
        <is>
          <t>将军撤退</t>
        </is>
      </c>
      <c r="O371" s="2" t="inlineStr">
        <is>
          <t>否</t>
        </is>
      </c>
    </row>
    <row r="372">
      <c r="A372" s="2" t="inlineStr">
        <is>
          <t>2025-12-10</t>
        </is>
      </c>
      <c r="B372" s="2" t="inlineStr">
        <is>
          <t>2025-12-11</t>
        </is>
      </c>
      <c r="C372" s="2" t="inlineStr">
        <is>
          <t>PVC</t>
        </is>
      </c>
      <c r="D372" s="2" t="inlineStr">
        <is>
          <t>V</t>
        </is>
      </c>
      <c r="E372" s="9" t="inlineStr">
        <is>
          <t>空</t>
        </is>
      </c>
      <c r="F372" s="2" t="inlineStr">
        <is>
          <t>★★★</t>
        </is>
      </c>
      <c r="G372" s="10" t="n">
        <v>34</v>
      </c>
      <c r="H372" s="11" t="n">
        <v>4328</v>
      </c>
      <c r="I372" s="11" t="n">
        <v>4276</v>
      </c>
      <c r="J372" s="10" t="n">
        <v>5</v>
      </c>
      <c r="K372" s="10" t="n">
        <v>30000</v>
      </c>
      <c r="L372" s="23">
        <f>IF(E372="多",1,-1)*(I372-H372)*G372*J372</f>
        <v/>
      </c>
      <c r="M372" s="24">
        <f>L372/K372</f>
        <v/>
      </c>
      <c r="N372" s="2" t="inlineStr">
        <is>
          <t>大将军转向</t>
        </is>
      </c>
      <c r="O372" s="2" t="inlineStr">
        <is>
          <t>否</t>
        </is>
      </c>
    </row>
    <row r="373">
      <c r="A373" s="2" t="inlineStr">
        <is>
          <t>2025-12-09</t>
        </is>
      </c>
      <c r="B373" s="2" t="inlineStr">
        <is>
          <t>2025-12-11</t>
        </is>
      </c>
      <c r="C373" s="2" t="inlineStr">
        <is>
          <t>豆粕</t>
        </is>
      </c>
      <c r="D373" s="2" t="inlineStr">
        <is>
          <t>M</t>
        </is>
      </c>
      <c r="E373" s="9" t="inlineStr">
        <is>
          <t>空</t>
        </is>
      </c>
      <c r="F373" s="2" t="inlineStr">
        <is>
          <t>★★★</t>
        </is>
      </c>
      <c r="G373" s="10" t="n">
        <v>31</v>
      </c>
      <c r="H373" s="11" t="n">
        <v>2755</v>
      </c>
      <c r="I373" s="11" t="n">
        <v>2750</v>
      </c>
      <c r="J373" s="10" t="n">
        <v>10</v>
      </c>
      <c r="K373" s="10" t="n">
        <v>30000</v>
      </c>
      <c r="L373" s="23">
        <f>IF(E373="多",1,-1)*(I373-H373)*G373*J373</f>
        <v/>
      </c>
      <c r="M373" s="24">
        <f>L373/K373</f>
        <v/>
      </c>
      <c r="N373" s="2" t="inlineStr">
        <is>
          <t>大将军转向</t>
        </is>
      </c>
      <c r="O373" s="2" t="inlineStr">
        <is>
          <t>否</t>
        </is>
      </c>
    </row>
    <row r="374">
      <c r="A374" s="14" t="inlineStr">
        <is>
          <t>2025-12-09</t>
        </is>
      </c>
      <c r="B374" s="14" t="inlineStr">
        <is>
          <t>2025-12-11</t>
        </is>
      </c>
      <c r="C374" s="14" t="inlineStr">
        <is>
          <t>铁矿石</t>
        </is>
      </c>
      <c r="D374" s="14" t="inlineStr">
        <is>
          <t>I</t>
        </is>
      </c>
      <c r="E374" s="14" t="inlineStr">
        <is>
          <t>空</t>
        </is>
      </c>
      <c r="F374" s="14" t="inlineStr">
        <is>
          <t>★★</t>
        </is>
      </c>
      <c r="G374" s="14" t="n">
        <v>3</v>
      </c>
      <c r="H374" s="15" t="n">
        <v>758.5</v>
      </c>
      <c r="I374" s="15" t="n">
        <v>757</v>
      </c>
      <c r="J374" s="14" t="n">
        <v>100</v>
      </c>
      <c r="K374" s="14" t="n">
        <v>10000</v>
      </c>
      <c r="L374" s="25">
        <f>IF(E374="多",1,-1)*(I374-H374)*G374*J374</f>
        <v/>
      </c>
      <c r="M374" s="26">
        <f>L374/K374</f>
        <v/>
      </c>
      <c r="N374" s="14" t="inlineStr">
        <is>
          <t>大将军转向</t>
        </is>
      </c>
      <c r="O374" s="14" t="inlineStr">
        <is>
          <t>是</t>
        </is>
      </c>
    </row>
    <row r="375">
      <c r="A375" s="14" t="inlineStr">
        <is>
          <t>2025-12-04</t>
        </is>
      </c>
      <c r="B375" s="14" t="inlineStr">
        <is>
          <t>2025-12-11</t>
        </is>
      </c>
      <c r="C375" s="14" t="inlineStr">
        <is>
          <t>聚丙烯</t>
        </is>
      </c>
      <c r="D375" s="14" t="inlineStr">
        <is>
          <t>PP</t>
        </is>
      </c>
      <c r="E375" s="14" t="inlineStr">
        <is>
          <t>空</t>
        </is>
      </c>
      <c r="F375" s="14" t="inlineStr">
        <is>
          <t>★★★</t>
        </is>
      </c>
      <c r="G375" s="14" t="n">
        <v>10</v>
      </c>
      <c r="H375" s="15" t="n">
        <v>6355</v>
      </c>
      <c r="I375" s="15" t="n">
        <v>6177</v>
      </c>
      <c r="J375" s="14" t="n">
        <v>5</v>
      </c>
      <c r="K375" s="14" t="n">
        <v>10000</v>
      </c>
      <c r="L375" s="25">
        <f>IF(E375="多",1,-1)*(I375-H375)*G375*J375</f>
        <v/>
      </c>
      <c r="M375" s="26">
        <f>L375/K375</f>
        <v/>
      </c>
      <c r="N375" s="14" t="inlineStr">
        <is>
          <t>将军撤退</t>
        </is>
      </c>
      <c r="O375" s="14" t="inlineStr">
        <is>
          <t>是</t>
        </is>
      </c>
    </row>
    <row r="376">
      <c r="A376" s="2" t="inlineStr">
        <is>
          <t>2025-12-02</t>
        </is>
      </c>
      <c r="B376" s="2" t="inlineStr">
        <is>
          <t>2025-12-10</t>
        </is>
      </c>
      <c r="C376" s="2" t="inlineStr">
        <is>
          <t>燃料油</t>
        </is>
      </c>
      <c r="D376" s="2" t="inlineStr">
        <is>
          <t>FU</t>
        </is>
      </c>
      <c r="E376" s="9" t="inlineStr">
        <is>
          <t>空</t>
        </is>
      </c>
      <c r="F376" s="2" t="inlineStr">
        <is>
          <t>★★★</t>
        </is>
      </c>
      <c r="G376" s="10" t="n">
        <v>17</v>
      </c>
      <c r="H376" s="11" t="n">
        <v>2462</v>
      </c>
      <c r="I376" s="11" t="n">
        <v>2427</v>
      </c>
      <c r="J376" s="10" t="n">
        <v>10</v>
      </c>
      <c r="K376" s="10" t="n">
        <v>30000</v>
      </c>
      <c r="L376" s="23">
        <f>IF(E376="多",1,-1)*(I376-H376)*G376*J376</f>
        <v/>
      </c>
      <c r="M376" s="24">
        <f>L376/K376</f>
        <v/>
      </c>
      <c r="N376" s="2" t="inlineStr">
        <is>
          <t>大将军转向</t>
        </is>
      </c>
      <c r="O376" s="2" t="inlineStr">
        <is>
          <t>否</t>
        </is>
      </c>
    </row>
    <row r="377">
      <c r="A377" s="14" t="inlineStr">
        <is>
          <t>2025-12-08</t>
        </is>
      </c>
      <c r="B377" s="14" t="inlineStr">
        <is>
          <t>2025-12-09</t>
        </is>
      </c>
      <c r="C377" s="14" t="inlineStr">
        <is>
          <t>玻璃</t>
        </is>
      </c>
      <c r="D377" s="14" t="inlineStr">
        <is>
          <t>FG</t>
        </is>
      </c>
      <c r="E377" s="14" t="inlineStr">
        <is>
          <t>空</t>
        </is>
      </c>
      <c r="F377" s="14" t="inlineStr">
        <is>
          <t>★★</t>
        </is>
      </c>
      <c r="G377" s="14" t="n">
        <v>6</v>
      </c>
      <c r="H377" s="15" t="n">
        <v>1000</v>
      </c>
      <c r="I377" s="15" t="n">
        <v>984</v>
      </c>
      <c r="J377" s="14" t="n">
        <v>20</v>
      </c>
      <c r="K377" s="14" t="n">
        <v>10000</v>
      </c>
      <c r="L377" s="25">
        <f>IF(E377="多",1,-1)*(I377-H377)*G377*J377</f>
        <v/>
      </c>
      <c r="M377" s="26">
        <f>L377/K377</f>
        <v/>
      </c>
      <c r="N377" s="14" t="inlineStr">
        <is>
          <t>将军撤退+大将军转向</t>
        </is>
      </c>
      <c r="O377" s="14" t="inlineStr">
        <is>
          <t>是</t>
        </is>
      </c>
    </row>
    <row r="378">
      <c r="A378" s="2" t="inlineStr">
        <is>
          <t>2025-12-08</t>
        </is>
      </c>
      <c r="B378" s="2" t="inlineStr">
        <is>
          <t>2025-12-09</t>
        </is>
      </c>
      <c r="C378" s="2" t="inlineStr">
        <is>
          <t>沪银</t>
        </is>
      </c>
      <c r="D378" s="2" t="inlineStr">
        <is>
          <t>AG</t>
        </is>
      </c>
      <c r="E378" s="19" t="inlineStr">
        <is>
          <t>多</t>
        </is>
      </c>
      <c r="F378" s="2" t="inlineStr">
        <is>
          <t>★★★</t>
        </is>
      </c>
      <c r="G378" s="10" t="n">
        <v>1</v>
      </c>
      <c r="H378" s="11" t="n">
        <v>13726</v>
      </c>
      <c r="I378" s="11" t="n">
        <v>13607</v>
      </c>
      <c r="J378" s="10" t="n">
        <v>15</v>
      </c>
      <c r="K378" s="10" t="n">
        <v>30000</v>
      </c>
      <c r="L378" s="23">
        <f>IF(E378="多",1,-1)*(I378-H378)*G378*J378</f>
        <v/>
      </c>
      <c r="M378" s="24">
        <f>L378/K378</f>
        <v/>
      </c>
      <c r="N378" s="2" t="inlineStr">
        <is>
          <t>将军撤退+大将军转向</t>
        </is>
      </c>
      <c r="O378" s="2" t="inlineStr">
        <is>
          <t>否</t>
        </is>
      </c>
    </row>
    <row r="379">
      <c r="A379" s="2" t="inlineStr">
        <is>
          <t>2025-12-04</t>
        </is>
      </c>
      <c r="B379" s="2" t="inlineStr">
        <is>
          <t>2025-12-09</t>
        </is>
      </c>
      <c r="C379" s="2" t="inlineStr">
        <is>
          <t>玉米</t>
        </is>
      </c>
      <c r="D379" s="2" t="inlineStr">
        <is>
          <t>C</t>
        </is>
      </c>
      <c r="E379" s="19" t="inlineStr">
        <is>
          <t>多</t>
        </is>
      </c>
      <c r="F379" s="2" t="inlineStr">
        <is>
          <t>★★★</t>
        </is>
      </c>
      <c r="G379" s="10" t="n">
        <v>41</v>
      </c>
      <c r="H379" s="11" t="n">
        <v>2292</v>
      </c>
      <c r="I379" s="11" t="n">
        <v>2236.07</v>
      </c>
      <c r="J379" s="10" t="n">
        <v>10</v>
      </c>
      <c r="K379" s="10" t="n">
        <v>30000</v>
      </c>
      <c r="L379" s="23">
        <f>IF(E379="多",1,-1)*(I379-H379)*G379*J379</f>
        <v/>
      </c>
      <c r="M379" s="24">
        <f>L379/K379</f>
        <v/>
      </c>
      <c r="N379" s="2" t="inlineStr">
        <is>
          <t>止损</t>
        </is>
      </c>
      <c r="O379" s="2" t="inlineStr">
        <is>
          <t>否</t>
        </is>
      </c>
    </row>
    <row r="380">
      <c r="A380" s="14" t="inlineStr">
        <is>
          <t>2025-12-02</t>
        </is>
      </c>
      <c r="B380" s="14" t="inlineStr">
        <is>
          <t>2025-12-09</t>
        </is>
      </c>
      <c r="C380" s="14" t="inlineStr">
        <is>
          <t>铁矿石</t>
        </is>
      </c>
      <c r="D380" s="14" t="inlineStr">
        <is>
          <t>I</t>
        </is>
      </c>
      <c r="E380" s="14" t="inlineStr">
        <is>
          <t>多</t>
        </is>
      </c>
      <c r="F380" s="14" t="inlineStr">
        <is>
          <t>★★</t>
        </is>
      </c>
      <c r="G380" s="14" t="n">
        <v>2</v>
      </c>
      <c r="H380" s="15" t="n">
        <v>779</v>
      </c>
      <c r="I380" s="15" t="n">
        <v>757.5</v>
      </c>
      <c r="J380" s="14" t="n">
        <v>100</v>
      </c>
      <c r="K380" s="14" t="n">
        <v>10000</v>
      </c>
      <c r="L380" s="25">
        <f>IF(E380="多",1,-1)*(I380-H380)*G380*J380</f>
        <v/>
      </c>
      <c r="M380" s="26">
        <f>L380/K380</f>
        <v/>
      </c>
      <c r="N380" s="14" t="inlineStr">
        <is>
          <t>反向信号</t>
        </is>
      </c>
      <c r="O380" s="14" t="inlineStr">
        <is>
          <t>是</t>
        </is>
      </c>
    </row>
    <row r="381">
      <c r="A381" s="14" t="inlineStr">
        <is>
          <t>2025-12-01</t>
        </is>
      </c>
      <c r="B381" s="14" t="inlineStr">
        <is>
          <t>2025-12-09</t>
        </is>
      </c>
      <c r="C381" s="14" t="inlineStr">
        <is>
          <t>氧化铝</t>
        </is>
      </c>
      <c r="D381" s="14" t="inlineStr">
        <is>
          <t>AO</t>
        </is>
      </c>
      <c r="E381" s="14" t="inlineStr">
        <is>
          <t>空</t>
        </is>
      </c>
      <c r="F381" s="14" t="inlineStr">
        <is>
          <t>★★★</t>
        </is>
      </c>
      <c r="G381" s="14" t="n">
        <v>4</v>
      </c>
      <c r="H381" s="15" t="n">
        <v>2687</v>
      </c>
      <c r="I381" s="15" t="n">
        <v>2546</v>
      </c>
      <c r="J381" s="14" t="n">
        <v>20</v>
      </c>
      <c r="K381" s="14" t="n">
        <v>10000</v>
      </c>
      <c r="L381" s="25">
        <f>IF(E381="多",1,-1)*(I381-H381)*G381*J381</f>
        <v/>
      </c>
      <c r="M381" s="26">
        <f>L381/K381</f>
        <v/>
      </c>
      <c r="N381" s="14" t="inlineStr">
        <is>
          <t>大将军转向</t>
        </is>
      </c>
      <c r="O381" s="14" t="inlineStr">
        <is>
          <t>是</t>
        </is>
      </c>
    </row>
    <row r="382">
      <c r="A382" s="2" t="inlineStr">
        <is>
          <t>2025-12-05</t>
        </is>
      </c>
      <c r="B382" s="2" t="inlineStr">
        <is>
          <t>2025-12-08</t>
        </is>
      </c>
      <c r="C382" s="2" t="inlineStr">
        <is>
          <t>焦煤</t>
        </is>
      </c>
      <c r="D382" s="2" t="inlineStr">
        <is>
          <t>JM</t>
        </is>
      </c>
      <c r="E382" s="9" t="inlineStr">
        <is>
          <t>空</t>
        </is>
      </c>
      <c r="F382" s="2" t="inlineStr">
        <is>
          <t>★★★</t>
        </is>
      </c>
      <c r="G382" s="10" t="n">
        <v>4</v>
      </c>
      <c r="H382" s="11" t="n">
        <v>1137</v>
      </c>
      <c r="I382" s="11" t="n">
        <v>1093.5</v>
      </c>
      <c r="J382" s="10" t="n">
        <v>60</v>
      </c>
      <c r="K382" s="10" t="n">
        <v>30000</v>
      </c>
      <c r="L382" s="23">
        <f>IF(E382="多",1,-1)*(I382-H382)*G382*J382</f>
        <v/>
      </c>
      <c r="M382" s="24">
        <f>L382/K382</f>
        <v/>
      </c>
      <c r="N382" s="2" t="inlineStr">
        <is>
          <t>将军撤退+大将军转向</t>
        </is>
      </c>
      <c r="O382" s="2" t="inlineStr">
        <is>
          <t>否</t>
        </is>
      </c>
    </row>
    <row r="383">
      <c r="A383" s="14" t="inlineStr">
        <is>
          <t>2025-12-03</t>
        </is>
      </c>
      <c r="B383" s="14" t="inlineStr">
        <is>
          <t>2025-12-05</t>
        </is>
      </c>
      <c r="C383" s="14" t="inlineStr">
        <is>
          <t>螺纹钢</t>
        </is>
      </c>
      <c r="D383" s="14" t="inlineStr">
        <is>
          <t>RB</t>
        </is>
      </c>
      <c r="E383" s="14" t="inlineStr">
        <is>
          <t>多</t>
        </is>
      </c>
      <c r="F383" s="14" t="inlineStr">
        <is>
          <t>★★</t>
        </is>
      </c>
      <c r="G383" s="14" t="n">
        <v>10</v>
      </c>
      <c r="H383" s="15" t="n">
        <v>3171</v>
      </c>
      <c r="I383" s="15" t="n">
        <v>3157</v>
      </c>
      <c r="J383" s="14" t="n">
        <v>10</v>
      </c>
      <c r="K383" s="14" t="n">
        <v>10000</v>
      </c>
      <c r="L383" s="25">
        <f>IF(E383="多",1,-1)*(I383-H383)*G383*J383</f>
        <v/>
      </c>
      <c r="M383" s="26">
        <f>L383/K383</f>
        <v/>
      </c>
      <c r="N383" s="14" t="inlineStr">
        <is>
          <t>将军撤退</t>
        </is>
      </c>
      <c r="O383" s="14" t="inlineStr">
        <is>
          <t>是</t>
        </is>
      </c>
    </row>
    <row r="384">
      <c r="A384" s="2" t="inlineStr">
        <is>
          <t>2025-12-01</t>
        </is>
      </c>
      <c r="B384" s="2" t="inlineStr">
        <is>
          <t>2025-12-05</t>
        </is>
      </c>
      <c r="C384" s="2" t="inlineStr">
        <is>
          <t>沪铝</t>
        </is>
      </c>
      <c r="D384" s="2" t="inlineStr">
        <is>
          <t>AL</t>
        </is>
      </c>
      <c r="E384" s="19" t="inlineStr">
        <is>
          <t>多</t>
        </is>
      </c>
      <c r="F384" s="2" t="inlineStr">
        <is>
          <t>★★★</t>
        </is>
      </c>
      <c r="G384" s="10" t="n">
        <v>8</v>
      </c>
      <c r="H384" s="11" t="n">
        <v>21925</v>
      </c>
      <c r="I384" s="11" t="n">
        <v>22400</v>
      </c>
      <c r="J384" s="10" t="n">
        <v>5</v>
      </c>
      <c r="K384" s="10" t="n">
        <v>30000</v>
      </c>
      <c r="L384" s="23">
        <f>IF(E384="多",1,-1)*(I384-H384)*G384*J384</f>
        <v/>
      </c>
      <c r="M384" s="24">
        <f>L384/K384</f>
        <v/>
      </c>
      <c r="N384" s="2" t="inlineStr">
        <is>
          <t>将军撤退</t>
        </is>
      </c>
      <c r="O384" s="2" t="inlineStr">
        <is>
          <t>否</t>
        </is>
      </c>
    </row>
    <row r="385">
      <c r="A385" s="14" t="inlineStr">
        <is>
          <t>2025-11-21</t>
        </is>
      </c>
      <c r="B385" s="14" t="inlineStr">
        <is>
          <t>2025-12-05</t>
        </is>
      </c>
      <c r="C385" s="14" t="inlineStr">
        <is>
          <t>白糖</t>
        </is>
      </c>
      <c r="D385" s="14" t="inlineStr">
        <is>
          <t>SR</t>
        </is>
      </c>
      <c r="E385" s="14" t="inlineStr">
        <is>
          <t>空</t>
        </is>
      </c>
      <c r="F385" s="14" t="inlineStr">
        <is>
          <t>★★</t>
        </is>
      </c>
      <c r="G385" s="14" t="n">
        <v>9</v>
      </c>
      <c r="H385" s="15" t="n">
        <v>5354</v>
      </c>
      <c r="I385" s="15" t="n">
        <v>5303</v>
      </c>
      <c r="J385" s="14" t="n">
        <v>10</v>
      </c>
      <c r="K385" s="14" t="n">
        <v>10000</v>
      </c>
      <c r="L385" s="25">
        <f>IF(E385="多",1,-1)*(I385-H385)*G385*J385</f>
        <v/>
      </c>
      <c r="M385" s="26">
        <f>L385/K385</f>
        <v/>
      </c>
      <c r="N385" s="14" t="inlineStr">
        <is>
          <t>大将军转向</t>
        </is>
      </c>
      <c r="O385" s="14" t="inlineStr">
        <is>
          <t>是</t>
        </is>
      </c>
    </row>
    <row r="386">
      <c r="A386" s="2" t="inlineStr">
        <is>
          <t>2025-12-03</t>
        </is>
      </c>
      <c r="B386" s="2" t="inlineStr">
        <is>
          <t>2025-12-04</t>
        </is>
      </c>
      <c r="C386" s="2" t="inlineStr">
        <is>
          <t>焦煤</t>
        </is>
      </c>
      <c r="D386" s="2" t="inlineStr">
        <is>
          <t>JM</t>
        </is>
      </c>
      <c r="E386" s="9" t="inlineStr">
        <is>
          <t>空</t>
        </is>
      </c>
      <c r="F386" s="2" t="inlineStr">
        <is>
          <t>★★★</t>
        </is>
      </c>
      <c r="G386" s="10" t="n">
        <v>4</v>
      </c>
      <c r="H386" s="11" t="n">
        <v>1075</v>
      </c>
      <c r="I386" s="11" t="n">
        <v>1091.5</v>
      </c>
      <c r="J386" s="10" t="n">
        <v>60</v>
      </c>
      <c r="K386" s="10" t="n">
        <v>30000</v>
      </c>
      <c r="L386" s="23">
        <f>IF(E386="多",1,-1)*(I386-H386)*G386*J386</f>
        <v/>
      </c>
      <c r="M386" s="24">
        <f>L386/K386</f>
        <v/>
      </c>
      <c r="N386" s="2" t="inlineStr">
        <is>
          <t>将军撤退+大将军转向</t>
        </is>
      </c>
      <c r="O386" s="2" t="inlineStr">
        <is>
          <t>否</t>
        </is>
      </c>
    </row>
    <row r="387">
      <c r="A387" s="14" t="inlineStr">
        <is>
          <t>2025-12-02</t>
        </is>
      </c>
      <c r="B387" s="14" t="inlineStr">
        <is>
          <t>2025-12-03</t>
        </is>
      </c>
      <c r="C387" s="14" t="inlineStr">
        <is>
          <t>玻璃</t>
        </is>
      </c>
      <c r="D387" s="14" t="inlineStr">
        <is>
          <t>FG</t>
        </is>
      </c>
      <c r="E387" s="14" t="inlineStr">
        <is>
          <t>空</t>
        </is>
      </c>
      <c r="F387" s="14" t="inlineStr">
        <is>
          <t>★★</t>
        </is>
      </c>
      <c r="G387" s="14" t="n">
        <v>6</v>
      </c>
      <c r="H387" s="15" t="n">
        <v>1034</v>
      </c>
      <c r="I387" s="15" t="n">
        <v>1020</v>
      </c>
      <c r="J387" s="14" t="n">
        <v>20</v>
      </c>
      <c r="K387" s="14" t="n">
        <v>10000</v>
      </c>
      <c r="L387" s="25">
        <f>IF(E387="多",1,-1)*(I387-H387)*G387*J387</f>
        <v/>
      </c>
      <c r="M387" s="26">
        <f>L387/K387</f>
        <v/>
      </c>
      <c r="N387" s="14" t="inlineStr">
        <is>
          <t>将军撤退+大将军转向</t>
        </is>
      </c>
      <c r="O387" s="14" t="inlineStr">
        <is>
          <t>是</t>
        </is>
      </c>
    </row>
    <row r="388">
      <c r="A388" s="2" t="inlineStr">
        <is>
          <t>2025-12-02</t>
        </is>
      </c>
      <c r="B388" s="2" t="inlineStr">
        <is>
          <t>2025-12-03</t>
        </is>
      </c>
      <c r="C388" s="2" t="inlineStr">
        <is>
          <t>棉花</t>
        </is>
      </c>
      <c r="D388" s="2" t="inlineStr">
        <is>
          <t>CF</t>
        </is>
      </c>
      <c r="E388" s="19" t="inlineStr">
        <is>
          <t>多</t>
        </is>
      </c>
      <c r="F388" s="2" t="inlineStr">
        <is>
          <t>★★★</t>
        </is>
      </c>
      <c r="G388" s="10" t="n">
        <v>24</v>
      </c>
      <c r="H388" s="11" t="n">
        <v>13780</v>
      </c>
      <c r="I388" s="11" t="n">
        <v>13780</v>
      </c>
      <c r="J388" s="10" t="n">
        <v>5</v>
      </c>
      <c r="K388" s="10" t="n">
        <v>30000</v>
      </c>
      <c r="L388" s="23">
        <f>IF(E388="多",1,-1)*(I388-H388)*G388*J388</f>
        <v/>
      </c>
      <c r="M388" s="24">
        <f>L388/K388</f>
        <v/>
      </c>
      <c r="N388" s="2" t="inlineStr">
        <is>
          <t>大将军转向</t>
        </is>
      </c>
      <c r="O388" s="2" t="inlineStr">
        <is>
          <t>否</t>
        </is>
      </c>
    </row>
    <row r="389">
      <c r="A389" s="2" t="inlineStr">
        <is>
          <t>2025-12-01</t>
        </is>
      </c>
      <c r="B389" s="2" t="inlineStr">
        <is>
          <t>2025-12-02</t>
        </is>
      </c>
      <c r="C389" s="2" t="inlineStr">
        <is>
          <t>螺纹钢</t>
        </is>
      </c>
      <c r="D389" s="2" t="inlineStr">
        <is>
          <t>RB</t>
        </is>
      </c>
      <c r="E389" s="19" t="inlineStr">
        <is>
          <t>多</t>
        </is>
      </c>
      <c r="F389" s="2" t="inlineStr">
        <is>
          <t>★★★</t>
        </is>
      </c>
      <c r="G389" s="10" t="n">
        <v>10</v>
      </c>
      <c r="H389" s="11" t="n">
        <v>3167</v>
      </c>
      <c r="I389" s="11" t="n">
        <v>3169</v>
      </c>
      <c r="J389" s="10" t="n">
        <v>10</v>
      </c>
      <c r="K389" s="10" t="n">
        <v>10000</v>
      </c>
      <c r="L389" s="23">
        <f>IF(E389="多",1,-1)*(I389-H389)*G389*J389</f>
        <v/>
      </c>
      <c r="M389" s="24">
        <f>L389/K389</f>
        <v/>
      </c>
      <c r="N389" s="2" t="inlineStr">
        <is>
          <t>将军撤退</t>
        </is>
      </c>
      <c r="O389" s="2" t="inlineStr">
        <is>
          <t>否</t>
        </is>
      </c>
    </row>
    <row r="390">
      <c r="A390" s="2" t="inlineStr">
        <is>
          <t>2025-11-25</t>
        </is>
      </c>
      <c r="B390" s="2" t="inlineStr">
        <is>
          <t>2025-12-02</t>
        </is>
      </c>
      <c r="C390" s="2" t="inlineStr">
        <is>
          <t>棕榈油</t>
        </is>
      </c>
      <c r="D390" s="2" t="inlineStr">
        <is>
          <t>P</t>
        </is>
      </c>
      <c r="E390" s="9" t="inlineStr">
        <is>
          <t>空</t>
        </is>
      </c>
      <c r="F390" s="2" t="inlineStr">
        <is>
          <t>★★★</t>
        </is>
      </c>
      <c r="G390" s="10" t="n">
        <v>6</v>
      </c>
      <c r="H390" s="11" t="n">
        <v>8312</v>
      </c>
      <c r="I390" s="11" t="n">
        <v>8707.290000000001</v>
      </c>
      <c r="J390" s="10" t="n">
        <v>10</v>
      </c>
      <c r="K390" s="10" t="n">
        <v>30000</v>
      </c>
      <c r="L390" s="23">
        <f>IF(E390="多",1,-1)*(I390-H390)*G390*J390</f>
        <v/>
      </c>
      <c r="M390" s="24">
        <f>L390/K390</f>
        <v/>
      </c>
      <c r="N390" s="2" t="inlineStr">
        <is>
          <t>止损</t>
        </is>
      </c>
      <c r="O390" s="2" t="inlineStr">
        <is>
          <t>否</t>
        </is>
      </c>
    </row>
    <row r="391">
      <c r="A391" s="2" t="inlineStr">
        <is>
          <t>2025-11-21</t>
        </is>
      </c>
      <c r="B391" s="2" t="inlineStr">
        <is>
          <t>2025-12-02</t>
        </is>
      </c>
      <c r="C391" s="2" t="inlineStr">
        <is>
          <t>玉米</t>
        </is>
      </c>
      <c r="D391" s="2" t="inlineStr">
        <is>
          <t>C</t>
        </is>
      </c>
      <c r="E391" s="19" t="inlineStr">
        <is>
          <t>多</t>
        </is>
      </c>
      <c r="F391" s="2" t="inlineStr">
        <is>
          <t>★★★</t>
        </is>
      </c>
      <c r="G391" s="10" t="n">
        <v>54</v>
      </c>
      <c r="H391" s="11" t="n">
        <v>2195</v>
      </c>
      <c r="I391" s="11" t="n">
        <v>2243</v>
      </c>
      <c r="J391" s="10" t="n">
        <v>10</v>
      </c>
      <c r="K391" s="10" t="n">
        <v>30000</v>
      </c>
      <c r="L391" s="23">
        <f>IF(E391="多",1,-1)*(I391-H391)*G391*J391</f>
        <v/>
      </c>
      <c r="M391" s="24">
        <f>L391/K391</f>
        <v/>
      </c>
      <c r="N391" s="2" t="inlineStr">
        <is>
          <t>大将军转向</t>
        </is>
      </c>
      <c r="O391" s="2" t="inlineStr">
        <is>
          <t>否</t>
        </is>
      </c>
    </row>
    <row r="392">
      <c r="A392" s="2" t="inlineStr">
        <is>
          <t>2025-11-28</t>
        </is>
      </c>
      <c r="B392" s="2" t="inlineStr">
        <is>
          <t>2025-12-01</t>
        </is>
      </c>
      <c r="C392" s="2" t="inlineStr">
        <is>
          <t>沪银</t>
        </is>
      </c>
      <c r="D392" s="2" t="inlineStr">
        <is>
          <t>AG</t>
        </is>
      </c>
      <c r="E392" s="19" t="inlineStr">
        <is>
          <t>多</t>
        </is>
      </c>
      <c r="F392" s="2" t="inlineStr">
        <is>
          <t>★★★</t>
        </is>
      </c>
      <c r="G392" s="10" t="n">
        <v>1</v>
      </c>
      <c r="H392" s="11" t="n">
        <v>12720</v>
      </c>
      <c r="I392" s="11" t="n">
        <v>13278</v>
      </c>
      <c r="J392" s="10" t="n">
        <v>15</v>
      </c>
      <c r="K392" s="10" t="n">
        <v>30000</v>
      </c>
      <c r="L392" s="23">
        <f>IF(E392="多",1,-1)*(I392-H392)*G392*J392</f>
        <v/>
      </c>
      <c r="M392" s="24">
        <f>L392/K392</f>
        <v/>
      </c>
      <c r="N392" s="2" t="inlineStr">
        <is>
          <t>将军撤退</t>
        </is>
      </c>
      <c r="O392" s="2" t="inlineStr">
        <is>
          <t>否</t>
        </is>
      </c>
    </row>
    <row r="393">
      <c r="A393" s="14" t="inlineStr">
        <is>
          <t>2025-11-27</t>
        </is>
      </c>
      <c r="B393" s="14" t="inlineStr">
        <is>
          <t>2025-11-28</t>
        </is>
      </c>
      <c r="C393" s="14" t="inlineStr">
        <is>
          <t>豆油</t>
        </is>
      </c>
      <c r="D393" s="14" t="inlineStr">
        <is>
          <t>Y</t>
        </is>
      </c>
      <c r="E393" s="14" t="inlineStr">
        <is>
          <t>多</t>
        </is>
      </c>
      <c r="F393" s="14" t="inlineStr">
        <is>
          <t>★★</t>
        </is>
      </c>
      <c r="G393" s="14" t="n">
        <v>4</v>
      </c>
      <c r="H393" s="15" t="n">
        <v>8022</v>
      </c>
      <c r="I393" s="15" t="n">
        <v>8040</v>
      </c>
      <c r="J393" s="14" t="n">
        <v>10</v>
      </c>
      <c r="K393" s="14" t="n">
        <v>10000</v>
      </c>
      <c r="L393" s="25">
        <f>IF(E393="多",1,-1)*(I393-H393)*G393*J393</f>
        <v/>
      </c>
      <c r="M393" s="26">
        <f>L393/K393</f>
        <v/>
      </c>
      <c r="N393" s="14" t="inlineStr">
        <is>
          <t>将军撤退</t>
        </is>
      </c>
      <c r="O393" s="14" t="inlineStr">
        <is>
          <t>是</t>
        </is>
      </c>
    </row>
    <row r="394">
      <c r="A394" s="2" t="inlineStr">
        <is>
          <t>2025-11-27</t>
        </is>
      </c>
      <c r="B394" s="2" t="inlineStr">
        <is>
          <t>2025-11-28</t>
        </is>
      </c>
      <c r="C394" s="2" t="inlineStr">
        <is>
          <t>焦煤</t>
        </is>
      </c>
      <c r="D394" s="2" t="inlineStr">
        <is>
          <t>JM</t>
        </is>
      </c>
      <c r="E394" s="9" t="inlineStr">
        <is>
          <t>空</t>
        </is>
      </c>
      <c r="F394" s="2" t="inlineStr">
        <is>
          <t>★★★</t>
        </is>
      </c>
      <c r="G394" s="10" t="n">
        <v>4</v>
      </c>
      <c r="H394" s="11" t="n">
        <v>1069</v>
      </c>
      <c r="I394" s="11" t="n">
        <v>1067</v>
      </c>
      <c r="J394" s="10" t="n">
        <v>60</v>
      </c>
      <c r="K394" s="10" t="n">
        <v>30000</v>
      </c>
      <c r="L394" s="23">
        <f>IF(E394="多",1,-1)*(I394-H394)*G394*J394</f>
        <v/>
      </c>
      <c r="M394" s="24">
        <f>L394/K394</f>
        <v/>
      </c>
      <c r="N394" s="2" t="inlineStr">
        <is>
          <t>将军撤退+大将军转向</t>
        </is>
      </c>
      <c r="O394" s="2" t="inlineStr">
        <is>
          <t>否</t>
        </is>
      </c>
    </row>
    <row r="395">
      <c r="A395" s="2" t="inlineStr">
        <is>
          <t>2025-11-26</t>
        </is>
      </c>
      <c r="B395" s="2" t="inlineStr">
        <is>
          <t>2025-11-28</t>
        </is>
      </c>
      <c r="C395" s="2" t="inlineStr">
        <is>
          <t>燃料油</t>
        </is>
      </c>
      <c r="D395" s="2" t="inlineStr">
        <is>
          <t>FU</t>
        </is>
      </c>
      <c r="E395" s="9" t="inlineStr">
        <is>
          <t>空</t>
        </is>
      </c>
      <c r="F395" s="2" t="inlineStr">
        <is>
          <t>★★★</t>
        </is>
      </c>
      <c r="G395" s="10" t="n">
        <v>5</v>
      </c>
      <c r="H395" s="11" t="n">
        <v>2444</v>
      </c>
      <c r="I395" s="11" t="n">
        <v>2501</v>
      </c>
      <c r="J395" s="10" t="n">
        <v>10</v>
      </c>
      <c r="K395" s="10" t="n">
        <v>10000</v>
      </c>
      <c r="L395" s="23">
        <f>IF(E395="多",1,-1)*(I395-H395)*G395*J395</f>
        <v/>
      </c>
      <c r="M395" s="24">
        <f>L395/K395</f>
        <v/>
      </c>
      <c r="N395" s="2" t="inlineStr">
        <is>
          <t>将军撤退+大将军转向</t>
        </is>
      </c>
      <c r="O395" s="2" t="inlineStr">
        <is>
          <t>否</t>
        </is>
      </c>
    </row>
    <row r="396">
      <c r="A396" s="2" t="inlineStr">
        <is>
          <t>2025-11-26</t>
        </is>
      </c>
      <c r="B396" s="2" t="inlineStr">
        <is>
          <t>2025-11-27</t>
        </is>
      </c>
      <c r="C396" s="2" t="inlineStr">
        <is>
          <t>聚丙烯</t>
        </is>
      </c>
      <c r="D396" s="2" t="inlineStr">
        <is>
          <t>PP</t>
        </is>
      </c>
      <c r="E396" s="9" t="inlineStr">
        <is>
          <t>空</t>
        </is>
      </c>
      <c r="F396" s="2" t="inlineStr">
        <is>
          <t>★★★</t>
        </is>
      </c>
      <c r="G396" s="10" t="n">
        <v>31</v>
      </c>
      <c r="H396" s="11" t="n">
        <v>6261</v>
      </c>
      <c r="I396" s="11" t="n">
        <v>6295</v>
      </c>
      <c r="J396" s="10" t="n">
        <v>5</v>
      </c>
      <c r="K396" s="10" t="n">
        <v>30000</v>
      </c>
      <c r="L396" s="23">
        <f>IF(E396="多",1,-1)*(I396-H396)*G396*J396</f>
        <v/>
      </c>
      <c r="M396" s="24">
        <f>L396/K396</f>
        <v/>
      </c>
      <c r="N396" s="2" t="inlineStr">
        <is>
          <t>大将军转向</t>
        </is>
      </c>
      <c r="O396" s="2" t="inlineStr">
        <is>
          <t>否</t>
        </is>
      </c>
    </row>
    <row r="397">
      <c r="A397" s="2" t="inlineStr">
        <is>
          <t>2025-11-25</t>
        </is>
      </c>
      <c r="B397" s="2" t="inlineStr">
        <is>
          <t>2025-11-26</t>
        </is>
      </c>
      <c r="C397" s="2" t="inlineStr">
        <is>
          <t>焦煤</t>
        </is>
      </c>
      <c r="D397" s="2" t="inlineStr">
        <is>
          <t>JM</t>
        </is>
      </c>
      <c r="E397" s="9" t="inlineStr">
        <is>
          <t>空</t>
        </is>
      </c>
      <c r="F397" s="2" t="inlineStr">
        <is>
          <t>★★★</t>
        </is>
      </c>
      <c r="G397" s="10" t="n">
        <v>4</v>
      </c>
      <c r="H397" s="11" t="n">
        <v>1090</v>
      </c>
      <c r="I397" s="11" t="n">
        <v>1084.5</v>
      </c>
      <c r="J397" s="10" t="n">
        <v>60</v>
      </c>
      <c r="K397" s="10" t="n">
        <v>30000</v>
      </c>
      <c r="L397" s="23">
        <f>IF(E397="多",1,-1)*(I397-H397)*G397*J397</f>
        <v/>
      </c>
      <c r="M397" s="24">
        <f>L397/K397</f>
        <v/>
      </c>
      <c r="N397" s="2" t="inlineStr">
        <is>
          <t>将军撤退</t>
        </is>
      </c>
      <c r="O397" s="2" t="inlineStr">
        <is>
          <t>否</t>
        </is>
      </c>
    </row>
    <row r="398">
      <c r="A398" s="2" t="inlineStr">
        <is>
          <t>2025-11-24</t>
        </is>
      </c>
      <c r="B398" s="2" t="inlineStr">
        <is>
          <t>2025-11-25</t>
        </is>
      </c>
      <c r="C398" s="2" t="inlineStr">
        <is>
          <t>燃料油</t>
        </is>
      </c>
      <c r="D398" s="2" t="inlineStr">
        <is>
          <t>FU</t>
        </is>
      </c>
      <c r="E398" s="9" t="inlineStr">
        <is>
          <t>空</t>
        </is>
      </c>
      <c r="F398" s="2" t="inlineStr">
        <is>
          <t>★★★</t>
        </is>
      </c>
      <c r="G398" s="10" t="n">
        <v>17</v>
      </c>
      <c r="H398" s="11" t="n">
        <v>2517</v>
      </c>
      <c r="I398" s="11" t="n">
        <v>2491</v>
      </c>
      <c r="J398" s="10" t="n">
        <v>10</v>
      </c>
      <c r="K398" s="10" t="n">
        <v>30000</v>
      </c>
      <c r="L398" s="23">
        <f>IF(E398="多",1,-1)*(I398-H398)*G398*J398</f>
        <v/>
      </c>
      <c r="M398" s="24">
        <f>L398/K398</f>
        <v/>
      </c>
      <c r="N398" s="2" t="inlineStr">
        <is>
          <t>大将军转向</t>
        </is>
      </c>
      <c r="O398" s="2" t="inlineStr">
        <is>
          <t>否</t>
        </is>
      </c>
    </row>
    <row r="399">
      <c r="A399" s="2" t="inlineStr">
        <is>
          <t>2025-11-20</t>
        </is>
      </c>
      <c r="B399" s="2" t="inlineStr">
        <is>
          <t>2025-11-25</t>
        </is>
      </c>
      <c r="C399" s="2" t="inlineStr">
        <is>
          <t>聚丙烯</t>
        </is>
      </c>
      <c r="D399" s="2" t="inlineStr">
        <is>
          <t>PP</t>
        </is>
      </c>
      <c r="E399" s="9" t="inlineStr">
        <is>
          <t>空</t>
        </is>
      </c>
      <c r="F399" s="2" t="inlineStr">
        <is>
          <t>★★★</t>
        </is>
      </c>
      <c r="G399" s="10" t="n">
        <v>33</v>
      </c>
      <c r="H399" s="11" t="n">
        <v>6409</v>
      </c>
      <c r="I399" s="11" t="n">
        <v>6317</v>
      </c>
      <c r="J399" s="10" t="n">
        <v>5</v>
      </c>
      <c r="K399" s="10" t="n">
        <v>30000</v>
      </c>
      <c r="L399" s="23">
        <f>IF(E399="多",1,-1)*(I399-H399)*G399*J399</f>
        <v/>
      </c>
      <c r="M399" s="24">
        <f>L399/K399</f>
        <v/>
      </c>
      <c r="N399" s="2" t="inlineStr">
        <is>
          <t>大将军转向</t>
        </is>
      </c>
      <c r="O399" s="2" t="inlineStr">
        <is>
          <t>否</t>
        </is>
      </c>
    </row>
    <row r="400">
      <c r="A400" s="14" t="inlineStr">
        <is>
          <t>2025-11-07</t>
        </is>
      </c>
      <c r="B400" s="14" t="inlineStr">
        <is>
          <t>2025-11-24</t>
        </is>
      </c>
      <c r="C400" s="14" t="inlineStr">
        <is>
          <t>热卷</t>
        </is>
      </c>
      <c r="D400" s="14" t="inlineStr">
        <is>
          <t>HC</t>
        </is>
      </c>
      <c r="E400" s="14" t="inlineStr">
        <is>
          <t>空</t>
        </is>
      </c>
      <c r="F400" s="14" t="inlineStr">
        <is>
          <t>★★★</t>
        </is>
      </c>
      <c r="G400" s="14" t="n">
        <v>9</v>
      </c>
      <c r="H400" s="15" t="n">
        <v>3246</v>
      </c>
      <c r="I400" s="15" t="n">
        <v>3295</v>
      </c>
      <c r="J400" s="14" t="n">
        <v>10</v>
      </c>
      <c r="K400" s="14" t="n">
        <v>10000</v>
      </c>
      <c r="L400" s="25">
        <f>IF(E400="多",1,-1)*(I400-H400)*G400*J400</f>
        <v/>
      </c>
      <c r="M400" s="26">
        <f>L400/K400</f>
        <v/>
      </c>
      <c r="N400" s="14" t="inlineStr">
        <is>
          <t>将军撤退</t>
        </is>
      </c>
      <c r="O400" s="14" t="inlineStr">
        <is>
          <t>是</t>
        </is>
      </c>
    </row>
    <row r="401">
      <c r="A401" s="2" t="inlineStr">
        <is>
          <t>2025-10-24</t>
        </is>
      </c>
      <c r="B401" s="2" t="inlineStr">
        <is>
          <t>2025-11-24</t>
        </is>
      </c>
      <c r="C401" s="2" t="inlineStr">
        <is>
          <t>PVC</t>
        </is>
      </c>
      <c r="D401" s="2" t="inlineStr">
        <is>
          <t>V</t>
        </is>
      </c>
      <c r="E401" s="9" t="inlineStr">
        <is>
          <t>空</t>
        </is>
      </c>
      <c r="F401" s="2" t="inlineStr">
        <is>
          <t>★★★</t>
        </is>
      </c>
      <c r="G401" s="10" t="n">
        <v>35</v>
      </c>
      <c r="H401" s="11" t="n">
        <v>4708</v>
      </c>
      <c r="I401" s="11" t="n">
        <v>4496</v>
      </c>
      <c r="J401" s="10" t="n">
        <v>5</v>
      </c>
      <c r="K401" s="10" t="n">
        <v>30000</v>
      </c>
      <c r="L401" s="23">
        <f>IF(E401="多",1,-1)*(I401-H401)*G401*J401</f>
        <v/>
      </c>
      <c r="M401" s="24">
        <f>L401/K401</f>
        <v/>
      </c>
      <c r="N401" s="2" t="inlineStr">
        <is>
          <t>将军撤退+大将军转向</t>
        </is>
      </c>
      <c r="O401" s="2" t="inlineStr">
        <is>
          <t>否</t>
        </is>
      </c>
    </row>
    <row r="402">
      <c r="A402" s="14" t="inlineStr">
        <is>
          <t>2025-11-20</t>
        </is>
      </c>
      <c r="B402" s="14" t="inlineStr">
        <is>
          <t>2025-11-21</t>
        </is>
      </c>
      <c r="C402" s="14" t="inlineStr">
        <is>
          <t>菜油</t>
        </is>
      </c>
      <c r="D402" s="14" t="inlineStr">
        <is>
          <t>OI</t>
        </is>
      </c>
      <c r="E402" s="14" t="inlineStr">
        <is>
          <t>空</t>
        </is>
      </c>
      <c r="F402" s="14" t="inlineStr">
        <is>
          <t>★★</t>
        </is>
      </c>
      <c r="G402" s="14" t="n">
        <v>2</v>
      </c>
      <c r="H402" s="15" t="n">
        <v>9788</v>
      </c>
      <c r="I402" s="15" t="n">
        <v>9816</v>
      </c>
      <c r="J402" s="14" t="n">
        <v>10</v>
      </c>
      <c r="K402" s="14" t="n">
        <v>10000</v>
      </c>
      <c r="L402" s="25">
        <f>IF(E402="多",1,-1)*(I402-H402)*G402*J402</f>
        <v/>
      </c>
      <c r="M402" s="26">
        <f>L402/K402</f>
        <v/>
      </c>
      <c r="N402" s="14" t="inlineStr">
        <is>
          <t>大将军转向</t>
        </is>
      </c>
      <c r="O402" s="14" t="inlineStr">
        <is>
          <t>是</t>
        </is>
      </c>
    </row>
    <row r="403">
      <c r="A403" s="14" t="inlineStr">
        <is>
          <t>2025-11-19</t>
        </is>
      </c>
      <c r="B403" s="14" t="inlineStr">
        <is>
          <t>2025-11-21</t>
        </is>
      </c>
      <c r="C403" s="14" t="inlineStr">
        <is>
          <t>鸡蛋</t>
        </is>
      </c>
      <c r="D403" s="14" t="inlineStr">
        <is>
          <t>JD</t>
        </is>
      </c>
      <c r="E403" s="14" t="inlineStr">
        <is>
          <t>空</t>
        </is>
      </c>
      <c r="F403" s="14" t="inlineStr">
        <is>
          <t>★★</t>
        </is>
      </c>
      <c r="G403" s="14" t="n">
        <v>5</v>
      </c>
      <c r="H403" s="15" t="n">
        <v>3175</v>
      </c>
      <c r="I403" s="15" t="n">
        <v>3184</v>
      </c>
      <c r="J403" s="14" t="n">
        <v>10</v>
      </c>
      <c r="K403" s="14" t="n">
        <v>10000</v>
      </c>
      <c r="L403" s="25">
        <f>IF(E403="多",1,-1)*(I403-H403)*G403*J403</f>
        <v/>
      </c>
      <c r="M403" s="26">
        <f>L403/K403</f>
        <v/>
      </c>
      <c r="N403" s="14" t="inlineStr">
        <is>
          <t>大将军转向</t>
        </is>
      </c>
      <c r="O403" s="14" t="inlineStr">
        <is>
          <t>是</t>
        </is>
      </c>
    </row>
    <row r="404">
      <c r="A404" s="2" t="inlineStr">
        <is>
          <t>2025-11-13</t>
        </is>
      </c>
      <c r="B404" s="2" t="inlineStr">
        <is>
          <t>2025-11-21</t>
        </is>
      </c>
      <c r="C404" s="2" t="inlineStr">
        <is>
          <t>沪铝</t>
        </is>
      </c>
      <c r="D404" s="2" t="inlineStr">
        <is>
          <t>AL</t>
        </is>
      </c>
      <c r="E404" s="19" t="inlineStr">
        <is>
          <t>多</t>
        </is>
      </c>
      <c r="F404" s="2" t="inlineStr">
        <is>
          <t>★★★</t>
        </is>
      </c>
      <c r="G404" s="10" t="n">
        <v>2</v>
      </c>
      <c r="H404" s="11" t="n">
        <v>22010</v>
      </c>
      <c r="I404" s="11" t="n">
        <v>21427.14</v>
      </c>
      <c r="J404" s="10" t="n">
        <v>5</v>
      </c>
      <c r="K404" s="10" t="n">
        <v>10000</v>
      </c>
      <c r="L404" s="23">
        <f>IF(E404="多",1,-1)*(I404-H404)*G404*J404</f>
        <v/>
      </c>
      <c r="M404" s="24">
        <f>L404/K404</f>
        <v/>
      </c>
      <c r="N404" s="2" t="inlineStr">
        <is>
          <t>止损</t>
        </is>
      </c>
      <c r="O404" s="2" t="inlineStr">
        <is>
          <t>否</t>
        </is>
      </c>
    </row>
    <row r="405">
      <c r="A405" s="2" t="inlineStr">
        <is>
          <t>2025-11-19</t>
        </is>
      </c>
      <c r="B405" s="2" t="inlineStr">
        <is>
          <t>2025-11-20</t>
        </is>
      </c>
      <c r="C405" s="2" t="inlineStr">
        <is>
          <t>沪镍</t>
        </is>
      </c>
      <c r="D405" s="2" t="inlineStr">
        <is>
          <t>NI</t>
        </is>
      </c>
      <c r="E405" s="9" t="inlineStr">
        <is>
          <t>空</t>
        </is>
      </c>
      <c r="F405" s="2" t="inlineStr">
        <is>
          <t>★★★</t>
        </is>
      </c>
      <c r="G405" s="10" t="n">
        <v>8</v>
      </c>
      <c r="H405" s="11" t="n">
        <v>115750</v>
      </c>
      <c r="I405" s="11" t="n">
        <v>115380</v>
      </c>
      <c r="J405" s="10" t="n">
        <v>1</v>
      </c>
      <c r="K405" s="10" t="n">
        <v>30000</v>
      </c>
      <c r="L405" s="23">
        <f>IF(E405="多",1,-1)*(I405-H405)*G405*J405</f>
        <v/>
      </c>
      <c r="M405" s="24">
        <f>L405/K405</f>
        <v/>
      </c>
      <c r="N405" s="2" t="inlineStr">
        <is>
          <t>将军撤退</t>
        </is>
      </c>
      <c r="O405" s="2" t="inlineStr">
        <is>
          <t>否</t>
        </is>
      </c>
    </row>
    <row r="406">
      <c r="A406" s="14" t="inlineStr">
        <is>
          <t>2025-11-19</t>
        </is>
      </c>
      <c r="B406" s="14" t="inlineStr">
        <is>
          <t>2025-11-20</t>
        </is>
      </c>
      <c r="C406" s="14" t="inlineStr">
        <is>
          <t>燃料油</t>
        </is>
      </c>
      <c r="D406" s="14" t="inlineStr">
        <is>
          <t>FU</t>
        </is>
      </c>
      <c r="E406" s="14" t="inlineStr">
        <is>
          <t>空</t>
        </is>
      </c>
      <c r="F406" s="14" t="inlineStr">
        <is>
          <t>★★</t>
        </is>
      </c>
      <c r="G406" s="14" t="n">
        <v>6</v>
      </c>
      <c r="H406" s="15" t="n">
        <v>2501</v>
      </c>
      <c r="I406" s="15" t="n">
        <v>2517</v>
      </c>
      <c r="J406" s="14" t="n">
        <v>10</v>
      </c>
      <c r="K406" s="14" t="n">
        <v>10000</v>
      </c>
      <c r="L406" s="25">
        <f>IF(E406="多",1,-1)*(I406-H406)*G406*J406</f>
        <v/>
      </c>
      <c r="M406" s="26">
        <f>L406/K406</f>
        <v/>
      </c>
      <c r="N406" s="14" t="inlineStr">
        <is>
          <t>大将军转向</t>
        </is>
      </c>
      <c r="O406" s="14" t="inlineStr">
        <is>
          <t>是</t>
        </is>
      </c>
    </row>
    <row r="407">
      <c r="A407" s="2" t="inlineStr">
        <is>
          <t>2025-11-18</t>
        </is>
      </c>
      <c r="B407" s="2" t="inlineStr">
        <is>
          <t>2025-11-19</t>
        </is>
      </c>
      <c r="C407" s="2" t="inlineStr">
        <is>
          <t>豆油</t>
        </is>
      </c>
      <c r="D407" s="2" t="inlineStr">
        <is>
          <t>Y</t>
        </is>
      </c>
      <c r="E407" s="19" t="inlineStr">
        <is>
          <t>多</t>
        </is>
      </c>
      <c r="F407" s="2" t="inlineStr">
        <is>
          <t>★★★</t>
        </is>
      </c>
      <c r="G407" s="10" t="n">
        <v>11</v>
      </c>
      <c r="H407" s="11" t="n">
        <v>8352</v>
      </c>
      <c r="I407" s="11" t="n">
        <v>8356</v>
      </c>
      <c r="J407" s="10" t="n">
        <v>10</v>
      </c>
      <c r="K407" s="10" t="n">
        <v>30000</v>
      </c>
      <c r="L407" s="23">
        <f>IF(E407="多",1,-1)*(I407-H407)*G407*J407</f>
        <v/>
      </c>
      <c r="M407" s="24">
        <f>L407/K407</f>
        <v/>
      </c>
      <c r="N407" s="2" t="inlineStr">
        <is>
          <t>将军撤退</t>
        </is>
      </c>
      <c r="O407" s="2" t="inlineStr">
        <is>
          <t>否</t>
        </is>
      </c>
    </row>
    <row r="408">
      <c r="A408" s="14" t="inlineStr">
        <is>
          <t>2025-11-18</t>
        </is>
      </c>
      <c r="B408" s="14" t="inlineStr">
        <is>
          <t>2025-11-19</t>
        </is>
      </c>
      <c r="C408" s="14" t="inlineStr">
        <is>
          <t>白糖</t>
        </is>
      </c>
      <c r="D408" s="14" t="inlineStr">
        <is>
          <t>SR</t>
        </is>
      </c>
      <c r="E408" s="14" t="inlineStr">
        <is>
          <t>空</t>
        </is>
      </c>
      <c r="F408" s="14" t="inlineStr">
        <is>
          <t>★★</t>
        </is>
      </c>
      <c r="G408" s="14" t="n">
        <v>9</v>
      </c>
      <c r="H408" s="15" t="n">
        <v>5407</v>
      </c>
      <c r="I408" s="15" t="n">
        <v>5381</v>
      </c>
      <c r="J408" s="14" t="n">
        <v>10</v>
      </c>
      <c r="K408" s="14" t="n">
        <v>10000</v>
      </c>
      <c r="L408" s="25">
        <f>IF(E408="多",1,-1)*(I408-H408)*G408*J408</f>
        <v/>
      </c>
      <c r="M408" s="26">
        <f>L408/K408</f>
        <v/>
      </c>
      <c r="N408" s="14" t="inlineStr">
        <is>
          <t>将军撤退+大将军转向</t>
        </is>
      </c>
      <c r="O408" s="14" t="inlineStr">
        <is>
          <t>是</t>
        </is>
      </c>
    </row>
    <row r="409">
      <c r="A409" s="2" t="inlineStr">
        <is>
          <t>2025-11-17</t>
        </is>
      </c>
      <c r="B409" s="2" t="inlineStr">
        <is>
          <t>2025-11-19</t>
        </is>
      </c>
      <c r="C409" s="2" t="inlineStr">
        <is>
          <t>碳酸锂</t>
        </is>
      </c>
      <c r="D409" s="2" t="inlineStr">
        <is>
          <t>LC</t>
        </is>
      </c>
      <c r="E409" s="19" t="inlineStr">
        <is>
          <t>多</t>
        </is>
      </c>
      <c r="F409" s="2" t="inlineStr">
        <is>
          <t>★★★</t>
        </is>
      </c>
      <c r="G409" s="10" t="n">
        <v>2</v>
      </c>
      <c r="H409" s="11" t="n">
        <v>96200</v>
      </c>
      <c r="I409" s="11" t="n">
        <v>99300</v>
      </c>
      <c r="J409" s="10" t="n">
        <v>1</v>
      </c>
      <c r="K409" s="10" t="n">
        <v>30000</v>
      </c>
      <c r="L409" s="23">
        <f>IF(E409="多",1,-1)*(I409-H409)*G409*J409</f>
        <v/>
      </c>
      <c r="M409" s="24">
        <f>L409/K409</f>
        <v/>
      </c>
      <c r="N409" s="2" t="inlineStr">
        <is>
          <t>将军撤退+大将军转向</t>
        </is>
      </c>
      <c r="O409" s="2" t="inlineStr">
        <is>
          <t>否</t>
        </is>
      </c>
    </row>
    <row r="410">
      <c r="A410" s="14" t="inlineStr">
        <is>
          <t>2025-11-12</t>
        </is>
      </c>
      <c r="B410" s="14" t="inlineStr">
        <is>
          <t>2025-11-19</t>
        </is>
      </c>
      <c r="C410" s="14" t="inlineStr">
        <is>
          <t>玉米</t>
        </is>
      </c>
      <c r="D410" s="14" t="inlineStr">
        <is>
          <t>C</t>
        </is>
      </c>
      <c r="E410" s="14" t="inlineStr">
        <is>
          <t>多</t>
        </is>
      </c>
      <c r="F410" s="14" t="inlineStr">
        <is>
          <t>★★★</t>
        </is>
      </c>
      <c r="G410" s="14" t="n">
        <v>19</v>
      </c>
      <c r="H410" s="15" t="n">
        <v>2178</v>
      </c>
      <c r="I410" s="15" t="n">
        <v>2175</v>
      </c>
      <c r="J410" s="14" t="n">
        <v>10</v>
      </c>
      <c r="K410" s="14" t="n">
        <v>10000</v>
      </c>
      <c r="L410" s="25">
        <f>IF(E410="多",1,-1)*(I410-H410)*G410*J410</f>
        <v/>
      </c>
      <c r="M410" s="26">
        <f>L410/K410</f>
        <v/>
      </c>
      <c r="N410" s="14" t="inlineStr">
        <is>
          <t>将军撤退</t>
        </is>
      </c>
      <c r="O410" s="14" t="inlineStr">
        <is>
          <t>是</t>
        </is>
      </c>
    </row>
    <row r="411">
      <c r="A411" s="14" t="inlineStr">
        <is>
          <t>2025-11-10</t>
        </is>
      </c>
      <c r="B411" s="14" t="inlineStr">
        <is>
          <t>2025-11-19</t>
        </is>
      </c>
      <c r="C411" s="14" t="inlineStr">
        <is>
          <t>铁矿石</t>
        </is>
      </c>
      <c r="D411" s="14" t="inlineStr">
        <is>
          <t>I</t>
        </is>
      </c>
      <c r="E411" s="14" t="inlineStr">
        <is>
          <t>空</t>
        </is>
      </c>
      <c r="F411" s="14" t="inlineStr">
        <is>
          <t>★★</t>
        </is>
      </c>
      <c r="G411" s="14" t="n">
        <v>2</v>
      </c>
      <c r="H411" s="15" t="n">
        <v>765</v>
      </c>
      <c r="I411" s="15" t="n">
        <v>795.86</v>
      </c>
      <c r="J411" s="14" t="n">
        <v>100</v>
      </c>
      <c r="K411" s="14" t="n">
        <v>10000</v>
      </c>
      <c r="L411" s="25">
        <f>IF(E411="多",1,-1)*(I411-H411)*G411*J411</f>
        <v/>
      </c>
      <c r="M411" s="26">
        <f>L411/K411</f>
        <v/>
      </c>
      <c r="N411" s="14" t="inlineStr">
        <is>
          <t>止损</t>
        </is>
      </c>
      <c r="O411" s="14" t="inlineStr">
        <is>
          <t>是</t>
        </is>
      </c>
    </row>
    <row r="412">
      <c r="A412" s="14" t="inlineStr">
        <is>
          <t>2025-11-06</t>
        </is>
      </c>
      <c r="B412" s="14" t="inlineStr">
        <is>
          <t>2025-11-19</t>
        </is>
      </c>
      <c r="C412" s="14" t="inlineStr">
        <is>
          <t>沪锌</t>
        </is>
      </c>
      <c r="D412" s="14" t="inlineStr">
        <is>
          <t>ZN</t>
        </is>
      </c>
      <c r="E412" s="14" t="inlineStr">
        <is>
          <t>多</t>
        </is>
      </c>
      <c r="F412" s="14" t="inlineStr">
        <is>
          <t>★★</t>
        </is>
      </c>
      <c r="G412" s="14" t="n">
        <v>3</v>
      </c>
      <c r="H412" s="15" t="n">
        <v>22745</v>
      </c>
      <c r="I412" s="15" t="n">
        <v>22435</v>
      </c>
      <c r="J412" s="14" t="n">
        <v>5</v>
      </c>
      <c r="K412" s="14" t="n">
        <v>10000</v>
      </c>
      <c r="L412" s="25">
        <f>IF(E412="多",1,-1)*(I412-H412)*G412*J412</f>
        <v/>
      </c>
      <c r="M412" s="26">
        <f>L412/K412</f>
        <v/>
      </c>
      <c r="N412" s="14" t="inlineStr">
        <is>
          <t>大将军转向</t>
        </is>
      </c>
      <c r="O412" s="14" t="inlineStr">
        <is>
          <t>是</t>
        </is>
      </c>
    </row>
    <row r="413">
      <c r="A413" s="2" t="inlineStr">
        <is>
          <t>2025-11-17</t>
        </is>
      </c>
      <c r="B413" s="2" t="inlineStr">
        <is>
          <t>2025-11-18</t>
        </is>
      </c>
      <c r="C413" s="2" t="inlineStr">
        <is>
          <t>甲醇</t>
        </is>
      </c>
      <c r="D413" s="2" t="inlineStr">
        <is>
          <t>MA</t>
        </is>
      </c>
      <c r="E413" s="9" t="inlineStr">
        <is>
          <t>空</t>
        </is>
      </c>
      <c r="F413" s="2" t="inlineStr">
        <is>
          <t>★★★</t>
        </is>
      </c>
      <c r="G413" s="10" t="n">
        <v>23</v>
      </c>
      <c r="H413" s="11" t="n">
        <v>2032</v>
      </c>
      <c r="I413" s="11" t="n">
        <v>2030</v>
      </c>
      <c r="J413" s="10" t="n">
        <v>10</v>
      </c>
      <c r="K413" s="10" t="n">
        <v>30000</v>
      </c>
      <c r="L413" s="23">
        <f>IF(E413="多",1,-1)*(I413-H413)*G413*J413</f>
        <v/>
      </c>
      <c r="M413" s="24">
        <f>L413/K413</f>
        <v/>
      </c>
      <c r="N413" s="2" t="inlineStr">
        <is>
          <t>将军撤退</t>
        </is>
      </c>
      <c r="O413" s="2" t="inlineStr">
        <is>
          <t>否</t>
        </is>
      </c>
    </row>
    <row r="414">
      <c r="A414" s="14" t="inlineStr">
        <is>
          <t>2025-11-17</t>
        </is>
      </c>
      <c r="B414" s="14" t="inlineStr">
        <is>
          <t>2025-11-18</t>
        </is>
      </c>
      <c r="C414" s="14" t="inlineStr">
        <is>
          <t>玻璃</t>
        </is>
      </c>
      <c r="D414" s="14" t="inlineStr">
        <is>
          <t>FG</t>
        </is>
      </c>
      <c r="E414" s="14" t="inlineStr">
        <is>
          <t>空</t>
        </is>
      </c>
      <c r="F414" s="14" t="inlineStr">
        <is>
          <t>★★</t>
        </is>
      </c>
      <c r="G414" s="14" t="n">
        <v>6</v>
      </c>
      <c r="H414" s="15" t="n">
        <v>1031</v>
      </c>
      <c r="I414" s="15" t="n">
        <v>1017</v>
      </c>
      <c r="J414" s="14" t="n">
        <v>20</v>
      </c>
      <c r="K414" s="14" t="n">
        <v>10000</v>
      </c>
      <c r="L414" s="25">
        <f>IF(E414="多",1,-1)*(I414-H414)*G414*J414</f>
        <v/>
      </c>
      <c r="M414" s="26">
        <f>L414/K414</f>
        <v/>
      </c>
      <c r="N414" s="14" t="inlineStr">
        <is>
          <t>将军撤退</t>
        </is>
      </c>
      <c r="O414" s="14" t="inlineStr">
        <is>
          <t>是</t>
        </is>
      </c>
    </row>
    <row r="415">
      <c r="A415" s="14" t="inlineStr">
        <is>
          <t>2025-11-06</t>
        </is>
      </c>
      <c r="B415" s="14" t="inlineStr">
        <is>
          <t>2025-11-18</t>
        </is>
      </c>
      <c r="C415" s="14" t="inlineStr">
        <is>
          <t>沪镍</t>
        </is>
      </c>
      <c r="D415" s="14" t="inlineStr">
        <is>
          <t>NI</t>
        </is>
      </c>
      <c r="E415" s="14" t="inlineStr">
        <is>
          <t>空</t>
        </is>
      </c>
      <c r="F415" s="14" t="inlineStr">
        <is>
          <t>★★★</t>
        </is>
      </c>
      <c r="G415" s="14" t="n">
        <v>3</v>
      </c>
      <c r="H415" s="15" t="n">
        <v>120400</v>
      </c>
      <c r="I415" s="15" t="n">
        <v>115000</v>
      </c>
      <c r="J415" s="14" t="n">
        <v>1</v>
      </c>
      <c r="K415" s="14" t="n">
        <v>10000</v>
      </c>
      <c r="L415" s="25">
        <f>IF(E415="多",1,-1)*(I415-H415)*G415*J415</f>
        <v/>
      </c>
      <c r="M415" s="26">
        <f>L415/K415</f>
        <v/>
      </c>
      <c r="N415" s="14" t="inlineStr">
        <is>
          <t>将军撤退</t>
        </is>
      </c>
      <c r="O415" s="14" t="inlineStr">
        <is>
          <t>是</t>
        </is>
      </c>
    </row>
    <row r="416">
      <c r="A416" s="14" t="inlineStr">
        <is>
          <t>2025-10-21</t>
        </is>
      </c>
      <c r="B416" s="14" t="inlineStr">
        <is>
          <t>2025-11-18</t>
        </is>
      </c>
      <c r="C416" s="14" t="inlineStr">
        <is>
          <t>棉花</t>
        </is>
      </c>
      <c r="D416" s="14" t="inlineStr">
        <is>
          <t>CF</t>
        </is>
      </c>
      <c r="E416" s="14" t="inlineStr">
        <is>
          <t>多</t>
        </is>
      </c>
      <c r="F416" s="14" t="inlineStr">
        <is>
          <t>★★</t>
        </is>
      </c>
      <c r="G416" s="14" t="n">
        <v>5</v>
      </c>
      <c r="H416" s="15" t="n">
        <v>13525</v>
      </c>
      <c r="I416" s="15" t="n">
        <v>13384.64</v>
      </c>
      <c r="J416" s="14" t="n">
        <v>5</v>
      </c>
      <c r="K416" s="14" t="n">
        <v>10000</v>
      </c>
      <c r="L416" s="25">
        <f>IF(E416="多",1,-1)*(I416-H416)*G416*J416</f>
        <v/>
      </c>
      <c r="M416" s="26">
        <f>L416/K416</f>
        <v/>
      </c>
      <c r="N416" s="14" t="inlineStr">
        <is>
          <t>止损</t>
        </is>
      </c>
      <c r="O416" s="14" t="inlineStr">
        <is>
          <t>是</t>
        </is>
      </c>
    </row>
    <row r="417">
      <c r="A417" s="14" t="inlineStr">
        <is>
          <t>2025-11-14</t>
        </is>
      </c>
      <c r="B417" s="14" t="inlineStr">
        <is>
          <t>2025-11-17</t>
        </is>
      </c>
      <c r="C417" s="14" t="inlineStr">
        <is>
          <t>PTA</t>
        </is>
      </c>
      <c r="D417" s="14" t="inlineStr">
        <is>
          <t>TA</t>
        </is>
      </c>
      <c r="E417" s="14" t="inlineStr">
        <is>
          <t>多</t>
        </is>
      </c>
      <c r="F417" s="14" t="inlineStr">
        <is>
          <t>★★</t>
        </is>
      </c>
      <c r="G417" s="14" t="n">
        <v>9</v>
      </c>
      <c r="H417" s="15" t="n">
        <v>4706</v>
      </c>
      <c r="I417" s="15" t="n">
        <v>4692</v>
      </c>
      <c r="J417" s="14" t="n">
        <v>5</v>
      </c>
      <c r="K417" s="14" t="n">
        <v>10000</v>
      </c>
      <c r="L417" s="25">
        <f>IF(E417="多",1,-1)*(I417-H417)*G417*J417</f>
        <v/>
      </c>
      <c r="M417" s="26">
        <f>L417/K417</f>
        <v/>
      </c>
      <c r="N417" s="14" t="inlineStr">
        <is>
          <t>将军撤退</t>
        </is>
      </c>
      <c r="O417" s="14" t="inlineStr">
        <is>
          <t>是</t>
        </is>
      </c>
    </row>
    <row r="418">
      <c r="A418" s="14" t="inlineStr">
        <is>
          <t>2025-11-12</t>
        </is>
      </c>
      <c r="B418" s="14" t="inlineStr">
        <is>
          <t>2025-11-17</t>
        </is>
      </c>
      <c r="C418" s="14" t="inlineStr">
        <is>
          <t>鸡蛋</t>
        </is>
      </c>
      <c r="D418" s="14" t="inlineStr">
        <is>
          <t>JD</t>
        </is>
      </c>
      <c r="E418" s="14" t="inlineStr">
        <is>
          <t>空</t>
        </is>
      </c>
      <c r="F418" s="14" t="inlineStr">
        <is>
          <t>★★</t>
        </is>
      </c>
      <c r="G418" s="14" t="n">
        <v>5</v>
      </c>
      <c r="H418" s="15" t="n">
        <v>3315</v>
      </c>
      <c r="I418" s="15" t="n">
        <v>3229</v>
      </c>
      <c r="J418" s="14" t="n">
        <v>10</v>
      </c>
      <c r="K418" s="14" t="n">
        <v>10000</v>
      </c>
      <c r="L418" s="25">
        <f>IF(E418="多",1,-1)*(I418-H418)*G418*J418</f>
        <v/>
      </c>
      <c r="M418" s="26">
        <f>L418/K418</f>
        <v/>
      </c>
      <c r="N418" s="14" t="inlineStr">
        <is>
          <t>大将军转向</t>
        </is>
      </c>
      <c r="O418" s="14" t="inlineStr">
        <is>
          <t>是</t>
        </is>
      </c>
    </row>
    <row r="419">
      <c r="A419" s="14" t="inlineStr">
        <is>
          <t>2025-11-04</t>
        </is>
      </c>
      <c r="B419" s="14" t="inlineStr">
        <is>
          <t>2025-11-17</t>
        </is>
      </c>
      <c r="C419" s="14" t="inlineStr">
        <is>
          <t>豆油</t>
        </is>
      </c>
      <c r="D419" s="14" t="inlineStr">
        <is>
          <t>Y</t>
        </is>
      </c>
      <c r="E419" s="14" t="inlineStr">
        <is>
          <t>空</t>
        </is>
      </c>
      <c r="F419" s="14" t="inlineStr">
        <is>
          <t>★★</t>
        </is>
      </c>
      <c r="G419" s="14" t="n">
        <v>3</v>
      </c>
      <c r="H419" s="15" t="n">
        <v>8094</v>
      </c>
      <c r="I419" s="15" t="n">
        <v>8282</v>
      </c>
      <c r="J419" s="14" t="n">
        <v>10</v>
      </c>
      <c r="K419" s="14" t="n">
        <v>10000</v>
      </c>
      <c r="L419" s="25">
        <f>IF(E419="多",1,-1)*(I419-H419)*G419*J419</f>
        <v/>
      </c>
      <c r="M419" s="26">
        <f>L419/K419</f>
        <v/>
      </c>
      <c r="N419" s="14" t="inlineStr">
        <is>
          <t>反向信号</t>
        </is>
      </c>
      <c r="O419" s="14" t="inlineStr">
        <is>
          <t>是</t>
        </is>
      </c>
    </row>
    <row r="420">
      <c r="A420" s="2" t="inlineStr">
        <is>
          <t>2025-11-04</t>
        </is>
      </c>
      <c r="B420" s="2" t="inlineStr">
        <is>
          <t>2025-11-17</t>
        </is>
      </c>
      <c r="C420" s="2" t="inlineStr">
        <is>
          <t>苯乙烯</t>
        </is>
      </c>
      <c r="D420" s="2" t="inlineStr">
        <is>
          <t>EB</t>
        </is>
      </c>
      <c r="E420" s="9" t="inlineStr">
        <is>
          <t>空</t>
        </is>
      </c>
      <c r="F420" s="2" t="inlineStr">
        <is>
          <t>★★★</t>
        </is>
      </c>
      <c r="G420" s="10" t="n">
        <v>16</v>
      </c>
      <c r="H420" s="11" t="n">
        <v>6316</v>
      </c>
      <c r="I420" s="11" t="n">
        <v>6528.29</v>
      </c>
      <c r="J420" s="10" t="n">
        <v>5</v>
      </c>
      <c r="K420" s="10" t="n">
        <v>30000</v>
      </c>
      <c r="L420" s="23">
        <f>IF(E420="多",1,-1)*(I420-H420)*G420*J420</f>
        <v/>
      </c>
      <c r="M420" s="24">
        <f>L420/K420</f>
        <v/>
      </c>
      <c r="N420" s="2" t="inlineStr">
        <is>
          <t>止损</t>
        </is>
      </c>
      <c r="O420" s="2" t="inlineStr">
        <is>
          <t>否</t>
        </is>
      </c>
    </row>
    <row r="421">
      <c r="A421" s="2" t="inlineStr">
        <is>
          <t>2025-10-31</t>
        </is>
      </c>
      <c r="B421" s="2" t="inlineStr">
        <is>
          <t>2025-11-17</t>
        </is>
      </c>
      <c r="C421" s="2" t="inlineStr">
        <is>
          <t>豆粕</t>
        </is>
      </c>
      <c r="D421" s="2" t="inlineStr">
        <is>
          <t>M</t>
        </is>
      </c>
      <c r="E421" s="19" t="inlineStr">
        <is>
          <t>多</t>
        </is>
      </c>
      <c r="F421" s="2" t="inlineStr">
        <is>
          <t>★★★</t>
        </is>
      </c>
      <c r="G421" s="10" t="n">
        <v>25</v>
      </c>
      <c r="H421" s="11" t="n">
        <v>3018</v>
      </c>
      <c r="I421" s="11" t="n">
        <v>3043</v>
      </c>
      <c r="J421" s="10" t="n">
        <v>10</v>
      </c>
      <c r="K421" s="10" t="n">
        <v>30000</v>
      </c>
      <c r="L421" s="23">
        <f>IF(E421="多",1,-1)*(I421-H421)*G421*J421</f>
        <v/>
      </c>
      <c r="M421" s="24">
        <f>L421/K421</f>
        <v/>
      </c>
      <c r="N421" s="2" t="inlineStr">
        <is>
          <t>大将军转向</t>
        </is>
      </c>
      <c r="O421" s="2" t="inlineStr">
        <is>
          <t>否</t>
        </is>
      </c>
    </row>
    <row r="422">
      <c r="A422" s="14" t="inlineStr">
        <is>
          <t>2025-11-06</t>
        </is>
      </c>
      <c r="B422" s="14" t="inlineStr">
        <is>
          <t>2025-11-14</t>
        </is>
      </c>
      <c r="C422" s="14" t="inlineStr">
        <is>
          <t>白糖</t>
        </is>
      </c>
      <c r="D422" s="14" t="inlineStr">
        <is>
          <t>SR</t>
        </is>
      </c>
      <c r="E422" s="14" t="inlineStr">
        <is>
          <t>空</t>
        </is>
      </c>
      <c r="F422" s="14" t="inlineStr">
        <is>
          <t>★★</t>
        </is>
      </c>
      <c r="G422" s="14" t="n">
        <v>8</v>
      </c>
      <c r="H422" s="15" t="n">
        <v>5456</v>
      </c>
      <c r="I422" s="15" t="n">
        <v>5470</v>
      </c>
      <c r="J422" s="14" t="n">
        <v>10</v>
      </c>
      <c r="K422" s="14" t="n">
        <v>10000</v>
      </c>
      <c r="L422" s="25">
        <f>IF(E422="多",1,-1)*(I422-H422)*G422*J422</f>
        <v/>
      </c>
      <c r="M422" s="26">
        <f>L422/K422</f>
        <v/>
      </c>
      <c r="N422" s="14" t="inlineStr">
        <is>
          <t>将军撤退</t>
        </is>
      </c>
      <c r="O422" s="14" t="inlineStr">
        <is>
          <t>是</t>
        </is>
      </c>
    </row>
    <row r="423">
      <c r="A423" s="2" t="inlineStr">
        <is>
          <t>2025-11-11</t>
        </is>
      </c>
      <c r="B423" s="2" t="inlineStr">
        <is>
          <t>2025-11-12</t>
        </is>
      </c>
      <c r="C423" s="2" t="inlineStr">
        <is>
          <t>碳酸锂</t>
        </is>
      </c>
      <c r="D423" s="2" t="inlineStr">
        <is>
          <t>LC</t>
        </is>
      </c>
      <c r="E423" s="19" t="inlineStr">
        <is>
          <t>多</t>
        </is>
      </c>
      <c r="F423" s="2" t="inlineStr">
        <is>
          <t>★★★</t>
        </is>
      </c>
      <c r="G423" s="10" t="n">
        <v>1</v>
      </c>
      <c r="H423" s="11" t="n">
        <v>86760</v>
      </c>
      <c r="I423" s="11" t="n">
        <v>86580</v>
      </c>
      <c r="J423" s="10" t="n">
        <v>1</v>
      </c>
      <c r="K423" s="10" t="n">
        <v>10000</v>
      </c>
      <c r="L423" s="23">
        <f>IF(E423="多",1,-1)*(I423-H423)*G423*J423</f>
        <v/>
      </c>
      <c r="M423" s="24">
        <f>L423/K423</f>
        <v/>
      </c>
      <c r="N423" s="2" t="inlineStr">
        <is>
          <t>将军撤退</t>
        </is>
      </c>
      <c r="O423" s="2" t="inlineStr">
        <is>
          <t>否</t>
        </is>
      </c>
    </row>
    <row r="424">
      <c r="A424" s="14" t="inlineStr">
        <is>
          <t>2025-11-03</t>
        </is>
      </c>
      <c r="B424" s="14" t="inlineStr">
        <is>
          <t>2025-11-12</t>
        </is>
      </c>
      <c r="C424" s="14" t="inlineStr">
        <is>
          <t>鸡蛋</t>
        </is>
      </c>
      <c r="D424" s="14" t="inlineStr">
        <is>
          <t>JD</t>
        </is>
      </c>
      <c r="E424" s="14" t="inlineStr">
        <is>
          <t>多</t>
        </is>
      </c>
      <c r="F424" s="14" t="inlineStr">
        <is>
          <t>★★</t>
        </is>
      </c>
      <c r="G424" s="14" t="n">
        <v>5</v>
      </c>
      <c r="H424" s="15" t="n">
        <v>3316</v>
      </c>
      <c r="I424" s="15" t="n">
        <v>3322</v>
      </c>
      <c r="J424" s="14" t="n">
        <v>10</v>
      </c>
      <c r="K424" s="14" t="n">
        <v>10000</v>
      </c>
      <c r="L424" s="25">
        <f>IF(E424="多",1,-1)*(I424-H424)*G424*J424</f>
        <v/>
      </c>
      <c r="M424" s="26">
        <f>L424/K424</f>
        <v/>
      </c>
      <c r="N424" s="14" t="inlineStr">
        <is>
          <t>反向信号</t>
        </is>
      </c>
      <c r="O424" s="14" t="inlineStr">
        <is>
          <t>是</t>
        </is>
      </c>
    </row>
    <row r="425">
      <c r="A425" s="2" t="inlineStr">
        <is>
          <t>2025-11-07</t>
        </is>
      </c>
      <c r="B425" s="2" t="inlineStr">
        <is>
          <t>2025-11-10</t>
        </is>
      </c>
      <c r="C425" s="2" t="inlineStr">
        <is>
          <t>碳酸锂</t>
        </is>
      </c>
      <c r="D425" s="2" t="inlineStr">
        <is>
          <t>LC</t>
        </is>
      </c>
      <c r="E425" s="19" t="inlineStr">
        <is>
          <t>多</t>
        </is>
      </c>
      <c r="F425" s="2" t="inlineStr">
        <is>
          <t>★★★</t>
        </is>
      </c>
      <c r="G425" s="10" t="n">
        <v>1</v>
      </c>
      <c r="H425" s="11" t="n">
        <v>82600</v>
      </c>
      <c r="I425" s="11" t="n">
        <v>87240</v>
      </c>
      <c r="J425" s="10" t="n">
        <v>1</v>
      </c>
      <c r="K425" s="10" t="n">
        <v>10000</v>
      </c>
      <c r="L425" s="23">
        <f>IF(E425="多",1,-1)*(I425-H425)*G425*J425</f>
        <v/>
      </c>
      <c r="M425" s="24">
        <f>L425/K425</f>
        <v/>
      </c>
      <c r="N425" s="2" t="inlineStr">
        <is>
          <t>大将军转向</t>
        </is>
      </c>
      <c r="O425" s="2" t="inlineStr">
        <is>
          <t>否</t>
        </is>
      </c>
    </row>
    <row r="426">
      <c r="A426" s="14" t="inlineStr">
        <is>
          <t>2025-10-30</t>
        </is>
      </c>
      <c r="B426" s="14" t="inlineStr">
        <is>
          <t>2025-11-10</t>
        </is>
      </c>
      <c r="C426" s="14" t="inlineStr">
        <is>
          <t>玉米</t>
        </is>
      </c>
      <c r="D426" s="14" t="inlineStr">
        <is>
          <t>C</t>
        </is>
      </c>
      <c r="E426" s="14" t="inlineStr">
        <is>
          <t>空</t>
        </is>
      </c>
      <c r="F426" s="14" t="inlineStr">
        <is>
          <t>★★</t>
        </is>
      </c>
      <c r="G426" s="14" t="n">
        <v>15</v>
      </c>
      <c r="H426" s="15" t="n">
        <v>2109</v>
      </c>
      <c r="I426" s="15" t="n">
        <v>2161.79</v>
      </c>
      <c r="J426" s="14" t="n">
        <v>10</v>
      </c>
      <c r="K426" s="14" t="n">
        <v>10000</v>
      </c>
      <c r="L426" s="25">
        <f>IF(E426="多",1,-1)*(I426-H426)*G426*J426</f>
        <v/>
      </c>
      <c r="M426" s="26">
        <f>L426/K426</f>
        <v/>
      </c>
      <c r="N426" s="14" t="inlineStr">
        <is>
          <t>止损</t>
        </is>
      </c>
      <c r="O426" s="14" t="inlineStr">
        <is>
          <t>是</t>
        </is>
      </c>
    </row>
    <row r="427">
      <c r="A427" s="14" t="inlineStr">
        <is>
          <t>2025-11-05</t>
        </is>
      </c>
      <c r="B427" s="14" t="inlineStr">
        <is>
          <t>2025-11-06</t>
        </is>
      </c>
      <c r="C427" s="14" t="inlineStr">
        <is>
          <t>棕榈油</t>
        </is>
      </c>
      <c r="D427" s="14" t="inlineStr">
        <is>
          <t>P</t>
        </is>
      </c>
      <c r="E427" s="14" t="inlineStr">
        <is>
          <t>空</t>
        </is>
      </c>
      <c r="F427" s="14" t="inlineStr">
        <is>
          <t>★★</t>
        </is>
      </c>
      <c r="G427" s="14" t="n">
        <v>2</v>
      </c>
      <c r="H427" s="15" t="n">
        <v>8582</v>
      </c>
      <c r="I427" s="15" t="n">
        <v>8732</v>
      </c>
      <c r="J427" s="14" t="n">
        <v>10</v>
      </c>
      <c r="K427" s="14" t="n">
        <v>10000</v>
      </c>
      <c r="L427" s="25">
        <f>IF(E427="多",1,-1)*(I427-H427)*G427*J427</f>
        <v/>
      </c>
      <c r="M427" s="26">
        <f>L427/K427</f>
        <v/>
      </c>
      <c r="N427" s="14" t="inlineStr">
        <is>
          <t>将军撤退</t>
        </is>
      </c>
      <c r="O427" s="14" t="inlineStr">
        <is>
          <t>是</t>
        </is>
      </c>
    </row>
    <row r="428">
      <c r="A428" s="14" t="inlineStr">
        <is>
          <t>2025-11-04</t>
        </is>
      </c>
      <c r="B428" s="14" t="inlineStr">
        <is>
          <t>2025-11-06</t>
        </is>
      </c>
      <c r="C428" s="14" t="inlineStr">
        <is>
          <t>铁矿石</t>
        </is>
      </c>
      <c r="D428" s="14" t="inlineStr">
        <is>
          <t>I</t>
        </is>
      </c>
      <c r="E428" s="14" t="inlineStr">
        <is>
          <t>空</t>
        </is>
      </c>
      <c r="F428" s="14" t="inlineStr">
        <is>
          <t>★★</t>
        </is>
      </c>
      <c r="G428" s="14" t="n">
        <v>2</v>
      </c>
      <c r="H428" s="15" t="n">
        <v>775</v>
      </c>
      <c r="I428" s="15" t="n">
        <v>777.5</v>
      </c>
      <c r="J428" s="14" t="n">
        <v>100</v>
      </c>
      <c r="K428" s="14" t="n">
        <v>10000</v>
      </c>
      <c r="L428" s="25">
        <f>IF(E428="多",1,-1)*(I428-H428)*G428*J428</f>
        <v/>
      </c>
      <c r="M428" s="26">
        <f>L428/K428</f>
        <v/>
      </c>
      <c r="N428" s="14" t="inlineStr">
        <is>
          <t>将军撤退</t>
        </is>
      </c>
      <c r="O428" s="14" t="inlineStr">
        <is>
          <t>是</t>
        </is>
      </c>
    </row>
    <row r="429">
      <c r="A429" s="2" t="inlineStr">
        <is>
          <t>2025-11-04</t>
        </is>
      </c>
      <c r="B429" s="2" t="inlineStr">
        <is>
          <t>2025-11-05</t>
        </is>
      </c>
      <c r="C429" s="2" t="inlineStr">
        <is>
          <t>热卷</t>
        </is>
      </c>
      <c r="D429" s="2" t="inlineStr">
        <is>
          <t>HC</t>
        </is>
      </c>
      <c r="E429" s="9" t="inlineStr">
        <is>
          <t>空</t>
        </is>
      </c>
      <c r="F429" s="2" t="inlineStr">
        <is>
          <t>★★★</t>
        </is>
      </c>
      <c r="G429" s="10" t="n">
        <v>9</v>
      </c>
      <c r="H429" s="11" t="n">
        <v>3265</v>
      </c>
      <c r="I429" s="11" t="n">
        <v>3253</v>
      </c>
      <c r="J429" s="10" t="n">
        <v>10</v>
      </c>
      <c r="K429" s="10" t="n">
        <v>10000</v>
      </c>
      <c r="L429" s="23">
        <f>IF(E429="多",1,-1)*(I429-H429)*G429*J429</f>
        <v/>
      </c>
      <c r="M429" s="24">
        <f>L429/K429</f>
        <v/>
      </c>
      <c r="N429" s="2" t="inlineStr">
        <is>
          <t>将军撤退</t>
        </is>
      </c>
      <c r="O429" s="2" t="inlineStr">
        <is>
          <t>否</t>
        </is>
      </c>
    </row>
    <row r="430">
      <c r="A430" s="14" t="inlineStr">
        <is>
          <t>2025-11-03</t>
        </is>
      </c>
      <c r="B430" s="14" t="inlineStr">
        <is>
          <t>2025-11-05</t>
        </is>
      </c>
      <c r="C430" s="14" t="inlineStr">
        <is>
          <t>沪锌</t>
        </is>
      </c>
      <c r="D430" s="14" t="inlineStr">
        <is>
          <t>ZN</t>
        </is>
      </c>
      <c r="E430" s="14" t="inlineStr">
        <is>
          <t>多</t>
        </is>
      </c>
      <c r="F430" s="14" t="inlineStr">
        <is>
          <t>★★★</t>
        </is>
      </c>
      <c r="G430" s="14" t="n">
        <v>3</v>
      </c>
      <c r="H430" s="15" t="n">
        <v>22610</v>
      </c>
      <c r="I430" s="15" t="n">
        <v>22650</v>
      </c>
      <c r="J430" s="14" t="n">
        <v>5</v>
      </c>
      <c r="K430" s="14" t="n">
        <v>10000</v>
      </c>
      <c r="L430" s="25">
        <f>IF(E430="多",1,-1)*(I430-H430)*G430*J430</f>
        <v/>
      </c>
      <c r="M430" s="26">
        <f>L430/K430</f>
        <v/>
      </c>
      <c r="N430" s="14" t="inlineStr">
        <is>
          <t>将军撤退</t>
        </is>
      </c>
      <c r="O430" s="14" t="inlineStr">
        <is>
          <t>是</t>
        </is>
      </c>
    </row>
    <row r="431">
      <c r="A431" s="2" t="inlineStr">
        <is>
          <t>2025-10-31</t>
        </is>
      </c>
      <c r="B431" s="2" t="inlineStr">
        <is>
          <t>2025-11-04</t>
        </is>
      </c>
      <c r="C431" s="2" t="inlineStr">
        <is>
          <t>塑料</t>
        </is>
      </c>
      <c r="D431" s="2" t="inlineStr">
        <is>
          <t>L</t>
        </is>
      </c>
      <c r="E431" s="9" t="inlineStr">
        <is>
          <t>空</t>
        </is>
      </c>
      <c r="F431" s="2" t="inlineStr">
        <is>
          <t>★★★</t>
        </is>
      </c>
      <c r="G431" s="10" t="n">
        <v>27</v>
      </c>
      <c r="H431" s="11" t="n">
        <v>6915</v>
      </c>
      <c r="I431" s="11" t="n">
        <v>6879</v>
      </c>
      <c r="J431" s="10" t="n">
        <v>5</v>
      </c>
      <c r="K431" s="10" t="n">
        <v>30000</v>
      </c>
      <c r="L431" s="23">
        <f>IF(E431="多",1,-1)*(I431-H431)*G431*J431</f>
        <v/>
      </c>
      <c r="M431" s="24">
        <f>L431/K431</f>
        <v/>
      </c>
      <c r="N431" s="2" t="inlineStr">
        <is>
          <t>大将军转向</t>
        </is>
      </c>
      <c r="O431" s="2" t="inlineStr">
        <is>
          <t>否</t>
        </is>
      </c>
    </row>
    <row r="432">
      <c r="A432" s="2" t="inlineStr">
        <is>
          <t>2025-10-30</t>
        </is>
      </c>
      <c r="B432" s="2" t="inlineStr">
        <is>
          <t>2025-11-04</t>
        </is>
      </c>
      <c r="C432" s="2" t="inlineStr">
        <is>
          <t>碳酸锂</t>
        </is>
      </c>
      <c r="D432" s="2" t="inlineStr">
        <is>
          <t>LC</t>
        </is>
      </c>
      <c r="E432" s="19" t="inlineStr">
        <is>
          <t>多</t>
        </is>
      </c>
      <c r="F432" s="2" t="inlineStr">
        <is>
          <t>★★★</t>
        </is>
      </c>
      <c r="G432" s="10" t="n">
        <v>1</v>
      </c>
      <c r="H432" s="11" t="n">
        <v>83780</v>
      </c>
      <c r="I432" s="11" t="n">
        <v>78052.86</v>
      </c>
      <c r="J432" s="10" t="n">
        <v>1</v>
      </c>
      <c r="K432" s="10" t="n">
        <v>10000</v>
      </c>
      <c r="L432" s="23">
        <f>IF(E432="多",1,-1)*(I432-H432)*G432*J432</f>
        <v/>
      </c>
      <c r="M432" s="24">
        <f>L432/K432</f>
        <v/>
      </c>
      <c r="N432" s="2" t="inlineStr">
        <is>
          <t>止损</t>
        </is>
      </c>
      <c r="O432" s="2" t="inlineStr">
        <is>
          <t>否</t>
        </is>
      </c>
    </row>
    <row r="433">
      <c r="A433" s="14" t="inlineStr">
        <is>
          <t>2025-10-29</t>
        </is>
      </c>
      <c r="B433" s="14" t="inlineStr">
        <is>
          <t>2025-11-03</t>
        </is>
      </c>
      <c r="C433" s="14" t="inlineStr">
        <is>
          <t>沪铝</t>
        </is>
      </c>
      <c r="D433" s="14" t="inlineStr">
        <is>
          <t>AL</t>
        </is>
      </c>
      <c r="E433" s="14" t="inlineStr">
        <is>
          <t>多</t>
        </is>
      </c>
      <c r="F433" s="14" t="inlineStr">
        <is>
          <t>★★</t>
        </is>
      </c>
      <c r="G433" s="14" t="n">
        <v>3</v>
      </c>
      <c r="H433" s="15" t="n">
        <v>21290</v>
      </c>
      <c r="I433" s="15" t="n">
        <v>21600</v>
      </c>
      <c r="J433" s="14" t="n">
        <v>5</v>
      </c>
      <c r="K433" s="14" t="n">
        <v>10000</v>
      </c>
      <c r="L433" s="25">
        <f>IF(E433="多",1,-1)*(I433-H433)*G433*J433</f>
        <v/>
      </c>
      <c r="M433" s="26">
        <f>L433/K433</f>
        <v/>
      </c>
      <c r="N433" s="14" t="inlineStr">
        <is>
          <t>大将军转向</t>
        </is>
      </c>
      <c r="O433" s="14" t="inlineStr">
        <is>
          <t>是</t>
        </is>
      </c>
    </row>
    <row r="434">
      <c r="A434" s="2" t="inlineStr">
        <is>
          <t>2025-10-29</t>
        </is>
      </c>
      <c r="B434" s="2" t="inlineStr">
        <is>
          <t>2025-10-31</t>
        </is>
      </c>
      <c r="C434" s="2" t="inlineStr">
        <is>
          <t>沪银</t>
        </is>
      </c>
      <c r="D434" s="2" t="inlineStr">
        <is>
          <t>AG</t>
        </is>
      </c>
      <c r="E434" s="19" t="inlineStr">
        <is>
          <t>多</t>
        </is>
      </c>
      <c r="F434" s="2" t="inlineStr">
        <is>
          <t>★★★</t>
        </is>
      </c>
      <c r="G434" s="10" t="n">
        <v>1</v>
      </c>
      <c r="H434" s="11" t="n">
        <v>11427</v>
      </c>
      <c r="I434" s="11" t="n">
        <v>11441</v>
      </c>
      <c r="J434" s="10" t="n">
        <v>15</v>
      </c>
      <c r="K434" s="10" t="n">
        <v>30000</v>
      </c>
      <c r="L434" s="23">
        <f>IF(E434="多",1,-1)*(I434-H434)*G434*J434</f>
        <v/>
      </c>
      <c r="M434" s="24">
        <f>L434/K434</f>
        <v/>
      </c>
      <c r="N434" s="2" t="inlineStr">
        <is>
          <t>大将军转向</t>
        </is>
      </c>
      <c r="O434" s="2" t="inlineStr">
        <is>
          <t>否</t>
        </is>
      </c>
    </row>
    <row r="435">
      <c r="A435" s="2" t="inlineStr">
        <is>
          <t>2025-10-24</t>
        </is>
      </c>
      <c r="B435" s="2" t="inlineStr">
        <is>
          <t>2025-10-31</t>
        </is>
      </c>
      <c r="C435" s="2" t="inlineStr">
        <is>
          <t>玻璃</t>
        </is>
      </c>
      <c r="D435" s="2" t="inlineStr">
        <is>
          <t>FG</t>
        </is>
      </c>
      <c r="E435" s="9" t="inlineStr">
        <is>
          <t>空</t>
        </is>
      </c>
      <c r="F435" s="2" t="inlineStr">
        <is>
          <t>★★★</t>
        </is>
      </c>
      <c r="G435" s="10" t="n">
        <v>14</v>
      </c>
      <c r="H435" s="11" t="n">
        <v>1090</v>
      </c>
      <c r="I435" s="11" t="n">
        <v>1083</v>
      </c>
      <c r="J435" s="10" t="n">
        <v>20</v>
      </c>
      <c r="K435" s="10" t="n">
        <v>30000</v>
      </c>
      <c r="L435" s="23">
        <f>IF(E435="多",1,-1)*(I435-H435)*G435*J435</f>
        <v/>
      </c>
      <c r="M435" s="24">
        <f>L435/K435</f>
        <v/>
      </c>
      <c r="N435" s="2" t="inlineStr">
        <is>
          <t>将军撤退</t>
        </is>
      </c>
      <c r="O435" s="2" t="inlineStr">
        <is>
          <t>否</t>
        </is>
      </c>
    </row>
    <row r="436">
      <c r="A436" s="14" t="inlineStr">
        <is>
          <t>2025-10-20</t>
        </is>
      </c>
      <c r="B436" s="14" t="inlineStr">
        <is>
          <t>2025-10-31</t>
        </is>
      </c>
      <c r="C436" s="14" t="inlineStr">
        <is>
          <t>纯碱</t>
        </is>
      </c>
      <c r="D436" s="14" t="inlineStr">
        <is>
          <t>SA</t>
        </is>
      </c>
      <c r="E436" s="14" t="inlineStr">
        <is>
          <t>空</t>
        </is>
      </c>
      <c r="F436" s="14" t="inlineStr">
        <is>
          <t>★★★</t>
        </is>
      </c>
      <c r="G436" s="14" t="n">
        <v>5</v>
      </c>
      <c r="H436" s="15" t="n">
        <v>1217</v>
      </c>
      <c r="I436" s="15" t="n">
        <v>1225</v>
      </c>
      <c r="J436" s="14" t="n">
        <v>20</v>
      </c>
      <c r="K436" s="14" t="n">
        <v>10000</v>
      </c>
      <c r="L436" s="25">
        <f>IF(E436="多",1,-1)*(I436-H436)*G436*J436</f>
        <v/>
      </c>
      <c r="M436" s="26">
        <f>L436/K436</f>
        <v/>
      </c>
      <c r="N436" s="14" t="inlineStr">
        <is>
          <t>大将军转向</t>
        </is>
      </c>
      <c r="O436" s="14" t="inlineStr">
        <is>
          <t>是</t>
        </is>
      </c>
    </row>
    <row r="437">
      <c r="A437" s="14" t="inlineStr">
        <is>
          <t>2025-10-29</t>
        </is>
      </c>
      <c r="B437" s="14" t="inlineStr">
        <is>
          <t>2025-10-30</t>
        </is>
      </c>
      <c r="C437" s="14" t="inlineStr">
        <is>
          <t>鸡蛋</t>
        </is>
      </c>
      <c r="D437" s="14" t="inlineStr">
        <is>
          <t>JD</t>
        </is>
      </c>
      <c r="E437" s="14" t="inlineStr">
        <is>
          <t>多</t>
        </is>
      </c>
      <c r="F437" s="14" t="inlineStr">
        <is>
          <t>★★</t>
        </is>
      </c>
      <c r="G437" s="14" t="n">
        <v>5</v>
      </c>
      <c r="H437" s="15" t="n">
        <v>3153</v>
      </c>
      <c r="I437" s="15" t="n">
        <v>3157</v>
      </c>
      <c r="J437" s="14" t="n">
        <v>10</v>
      </c>
      <c r="K437" s="14" t="n">
        <v>10000</v>
      </c>
      <c r="L437" s="25">
        <f>IF(E437="多",1,-1)*(I437-H437)*G437*J437</f>
        <v/>
      </c>
      <c r="M437" s="26">
        <f>L437/K437</f>
        <v/>
      </c>
      <c r="N437" s="14" t="inlineStr">
        <is>
          <t>将军撤退</t>
        </is>
      </c>
      <c r="O437" s="14" t="inlineStr">
        <is>
          <t>是</t>
        </is>
      </c>
    </row>
    <row r="438">
      <c r="A438" s="14" t="inlineStr">
        <is>
          <t>2025-10-23</t>
        </is>
      </c>
      <c r="B438" s="14" t="inlineStr">
        <is>
          <t>2025-10-30</t>
        </is>
      </c>
      <c r="C438" s="14" t="inlineStr">
        <is>
          <t>白糖</t>
        </is>
      </c>
      <c r="D438" s="14" t="inlineStr">
        <is>
          <t>SR</t>
        </is>
      </c>
      <c r="E438" s="14" t="inlineStr">
        <is>
          <t>多</t>
        </is>
      </c>
      <c r="F438" s="14" t="inlineStr">
        <is>
          <t>★★</t>
        </is>
      </c>
      <c r="G438" s="14" t="n">
        <v>7</v>
      </c>
      <c r="H438" s="15" t="n">
        <v>5453</v>
      </c>
      <c r="I438" s="15" t="n">
        <v>5472</v>
      </c>
      <c r="J438" s="14" t="n">
        <v>10</v>
      </c>
      <c r="K438" s="14" t="n">
        <v>10000</v>
      </c>
      <c r="L438" s="25">
        <f>IF(E438="多",1,-1)*(I438-H438)*G438*J438</f>
        <v/>
      </c>
      <c r="M438" s="26">
        <f>L438/K438</f>
        <v/>
      </c>
      <c r="N438" s="14" t="inlineStr">
        <is>
          <t>将军撤退</t>
        </is>
      </c>
      <c r="O438" s="14" t="inlineStr">
        <is>
          <t>是</t>
        </is>
      </c>
    </row>
    <row r="439">
      <c r="A439" s="2" t="inlineStr">
        <is>
          <t>2025-10-21</t>
        </is>
      </c>
      <c r="B439" s="2" t="inlineStr">
        <is>
          <t>2025-10-30</t>
        </is>
      </c>
      <c r="C439" s="2" t="inlineStr">
        <is>
          <t>铁矿石</t>
        </is>
      </c>
      <c r="D439" s="2" t="inlineStr">
        <is>
          <t>I</t>
        </is>
      </c>
      <c r="E439" s="9" t="inlineStr">
        <is>
          <t>空</t>
        </is>
      </c>
      <c r="F439" s="2" t="inlineStr">
        <is>
          <t>★★★</t>
        </is>
      </c>
      <c r="G439" s="10" t="n">
        <v>2</v>
      </c>
      <c r="H439" s="11" t="n">
        <v>772.5</v>
      </c>
      <c r="I439" s="11" t="n">
        <v>807.21</v>
      </c>
      <c r="J439" s="10" t="n">
        <v>100</v>
      </c>
      <c r="K439" s="10" t="n">
        <v>10000</v>
      </c>
      <c r="L439" s="23">
        <f>IF(E439="多",1,-1)*(I439-H439)*G439*J439</f>
        <v/>
      </c>
      <c r="M439" s="24">
        <f>L439/K439</f>
        <v/>
      </c>
      <c r="N439" s="2" t="inlineStr">
        <is>
          <t>止损</t>
        </is>
      </c>
      <c r="O439" s="2" t="inlineStr">
        <is>
          <t>否</t>
        </is>
      </c>
    </row>
    <row r="440">
      <c r="A440" s="14" t="inlineStr">
        <is>
          <t>2025-10-13</t>
        </is>
      </c>
      <c r="B440" s="14" t="inlineStr">
        <is>
          <t>2025-10-30</t>
        </is>
      </c>
      <c r="C440" s="14" t="inlineStr">
        <is>
          <t>工业硅</t>
        </is>
      </c>
      <c r="D440" s="14" t="inlineStr">
        <is>
          <t>SI</t>
        </is>
      </c>
      <c r="E440" s="14" t="inlineStr">
        <is>
          <t>多</t>
        </is>
      </c>
      <c r="F440" s="14" t="inlineStr">
        <is>
          <t>★★</t>
        </is>
      </c>
      <c r="G440" s="14" t="n">
        <v>2</v>
      </c>
      <c r="H440" s="15" t="n">
        <v>9085</v>
      </c>
      <c r="I440" s="15" t="n">
        <v>9155</v>
      </c>
      <c r="J440" s="14" t="n">
        <v>5</v>
      </c>
      <c r="K440" s="14" t="n">
        <v>10000</v>
      </c>
      <c r="L440" s="25">
        <f>IF(E440="多",1,-1)*(I440-H440)*G440*J440</f>
        <v/>
      </c>
      <c r="M440" s="26">
        <f>L440/K440</f>
        <v/>
      </c>
      <c r="N440" s="14" t="inlineStr">
        <is>
          <t>大将军转向</t>
        </is>
      </c>
      <c r="O440" s="14" t="inlineStr">
        <is>
          <t>是</t>
        </is>
      </c>
    </row>
    <row r="441">
      <c r="A441" s="14" t="inlineStr">
        <is>
          <t>2025-10-27</t>
        </is>
      </c>
      <c r="B441" s="14" t="inlineStr">
        <is>
          <t>2025-10-29</t>
        </is>
      </c>
      <c r="C441" s="14" t="inlineStr">
        <is>
          <t>菜油</t>
        </is>
      </c>
      <c r="D441" s="14" t="inlineStr">
        <is>
          <t>OI</t>
        </is>
      </c>
      <c r="E441" s="14" t="inlineStr">
        <is>
          <t>空</t>
        </is>
      </c>
      <c r="F441" s="14" t="inlineStr">
        <is>
          <t>★★</t>
        </is>
      </c>
      <c r="G441" s="14" t="n">
        <v>3</v>
      </c>
      <c r="H441" s="15" t="n">
        <v>9746</v>
      </c>
      <c r="I441" s="15" t="n">
        <v>9525</v>
      </c>
      <c r="J441" s="14" t="n">
        <v>10</v>
      </c>
      <c r="K441" s="14" t="n">
        <v>10000</v>
      </c>
      <c r="L441" s="25">
        <f>IF(E441="多",1,-1)*(I441-H441)*G441*J441</f>
        <v/>
      </c>
      <c r="M441" s="26">
        <f>L441/K441</f>
        <v/>
      </c>
      <c r="N441" s="14" t="inlineStr">
        <is>
          <t>将军撤退</t>
        </is>
      </c>
      <c r="O441" s="14" t="inlineStr">
        <is>
          <t>是</t>
        </is>
      </c>
    </row>
    <row r="442">
      <c r="A442" s="14" t="inlineStr">
        <is>
          <t>2025-10-27</t>
        </is>
      </c>
      <c r="B442" s="14" t="inlineStr">
        <is>
          <t>2025-10-29</t>
        </is>
      </c>
      <c r="C442" s="14" t="inlineStr">
        <is>
          <t>苯乙烯</t>
        </is>
      </c>
      <c r="D442" s="14" t="inlineStr">
        <is>
          <t>EB</t>
        </is>
      </c>
      <c r="E442" s="14" t="inlineStr">
        <is>
          <t>空</t>
        </is>
      </c>
      <c r="F442" s="14" t="inlineStr">
        <is>
          <t>★★</t>
        </is>
      </c>
      <c r="G442" s="14" t="n">
        <v>5</v>
      </c>
      <c r="H442" s="15" t="n">
        <v>6530</v>
      </c>
      <c r="I442" s="15" t="n">
        <v>6513</v>
      </c>
      <c r="J442" s="14" t="n">
        <v>5</v>
      </c>
      <c r="K442" s="14" t="n">
        <v>10000</v>
      </c>
      <c r="L442" s="25">
        <f>IF(E442="多",1,-1)*(I442-H442)*G442*J442</f>
        <v/>
      </c>
      <c r="M442" s="26">
        <f>L442/K442</f>
        <v/>
      </c>
      <c r="N442" s="14" t="inlineStr">
        <is>
          <t>大将军转向</t>
        </is>
      </c>
      <c r="O442" s="14" t="inlineStr">
        <is>
          <t>是</t>
        </is>
      </c>
    </row>
    <row r="443">
      <c r="A443" s="14" t="inlineStr">
        <is>
          <t>2025-10-27</t>
        </is>
      </c>
      <c r="B443" s="14" t="inlineStr">
        <is>
          <t>2025-10-29</t>
        </is>
      </c>
      <c r="C443" s="14" t="inlineStr">
        <is>
          <t>玉米</t>
        </is>
      </c>
      <c r="D443" s="14" t="inlineStr">
        <is>
          <t>C</t>
        </is>
      </c>
      <c r="E443" s="14" t="inlineStr">
        <is>
          <t>空</t>
        </is>
      </c>
      <c r="F443" s="14" t="inlineStr">
        <is>
          <t>★★</t>
        </is>
      </c>
      <c r="G443" s="14" t="n">
        <v>14</v>
      </c>
      <c r="H443" s="15" t="n">
        <v>2112</v>
      </c>
      <c r="I443" s="15" t="n">
        <v>2116</v>
      </c>
      <c r="J443" s="14" t="n">
        <v>10</v>
      </c>
      <c r="K443" s="14" t="n">
        <v>10000</v>
      </c>
      <c r="L443" s="25">
        <f>IF(E443="多",1,-1)*(I443-H443)*G443*J443</f>
        <v/>
      </c>
      <c r="M443" s="26">
        <f>L443/K443</f>
        <v/>
      </c>
      <c r="N443" s="14" t="inlineStr">
        <is>
          <t>大将军转向</t>
        </is>
      </c>
      <c r="O443" s="14" t="inlineStr">
        <is>
          <t>是</t>
        </is>
      </c>
    </row>
    <row r="444">
      <c r="A444" s="14" t="inlineStr">
        <is>
          <t>2025-10-20</t>
        </is>
      </c>
      <c r="B444" s="14" t="inlineStr">
        <is>
          <t>2025-10-29</t>
        </is>
      </c>
      <c r="C444" s="14" t="inlineStr">
        <is>
          <t>豆油</t>
        </is>
      </c>
      <c r="D444" s="14" t="inlineStr">
        <is>
          <t>Y</t>
        </is>
      </c>
      <c r="E444" s="14" t="inlineStr">
        <is>
          <t>多</t>
        </is>
      </c>
      <c r="F444" s="14" t="inlineStr">
        <is>
          <t>★★</t>
        </is>
      </c>
      <c r="G444" s="14" t="n">
        <v>3</v>
      </c>
      <c r="H444" s="15" t="n">
        <v>8298</v>
      </c>
      <c r="I444" s="15" t="n">
        <v>8084.86</v>
      </c>
      <c r="J444" s="14" t="n">
        <v>10</v>
      </c>
      <c r="K444" s="14" t="n">
        <v>10000</v>
      </c>
      <c r="L444" s="25">
        <f>IF(E444="多",1,-1)*(I444-H444)*G444*J444</f>
        <v/>
      </c>
      <c r="M444" s="26">
        <f>L444/K444</f>
        <v/>
      </c>
      <c r="N444" s="14" t="inlineStr">
        <is>
          <t>止损</t>
        </is>
      </c>
      <c r="O444" s="14" t="inlineStr">
        <is>
          <t>是</t>
        </is>
      </c>
    </row>
    <row r="445">
      <c r="A445" s="14" t="inlineStr">
        <is>
          <t>2025-09-25</t>
        </is>
      </c>
      <c r="B445" s="14" t="inlineStr">
        <is>
          <t>2025-10-29</t>
        </is>
      </c>
      <c r="C445" s="14" t="inlineStr">
        <is>
          <t>锰硅</t>
        </is>
      </c>
      <c r="D445" s="14" t="inlineStr">
        <is>
          <t>SM</t>
        </is>
      </c>
      <c r="E445" s="14" t="inlineStr">
        <is>
          <t>多</t>
        </is>
      </c>
      <c r="F445" s="14" t="inlineStr">
        <is>
          <t>★★</t>
        </is>
      </c>
      <c r="G445" s="14" t="n">
        <v>7</v>
      </c>
      <c r="H445" s="15" t="n">
        <v>5900</v>
      </c>
      <c r="I445" s="15" t="n">
        <v>5852</v>
      </c>
      <c r="J445" s="14" t="n">
        <v>5</v>
      </c>
      <c r="K445" s="14" t="n">
        <v>10000</v>
      </c>
      <c r="L445" s="25">
        <f>IF(E445="多",1,-1)*(I445-H445)*G445*J445</f>
        <v/>
      </c>
      <c r="M445" s="26">
        <f>L445/K445</f>
        <v/>
      </c>
      <c r="N445" s="14" t="inlineStr">
        <is>
          <t>将军撤退</t>
        </is>
      </c>
      <c r="O445" s="14" t="inlineStr">
        <is>
          <t>是</t>
        </is>
      </c>
    </row>
    <row r="446">
      <c r="A446" s="2" t="inlineStr">
        <is>
          <t>2025-10-20</t>
        </is>
      </c>
      <c r="B446" s="2" t="inlineStr">
        <is>
          <t>2025-10-28</t>
        </is>
      </c>
      <c r="C446" s="2" t="inlineStr">
        <is>
          <t>沪镍</t>
        </is>
      </c>
      <c r="D446" s="2" t="inlineStr">
        <is>
          <t>NI</t>
        </is>
      </c>
      <c r="E446" s="9" t="inlineStr">
        <is>
          <t>空</t>
        </is>
      </c>
      <c r="F446" s="2" t="inlineStr">
        <is>
          <t>★★★</t>
        </is>
      </c>
      <c r="G446" s="10" t="n">
        <v>6</v>
      </c>
      <c r="H446" s="11" t="n">
        <v>121000</v>
      </c>
      <c r="I446" s="11" t="n">
        <v>120560</v>
      </c>
      <c r="J446" s="10" t="n">
        <v>1</v>
      </c>
      <c r="K446" s="10" t="n">
        <v>30000</v>
      </c>
      <c r="L446" s="23">
        <f>IF(E446="多",1,-1)*(I446-H446)*G446*J446</f>
        <v/>
      </c>
      <c r="M446" s="24">
        <f>L446/K446</f>
        <v/>
      </c>
      <c r="N446" s="2" t="inlineStr">
        <is>
          <t>将军撤退</t>
        </is>
      </c>
      <c r="O446" s="2" t="inlineStr">
        <is>
          <t>否</t>
        </is>
      </c>
    </row>
    <row r="447">
      <c r="A447" s="14" t="inlineStr">
        <is>
          <t>2025-10-20</t>
        </is>
      </c>
      <c r="B447" s="14" t="inlineStr">
        <is>
          <t>2025-10-28</t>
        </is>
      </c>
      <c r="C447" s="14" t="inlineStr">
        <is>
          <t>塑料</t>
        </is>
      </c>
      <c r="D447" s="14" t="inlineStr">
        <is>
          <t>L</t>
        </is>
      </c>
      <c r="E447" s="14" t="inlineStr">
        <is>
          <t>空</t>
        </is>
      </c>
      <c r="F447" s="14" t="inlineStr">
        <is>
          <t>★★</t>
        </is>
      </c>
      <c r="G447" s="14" t="n">
        <v>10</v>
      </c>
      <c r="H447" s="15" t="n">
        <v>6870</v>
      </c>
      <c r="I447" s="15" t="n">
        <v>7032.93</v>
      </c>
      <c r="J447" s="14" t="n">
        <v>5</v>
      </c>
      <c r="K447" s="14" t="n">
        <v>10000</v>
      </c>
      <c r="L447" s="25">
        <f>IF(E447="多",1,-1)*(I447-H447)*G447*J447</f>
        <v/>
      </c>
      <c r="M447" s="26">
        <f>L447/K447</f>
        <v/>
      </c>
      <c r="N447" s="14" t="inlineStr">
        <is>
          <t>止损</t>
        </is>
      </c>
      <c r="O447" s="14" t="inlineStr">
        <is>
          <t>是</t>
        </is>
      </c>
    </row>
    <row r="448">
      <c r="A448" s="14" t="inlineStr">
        <is>
          <t>2025-10-15</t>
        </is>
      </c>
      <c r="B448" s="14" t="inlineStr">
        <is>
          <t>2025-10-27</t>
        </is>
      </c>
      <c r="C448" s="14" t="inlineStr">
        <is>
          <t>沪铝</t>
        </is>
      </c>
      <c r="D448" s="14" t="inlineStr">
        <is>
          <t>AL</t>
        </is>
      </c>
      <c r="E448" s="14" t="inlineStr">
        <is>
          <t>空</t>
        </is>
      </c>
      <c r="F448" s="14" t="inlineStr">
        <is>
          <t>★★</t>
        </is>
      </c>
      <c r="G448" s="14" t="n">
        <v>3</v>
      </c>
      <c r="H448" s="15" t="n">
        <v>20895</v>
      </c>
      <c r="I448" s="15" t="n">
        <v>21368.57</v>
      </c>
      <c r="J448" s="14" t="n">
        <v>5</v>
      </c>
      <c r="K448" s="14" t="n">
        <v>10000</v>
      </c>
      <c r="L448" s="25">
        <f>IF(E448="多",1,-1)*(I448-H448)*G448*J448</f>
        <v/>
      </c>
      <c r="M448" s="26">
        <f>L448/K448</f>
        <v/>
      </c>
      <c r="N448" s="14" t="inlineStr">
        <is>
          <t>止损</t>
        </is>
      </c>
      <c r="O448" s="14" t="inlineStr">
        <is>
          <t>是</t>
        </is>
      </c>
    </row>
    <row r="449">
      <c r="A449" s="2" t="inlineStr">
        <is>
          <t>2025-10-23</t>
        </is>
      </c>
      <c r="B449" s="2" t="inlineStr">
        <is>
          <t>2025-10-24</t>
        </is>
      </c>
      <c r="C449" s="2" t="inlineStr">
        <is>
          <t>菜油</t>
        </is>
      </c>
      <c r="D449" s="2" t="inlineStr">
        <is>
          <t>OI</t>
        </is>
      </c>
      <c r="E449" s="9" t="inlineStr">
        <is>
          <t>空</t>
        </is>
      </c>
      <c r="F449" s="2" t="inlineStr">
        <is>
          <t>★★★</t>
        </is>
      </c>
      <c r="G449" s="10" t="n">
        <v>9</v>
      </c>
      <c r="H449" s="11" t="n">
        <v>9780</v>
      </c>
      <c r="I449" s="11" t="n">
        <v>9761</v>
      </c>
      <c r="J449" s="10" t="n">
        <v>10</v>
      </c>
      <c r="K449" s="10" t="n">
        <v>30000</v>
      </c>
      <c r="L449" s="23">
        <f>IF(E449="多",1,-1)*(I449-H449)*G449*J449</f>
        <v/>
      </c>
      <c r="M449" s="24">
        <f>L449/K449</f>
        <v/>
      </c>
      <c r="N449" s="2" t="inlineStr">
        <is>
          <t>将军撤退+大将军转向</t>
        </is>
      </c>
      <c r="O449" s="2" t="inlineStr">
        <is>
          <t>否</t>
        </is>
      </c>
    </row>
    <row r="450">
      <c r="A450" s="2" t="inlineStr">
        <is>
          <t>2025-10-21</t>
        </is>
      </c>
      <c r="B450" s="2" t="inlineStr">
        <is>
          <t>2025-10-22</t>
        </is>
      </c>
      <c r="C450" s="2" t="inlineStr">
        <is>
          <t>玻璃</t>
        </is>
      </c>
      <c r="D450" s="2" t="inlineStr">
        <is>
          <t>FG</t>
        </is>
      </c>
      <c r="E450" s="9" t="inlineStr">
        <is>
          <t>空</t>
        </is>
      </c>
      <c r="F450" s="2" t="inlineStr">
        <is>
          <t>★★★</t>
        </is>
      </c>
      <c r="G450" s="10" t="n">
        <v>12</v>
      </c>
      <c r="H450" s="11" t="n">
        <v>1088</v>
      </c>
      <c r="I450" s="11" t="n">
        <v>1094</v>
      </c>
      <c r="J450" s="10" t="n">
        <v>20</v>
      </c>
      <c r="K450" s="10" t="n">
        <v>30000</v>
      </c>
      <c r="L450" s="23">
        <f>IF(E450="多",1,-1)*(I450-H450)*G450*J450</f>
        <v/>
      </c>
      <c r="M450" s="24">
        <f>L450/K450</f>
        <v/>
      </c>
      <c r="N450" s="2" t="inlineStr">
        <is>
          <t>将军撤退</t>
        </is>
      </c>
      <c r="O450" s="2" t="inlineStr">
        <is>
          <t>否</t>
        </is>
      </c>
    </row>
    <row r="451">
      <c r="A451" s="2" t="inlineStr">
        <is>
          <t>2025-10-14</t>
        </is>
      </c>
      <c r="B451" s="2" t="inlineStr">
        <is>
          <t>2025-10-22</t>
        </is>
      </c>
      <c r="C451" s="2" t="inlineStr">
        <is>
          <t>玉米</t>
        </is>
      </c>
      <c r="D451" s="2" t="inlineStr">
        <is>
          <t>C</t>
        </is>
      </c>
      <c r="E451" s="9" t="inlineStr">
        <is>
          <t>空</t>
        </is>
      </c>
      <c r="F451" s="2" t="inlineStr">
        <is>
          <t>★★★</t>
        </is>
      </c>
      <c r="G451" s="10" t="n">
        <v>42</v>
      </c>
      <c r="H451" s="11" t="n">
        <v>2109</v>
      </c>
      <c r="I451" s="11" t="n">
        <v>2133</v>
      </c>
      <c r="J451" s="10" t="n">
        <v>10</v>
      </c>
      <c r="K451" s="10" t="n">
        <v>30000</v>
      </c>
      <c r="L451" s="23">
        <f>IF(E451="多",1,-1)*(I451-H451)*G451*J451</f>
        <v/>
      </c>
      <c r="M451" s="24">
        <f>L451/K451</f>
        <v/>
      </c>
      <c r="N451" s="2" t="inlineStr">
        <is>
          <t>大将军转向</t>
        </is>
      </c>
      <c r="O451" s="2" t="inlineStr">
        <is>
          <t>否</t>
        </is>
      </c>
    </row>
    <row r="452">
      <c r="A452" s="14" t="inlineStr">
        <is>
          <t>2025-10-20</t>
        </is>
      </c>
      <c r="B452" s="14" t="inlineStr">
        <is>
          <t>2025-10-21</t>
        </is>
      </c>
      <c r="C452" s="14" t="inlineStr">
        <is>
          <t>螺纹钢</t>
        </is>
      </c>
      <c r="D452" s="14" t="inlineStr">
        <is>
          <t>RB</t>
        </is>
      </c>
      <c r="E452" s="14" t="inlineStr">
        <is>
          <t>空</t>
        </is>
      </c>
      <c r="F452" s="14" t="inlineStr">
        <is>
          <t>★★</t>
        </is>
      </c>
      <c r="G452" s="14" t="n">
        <v>8</v>
      </c>
      <c r="H452" s="15" t="n">
        <v>3045</v>
      </c>
      <c r="I452" s="15" t="n">
        <v>3047</v>
      </c>
      <c r="J452" s="14" t="n">
        <v>10</v>
      </c>
      <c r="K452" s="14" t="n">
        <v>10000</v>
      </c>
      <c r="L452" s="25">
        <f>IF(E452="多",1,-1)*(I452-H452)*G452*J452</f>
        <v/>
      </c>
      <c r="M452" s="26">
        <f>L452/K452</f>
        <v/>
      </c>
      <c r="N452" s="14" t="inlineStr">
        <is>
          <t>将军撤退</t>
        </is>
      </c>
      <c r="O452" s="14" t="inlineStr">
        <is>
          <t>是</t>
        </is>
      </c>
    </row>
    <row r="453">
      <c r="A453" s="14" t="inlineStr">
        <is>
          <t>2025-10-14</t>
        </is>
      </c>
      <c r="B453" s="14" t="inlineStr">
        <is>
          <t>2025-10-21</t>
        </is>
      </c>
      <c r="C453" s="14" t="inlineStr">
        <is>
          <t>棉花</t>
        </is>
      </c>
      <c r="D453" s="14" t="inlineStr">
        <is>
          <t>CF</t>
        </is>
      </c>
      <c r="E453" s="14" t="inlineStr">
        <is>
          <t>空</t>
        </is>
      </c>
      <c r="F453" s="14" t="inlineStr">
        <is>
          <t>★★</t>
        </is>
      </c>
      <c r="G453" s="14" t="n">
        <v>5</v>
      </c>
      <c r="H453" s="15" t="n">
        <v>13250</v>
      </c>
      <c r="I453" s="15" t="n">
        <v>13540</v>
      </c>
      <c r="J453" s="14" t="n">
        <v>5</v>
      </c>
      <c r="K453" s="14" t="n">
        <v>10000</v>
      </c>
      <c r="L453" s="25">
        <f>IF(E453="多",1,-1)*(I453-H453)*G453*J453</f>
        <v/>
      </c>
      <c r="M453" s="26">
        <f>L453/K453</f>
        <v/>
      </c>
      <c r="N453" s="14" t="inlineStr">
        <is>
          <t>反向信号</t>
        </is>
      </c>
      <c r="O453" s="14" t="inlineStr">
        <is>
          <t>是</t>
        </is>
      </c>
    </row>
    <row r="454">
      <c r="A454" s="2" t="inlineStr">
        <is>
          <t>2025-10-17</t>
        </is>
      </c>
      <c r="B454" s="2" t="inlineStr">
        <is>
          <t>2025-10-20</t>
        </is>
      </c>
      <c r="C454" s="2" t="inlineStr">
        <is>
          <t>PTA</t>
        </is>
      </c>
      <c r="D454" s="2" t="inlineStr">
        <is>
          <t>TA</t>
        </is>
      </c>
      <c r="E454" s="9" t="inlineStr">
        <is>
          <t>空</t>
        </is>
      </c>
      <c r="F454" s="2" t="inlineStr">
        <is>
          <t>★★★</t>
        </is>
      </c>
      <c r="G454" s="10" t="n">
        <v>31</v>
      </c>
      <c r="H454" s="11" t="n">
        <v>4418</v>
      </c>
      <c r="I454" s="11" t="n">
        <v>4384</v>
      </c>
      <c r="J454" s="10" t="n">
        <v>5</v>
      </c>
      <c r="K454" s="10" t="n">
        <v>30000</v>
      </c>
      <c r="L454" s="23">
        <f>IF(E454="多",1,-1)*(I454-H454)*G454*J454</f>
        <v/>
      </c>
      <c r="M454" s="24">
        <f>L454/K454</f>
        <v/>
      </c>
      <c r="N454" s="2" t="inlineStr">
        <is>
          <t>大将军转向</t>
        </is>
      </c>
      <c r="O454" s="2" t="inlineStr">
        <is>
          <t>否</t>
        </is>
      </c>
    </row>
    <row r="455">
      <c r="A455" s="2" t="inlineStr">
        <is>
          <t>2025-10-17</t>
        </is>
      </c>
      <c r="B455" s="2" t="inlineStr">
        <is>
          <t>2025-10-20</t>
        </is>
      </c>
      <c r="C455" s="2" t="inlineStr">
        <is>
          <t>鸡蛋</t>
        </is>
      </c>
      <c r="D455" s="2" t="inlineStr">
        <is>
          <t>JD</t>
        </is>
      </c>
      <c r="E455" s="9" t="inlineStr">
        <is>
          <t>空</t>
        </is>
      </c>
      <c r="F455" s="2" t="inlineStr">
        <is>
          <t>★★★</t>
        </is>
      </c>
      <c r="G455" s="10" t="n">
        <v>5</v>
      </c>
      <c r="H455" s="11" t="n">
        <v>2900</v>
      </c>
      <c r="I455" s="11" t="n">
        <v>2920</v>
      </c>
      <c r="J455" s="10" t="n">
        <v>10</v>
      </c>
      <c r="K455" s="10" t="n">
        <v>10000</v>
      </c>
      <c r="L455" s="23">
        <f>IF(E455="多",1,-1)*(I455-H455)*G455*J455</f>
        <v/>
      </c>
      <c r="M455" s="24">
        <f>L455/K455</f>
        <v/>
      </c>
      <c r="N455" s="2" t="inlineStr">
        <is>
          <t>大将军转向</t>
        </is>
      </c>
      <c r="O455" s="2" t="inlineStr">
        <is>
          <t>否</t>
        </is>
      </c>
    </row>
    <row r="456">
      <c r="A456" s="2" t="inlineStr">
        <is>
          <t>2025-10-17</t>
        </is>
      </c>
      <c r="B456" s="2" t="inlineStr">
        <is>
          <t>2025-10-20</t>
        </is>
      </c>
      <c r="C456" s="2" t="inlineStr">
        <is>
          <t>玻璃</t>
        </is>
      </c>
      <c r="D456" s="2" t="inlineStr">
        <is>
          <t>FG</t>
        </is>
      </c>
      <c r="E456" s="9" t="inlineStr">
        <is>
          <t>空</t>
        </is>
      </c>
      <c r="F456" s="2" t="inlineStr">
        <is>
          <t>★★★</t>
        </is>
      </c>
      <c r="G456" s="10" t="n">
        <v>11</v>
      </c>
      <c r="H456" s="11" t="n">
        <v>1099</v>
      </c>
      <c r="I456" s="11" t="n">
        <v>1091</v>
      </c>
      <c r="J456" s="10" t="n">
        <v>20</v>
      </c>
      <c r="K456" s="10" t="n">
        <v>30000</v>
      </c>
      <c r="L456" s="23">
        <f>IF(E456="多",1,-1)*(I456-H456)*G456*J456</f>
        <v/>
      </c>
      <c r="M456" s="24">
        <f>L456/K456</f>
        <v/>
      </c>
      <c r="N456" s="2" t="inlineStr">
        <is>
          <t>将军撤退+大将军转向</t>
        </is>
      </c>
      <c r="O456" s="2" t="inlineStr">
        <is>
          <t>否</t>
        </is>
      </c>
    </row>
    <row r="457">
      <c r="A457" s="14" t="inlineStr">
        <is>
          <t>2025-09-23</t>
        </is>
      </c>
      <c r="B457" s="14" t="inlineStr">
        <is>
          <t>2025-10-20</t>
        </is>
      </c>
      <c r="C457" s="14" t="inlineStr">
        <is>
          <t>焦煤</t>
        </is>
      </c>
      <c r="D457" s="14" t="inlineStr">
        <is>
          <t>JM</t>
        </is>
      </c>
      <c r="E457" s="14" t="inlineStr">
        <is>
          <t>空</t>
        </is>
      </c>
      <c r="F457" s="14" t="inlineStr">
        <is>
          <t>★★</t>
        </is>
      </c>
      <c r="G457" s="14" t="n">
        <v>1</v>
      </c>
      <c r="H457" s="15" t="n">
        <v>1221</v>
      </c>
      <c r="I457" s="15" t="n">
        <v>1229.57</v>
      </c>
      <c r="J457" s="14" t="n">
        <v>60</v>
      </c>
      <c r="K457" s="14" t="n">
        <v>10000</v>
      </c>
      <c r="L457" s="25">
        <f>IF(E457="多",1,-1)*(I457-H457)*G457*J457</f>
        <v/>
      </c>
      <c r="M457" s="26">
        <f>L457/K457</f>
        <v/>
      </c>
      <c r="N457" s="14" t="inlineStr">
        <is>
          <t>止损</t>
        </is>
      </c>
      <c r="O457" s="14" t="inlineStr">
        <is>
          <t>是</t>
        </is>
      </c>
    </row>
    <row r="458">
      <c r="A458" s="2" t="inlineStr">
        <is>
          <t>2025-10-16</t>
        </is>
      </c>
      <c r="B458" s="2" t="inlineStr">
        <is>
          <t>2025-10-17</t>
        </is>
      </c>
      <c r="C458" s="2" t="inlineStr">
        <is>
          <t>沪锌</t>
        </is>
      </c>
      <c r="D458" s="2" t="inlineStr">
        <is>
          <t>ZN</t>
        </is>
      </c>
      <c r="E458" s="9" t="inlineStr">
        <is>
          <t>空</t>
        </is>
      </c>
      <c r="F458" s="2" t="inlineStr">
        <is>
          <t>★★★</t>
        </is>
      </c>
      <c r="G458" s="10" t="n">
        <v>8</v>
      </c>
      <c r="H458" s="11" t="n">
        <v>21900</v>
      </c>
      <c r="I458" s="11" t="n">
        <v>21830</v>
      </c>
      <c r="J458" s="10" t="n">
        <v>5</v>
      </c>
      <c r="K458" s="10" t="n">
        <v>30000</v>
      </c>
      <c r="L458" s="23">
        <f>IF(E458="多",1,-1)*(I458-H458)*G458*J458</f>
        <v/>
      </c>
      <c r="M458" s="24">
        <f>L458/K458</f>
        <v/>
      </c>
      <c r="N458" s="2" t="inlineStr">
        <is>
          <t>将军撤退+大将军转向</t>
        </is>
      </c>
      <c r="O458" s="2" t="inlineStr">
        <is>
          <t>否</t>
        </is>
      </c>
    </row>
    <row r="459">
      <c r="A459" s="14" t="inlineStr">
        <is>
          <t>2025-10-15</t>
        </is>
      </c>
      <c r="B459" s="14" t="inlineStr">
        <is>
          <t>2025-10-17</t>
        </is>
      </c>
      <c r="C459" s="14" t="inlineStr">
        <is>
          <t>苯乙烯</t>
        </is>
      </c>
      <c r="D459" s="14" t="inlineStr">
        <is>
          <t>EB</t>
        </is>
      </c>
      <c r="E459" s="14" t="inlineStr">
        <is>
          <t>空</t>
        </is>
      </c>
      <c r="F459" s="14" t="inlineStr">
        <is>
          <t>★★</t>
        </is>
      </c>
      <c r="G459" s="14" t="n">
        <v>6</v>
      </c>
      <c r="H459" s="15" t="n">
        <v>6550</v>
      </c>
      <c r="I459" s="15" t="n">
        <v>6483</v>
      </c>
      <c r="J459" s="14" t="n">
        <v>5</v>
      </c>
      <c r="K459" s="14" t="n">
        <v>10000</v>
      </c>
      <c r="L459" s="25">
        <f>IF(E459="多",1,-1)*(I459-H459)*G459*J459</f>
        <v/>
      </c>
      <c r="M459" s="26">
        <f>L459/K459</f>
        <v/>
      </c>
      <c r="N459" s="14" t="inlineStr">
        <is>
          <t>将军撤退+大将军转向</t>
        </is>
      </c>
      <c r="O459" s="14" t="inlineStr">
        <is>
          <t>是</t>
        </is>
      </c>
    </row>
    <row r="460">
      <c r="A460" s="2" t="inlineStr">
        <is>
          <t>2025-10-14</t>
        </is>
      </c>
      <c r="B460" s="2" t="inlineStr">
        <is>
          <t>2025-10-17</t>
        </is>
      </c>
      <c r="C460" s="2" t="inlineStr">
        <is>
          <t>硅铁</t>
        </is>
      </c>
      <c r="D460" s="2" t="inlineStr">
        <is>
          <t>SF</t>
        </is>
      </c>
      <c r="E460" s="9" t="inlineStr">
        <is>
          <t>空</t>
        </is>
      </c>
      <c r="F460" s="2" t="inlineStr">
        <is>
          <t>★★★</t>
        </is>
      </c>
      <c r="G460" s="10" t="n">
        <v>5</v>
      </c>
      <c r="H460" s="11" t="n">
        <v>5328</v>
      </c>
      <c r="I460" s="11" t="n">
        <v>5430</v>
      </c>
      <c r="J460" s="10" t="n">
        <v>5</v>
      </c>
      <c r="K460" s="10" t="n">
        <v>10000</v>
      </c>
      <c r="L460" s="23">
        <f>IF(E460="多",1,-1)*(I460-H460)*G460*J460</f>
        <v/>
      </c>
      <c r="M460" s="24">
        <f>L460/K460</f>
        <v/>
      </c>
      <c r="N460" s="2" t="inlineStr">
        <is>
          <t>大将军转向</t>
        </is>
      </c>
      <c r="O460" s="2" t="inlineStr">
        <is>
          <t>否</t>
        </is>
      </c>
    </row>
    <row r="461">
      <c r="A461" s="2" t="inlineStr">
        <is>
          <t>2025-09-24</t>
        </is>
      </c>
      <c r="B461" s="2" t="inlineStr">
        <is>
          <t>2025-10-17</t>
        </is>
      </c>
      <c r="C461" s="2" t="inlineStr">
        <is>
          <t>塑料</t>
        </is>
      </c>
      <c r="D461" s="2" t="inlineStr">
        <is>
          <t>L</t>
        </is>
      </c>
      <c r="E461" s="9" t="inlineStr">
        <is>
          <t>空</t>
        </is>
      </c>
      <c r="F461" s="2" t="inlineStr">
        <is>
          <t>★★★</t>
        </is>
      </c>
      <c r="G461" s="10" t="n">
        <v>39</v>
      </c>
      <c r="H461" s="11" t="n">
        <v>7169</v>
      </c>
      <c r="I461" s="11" t="n">
        <v>6874</v>
      </c>
      <c r="J461" s="10" t="n">
        <v>5</v>
      </c>
      <c r="K461" s="10" t="n">
        <v>30000</v>
      </c>
      <c r="L461" s="23">
        <f>IF(E461="多",1,-1)*(I461-H461)*G461*J461</f>
        <v/>
      </c>
      <c r="M461" s="24">
        <f>L461/K461</f>
        <v/>
      </c>
      <c r="N461" s="2" t="inlineStr">
        <is>
          <t>大将军转向</t>
        </is>
      </c>
      <c r="O461" s="2" t="inlineStr">
        <is>
          <t>否</t>
        </is>
      </c>
    </row>
    <row r="462">
      <c r="A462" s="14" t="inlineStr">
        <is>
          <t>2025-09-11</t>
        </is>
      </c>
      <c r="B462" s="14" t="inlineStr">
        <is>
          <t>2025-10-17</t>
        </is>
      </c>
      <c r="C462" s="14" t="inlineStr">
        <is>
          <t>碳酸锂</t>
        </is>
      </c>
      <c r="D462" s="14" t="inlineStr">
        <is>
          <t>LC</t>
        </is>
      </c>
      <c r="E462" s="14" t="inlineStr">
        <is>
          <t>空</t>
        </is>
      </c>
      <c r="F462" s="14" t="inlineStr">
        <is>
          <t>★★</t>
        </is>
      </c>
      <c r="G462" s="14" t="n">
        <v>1</v>
      </c>
      <c r="H462" s="15" t="n">
        <v>70620</v>
      </c>
      <c r="I462" s="15" t="n">
        <v>75680</v>
      </c>
      <c r="J462" s="14" t="n">
        <v>1</v>
      </c>
      <c r="K462" s="14" t="n">
        <v>10000</v>
      </c>
      <c r="L462" s="25">
        <f>IF(E462="多",1,-1)*(I462-H462)*G462*J462</f>
        <v/>
      </c>
      <c r="M462" s="26">
        <f>L462/K462</f>
        <v/>
      </c>
      <c r="N462" s="14" t="inlineStr">
        <is>
          <t>止损</t>
        </is>
      </c>
      <c r="O462" s="14" t="inlineStr">
        <is>
          <t>是</t>
        </is>
      </c>
    </row>
    <row r="463">
      <c r="A463" s="14" t="inlineStr">
        <is>
          <t>2025-10-15</t>
        </is>
      </c>
      <c r="B463" s="14" t="inlineStr">
        <is>
          <t>2025-10-16</t>
        </is>
      </c>
      <c r="C463" s="14" t="inlineStr">
        <is>
          <t>聚丙烯</t>
        </is>
      </c>
      <c r="D463" s="14" t="inlineStr">
        <is>
          <t>PP</t>
        </is>
      </c>
      <c r="E463" s="14" t="inlineStr">
        <is>
          <t>空</t>
        </is>
      </c>
      <c r="F463" s="14" t="inlineStr">
        <is>
          <t>★★</t>
        </is>
      </c>
      <c r="G463" s="14" t="n">
        <v>10</v>
      </c>
      <c r="H463" s="15" t="n">
        <v>6597</v>
      </c>
      <c r="I463" s="15" t="n">
        <v>6618</v>
      </c>
      <c r="J463" s="14" t="n">
        <v>5</v>
      </c>
      <c r="K463" s="14" t="n">
        <v>10000</v>
      </c>
      <c r="L463" s="25">
        <f>IF(E463="多",1,-1)*(I463-H463)*G463*J463</f>
        <v/>
      </c>
      <c r="M463" s="26">
        <f>L463/K463</f>
        <v/>
      </c>
      <c r="N463" s="14" t="inlineStr">
        <is>
          <t>将军撤退</t>
        </is>
      </c>
      <c r="O463" s="14" t="inlineStr">
        <is>
          <t>是</t>
        </is>
      </c>
    </row>
    <row r="464">
      <c r="A464" s="2" t="inlineStr">
        <is>
          <t>2025-10-15</t>
        </is>
      </c>
      <c r="B464" s="2" t="inlineStr">
        <is>
          <t>2025-10-16</t>
        </is>
      </c>
      <c r="C464" s="2" t="inlineStr">
        <is>
          <t>沪银</t>
        </is>
      </c>
      <c r="D464" s="2" t="inlineStr">
        <is>
          <t>AG</t>
        </is>
      </c>
      <c r="E464" s="19" t="inlineStr">
        <is>
          <t>多</t>
        </is>
      </c>
      <c r="F464" s="2" t="inlineStr">
        <is>
          <t>★★★</t>
        </is>
      </c>
      <c r="G464" s="10" t="n">
        <v>1</v>
      </c>
      <c r="H464" s="11" t="n">
        <v>11938</v>
      </c>
      <c r="I464" s="11" t="n">
        <v>12017</v>
      </c>
      <c r="J464" s="10" t="n">
        <v>15</v>
      </c>
      <c r="K464" s="10" t="n">
        <v>30000</v>
      </c>
      <c r="L464" s="23">
        <f>IF(E464="多",1,-1)*(I464-H464)*G464*J464</f>
        <v/>
      </c>
      <c r="M464" s="24">
        <f>L464/K464</f>
        <v/>
      </c>
      <c r="N464" s="2" t="inlineStr">
        <is>
          <t>将军撤退+大将军转向</t>
        </is>
      </c>
      <c r="O464" s="2" t="inlineStr">
        <is>
          <t>否</t>
        </is>
      </c>
    </row>
    <row r="465">
      <c r="A465" s="2" t="inlineStr">
        <is>
          <t>2025-10-13</t>
        </is>
      </c>
      <c r="B465" s="2" t="inlineStr">
        <is>
          <t>2025-10-15</t>
        </is>
      </c>
      <c r="C465" s="2" t="inlineStr">
        <is>
          <t>玻璃</t>
        </is>
      </c>
      <c r="D465" s="2" t="inlineStr">
        <is>
          <t>FG</t>
        </is>
      </c>
      <c r="E465" s="9" t="inlineStr">
        <is>
          <t>空</t>
        </is>
      </c>
      <c r="F465" s="2" t="inlineStr">
        <is>
          <t>★★★</t>
        </is>
      </c>
      <c r="G465" s="10" t="n">
        <v>12</v>
      </c>
      <c r="H465" s="11" t="n">
        <v>1180</v>
      </c>
      <c r="I465" s="11" t="n">
        <v>1129</v>
      </c>
      <c r="J465" s="10" t="n">
        <v>20</v>
      </c>
      <c r="K465" s="10" t="n">
        <v>30000</v>
      </c>
      <c r="L465" s="23">
        <f>IF(E465="多",1,-1)*(I465-H465)*G465*J465</f>
        <v/>
      </c>
      <c r="M465" s="24">
        <f>L465/K465</f>
        <v/>
      </c>
      <c r="N465" s="2" t="inlineStr">
        <is>
          <t>大将军转向</t>
        </is>
      </c>
      <c r="O465" s="2" t="inlineStr">
        <is>
          <t>否</t>
        </is>
      </c>
    </row>
    <row r="466">
      <c r="A466" s="2" t="inlineStr">
        <is>
          <t>2025-10-13</t>
        </is>
      </c>
      <c r="B466" s="2" t="inlineStr">
        <is>
          <t>2025-10-14</t>
        </is>
      </c>
      <c r="C466" s="2" t="inlineStr">
        <is>
          <t>沪银</t>
        </is>
      </c>
      <c r="D466" s="2" t="inlineStr">
        <is>
          <t>AG</t>
        </is>
      </c>
      <c r="E466" s="19" t="inlineStr">
        <is>
          <t>多</t>
        </is>
      </c>
      <c r="F466" s="2" t="inlineStr">
        <is>
          <t>★★★</t>
        </is>
      </c>
      <c r="G466" s="10" t="n">
        <v>2</v>
      </c>
      <c r="H466" s="11" t="n">
        <v>11582</v>
      </c>
      <c r="I466" s="11" t="n">
        <v>11533</v>
      </c>
      <c r="J466" s="10" t="n">
        <v>15</v>
      </c>
      <c r="K466" s="10" t="n">
        <v>30000</v>
      </c>
      <c r="L466" s="23">
        <f>IF(E466="多",1,-1)*(I466-H466)*G466*J466</f>
        <v/>
      </c>
      <c r="M466" s="24">
        <f>L466/K466</f>
        <v/>
      </c>
      <c r="N466" s="2" t="inlineStr">
        <is>
          <t>将军撤退</t>
        </is>
      </c>
      <c r="O466" s="2" t="inlineStr">
        <is>
          <t>否</t>
        </is>
      </c>
    </row>
    <row r="467">
      <c r="A467" s="14" t="inlineStr">
        <is>
          <t>2025-10-09</t>
        </is>
      </c>
      <c r="B467" s="14" t="inlineStr">
        <is>
          <t>2025-10-14</t>
        </is>
      </c>
      <c r="C467" s="14" t="inlineStr">
        <is>
          <t>白糖</t>
        </is>
      </c>
      <c r="D467" s="14" t="inlineStr">
        <is>
          <t>SR</t>
        </is>
      </c>
      <c r="E467" s="14" t="inlineStr">
        <is>
          <t>多</t>
        </is>
      </c>
      <c r="F467" s="14" t="inlineStr">
        <is>
          <t>★★</t>
        </is>
      </c>
      <c r="G467" s="14" t="n">
        <v>8</v>
      </c>
      <c r="H467" s="15" t="n">
        <v>5521</v>
      </c>
      <c r="I467" s="15" t="n">
        <v>5413.57</v>
      </c>
      <c r="J467" s="14" t="n">
        <v>10</v>
      </c>
      <c r="K467" s="14" t="n">
        <v>10000</v>
      </c>
      <c r="L467" s="25">
        <f>IF(E467="多",1,-1)*(I467-H467)*G467*J467</f>
        <v/>
      </c>
      <c r="M467" s="26">
        <f>L467/K467</f>
        <v/>
      </c>
      <c r="N467" s="14" t="inlineStr">
        <is>
          <t>止损</t>
        </is>
      </c>
      <c r="O467" s="14" t="inlineStr">
        <is>
          <t>是</t>
        </is>
      </c>
    </row>
    <row r="468">
      <c r="A468" s="14" t="inlineStr">
        <is>
          <t>2025-10-09</t>
        </is>
      </c>
      <c r="B468" s="14" t="inlineStr">
        <is>
          <t>2025-10-13</t>
        </is>
      </c>
      <c r="C468" s="14" t="inlineStr">
        <is>
          <t>菜粕</t>
        </is>
      </c>
      <c r="D468" s="14" t="inlineStr">
        <is>
          <t>RM</t>
        </is>
      </c>
      <c r="E468" s="14" t="inlineStr">
        <is>
          <t>多</t>
        </is>
      </c>
      <c r="F468" s="14" t="inlineStr">
        <is>
          <t>★★</t>
        </is>
      </c>
      <c r="G468" s="14" t="n">
        <v>6</v>
      </c>
      <c r="H468" s="15" t="n">
        <v>2431</v>
      </c>
      <c r="I468" s="15" t="n">
        <v>2392</v>
      </c>
      <c r="J468" s="14" t="n">
        <v>10</v>
      </c>
      <c r="K468" s="14" t="n">
        <v>10000</v>
      </c>
      <c r="L468" s="25">
        <f>IF(E468="多",1,-1)*(I468-H468)*G468*J468</f>
        <v/>
      </c>
      <c r="M468" s="26">
        <f>L468/K468</f>
        <v/>
      </c>
      <c r="N468" s="14" t="inlineStr">
        <is>
          <t>大将军转向</t>
        </is>
      </c>
      <c r="O468" s="14" t="inlineStr">
        <is>
          <t>是</t>
        </is>
      </c>
    </row>
    <row r="469">
      <c r="A469" s="14" t="inlineStr">
        <is>
          <t>2025-10-09</t>
        </is>
      </c>
      <c r="B469" s="14" t="inlineStr">
        <is>
          <t>2025-10-10</t>
        </is>
      </c>
      <c r="C469" s="14" t="inlineStr">
        <is>
          <t>鸡蛋</t>
        </is>
      </c>
      <c r="D469" s="14" t="inlineStr">
        <is>
          <t>JD</t>
        </is>
      </c>
      <c r="E469" s="14" t="inlineStr">
        <is>
          <t>空</t>
        </is>
      </c>
      <c r="F469" s="14" t="inlineStr">
        <is>
          <t>★★</t>
        </is>
      </c>
      <c r="G469" s="14" t="n">
        <v>5</v>
      </c>
      <c r="H469" s="15" t="n">
        <v>2870</v>
      </c>
      <c r="I469" s="15" t="n">
        <v>2806</v>
      </c>
      <c r="J469" s="14" t="n">
        <v>10</v>
      </c>
      <c r="K469" s="14" t="n">
        <v>10000</v>
      </c>
      <c r="L469" s="25">
        <f>IF(E469="多",1,-1)*(I469-H469)*G469*J469</f>
        <v/>
      </c>
      <c r="M469" s="26">
        <f>L469/K469</f>
        <v/>
      </c>
      <c r="N469" s="14" t="inlineStr">
        <is>
          <t>将军撤退</t>
        </is>
      </c>
      <c r="O469" s="14" t="inlineStr">
        <is>
          <t>是</t>
        </is>
      </c>
    </row>
    <row r="470">
      <c r="A470" s="2" t="inlineStr">
        <is>
          <t>2025-10-09</t>
        </is>
      </c>
      <c r="B470" s="2" t="inlineStr">
        <is>
          <t>2025-10-10</t>
        </is>
      </c>
      <c r="C470" s="2" t="inlineStr">
        <is>
          <t>苯乙烯</t>
        </is>
      </c>
      <c r="D470" s="2" t="inlineStr">
        <is>
          <t>EB</t>
        </is>
      </c>
      <c r="E470" s="9" t="inlineStr">
        <is>
          <t>空</t>
        </is>
      </c>
      <c r="F470" s="2" t="inlineStr">
        <is>
          <t>★★★</t>
        </is>
      </c>
      <c r="G470" s="10" t="n">
        <v>20</v>
      </c>
      <c r="H470" s="11" t="n">
        <v>6810</v>
      </c>
      <c r="I470" s="11" t="n">
        <v>6743</v>
      </c>
      <c r="J470" s="10" t="n">
        <v>5</v>
      </c>
      <c r="K470" s="10" t="n">
        <v>30000</v>
      </c>
      <c r="L470" s="23">
        <f>IF(E470="多",1,-1)*(I470-H470)*G470*J470</f>
        <v/>
      </c>
      <c r="M470" s="24">
        <f>L470/K470</f>
        <v/>
      </c>
      <c r="N470" s="2" t="inlineStr">
        <is>
          <t>大将军转向</t>
        </is>
      </c>
      <c r="O470" s="2" t="inlineStr">
        <is>
          <t>否</t>
        </is>
      </c>
    </row>
    <row r="471">
      <c r="A471" s="14" t="inlineStr">
        <is>
          <t>2025-09-30</t>
        </is>
      </c>
      <c r="B471" s="14" t="inlineStr">
        <is>
          <t>2025-10-09</t>
        </is>
      </c>
      <c r="C471" s="14" t="inlineStr">
        <is>
          <t>沪银</t>
        </is>
      </c>
      <c r="D471" s="14" t="inlineStr">
        <is>
          <t>AG</t>
        </is>
      </c>
      <c r="E471" s="14" t="inlineStr">
        <is>
          <t>多</t>
        </is>
      </c>
      <c r="F471" s="14" t="inlineStr">
        <is>
          <t>★★</t>
        </is>
      </c>
      <c r="G471" s="14" t="n">
        <v>1</v>
      </c>
      <c r="H471" s="15" t="n">
        <v>11200</v>
      </c>
      <c r="I471" s="15" t="n">
        <v>11169</v>
      </c>
      <c r="J471" s="14" t="n">
        <v>15</v>
      </c>
      <c r="K471" s="14" t="n">
        <v>10000</v>
      </c>
      <c r="L471" s="25">
        <f>IF(E471="多",1,-1)*(I471-H471)*G471*J471</f>
        <v/>
      </c>
      <c r="M471" s="26">
        <f>L471/K471</f>
        <v/>
      </c>
      <c r="N471" s="14" t="inlineStr">
        <is>
          <t>大将军转向</t>
        </is>
      </c>
      <c r="O471" s="14" t="inlineStr">
        <is>
          <t>是</t>
        </is>
      </c>
    </row>
    <row r="472">
      <c r="A472" s="2" t="inlineStr">
        <is>
          <t>2025-09-29</t>
        </is>
      </c>
      <c r="B472" s="2" t="inlineStr">
        <is>
          <t>2025-10-09</t>
        </is>
      </c>
      <c r="C472" s="2" t="inlineStr">
        <is>
          <t>棉花</t>
        </is>
      </c>
      <c r="D472" s="2" t="inlineStr">
        <is>
          <t>CF</t>
        </is>
      </c>
      <c r="E472" s="9" t="inlineStr">
        <is>
          <t>空</t>
        </is>
      </c>
      <c r="F472" s="2" t="inlineStr">
        <is>
          <t>★★★</t>
        </is>
      </c>
      <c r="G472" s="10" t="n">
        <v>17</v>
      </c>
      <c r="H472" s="11" t="n">
        <v>13325</v>
      </c>
      <c r="I472" s="11" t="n">
        <v>13295</v>
      </c>
      <c r="J472" s="10" t="n">
        <v>5</v>
      </c>
      <c r="K472" s="10" t="n">
        <v>30000</v>
      </c>
      <c r="L472" s="23">
        <f>IF(E472="多",1,-1)*(I472-H472)*G472*J472</f>
        <v/>
      </c>
      <c r="M472" s="24">
        <f>L472/K472</f>
        <v/>
      </c>
      <c r="N472" s="2" t="inlineStr">
        <is>
          <t>大将军转向</t>
        </is>
      </c>
      <c r="O472" s="2" t="inlineStr">
        <is>
          <t>否</t>
        </is>
      </c>
    </row>
    <row r="473">
      <c r="A473" s="14" t="inlineStr">
        <is>
          <t>2025-09-19</t>
        </is>
      </c>
      <c r="B473" s="14" t="inlineStr">
        <is>
          <t>2025-10-09</t>
        </is>
      </c>
      <c r="C473" s="14" t="inlineStr">
        <is>
          <t>PVC</t>
        </is>
      </c>
      <c r="D473" s="14" t="inlineStr">
        <is>
          <t>V</t>
        </is>
      </c>
      <c r="E473" s="14" t="inlineStr">
        <is>
          <t>多</t>
        </is>
      </c>
      <c r="F473" s="14" t="inlineStr">
        <is>
          <t>★★</t>
        </is>
      </c>
      <c r="G473" s="14" t="n">
        <v>11</v>
      </c>
      <c r="H473" s="15" t="n">
        <v>4955</v>
      </c>
      <c r="I473" s="15" t="n">
        <v>4811.57</v>
      </c>
      <c r="J473" s="14" t="n">
        <v>5</v>
      </c>
      <c r="K473" s="14" t="n">
        <v>10000</v>
      </c>
      <c r="L473" s="25">
        <f>IF(E473="多",1,-1)*(I473-H473)*G473*J473</f>
        <v/>
      </c>
      <c r="M473" s="26">
        <f>L473/K473</f>
        <v/>
      </c>
      <c r="N473" s="14" t="inlineStr">
        <is>
          <t>止损</t>
        </is>
      </c>
      <c r="O473" s="14" t="inlineStr">
        <is>
          <t>是</t>
        </is>
      </c>
    </row>
    <row r="474">
      <c r="A474" s="14" t="inlineStr">
        <is>
          <t>2025-09-19</t>
        </is>
      </c>
      <c r="B474" s="14" t="inlineStr">
        <is>
          <t>2025-10-09</t>
        </is>
      </c>
      <c r="C474" s="14" t="inlineStr">
        <is>
          <t>白糖</t>
        </is>
      </c>
      <c r="D474" s="14" t="inlineStr">
        <is>
          <t>SR</t>
        </is>
      </c>
      <c r="E474" s="14" t="inlineStr">
        <is>
          <t>空</t>
        </is>
      </c>
      <c r="F474" s="14" t="inlineStr">
        <is>
          <t>★★</t>
        </is>
      </c>
      <c r="G474" s="14" t="n">
        <v>9</v>
      </c>
      <c r="H474" s="15" t="n">
        <v>5473</v>
      </c>
      <c r="I474" s="15" t="n">
        <v>5525.36</v>
      </c>
      <c r="J474" s="14" t="n">
        <v>10</v>
      </c>
      <c r="K474" s="14" t="n">
        <v>10000</v>
      </c>
      <c r="L474" s="25">
        <f>IF(E474="多",1,-1)*(I474-H474)*G474*J474</f>
        <v/>
      </c>
      <c r="M474" s="26">
        <f>L474/K474</f>
        <v/>
      </c>
      <c r="N474" s="14" t="inlineStr">
        <is>
          <t>止损</t>
        </is>
      </c>
      <c r="O474" s="14" t="inlineStr">
        <is>
          <t>是</t>
        </is>
      </c>
    </row>
    <row r="475">
      <c r="A475" s="2" t="inlineStr">
        <is>
          <t>2025-09-17</t>
        </is>
      </c>
      <c r="B475" s="2" t="inlineStr">
        <is>
          <t>2025-10-09</t>
        </is>
      </c>
      <c r="C475" s="2" t="inlineStr">
        <is>
          <t>菜粕</t>
        </is>
      </c>
      <c r="D475" s="2" t="inlineStr">
        <is>
          <t>RM</t>
        </is>
      </c>
      <c r="E475" s="9" t="inlineStr">
        <is>
          <t>空</t>
        </is>
      </c>
      <c r="F475" s="2" t="inlineStr">
        <is>
          <t>★★★</t>
        </is>
      </c>
      <c r="G475" s="10" t="n">
        <v>22</v>
      </c>
      <c r="H475" s="11" t="n">
        <v>2462</v>
      </c>
      <c r="I475" s="11" t="n">
        <v>2435</v>
      </c>
      <c r="J475" s="10" t="n">
        <v>10</v>
      </c>
      <c r="K475" s="10" t="n">
        <v>30000</v>
      </c>
      <c r="L475" s="23">
        <f>IF(E475="多",1,-1)*(I475-H475)*G475*J475</f>
        <v/>
      </c>
      <c r="M475" s="24">
        <f>L475/K475</f>
        <v/>
      </c>
      <c r="N475" s="2" t="inlineStr">
        <is>
          <t>反向信号</t>
        </is>
      </c>
      <c r="O475" s="2" t="inlineStr">
        <is>
          <t>否</t>
        </is>
      </c>
    </row>
    <row r="476">
      <c r="A476" s="14" t="inlineStr">
        <is>
          <t>2025-09-15</t>
        </is>
      </c>
      <c r="B476" s="14" t="inlineStr">
        <is>
          <t>2025-10-09</t>
        </is>
      </c>
      <c r="C476" s="14" t="inlineStr">
        <is>
          <t>玉米</t>
        </is>
      </c>
      <c r="D476" s="14" t="inlineStr">
        <is>
          <t>C</t>
        </is>
      </c>
      <c r="E476" s="14" t="inlineStr">
        <is>
          <t>空</t>
        </is>
      </c>
      <c r="F476" s="14" t="inlineStr">
        <is>
          <t>★★</t>
        </is>
      </c>
      <c r="G476" s="14" t="n">
        <v>17</v>
      </c>
      <c r="H476" s="15" t="n">
        <v>2167</v>
      </c>
      <c r="I476" s="15" t="n">
        <v>2138</v>
      </c>
      <c r="J476" s="14" t="n">
        <v>10</v>
      </c>
      <c r="K476" s="14" t="n">
        <v>10000</v>
      </c>
      <c r="L476" s="25">
        <f>IF(E476="多",1,-1)*(I476-H476)*G476*J476</f>
        <v/>
      </c>
      <c r="M476" s="26">
        <f>L476/K476</f>
        <v/>
      </c>
      <c r="N476" s="14" t="inlineStr">
        <is>
          <t>大将军转向</t>
        </is>
      </c>
      <c r="O476" s="14" t="inlineStr">
        <is>
          <t>是</t>
        </is>
      </c>
    </row>
    <row r="477">
      <c r="A477" s="2" t="inlineStr">
        <is>
          <t>2025-09-24</t>
        </is>
      </c>
      <c r="B477" s="2" t="inlineStr">
        <is>
          <t>2025-09-29</t>
        </is>
      </c>
      <c r="C477" s="2" t="inlineStr">
        <is>
          <t>沪银</t>
        </is>
      </c>
      <c r="D477" s="2" t="inlineStr">
        <is>
          <t>AG</t>
        </is>
      </c>
      <c r="E477" s="19" t="inlineStr">
        <is>
          <t>多</t>
        </is>
      </c>
      <c r="F477" s="2" t="inlineStr">
        <is>
          <t>★★★</t>
        </is>
      </c>
      <c r="G477" s="10" t="n">
        <v>3</v>
      </c>
      <c r="H477" s="11" t="n">
        <v>10405</v>
      </c>
      <c r="I477" s="11" t="n">
        <v>10939</v>
      </c>
      <c r="J477" s="10" t="n">
        <v>15</v>
      </c>
      <c r="K477" s="10" t="n">
        <v>30000</v>
      </c>
      <c r="L477" s="23">
        <f>IF(E477="多",1,-1)*(I477-H477)*G477*J477</f>
        <v/>
      </c>
      <c r="M477" s="24">
        <f>L477/K477</f>
        <v/>
      </c>
      <c r="N477" s="2" t="inlineStr">
        <is>
          <t>将军撤退</t>
        </is>
      </c>
      <c r="O477" s="2" t="inlineStr">
        <is>
          <t>否</t>
        </is>
      </c>
    </row>
    <row r="478">
      <c r="A478" s="14" t="inlineStr">
        <is>
          <t>2025-09-22</t>
        </is>
      </c>
      <c r="B478" s="14" t="inlineStr">
        <is>
          <t>2025-09-26</t>
        </is>
      </c>
      <c r="C478" s="14" t="inlineStr">
        <is>
          <t>棉花</t>
        </is>
      </c>
      <c r="D478" s="14" t="inlineStr">
        <is>
          <t>CF</t>
        </is>
      </c>
      <c r="E478" s="14" t="inlineStr">
        <is>
          <t>空</t>
        </is>
      </c>
      <c r="F478" s="14" t="inlineStr">
        <is>
          <t>★★★</t>
        </is>
      </c>
      <c r="G478" s="14" t="n">
        <v>5</v>
      </c>
      <c r="H478" s="15" t="n">
        <v>13600</v>
      </c>
      <c r="I478" s="15" t="n">
        <v>13405</v>
      </c>
      <c r="J478" s="14" t="n">
        <v>5</v>
      </c>
      <c r="K478" s="14" t="n">
        <v>10000</v>
      </c>
      <c r="L478" s="25">
        <f>IF(E478="多",1,-1)*(I478-H478)*G478*J478</f>
        <v/>
      </c>
      <c r="M478" s="26">
        <f>L478/K478</f>
        <v/>
      </c>
      <c r="N478" s="14" t="inlineStr">
        <is>
          <t>大将军转向</t>
        </is>
      </c>
      <c r="O478" s="14" t="inlineStr">
        <is>
          <t>是</t>
        </is>
      </c>
    </row>
    <row r="479">
      <c r="A479" s="14" t="inlineStr">
        <is>
          <t>2025-09-17</t>
        </is>
      </c>
      <c r="B479" s="14" t="inlineStr">
        <is>
          <t>2025-09-26</t>
        </is>
      </c>
      <c r="C479" s="14" t="inlineStr">
        <is>
          <t>沥青</t>
        </is>
      </c>
      <c r="D479" s="14" t="inlineStr">
        <is>
          <t>BU</t>
        </is>
      </c>
      <c r="E479" s="14" t="inlineStr">
        <is>
          <t>多</t>
        </is>
      </c>
      <c r="F479" s="14" t="inlineStr">
        <is>
          <t>★★</t>
        </is>
      </c>
      <c r="G479" s="14" t="n">
        <v>6</v>
      </c>
      <c r="H479" s="15" t="n">
        <v>3445</v>
      </c>
      <c r="I479" s="15" t="n">
        <v>3450</v>
      </c>
      <c r="J479" s="14" t="n">
        <v>10</v>
      </c>
      <c r="K479" s="14" t="n">
        <v>10000</v>
      </c>
      <c r="L479" s="25">
        <f>IF(E479="多",1,-1)*(I479-H479)*G479*J479</f>
        <v/>
      </c>
      <c r="M479" s="26">
        <f>L479/K479</f>
        <v/>
      </c>
      <c r="N479" s="14" t="inlineStr">
        <is>
          <t>将军撤退+大将军转向</t>
        </is>
      </c>
      <c r="O479" s="14" t="inlineStr">
        <is>
          <t>是</t>
        </is>
      </c>
    </row>
    <row r="480">
      <c r="A480" s="2" t="inlineStr">
        <is>
          <t>2025-09-23</t>
        </is>
      </c>
      <c r="B480" s="2" t="inlineStr">
        <is>
          <t>2025-09-24</t>
        </is>
      </c>
      <c r="C480" s="2" t="inlineStr">
        <is>
          <t>苯乙烯</t>
        </is>
      </c>
      <c r="D480" s="2" t="inlineStr">
        <is>
          <t>EB</t>
        </is>
      </c>
      <c r="E480" s="9" t="inlineStr">
        <is>
          <t>空</t>
        </is>
      </c>
      <c r="F480" s="2" t="inlineStr">
        <is>
          <t>★★★</t>
        </is>
      </c>
      <c r="G480" s="10" t="n">
        <v>21</v>
      </c>
      <c r="H480" s="11" t="n">
        <v>6900</v>
      </c>
      <c r="I480" s="11" t="n">
        <v>6928</v>
      </c>
      <c r="J480" s="10" t="n">
        <v>5</v>
      </c>
      <c r="K480" s="10" t="n">
        <v>30000</v>
      </c>
      <c r="L480" s="23">
        <f>IF(E480="多",1,-1)*(I480-H480)*G480*J480</f>
        <v/>
      </c>
      <c r="M480" s="24">
        <f>L480/K480</f>
        <v/>
      </c>
      <c r="N480" s="2" t="inlineStr">
        <is>
          <t>将军撤退+大将军转向</t>
        </is>
      </c>
      <c r="O480" s="2" t="inlineStr">
        <is>
          <t>否</t>
        </is>
      </c>
    </row>
    <row r="481">
      <c r="A481" s="14" t="inlineStr">
        <is>
          <t>2025-09-19</t>
        </is>
      </c>
      <c r="B481" s="14" t="inlineStr">
        <is>
          <t>2025-09-24</t>
        </is>
      </c>
      <c r="C481" s="14" t="inlineStr">
        <is>
          <t>聚丙烯</t>
        </is>
      </c>
      <c r="D481" s="14" t="inlineStr">
        <is>
          <t>PP</t>
        </is>
      </c>
      <c r="E481" s="14" t="inlineStr">
        <is>
          <t>空</t>
        </is>
      </c>
      <c r="F481" s="14" t="inlineStr">
        <is>
          <t>★★★</t>
        </is>
      </c>
      <c r="G481" s="14" t="n">
        <v>15</v>
      </c>
      <c r="H481" s="15" t="n">
        <v>6917</v>
      </c>
      <c r="I481" s="15" t="n">
        <v>6877</v>
      </c>
      <c r="J481" s="14" t="n">
        <v>5</v>
      </c>
      <c r="K481" s="14" t="n">
        <v>10000</v>
      </c>
      <c r="L481" s="25">
        <f>IF(E481="多",1,-1)*(I481-H481)*G481*J481</f>
        <v/>
      </c>
      <c r="M481" s="26">
        <f>L481/K481</f>
        <v/>
      </c>
      <c r="N481" s="14" t="inlineStr">
        <is>
          <t>大将军转向</t>
        </is>
      </c>
      <c r="O481" s="14" t="inlineStr">
        <is>
          <t>是</t>
        </is>
      </c>
    </row>
    <row r="482">
      <c r="A482" s="2" t="inlineStr">
        <is>
          <t>2025-09-18</t>
        </is>
      </c>
      <c r="B482" s="2" t="inlineStr">
        <is>
          <t>2025-09-22</t>
        </is>
      </c>
      <c r="C482" s="2" t="inlineStr">
        <is>
          <t>甲醇</t>
        </is>
      </c>
      <c r="D482" s="2" t="inlineStr">
        <is>
          <t>MA</t>
        </is>
      </c>
      <c r="E482" s="9" t="inlineStr">
        <is>
          <t>空</t>
        </is>
      </c>
      <c r="F482" s="2" t="inlineStr">
        <is>
          <t>★★★</t>
        </is>
      </c>
      <c r="G482" s="10" t="n">
        <v>10</v>
      </c>
      <c r="H482" s="11" t="n">
        <v>2350</v>
      </c>
      <c r="I482" s="11" t="n">
        <v>2348</v>
      </c>
      <c r="J482" s="10" t="n">
        <v>10</v>
      </c>
      <c r="K482" s="10" t="n">
        <v>10000</v>
      </c>
      <c r="L482" s="23">
        <f>IF(E482="多",1,-1)*(I482-H482)*G482*J482</f>
        <v/>
      </c>
      <c r="M482" s="24">
        <f>L482/K482</f>
        <v/>
      </c>
      <c r="N482" s="2" t="inlineStr">
        <is>
          <t>将军撤退+大将军转向</t>
        </is>
      </c>
      <c r="O482" s="2" t="inlineStr">
        <is>
          <t>否</t>
        </is>
      </c>
    </row>
    <row r="483">
      <c r="A483" s="14" t="inlineStr">
        <is>
          <t>2025-09-17</t>
        </is>
      </c>
      <c r="B483" s="14" t="inlineStr">
        <is>
          <t>2025-09-22</t>
        </is>
      </c>
      <c r="C483" s="14" t="inlineStr">
        <is>
          <t>PTA</t>
        </is>
      </c>
      <c r="D483" s="14" t="inlineStr">
        <is>
          <t>TA</t>
        </is>
      </c>
      <c r="E483" s="14" t="inlineStr">
        <is>
          <t>多</t>
        </is>
      </c>
      <c r="F483" s="14" t="inlineStr">
        <is>
          <t>★★</t>
        </is>
      </c>
      <c r="G483" s="14" t="n">
        <v>13</v>
      </c>
      <c r="H483" s="15" t="n">
        <v>4704</v>
      </c>
      <c r="I483" s="15" t="n">
        <v>4587.29</v>
      </c>
      <c r="J483" s="14" t="n">
        <v>5</v>
      </c>
      <c r="K483" s="14" t="n">
        <v>10000</v>
      </c>
      <c r="L483" s="25">
        <f>IF(E483="多",1,-1)*(I483-H483)*G483*J483</f>
        <v/>
      </c>
      <c r="M483" s="26">
        <f>L483/K483</f>
        <v/>
      </c>
      <c r="N483" s="14" t="inlineStr">
        <is>
          <t>止损</t>
        </is>
      </c>
      <c r="O483" s="14" t="inlineStr">
        <is>
          <t>是</t>
        </is>
      </c>
    </row>
    <row r="484">
      <c r="A484" s="2" t="inlineStr">
        <is>
          <t>2025-09-16</t>
        </is>
      </c>
      <c r="B484" s="2" t="inlineStr">
        <is>
          <t>2025-09-22</t>
        </is>
      </c>
      <c r="C484" s="2" t="inlineStr">
        <is>
          <t>沪银</t>
        </is>
      </c>
      <c r="D484" s="2" t="inlineStr">
        <is>
          <t>AG</t>
        </is>
      </c>
      <c r="E484" s="19" t="inlineStr">
        <is>
          <t>多</t>
        </is>
      </c>
      <c r="F484" s="2" t="inlineStr">
        <is>
          <t>★★★</t>
        </is>
      </c>
      <c r="G484" s="10" t="n">
        <v>3</v>
      </c>
      <c r="H484" s="11" t="n">
        <v>10149</v>
      </c>
      <c r="I484" s="11" t="n">
        <v>10317</v>
      </c>
      <c r="J484" s="10" t="n">
        <v>15</v>
      </c>
      <c r="K484" s="10" t="n">
        <v>30000</v>
      </c>
      <c r="L484" s="23">
        <f>IF(E484="多",1,-1)*(I484-H484)*G484*J484</f>
        <v/>
      </c>
      <c r="M484" s="24">
        <f>L484/K484</f>
        <v/>
      </c>
      <c r="N484" s="2" t="inlineStr">
        <is>
          <t>将军撤退</t>
        </is>
      </c>
      <c r="O484" s="2" t="inlineStr">
        <is>
          <t>否</t>
        </is>
      </c>
    </row>
    <row r="485">
      <c r="A485" s="2" t="inlineStr">
        <is>
          <t>2025-09-11</t>
        </is>
      </c>
      <c r="B485" s="2" t="inlineStr">
        <is>
          <t>2025-09-22</t>
        </is>
      </c>
      <c r="C485" s="2" t="inlineStr">
        <is>
          <t>螺纹钢</t>
        </is>
      </c>
      <c r="D485" s="2" t="inlineStr">
        <is>
          <t>RB</t>
        </is>
      </c>
      <c r="E485" s="9" t="inlineStr">
        <is>
          <t>空</t>
        </is>
      </c>
      <c r="F485" s="2" t="inlineStr">
        <is>
          <t>★★★</t>
        </is>
      </c>
      <c r="G485" s="10" t="n">
        <v>23</v>
      </c>
      <c r="H485" s="11" t="n">
        <v>3092</v>
      </c>
      <c r="I485" s="11" t="n">
        <v>3200.79</v>
      </c>
      <c r="J485" s="10" t="n">
        <v>10</v>
      </c>
      <c r="K485" s="10" t="n">
        <v>30000</v>
      </c>
      <c r="L485" s="23">
        <f>IF(E485="多",1,-1)*(I485-H485)*G485*J485</f>
        <v/>
      </c>
      <c r="M485" s="24">
        <f>L485/K485</f>
        <v/>
      </c>
      <c r="N485" s="2" t="inlineStr">
        <is>
          <t>止损</t>
        </is>
      </c>
      <c r="O485" s="2" t="inlineStr">
        <is>
          <t>否</t>
        </is>
      </c>
    </row>
    <row r="486">
      <c r="A486" s="14" t="inlineStr">
        <is>
          <t>2025-09-17</t>
        </is>
      </c>
      <c r="B486" s="14" t="inlineStr">
        <is>
          <t>2025-09-18</t>
        </is>
      </c>
      <c r="C486" s="14" t="inlineStr">
        <is>
          <t>工业硅</t>
        </is>
      </c>
      <c r="D486" s="14" t="inlineStr">
        <is>
          <t>SI</t>
        </is>
      </c>
      <c r="E486" s="14" t="inlineStr">
        <is>
          <t>多</t>
        </is>
      </c>
      <c r="F486" s="14" t="inlineStr">
        <is>
          <t>★★</t>
        </is>
      </c>
      <c r="G486" s="14" t="n">
        <v>2</v>
      </c>
      <c r="H486" s="15" t="n">
        <v>8920</v>
      </c>
      <c r="I486" s="15" t="n">
        <v>8905</v>
      </c>
      <c r="J486" s="14" t="n">
        <v>5</v>
      </c>
      <c r="K486" s="14" t="n">
        <v>10000</v>
      </c>
      <c r="L486" s="25">
        <f>IF(E486="多",1,-1)*(I486-H486)*G486*J486</f>
        <v/>
      </c>
      <c r="M486" s="26">
        <f>L486/K486</f>
        <v/>
      </c>
      <c r="N486" s="14" t="inlineStr">
        <is>
          <t>将军撤退+大将军转向</t>
        </is>
      </c>
      <c r="O486" s="14" t="inlineStr">
        <is>
          <t>是</t>
        </is>
      </c>
    </row>
    <row r="487">
      <c r="A487" s="2" t="inlineStr">
        <is>
          <t>2025-09-11</t>
        </is>
      </c>
      <c r="B487" s="2" t="inlineStr">
        <is>
          <t>2025-09-18</t>
        </is>
      </c>
      <c r="C487" s="2" t="inlineStr">
        <is>
          <t>玻璃</t>
        </is>
      </c>
      <c r="D487" s="2" t="inlineStr">
        <is>
          <t>FG</t>
        </is>
      </c>
      <c r="E487" s="9" t="inlineStr">
        <is>
          <t>空</t>
        </is>
      </c>
      <c r="F487" s="2" t="inlineStr">
        <is>
          <t>★★★</t>
        </is>
      </c>
      <c r="G487" s="10" t="n">
        <v>4</v>
      </c>
      <c r="H487" s="11" t="n">
        <v>1182</v>
      </c>
      <c r="I487" s="11" t="n">
        <v>1208</v>
      </c>
      <c r="J487" s="10" t="n">
        <v>20</v>
      </c>
      <c r="K487" s="10" t="n">
        <v>10000</v>
      </c>
      <c r="L487" s="23">
        <f>IF(E487="多",1,-1)*(I487-H487)*G487*J487</f>
        <v/>
      </c>
      <c r="M487" s="24">
        <f>L487/K487</f>
        <v/>
      </c>
      <c r="N487" s="2" t="inlineStr">
        <is>
          <t>大将军转向</t>
        </is>
      </c>
      <c r="O487" s="2" t="inlineStr">
        <is>
          <t>否</t>
        </is>
      </c>
    </row>
    <row r="488">
      <c r="A488" s="14" t="inlineStr">
        <is>
          <t>2025-09-16</t>
        </is>
      </c>
      <c r="B488" s="14" t="inlineStr">
        <is>
          <t>2025-09-17</t>
        </is>
      </c>
      <c r="C488" s="14" t="inlineStr">
        <is>
          <t>铁矿石</t>
        </is>
      </c>
      <c r="D488" s="14" t="inlineStr">
        <is>
          <t>I</t>
        </is>
      </c>
      <c r="E488" s="14" t="inlineStr">
        <is>
          <t>多</t>
        </is>
      </c>
      <c r="F488" s="14" t="inlineStr">
        <is>
          <t>★★</t>
        </is>
      </c>
      <c r="G488" s="14" t="n">
        <v>2</v>
      </c>
      <c r="H488" s="15" t="n">
        <v>804</v>
      </c>
      <c r="I488" s="15" t="n">
        <v>804.5</v>
      </c>
      <c r="J488" s="14" t="n">
        <v>100</v>
      </c>
      <c r="K488" s="14" t="n">
        <v>10000</v>
      </c>
      <c r="L488" s="25">
        <f>IF(E488="多",1,-1)*(I488-H488)*G488*J488</f>
        <v/>
      </c>
      <c r="M488" s="26">
        <f>L488/K488</f>
        <v/>
      </c>
      <c r="N488" s="14" t="inlineStr">
        <is>
          <t>大将军转向</t>
        </is>
      </c>
      <c r="O488" s="14" t="inlineStr">
        <is>
          <t>是</t>
        </is>
      </c>
    </row>
    <row r="489">
      <c r="A489" s="14" t="inlineStr">
        <is>
          <t>2025-09-11</t>
        </is>
      </c>
      <c r="B489" s="14" t="inlineStr">
        <is>
          <t>2025-09-17</t>
        </is>
      </c>
      <c r="C489" s="14" t="inlineStr">
        <is>
          <t>豆粕</t>
        </is>
      </c>
      <c r="D489" s="14" t="inlineStr">
        <is>
          <t>M</t>
        </is>
      </c>
      <c r="E489" s="14" t="inlineStr">
        <is>
          <t>多</t>
        </is>
      </c>
      <c r="F489" s="14" t="inlineStr">
        <is>
          <t>★★</t>
        </is>
      </c>
      <c r="G489" s="14" t="n">
        <v>10</v>
      </c>
      <c r="H489" s="15" t="n">
        <v>3090</v>
      </c>
      <c r="I489" s="15" t="n">
        <v>3008.71</v>
      </c>
      <c r="J489" s="14" t="n">
        <v>10</v>
      </c>
      <c r="K489" s="14" t="n">
        <v>10000</v>
      </c>
      <c r="L489" s="25">
        <f>IF(E489="多",1,-1)*(I489-H489)*G489*J489</f>
        <v/>
      </c>
      <c r="M489" s="26">
        <f>L489/K489</f>
        <v/>
      </c>
      <c r="N489" s="14" t="inlineStr">
        <is>
          <t>止损</t>
        </is>
      </c>
      <c r="O489" s="14" t="inlineStr">
        <is>
          <t>是</t>
        </is>
      </c>
    </row>
    <row r="490">
      <c r="A490" s="14" t="inlineStr">
        <is>
          <t>2025-09-10</t>
        </is>
      </c>
      <c r="B490" s="14" t="inlineStr">
        <is>
          <t>2025-09-17</t>
        </is>
      </c>
      <c r="C490" s="14" t="inlineStr">
        <is>
          <t>聚丙烯</t>
        </is>
      </c>
      <c r="D490" s="14" t="inlineStr">
        <is>
          <t>PP</t>
        </is>
      </c>
      <c r="E490" s="14" t="inlineStr">
        <is>
          <t>空</t>
        </is>
      </c>
      <c r="F490" s="14" t="inlineStr">
        <is>
          <t>★★★</t>
        </is>
      </c>
      <c r="G490" s="14" t="n">
        <v>15</v>
      </c>
      <c r="H490" s="15" t="n">
        <v>6952</v>
      </c>
      <c r="I490" s="15" t="n">
        <v>6982</v>
      </c>
      <c r="J490" s="14" t="n">
        <v>5</v>
      </c>
      <c r="K490" s="14" t="n">
        <v>10000</v>
      </c>
      <c r="L490" s="25">
        <f>IF(E490="多",1,-1)*(I490-H490)*G490*J490</f>
        <v/>
      </c>
      <c r="M490" s="26">
        <f>L490/K490</f>
        <v/>
      </c>
      <c r="N490" s="14" t="inlineStr">
        <is>
          <t>大将军转向</t>
        </is>
      </c>
      <c r="O490" s="14" t="inlineStr">
        <is>
          <t>是</t>
        </is>
      </c>
    </row>
    <row r="491">
      <c r="A491" s="2" t="inlineStr">
        <is>
          <t>2025-09-15</t>
        </is>
      </c>
      <c r="B491" s="2" t="inlineStr">
        <is>
          <t>2025-09-16</t>
        </is>
      </c>
      <c r="C491" s="2" t="inlineStr">
        <is>
          <t>菜粕</t>
        </is>
      </c>
      <c r="D491" s="2" t="inlineStr">
        <is>
          <t>RM</t>
        </is>
      </c>
      <c r="E491" s="9" t="inlineStr">
        <is>
          <t>空</t>
        </is>
      </c>
      <c r="F491" s="2" t="inlineStr">
        <is>
          <t>★★★</t>
        </is>
      </c>
      <c r="G491" s="10" t="n">
        <v>22</v>
      </c>
      <c r="H491" s="11" t="n">
        <v>2504</v>
      </c>
      <c r="I491" s="11" t="n">
        <v>2518</v>
      </c>
      <c r="J491" s="10" t="n">
        <v>10</v>
      </c>
      <c r="K491" s="10" t="n">
        <v>30000</v>
      </c>
      <c r="L491" s="23">
        <f>IF(E491="多",1,-1)*(I491-H491)*G491*J491</f>
        <v/>
      </c>
      <c r="M491" s="24">
        <f>L491/K491</f>
        <v/>
      </c>
      <c r="N491" s="2" t="inlineStr">
        <is>
          <t>将军撤退</t>
        </is>
      </c>
      <c r="O491" s="2" t="inlineStr">
        <is>
          <t>否</t>
        </is>
      </c>
    </row>
    <row r="492">
      <c r="A492" s="2" t="inlineStr">
        <is>
          <t>2025-09-12</t>
        </is>
      </c>
      <c r="B492" s="2" t="inlineStr">
        <is>
          <t>2025-09-15</t>
        </is>
      </c>
      <c r="C492" s="2" t="inlineStr">
        <is>
          <t>苯乙烯</t>
        </is>
      </c>
      <c r="D492" s="2" t="inlineStr">
        <is>
          <t>EB</t>
        </is>
      </c>
      <c r="E492" s="9" t="inlineStr">
        <is>
          <t>空</t>
        </is>
      </c>
      <c r="F492" s="2" t="inlineStr">
        <is>
          <t>★★★</t>
        </is>
      </c>
      <c r="G492" s="10" t="n">
        <v>21</v>
      </c>
      <c r="H492" s="11" t="n">
        <v>7073</v>
      </c>
      <c r="I492" s="11" t="n">
        <v>7087</v>
      </c>
      <c r="J492" s="10" t="n">
        <v>5</v>
      </c>
      <c r="K492" s="10" t="n">
        <v>30000</v>
      </c>
      <c r="L492" s="23">
        <f>IF(E492="多",1,-1)*(I492-H492)*G492*J492</f>
        <v/>
      </c>
      <c r="M492" s="24">
        <f>L492/K492</f>
        <v/>
      </c>
      <c r="N492" s="2" t="inlineStr">
        <is>
          <t>大将军转向</t>
        </is>
      </c>
      <c r="O492" s="2" t="inlineStr">
        <is>
          <t>否</t>
        </is>
      </c>
    </row>
    <row r="493">
      <c r="A493" s="2" t="inlineStr">
        <is>
          <t>2025-09-11</t>
        </is>
      </c>
      <c r="B493" s="2" t="inlineStr">
        <is>
          <t>2025-09-15</t>
        </is>
      </c>
      <c r="C493" s="2" t="inlineStr">
        <is>
          <t>沪铝</t>
        </is>
      </c>
      <c r="D493" s="2" t="inlineStr">
        <is>
          <t>AL</t>
        </is>
      </c>
      <c r="E493" s="19" t="inlineStr">
        <is>
          <t>多</t>
        </is>
      </c>
      <c r="F493" s="2" t="inlineStr">
        <is>
          <t>★★★</t>
        </is>
      </c>
      <c r="G493" s="10" t="n">
        <v>13</v>
      </c>
      <c r="H493" s="11" t="n">
        <v>20955</v>
      </c>
      <c r="I493" s="11" t="n">
        <v>21025</v>
      </c>
      <c r="J493" s="10" t="n">
        <v>5</v>
      </c>
      <c r="K493" s="10" t="n">
        <v>30000</v>
      </c>
      <c r="L493" s="23">
        <f>IF(E493="多",1,-1)*(I493-H493)*G493*J493</f>
        <v/>
      </c>
      <c r="M493" s="24">
        <f>L493/K493</f>
        <v/>
      </c>
      <c r="N493" s="2" t="inlineStr">
        <is>
          <t>将军撤退</t>
        </is>
      </c>
      <c r="O493" s="2" t="inlineStr">
        <is>
          <t>否</t>
        </is>
      </c>
    </row>
    <row r="494">
      <c r="A494" s="14" t="inlineStr">
        <is>
          <t>2025-09-08</t>
        </is>
      </c>
      <c r="B494" s="14" t="inlineStr">
        <is>
          <t>2025-09-15</t>
        </is>
      </c>
      <c r="C494" s="14" t="inlineStr">
        <is>
          <t>玉米</t>
        </is>
      </c>
      <c r="D494" s="14" t="inlineStr">
        <is>
          <t>C</t>
        </is>
      </c>
      <c r="E494" s="14" t="inlineStr">
        <is>
          <t>多</t>
        </is>
      </c>
      <c r="F494" s="14" t="inlineStr">
        <is>
          <t>★★</t>
        </is>
      </c>
      <c r="G494" s="14" t="n">
        <v>17</v>
      </c>
      <c r="H494" s="15" t="n">
        <v>2231</v>
      </c>
      <c r="I494" s="15" t="n">
        <v>2180</v>
      </c>
      <c r="J494" s="14" t="n">
        <v>10</v>
      </c>
      <c r="K494" s="14" t="n">
        <v>10000</v>
      </c>
      <c r="L494" s="25">
        <f>IF(E494="多",1,-1)*(I494-H494)*G494*J494</f>
        <v/>
      </c>
      <c r="M494" s="26">
        <f>L494/K494</f>
        <v/>
      </c>
      <c r="N494" s="14" t="inlineStr">
        <is>
          <t>止损</t>
        </is>
      </c>
      <c r="O494" s="14" t="inlineStr">
        <is>
          <t>是</t>
        </is>
      </c>
    </row>
    <row r="495">
      <c r="A495" s="14" t="inlineStr">
        <is>
          <t>2025-09-03</t>
        </is>
      </c>
      <c r="B495" s="14" t="inlineStr">
        <is>
          <t>2025-09-15</t>
        </is>
      </c>
      <c r="C495" s="14" t="inlineStr">
        <is>
          <t>硅铁</t>
        </is>
      </c>
      <c r="D495" s="14" t="inlineStr">
        <is>
          <t>SF</t>
        </is>
      </c>
      <c r="E495" s="14" t="inlineStr">
        <is>
          <t>空</t>
        </is>
      </c>
      <c r="F495" s="14" t="inlineStr">
        <is>
          <t>★★★</t>
        </is>
      </c>
      <c r="G495" s="14" t="n">
        <v>7</v>
      </c>
      <c r="H495" s="15" t="n">
        <v>5482</v>
      </c>
      <c r="I495" s="15" t="n">
        <v>5698.57</v>
      </c>
      <c r="J495" s="14" t="n">
        <v>5</v>
      </c>
      <c r="K495" s="14" t="n">
        <v>10000</v>
      </c>
      <c r="L495" s="25">
        <f>IF(E495="多",1,-1)*(I495-H495)*G495*J495</f>
        <v/>
      </c>
      <c r="M495" s="26">
        <f>L495/K495</f>
        <v/>
      </c>
      <c r="N495" s="14" t="inlineStr">
        <is>
          <t>止损</t>
        </is>
      </c>
      <c r="O495" s="14" t="inlineStr">
        <is>
          <t>是</t>
        </is>
      </c>
    </row>
    <row r="496">
      <c r="A496" s="14" t="inlineStr">
        <is>
          <t>2025-09-11</t>
        </is>
      </c>
      <c r="B496" s="14" t="inlineStr">
        <is>
          <t>2025-09-12</t>
        </is>
      </c>
      <c r="C496" s="14" t="inlineStr">
        <is>
          <t>菜油</t>
        </is>
      </c>
      <c r="D496" s="14" t="inlineStr">
        <is>
          <t>OI</t>
        </is>
      </c>
      <c r="E496" s="14" t="inlineStr">
        <is>
          <t>多</t>
        </is>
      </c>
      <c r="F496" s="14" t="inlineStr">
        <is>
          <t>★★</t>
        </is>
      </c>
      <c r="G496" s="14" t="n">
        <v>2</v>
      </c>
      <c r="H496" s="15" t="n">
        <v>9894</v>
      </c>
      <c r="I496" s="15" t="n">
        <v>9857</v>
      </c>
      <c r="J496" s="14" t="n">
        <v>10</v>
      </c>
      <c r="K496" s="14" t="n">
        <v>10000</v>
      </c>
      <c r="L496" s="25">
        <f>IF(E496="多",1,-1)*(I496-H496)*G496*J496</f>
        <v/>
      </c>
      <c r="M496" s="26">
        <f>L496/K496</f>
        <v/>
      </c>
      <c r="N496" s="14" t="inlineStr">
        <is>
          <t>大将军转向</t>
        </is>
      </c>
      <c r="O496" s="14" t="inlineStr">
        <is>
          <t>是</t>
        </is>
      </c>
    </row>
    <row r="497">
      <c r="A497" s="14" t="inlineStr">
        <is>
          <t>2025-09-10</t>
        </is>
      </c>
      <c r="B497" s="14" t="inlineStr">
        <is>
          <t>2025-09-12</t>
        </is>
      </c>
      <c r="C497" s="14" t="inlineStr">
        <is>
          <t>沪锌</t>
        </is>
      </c>
      <c r="D497" s="14" t="inlineStr">
        <is>
          <t>ZN</t>
        </is>
      </c>
      <c r="E497" s="14" t="inlineStr">
        <is>
          <t>多</t>
        </is>
      </c>
      <c r="F497" s="14" t="inlineStr">
        <is>
          <t>★★</t>
        </is>
      </c>
      <c r="G497" s="14" t="n">
        <v>3</v>
      </c>
      <c r="H497" s="15" t="n">
        <v>22205</v>
      </c>
      <c r="I497" s="15" t="n">
        <v>22305</v>
      </c>
      <c r="J497" s="14" t="n">
        <v>5</v>
      </c>
      <c r="K497" s="14" t="n">
        <v>10000</v>
      </c>
      <c r="L497" s="25">
        <f>IF(E497="多",1,-1)*(I497-H497)*G497*J497</f>
        <v/>
      </c>
      <c r="M497" s="26">
        <f>L497/K497</f>
        <v/>
      </c>
      <c r="N497" s="14" t="inlineStr">
        <is>
          <t>大将军转向</t>
        </is>
      </c>
      <c r="O497" s="14" t="inlineStr">
        <is>
          <t>是</t>
        </is>
      </c>
    </row>
    <row r="498">
      <c r="A498" s="2" t="inlineStr">
        <is>
          <t>2025-09-09</t>
        </is>
      </c>
      <c r="B498" s="2" t="inlineStr">
        <is>
          <t>2025-09-12</t>
        </is>
      </c>
      <c r="C498" s="2" t="inlineStr">
        <is>
          <t>焦煤</t>
        </is>
      </c>
      <c r="D498" s="2" t="inlineStr">
        <is>
          <t>JM</t>
        </is>
      </c>
      <c r="E498" s="9" t="inlineStr">
        <is>
          <t>空</t>
        </is>
      </c>
      <c r="F498" s="2" t="inlineStr">
        <is>
          <t>★★★</t>
        </is>
      </c>
      <c r="G498" s="10" t="n">
        <v>3</v>
      </c>
      <c r="H498" s="11" t="n">
        <v>1117</v>
      </c>
      <c r="I498" s="11" t="n">
        <v>1144.5</v>
      </c>
      <c r="J498" s="10" t="n">
        <v>60</v>
      </c>
      <c r="K498" s="10" t="n">
        <v>30000</v>
      </c>
      <c r="L498" s="23">
        <f>IF(E498="多",1,-1)*(I498-H498)*G498*J498</f>
        <v/>
      </c>
      <c r="M498" s="24">
        <f>L498/K498</f>
        <v/>
      </c>
      <c r="N498" s="2" t="inlineStr">
        <is>
          <t>将军撤退</t>
        </is>
      </c>
      <c r="O498" s="2" t="inlineStr">
        <is>
          <t>否</t>
        </is>
      </c>
    </row>
    <row r="499">
      <c r="A499" s="14" t="inlineStr">
        <is>
          <t>2025-09-10</t>
        </is>
      </c>
      <c r="B499" s="14" t="inlineStr">
        <is>
          <t>2025-09-11</t>
        </is>
      </c>
      <c r="C499" s="14" t="inlineStr">
        <is>
          <t>铁矿石</t>
        </is>
      </c>
      <c r="D499" s="14" t="inlineStr">
        <is>
          <t>I</t>
        </is>
      </c>
      <c r="E499" s="14" t="inlineStr">
        <is>
          <t>多</t>
        </is>
      </c>
      <c r="F499" s="14" t="inlineStr">
        <is>
          <t>★★</t>
        </is>
      </c>
      <c r="G499" s="14" t="n">
        <v>2</v>
      </c>
      <c r="H499" s="15" t="n">
        <v>804.5</v>
      </c>
      <c r="I499" s="15" t="n">
        <v>795.5</v>
      </c>
      <c r="J499" s="14" t="n">
        <v>100</v>
      </c>
      <c r="K499" s="14" t="n">
        <v>10000</v>
      </c>
      <c r="L499" s="25">
        <f>IF(E499="多",1,-1)*(I499-H499)*G499*J499</f>
        <v/>
      </c>
      <c r="M499" s="26">
        <f>L499/K499</f>
        <v/>
      </c>
      <c r="N499" s="14" t="inlineStr">
        <is>
          <t>将军撤退+大将军转向</t>
        </is>
      </c>
      <c r="O499" s="14" t="inlineStr">
        <is>
          <t>是</t>
        </is>
      </c>
    </row>
    <row r="500">
      <c r="A500" s="2" t="inlineStr">
        <is>
          <t>2025-09-05</t>
        </is>
      </c>
      <c r="B500" s="2" t="inlineStr">
        <is>
          <t>2025-09-11</t>
        </is>
      </c>
      <c r="C500" s="2" t="inlineStr">
        <is>
          <t>沪金</t>
        </is>
      </c>
      <c r="D500" s="2" t="inlineStr">
        <is>
          <t>AU</t>
        </is>
      </c>
      <c r="E500" s="19" t="inlineStr">
        <is>
          <t>多</t>
        </is>
      </c>
      <c r="F500" s="2" t="inlineStr">
        <is>
          <t>★★★</t>
        </is>
      </c>
      <c r="G500" s="10" t="n">
        <v>1</v>
      </c>
      <c r="H500" s="11" t="n">
        <v>823.54</v>
      </c>
      <c r="I500" s="11" t="n">
        <v>832.84</v>
      </c>
      <c r="J500" s="10" t="n">
        <v>1000</v>
      </c>
      <c r="K500" s="10" t="n">
        <v>30000</v>
      </c>
      <c r="L500" s="23">
        <f>IF(E500="多",1,-1)*(I500-H500)*G500*J500</f>
        <v/>
      </c>
      <c r="M500" s="24">
        <f>L500/K500</f>
        <v/>
      </c>
      <c r="N500" s="2" t="inlineStr">
        <is>
          <t>将军撤退</t>
        </is>
      </c>
      <c r="O500" s="2" t="inlineStr">
        <is>
          <t>否</t>
        </is>
      </c>
    </row>
    <row r="501">
      <c r="A501" s="2" t="inlineStr">
        <is>
          <t>2025-09-03</t>
        </is>
      </c>
      <c r="B501" s="2" t="inlineStr">
        <is>
          <t>2025-09-11</t>
        </is>
      </c>
      <c r="C501" s="2" t="inlineStr">
        <is>
          <t>PVC</t>
        </is>
      </c>
      <c r="D501" s="2" t="inlineStr">
        <is>
          <t>V</t>
        </is>
      </c>
      <c r="E501" s="9" t="inlineStr">
        <is>
          <t>空</t>
        </is>
      </c>
      <c r="F501" s="2" t="inlineStr">
        <is>
          <t>★★★</t>
        </is>
      </c>
      <c r="G501" s="10" t="n">
        <v>31</v>
      </c>
      <c r="H501" s="11" t="n">
        <v>4874</v>
      </c>
      <c r="I501" s="11" t="n">
        <v>4888</v>
      </c>
      <c r="J501" s="10" t="n">
        <v>5</v>
      </c>
      <c r="K501" s="10" t="n">
        <v>30000</v>
      </c>
      <c r="L501" s="23">
        <f>IF(E501="多",1,-1)*(I501-H501)*G501*J501</f>
        <v/>
      </c>
      <c r="M501" s="24">
        <f>L501/K501</f>
        <v/>
      </c>
      <c r="N501" s="2" t="inlineStr">
        <is>
          <t>大将军转向</t>
        </is>
      </c>
      <c r="O501" s="2" t="inlineStr">
        <is>
          <t>否</t>
        </is>
      </c>
    </row>
    <row r="502">
      <c r="A502" s="14" t="inlineStr">
        <is>
          <t>2025-09-03</t>
        </is>
      </c>
      <c r="B502" s="14" t="inlineStr">
        <is>
          <t>2025-09-10</t>
        </is>
      </c>
      <c r="C502" s="14" t="inlineStr">
        <is>
          <t>碳酸锂</t>
        </is>
      </c>
      <c r="D502" s="14" t="inlineStr">
        <is>
          <t>LC</t>
        </is>
      </c>
      <c r="E502" s="14" t="inlineStr">
        <is>
          <t>空</t>
        </is>
      </c>
      <c r="F502" s="14" t="inlineStr">
        <is>
          <t>★★★</t>
        </is>
      </c>
      <c r="G502" s="14" t="n">
        <v>1</v>
      </c>
      <c r="H502" s="15" t="n">
        <v>71200</v>
      </c>
      <c r="I502" s="15" t="n">
        <v>70720</v>
      </c>
      <c r="J502" s="14" t="n">
        <v>1</v>
      </c>
      <c r="K502" s="14" t="n">
        <v>10000</v>
      </c>
      <c r="L502" s="25">
        <f>IF(E502="多",1,-1)*(I502-H502)*G502*J502</f>
        <v/>
      </c>
      <c r="M502" s="26">
        <f>L502/K502</f>
        <v/>
      </c>
      <c r="N502" s="14" t="inlineStr">
        <is>
          <t>大将军转向</t>
        </is>
      </c>
      <c r="O502" s="14" t="inlineStr">
        <is>
          <t>是</t>
        </is>
      </c>
    </row>
    <row r="503">
      <c r="A503" s="2" t="inlineStr">
        <is>
          <t>2025-09-04</t>
        </is>
      </c>
      <c r="B503" s="2" t="inlineStr">
        <is>
          <t>2025-09-05</t>
        </is>
      </c>
      <c r="C503" s="2" t="inlineStr">
        <is>
          <t>苯乙烯</t>
        </is>
      </c>
      <c r="D503" s="2" t="inlineStr">
        <is>
          <t>EB</t>
        </is>
      </c>
      <c r="E503" s="9" t="inlineStr">
        <is>
          <t>空</t>
        </is>
      </c>
      <c r="F503" s="2" t="inlineStr">
        <is>
          <t>★★★</t>
        </is>
      </c>
      <c r="G503" s="10" t="n">
        <v>18</v>
      </c>
      <c r="H503" s="11" t="n">
        <v>6980</v>
      </c>
      <c r="I503" s="11" t="n">
        <v>7107</v>
      </c>
      <c r="J503" s="10" t="n">
        <v>5</v>
      </c>
      <c r="K503" s="10" t="n">
        <v>30000</v>
      </c>
      <c r="L503" s="23">
        <f>IF(E503="多",1,-1)*(I503-H503)*G503*J503</f>
        <v/>
      </c>
      <c r="M503" s="24">
        <f>L503/K503</f>
        <v/>
      </c>
      <c r="N503" s="2" t="inlineStr">
        <is>
          <t>将军撤退</t>
        </is>
      </c>
      <c r="O503" s="2" t="inlineStr">
        <is>
          <t>否</t>
        </is>
      </c>
    </row>
    <row r="504">
      <c r="A504" s="2" t="inlineStr">
        <is>
          <t>2025-09-01</t>
        </is>
      </c>
      <c r="B504" s="2" t="inlineStr">
        <is>
          <t>2025-09-05</t>
        </is>
      </c>
      <c r="C504" s="2" t="inlineStr">
        <is>
          <t>锰硅</t>
        </is>
      </c>
      <c r="D504" s="2" t="inlineStr">
        <is>
          <t>SM</t>
        </is>
      </c>
      <c r="E504" s="9" t="inlineStr">
        <is>
          <t>空</t>
        </is>
      </c>
      <c r="F504" s="2" t="inlineStr">
        <is>
          <t>★★★</t>
        </is>
      </c>
      <c r="G504" s="10" t="n">
        <v>20</v>
      </c>
      <c r="H504" s="11" t="n">
        <v>5750</v>
      </c>
      <c r="I504" s="11" t="n">
        <v>5844</v>
      </c>
      <c r="J504" s="10" t="n">
        <v>5</v>
      </c>
      <c r="K504" s="10" t="n">
        <v>30000</v>
      </c>
      <c r="L504" s="23">
        <f>IF(E504="多",1,-1)*(I504-H504)*G504*J504</f>
        <v/>
      </c>
      <c r="M504" s="24">
        <f>L504/K504</f>
        <v/>
      </c>
      <c r="N504" s="2" t="inlineStr">
        <is>
          <t>大将军转向</t>
        </is>
      </c>
      <c r="O504" s="2" t="inlineStr">
        <is>
          <t>否</t>
        </is>
      </c>
    </row>
    <row r="505">
      <c r="A505" s="14" t="inlineStr">
        <is>
          <t>2025-09-01</t>
        </is>
      </c>
      <c r="B505" s="14" t="inlineStr">
        <is>
          <t>2025-09-05</t>
        </is>
      </c>
      <c r="C505" s="14" t="inlineStr">
        <is>
          <t>聚丙烯</t>
        </is>
      </c>
      <c r="D505" s="14" t="inlineStr">
        <is>
          <t>PP</t>
        </is>
      </c>
      <c r="E505" s="14" t="inlineStr">
        <is>
          <t>空</t>
        </is>
      </c>
      <c r="F505" s="14" t="inlineStr">
        <is>
          <t>★★★</t>
        </is>
      </c>
      <c r="G505" s="14" t="n">
        <v>14</v>
      </c>
      <c r="H505" s="15" t="n">
        <v>6967</v>
      </c>
      <c r="I505" s="15" t="n">
        <v>6961</v>
      </c>
      <c r="J505" s="14" t="n">
        <v>5</v>
      </c>
      <c r="K505" s="14" t="n">
        <v>10000</v>
      </c>
      <c r="L505" s="25">
        <f>IF(E505="多",1,-1)*(I505-H505)*G505*J505</f>
        <v/>
      </c>
      <c r="M505" s="26">
        <f>L505/K505</f>
        <v/>
      </c>
      <c r="N505" s="14" t="inlineStr">
        <is>
          <t>将军撤退</t>
        </is>
      </c>
      <c r="O505" s="14" t="inlineStr">
        <is>
          <t>是</t>
        </is>
      </c>
    </row>
    <row r="506">
      <c r="A506" s="14" t="inlineStr">
        <is>
          <t>2025-09-02</t>
        </is>
      </c>
      <c r="B506" s="14" t="inlineStr">
        <is>
          <t>2025-09-03</t>
        </is>
      </c>
      <c r="C506" s="14" t="inlineStr">
        <is>
          <t>甲醇</t>
        </is>
      </c>
      <c r="D506" s="14" t="inlineStr">
        <is>
          <t>MA</t>
        </is>
      </c>
      <c r="E506" s="14" t="inlineStr">
        <is>
          <t>空</t>
        </is>
      </c>
      <c r="F506" s="14" t="inlineStr">
        <is>
          <t>★★</t>
        </is>
      </c>
      <c r="G506" s="14" t="n">
        <v>9</v>
      </c>
      <c r="H506" s="15" t="n">
        <v>2373</v>
      </c>
      <c r="I506" s="15" t="n">
        <v>2382</v>
      </c>
      <c r="J506" s="14" t="n">
        <v>10</v>
      </c>
      <c r="K506" s="14" t="n">
        <v>10000</v>
      </c>
      <c r="L506" s="25">
        <f>IF(E506="多",1,-1)*(I506-H506)*G506*J506</f>
        <v/>
      </c>
      <c r="M506" s="26">
        <f>L506/K506</f>
        <v/>
      </c>
      <c r="N506" s="14" t="inlineStr">
        <is>
          <t>大将军转向</t>
        </is>
      </c>
      <c r="O506" s="14" t="inlineStr">
        <is>
          <t>是</t>
        </is>
      </c>
    </row>
    <row r="507">
      <c r="A507" s="2" t="inlineStr">
        <is>
          <t>2025-08-29</t>
        </is>
      </c>
      <c r="B507" s="2" t="inlineStr">
        <is>
          <t>2025-09-03</t>
        </is>
      </c>
      <c r="C507" s="2" t="inlineStr">
        <is>
          <t>苯乙烯</t>
        </is>
      </c>
      <c r="D507" s="2" t="inlineStr">
        <is>
          <t>EB</t>
        </is>
      </c>
      <c r="E507" s="9" t="inlineStr">
        <is>
          <t>空</t>
        </is>
      </c>
      <c r="F507" s="2" t="inlineStr">
        <is>
          <t>★★★</t>
        </is>
      </c>
      <c r="G507" s="10" t="n">
        <v>6</v>
      </c>
      <c r="H507" s="11" t="n">
        <v>7091</v>
      </c>
      <c r="I507" s="11" t="n">
        <v>7040</v>
      </c>
      <c r="J507" s="10" t="n">
        <v>5</v>
      </c>
      <c r="K507" s="10" t="n">
        <v>10000</v>
      </c>
      <c r="L507" s="23">
        <f>IF(E507="多",1,-1)*(I507-H507)*G507*J507</f>
        <v/>
      </c>
      <c r="M507" s="24">
        <f>L507/K507</f>
        <v/>
      </c>
      <c r="N507" s="2" t="inlineStr">
        <is>
          <t>大将军转向</t>
        </is>
      </c>
      <c r="O507" s="2" t="inlineStr">
        <is>
          <t>否</t>
        </is>
      </c>
    </row>
    <row r="508">
      <c r="A508" s="14" t="inlineStr">
        <is>
          <t>2025-08-27</t>
        </is>
      </c>
      <c r="B508" s="14" t="inlineStr">
        <is>
          <t>2025-09-03</t>
        </is>
      </c>
      <c r="C508" s="14" t="inlineStr">
        <is>
          <t>螺纹钢</t>
        </is>
      </c>
      <c r="D508" s="14" t="inlineStr">
        <is>
          <t>RB</t>
        </is>
      </c>
      <c r="E508" s="14" t="inlineStr">
        <is>
          <t>空</t>
        </is>
      </c>
      <c r="F508" s="14" t="inlineStr">
        <is>
          <t>★★★</t>
        </is>
      </c>
      <c r="G508" s="14" t="n">
        <v>8</v>
      </c>
      <c r="H508" s="15" t="n">
        <v>3176</v>
      </c>
      <c r="I508" s="15" t="n">
        <v>3106</v>
      </c>
      <c r="J508" s="14" t="n">
        <v>10</v>
      </c>
      <c r="K508" s="14" t="n">
        <v>10000</v>
      </c>
      <c r="L508" s="25">
        <f>IF(E508="多",1,-1)*(I508-H508)*G508*J508</f>
        <v/>
      </c>
      <c r="M508" s="26">
        <f>L508/K508</f>
        <v/>
      </c>
      <c r="N508" s="14" t="inlineStr">
        <is>
          <t>将军撤退</t>
        </is>
      </c>
      <c r="O508" s="14" t="inlineStr">
        <is>
          <t>是</t>
        </is>
      </c>
    </row>
    <row r="509">
      <c r="A509" s="14" t="inlineStr">
        <is>
          <t>2025-09-01</t>
        </is>
      </c>
      <c r="B509" s="14" t="inlineStr">
        <is>
          <t>2025-09-02</t>
        </is>
      </c>
      <c r="C509" s="14" t="inlineStr">
        <is>
          <t>PVC</t>
        </is>
      </c>
      <c r="D509" s="14" t="inlineStr">
        <is>
          <t>V</t>
        </is>
      </c>
      <c r="E509" s="14" t="inlineStr">
        <is>
          <t>空</t>
        </is>
      </c>
      <c r="F509" s="14" t="inlineStr">
        <is>
          <t>★★</t>
        </is>
      </c>
      <c r="G509" s="14" t="n">
        <v>11</v>
      </c>
      <c r="H509" s="15" t="n">
        <v>4883</v>
      </c>
      <c r="I509" s="15" t="n">
        <v>4888</v>
      </c>
      <c r="J509" s="14" t="n">
        <v>5</v>
      </c>
      <c r="K509" s="14" t="n">
        <v>10000</v>
      </c>
      <c r="L509" s="25">
        <f>IF(E509="多",1,-1)*(I509-H509)*G509*J509</f>
        <v/>
      </c>
      <c r="M509" s="26">
        <f>L509/K509</f>
        <v/>
      </c>
      <c r="N509" s="14" t="inlineStr">
        <is>
          <t>将军撤退</t>
        </is>
      </c>
      <c r="O509" s="14" t="inlineStr">
        <is>
          <t>是</t>
        </is>
      </c>
    </row>
    <row r="510">
      <c r="A510" s="2" t="inlineStr">
        <is>
          <t>2025-08-29</t>
        </is>
      </c>
      <c r="B510" s="2" t="inlineStr">
        <is>
          <t>2025-09-01</t>
        </is>
      </c>
      <c r="C510" s="2" t="inlineStr">
        <is>
          <t>热卷</t>
        </is>
      </c>
      <c r="D510" s="2" t="inlineStr">
        <is>
          <t>HC</t>
        </is>
      </c>
      <c r="E510" s="9" t="inlineStr">
        <is>
          <t>空</t>
        </is>
      </c>
      <c r="F510" s="2" t="inlineStr">
        <is>
          <t>★★★</t>
        </is>
      </c>
      <c r="G510" s="10" t="n">
        <v>23</v>
      </c>
      <c r="H510" s="11" t="n">
        <v>3347</v>
      </c>
      <c r="I510" s="11" t="n">
        <v>3303</v>
      </c>
      <c r="J510" s="10" t="n">
        <v>10</v>
      </c>
      <c r="K510" s="10" t="n">
        <v>30000</v>
      </c>
      <c r="L510" s="23">
        <f>IF(E510="多",1,-1)*(I510-H510)*G510*J510</f>
        <v/>
      </c>
      <c r="M510" s="24">
        <f>L510/K510</f>
        <v/>
      </c>
      <c r="N510" s="2" t="inlineStr">
        <is>
          <t>将军撤退</t>
        </is>
      </c>
      <c r="O510" s="2" t="inlineStr">
        <is>
          <t>否</t>
        </is>
      </c>
    </row>
    <row r="511">
      <c r="A511" s="2" t="inlineStr">
        <is>
          <t>2025-08-28</t>
        </is>
      </c>
      <c r="B511" s="2" t="inlineStr">
        <is>
          <t>2025-09-01</t>
        </is>
      </c>
      <c r="C511" s="2" t="inlineStr">
        <is>
          <t>甲醇</t>
        </is>
      </c>
      <c r="D511" s="2" t="inlineStr">
        <is>
          <t>MA</t>
        </is>
      </c>
      <c r="E511" s="9" t="inlineStr">
        <is>
          <t>空</t>
        </is>
      </c>
      <c r="F511" s="2" t="inlineStr">
        <is>
          <t>★★★</t>
        </is>
      </c>
      <c r="G511" s="10" t="n">
        <v>30</v>
      </c>
      <c r="H511" s="11" t="n">
        <v>2373</v>
      </c>
      <c r="I511" s="11" t="n">
        <v>2385</v>
      </c>
      <c r="J511" s="10" t="n">
        <v>10</v>
      </c>
      <c r="K511" s="10" t="n">
        <v>30000</v>
      </c>
      <c r="L511" s="23">
        <f>IF(E511="多",1,-1)*(I511-H511)*G511*J511</f>
        <v/>
      </c>
      <c r="M511" s="24">
        <f>L511/K511</f>
        <v/>
      </c>
      <c r="N511" s="2" t="inlineStr">
        <is>
          <t>将军撤退</t>
        </is>
      </c>
      <c r="O511" s="2" t="inlineStr">
        <is>
          <t>否</t>
        </is>
      </c>
    </row>
    <row r="512">
      <c r="A512" s="2" t="inlineStr">
        <is>
          <t>2025-08-28</t>
        </is>
      </c>
      <c r="B512" s="2" t="inlineStr">
        <is>
          <t>2025-09-01</t>
        </is>
      </c>
      <c r="C512" s="2" t="inlineStr">
        <is>
          <t>鸡蛋</t>
        </is>
      </c>
      <c r="D512" s="2" t="inlineStr">
        <is>
          <t>JD</t>
        </is>
      </c>
      <c r="E512" s="9" t="inlineStr">
        <is>
          <t>空</t>
        </is>
      </c>
      <c r="F512" s="2" t="inlineStr">
        <is>
          <t>★★★</t>
        </is>
      </c>
      <c r="G512" s="10" t="n">
        <v>19</v>
      </c>
      <c r="H512" s="11" t="n">
        <v>2929</v>
      </c>
      <c r="I512" s="11" t="n">
        <v>2921</v>
      </c>
      <c r="J512" s="10" t="n">
        <v>10</v>
      </c>
      <c r="K512" s="10" t="n">
        <v>30000</v>
      </c>
      <c r="L512" s="23">
        <f>IF(E512="多",1,-1)*(I512-H512)*G512*J512</f>
        <v/>
      </c>
      <c r="M512" s="24">
        <f>L512/K512</f>
        <v/>
      </c>
      <c r="N512" s="2" t="inlineStr">
        <is>
          <t>将军撤退+大将军转向</t>
        </is>
      </c>
      <c r="O512" s="2" t="inlineStr">
        <is>
          <t>否</t>
        </is>
      </c>
    </row>
    <row r="513">
      <c r="A513" s="14" t="inlineStr">
        <is>
          <t>2025-08-27</t>
        </is>
      </c>
      <c r="B513" s="14" t="inlineStr">
        <is>
          <t>2025-09-01</t>
        </is>
      </c>
      <c r="C513" s="14" t="inlineStr">
        <is>
          <t>硅铁</t>
        </is>
      </c>
      <c r="D513" s="14" t="inlineStr">
        <is>
          <t>SF</t>
        </is>
      </c>
      <c r="E513" s="14" t="inlineStr">
        <is>
          <t>空</t>
        </is>
      </c>
      <c r="F513" s="14" t="inlineStr">
        <is>
          <t>★★</t>
        </is>
      </c>
      <c r="G513" s="14" t="n">
        <v>6</v>
      </c>
      <c r="H513" s="15" t="n">
        <v>5628</v>
      </c>
      <c r="I513" s="15" t="n">
        <v>5532</v>
      </c>
      <c r="J513" s="14" t="n">
        <v>5</v>
      </c>
      <c r="K513" s="14" t="n">
        <v>10000</v>
      </c>
      <c r="L513" s="25">
        <f>IF(E513="多",1,-1)*(I513-H513)*G513*J513</f>
        <v/>
      </c>
      <c r="M513" s="26">
        <f>L513/K513</f>
        <v/>
      </c>
      <c r="N513" s="14" t="inlineStr">
        <is>
          <t>大将军转向</t>
        </is>
      </c>
      <c r="O513" s="14" t="inlineStr">
        <is>
          <t>是</t>
        </is>
      </c>
    </row>
    <row r="514">
      <c r="A514" s="14" t="inlineStr">
        <is>
          <t>2025-08-26</t>
        </is>
      </c>
      <c r="B514" s="14" t="inlineStr">
        <is>
          <t>2025-09-01</t>
        </is>
      </c>
      <c r="C514" s="14" t="inlineStr">
        <is>
          <t>棉花</t>
        </is>
      </c>
      <c r="D514" s="14" t="inlineStr">
        <is>
          <t>CF</t>
        </is>
      </c>
      <c r="E514" s="14" t="inlineStr">
        <is>
          <t>多</t>
        </is>
      </c>
      <c r="F514" s="14" t="inlineStr">
        <is>
          <t>★★★</t>
        </is>
      </c>
      <c r="G514" s="14" t="n">
        <v>5</v>
      </c>
      <c r="H514" s="15" t="n">
        <v>14080</v>
      </c>
      <c r="I514" s="15" t="n">
        <v>13939.29</v>
      </c>
      <c r="J514" s="14" t="n">
        <v>5</v>
      </c>
      <c r="K514" s="14" t="n">
        <v>10000</v>
      </c>
      <c r="L514" s="25">
        <f>IF(E514="多",1,-1)*(I514-H514)*G514*J514</f>
        <v/>
      </c>
      <c r="M514" s="26">
        <f>L514/K514</f>
        <v/>
      </c>
      <c r="N514" s="14" t="inlineStr">
        <is>
          <t>止损</t>
        </is>
      </c>
      <c r="O514" s="14" t="inlineStr">
        <is>
          <t>是</t>
        </is>
      </c>
    </row>
    <row r="515">
      <c r="A515" s="2" t="inlineStr">
        <is>
          <t>2025-08-27</t>
        </is>
      </c>
      <c r="B515" s="2" t="inlineStr">
        <is>
          <t>2025-08-28</t>
        </is>
      </c>
      <c r="C515" s="2" t="inlineStr">
        <is>
          <t>锰硅</t>
        </is>
      </c>
      <c r="D515" s="2" t="inlineStr">
        <is>
          <t>SM</t>
        </is>
      </c>
      <c r="E515" s="9" t="inlineStr">
        <is>
          <t>空</t>
        </is>
      </c>
      <c r="F515" s="2" t="inlineStr">
        <is>
          <t>★★★</t>
        </is>
      </c>
      <c r="G515" s="10" t="n">
        <v>20</v>
      </c>
      <c r="H515" s="11" t="n">
        <v>5820</v>
      </c>
      <c r="I515" s="11" t="n">
        <v>5842</v>
      </c>
      <c r="J515" s="10" t="n">
        <v>5</v>
      </c>
      <c r="K515" s="10" t="n">
        <v>30000</v>
      </c>
      <c r="L515" s="23">
        <f>IF(E515="多",1,-1)*(I515-H515)*G515*J515</f>
        <v/>
      </c>
      <c r="M515" s="24">
        <f>L515/K515</f>
        <v/>
      </c>
      <c r="N515" s="2" t="inlineStr">
        <is>
          <t>将军撤退+大将军转向</t>
        </is>
      </c>
      <c r="O515" s="2" t="inlineStr">
        <is>
          <t>否</t>
        </is>
      </c>
    </row>
    <row r="516">
      <c r="A516" s="2" t="inlineStr">
        <is>
          <t>2025-08-22</t>
        </is>
      </c>
      <c r="B516" s="2" t="inlineStr">
        <is>
          <t>2025-08-28</t>
        </is>
      </c>
      <c r="C516" s="2" t="inlineStr">
        <is>
          <t>聚丙烯</t>
        </is>
      </c>
      <c r="D516" s="2" t="inlineStr">
        <is>
          <t>PP</t>
        </is>
      </c>
      <c r="E516" s="9" t="inlineStr">
        <is>
          <t>空</t>
        </is>
      </c>
      <c r="F516" s="2" t="inlineStr">
        <is>
          <t>★★★</t>
        </is>
      </c>
      <c r="G516" s="10" t="n">
        <v>49</v>
      </c>
      <c r="H516" s="11" t="n">
        <v>7033</v>
      </c>
      <c r="I516" s="11" t="n">
        <v>7020</v>
      </c>
      <c r="J516" s="10" t="n">
        <v>5</v>
      </c>
      <c r="K516" s="10" t="n">
        <v>30000</v>
      </c>
      <c r="L516" s="23">
        <f>IF(E516="多",1,-1)*(I516-H516)*G516*J516</f>
        <v/>
      </c>
      <c r="M516" s="24">
        <f>L516/K516</f>
        <v/>
      </c>
      <c r="N516" s="2" t="inlineStr">
        <is>
          <t>将军撤退</t>
        </is>
      </c>
      <c r="O516" s="2" t="inlineStr">
        <is>
          <t>否</t>
        </is>
      </c>
    </row>
    <row r="517">
      <c r="A517" s="2" t="inlineStr">
        <is>
          <t>2025-08-20</t>
        </is>
      </c>
      <c r="B517" s="2" t="inlineStr">
        <is>
          <t>2025-08-28</t>
        </is>
      </c>
      <c r="C517" s="2" t="inlineStr">
        <is>
          <t>沪镍</t>
        </is>
      </c>
      <c r="D517" s="2" t="inlineStr">
        <is>
          <t>NI</t>
        </is>
      </c>
      <c r="E517" s="9" t="inlineStr">
        <is>
          <t>空</t>
        </is>
      </c>
      <c r="F517" s="2" t="inlineStr">
        <is>
          <t>★★★</t>
        </is>
      </c>
      <c r="G517" s="10" t="n">
        <v>8</v>
      </c>
      <c r="H517" s="11" t="n">
        <v>120010</v>
      </c>
      <c r="I517" s="11" t="n">
        <v>120990</v>
      </c>
      <c r="J517" s="10" t="n">
        <v>1</v>
      </c>
      <c r="K517" s="10" t="n">
        <v>30000</v>
      </c>
      <c r="L517" s="23">
        <f>IF(E517="多",1,-1)*(I517-H517)*G517*J517</f>
        <v/>
      </c>
      <c r="M517" s="24">
        <f>L517/K517</f>
        <v/>
      </c>
      <c r="N517" s="2" t="inlineStr">
        <is>
          <t>大将军转向</t>
        </is>
      </c>
      <c r="O517" s="2" t="inlineStr">
        <is>
          <t>否</t>
        </is>
      </c>
    </row>
    <row r="518">
      <c r="A518" s="2" t="inlineStr">
        <is>
          <t>2025-08-19</t>
        </is>
      </c>
      <c r="B518" s="2" t="inlineStr">
        <is>
          <t>2025-08-28</t>
        </is>
      </c>
      <c r="C518" s="2" t="inlineStr">
        <is>
          <t>豆粕</t>
        </is>
      </c>
      <c r="D518" s="2" t="inlineStr">
        <is>
          <t>M</t>
        </is>
      </c>
      <c r="E518" s="19" t="inlineStr">
        <is>
          <t>多</t>
        </is>
      </c>
      <c r="F518" s="2" t="inlineStr">
        <is>
          <t>★★★</t>
        </is>
      </c>
      <c r="G518" s="10" t="n">
        <v>7</v>
      </c>
      <c r="H518" s="11" t="n">
        <v>3158</v>
      </c>
      <c r="I518" s="11" t="n">
        <v>3038.64</v>
      </c>
      <c r="J518" s="10" t="n">
        <v>10</v>
      </c>
      <c r="K518" s="10" t="n">
        <v>10000</v>
      </c>
      <c r="L518" s="23">
        <f>IF(E518="多",1,-1)*(I518-H518)*G518*J518</f>
        <v/>
      </c>
      <c r="M518" s="24">
        <f>L518/K518</f>
        <v/>
      </c>
      <c r="N518" s="2" t="inlineStr">
        <is>
          <t>止损</t>
        </is>
      </c>
      <c r="O518" s="2" t="inlineStr">
        <is>
          <t>否</t>
        </is>
      </c>
    </row>
    <row r="519">
      <c r="A519" s="14" t="inlineStr">
        <is>
          <t>2025-08-22</t>
        </is>
      </c>
      <c r="B519" s="14" t="inlineStr">
        <is>
          <t>2025-08-26</t>
        </is>
      </c>
      <c r="C519" s="14" t="inlineStr">
        <is>
          <t>锰硅</t>
        </is>
      </c>
      <c r="D519" s="14" t="inlineStr">
        <is>
          <t>SM</t>
        </is>
      </c>
      <c r="E519" s="14" t="inlineStr">
        <is>
          <t>空</t>
        </is>
      </c>
      <c r="F519" s="14" t="inlineStr">
        <is>
          <t>★★</t>
        </is>
      </c>
      <c r="G519" s="14" t="n">
        <v>6</v>
      </c>
      <c r="H519" s="15" t="n">
        <v>5886</v>
      </c>
      <c r="I519" s="15" t="n">
        <v>5862</v>
      </c>
      <c r="J519" s="14" t="n">
        <v>5</v>
      </c>
      <c r="K519" s="14" t="n">
        <v>10000</v>
      </c>
      <c r="L519" s="25">
        <f>IF(E519="多",1,-1)*(I519-H519)*G519*J519</f>
        <v/>
      </c>
      <c r="M519" s="26">
        <f>L519/K519</f>
        <v/>
      </c>
      <c r="N519" s="14" t="inlineStr">
        <is>
          <t>将军撤退+大将军转向</t>
        </is>
      </c>
      <c r="O519" s="14" t="inlineStr">
        <is>
          <t>是</t>
        </is>
      </c>
    </row>
    <row r="520">
      <c r="A520" s="2" t="inlineStr">
        <is>
          <t>2025-08-20</t>
        </is>
      </c>
      <c r="B520" s="2" t="inlineStr">
        <is>
          <t>2025-08-26</t>
        </is>
      </c>
      <c r="C520" s="2" t="inlineStr">
        <is>
          <t>棉花</t>
        </is>
      </c>
      <c r="D520" s="2" t="inlineStr">
        <is>
          <t>CF</t>
        </is>
      </c>
      <c r="E520" s="9" t="inlineStr">
        <is>
          <t>空</t>
        </is>
      </c>
      <c r="F520" s="2" t="inlineStr">
        <is>
          <t>★★★</t>
        </is>
      </c>
      <c r="G520" s="10" t="n">
        <v>16</v>
      </c>
      <c r="H520" s="11" t="n">
        <v>14055</v>
      </c>
      <c r="I520" s="11" t="n">
        <v>14100</v>
      </c>
      <c r="J520" s="10" t="n">
        <v>5</v>
      </c>
      <c r="K520" s="10" t="n">
        <v>30000</v>
      </c>
      <c r="L520" s="23">
        <f>IF(E520="多",1,-1)*(I520-H520)*G520*J520</f>
        <v/>
      </c>
      <c r="M520" s="24">
        <f>L520/K520</f>
        <v/>
      </c>
      <c r="N520" s="2" t="inlineStr">
        <is>
          <t>反向信号</t>
        </is>
      </c>
      <c r="O520" s="2" t="inlineStr">
        <is>
          <t>否</t>
        </is>
      </c>
    </row>
    <row r="521">
      <c r="A521" s="14" t="inlineStr">
        <is>
          <t>2025-08-14</t>
        </is>
      </c>
      <c r="B521" s="14" t="inlineStr">
        <is>
          <t>2025-08-25</t>
        </is>
      </c>
      <c r="C521" s="14" t="inlineStr">
        <is>
          <t>鸡蛋</t>
        </is>
      </c>
      <c r="D521" s="14" t="inlineStr">
        <is>
          <t>JD</t>
        </is>
      </c>
      <c r="E521" s="14" t="inlineStr">
        <is>
          <t>空</t>
        </is>
      </c>
      <c r="F521" s="14" t="inlineStr">
        <is>
          <t>★★★</t>
        </is>
      </c>
      <c r="G521" s="14" t="n">
        <v>6</v>
      </c>
      <c r="H521" s="15" t="n">
        <v>3195</v>
      </c>
      <c r="I521" s="15" t="n">
        <v>3021</v>
      </c>
      <c r="J521" s="14" t="n">
        <v>10</v>
      </c>
      <c r="K521" s="14" t="n">
        <v>10000</v>
      </c>
      <c r="L521" s="25">
        <f>IF(E521="多",1,-1)*(I521-H521)*G521*J521</f>
        <v/>
      </c>
      <c r="M521" s="26">
        <f>L521/K521</f>
        <v/>
      </c>
      <c r="N521" s="14" t="inlineStr">
        <is>
          <t>大将军转向</t>
        </is>
      </c>
      <c r="O521" s="14" t="inlineStr">
        <is>
          <t>是</t>
        </is>
      </c>
    </row>
    <row r="522">
      <c r="A522" s="2" t="inlineStr">
        <is>
          <t>2025-08-05</t>
        </is>
      </c>
      <c r="B522" s="2" t="inlineStr">
        <is>
          <t>2025-08-22</t>
        </is>
      </c>
      <c r="C522" s="2" t="inlineStr">
        <is>
          <t>热卷</t>
        </is>
      </c>
      <c r="D522" s="2" t="inlineStr">
        <is>
          <t>HC</t>
        </is>
      </c>
      <c r="E522" s="19" t="inlineStr">
        <is>
          <t>多</t>
        </is>
      </c>
      <c r="F522" s="2" t="inlineStr">
        <is>
          <t>★★★</t>
        </is>
      </c>
      <c r="G522" s="10" t="n">
        <v>12</v>
      </c>
      <c r="H522" s="11" t="n">
        <v>3455</v>
      </c>
      <c r="I522" s="11" t="n">
        <v>3359.14</v>
      </c>
      <c r="J522" s="10" t="n">
        <v>10</v>
      </c>
      <c r="K522" s="10" t="n">
        <v>30000</v>
      </c>
      <c r="L522" s="23">
        <f>IF(E522="多",1,-1)*(I522-H522)*G522*J522</f>
        <v/>
      </c>
      <c r="M522" s="24">
        <f>L522/K522</f>
        <v/>
      </c>
      <c r="N522" s="2" t="inlineStr">
        <is>
          <t>止损</t>
        </is>
      </c>
      <c r="O522" s="2" t="inlineStr">
        <is>
          <t>否</t>
        </is>
      </c>
    </row>
    <row r="523">
      <c r="A523" s="14" t="inlineStr">
        <is>
          <t>2025-08-20</t>
        </is>
      </c>
      <c r="B523" s="14" t="inlineStr">
        <is>
          <t>2025-08-21</t>
        </is>
      </c>
      <c r="C523" s="14" t="inlineStr">
        <is>
          <t>硅铁</t>
        </is>
      </c>
      <c r="D523" s="14" t="inlineStr">
        <is>
          <t>SF</t>
        </is>
      </c>
      <c r="E523" s="14" t="inlineStr">
        <is>
          <t>空</t>
        </is>
      </c>
      <c r="F523" s="14" t="inlineStr">
        <is>
          <t>★★</t>
        </is>
      </c>
      <c r="G523" s="14" t="n">
        <v>4</v>
      </c>
      <c r="H523" s="15" t="n">
        <v>5630</v>
      </c>
      <c r="I523" s="15" t="n">
        <v>5638</v>
      </c>
      <c r="J523" s="14" t="n">
        <v>5</v>
      </c>
      <c r="K523" s="14" t="n">
        <v>10000</v>
      </c>
      <c r="L523" s="25">
        <f>IF(E523="多",1,-1)*(I523-H523)*G523*J523</f>
        <v/>
      </c>
      <c r="M523" s="26">
        <f>L523/K523</f>
        <v/>
      </c>
      <c r="N523" s="14" t="inlineStr">
        <is>
          <t>大将军转向</t>
        </is>
      </c>
      <c r="O523" s="14" t="inlineStr">
        <is>
          <t>是</t>
        </is>
      </c>
    </row>
    <row r="524">
      <c r="A524" s="2" t="inlineStr">
        <is>
          <t>2025-08-19</t>
        </is>
      </c>
      <c r="B524" s="2" t="inlineStr">
        <is>
          <t>2025-08-20</t>
        </is>
      </c>
      <c r="C524" s="2" t="inlineStr">
        <is>
          <t>PVC</t>
        </is>
      </c>
      <c r="D524" s="2" t="inlineStr">
        <is>
          <t>V</t>
        </is>
      </c>
      <c r="E524" s="9" t="inlineStr">
        <is>
          <t>空</t>
        </is>
      </c>
      <c r="F524" s="2" t="inlineStr">
        <is>
          <t>★★★</t>
        </is>
      </c>
      <c r="G524" s="10" t="n">
        <v>26</v>
      </c>
      <c r="H524" s="11" t="n">
        <v>5006</v>
      </c>
      <c r="I524" s="11" t="n">
        <v>5008</v>
      </c>
      <c r="J524" s="10" t="n">
        <v>5</v>
      </c>
      <c r="K524" s="10" t="n">
        <v>30000</v>
      </c>
      <c r="L524" s="23">
        <f>IF(E524="多",1,-1)*(I524-H524)*G524*J524</f>
        <v/>
      </c>
      <c r="M524" s="24">
        <f>L524/K524</f>
        <v/>
      </c>
      <c r="N524" s="2" t="inlineStr">
        <is>
          <t>将军撤退+大将军转向</t>
        </is>
      </c>
      <c r="O524" s="2" t="inlineStr">
        <is>
          <t>否</t>
        </is>
      </c>
    </row>
    <row r="525">
      <c r="A525" s="14" t="inlineStr">
        <is>
          <t>2025-08-19</t>
        </is>
      </c>
      <c r="B525" s="14" t="inlineStr">
        <is>
          <t>2025-08-20</t>
        </is>
      </c>
      <c r="C525" s="14" t="inlineStr">
        <is>
          <t>沪铝</t>
        </is>
      </c>
      <c r="D525" s="14" t="inlineStr">
        <is>
          <t>AL</t>
        </is>
      </c>
      <c r="E525" s="14" t="inlineStr">
        <is>
          <t>空</t>
        </is>
      </c>
      <c r="F525" s="14" t="inlineStr">
        <is>
          <t>★★</t>
        </is>
      </c>
      <c r="G525" s="14" t="n">
        <v>4</v>
      </c>
      <c r="H525" s="15" t="n">
        <v>20540</v>
      </c>
      <c r="I525" s="15" t="n">
        <v>20535</v>
      </c>
      <c r="J525" s="14" t="n">
        <v>5</v>
      </c>
      <c r="K525" s="14" t="n">
        <v>10000</v>
      </c>
      <c r="L525" s="25">
        <f>IF(E525="多",1,-1)*(I525-H525)*G525*J525</f>
        <v/>
      </c>
      <c r="M525" s="26">
        <f>L525/K525</f>
        <v/>
      </c>
      <c r="N525" s="14" t="inlineStr">
        <is>
          <t>将军撤退+大将军转向</t>
        </is>
      </c>
      <c r="O525" s="14" t="inlineStr">
        <is>
          <t>是</t>
        </is>
      </c>
    </row>
    <row r="526">
      <c r="A526" s="14" t="inlineStr">
        <is>
          <t>2025-08-15</t>
        </is>
      </c>
      <c r="B526" s="14" t="inlineStr">
        <is>
          <t>2025-08-20</t>
        </is>
      </c>
      <c r="C526" s="14" t="inlineStr">
        <is>
          <t>棕榈油</t>
        </is>
      </c>
      <c r="D526" s="14" t="inlineStr">
        <is>
          <t>P</t>
        </is>
      </c>
      <c r="E526" s="14" t="inlineStr">
        <is>
          <t>多</t>
        </is>
      </c>
      <c r="F526" s="14" t="inlineStr">
        <is>
          <t>★★</t>
        </is>
      </c>
      <c r="G526" s="14" t="n">
        <v>1</v>
      </c>
      <c r="H526" s="15" t="n">
        <v>9520</v>
      </c>
      <c r="I526" s="15" t="n">
        <v>9554</v>
      </c>
      <c r="J526" s="14" t="n">
        <v>10</v>
      </c>
      <c r="K526" s="14" t="n">
        <v>10000</v>
      </c>
      <c r="L526" s="25">
        <f>IF(E526="多",1,-1)*(I526-H526)*G526*J526</f>
        <v/>
      </c>
      <c r="M526" s="26">
        <f>L526/K526</f>
        <v/>
      </c>
      <c r="N526" s="14" t="inlineStr">
        <is>
          <t>将军撤退</t>
        </is>
      </c>
      <c r="O526" s="14" t="inlineStr">
        <is>
          <t>是</t>
        </is>
      </c>
    </row>
    <row r="527">
      <c r="A527" s="14" t="inlineStr">
        <is>
          <t>2025-08-13</t>
        </is>
      </c>
      <c r="B527" s="14" t="inlineStr">
        <is>
          <t>2025-08-20</t>
        </is>
      </c>
      <c r="C527" s="14" t="inlineStr">
        <is>
          <t>沪镍</t>
        </is>
      </c>
      <c r="D527" s="14" t="inlineStr">
        <is>
          <t>NI</t>
        </is>
      </c>
      <c r="E527" s="14" t="inlineStr">
        <is>
          <t>多</t>
        </is>
      </c>
      <c r="F527" s="14" t="inlineStr">
        <is>
          <t>★★</t>
        </is>
      </c>
      <c r="G527" s="14" t="n">
        <v>2</v>
      </c>
      <c r="H527" s="15" t="n">
        <v>122840</v>
      </c>
      <c r="I527" s="15" t="n">
        <v>120060</v>
      </c>
      <c r="J527" s="14" t="n">
        <v>1</v>
      </c>
      <c r="K527" s="14" t="n">
        <v>10000</v>
      </c>
      <c r="L527" s="25">
        <f>IF(E527="多",1,-1)*(I527-H527)*G527*J527</f>
        <v/>
      </c>
      <c r="M527" s="26">
        <f>L527/K527</f>
        <v/>
      </c>
      <c r="N527" s="14" t="inlineStr">
        <is>
          <t>反向信号</t>
        </is>
      </c>
      <c r="O527" s="14" t="inlineStr">
        <is>
          <t>是</t>
        </is>
      </c>
    </row>
    <row r="528">
      <c r="A528" s="14" t="inlineStr">
        <is>
          <t>2025-08-12</t>
        </is>
      </c>
      <c r="B528" s="14" t="inlineStr">
        <is>
          <t>2025-08-20</t>
        </is>
      </c>
      <c r="C528" s="14" t="inlineStr">
        <is>
          <t>铁矿石</t>
        </is>
      </c>
      <c r="D528" s="14" t="inlineStr">
        <is>
          <t>I</t>
        </is>
      </c>
      <c r="E528" s="14" t="inlineStr">
        <is>
          <t>多</t>
        </is>
      </c>
      <c r="F528" s="14" t="inlineStr">
        <is>
          <t>★★</t>
        </is>
      </c>
      <c r="G528" s="14" t="n">
        <v>2</v>
      </c>
      <c r="H528" s="15" t="n">
        <v>801</v>
      </c>
      <c r="I528" s="15" t="n">
        <v>762.36</v>
      </c>
      <c r="J528" s="14" t="n">
        <v>100</v>
      </c>
      <c r="K528" s="14" t="n">
        <v>10000</v>
      </c>
      <c r="L528" s="25">
        <f>IF(E528="多",1,-1)*(I528-H528)*G528*J528</f>
        <v/>
      </c>
      <c r="M528" s="26">
        <f>L528/K528</f>
        <v/>
      </c>
      <c r="N528" s="14" t="inlineStr">
        <is>
          <t>止损</t>
        </is>
      </c>
      <c r="O528" s="14" t="inlineStr">
        <is>
          <t>是</t>
        </is>
      </c>
    </row>
    <row r="529">
      <c r="A529" s="14" t="inlineStr">
        <is>
          <t>2025-07-31</t>
        </is>
      </c>
      <c r="B529" s="14" t="inlineStr">
        <is>
          <t>2025-08-20</t>
        </is>
      </c>
      <c r="C529" s="14" t="inlineStr">
        <is>
          <t>锰硅</t>
        </is>
      </c>
      <c r="D529" s="14" t="inlineStr">
        <is>
          <t>SM</t>
        </is>
      </c>
      <c r="E529" s="14" t="inlineStr">
        <is>
          <t>空</t>
        </is>
      </c>
      <c r="F529" s="14" t="inlineStr">
        <is>
          <t>★★</t>
        </is>
      </c>
      <c r="G529" s="14" t="n">
        <v>3</v>
      </c>
      <c r="H529" s="15" t="n">
        <v>6070</v>
      </c>
      <c r="I529" s="15" t="n">
        <v>5836</v>
      </c>
      <c r="J529" s="14" t="n">
        <v>5</v>
      </c>
      <c r="K529" s="14" t="n">
        <v>10000</v>
      </c>
      <c r="L529" s="25">
        <f>IF(E529="多",1,-1)*(I529-H529)*G529*J529</f>
        <v/>
      </c>
      <c r="M529" s="26">
        <f>L529/K529</f>
        <v/>
      </c>
      <c r="N529" s="14" t="inlineStr">
        <is>
          <t>大将军转向</t>
        </is>
      </c>
      <c r="O529" s="14" t="inlineStr">
        <is>
          <t>是</t>
        </is>
      </c>
    </row>
    <row r="530">
      <c r="A530" s="2" t="inlineStr">
        <is>
          <t>2025-07-29</t>
        </is>
      </c>
      <c r="B530" s="2" t="inlineStr">
        <is>
          <t>2025-08-20</t>
        </is>
      </c>
      <c r="C530" s="2" t="inlineStr">
        <is>
          <t>玉米</t>
        </is>
      </c>
      <c r="D530" s="2" t="inlineStr">
        <is>
          <t>C</t>
        </is>
      </c>
      <c r="E530" s="9" t="inlineStr">
        <is>
          <t>空</t>
        </is>
      </c>
      <c r="F530" s="2" t="inlineStr">
        <is>
          <t>★★★</t>
        </is>
      </c>
      <c r="G530" s="10" t="n">
        <v>49</v>
      </c>
      <c r="H530" s="11" t="n">
        <v>2241</v>
      </c>
      <c r="I530" s="11" t="n">
        <v>2170</v>
      </c>
      <c r="J530" s="10" t="n">
        <v>10</v>
      </c>
      <c r="K530" s="10" t="n">
        <v>30000</v>
      </c>
      <c r="L530" s="23">
        <f>IF(E530="多",1,-1)*(I530-H530)*G530*J530</f>
        <v/>
      </c>
      <c r="M530" s="24">
        <f>L530/K530</f>
        <v/>
      </c>
      <c r="N530" s="2" t="inlineStr">
        <is>
          <t>大将军转向</t>
        </is>
      </c>
      <c r="O530" s="2" t="inlineStr">
        <is>
          <t>否</t>
        </is>
      </c>
    </row>
    <row r="531">
      <c r="A531" s="14" t="inlineStr">
        <is>
          <t>2025-08-14</t>
        </is>
      </c>
      <c r="B531" s="14" t="inlineStr">
        <is>
          <t>2025-08-19</t>
        </is>
      </c>
      <c r="C531" s="14" t="inlineStr">
        <is>
          <t>豆油</t>
        </is>
      </c>
      <c r="D531" s="14" t="inlineStr">
        <is>
          <t>Y</t>
        </is>
      </c>
      <c r="E531" s="14" t="inlineStr">
        <is>
          <t>多</t>
        </is>
      </c>
      <c r="F531" s="14" t="inlineStr">
        <is>
          <t>★★</t>
        </is>
      </c>
      <c r="G531" s="14" t="n">
        <v>2</v>
      </c>
      <c r="H531" s="15" t="n">
        <v>8500</v>
      </c>
      <c r="I531" s="15" t="n">
        <v>8526</v>
      </c>
      <c r="J531" s="14" t="n">
        <v>10</v>
      </c>
      <c r="K531" s="14" t="n">
        <v>10000</v>
      </c>
      <c r="L531" s="25">
        <f>IF(E531="多",1,-1)*(I531-H531)*G531*J531</f>
        <v/>
      </c>
      <c r="M531" s="26">
        <f>L531/K531</f>
        <v/>
      </c>
      <c r="N531" s="14" t="inlineStr">
        <is>
          <t>将军撤退+大将军转向</t>
        </is>
      </c>
      <c r="O531" s="14" t="inlineStr">
        <is>
          <t>是</t>
        </is>
      </c>
    </row>
    <row r="532">
      <c r="A532" s="14" t="inlineStr">
        <is>
          <t>2025-08-06</t>
        </is>
      </c>
      <c r="B532" s="14" t="inlineStr">
        <is>
          <t>2025-08-19</t>
        </is>
      </c>
      <c r="C532" s="14" t="inlineStr">
        <is>
          <t>硅铁</t>
        </is>
      </c>
      <c r="D532" s="14" t="inlineStr">
        <is>
          <t>SF</t>
        </is>
      </c>
      <c r="E532" s="14" t="inlineStr">
        <is>
          <t>多</t>
        </is>
      </c>
      <c r="F532" s="14" t="inlineStr">
        <is>
          <t>★★</t>
        </is>
      </c>
      <c r="G532" s="14" t="n">
        <v>2</v>
      </c>
      <c r="H532" s="15" t="n">
        <v>6060</v>
      </c>
      <c r="I532" s="15" t="n">
        <v>5650.43</v>
      </c>
      <c r="J532" s="14" t="n">
        <v>5</v>
      </c>
      <c r="K532" s="14" t="n">
        <v>10000</v>
      </c>
      <c r="L532" s="25">
        <f>IF(E532="多",1,-1)*(I532-H532)*G532*J532</f>
        <v/>
      </c>
      <c r="M532" s="26">
        <f>L532/K532</f>
        <v/>
      </c>
      <c r="N532" s="14" t="inlineStr">
        <is>
          <t>止损</t>
        </is>
      </c>
      <c r="O532" s="14" t="inlineStr">
        <is>
          <t>是</t>
        </is>
      </c>
    </row>
    <row r="533">
      <c r="A533" s="2" t="inlineStr">
        <is>
          <t>2025-08-14</t>
        </is>
      </c>
      <c r="B533" s="2" t="inlineStr">
        <is>
          <t>2025-08-18</t>
        </is>
      </c>
      <c r="C533" s="2" t="inlineStr">
        <is>
          <t>沪铝</t>
        </is>
      </c>
      <c r="D533" s="2" t="inlineStr">
        <is>
          <t>AL</t>
        </is>
      </c>
      <c r="E533" s="9" t="inlineStr">
        <is>
          <t>空</t>
        </is>
      </c>
      <c r="F533" s="2" t="inlineStr">
        <is>
          <t>★★★</t>
        </is>
      </c>
      <c r="G533" s="10" t="n">
        <v>4</v>
      </c>
      <c r="H533" s="11" t="n">
        <v>20690</v>
      </c>
      <c r="I533" s="11" t="n">
        <v>20595</v>
      </c>
      <c r="J533" s="10" t="n">
        <v>5</v>
      </c>
      <c r="K533" s="10" t="n">
        <v>10000</v>
      </c>
      <c r="L533" s="23">
        <f>IF(E533="多",1,-1)*(I533-H533)*G533*J533</f>
        <v/>
      </c>
      <c r="M533" s="24">
        <f>L533/K533</f>
        <v/>
      </c>
      <c r="N533" s="2" t="inlineStr">
        <is>
          <t>将军撤退</t>
        </is>
      </c>
      <c r="O533" s="2" t="inlineStr">
        <is>
          <t>否</t>
        </is>
      </c>
    </row>
    <row r="534">
      <c r="A534" s="2" t="inlineStr">
        <is>
          <t>2025-08-13</t>
        </is>
      </c>
      <c r="B534" s="2" t="inlineStr">
        <is>
          <t>2025-08-18</t>
        </is>
      </c>
      <c r="C534" s="2" t="inlineStr">
        <is>
          <t>燃料油</t>
        </is>
      </c>
      <c r="D534" s="2" t="inlineStr">
        <is>
          <t>FU</t>
        </is>
      </c>
      <c r="E534" s="9" t="inlineStr">
        <is>
          <t>空</t>
        </is>
      </c>
      <c r="F534" s="2" t="inlineStr">
        <is>
          <t>★★★</t>
        </is>
      </c>
      <c r="G534" s="10" t="n">
        <v>16</v>
      </c>
      <c r="H534" s="11" t="n">
        <v>2788</v>
      </c>
      <c r="I534" s="11" t="n">
        <v>2739</v>
      </c>
      <c r="J534" s="10" t="n">
        <v>10</v>
      </c>
      <c r="K534" s="10" t="n">
        <v>30000</v>
      </c>
      <c r="L534" s="23">
        <f>IF(E534="多",1,-1)*(I534-H534)*G534*J534</f>
        <v/>
      </c>
      <c r="M534" s="24">
        <f>L534/K534</f>
        <v/>
      </c>
      <c r="N534" s="2" t="inlineStr">
        <is>
          <t>将军撤退+大将军转向</t>
        </is>
      </c>
      <c r="O534" s="2" t="inlineStr">
        <is>
          <t>否</t>
        </is>
      </c>
    </row>
    <row r="535">
      <c r="A535" s="14" t="inlineStr">
        <is>
          <t>2025-08-13</t>
        </is>
      </c>
      <c r="B535" s="14" t="inlineStr">
        <is>
          <t>2025-08-18</t>
        </is>
      </c>
      <c r="C535" s="14" t="inlineStr">
        <is>
          <t>玻璃</t>
        </is>
      </c>
      <c r="D535" s="14" t="inlineStr">
        <is>
          <t>FG</t>
        </is>
      </c>
      <c r="E535" s="14" t="inlineStr">
        <is>
          <t>空</t>
        </is>
      </c>
      <c r="F535" s="14" t="inlineStr">
        <is>
          <t>★★★</t>
        </is>
      </c>
      <c r="G535" s="14" t="n">
        <v>2</v>
      </c>
      <c r="H535" s="15" t="n">
        <v>1205</v>
      </c>
      <c r="I535" s="15" t="n">
        <v>1212</v>
      </c>
      <c r="J535" s="14" t="n">
        <v>20</v>
      </c>
      <c r="K535" s="14" t="n">
        <v>10000</v>
      </c>
      <c r="L535" s="25">
        <f>IF(E535="多",1,-1)*(I535-H535)*G535*J535</f>
        <v/>
      </c>
      <c r="M535" s="26">
        <f>L535/K535</f>
        <v/>
      </c>
      <c r="N535" s="14" t="inlineStr">
        <is>
          <t>将军撤退+大将军转向</t>
        </is>
      </c>
      <c r="O535" s="14" t="inlineStr">
        <is>
          <t>是</t>
        </is>
      </c>
    </row>
    <row r="536">
      <c r="A536" s="14" t="inlineStr">
        <is>
          <t>2025-08-08</t>
        </is>
      </c>
      <c r="B536" s="14" t="inlineStr">
        <is>
          <t>2025-08-18</t>
        </is>
      </c>
      <c r="C536" s="14" t="inlineStr">
        <is>
          <t>苯乙烯</t>
        </is>
      </c>
      <c r="D536" s="14" t="inlineStr">
        <is>
          <t>EB</t>
        </is>
      </c>
      <c r="E536" s="14" t="inlineStr">
        <is>
          <t>空</t>
        </is>
      </c>
      <c r="F536" s="14" t="inlineStr">
        <is>
          <t>★★★</t>
        </is>
      </c>
      <c r="G536" s="14" t="n">
        <v>5</v>
      </c>
      <c r="H536" s="15" t="n">
        <v>7251</v>
      </c>
      <c r="I536" s="15" t="n">
        <v>7230</v>
      </c>
      <c r="J536" s="14" t="n">
        <v>5</v>
      </c>
      <c r="K536" s="14" t="n">
        <v>10000</v>
      </c>
      <c r="L536" s="25">
        <f>IF(E536="多",1,-1)*(I536-H536)*G536*J536</f>
        <v/>
      </c>
      <c r="M536" s="26">
        <f>L536/K536</f>
        <v/>
      </c>
      <c r="N536" s="14" t="inlineStr">
        <is>
          <t>大将军转向</t>
        </is>
      </c>
      <c r="O536" s="14" t="inlineStr">
        <is>
          <t>是</t>
        </is>
      </c>
    </row>
    <row r="537">
      <c r="A537" s="14" t="inlineStr">
        <is>
          <t>2025-07-31</t>
        </is>
      </c>
      <c r="B537" s="14" t="inlineStr">
        <is>
          <t>2025-08-15</t>
        </is>
      </c>
      <c r="C537" s="14" t="inlineStr">
        <is>
          <t>塑料</t>
        </is>
      </c>
      <c r="D537" s="14" t="inlineStr">
        <is>
          <t>L</t>
        </is>
      </c>
      <c r="E537" s="14" t="inlineStr">
        <is>
          <t>空</t>
        </is>
      </c>
      <c r="F537" s="14" t="inlineStr">
        <is>
          <t>★★</t>
        </is>
      </c>
      <c r="G537" s="14" t="n">
        <v>8</v>
      </c>
      <c r="H537" s="15" t="n">
        <v>7404</v>
      </c>
      <c r="I537" s="15" t="n">
        <v>7351</v>
      </c>
      <c r="J537" s="14" t="n">
        <v>5</v>
      </c>
      <c r="K537" s="14" t="n">
        <v>10000</v>
      </c>
      <c r="L537" s="25">
        <f>IF(E537="多",1,-1)*(I537-H537)*G537*J537</f>
        <v/>
      </c>
      <c r="M537" s="26">
        <f>L537/K537</f>
        <v/>
      </c>
      <c r="N537" s="14" t="inlineStr">
        <is>
          <t>大将军转向</t>
        </is>
      </c>
      <c r="O537" s="14" t="inlineStr">
        <is>
          <t>是</t>
        </is>
      </c>
    </row>
    <row r="538">
      <c r="A538" s="14" t="inlineStr">
        <is>
          <t>2025-08-12</t>
        </is>
      </c>
      <c r="B538" s="14" t="inlineStr">
        <is>
          <t>2025-08-13</t>
        </is>
      </c>
      <c r="C538" s="14" t="inlineStr">
        <is>
          <t>菜粕</t>
        </is>
      </c>
      <c r="D538" s="14" t="inlineStr">
        <is>
          <t>RM</t>
        </is>
      </c>
      <c r="E538" s="14" t="inlineStr">
        <is>
          <t>多</t>
        </is>
      </c>
      <c r="F538" s="14" t="inlineStr">
        <is>
          <t>★★</t>
        </is>
      </c>
      <c r="G538" s="14" t="n">
        <v>5</v>
      </c>
      <c r="H538" s="15" t="n">
        <v>2688</v>
      </c>
      <c r="I538" s="15" t="n">
        <v>2688</v>
      </c>
      <c r="J538" s="14" t="n">
        <v>10</v>
      </c>
      <c r="K538" s="14" t="n">
        <v>10000</v>
      </c>
      <c r="L538" s="25">
        <f>IF(E538="多",1,-1)*(I538-H538)*G538*J538</f>
        <v/>
      </c>
      <c r="M538" s="26">
        <f>L538/K538</f>
        <v/>
      </c>
      <c r="N538" s="14" t="inlineStr">
        <is>
          <t>大将军转向</t>
        </is>
      </c>
      <c r="O538" s="14" t="inlineStr">
        <is>
          <t>是</t>
        </is>
      </c>
    </row>
    <row r="539">
      <c r="A539" s="2" t="inlineStr">
        <is>
          <t>2025-08-12</t>
        </is>
      </c>
      <c r="B539" s="2" t="inlineStr">
        <is>
          <t>2025-08-13</t>
        </is>
      </c>
      <c r="C539" s="2" t="inlineStr">
        <is>
          <t>焦煤</t>
        </is>
      </c>
      <c r="D539" s="2" t="inlineStr">
        <is>
          <t>JM</t>
        </is>
      </c>
      <c r="E539" s="19" t="inlineStr">
        <is>
          <t>多</t>
        </is>
      </c>
      <c r="F539" s="2" t="inlineStr">
        <is>
          <t>★★★</t>
        </is>
      </c>
      <c r="G539" s="10" t="n">
        <v>1</v>
      </c>
      <c r="H539" s="11" t="n">
        <v>1313</v>
      </c>
      <c r="I539" s="11" t="n">
        <v>1245</v>
      </c>
      <c r="J539" s="10" t="n">
        <v>60</v>
      </c>
      <c r="K539" s="10" t="n">
        <v>30000</v>
      </c>
      <c r="L539" s="23">
        <f>IF(E539="多",1,-1)*(I539-H539)*G539*J539</f>
        <v/>
      </c>
      <c r="M539" s="24">
        <f>L539/K539</f>
        <v/>
      </c>
      <c r="N539" s="2" t="inlineStr">
        <is>
          <t>将军撤退+大将军转向</t>
        </is>
      </c>
      <c r="O539" s="2" t="inlineStr">
        <is>
          <t>否</t>
        </is>
      </c>
    </row>
    <row r="540">
      <c r="A540" s="2" t="inlineStr">
        <is>
          <t>2025-08-11</t>
        </is>
      </c>
      <c r="B540" s="2" t="inlineStr">
        <is>
          <t>2025-08-13</t>
        </is>
      </c>
      <c r="C540" s="2" t="inlineStr">
        <is>
          <t>鸡蛋</t>
        </is>
      </c>
      <c r="D540" s="2" t="inlineStr">
        <is>
          <t>JD</t>
        </is>
      </c>
      <c r="E540" s="9" t="inlineStr">
        <is>
          <t>空</t>
        </is>
      </c>
      <c r="F540" s="2" t="inlineStr">
        <is>
          <t>★★★</t>
        </is>
      </c>
      <c r="G540" s="10" t="n">
        <v>6</v>
      </c>
      <c r="H540" s="11" t="n">
        <v>3181</v>
      </c>
      <c r="I540" s="11" t="n">
        <v>3185</v>
      </c>
      <c r="J540" s="10" t="n">
        <v>10</v>
      </c>
      <c r="K540" s="10" t="n">
        <v>10000</v>
      </c>
      <c r="L540" s="23">
        <f>IF(E540="多",1,-1)*(I540-H540)*G540*J540</f>
        <v/>
      </c>
      <c r="M540" s="24">
        <f>L540/K540</f>
        <v/>
      </c>
      <c r="N540" s="2" t="inlineStr">
        <is>
          <t>大将军转向</t>
        </is>
      </c>
      <c r="O540" s="2" t="inlineStr">
        <is>
          <t>否</t>
        </is>
      </c>
    </row>
    <row r="541">
      <c r="A541" s="14" t="inlineStr">
        <is>
          <t>2025-08-04</t>
        </is>
      </c>
      <c r="B541" s="14" t="inlineStr">
        <is>
          <t>2025-08-13</t>
        </is>
      </c>
      <c r="C541" s="14" t="inlineStr">
        <is>
          <t>棉花</t>
        </is>
      </c>
      <c r="D541" s="14" t="inlineStr">
        <is>
          <t>CF</t>
        </is>
      </c>
      <c r="E541" s="14" t="inlineStr">
        <is>
          <t>空</t>
        </is>
      </c>
      <c r="F541" s="14" t="inlineStr">
        <is>
          <t>★★</t>
        </is>
      </c>
      <c r="G541" s="14" t="n">
        <v>3</v>
      </c>
      <c r="H541" s="15" t="n">
        <v>13810</v>
      </c>
      <c r="I541" s="15" t="n">
        <v>14231.79</v>
      </c>
      <c r="J541" s="14" t="n">
        <v>5</v>
      </c>
      <c r="K541" s="14" t="n">
        <v>10000</v>
      </c>
      <c r="L541" s="25">
        <f>IF(E541="多",1,-1)*(I541-H541)*G541*J541</f>
        <v/>
      </c>
      <c r="M541" s="26">
        <f>L541/K541</f>
        <v/>
      </c>
      <c r="N541" s="14" t="inlineStr">
        <is>
          <t>止损</t>
        </is>
      </c>
      <c r="O541" s="14" t="inlineStr">
        <is>
          <t>是</t>
        </is>
      </c>
    </row>
    <row r="542">
      <c r="A542" s="14" t="inlineStr">
        <is>
          <t>2025-08-08</t>
        </is>
      </c>
      <c r="B542" s="14" t="inlineStr">
        <is>
          <t>2025-08-12</t>
        </is>
      </c>
      <c r="C542" s="14" t="inlineStr">
        <is>
          <t>玻璃</t>
        </is>
      </c>
      <c r="D542" s="14" t="inlineStr">
        <is>
          <t>FG</t>
        </is>
      </c>
      <c r="E542" s="14" t="inlineStr">
        <is>
          <t>空</t>
        </is>
      </c>
      <c r="F542" s="14" t="inlineStr">
        <is>
          <t>★★</t>
        </is>
      </c>
      <c r="G542" s="14" t="n">
        <v>2</v>
      </c>
      <c r="H542" s="15" t="n">
        <v>1058</v>
      </c>
      <c r="I542" s="15" t="n">
        <v>1073</v>
      </c>
      <c r="J542" s="14" t="n">
        <v>20</v>
      </c>
      <c r="K542" s="14" t="n">
        <v>10000</v>
      </c>
      <c r="L542" s="25">
        <f>IF(E542="多",1,-1)*(I542-H542)*G542*J542</f>
        <v/>
      </c>
      <c r="M542" s="26">
        <f>L542/K542</f>
        <v/>
      </c>
      <c r="N542" s="14" t="inlineStr">
        <is>
          <t>将军撤退</t>
        </is>
      </c>
      <c r="O542" s="14" t="inlineStr">
        <is>
          <t>是</t>
        </is>
      </c>
    </row>
    <row r="543">
      <c r="A543" s="14" t="inlineStr">
        <is>
          <t>2025-08-01</t>
        </is>
      </c>
      <c r="B543" s="14" t="inlineStr">
        <is>
          <t>2025-08-12</t>
        </is>
      </c>
      <c r="C543" s="14" t="inlineStr">
        <is>
          <t>豆粕</t>
        </is>
      </c>
      <c r="D543" s="14" t="inlineStr">
        <is>
          <t>M</t>
        </is>
      </c>
      <c r="E543" s="14" t="inlineStr">
        <is>
          <t>多</t>
        </is>
      </c>
      <c r="F543" s="14" t="inlineStr">
        <is>
          <t>★★</t>
        </is>
      </c>
      <c r="G543" s="14" t="n">
        <v>8</v>
      </c>
      <c r="H543" s="15" t="n">
        <v>3033</v>
      </c>
      <c r="I543" s="15" t="n">
        <v>3091</v>
      </c>
      <c r="J543" s="14" t="n">
        <v>10</v>
      </c>
      <c r="K543" s="14" t="n">
        <v>10000</v>
      </c>
      <c r="L543" s="25">
        <f>IF(E543="多",1,-1)*(I543-H543)*G543*J543</f>
        <v/>
      </c>
      <c r="M543" s="26">
        <f>L543/K543</f>
        <v/>
      </c>
      <c r="N543" s="14" t="inlineStr">
        <is>
          <t>大将军转向</t>
        </is>
      </c>
      <c r="O543" s="14" t="inlineStr">
        <is>
          <t>是</t>
        </is>
      </c>
    </row>
    <row r="544">
      <c r="A544" s="2" t="inlineStr">
        <is>
          <t>2025-07-18</t>
        </is>
      </c>
      <c r="B544" s="2" t="inlineStr">
        <is>
          <t>2025-08-12</t>
        </is>
      </c>
      <c r="C544" s="2" t="inlineStr">
        <is>
          <t>豆油</t>
        </is>
      </c>
      <c r="D544" s="2" t="inlineStr">
        <is>
          <t>Y</t>
        </is>
      </c>
      <c r="E544" s="19" t="inlineStr">
        <is>
          <t>多</t>
        </is>
      </c>
      <c r="F544" s="2" t="inlineStr">
        <is>
          <t>★★★</t>
        </is>
      </c>
      <c r="G544" s="10" t="n">
        <v>13</v>
      </c>
      <c r="H544" s="11" t="n">
        <v>8132</v>
      </c>
      <c r="I544" s="11" t="n">
        <v>8476</v>
      </c>
      <c r="J544" s="10" t="n">
        <v>10</v>
      </c>
      <c r="K544" s="10" t="n">
        <v>30000</v>
      </c>
      <c r="L544" s="23">
        <f>IF(E544="多",1,-1)*(I544-H544)*G544*J544</f>
        <v/>
      </c>
      <c r="M544" s="24">
        <f>L544/K544</f>
        <v/>
      </c>
      <c r="N544" s="2" t="inlineStr">
        <is>
          <t>将军撤退+大将军转向</t>
        </is>
      </c>
      <c r="O544" s="2" t="inlineStr">
        <is>
          <t>否</t>
        </is>
      </c>
    </row>
    <row r="545">
      <c r="A545" s="14" t="inlineStr">
        <is>
          <t>2025-08-07</t>
        </is>
      </c>
      <c r="B545" s="14" t="inlineStr">
        <is>
          <t>2025-08-11</t>
        </is>
      </c>
      <c r="C545" s="14" t="inlineStr">
        <is>
          <t>沪镍</t>
        </is>
      </c>
      <c r="D545" s="14" t="inlineStr">
        <is>
          <t>NI</t>
        </is>
      </c>
      <c r="E545" s="14" t="inlineStr">
        <is>
          <t>多</t>
        </is>
      </c>
      <c r="F545" s="14" t="inlineStr">
        <is>
          <t>★★</t>
        </is>
      </c>
      <c r="G545" s="14" t="n">
        <v>1</v>
      </c>
      <c r="H545" s="15" t="n">
        <v>121420</v>
      </c>
      <c r="I545" s="15" t="n">
        <v>122130</v>
      </c>
      <c r="J545" s="14" t="n">
        <v>1</v>
      </c>
      <c r="K545" s="14" t="n">
        <v>10000</v>
      </c>
      <c r="L545" s="25">
        <f>IF(E545="多",1,-1)*(I545-H545)*G545*J545</f>
        <v/>
      </c>
      <c r="M545" s="26">
        <f>L545/K545</f>
        <v/>
      </c>
      <c r="N545" s="14" t="inlineStr">
        <is>
          <t>大将军转向</t>
        </is>
      </c>
      <c r="O545" s="14" t="inlineStr">
        <is>
          <t>是</t>
        </is>
      </c>
    </row>
    <row r="546">
      <c r="A546" s="14" t="inlineStr">
        <is>
          <t>2025-08-06</t>
        </is>
      </c>
      <c r="B546" s="14" t="inlineStr">
        <is>
          <t>2025-08-08</t>
        </is>
      </c>
      <c r="C546" s="14" t="inlineStr">
        <is>
          <t>螺纹钢</t>
        </is>
      </c>
      <c r="D546" s="14" t="inlineStr">
        <is>
          <t>RB</t>
        </is>
      </c>
      <c r="E546" s="14" t="inlineStr">
        <is>
          <t>多</t>
        </is>
      </c>
      <c r="F546" s="14" t="inlineStr">
        <is>
          <t>★★</t>
        </is>
      </c>
      <c r="G546" s="14" t="n">
        <v>4</v>
      </c>
      <c r="H546" s="15" t="n">
        <v>3234</v>
      </c>
      <c r="I546" s="15" t="n">
        <v>3213</v>
      </c>
      <c r="J546" s="14" t="n">
        <v>10</v>
      </c>
      <c r="K546" s="14" t="n">
        <v>10000</v>
      </c>
      <c r="L546" s="25">
        <f>IF(E546="多",1,-1)*(I546-H546)*G546*J546</f>
        <v/>
      </c>
      <c r="M546" s="26">
        <f>L546/K546</f>
        <v/>
      </c>
      <c r="N546" s="14" t="inlineStr">
        <is>
          <t>大将军转向</t>
        </is>
      </c>
      <c r="O546" s="14" t="inlineStr">
        <is>
          <t>是</t>
        </is>
      </c>
    </row>
    <row r="547">
      <c r="A547" s="14" t="inlineStr">
        <is>
          <t>2025-08-05</t>
        </is>
      </c>
      <c r="B547" s="14" t="inlineStr">
        <is>
          <t>2025-08-07</t>
        </is>
      </c>
      <c r="C547" s="14" t="inlineStr">
        <is>
          <t>PTA</t>
        </is>
      </c>
      <c r="D547" s="14" t="inlineStr">
        <is>
          <t>TA</t>
        </is>
      </c>
      <c r="E547" s="14" t="inlineStr">
        <is>
          <t>空</t>
        </is>
      </c>
      <c r="F547" s="14" t="inlineStr">
        <is>
          <t>★★</t>
        </is>
      </c>
      <c r="G547" s="14" t="n">
        <v>8</v>
      </c>
      <c r="H547" s="15" t="n">
        <v>4678</v>
      </c>
      <c r="I547" s="15" t="n">
        <v>4688</v>
      </c>
      <c r="J547" s="14" t="n">
        <v>5</v>
      </c>
      <c r="K547" s="14" t="n">
        <v>10000</v>
      </c>
      <c r="L547" s="25">
        <f>IF(E547="多",1,-1)*(I547-H547)*G547*J547</f>
        <v/>
      </c>
      <c r="M547" s="26">
        <f>L547/K547</f>
        <v/>
      </c>
      <c r="N547" s="14" t="inlineStr">
        <is>
          <t>将军撤退</t>
        </is>
      </c>
      <c r="O547" s="14" t="inlineStr">
        <is>
          <t>是</t>
        </is>
      </c>
    </row>
    <row r="548">
      <c r="A548" s="14" t="inlineStr">
        <is>
          <t>2025-08-04</t>
        </is>
      </c>
      <c r="B548" s="14" t="inlineStr">
        <is>
          <t>2025-08-05</t>
        </is>
      </c>
      <c r="C548" s="14" t="inlineStr">
        <is>
          <t>鸡蛋</t>
        </is>
      </c>
      <c r="D548" s="14" t="inlineStr">
        <is>
          <t>JD</t>
        </is>
      </c>
      <c r="E548" s="14" t="inlineStr">
        <is>
          <t>空</t>
        </is>
      </c>
      <c r="F548" s="14" t="inlineStr">
        <is>
          <t>★★</t>
        </is>
      </c>
      <c r="G548" s="14" t="n">
        <v>6</v>
      </c>
      <c r="H548" s="15" t="n">
        <v>3359</v>
      </c>
      <c r="I548" s="15" t="n">
        <v>3330</v>
      </c>
      <c r="J548" s="14" t="n">
        <v>10</v>
      </c>
      <c r="K548" s="14" t="n">
        <v>10000</v>
      </c>
      <c r="L548" s="25">
        <f>IF(E548="多",1,-1)*(I548-H548)*G548*J548</f>
        <v/>
      </c>
      <c r="M548" s="26">
        <f>L548/K548</f>
        <v/>
      </c>
      <c r="N548" s="14" t="inlineStr">
        <is>
          <t>将军撤退</t>
        </is>
      </c>
      <c r="O548" s="14" t="inlineStr">
        <is>
          <t>是</t>
        </is>
      </c>
    </row>
    <row r="549">
      <c r="A549" s="14" t="inlineStr">
        <is>
          <t>2025-08-04</t>
        </is>
      </c>
      <c r="B549" s="14" t="inlineStr">
        <is>
          <t>2025-08-05</t>
        </is>
      </c>
      <c r="C549" s="14" t="inlineStr">
        <is>
          <t>玻璃</t>
        </is>
      </c>
      <c r="D549" s="14" t="inlineStr">
        <is>
          <t>FG</t>
        </is>
      </c>
      <c r="E549" s="14" t="inlineStr">
        <is>
          <t>空</t>
        </is>
      </c>
      <c r="F549" s="14" t="inlineStr">
        <is>
          <t>★★</t>
        </is>
      </c>
      <c r="G549" s="14" t="n">
        <v>2</v>
      </c>
      <c r="H549" s="15" t="n">
        <v>1082</v>
      </c>
      <c r="I549" s="15" t="n">
        <v>1077</v>
      </c>
      <c r="J549" s="14" t="n">
        <v>20</v>
      </c>
      <c r="K549" s="14" t="n">
        <v>10000</v>
      </c>
      <c r="L549" s="25">
        <f>IF(E549="多",1,-1)*(I549-H549)*G549*J549</f>
        <v/>
      </c>
      <c r="M549" s="26">
        <f>L549/K549</f>
        <v/>
      </c>
      <c r="N549" s="14" t="inlineStr">
        <is>
          <t>将军撤退</t>
        </is>
      </c>
      <c r="O549" s="14" t="inlineStr">
        <is>
          <t>是</t>
        </is>
      </c>
    </row>
    <row r="550">
      <c r="A550" s="14" t="inlineStr">
        <is>
          <t>2025-07-25</t>
        </is>
      </c>
      <c r="B550" s="14" t="inlineStr">
        <is>
          <t>2025-08-04</t>
        </is>
      </c>
      <c r="C550" s="14" t="inlineStr">
        <is>
          <t>聚丙烯</t>
        </is>
      </c>
      <c r="D550" s="14" t="inlineStr">
        <is>
          <t>PP</t>
        </is>
      </c>
      <c r="E550" s="14" t="inlineStr">
        <is>
          <t>多</t>
        </is>
      </c>
      <c r="F550" s="14" t="inlineStr">
        <is>
          <t>★★</t>
        </is>
      </c>
      <c r="G550" s="14" t="n">
        <v>10</v>
      </c>
      <c r="H550" s="15" t="n">
        <v>7240</v>
      </c>
      <c r="I550" s="15" t="n">
        <v>7057</v>
      </c>
      <c r="J550" s="14" t="n">
        <v>5</v>
      </c>
      <c r="K550" s="14" t="n">
        <v>10000</v>
      </c>
      <c r="L550" s="25">
        <f>IF(E550="多",1,-1)*(I550-H550)*G550*J550</f>
        <v/>
      </c>
      <c r="M550" s="26">
        <f>L550/K550</f>
        <v/>
      </c>
      <c r="N550" s="14" t="inlineStr">
        <is>
          <t>止损</t>
        </is>
      </c>
      <c r="O550" s="14" t="inlineStr">
        <is>
          <t>是</t>
        </is>
      </c>
    </row>
    <row r="551">
      <c r="A551" s="2" t="inlineStr">
        <is>
          <t>2025-07-21</t>
        </is>
      </c>
      <c r="B551" s="2" t="inlineStr">
        <is>
          <t>2025-08-04</t>
        </is>
      </c>
      <c r="C551" s="2" t="inlineStr">
        <is>
          <t>沪铝</t>
        </is>
      </c>
      <c r="D551" s="2" t="inlineStr">
        <is>
          <t>AL</t>
        </is>
      </c>
      <c r="E551" s="19" t="inlineStr">
        <is>
          <t>多</t>
        </is>
      </c>
      <c r="F551" s="2" t="inlineStr">
        <is>
          <t>★★★</t>
        </is>
      </c>
      <c r="G551" s="10" t="n">
        <v>11</v>
      </c>
      <c r="H551" s="11" t="n">
        <v>20850</v>
      </c>
      <c r="I551" s="11" t="n">
        <v>20460</v>
      </c>
      <c r="J551" s="10" t="n">
        <v>5</v>
      </c>
      <c r="K551" s="10" t="n">
        <v>30000</v>
      </c>
      <c r="L551" s="23">
        <f>IF(E551="多",1,-1)*(I551-H551)*G551*J551</f>
        <v/>
      </c>
      <c r="M551" s="24">
        <f>L551/K551</f>
        <v/>
      </c>
      <c r="N551" s="2" t="inlineStr">
        <is>
          <t>跳空止损</t>
        </is>
      </c>
      <c r="O551" s="2" t="inlineStr">
        <is>
          <t>否</t>
        </is>
      </c>
    </row>
    <row r="552">
      <c r="A552" s="2" t="inlineStr">
        <is>
          <t>2025-07-31</t>
        </is>
      </c>
      <c r="B552" s="2" t="inlineStr">
        <is>
          <t>2025-08-01</t>
        </is>
      </c>
      <c r="C552" s="2" t="inlineStr">
        <is>
          <t>棉花</t>
        </is>
      </c>
      <c r="D552" s="2" t="inlineStr">
        <is>
          <t>CF</t>
        </is>
      </c>
      <c r="E552" s="9" t="inlineStr">
        <is>
          <t>空</t>
        </is>
      </c>
      <c r="F552" s="2" t="inlineStr">
        <is>
          <t>★★★</t>
        </is>
      </c>
      <c r="G552" s="10" t="n">
        <v>3</v>
      </c>
      <c r="H552" s="11" t="n">
        <v>13690</v>
      </c>
      <c r="I552" s="11" t="n">
        <v>13585</v>
      </c>
      <c r="J552" s="10" t="n">
        <v>5</v>
      </c>
      <c r="K552" s="10" t="n">
        <v>10000</v>
      </c>
      <c r="L552" s="23">
        <f>IF(E552="多",1,-1)*(I552-H552)*G552*J552</f>
        <v/>
      </c>
      <c r="M552" s="24">
        <f>L552/K552</f>
        <v/>
      </c>
      <c r="N552" s="2" t="inlineStr">
        <is>
          <t>将军撤退</t>
        </is>
      </c>
      <c r="O552" s="2" t="inlineStr">
        <is>
          <t>否</t>
        </is>
      </c>
    </row>
    <row r="553">
      <c r="A553" s="14" t="inlineStr">
        <is>
          <t>2025-07-25</t>
        </is>
      </c>
      <c r="B553" s="14" t="inlineStr">
        <is>
          <t>2025-07-31</t>
        </is>
      </c>
      <c r="C553" s="14" t="inlineStr">
        <is>
          <t>沪镍</t>
        </is>
      </c>
      <c r="D553" s="14" t="inlineStr">
        <is>
          <t>NI</t>
        </is>
      </c>
      <c r="E553" s="14" t="inlineStr">
        <is>
          <t>多</t>
        </is>
      </c>
      <c r="F553" s="14" t="inlineStr">
        <is>
          <t>★★</t>
        </is>
      </c>
      <c r="G553" s="14" t="n">
        <v>1</v>
      </c>
      <c r="H553" s="15" t="n">
        <v>123980</v>
      </c>
      <c r="I553" s="15" t="n">
        <v>119603.57</v>
      </c>
      <c r="J553" s="14" t="n">
        <v>1</v>
      </c>
      <c r="K553" s="14" t="n">
        <v>10000</v>
      </c>
      <c r="L553" s="25">
        <f>IF(E553="多",1,-1)*(I553-H553)*G553*J553</f>
        <v/>
      </c>
      <c r="M553" s="26">
        <f>L553/K553</f>
        <v/>
      </c>
      <c r="N553" s="14" t="inlineStr">
        <is>
          <t>止损</t>
        </is>
      </c>
      <c r="O553" s="14" t="inlineStr">
        <is>
          <t>是</t>
        </is>
      </c>
    </row>
    <row r="554">
      <c r="A554" s="2" t="inlineStr">
        <is>
          <t>2025-06-27</t>
        </is>
      </c>
      <c r="B554" s="2" t="inlineStr">
        <is>
          <t>2025-07-31</t>
        </is>
      </c>
      <c r="C554" s="2" t="inlineStr">
        <is>
          <t>PVC</t>
        </is>
      </c>
      <c r="D554" s="2" t="inlineStr">
        <is>
          <t>V</t>
        </is>
      </c>
      <c r="E554" s="19" t="inlineStr">
        <is>
          <t>多</t>
        </is>
      </c>
      <c r="F554" s="2" t="inlineStr">
        <is>
          <t>★★★</t>
        </is>
      </c>
      <c r="G554" s="10" t="n">
        <v>10</v>
      </c>
      <c r="H554" s="11" t="n">
        <v>4920</v>
      </c>
      <c r="I554" s="11" t="n">
        <v>5059.5</v>
      </c>
      <c r="J554" s="10" t="n">
        <v>5</v>
      </c>
      <c r="K554" s="10" t="n">
        <v>10000</v>
      </c>
      <c r="L554" s="23">
        <f>IF(E554="多",1,-1)*(I554-H554)*G554*J554</f>
        <v/>
      </c>
      <c r="M554" s="24">
        <f>L554/K554</f>
        <v/>
      </c>
      <c r="N554" s="2" t="inlineStr">
        <is>
          <t>止损</t>
        </is>
      </c>
      <c r="O554" s="2" t="inlineStr">
        <is>
          <t>否</t>
        </is>
      </c>
    </row>
    <row r="555">
      <c r="A555" s="14" t="inlineStr">
        <is>
          <t>2025-07-25</t>
        </is>
      </c>
      <c r="B555" s="14" t="inlineStr">
        <is>
          <t>2025-07-28</t>
        </is>
      </c>
      <c r="C555" s="14" t="inlineStr">
        <is>
          <t>沪锌</t>
        </is>
      </c>
      <c r="D555" s="14" t="inlineStr">
        <is>
          <t>ZN</t>
        </is>
      </c>
      <c r="E555" s="14" t="inlineStr">
        <is>
          <t>空</t>
        </is>
      </c>
      <c r="F555" s="14" t="inlineStr">
        <is>
          <t>★★</t>
        </is>
      </c>
      <c r="G555" s="14" t="n">
        <v>2</v>
      </c>
      <c r="H555" s="15" t="n">
        <v>22905</v>
      </c>
      <c r="I555" s="15" t="n">
        <v>22645</v>
      </c>
      <c r="J555" s="14" t="n">
        <v>5</v>
      </c>
      <c r="K555" s="14" t="n">
        <v>10000</v>
      </c>
      <c r="L555" s="25">
        <f>IF(E555="多",1,-1)*(I555-H555)*G555*J555</f>
        <v/>
      </c>
      <c r="M555" s="26">
        <f>L555/K555</f>
        <v/>
      </c>
      <c r="N555" s="14" t="inlineStr">
        <is>
          <t>将军撤退+大将军转向</t>
        </is>
      </c>
      <c r="O555" s="14" t="inlineStr">
        <is>
          <t>是</t>
        </is>
      </c>
    </row>
    <row r="556">
      <c r="A556" s="2" t="inlineStr">
        <is>
          <t>2025-07-18</t>
        </is>
      </c>
      <c r="B556" s="2" t="inlineStr">
        <is>
          <t>2025-07-28</t>
        </is>
      </c>
      <c r="C556" s="2" t="inlineStr">
        <is>
          <t>热卷</t>
        </is>
      </c>
      <c r="D556" s="2" t="inlineStr">
        <is>
          <t>HC</t>
        </is>
      </c>
      <c r="E556" s="19" t="inlineStr">
        <is>
          <t>多</t>
        </is>
      </c>
      <c r="F556" s="2" t="inlineStr">
        <is>
          <t>★★★</t>
        </is>
      </c>
      <c r="G556" s="10" t="n">
        <v>26</v>
      </c>
      <c r="H556" s="11" t="n">
        <v>3323</v>
      </c>
      <c r="I556" s="11" t="n">
        <v>3397</v>
      </c>
      <c r="J556" s="10" t="n">
        <v>10</v>
      </c>
      <c r="K556" s="10" t="n">
        <v>30000</v>
      </c>
      <c r="L556" s="23">
        <f>IF(E556="多",1,-1)*(I556-H556)*G556*J556</f>
        <v/>
      </c>
      <c r="M556" s="24">
        <f>L556/K556</f>
        <v/>
      </c>
      <c r="N556" s="2" t="inlineStr">
        <is>
          <t>将军撤退+大将军转向</t>
        </is>
      </c>
      <c r="O556" s="2" t="inlineStr">
        <is>
          <t>否</t>
        </is>
      </c>
    </row>
    <row r="557">
      <c r="A557" s="14" t="inlineStr">
        <is>
          <t>2025-07-24</t>
        </is>
      </c>
      <c r="B557" s="14" t="inlineStr">
        <is>
          <t>2025-07-25</t>
        </is>
      </c>
      <c r="C557" s="14" t="inlineStr">
        <is>
          <t>铁矿石</t>
        </is>
      </c>
      <c r="D557" s="14" t="inlineStr">
        <is>
          <t>I</t>
        </is>
      </c>
      <c r="E557" s="14" t="inlineStr">
        <is>
          <t>多</t>
        </is>
      </c>
      <c r="F557" s="14" t="inlineStr">
        <is>
          <t>★★</t>
        </is>
      </c>
      <c r="G557" s="14" t="n">
        <v>1</v>
      </c>
      <c r="H557" s="15" t="n">
        <v>815</v>
      </c>
      <c r="I557" s="15" t="n">
        <v>802.5</v>
      </c>
      <c r="J557" s="14" t="n">
        <v>100</v>
      </c>
      <c r="K557" s="14" t="n">
        <v>10000</v>
      </c>
      <c r="L557" s="25">
        <f>IF(E557="多",1,-1)*(I557-H557)*G557*J557</f>
        <v/>
      </c>
      <c r="M557" s="26">
        <f>L557/K557</f>
        <v/>
      </c>
      <c r="N557" s="14" t="inlineStr">
        <is>
          <t>将军撤退+大将军转向</t>
        </is>
      </c>
      <c r="O557" s="14" t="inlineStr">
        <is>
          <t>是</t>
        </is>
      </c>
    </row>
    <row r="558">
      <c r="A558" s="14" t="inlineStr">
        <is>
          <t>2025-07-22</t>
        </is>
      </c>
      <c r="B558" s="14" t="inlineStr">
        <is>
          <t>2025-07-24</t>
        </is>
      </c>
      <c r="C558" s="14" t="inlineStr">
        <is>
          <t>豆粕</t>
        </is>
      </c>
      <c r="D558" s="14" t="inlineStr">
        <is>
          <t>M</t>
        </is>
      </c>
      <c r="E558" s="14" t="inlineStr">
        <is>
          <t>多</t>
        </is>
      </c>
      <c r="F558" s="14" t="inlineStr">
        <is>
          <t>★★</t>
        </is>
      </c>
      <c r="G558" s="14" t="n">
        <v>10</v>
      </c>
      <c r="H558" s="15" t="n">
        <v>3080</v>
      </c>
      <c r="I558" s="15" t="n">
        <v>3021.79</v>
      </c>
      <c r="J558" s="14" t="n">
        <v>10</v>
      </c>
      <c r="K558" s="14" t="n">
        <v>10000</v>
      </c>
      <c r="L558" s="25">
        <f>IF(E558="多",1,-1)*(I558-H558)*G558*J558</f>
        <v/>
      </c>
      <c r="M558" s="26">
        <f>L558/K558</f>
        <v/>
      </c>
      <c r="N558" s="14" t="inlineStr">
        <is>
          <t>止损</t>
        </is>
      </c>
      <c r="O558" s="14" t="inlineStr">
        <is>
          <t>是</t>
        </is>
      </c>
    </row>
    <row r="559">
      <c r="A559" s="14" t="inlineStr">
        <is>
          <t>2025-07-21</t>
        </is>
      </c>
      <c r="B559" s="14" t="inlineStr">
        <is>
          <t>2025-07-22</t>
        </is>
      </c>
      <c r="C559" s="14" t="inlineStr">
        <is>
          <t>PTA</t>
        </is>
      </c>
      <c r="D559" s="14" t="inlineStr">
        <is>
          <t>TA</t>
        </is>
      </c>
      <c r="E559" s="14" t="inlineStr">
        <is>
          <t>多</t>
        </is>
      </c>
      <c r="F559" s="14" t="inlineStr">
        <is>
          <t>★★</t>
        </is>
      </c>
      <c r="G559" s="14" t="n">
        <v>10</v>
      </c>
      <c r="H559" s="15" t="n">
        <v>4780</v>
      </c>
      <c r="I559" s="15" t="n">
        <v>4794</v>
      </c>
      <c r="J559" s="14" t="n">
        <v>5</v>
      </c>
      <c r="K559" s="14" t="n">
        <v>10000</v>
      </c>
      <c r="L559" s="25">
        <f>IF(E559="多",1,-1)*(I559-H559)*G559*J559</f>
        <v/>
      </c>
      <c r="M559" s="26">
        <f>L559/K559</f>
        <v/>
      </c>
      <c r="N559" s="14" t="inlineStr">
        <is>
          <t>将军撤退</t>
        </is>
      </c>
      <c r="O559" s="14" t="inlineStr">
        <is>
          <t>是</t>
        </is>
      </c>
    </row>
    <row r="560">
      <c r="A560" s="14" t="inlineStr">
        <is>
          <t>2025-07-18</t>
        </is>
      </c>
      <c r="B560" s="14" t="inlineStr">
        <is>
          <t>2025-07-22</t>
        </is>
      </c>
      <c r="C560" s="14" t="inlineStr">
        <is>
          <t>螺纹钢</t>
        </is>
      </c>
      <c r="D560" s="14" t="inlineStr">
        <is>
          <t>RB</t>
        </is>
      </c>
      <c r="E560" s="14" t="inlineStr">
        <is>
          <t>多</t>
        </is>
      </c>
      <c r="F560" s="14" t="inlineStr">
        <is>
          <t>★★★</t>
        </is>
      </c>
      <c r="G560" s="14" t="n">
        <v>9</v>
      </c>
      <c r="H560" s="15" t="n">
        <v>3159</v>
      </c>
      <c r="I560" s="15" t="n">
        <v>3307</v>
      </c>
      <c r="J560" s="14" t="n">
        <v>10</v>
      </c>
      <c r="K560" s="14" t="n">
        <v>10000</v>
      </c>
      <c r="L560" s="25">
        <f>IF(E560="多",1,-1)*(I560-H560)*G560*J560</f>
        <v/>
      </c>
      <c r="M560" s="26">
        <f>L560/K560</f>
        <v/>
      </c>
      <c r="N560" s="14" t="inlineStr">
        <is>
          <t>将军撤退</t>
        </is>
      </c>
      <c r="O560" s="14" t="inlineStr">
        <is>
          <t>是</t>
        </is>
      </c>
    </row>
    <row r="561">
      <c r="A561" s="14" t="inlineStr">
        <is>
          <t>2025-07-17</t>
        </is>
      </c>
      <c r="B561" s="14" t="inlineStr">
        <is>
          <t>2025-07-22</t>
        </is>
      </c>
      <c r="C561" s="14" t="inlineStr">
        <is>
          <t>玻璃</t>
        </is>
      </c>
      <c r="D561" s="14" t="inlineStr">
        <is>
          <t>FG</t>
        </is>
      </c>
      <c r="E561" s="14" t="inlineStr">
        <is>
          <t>多</t>
        </is>
      </c>
      <c r="F561" s="14" t="inlineStr">
        <is>
          <t>★★</t>
        </is>
      </c>
      <c r="G561" s="14" t="n">
        <v>5</v>
      </c>
      <c r="H561" s="15" t="n">
        <v>1091</v>
      </c>
      <c r="I561" s="15" t="n">
        <v>1249</v>
      </c>
      <c r="J561" s="14" t="n">
        <v>20</v>
      </c>
      <c r="K561" s="14" t="n">
        <v>10000</v>
      </c>
      <c r="L561" s="25">
        <f>IF(E561="多",1,-1)*(I561-H561)*G561*J561</f>
        <v/>
      </c>
      <c r="M561" s="26">
        <f>L561/K561</f>
        <v/>
      </c>
      <c r="N561" s="14" t="inlineStr">
        <is>
          <t>大将军转向</t>
        </is>
      </c>
      <c r="O561" s="14" t="inlineStr">
        <is>
          <t>是</t>
        </is>
      </c>
    </row>
    <row r="562">
      <c r="A562" s="14" t="inlineStr">
        <is>
          <t>2025-07-18</t>
        </is>
      </c>
      <c r="B562" s="14" t="inlineStr">
        <is>
          <t>2025-07-21</t>
        </is>
      </c>
      <c r="C562" s="14" t="inlineStr">
        <is>
          <t>铁矿石</t>
        </is>
      </c>
      <c r="D562" s="14" t="inlineStr">
        <is>
          <t>I</t>
        </is>
      </c>
      <c r="E562" s="14" t="inlineStr">
        <is>
          <t>多</t>
        </is>
      </c>
      <c r="F562" s="14" t="inlineStr">
        <is>
          <t>★★</t>
        </is>
      </c>
      <c r="G562" s="14" t="n">
        <v>2</v>
      </c>
      <c r="H562" s="15" t="n">
        <v>786.5</v>
      </c>
      <c r="I562" s="15" t="n">
        <v>809</v>
      </c>
      <c r="J562" s="14" t="n">
        <v>100</v>
      </c>
      <c r="K562" s="14" t="n">
        <v>10000</v>
      </c>
      <c r="L562" s="25">
        <f>IF(E562="多",1,-1)*(I562-H562)*G562*J562</f>
        <v/>
      </c>
      <c r="M562" s="26">
        <f>L562/K562</f>
        <v/>
      </c>
      <c r="N562" s="14" t="inlineStr">
        <is>
          <t>将军撤退+大将军转向</t>
        </is>
      </c>
      <c r="O562" s="14" t="inlineStr">
        <is>
          <t>是</t>
        </is>
      </c>
    </row>
    <row r="563">
      <c r="A563" s="2" t="inlineStr">
        <is>
          <t>2025-07-17</t>
        </is>
      </c>
      <c r="B563" s="2" t="inlineStr">
        <is>
          <t>2025-07-21</t>
        </is>
      </c>
      <c r="C563" s="2" t="inlineStr">
        <is>
          <t>玉米</t>
        </is>
      </c>
      <c r="D563" s="2" t="inlineStr">
        <is>
          <t>C</t>
        </is>
      </c>
      <c r="E563" s="9" t="inlineStr">
        <is>
          <t>空</t>
        </is>
      </c>
      <c r="F563" s="2" t="inlineStr">
        <is>
          <t>★★★</t>
        </is>
      </c>
      <c r="G563" s="10" t="n">
        <v>53</v>
      </c>
      <c r="H563" s="11" t="n">
        <v>2300</v>
      </c>
      <c r="I563" s="11" t="n">
        <v>2320</v>
      </c>
      <c r="J563" s="10" t="n">
        <v>10</v>
      </c>
      <c r="K563" s="10" t="n">
        <v>30000</v>
      </c>
      <c r="L563" s="23">
        <f>IF(E563="多",1,-1)*(I563-H563)*G563*J563</f>
        <v/>
      </c>
      <c r="M563" s="24">
        <f>L563/K563</f>
        <v/>
      </c>
      <c r="N563" s="2" t="inlineStr">
        <is>
          <t>将军撤退</t>
        </is>
      </c>
      <c r="O563" s="2" t="inlineStr">
        <is>
          <t>否</t>
        </is>
      </c>
    </row>
    <row r="564">
      <c r="A564" s="14" t="inlineStr">
        <is>
          <t>2025-07-04</t>
        </is>
      </c>
      <c r="B564" s="14" t="inlineStr">
        <is>
          <t>2025-07-21</t>
        </is>
      </c>
      <c r="C564" s="14" t="inlineStr">
        <is>
          <t>PTA</t>
        </is>
      </c>
      <c r="D564" s="14" t="inlineStr">
        <is>
          <t>TA</t>
        </is>
      </c>
      <c r="E564" s="14" t="inlineStr">
        <is>
          <t>空</t>
        </is>
      </c>
      <c r="F564" s="14" t="inlineStr">
        <is>
          <t>★★</t>
        </is>
      </c>
      <c r="G564" s="14" t="n">
        <v>5</v>
      </c>
      <c r="H564" s="15" t="n">
        <v>4696</v>
      </c>
      <c r="I564" s="15" t="n">
        <v>4780</v>
      </c>
      <c r="J564" s="14" t="n">
        <v>5</v>
      </c>
      <c r="K564" s="14" t="n">
        <v>10000</v>
      </c>
      <c r="L564" s="25">
        <f>IF(E564="多",1,-1)*(I564-H564)*G564*J564</f>
        <v/>
      </c>
      <c r="M564" s="26">
        <f>L564/K564</f>
        <v/>
      </c>
      <c r="N564" s="14" t="inlineStr">
        <is>
          <t>反向信号</t>
        </is>
      </c>
      <c r="O564" s="14" t="inlineStr">
        <is>
          <t>是</t>
        </is>
      </c>
    </row>
    <row r="565">
      <c r="A565" s="2" t="inlineStr">
        <is>
          <t>2025-07-17</t>
        </is>
      </c>
      <c r="B565" s="2" t="inlineStr">
        <is>
          <t>2025-07-18</t>
        </is>
      </c>
      <c r="C565" s="2" t="inlineStr">
        <is>
          <t>白糖</t>
        </is>
      </c>
      <c r="D565" s="2" t="inlineStr">
        <is>
          <t>SR</t>
        </is>
      </c>
      <c r="E565" s="19" t="inlineStr">
        <is>
          <t>多</t>
        </is>
      </c>
      <c r="F565" s="2" t="inlineStr">
        <is>
          <t>★★★</t>
        </is>
      </c>
      <c r="G565" s="10" t="n">
        <v>24</v>
      </c>
      <c r="H565" s="11" t="n">
        <v>5840</v>
      </c>
      <c r="I565" s="11" t="n">
        <v>5826</v>
      </c>
      <c r="J565" s="10" t="n">
        <v>10</v>
      </c>
      <c r="K565" s="10" t="n">
        <v>30000</v>
      </c>
      <c r="L565" s="23">
        <f>IF(E565="多",1,-1)*(I565-H565)*G565*J565</f>
        <v/>
      </c>
      <c r="M565" s="24">
        <f>L565/K565</f>
        <v/>
      </c>
      <c r="N565" s="2" t="inlineStr">
        <is>
          <t>大将军转向</t>
        </is>
      </c>
      <c r="O565" s="2" t="inlineStr">
        <is>
          <t>否</t>
        </is>
      </c>
    </row>
    <row r="566">
      <c r="A566" s="2" t="inlineStr">
        <is>
          <t>2025-07-14</t>
        </is>
      </c>
      <c r="B566" s="2" t="inlineStr">
        <is>
          <t>2025-07-18</t>
        </is>
      </c>
      <c r="C566" s="2" t="inlineStr">
        <is>
          <t>棕榈油</t>
        </is>
      </c>
      <c r="D566" s="2" t="inlineStr">
        <is>
          <t>P</t>
        </is>
      </c>
      <c r="E566" s="19" t="inlineStr">
        <is>
          <t>多</t>
        </is>
      </c>
      <c r="F566" s="2" t="inlineStr">
        <is>
          <t>★★★</t>
        </is>
      </c>
      <c r="G566" s="10" t="n">
        <v>9</v>
      </c>
      <c r="H566" s="11" t="n">
        <v>8760</v>
      </c>
      <c r="I566" s="11" t="n">
        <v>8964</v>
      </c>
      <c r="J566" s="10" t="n">
        <v>10</v>
      </c>
      <c r="K566" s="10" t="n">
        <v>30000</v>
      </c>
      <c r="L566" s="23">
        <f>IF(E566="多",1,-1)*(I566-H566)*G566*J566</f>
        <v/>
      </c>
      <c r="M566" s="24">
        <f>L566/K566</f>
        <v/>
      </c>
      <c r="N566" s="2" t="inlineStr">
        <is>
          <t>大将军转向</t>
        </is>
      </c>
      <c r="O566" s="2" t="inlineStr">
        <is>
          <t>否</t>
        </is>
      </c>
    </row>
    <row r="567">
      <c r="A567" s="14" t="inlineStr">
        <is>
          <t>2025-07-11</t>
        </is>
      </c>
      <c r="B567" s="14" t="inlineStr">
        <is>
          <t>2025-07-17</t>
        </is>
      </c>
      <c r="C567" s="14" t="inlineStr">
        <is>
          <t>碳酸锂</t>
        </is>
      </c>
      <c r="D567" s="14" t="inlineStr">
        <is>
          <t>LC</t>
        </is>
      </c>
      <c r="E567" s="14" t="inlineStr">
        <is>
          <t>多</t>
        </is>
      </c>
      <c r="F567" s="14" t="inlineStr">
        <is>
          <t>★★</t>
        </is>
      </c>
      <c r="G567" s="14" t="n">
        <v>2</v>
      </c>
      <c r="H567" s="15" t="n">
        <v>64300</v>
      </c>
      <c r="I567" s="15" t="n">
        <v>67960</v>
      </c>
      <c r="J567" s="14" t="n">
        <v>1</v>
      </c>
      <c r="K567" s="14" t="n">
        <v>10000</v>
      </c>
      <c r="L567" s="25">
        <f>IF(E567="多",1,-1)*(I567-H567)*G567*J567</f>
        <v/>
      </c>
      <c r="M567" s="26">
        <f>L567/K567</f>
        <v/>
      </c>
      <c r="N567" s="14" t="inlineStr">
        <is>
          <t>将军撤退</t>
        </is>
      </c>
      <c r="O567" s="14" t="inlineStr">
        <is>
          <t>是</t>
        </is>
      </c>
    </row>
    <row r="568">
      <c r="A568" s="2" t="inlineStr">
        <is>
          <t>2025-07-11</t>
        </is>
      </c>
      <c r="B568" s="2" t="inlineStr">
        <is>
          <t>2025-07-17</t>
        </is>
      </c>
      <c r="C568" s="2" t="inlineStr">
        <is>
          <t>铁矿石</t>
        </is>
      </c>
      <c r="D568" s="2" t="inlineStr">
        <is>
          <t>I</t>
        </is>
      </c>
      <c r="E568" s="19" t="inlineStr">
        <is>
          <t>多</t>
        </is>
      </c>
      <c r="F568" s="2" t="inlineStr">
        <is>
          <t>★★★</t>
        </is>
      </c>
      <c r="G568" s="10" t="n">
        <v>8</v>
      </c>
      <c r="H568" s="11" t="n">
        <v>765</v>
      </c>
      <c r="I568" s="11" t="n">
        <v>785.5</v>
      </c>
      <c r="J568" s="10" t="n">
        <v>100</v>
      </c>
      <c r="K568" s="10" t="n">
        <v>30000</v>
      </c>
      <c r="L568" s="23">
        <f>IF(E568="多",1,-1)*(I568-H568)*G568*J568</f>
        <v/>
      </c>
      <c r="M568" s="24">
        <f>L568/K568</f>
        <v/>
      </c>
      <c r="N568" s="2" t="inlineStr">
        <is>
          <t>将军撤退</t>
        </is>
      </c>
      <c r="O568" s="2" t="inlineStr">
        <is>
          <t>否</t>
        </is>
      </c>
    </row>
    <row r="569">
      <c r="A569" s="14" t="inlineStr">
        <is>
          <t>2025-07-15</t>
        </is>
      </c>
      <c r="B569" s="14" t="inlineStr">
        <is>
          <t>2025-07-16</t>
        </is>
      </c>
      <c r="C569" s="14" t="inlineStr">
        <is>
          <t>玉米</t>
        </is>
      </c>
      <c r="D569" s="14" t="inlineStr">
        <is>
          <t>C</t>
        </is>
      </c>
      <c r="E569" s="14" t="inlineStr">
        <is>
          <t>空</t>
        </is>
      </c>
      <c r="F569" s="14" t="inlineStr">
        <is>
          <t>★★</t>
        </is>
      </c>
      <c r="G569" s="14" t="n">
        <v>18</v>
      </c>
      <c r="H569" s="15" t="n">
        <v>2296</v>
      </c>
      <c r="I569" s="15" t="n">
        <v>2293</v>
      </c>
      <c r="J569" s="14" t="n">
        <v>10</v>
      </c>
      <c r="K569" s="14" t="n">
        <v>10000</v>
      </c>
      <c r="L569" s="25">
        <f>IF(E569="多",1,-1)*(I569-H569)*G569*J569</f>
        <v/>
      </c>
      <c r="M569" s="26">
        <f>L569/K569</f>
        <v/>
      </c>
      <c r="N569" s="14" t="inlineStr">
        <is>
          <t>大将军转向</t>
        </is>
      </c>
      <c r="O569" s="14" t="inlineStr">
        <is>
          <t>是</t>
        </is>
      </c>
    </row>
    <row r="570">
      <c r="A570" s="14" t="inlineStr">
        <is>
          <t>2025-07-11</t>
        </is>
      </c>
      <c r="B570" s="14" t="inlineStr">
        <is>
          <t>2025-07-16</t>
        </is>
      </c>
      <c r="C570" s="14" t="inlineStr">
        <is>
          <t>燃料油</t>
        </is>
      </c>
      <c r="D570" s="14" t="inlineStr">
        <is>
          <t>FU</t>
        </is>
      </c>
      <c r="E570" s="14" t="inlineStr">
        <is>
          <t>空</t>
        </is>
      </c>
      <c r="F570" s="14" t="inlineStr">
        <is>
          <t>★★★</t>
        </is>
      </c>
      <c r="G570" s="14" t="n">
        <v>5</v>
      </c>
      <c r="H570" s="15" t="n">
        <v>2908</v>
      </c>
      <c r="I570" s="15" t="n">
        <v>2880</v>
      </c>
      <c r="J570" s="14" t="n">
        <v>10</v>
      </c>
      <c r="K570" s="14" t="n">
        <v>10000</v>
      </c>
      <c r="L570" s="25">
        <f>IF(E570="多",1,-1)*(I570-H570)*G570*J570</f>
        <v/>
      </c>
      <c r="M570" s="26">
        <f>L570/K570</f>
        <v/>
      </c>
      <c r="N570" s="14" t="inlineStr">
        <is>
          <t>将军撤退+大将军转向</t>
        </is>
      </c>
      <c r="O570" s="14" t="inlineStr">
        <is>
          <t>是</t>
        </is>
      </c>
    </row>
    <row r="571">
      <c r="A571" s="14" t="inlineStr">
        <is>
          <t>2025-06-30</t>
        </is>
      </c>
      <c r="B571" s="14" t="inlineStr">
        <is>
          <t>2025-07-15</t>
        </is>
      </c>
      <c r="C571" s="14" t="inlineStr">
        <is>
          <t>甲醇</t>
        </is>
      </c>
      <c r="D571" s="14" t="inlineStr">
        <is>
          <t>MA</t>
        </is>
      </c>
      <c r="E571" s="14" t="inlineStr">
        <is>
          <t>空</t>
        </is>
      </c>
      <c r="F571" s="14" t="inlineStr">
        <is>
          <t>★★</t>
        </is>
      </c>
      <c r="G571" s="14" t="n">
        <v>4</v>
      </c>
      <c r="H571" s="15" t="n">
        <v>2380</v>
      </c>
      <c r="I571" s="15" t="n">
        <v>2386</v>
      </c>
      <c r="J571" s="14" t="n">
        <v>10</v>
      </c>
      <c r="K571" s="14" t="n">
        <v>10000</v>
      </c>
      <c r="L571" s="25">
        <f>IF(E571="多",1,-1)*(I571-H571)*G571*J571</f>
        <v/>
      </c>
      <c r="M571" s="26">
        <f>L571/K571</f>
        <v/>
      </c>
      <c r="N571" s="14" t="inlineStr">
        <is>
          <t>大将军转向</t>
        </is>
      </c>
      <c r="O571" s="14" t="inlineStr">
        <is>
          <t>是</t>
        </is>
      </c>
    </row>
    <row r="572">
      <c r="A572" s="2" t="inlineStr">
        <is>
          <t>2025-06-17</t>
        </is>
      </c>
      <c r="B572" s="2" t="inlineStr">
        <is>
          <t>2025-07-15</t>
        </is>
      </c>
      <c r="C572" s="2" t="inlineStr">
        <is>
          <t>苯乙烯</t>
        </is>
      </c>
      <c r="D572" s="2" t="inlineStr">
        <is>
          <t>EB</t>
        </is>
      </c>
      <c r="E572" s="9" t="inlineStr">
        <is>
          <t>空</t>
        </is>
      </c>
      <c r="F572" s="2" t="inlineStr">
        <is>
          <t>★★★</t>
        </is>
      </c>
      <c r="G572" s="10" t="n">
        <v>10</v>
      </c>
      <c r="H572" s="11" t="n">
        <v>7402</v>
      </c>
      <c r="I572" s="11" t="n">
        <v>7494.57</v>
      </c>
      <c r="J572" s="10" t="n">
        <v>5</v>
      </c>
      <c r="K572" s="10" t="n">
        <v>30000</v>
      </c>
      <c r="L572" s="23">
        <f>IF(E572="多",1,-1)*(I572-H572)*G572*J572</f>
        <v/>
      </c>
      <c r="M572" s="24">
        <f>L572/K572</f>
        <v/>
      </c>
      <c r="N572" s="2" t="inlineStr">
        <is>
          <t>止损</t>
        </is>
      </c>
      <c r="O572" s="2" t="inlineStr">
        <is>
          <t>否</t>
        </is>
      </c>
    </row>
    <row r="573">
      <c r="A573" s="14" t="inlineStr">
        <is>
          <t>2025-07-07</t>
        </is>
      </c>
      <c r="B573" s="14" t="inlineStr">
        <is>
          <t>2025-07-14</t>
        </is>
      </c>
      <c r="C573" s="14" t="inlineStr">
        <is>
          <t>玉米</t>
        </is>
      </c>
      <c r="D573" s="14" t="inlineStr">
        <is>
          <t>C</t>
        </is>
      </c>
      <c r="E573" s="14" t="inlineStr">
        <is>
          <t>空</t>
        </is>
      </c>
      <c r="F573" s="14" t="inlineStr">
        <is>
          <t>★★</t>
        </is>
      </c>
      <c r="G573" s="14" t="n">
        <v>18</v>
      </c>
      <c r="H573" s="15" t="n">
        <v>2326</v>
      </c>
      <c r="I573" s="15" t="n">
        <v>2302</v>
      </c>
      <c r="J573" s="14" t="n">
        <v>10</v>
      </c>
      <c r="K573" s="14" t="n">
        <v>10000</v>
      </c>
      <c r="L573" s="25">
        <f>IF(E573="多",1,-1)*(I573-H573)*G573*J573</f>
        <v/>
      </c>
      <c r="M573" s="26">
        <f>L573/K573</f>
        <v/>
      </c>
      <c r="N573" s="14" t="inlineStr">
        <is>
          <t>将军撤退</t>
        </is>
      </c>
      <c r="O573" s="14" t="inlineStr">
        <is>
          <t>是</t>
        </is>
      </c>
    </row>
    <row r="574">
      <c r="A574" s="2" t="inlineStr">
        <is>
          <t>2025-07-10</t>
        </is>
      </c>
      <c r="B574" s="2" t="inlineStr">
        <is>
          <t>2025-07-11</t>
        </is>
      </c>
      <c r="C574" s="2" t="inlineStr">
        <is>
          <t>螺纹钢</t>
        </is>
      </c>
      <c r="D574" s="2" t="inlineStr">
        <is>
          <t>RB</t>
        </is>
      </c>
      <c r="E574" s="19" t="inlineStr">
        <is>
          <t>多</t>
        </is>
      </c>
      <c r="F574" s="2" t="inlineStr">
        <is>
          <t>★★★</t>
        </is>
      </c>
      <c r="G574" s="10" t="n">
        <v>29</v>
      </c>
      <c r="H574" s="11" t="n">
        <v>3116</v>
      </c>
      <c r="I574" s="11" t="n">
        <v>3133</v>
      </c>
      <c r="J574" s="10" t="n">
        <v>10</v>
      </c>
      <c r="K574" s="10" t="n">
        <v>30000</v>
      </c>
      <c r="L574" s="23">
        <f>IF(E574="多",1,-1)*(I574-H574)*G574*J574</f>
        <v/>
      </c>
      <c r="M574" s="24">
        <f>L574/K574</f>
        <v/>
      </c>
      <c r="N574" s="2" t="inlineStr">
        <is>
          <t>将军撤退+大将军转向</t>
        </is>
      </c>
      <c r="O574" s="2" t="inlineStr">
        <is>
          <t>否</t>
        </is>
      </c>
    </row>
    <row r="575">
      <c r="A575" s="14" t="inlineStr">
        <is>
          <t>2025-07-10</t>
        </is>
      </c>
      <c r="B575" s="14" t="inlineStr">
        <is>
          <t>2025-07-11</t>
        </is>
      </c>
      <c r="C575" s="14" t="inlineStr">
        <is>
          <t>塑料</t>
        </is>
      </c>
      <c r="D575" s="14" t="inlineStr">
        <is>
          <t>L</t>
        </is>
      </c>
      <c r="E575" s="14" t="inlineStr">
        <is>
          <t>多</t>
        </is>
      </c>
      <c r="F575" s="14" t="inlineStr">
        <is>
          <t>★★</t>
        </is>
      </c>
      <c r="G575" s="14" t="n">
        <v>8</v>
      </c>
      <c r="H575" s="15" t="n">
        <v>7322</v>
      </c>
      <c r="I575" s="15" t="n">
        <v>7291</v>
      </c>
      <c r="J575" s="14" t="n">
        <v>5</v>
      </c>
      <c r="K575" s="14" t="n">
        <v>10000</v>
      </c>
      <c r="L575" s="25">
        <f>IF(E575="多",1,-1)*(I575-H575)*G575*J575</f>
        <v/>
      </c>
      <c r="M575" s="26">
        <f>L575/K575</f>
        <v/>
      </c>
      <c r="N575" s="14" t="inlineStr">
        <is>
          <t>大将军转向</t>
        </is>
      </c>
      <c r="O575" s="14" t="inlineStr">
        <is>
          <t>是</t>
        </is>
      </c>
    </row>
    <row r="576">
      <c r="A576" s="14" t="inlineStr">
        <is>
          <t>2025-07-10</t>
        </is>
      </c>
      <c r="B576" s="14" t="inlineStr">
        <is>
          <t>2025-07-11</t>
        </is>
      </c>
      <c r="C576" s="14" t="inlineStr">
        <is>
          <t>沪铝</t>
        </is>
      </c>
      <c r="D576" s="14" t="inlineStr">
        <is>
          <t>AL</t>
        </is>
      </c>
      <c r="E576" s="14" t="inlineStr">
        <is>
          <t>多</t>
        </is>
      </c>
      <c r="F576" s="14" t="inlineStr">
        <is>
          <t>★★</t>
        </is>
      </c>
      <c r="G576" s="14" t="n">
        <v>4</v>
      </c>
      <c r="H576" s="15" t="n">
        <v>20690</v>
      </c>
      <c r="I576" s="15" t="n">
        <v>20695</v>
      </c>
      <c r="J576" s="14" t="n">
        <v>5</v>
      </c>
      <c r="K576" s="14" t="n">
        <v>10000</v>
      </c>
      <c r="L576" s="25">
        <f>IF(E576="多",1,-1)*(I576-H576)*G576*J576</f>
        <v/>
      </c>
      <c r="M576" s="26">
        <f>L576/K576</f>
        <v/>
      </c>
      <c r="N576" s="14" t="inlineStr">
        <is>
          <t>将军撤退</t>
        </is>
      </c>
      <c r="O576" s="14" t="inlineStr">
        <is>
          <t>是</t>
        </is>
      </c>
    </row>
    <row r="577">
      <c r="A577" s="2" t="inlineStr">
        <is>
          <t>2025-07-03</t>
        </is>
      </c>
      <c r="B577" s="2" t="inlineStr">
        <is>
          <t>2025-07-11</t>
        </is>
      </c>
      <c r="C577" s="2" t="inlineStr">
        <is>
          <t>菜粕</t>
        </is>
      </c>
      <c r="D577" s="2" t="inlineStr">
        <is>
          <t>RM</t>
        </is>
      </c>
      <c r="E577" s="19" t="inlineStr">
        <is>
          <t>多</t>
        </is>
      </c>
      <c r="F577" s="2" t="inlineStr">
        <is>
          <t>★★★</t>
        </is>
      </c>
      <c r="G577" s="10" t="n">
        <v>22</v>
      </c>
      <c r="H577" s="11" t="n">
        <v>2607</v>
      </c>
      <c r="I577" s="11" t="n">
        <v>2633</v>
      </c>
      <c r="J577" s="10" t="n">
        <v>10</v>
      </c>
      <c r="K577" s="10" t="n">
        <v>30000</v>
      </c>
      <c r="L577" s="23">
        <f>IF(E577="多",1,-1)*(I577-H577)*G577*J577</f>
        <v/>
      </c>
      <c r="M577" s="24">
        <f>L577/K577</f>
        <v/>
      </c>
      <c r="N577" s="2" t="inlineStr">
        <is>
          <t>将军撤退+大将军转向</t>
        </is>
      </c>
      <c r="O577" s="2" t="inlineStr">
        <is>
          <t>否</t>
        </is>
      </c>
    </row>
    <row r="578">
      <c r="A578" s="14" t="inlineStr">
        <is>
          <t>2025-07-09</t>
        </is>
      </c>
      <c r="B578" s="14" t="inlineStr">
        <is>
          <t>2025-07-10</t>
        </is>
      </c>
      <c r="C578" s="14" t="inlineStr">
        <is>
          <t>焦煤</t>
        </is>
      </c>
      <c r="D578" s="14" t="inlineStr">
        <is>
          <t>JM</t>
        </is>
      </c>
      <c r="E578" s="14" t="inlineStr">
        <is>
          <t>多</t>
        </is>
      </c>
      <c r="F578" s="14" t="inlineStr">
        <is>
          <t>★★</t>
        </is>
      </c>
      <c r="G578" s="14" t="n">
        <v>2</v>
      </c>
      <c r="H578" s="15" t="n">
        <v>871</v>
      </c>
      <c r="I578" s="15" t="n">
        <v>897</v>
      </c>
      <c r="J578" s="14" t="n">
        <v>60</v>
      </c>
      <c r="K578" s="14" t="n">
        <v>10000</v>
      </c>
      <c r="L578" s="25">
        <f>IF(E578="多",1,-1)*(I578-H578)*G578*J578</f>
        <v/>
      </c>
      <c r="M578" s="26">
        <f>L578/K578</f>
        <v/>
      </c>
      <c r="N578" s="14" t="inlineStr">
        <is>
          <t>大将军转向</t>
        </is>
      </c>
      <c r="O578" s="14" t="inlineStr">
        <is>
          <t>是</t>
        </is>
      </c>
    </row>
    <row r="579">
      <c r="A579" s="2" t="inlineStr">
        <is>
          <t>2025-07-09</t>
        </is>
      </c>
      <c r="B579" s="2" t="inlineStr">
        <is>
          <t>2025-07-10</t>
        </is>
      </c>
      <c r="C579" s="2" t="inlineStr">
        <is>
          <t>铁矿石</t>
        </is>
      </c>
      <c r="D579" s="2" t="inlineStr">
        <is>
          <t>I</t>
        </is>
      </c>
      <c r="E579" s="19" t="inlineStr">
        <is>
          <t>多</t>
        </is>
      </c>
      <c r="F579" s="2" t="inlineStr">
        <is>
          <t>★★★</t>
        </is>
      </c>
      <c r="G579" s="10" t="n">
        <v>9</v>
      </c>
      <c r="H579" s="11" t="n">
        <v>736</v>
      </c>
      <c r="I579" s="11" t="n">
        <v>763.5</v>
      </c>
      <c r="J579" s="10" t="n">
        <v>100</v>
      </c>
      <c r="K579" s="10" t="n">
        <v>30000</v>
      </c>
      <c r="L579" s="23">
        <f>IF(E579="多",1,-1)*(I579-H579)*G579*J579</f>
        <v/>
      </c>
      <c r="M579" s="24">
        <f>L579/K579</f>
        <v/>
      </c>
      <c r="N579" s="2" t="inlineStr">
        <is>
          <t>大将军转向</t>
        </is>
      </c>
      <c r="O579" s="2" t="inlineStr">
        <is>
          <t>否</t>
        </is>
      </c>
    </row>
    <row r="580">
      <c r="A580" s="14" t="inlineStr">
        <is>
          <t>2025-07-07</t>
        </is>
      </c>
      <c r="B580" s="14" t="inlineStr">
        <is>
          <t>2025-07-10</t>
        </is>
      </c>
      <c r="C580" s="14" t="inlineStr">
        <is>
          <t>硅铁</t>
        </is>
      </c>
      <c r="D580" s="14" t="inlineStr">
        <is>
          <t>SF</t>
        </is>
      </c>
      <c r="E580" s="14" t="inlineStr">
        <is>
          <t>空</t>
        </is>
      </c>
      <c r="F580" s="14" t="inlineStr">
        <is>
          <t>★★</t>
        </is>
      </c>
      <c r="G580" s="14" t="n">
        <v>7</v>
      </c>
      <c r="H580" s="15" t="n">
        <v>5360</v>
      </c>
      <c r="I580" s="15" t="n">
        <v>5584.43</v>
      </c>
      <c r="J580" s="14" t="n">
        <v>5</v>
      </c>
      <c r="K580" s="14" t="n">
        <v>10000</v>
      </c>
      <c r="L580" s="25">
        <f>IF(E580="多",1,-1)*(I580-H580)*G580*J580</f>
        <v/>
      </c>
      <c r="M580" s="26">
        <f>L580/K580</f>
        <v/>
      </c>
      <c r="N580" s="14" t="inlineStr">
        <is>
          <t>止损</t>
        </is>
      </c>
      <c r="O580" s="14" t="inlineStr">
        <is>
          <t>是</t>
        </is>
      </c>
    </row>
    <row r="581">
      <c r="A581" s="14" t="inlineStr">
        <is>
          <t>2025-07-02</t>
        </is>
      </c>
      <c r="B581" s="14" t="inlineStr">
        <is>
          <t>2025-07-10</t>
        </is>
      </c>
      <c r="C581" s="14" t="inlineStr">
        <is>
          <t>热卷</t>
        </is>
      </c>
      <c r="D581" s="14" t="inlineStr">
        <is>
          <t>HC</t>
        </is>
      </c>
      <c r="E581" s="14" t="inlineStr">
        <is>
          <t>多</t>
        </is>
      </c>
      <c r="F581" s="14" t="inlineStr">
        <is>
          <t>★★★</t>
        </is>
      </c>
      <c r="G581" s="14" t="n">
        <v>10</v>
      </c>
      <c r="H581" s="15" t="n">
        <v>3202</v>
      </c>
      <c r="I581" s="15" t="n">
        <v>3262</v>
      </c>
      <c r="J581" s="14" t="n">
        <v>10</v>
      </c>
      <c r="K581" s="14" t="n">
        <v>10000</v>
      </c>
      <c r="L581" s="25">
        <f>IF(E581="多",1,-1)*(I581-H581)*G581*J581</f>
        <v/>
      </c>
      <c r="M581" s="26">
        <f>L581/K581</f>
        <v/>
      </c>
      <c r="N581" s="14" t="inlineStr">
        <is>
          <t>将军撤退+大将军转向</t>
        </is>
      </c>
      <c r="O581" s="14" t="inlineStr">
        <is>
          <t>是</t>
        </is>
      </c>
    </row>
    <row r="582">
      <c r="A582" s="14" t="inlineStr">
        <is>
          <t>2025-07-04</t>
        </is>
      </c>
      <c r="B582" s="14" t="inlineStr">
        <is>
          <t>2025-07-09</t>
        </is>
      </c>
      <c r="C582" s="14" t="inlineStr">
        <is>
          <t>棕榈油</t>
        </is>
      </c>
      <c r="D582" s="14" t="inlineStr">
        <is>
          <t>P</t>
        </is>
      </c>
      <c r="E582" s="14" t="inlineStr">
        <is>
          <t>多</t>
        </is>
      </c>
      <c r="F582" s="14" t="inlineStr">
        <is>
          <t>★★★</t>
        </is>
      </c>
      <c r="G582" s="14" t="n">
        <v>3</v>
      </c>
      <c r="H582" s="15" t="n">
        <v>8450</v>
      </c>
      <c r="I582" s="15" t="n">
        <v>8678</v>
      </c>
      <c r="J582" s="14" t="n">
        <v>10</v>
      </c>
      <c r="K582" s="14" t="n">
        <v>10000</v>
      </c>
      <c r="L582" s="25">
        <f>IF(E582="多",1,-1)*(I582-H582)*G582*J582</f>
        <v/>
      </c>
      <c r="M582" s="26">
        <f>L582/K582</f>
        <v/>
      </c>
      <c r="N582" s="14" t="inlineStr">
        <is>
          <t>将军撤退</t>
        </is>
      </c>
      <c r="O582" s="14" t="inlineStr">
        <is>
          <t>是</t>
        </is>
      </c>
    </row>
    <row r="583">
      <c r="A583" s="2" t="inlineStr">
        <is>
          <t>2025-07-01</t>
        </is>
      </c>
      <c r="B583" s="2" t="inlineStr">
        <is>
          <t>2025-07-09</t>
        </is>
      </c>
      <c r="C583" s="2" t="inlineStr">
        <is>
          <t>沪铜</t>
        </is>
      </c>
      <c r="D583" s="2" t="inlineStr">
        <is>
          <t>CU</t>
        </is>
      </c>
      <c r="E583" s="19" t="inlineStr">
        <is>
          <t>多</t>
        </is>
      </c>
      <c r="F583" s="2" t="inlineStr">
        <is>
          <t>★★★</t>
        </is>
      </c>
      <c r="G583" s="10" t="n">
        <v>2</v>
      </c>
      <c r="H583" s="11" t="n">
        <v>80620</v>
      </c>
      <c r="I583" s="11" t="n">
        <v>79082.86</v>
      </c>
      <c r="J583" s="10" t="n">
        <v>5</v>
      </c>
      <c r="K583" s="10" t="n">
        <v>30000</v>
      </c>
      <c r="L583" s="23">
        <f>IF(E583="多",1,-1)*(I583-H583)*G583*J583</f>
        <v/>
      </c>
      <c r="M583" s="24">
        <f>L583/K583</f>
        <v/>
      </c>
      <c r="N583" s="2" t="inlineStr">
        <is>
          <t>止损</t>
        </is>
      </c>
      <c r="O583" s="2" t="inlineStr">
        <is>
          <t>否</t>
        </is>
      </c>
    </row>
    <row r="584">
      <c r="A584" s="14" t="inlineStr">
        <is>
          <t>2025-06-30</t>
        </is>
      </c>
      <c r="B584" s="14" t="inlineStr">
        <is>
          <t>2025-07-07</t>
        </is>
      </c>
      <c r="C584" s="14" t="inlineStr">
        <is>
          <t>白糖</t>
        </is>
      </c>
      <c r="D584" s="14" t="inlineStr">
        <is>
          <t>SR</t>
        </is>
      </c>
      <c r="E584" s="14" t="inlineStr">
        <is>
          <t>多</t>
        </is>
      </c>
      <c r="F584" s="14" t="inlineStr">
        <is>
          <t>★★</t>
        </is>
      </c>
      <c r="G584" s="14" t="n">
        <v>6</v>
      </c>
      <c r="H584" s="15" t="n">
        <v>5773</v>
      </c>
      <c r="I584" s="15" t="n">
        <v>5754</v>
      </c>
      <c r="J584" s="14" t="n">
        <v>10</v>
      </c>
      <c r="K584" s="14" t="n">
        <v>10000</v>
      </c>
      <c r="L584" s="25">
        <f>IF(E584="多",1,-1)*(I584-H584)*G584*J584</f>
        <v/>
      </c>
      <c r="M584" s="26">
        <f>L584/K584</f>
        <v/>
      </c>
      <c r="N584" s="14" t="inlineStr">
        <is>
          <t>大将军转向</t>
        </is>
      </c>
      <c r="O584" s="14" t="inlineStr">
        <is>
          <t>是</t>
        </is>
      </c>
    </row>
    <row r="585">
      <c r="A585" s="14" t="inlineStr">
        <is>
          <t>2025-07-01</t>
        </is>
      </c>
      <c r="B585" s="14" t="inlineStr">
        <is>
          <t>2025-07-04</t>
        </is>
      </c>
      <c r="C585" s="14" t="inlineStr">
        <is>
          <t>螺纹钢</t>
        </is>
      </c>
      <c r="D585" s="14" t="inlineStr">
        <is>
          <t>RB</t>
        </is>
      </c>
      <c r="E585" s="14" t="inlineStr">
        <is>
          <t>多</t>
        </is>
      </c>
      <c r="F585" s="14" t="inlineStr">
        <is>
          <t>★★★</t>
        </is>
      </c>
      <c r="G585" s="14" t="n">
        <v>11</v>
      </c>
      <c r="H585" s="15" t="n">
        <v>3003</v>
      </c>
      <c r="I585" s="15" t="n">
        <v>3072</v>
      </c>
      <c r="J585" s="14" t="n">
        <v>10</v>
      </c>
      <c r="K585" s="14" t="n">
        <v>10000</v>
      </c>
      <c r="L585" s="25">
        <f>IF(E585="多",1,-1)*(I585-H585)*G585*J585</f>
        <v/>
      </c>
      <c r="M585" s="26">
        <f>L585/K585</f>
        <v/>
      </c>
      <c r="N585" s="14" t="inlineStr">
        <is>
          <t>将军撤退+大将军转向</t>
        </is>
      </c>
      <c r="O585" s="14" t="inlineStr">
        <is>
          <t>是</t>
        </is>
      </c>
    </row>
    <row r="586">
      <c r="A586" s="14" t="inlineStr">
        <is>
          <t>2025-06-30</t>
        </is>
      </c>
      <c r="B586" s="14" t="inlineStr">
        <is>
          <t>2025-07-04</t>
        </is>
      </c>
      <c r="C586" s="14" t="inlineStr">
        <is>
          <t>PTA</t>
        </is>
      </c>
      <c r="D586" s="14" t="inlineStr">
        <is>
          <t>TA</t>
        </is>
      </c>
      <c r="E586" s="14" t="inlineStr">
        <is>
          <t>多</t>
        </is>
      </c>
      <c r="F586" s="14" t="inlineStr">
        <is>
          <t>★★</t>
        </is>
      </c>
      <c r="G586" s="14" t="n">
        <v>5</v>
      </c>
      <c r="H586" s="15" t="n">
        <v>4818</v>
      </c>
      <c r="I586" s="15" t="n">
        <v>4710</v>
      </c>
      <c r="J586" s="14" t="n">
        <v>5</v>
      </c>
      <c r="K586" s="14" t="n">
        <v>10000</v>
      </c>
      <c r="L586" s="25">
        <f>IF(E586="多",1,-1)*(I586-H586)*G586*J586</f>
        <v/>
      </c>
      <c r="M586" s="26">
        <f>L586/K586</f>
        <v/>
      </c>
      <c r="N586" s="14" t="inlineStr">
        <is>
          <t>反向信号</t>
        </is>
      </c>
      <c r="O586" s="14" t="inlineStr">
        <is>
          <t>是</t>
        </is>
      </c>
    </row>
    <row r="587">
      <c r="A587" s="2" t="inlineStr">
        <is>
          <t>2025-07-02</t>
        </is>
      </c>
      <c r="B587" s="2" t="inlineStr">
        <is>
          <t>2025-07-03</t>
        </is>
      </c>
      <c r="C587" s="2" t="inlineStr">
        <is>
          <t>菜油</t>
        </is>
      </c>
      <c r="D587" s="2" t="inlineStr">
        <is>
          <t>OI</t>
        </is>
      </c>
      <c r="E587" s="19" t="inlineStr">
        <is>
          <t>多</t>
        </is>
      </c>
      <c r="F587" s="2" t="inlineStr">
        <is>
          <t>★★★</t>
        </is>
      </c>
      <c r="G587" s="10" t="n">
        <v>7</v>
      </c>
      <c r="H587" s="11" t="n">
        <v>9630</v>
      </c>
      <c r="I587" s="11" t="n">
        <v>9619</v>
      </c>
      <c r="J587" s="10" t="n">
        <v>10</v>
      </c>
      <c r="K587" s="10" t="n">
        <v>30000</v>
      </c>
      <c r="L587" s="23">
        <f>IF(E587="多",1,-1)*(I587-H587)*G587*J587</f>
        <v/>
      </c>
      <c r="M587" s="24">
        <f>L587/K587</f>
        <v/>
      </c>
      <c r="N587" s="2" t="inlineStr">
        <is>
          <t>将军撤退+大将军转向</t>
        </is>
      </c>
      <c r="O587" s="2" t="inlineStr">
        <is>
          <t>否</t>
        </is>
      </c>
    </row>
    <row r="588">
      <c r="A588" s="14" t="inlineStr">
        <is>
          <t>2025-06-23</t>
        </is>
      </c>
      <c r="B588" s="14" t="inlineStr">
        <is>
          <t>2025-07-03</t>
        </is>
      </c>
      <c r="C588" s="14" t="inlineStr">
        <is>
          <t>棕榈油</t>
        </is>
      </c>
      <c r="D588" s="14" t="inlineStr">
        <is>
          <t>P</t>
        </is>
      </c>
      <c r="E588" s="14" t="inlineStr">
        <is>
          <t>多</t>
        </is>
      </c>
      <c r="F588" s="14" t="inlineStr">
        <is>
          <t>★★</t>
        </is>
      </c>
      <c r="G588" s="14" t="n">
        <v>2</v>
      </c>
      <c r="H588" s="15" t="n">
        <v>8496</v>
      </c>
      <c r="I588" s="15" t="n">
        <v>8478</v>
      </c>
      <c r="J588" s="14" t="n">
        <v>10</v>
      </c>
      <c r="K588" s="14" t="n">
        <v>10000</v>
      </c>
      <c r="L588" s="25">
        <f>IF(E588="多",1,-1)*(I588-H588)*G588*J588</f>
        <v/>
      </c>
      <c r="M588" s="26">
        <f>L588/K588</f>
        <v/>
      </c>
      <c r="N588" s="14" t="inlineStr">
        <is>
          <t>大将军转向</t>
        </is>
      </c>
      <c r="O588" s="14" t="inlineStr">
        <is>
          <t>是</t>
        </is>
      </c>
    </row>
    <row r="589">
      <c r="A589" s="2" t="inlineStr">
        <is>
          <t>2025-06-26</t>
        </is>
      </c>
      <c r="B589" s="2" t="inlineStr">
        <is>
          <t>2025-07-02</t>
        </is>
      </c>
      <c r="C589" s="2" t="inlineStr">
        <is>
          <t>焦煤</t>
        </is>
      </c>
      <c r="D589" s="2" t="inlineStr">
        <is>
          <t>JM</t>
        </is>
      </c>
      <c r="E589" s="19" t="inlineStr">
        <is>
          <t>多</t>
        </is>
      </c>
      <c r="F589" s="2" t="inlineStr">
        <is>
          <t>★★★</t>
        </is>
      </c>
      <c r="G589" s="10" t="n">
        <v>6</v>
      </c>
      <c r="H589" s="11" t="n">
        <v>821</v>
      </c>
      <c r="I589" s="11" t="n">
        <v>843.5</v>
      </c>
      <c r="J589" s="10" t="n">
        <v>60</v>
      </c>
      <c r="K589" s="10" t="n">
        <v>30000</v>
      </c>
      <c r="L589" s="23">
        <f>IF(E589="多",1,-1)*(I589-H589)*G589*J589</f>
        <v/>
      </c>
      <c r="M589" s="24">
        <f>L589/K589</f>
        <v/>
      </c>
      <c r="N589" s="2" t="inlineStr">
        <is>
          <t>将军撤退</t>
        </is>
      </c>
      <c r="O589" s="2" t="inlineStr">
        <is>
          <t>否</t>
        </is>
      </c>
    </row>
    <row r="590">
      <c r="A590" s="2" t="inlineStr">
        <is>
          <t>2025-06-26</t>
        </is>
      </c>
      <c r="B590" s="2" t="inlineStr">
        <is>
          <t>2025-07-01</t>
        </is>
      </c>
      <c r="C590" s="2" t="inlineStr">
        <is>
          <t>沪铝</t>
        </is>
      </c>
      <c r="D590" s="2" t="inlineStr">
        <is>
          <t>AL</t>
        </is>
      </c>
      <c r="E590" s="19" t="inlineStr">
        <is>
          <t>多</t>
        </is>
      </c>
      <c r="F590" s="2" t="inlineStr">
        <is>
          <t>★★★</t>
        </is>
      </c>
      <c r="G590" s="10" t="n">
        <v>10</v>
      </c>
      <c r="H590" s="11" t="n">
        <v>20490</v>
      </c>
      <c r="I590" s="11" t="n">
        <v>20635</v>
      </c>
      <c r="J590" s="10" t="n">
        <v>5</v>
      </c>
      <c r="K590" s="10" t="n">
        <v>30000</v>
      </c>
      <c r="L590" s="23">
        <f>IF(E590="多",1,-1)*(I590-H590)*G590*J590</f>
        <v/>
      </c>
      <c r="M590" s="24">
        <f>L590/K590</f>
        <v/>
      </c>
      <c r="N590" s="2" t="inlineStr">
        <is>
          <t>将军撤退+大将军转向</t>
        </is>
      </c>
      <c r="O590" s="2" t="inlineStr">
        <is>
          <t>否</t>
        </is>
      </c>
    </row>
    <row r="591">
      <c r="A591" s="14" t="inlineStr">
        <is>
          <t>2025-06-13</t>
        </is>
      </c>
      <c r="B591" s="14" t="inlineStr">
        <is>
          <t>2025-07-01</t>
        </is>
      </c>
      <c r="C591" s="14" t="inlineStr">
        <is>
          <t>螺纹钢</t>
        </is>
      </c>
      <c r="D591" s="14" t="inlineStr">
        <is>
          <t>RB</t>
        </is>
      </c>
      <c r="E591" s="14" t="inlineStr">
        <is>
          <t>空</t>
        </is>
      </c>
      <c r="F591" s="14" t="inlineStr">
        <is>
          <t>★★</t>
        </is>
      </c>
      <c r="G591" s="14" t="n">
        <v>8</v>
      </c>
      <c r="H591" s="15" t="n">
        <v>2961</v>
      </c>
      <c r="I591" s="15" t="n">
        <v>3003</v>
      </c>
      <c r="J591" s="14" t="n">
        <v>10</v>
      </c>
      <c r="K591" s="14" t="n">
        <v>10000</v>
      </c>
      <c r="L591" s="25">
        <f>IF(E591="多",1,-1)*(I591-H591)*G591*J591</f>
        <v/>
      </c>
      <c r="M591" s="26">
        <f>L591/K591</f>
        <v/>
      </c>
      <c r="N591" s="14" t="inlineStr">
        <is>
          <t>反向信号</t>
        </is>
      </c>
      <c r="O591" s="14" t="inlineStr">
        <is>
          <t>是</t>
        </is>
      </c>
    </row>
    <row r="592">
      <c r="A592" s="14" t="inlineStr">
        <is>
          <t>2025-06-12</t>
        </is>
      </c>
      <c r="B592" s="14" t="inlineStr">
        <is>
          <t>2025-06-26</t>
        </is>
      </c>
      <c r="C592" s="14" t="inlineStr">
        <is>
          <t>工业硅</t>
        </is>
      </c>
      <c r="D592" s="14" t="inlineStr">
        <is>
          <t>SI</t>
        </is>
      </c>
      <c r="E592" s="14" t="inlineStr">
        <is>
          <t>空</t>
        </is>
      </c>
      <c r="F592" s="14" t="inlineStr">
        <is>
          <t>★★</t>
        </is>
      </c>
      <c r="G592" s="14" t="n">
        <v>3</v>
      </c>
      <c r="H592" s="15" t="n">
        <v>7360</v>
      </c>
      <c r="I592" s="15" t="n">
        <v>7723.93</v>
      </c>
      <c r="J592" s="14" t="n">
        <v>5</v>
      </c>
      <c r="K592" s="14" t="n">
        <v>10000</v>
      </c>
      <c r="L592" s="25">
        <f>IF(E592="多",1,-1)*(I592-H592)*G592*J592</f>
        <v/>
      </c>
      <c r="M592" s="26">
        <f>L592/K592</f>
        <v/>
      </c>
      <c r="N592" s="14" t="inlineStr">
        <is>
          <t>止损</t>
        </is>
      </c>
      <c r="O592" s="14" t="inlineStr">
        <is>
          <t>是</t>
        </is>
      </c>
    </row>
    <row r="593">
      <c r="A593" s="14" t="inlineStr">
        <is>
          <t>2025-06-24</t>
        </is>
      </c>
      <c r="B593" s="14" t="inlineStr">
        <is>
          <t>2025-06-25</t>
        </is>
      </c>
      <c r="C593" s="14" t="inlineStr">
        <is>
          <t>沪铜</t>
        </is>
      </c>
      <c r="D593" s="14" t="inlineStr">
        <is>
          <t>CU</t>
        </is>
      </c>
      <c r="E593" s="14" t="inlineStr">
        <is>
          <t>多</t>
        </is>
      </c>
      <c r="F593" s="14" t="inlineStr">
        <is>
          <t>★★</t>
        </is>
      </c>
      <c r="G593" s="14" t="n">
        <v>1</v>
      </c>
      <c r="H593" s="15" t="n">
        <v>78330</v>
      </c>
      <c r="I593" s="15" t="n">
        <v>78680</v>
      </c>
      <c r="J593" s="14" t="n">
        <v>5</v>
      </c>
      <c r="K593" s="14" t="n">
        <v>10000</v>
      </c>
      <c r="L593" s="25">
        <f>IF(E593="多",1,-1)*(I593-H593)*G593*J593</f>
        <v/>
      </c>
      <c r="M593" s="26">
        <f>L593/K593</f>
        <v/>
      </c>
      <c r="N593" s="14" t="inlineStr">
        <is>
          <t>将军撤退+大将军转向</t>
        </is>
      </c>
      <c r="O593" s="14" t="inlineStr">
        <is>
          <t>是</t>
        </is>
      </c>
    </row>
    <row r="594">
      <c r="A594" s="2" t="inlineStr">
        <is>
          <t>2025-06-23</t>
        </is>
      </c>
      <c r="B594" s="2" t="inlineStr">
        <is>
          <t>2025-06-25</t>
        </is>
      </c>
      <c r="C594" s="2" t="inlineStr">
        <is>
          <t>沥青</t>
        </is>
      </c>
      <c r="D594" s="2" t="inlineStr">
        <is>
          <t>BU</t>
        </is>
      </c>
      <c r="E594" s="19" t="inlineStr">
        <is>
          <t>多</t>
        </is>
      </c>
      <c r="F594" s="2" t="inlineStr">
        <is>
          <t>★★★</t>
        </is>
      </c>
      <c r="G594" s="10" t="n">
        <v>14</v>
      </c>
      <c r="H594" s="11" t="n">
        <v>3762</v>
      </c>
      <c r="I594" s="11" t="n">
        <v>3558</v>
      </c>
      <c r="J594" s="10" t="n">
        <v>10</v>
      </c>
      <c r="K594" s="10" t="n">
        <v>30000</v>
      </c>
      <c r="L594" s="23">
        <f>IF(E594="多",1,-1)*(I594-H594)*G594*J594</f>
        <v/>
      </c>
      <c r="M594" s="24">
        <f>L594/K594</f>
        <v/>
      </c>
      <c r="N594" s="2" t="inlineStr">
        <is>
          <t>止损</t>
        </is>
      </c>
      <c r="O594" s="2" t="inlineStr">
        <is>
          <t>否</t>
        </is>
      </c>
    </row>
    <row r="595">
      <c r="A595" s="14" t="inlineStr">
        <is>
          <t>2025-06-20</t>
        </is>
      </c>
      <c r="B595" s="14" t="inlineStr">
        <is>
          <t>2025-06-25</t>
        </is>
      </c>
      <c r="C595" s="14" t="inlineStr">
        <is>
          <t>焦煤</t>
        </is>
      </c>
      <c r="D595" s="14" t="inlineStr">
        <is>
          <t>JM</t>
        </is>
      </c>
      <c r="E595" s="14" t="inlineStr">
        <is>
          <t>多</t>
        </is>
      </c>
      <c r="F595" s="14" t="inlineStr">
        <is>
          <t>★★★</t>
        </is>
      </c>
      <c r="G595" s="14" t="n">
        <v>2</v>
      </c>
      <c r="H595" s="15" t="n">
        <v>793</v>
      </c>
      <c r="I595" s="15" t="n">
        <v>804.5</v>
      </c>
      <c r="J595" s="14" t="n">
        <v>60</v>
      </c>
      <c r="K595" s="14" t="n">
        <v>10000</v>
      </c>
      <c r="L595" s="25">
        <f>IF(E595="多",1,-1)*(I595-H595)*G595*J595</f>
        <v/>
      </c>
      <c r="M595" s="26">
        <f>L595/K595</f>
        <v/>
      </c>
      <c r="N595" s="14" t="inlineStr">
        <is>
          <t>大将军转向</t>
        </is>
      </c>
      <c r="O595" s="14" t="inlineStr">
        <is>
          <t>是</t>
        </is>
      </c>
    </row>
    <row r="596">
      <c r="A596" s="14" t="inlineStr">
        <is>
          <t>2025-06-16</t>
        </is>
      </c>
      <c r="B596" s="14" t="inlineStr">
        <is>
          <t>2025-06-25</t>
        </is>
      </c>
      <c r="C596" s="14" t="inlineStr">
        <is>
          <t>豆粕</t>
        </is>
      </c>
      <c r="D596" s="14" t="inlineStr">
        <is>
          <t>M</t>
        </is>
      </c>
      <c r="E596" s="14" t="inlineStr">
        <is>
          <t>多</t>
        </is>
      </c>
      <c r="F596" s="14" t="inlineStr">
        <is>
          <t>★★★</t>
        </is>
      </c>
      <c r="G596" s="14" t="n">
        <v>10</v>
      </c>
      <c r="H596" s="15" t="n">
        <v>3043</v>
      </c>
      <c r="I596" s="15" t="n">
        <v>2988.21</v>
      </c>
      <c r="J596" s="14" t="n">
        <v>10</v>
      </c>
      <c r="K596" s="14" t="n">
        <v>10000</v>
      </c>
      <c r="L596" s="25">
        <f>IF(E596="多",1,-1)*(I596-H596)*G596*J596</f>
        <v/>
      </c>
      <c r="M596" s="26">
        <f>L596/K596</f>
        <v/>
      </c>
      <c r="N596" s="14" t="inlineStr">
        <is>
          <t>止损</t>
        </is>
      </c>
      <c r="O596" s="14" t="inlineStr">
        <is>
          <t>是</t>
        </is>
      </c>
    </row>
    <row r="597">
      <c r="A597" s="14" t="inlineStr">
        <is>
          <t>2025-06-23</t>
        </is>
      </c>
      <c r="B597" s="14" t="inlineStr">
        <is>
          <t>2025-06-24</t>
        </is>
      </c>
      <c r="C597" s="14" t="inlineStr">
        <is>
          <t>聚丙烯</t>
        </is>
      </c>
      <c r="D597" s="14" t="inlineStr">
        <is>
          <t>PP</t>
        </is>
      </c>
      <c r="E597" s="14" t="inlineStr">
        <is>
          <t>多</t>
        </is>
      </c>
      <c r="F597" s="14" t="inlineStr">
        <is>
          <t>★★</t>
        </is>
      </c>
      <c r="G597" s="14" t="n">
        <v>9</v>
      </c>
      <c r="H597" s="15" t="n">
        <v>7238</v>
      </c>
      <c r="I597" s="15" t="n">
        <v>7074</v>
      </c>
      <c r="J597" s="14" t="n">
        <v>5</v>
      </c>
      <c r="K597" s="14" t="n">
        <v>10000</v>
      </c>
      <c r="L597" s="25">
        <f>IF(E597="多",1,-1)*(I597-H597)*G597*J597</f>
        <v/>
      </c>
      <c r="M597" s="26">
        <f>L597/K597</f>
        <v/>
      </c>
      <c r="N597" s="14" t="inlineStr">
        <is>
          <t>大将军转向</t>
        </is>
      </c>
      <c r="O597" s="14" t="inlineStr">
        <is>
          <t>是</t>
        </is>
      </c>
    </row>
    <row r="598">
      <c r="A598" s="2" t="inlineStr">
        <is>
          <t>2025-06-20</t>
        </is>
      </c>
      <c r="B598" s="2" t="inlineStr">
        <is>
          <t>2025-06-24</t>
        </is>
      </c>
      <c r="C598" s="2" t="inlineStr">
        <is>
          <t>甲醇</t>
        </is>
      </c>
      <c r="D598" s="2" t="inlineStr">
        <is>
          <t>MA</t>
        </is>
      </c>
      <c r="E598" s="19" t="inlineStr">
        <is>
          <t>多</t>
        </is>
      </c>
      <c r="F598" s="2" t="inlineStr">
        <is>
          <t>★★★</t>
        </is>
      </c>
      <c r="G598" s="10" t="n">
        <v>15</v>
      </c>
      <c r="H598" s="11" t="n">
        <v>2518</v>
      </c>
      <c r="I598" s="11" t="n">
        <v>2385.5</v>
      </c>
      <c r="J598" s="10" t="n">
        <v>10</v>
      </c>
      <c r="K598" s="10" t="n">
        <v>30000</v>
      </c>
      <c r="L598" s="23">
        <f>IF(E598="多",1,-1)*(I598-H598)*G598*J598</f>
        <v/>
      </c>
      <c r="M598" s="24">
        <f>L598/K598</f>
        <v/>
      </c>
      <c r="N598" s="2" t="inlineStr">
        <is>
          <t>止损</t>
        </is>
      </c>
      <c r="O598" s="2" t="inlineStr">
        <is>
          <t>否</t>
        </is>
      </c>
    </row>
    <row r="599">
      <c r="A599" s="2" t="inlineStr">
        <is>
          <t>2025-05-22</t>
        </is>
      </c>
      <c r="B599" s="2" t="inlineStr">
        <is>
          <t>2025-06-23</t>
        </is>
      </c>
      <c r="C599" s="2" t="inlineStr">
        <is>
          <t>玻璃</t>
        </is>
      </c>
      <c r="D599" s="2" t="inlineStr">
        <is>
          <t>FG</t>
        </is>
      </c>
      <c r="E599" s="9" t="inlineStr">
        <is>
          <t>空</t>
        </is>
      </c>
      <c r="F599" s="2" t="inlineStr">
        <is>
          <t>★★★</t>
        </is>
      </c>
      <c r="G599" s="10" t="n">
        <v>5</v>
      </c>
      <c r="H599" s="11" t="n">
        <v>1015</v>
      </c>
      <c r="I599" s="11" t="n">
        <v>1007</v>
      </c>
      <c r="J599" s="10" t="n">
        <v>20</v>
      </c>
      <c r="K599" s="10" t="n">
        <v>10000</v>
      </c>
      <c r="L599" s="23">
        <f>IF(E599="多",1,-1)*(I599-H599)*G599*J599</f>
        <v/>
      </c>
      <c r="M599" s="24">
        <f>L599/K599</f>
        <v/>
      </c>
      <c r="N599" s="2" t="inlineStr">
        <is>
          <t>大将军转向</t>
        </is>
      </c>
      <c r="O599" s="2" t="inlineStr">
        <is>
          <t>否</t>
        </is>
      </c>
    </row>
    <row r="600">
      <c r="A600" s="14" t="inlineStr">
        <is>
          <t>2025-06-19</t>
        </is>
      </c>
      <c r="B600" s="14" t="inlineStr">
        <is>
          <t>2025-06-20</t>
        </is>
      </c>
      <c r="C600" s="14" t="inlineStr">
        <is>
          <t>PTA</t>
        </is>
      </c>
      <c r="D600" s="14" t="inlineStr">
        <is>
          <t>TA</t>
        </is>
      </c>
      <c r="E600" s="14" t="inlineStr">
        <is>
          <t>多</t>
        </is>
      </c>
      <c r="F600" s="14" t="inlineStr">
        <is>
          <t>★★</t>
        </is>
      </c>
      <c r="G600" s="14" t="n">
        <v>5</v>
      </c>
      <c r="H600" s="15" t="n">
        <v>5000</v>
      </c>
      <c r="I600" s="15" t="n">
        <v>4978</v>
      </c>
      <c r="J600" s="14" t="n">
        <v>5</v>
      </c>
      <c r="K600" s="14" t="n">
        <v>10000</v>
      </c>
      <c r="L600" s="25">
        <f>IF(E600="多",1,-1)*(I600-H600)*G600*J600</f>
        <v/>
      </c>
      <c r="M600" s="26">
        <f>L600/K600</f>
        <v/>
      </c>
      <c r="N600" s="14" t="inlineStr">
        <is>
          <t>将军撤退</t>
        </is>
      </c>
      <c r="O600" s="14" t="inlineStr">
        <is>
          <t>是</t>
        </is>
      </c>
    </row>
    <row r="601">
      <c r="A601" s="14" t="inlineStr">
        <is>
          <t>2025-06-19</t>
        </is>
      </c>
      <c r="B601" s="14" t="inlineStr">
        <is>
          <t>2025-06-20</t>
        </is>
      </c>
      <c r="C601" s="14" t="inlineStr">
        <is>
          <t>硅铁</t>
        </is>
      </c>
      <c r="D601" s="14" t="inlineStr">
        <is>
          <t>SF</t>
        </is>
      </c>
      <c r="E601" s="14" t="inlineStr">
        <is>
          <t>多</t>
        </is>
      </c>
      <c r="F601" s="14" t="inlineStr">
        <is>
          <t>★★</t>
        </is>
      </c>
      <c r="G601" s="14" t="n">
        <v>7</v>
      </c>
      <c r="H601" s="15" t="n">
        <v>5336</v>
      </c>
      <c r="I601" s="15" t="n">
        <v>5300</v>
      </c>
      <c r="J601" s="14" t="n">
        <v>5</v>
      </c>
      <c r="K601" s="14" t="n">
        <v>10000</v>
      </c>
      <c r="L601" s="25">
        <f>IF(E601="多",1,-1)*(I601-H601)*G601*J601</f>
        <v/>
      </c>
      <c r="M601" s="26">
        <f>L601/K601</f>
        <v/>
      </c>
      <c r="N601" s="14" t="inlineStr">
        <is>
          <t>将军撤退+大将军转向</t>
        </is>
      </c>
      <c r="O601" s="14" t="inlineStr">
        <is>
          <t>是</t>
        </is>
      </c>
    </row>
    <row r="602">
      <c r="A602" s="14" t="inlineStr">
        <is>
          <t>2025-06-18</t>
        </is>
      </c>
      <c r="B602" s="14" t="inlineStr">
        <is>
          <t>2025-06-20</t>
        </is>
      </c>
      <c r="C602" s="14" t="inlineStr">
        <is>
          <t>聚丙烯</t>
        </is>
      </c>
      <c r="D602" s="14" t="inlineStr">
        <is>
          <t>PP</t>
        </is>
      </c>
      <c r="E602" s="14" t="inlineStr">
        <is>
          <t>多</t>
        </is>
      </c>
      <c r="F602" s="14" t="inlineStr">
        <is>
          <t>★★</t>
        </is>
      </c>
      <c r="G602" s="14" t="n">
        <v>9</v>
      </c>
      <c r="H602" s="15" t="n">
        <v>7215</v>
      </c>
      <c r="I602" s="15" t="n">
        <v>7242</v>
      </c>
      <c r="J602" s="14" t="n">
        <v>5</v>
      </c>
      <c r="K602" s="14" t="n">
        <v>10000</v>
      </c>
      <c r="L602" s="25">
        <f>IF(E602="多",1,-1)*(I602-H602)*G602*J602</f>
        <v/>
      </c>
      <c r="M602" s="26">
        <f>L602/K602</f>
        <v/>
      </c>
      <c r="N602" s="14" t="inlineStr">
        <is>
          <t>将军撤退</t>
        </is>
      </c>
      <c r="O602" s="14" t="inlineStr">
        <is>
          <t>是</t>
        </is>
      </c>
    </row>
    <row r="603">
      <c r="A603" s="14" t="inlineStr">
        <is>
          <t>2025-06-13</t>
        </is>
      </c>
      <c r="B603" s="14" t="inlineStr">
        <is>
          <t>2025-06-20</t>
        </is>
      </c>
      <c r="C603" s="14" t="inlineStr">
        <is>
          <t>锰硅</t>
        </is>
      </c>
      <c r="D603" s="14" t="inlineStr">
        <is>
          <t>SM</t>
        </is>
      </c>
      <c r="E603" s="14" t="inlineStr">
        <is>
          <t>空</t>
        </is>
      </c>
      <c r="F603" s="14" t="inlineStr">
        <is>
          <t>★★</t>
        </is>
      </c>
      <c r="G603" s="14" t="n">
        <v>6</v>
      </c>
      <c r="H603" s="15" t="n">
        <v>5510</v>
      </c>
      <c r="I603" s="15" t="n">
        <v>5616</v>
      </c>
      <c r="J603" s="14" t="n">
        <v>5</v>
      </c>
      <c r="K603" s="14" t="n">
        <v>10000</v>
      </c>
      <c r="L603" s="25">
        <f>IF(E603="多",1,-1)*(I603-H603)*G603*J603</f>
        <v/>
      </c>
      <c r="M603" s="26">
        <f>L603/K603</f>
        <v/>
      </c>
      <c r="N603" s="14" t="inlineStr">
        <is>
          <t>大将军转向</t>
        </is>
      </c>
      <c r="O603" s="14" t="inlineStr">
        <is>
          <t>是</t>
        </is>
      </c>
    </row>
    <row r="604">
      <c r="A604" s="14" t="inlineStr">
        <is>
          <t>2025-06-11</t>
        </is>
      </c>
      <c r="B604" s="14" t="inlineStr">
        <is>
          <t>2025-06-20</t>
        </is>
      </c>
      <c r="C604" s="14" t="inlineStr">
        <is>
          <t>沪银</t>
        </is>
      </c>
      <c r="D604" s="14" t="inlineStr">
        <is>
          <t>AG</t>
        </is>
      </c>
      <c r="E604" s="14" t="inlineStr">
        <is>
          <t>多</t>
        </is>
      </c>
      <c r="F604" s="14" t="inlineStr">
        <is>
          <t>★★</t>
        </is>
      </c>
      <c r="G604" s="14" t="n">
        <v>1</v>
      </c>
      <c r="H604" s="15" t="n">
        <v>8859</v>
      </c>
      <c r="I604" s="15" t="n">
        <v>8655.639999999999</v>
      </c>
      <c r="J604" s="14" t="n">
        <v>15</v>
      </c>
      <c r="K604" s="14" t="n">
        <v>10000</v>
      </c>
      <c r="L604" s="25">
        <f>IF(E604="多",1,-1)*(I604-H604)*G604*J604</f>
        <v/>
      </c>
      <c r="M604" s="26">
        <f>L604/K604</f>
        <v/>
      </c>
      <c r="N604" s="14" t="inlineStr">
        <is>
          <t>止损</t>
        </is>
      </c>
      <c r="O604" s="14" t="inlineStr">
        <is>
          <t>是</t>
        </is>
      </c>
    </row>
    <row r="605">
      <c r="A605" s="2" t="inlineStr">
        <is>
          <t>2025-06-04</t>
        </is>
      </c>
      <c r="B605" s="2" t="inlineStr">
        <is>
          <t>2025-06-20</t>
        </is>
      </c>
      <c r="C605" s="2" t="inlineStr">
        <is>
          <t>沪铝</t>
        </is>
      </c>
      <c r="D605" s="2" t="inlineStr">
        <is>
          <t>AL</t>
        </is>
      </c>
      <c r="E605" s="19" t="inlineStr">
        <is>
          <t>多</t>
        </is>
      </c>
      <c r="F605" s="2" t="inlineStr">
        <is>
          <t>★★★</t>
        </is>
      </c>
      <c r="G605" s="10" t="n">
        <v>10</v>
      </c>
      <c r="H605" s="11" t="n">
        <v>19850</v>
      </c>
      <c r="I605" s="11" t="n">
        <v>20370</v>
      </c>
      <c r="J605" s="10" t="n">
        <v>5</v>
      </c>
      <c r="K605" s="10" t="n">
        <v>30000</v>
      </c>
      <c r="L605" s="23">
        <f>IF(E605="多",1,-1)*(I605-H605)*G605*J605</f>
        <v/>
      </c>
      <c r="M605" s="24">
        <f>L605/K605</f>
        <v/>
      </c>
      <c r="N605" s="2" t="inlineStr">
        <is>
          <t>大将军转向</t>
        </is>
      </c>
      <c r="O605" s="2" t="inlineStr">
        <is>
          <t>否</t>
        </is>
      </c>
    </row>
    <row r="606">
      <c r="A606" s="2" t="inlineStr">
        <is>
          <t>2025-06-05</t>
        </is>
      </c>
      <c r="B606" s="2" t="inlineStr">
        <is>
          <t>2025-06-19</t>
        </is>
      </c>
      <c r="C606" s="2" t="inlineStr">
        <is>
          <t>硅铁</t>
        </is>
      </c>
      <c r="D606" s="2" t="inlineStr">
        <is>
          <t>SF</t>
        </is>
      </c>
      <c r="E606" s="9" t="inlineStr">
        <is>
          <t>空</t>
        </is>
      </c>
      <c r="F606" s="2" t="inlineStr">
        <is>
          <t>★★★</t>
        </is>
      </c>
      <c r="G606" s="10" t="n">
        <v>19</v>
      </c>
      <c r="H606" s="11" t="n">
        <v>5150</v>
      </c>
      <c r="I606" s="11" t="n">
        <v>5310</v>
      </c>
      <c r="J606" s="10" t="n">
        <v>5</v>
      </c>
      <c r="K606" s="10" t="n">
        <v>30000</v>
      </c>
      <c r="L606" s="23">
        <f>IF(E606="多",1,-1)*(I606-H606)*G606*J606</f>
        <v/>
      </c>
      <c r="M606" s="24">
        <f>L606/K606</f>
        <v/>
      </c>
      <c r="N606" s="2" t="inlineStr">
        <is>
          <t>反向信号</t>
        </is>
      </c>
      <c r="O606" s="2" t="inlineStr">
        <is>
          <t>否</t>
        </is>
      </c>
    </row>
    <row r="607">
      <c r="A607" s="14" t="inlineStr">
        <is>
          <t>2025-06-16</t>
        </is>
      </c>
      <c r="B607" s="14" t="inlineStr">
        <is>
          <t>2025-06-18</t>
        </is>
      </c>
      <c r="C607" s="14" t="inlineStr">
        <is>
          <t>甲醇</t>
        </is>
      </c>
      <c r="D607" s="14" t="inlineStr">
        <is>
          <t>MA</t>
        </is>
      </c>
      <c r="E607" s="14" t="inlineStr">
        <is>
          <t>多</t>
        </is>
      </c>
      <c r="F607" s="14" t="inlineStr">
        <is>
          <t>★★</t>
        </is>
      </c>
      <c r="G607" s="14" t="n">
        <v>6</v>
      </c>
      <c r="H607" s="15" t="n">
        <v>2440</v>
      </c>
      <c r="I607" s="15" t="n">
        <v>2517</v>
      </c>
      <c r="J607" s="14" t="n">
        <v>10</v>
      </c>
      <c r="K607" s="14" t="n">
        <v>10000</v>
      </c>
      <c r="L607" s="25">
        <f>IF(E607="多",1,-1)*(I607-H607)*G607*J607</f>
        <v/>
      </c>
      <c r="M607" s="26">
        <f>L607/K607</f>
        <v/>
      </c>
      <c r="N607" s="14" t="inlineStr">
        <is>
          <t>大将军转向</t>
        </is>
      </c>
      <c r="O607" s="14" t="inlineStr">
        <is>
          <t>是</t>
        </is>
      </c>
    </row>
    <row r="608">
      <c r="A608" s="14" t="inlineStr">
        <is>
          <t>2025-06-16</t>
        </is>
      </c>
      <c r="B608" s="14" t="inlineStr">
        <is>
          <t>2025-06-18</t>
        </is>
      </c>
      <c r="C608" s="14" t="inlineStr">
        <is>
          <t>塑料</t>
        </is>
      </c>
      <c r="D608" s="14" t="inlineStr">
        <is>
          <t>L</t>
        </is>
      </c>
      <c r="E608" s="14" t="inlineStr">
        <is>
          <t>多</t>
        </is>
      </c>
      <c r="F608" s="14" t="inlineStr">
        <is>
          <t>★★</t>
        </is>
      </c>
      <c r="G608" s="14" t="n">
        <v>7</v>
      </c>
      <c r="H608" s="15" t="n">
        <v>7310</v>
      </c>
      <c r="I608" s="15" t="n">
        <v>7418</v>
      </c>
      <c r="J608" s="14" t="n">
        <v>5</v>
      </c>
      <c r="K608" s="14" t="n">
        <v>10000</v>
      </c>
      <c r="L608" s="25">
        <f>IF(E608="多",1,-1)*(I608-H608)*G608*J608</f>
        <v/>
      </c>
      <c r="M608" s="26">
        <f>L608/K608</f>
        <v/>
      </c>
      <c r="N608" s="14" t="inlineStr">
        <is>
          <t>将军撤退</t>
        </is>
      </c>
      <c r="O608" s="14" t="inlineStr">
        <is>
          <t>是</t>
        </is>
      </c>
    </row>
    <row r="609">
      <c r="A609" s="14" t="inlineStr">
        <is>
          <t>2025-06-11</t>
        </is>
      </c>
      <c r="B609" s="14" t="inlineStr">
        <is>
          <t>2025-06-18</t>
        </is>
      </c>
      <c r="C609" s="14" t="inlineStr">
        <is>
          <t>沪锌</t>
        </is>
      </c>
      <c r="D609" s="14" t="inlineStr">
        <is>
          <t>ZN</t>
        </is>
      </c>
      <c r="E609" s="14" t="inlineStr">
        <is>
          <t>多</t>
        </is>
      </c>
      <c r="F609" s="14" t="inlineStr">
        <is>
          <t>★★</t>
        </is>
      </c>
      <c r="G609" s="14" t="n">
        <v>2</v>
      </c>
      <c r="H609" s="15" t="n">
        <v>22100</v>
      </c>
      <c r="I609" s="15" t="n">
        <v>22060</v>
      </c>
      <c r="J609" s="14" t="n">
        <v>5</v>
      </c>
      <c r="K609" s="14" t="n">
        <v>10000</v>
      </c>
      <c r="L609" s="25">
        <f>IF(E609="多",1,-1)*(I609-H609)*G609*J609</f>
        <v/>
      </c>
      <c r="M609" s="26">
        <f>L609/K609</f>
        <v/>
      </c>
      <c r="N609" s="14" t="inlineStr">
        <is>
          <t>将军撤退+大将军转向</t>
        </is>
      </c>
      <c r="O609" s="14" t="inlineStr">
        <is>
          <t>是</t>
        </is>
      </c>
    </row>
    <row r="610">
      <c r="A610" s="2" t="inlineStr">
        <is>
          <t>2025-06-16</t>
        </is>
      </c>
      <c r="B610" s="2" t="inlineStr">
        <is>
          <t>2025-06-17</t>
        </is>
      </c>
      <c r="C610" s="2" t="inlineStr">
        <is>
          <t>焦煤</t>
        </is>
      </c>
      <c r="D610" s="2" t="inlineStr">
        <is>
          <t>JM</t>
        </is>
      </c>
      <c r="E610" s="19" t="inlineStr">
        <is>
          <t>多</t>
        </is>
      </c>
      <c r="F610" s="2" t="inlineStr">
        <is>
          <t>★★★</t>
        </is>
      </c>
      <c r="G610" s="10" t="n">
        <v>5</v>
      </c>
      <c r="H610" s="11" t="n">
        <v>793.5</v>
      </c>
      <c r="I610" s="11" t="n">
        <v>789.5</v>
      </c>
      <c r="J610" s="10" t="n">
        <v>60</v>
      </c>
      <c r="K610" s="10" t="n">
        <v>30000</v>
      </c>
      <c r="L610" s="23">
        <f>IF(E610="多",1,-1)*(I610-H610)*G610*J610</f>
        <v/>
      </c>
      <c r="M610" s="24">
        <f>L610/K610</f>
        <v/>
      </c>
      <c r="N610" s="2" t="inlineStr">
        <is>
          <t>将军撤退</t>
        </is>
      </c>
      <c r="O610" s="2" t="inlineStr">
        <is>
          <t>否</t>
        </is>
      </c>
    </row>
    <row r="611">
      <c r="A611" s="14" t="inlineStr">
        <is>
          <t>2025-06-10</t>
        </is>
      </c>
      <c r="B611" s="14" t="inlineStr">
        <is>
          <t>2025-06-17</t>
        </is>
      </c>
      <c r="C611" s="14" t="inlineStr">
        <is>
          <t>白糖</t>
        </is>
      </c>
      <c r="D611" s="14" t="inlineStr">
        <is>
          <t>SR</t>
        </is>
      </c>
      <c r="E611" s="14" t="inlineStr">
        <is>
          <t>空</t>
        </is>
      </c>
      <c r="F611" s="14" t="inlineStr">
        <is>
          <t>★★★</t>
        </is>
      </c>
      <c r="G611" s="14" t="n">
        <v>9</v>
      </c>
      <c r="H611" s="15" t="n">
        <v>5725</v>
      </c>
      <c r="I611" s="15" t="n">
        <v>5691</v>
      </c>
      <c r="J611" s="14" t="n">
        <v>10</v>
      </c>
      <c r="K611" s="14" t="n">
        <v>10000</v>
      </c>
      <c r="L611" s="25">
        <f>IF(E611="多",1,-1)*(I611-H611)*G611*J611</f>
        <v/>
      </c>
      <c r="M611" s="26">
        <f>L611/K611</f>
        <v/>
      </c>
      <c r="N611" s="14" t="inlineStr">
        <is>
          <t>将军撤退</t>
        </is>
      </c>
      <c r="O611" s="14" t="inlineStr">
        <is>
          <t>是</t>
        </is>
      </c>
    </row>
    <row r="612">
      <c r="A612" s="14" t="inlineStr">
        <is>
          <t>2025-06-13</t>
        </is>
      </c>
      <c r="B612" s="14" t="inlineStr">
        <is>
          <t>2025-06-16</t>
        </is>
      </c>
      <c r="C612" s="14" t="inlineStr">
        <is>
          <t>菜粕</t>
        </is>
      </c>
      <c r="D612" s="14" t="inlineStr">
        <is>
          <t>RM</t>
        </is>
      </c>
      <c r="E612" s="14" t="inlineStr">
        <is>
          <t>多</t>
        </is>
      </c>
      <c r="F612" s="14" t="inlineStr">
        <is>
          <t>★★</t>
        </is>
      </c>
      <c r="G612" s="14" t="n">
        <v>7</v>
      </c>
      <c r="H612" s="15" t="n">
        <v>2677</v>
      </c>
      <c r="I612" s="15" t="n">
        <v>2671</v>
      </c>
      <c r="J612" s="14" t="n">
        <v>10</v>
      </c>
      <c r="K612" s="14" t="n">
        <v>10000</v>
      </c>
      <c r="L612" s="25">
        <f>IF(E612="多",1,-1)*(I612-H612)*G612*J612</f>
        <v/>
      </c>
      <c r="M612" s="26">
        <f>L612/K612</f>
        <v/>
      </c>
      <c r="N612" s="14" t="inlineStr">
        <is>
          <t>将军撤退</t>
        </is>
      </c>
      <c r="O612" s="14" t="inlineStr">
        <is>
          <t>是</t>
        </is>
      </c>
    </row>
    <row r="613">
      <c r="A613" s="2" t="inlineStr">
        <is>
          <t>2025-06-09</t>
        </is>
      </c>
      <c r="B613" s="2" t="inlineStr">
        <is>
          <t>2025-06-13</t>
        </is>
      </c>
      <c r="C613" s="2" t="inlineStr">
        <is>
          <t>豆粕</t>
        </is>
      </c>
      <c r="D613" s="2" t="inlineStr">
        <is>
          <t>M</t>
        </is>
      </c>
      <c r="E613" s="19" t="inlineStr">
        <is>
          <t>多</t>
        </is>
      </c>
      <c r="F613" s="2" t="inlineStr">
        <is>
          <t>★★★</t>
        </is>
      </c>
      <c r="G613" s="10" t="n">
        <v>29</v>
      </c>
      <c r="H613" s="11" t="n">
        <v>3016</v>
      </c>
      <c r="I613" s="11" t="n">
        <v>3041</v>
      </c>
      <c r="J613" s="10" t="n">
        <v>10</v>
      </c>
      <c r="K613" s="10" t="n">
        <v>30000</v>
      </c>
      <c r="L613" s="23">
        <f>IF(E613="多",1,-1)*(I613-H613)*G613*J613</f>
        <v/>
      </c>
      <c r="M613" s="24">
        <f>L613/K613</f>
        <v/>
      </c>
      <c r="N613" s="2" t="inlineStr">
        <is>
          <t>大将军转向</t>
        </is>
      </c>
      <c r="O613" s="2" t="inlineStr">
        <is>
          <t>否</t>
        </is>
      </c>
    </row>
    <row r="614">
      <c r="A614" s="14" t="inlineStr">
        <is>
          <t>2025-06-04</t>
        </is>
      </c>
      <c r="B614" s="14" t="inlineStr">
        <is>
          <t>2025-06-12</t>
        </is>
      </c>
      <c r="C614" s="14" t="inlineStr">
        <is>
          <t>锰硅</t>
        </is>
      </c>
      <c r="D614" s="14" t="inlineStr">
        <is>
          <t>SM</t>
        </is>
      </c>
      <c r="E614" s="14" t="inlineStr">
        <is>
          <t>空</t>
        </is>
      </c>
      <c r="F614" s="14" t="inlineStr">
        <is>
          <t>★★★</t>
        </is>
      </c>
      <c r="G614" s="14" t="n">
        <v>5</v>
      </c>
      <c r="H614" s="15" t="n">
        <v>5474</v>
      </c>
      <c r="I614" s="15" t="n">
        <v>5426</v>
      </c>
      <c r="J614" s="14" t="n">
        <v>5</v>
      </c>
      <c r="K614" s="14" t="n">
        <v>10000</v>
      </c>
      <c r="L614" s="25">
        <f>IF(E614="多",1,-1)*(I614-H614)*G614*J614</f>
        <v/>
      </c>
      <c r="M614" s="26">
        <f>L614/K614</f>
        <v/>
      </c>
      <c r="N614" s="14" t="inlineStr">
        <is>
          <t>将军撤退</t>
        </is>
      </c>
      <c r="O614" s="14" t="inlineStr">
        <is>
          <t>是</t>
        </is>
      </c>
    </row>
    <row r="615">
      <c r="A615" s="2" t="inlineStr">
        <is>
          <t>2025-06-06</t>
        </is>
      </c>
      <c r="B615" s="2" t="inlineStr">
        <is>
          <t>2025-06-09</t>
        </is>
      </c>
      <c r="C615" s="2" t="inlineStr">
        <is>
          <t>棉花</t>
        </is>
      </c>
      <c r="D615" s="2" t="inlineStr">
        <is>
          <t>CF</t>
        </is>
      </c>
      <c r="E615" s="19" t="inlineStr">
        <is>
          <t>多</t>
        </is>
      </c>
      <c r="F615" s="2" t="inlineStr">
        <is>
          <t>★★★</t>
        </is>
      </c>
      <c r="G615" s="10" t="n">
        <v>18</v>
      </c>
      <c r="H615" s="11" t="n">
        <v>13355</v>
      </c>
      <c r="I615" s="11" t="n">
        <v>13495</v>
      </c>
      <c r="J615" s="10" t="n">
        <v>5</v>
      </c>
      <c r="K615" s="10" t="n">
        <v>30000</v>
      </c>
      <c r="L615" s="23">
        <f>IF(E615="多",1,-1)*(I615-H615)*G615*J615</f>
        <v/>
      </c>
      <c r="M615" s="24">
        <f>L615/K615</f>
        <v/>
      </c>
      <c r="N615" s="2" t="inlineStr">
        <is>
          <t>将军撤退+大将军转向</t>
        </is>
      </c>
      <c r="O615" s="2" t="inlineStr">
        <is>
          <t>否</t>
        </is>
      </c>
    </row>
    <row r="616">
      <c r="A616" s="14" t="inlineStr">
        <is>
          <t>2025-06-03</t>
        </is>
      </c>
      <c r="B616" s="14" t="inlineStr">
        <is>
          <t>2025-06-06</t>
        </is>
      </c>
      <c r="C616" s="14" t="inlineStr">
        <is>
          <t>塑料</t>
        </is>
      </c>
      <c r="D616" s="14" t="inlineStr">
        <is>
          <t>L</t>
        </is>
      </c>
      <c r="E616" s="14" t="inlineStr">
        <is>
          <t>空</t>
        </is>
      </c>
      <c r="F616" s="14" t="inlineStr">
        <is>
          <t>★★</t>
        </is>
      </c>
      <c r="G616" s="14" t="n">
        <v>8</v>
      </c>
      <c r="H616" s="15" t="n">
        <v>6975</v>
      </c>
      <c r="I616" s="15" t="n">
        <v>7066</v>
      </c>
      <c r="J616" s="14" t="n">
        <v>5</v>
      </c>
      <c r="K616" s="14" t="n">
        <v>10000</v>
      </c>
      <c r="L616" s="25">
        <f>IF(E616="多",1,-1)*(I616-H616)*G616*J616</f>
        <v/>
      </c>
      <c r="M616" s="26">
        <f>L616/K616</f>
        <v/>
      </c>
      <c r="N616" s="14" t="inlineStr">
        <is>
          <t>大将军转向</t>
        </is>
      </c>
      <c r="O616" s="14" t="inlineStr">
        <is>
          <t>是</t>
        </is>
      </c>
    </row>
    <row r="617">
      <c r="A617" s="2" t="inlineStr">
        <is>
          <t>2025-05-28</t>
        </is>
      </c>
      <c r="B617" s="2" t="inlineStr">
        <is>
          <t>2025-06-06</t>
        </is>
      </c>
      <c r="C617" s="2" t="inlineStr">
        <is>
          <t>焦煤</t>
        </is>
      </c>
      <c r="D617" s="2" t="inlineStr">
        <is>
          <t>JM</t>
        </is>
      </c>
      <c r="E617" s="9" t="inlineStr">
        <is>
          <t>空</t>
        </is>
      </c>
      <c r="F617" s="2" t="inlineStr">
        <is>
          <t>★★★</t>
        </is>
      </c>
      <c r="G617" s="10" t="n">
        <v>6</v>
      </c>
      <c r="H617" s="11" t="n">
        <v>779</v>
      </c>
      <c r="I617" s="11" t="n">
        <v>781.96</v>
      </c>
      <c r="J617" s="10" t="n">
        <v>60</v>
      </c>
      <c r="K617" s="10" t="n">
        <v>30000</v>
      </c>
      <c r="L617" s="23">
        <f>IF(E617="多",1,-1)*(I617-H617)*G617*J617</f>
        <v/>
      </c>
      <c r="M617" s="24">
        <f>L617/K617</f>
        <v/>
      </c>
      <c r="N617" s="2" t="inlineStr">
        <is>
          <t>止损</t>
        </is>
      </c>
      <c r="O617" s="2" t="inlineStr">
        <is>
          <t>否</t>
        </is>
      </c>
    </row>
    <row r="618">
      <c r="A618" s="2" t="inlineStr">
        <is>
          <t>2025-05-30</t>
        </is>
      </c>
      <c r="B618" s="2" t="inlineStr">
        <is>
          <t>2025-06-05</t>
        </is>
      </c>
      <c r="C618" s="2" t="inlineStr">
        <is>
          <t>工业硅</t>
        </is>
      </c>
      <c r="D618" s="2" t="inlineStr">
        <is>
          <t>SI</t>
        </is>
      </c>
      <c r="E618" s="9" t="inlineStr">
        <is>
          <t>空</t>
        </is>
      </c>
      <c r="F618" s="2" t="inlineStr">
        <is>
          <t>★★★</t>
        </is>
      </c>
      <c r="G618" s="10" t="n">
        <v>10</v>
      </c>
      <c r="H618" s="11" t="n">
        <v>7195</v>
      </c>
      <c r="I618" s="11" t="n">
        <v>7160</v>
      </c>
      <c r="J618" s="10" t="n">
        <v>5</v>
      </c>
      <c r="K618" s="10" t="n">
        <v>30000</v>
      </c>
      <c r="L618" s="23">
        <f>IF(E618="多",1,-1)*(I618-H618)*G618*J618</f>
        <v/>
      </c>
      <c r="M618" s="24">
        <f>L618/K618</f>
        <v/>
      </c>
      <c r="N618" s="2" t="inlineStr">
        <is>
          <t>将军撤退</t>
        </is>
      </c>
      <c r="O618" s="2" t="inlineStr">
        <is>
          <t>否</t>
        </is>
      </c>
    </row>
    <row r="619">
      <c r="A619" s="2" t="inlineStr">
        <is>
          <t>2025-05-26</t>
        </is>
      </c>
      <c r="B619" s="2" t="inlineStr">
        <is>
          <t>2025-06-04</t>
        </is>
      </c>
      <c r="C619" s="2" t="inlineStr">
        <is>
          <t>棕榈油</t>
        </is>
      </c>
      <c r="D619" s="2" t="inlineStr">
        <is>
          <t>P</t>
        </is>
      </c>
      <c r="E619" s="9" t="inlineStr">
        <is>
          <t>空</t>
        </is>
      </c>
      <c r="F619" s="2" t="inlineStr">
        <is>
          <t>★★★</t>
        </is>
      </c>
      <c r="G619" s="10" t="n">
        <v>7</v>
      </c>
      <c r="H619" s="11" t="n">
        <v>7984</v>
      </c>
      <c r="I619" s="11" t="n">
        <v>8130</v>
      </c>
      <c r="J619" s="10" t="n">
        <v>10</v>
      </c>
      <c r="K619" s="10" t="n">
        <v>30000</v>
      </c>
      <c r="L619" s="23">
        <f>IF(E619="多",1,-1)*(I619-H619)*G619*J619</f>
        <v/>
      </c>
      <c r="M619" s="24">
        <f>L619/K619</f>
        <v/>
      </c>
      <c r="N619" s="2" t="inlineStr">
        <is>
          <t>将军撤退+大将军转向</t>
        </is>
      </c>
      <c r="O619" s="2" t="inlineStr">
        <is>
          <t>否</t>
        </is>
      </c>
    </row>
    <row r="620">
      <c r="A620" s="14" t="inlineStr">
        <is>
          <t>2025-05-30</t>
        </is>
      </c>
      <c r="B620" s="14" t="inlineStr">
        <is>
          <t>2025-06-03</t>
        </is>
      </c>
      <c r="C620" s="14" t="inlineStr">
        <is>
          <t>纯碱</t>
        </is>
      </c>
      <c r="D620" s="14" t="inlineStr">
        <is>
          <t>SA</t>
        </is>
      </c>
      <c r="E620" s="14" t="inlineStr">
        <is>
          <t>空</t>
        </is>
      </c>
      <c r="F620" s="14" t="inlineStr">
        <is>
          <t>★★</t>
        </is>
      </c>
      <c r="G620" s="14" t="n">
        <v>5</v>
      </c>
      <c r="H620" s="15" t="n">
        <v>1185</v>
      </c>
      <c r="I620" s="15" t="n">
        <v>1185</v>
      </c>
      <c r="J620" s="14" t="n">
        <v>20</v>
      </c>
      <c r="K620" s="14" t="n">
        <v>10000</v>
      </c>
      <c r="L620" s="25">
        <f>IF(E620="多",1,-1)*(I620-H620)*G620*J620</f>
        <v/>
      </c>
      <c r="M620" s="26">
        <f>L620/K620</f>
        <v/>
      </c>
      <c r="N620" s="14" t="inlineStr">
        <is>
          <t>将军撤退</t>
        </is>
      </c>
      <c r="O620" s="14" t="inlineStr">
        <is>
          <t>是</t>
        </is>
      </c>
    </row>
    <row r="621">
      <c r="A621" s="14" t="inlineStr">
        <is>
          <t>2025-05-27</t>
        </is>
      </c>
      <c r="B621" s="14" t="inlineStr">
        <is>
          <t>2025-06-03</t>
        </is>
      </c>
      <c r="C621" s="14" t="inlineStr">
        <is>
          <t>锰硅</t>
        </is>
      </c>
      <c r="D621" s="14" t="inlineStr">
        <is>
          <t>SM</t>
        </is>
      </c>
      <c r="E621" s="14" t="inlineStr">
        <is>
          <t>空</t>
        </is>
      </c>
      <c r="F621" s="14" t="inlineStr">
        <is>
          <t>★★</t>
        </is>
      </c>
      <c r="G621" s="14" t="n">
        <v>5</v>
      </c>
      <c r="H621" s="15" t="n">
        <v>5606</v>
      </c>
      <c r="I621" s="15" t="n">
        <v>5422</v>
      </c>
      <c r="J621" s="14" t="n">
        <v>5</v>
      </c>
      <c r="K621" s="14" t="n">
        <v>10000</v>
      </c>
      <c r="L621" s="25">
        <f>IF(E621="多",1,-1)*(I621-H621)*G621*J621</f>
        <v/>
      </c>
      <c r="M621" s="26">
        <f>L621/K621</f>
        <v/>
      </c>
      <c r="N621" s="14" t="inlineStr">
        <is>
          <t>将军撤退</t>
        </is>
      </c>
      <c r="O621" s="14" t="inlineStr">
        <is>
          <t>是</t>
        </is>
      </c>
    </row>
    <row r="622">
      <c r="A622" s="14" t="inlineStr">
        <is>
          <t>2025-05-29</t>
        </is>
      </c>
      <c r="B622" s="14" t="inlineStr">
        <is>
          <t>2025-05-30</t>
        </is>
      </c>
      <c r="C622" s="14" t="inlineStr">
        <is>
          <t>螺纹钢</t>
        </is>
      </c>
      <c r="D622" s="14" t="inlineStr">
        <is>
          <t>RB</t>
        </is>
      </c>
      <c r="E622" s="14" t="inlineStr">
        <is>
          <t>空</t>
        </is>
      </c>
      <c r="F622" s="14" t="inlineStr">
        <is>
          <t>★★</t>
        </is>
      </c>
      <c r="G622" s="14" t="n">
        <v>8</v>
      </c>
      <c r="H622" s="15" t="n">
        <v>2978</v>
      </c>
      <c r="I622" s="15" t="n">
        <v>2961</v>
      </c>
      <c r="J622" s="14" t="n">
        <v>10</v>
      </c>
      <c r="K622" s="14" t="n">
        <v>10000</v>
      </c>
      <c r="L622" s="25">
        <f>IF(E622="多",1,-1)*(I622-H622)*G622*J622</f>
        <v/>
      </c>
      <c r="M622" s="26">
        <f>L622/K622</f>
        <v/>
      </c>
      <c r="N622" s="14" t="inlineStr">
        <is>
          <t>大将军转向</t>
        </is>
      </c>
      <c r="O622" s="14" t="inlineStr">
        <is>
          <t>是</t>
        </is>
      </c>
    </row>
    <row r="623">
      <c r="A623" s="2" t="inlineStr">
        <is>
          <t>2025-05-29</t>
        </is>
      </c>
      <c r="B623" s="2" t="inlineStr">
        <is>
          <t>2025-05-30</t>
        </is>
      </c>
      <c r="C623" s="2" t="inlineStr">
        <is>
          <t>碳酸锂</t>
        </is>
      </c>
      <c r="D623" s="2" t="inlineStr">
        <is>
          <t>LC</t>
        </is>
      </c>
      <c r="E623" s="9" t="inlineStr">
        <is>
          <t>空</t>
        </is>
      </c>
      <c r="F623" s="2" t="inlineStr">
        <is>
          <t>★★★</t>
        </is>
      </c>
      <c r="G623" s="10" t="n">
        <v>6</v>
      </c>
      <c r="H623" s="11" t="n">
        <v>58800</v>
      </c>
      <c r="I623" s="11" t="n">
        <v>59800</v>
      </c>
      <c r="J623" s="10" t="n">
        <v>1</v>
      </c>
      <c r="K623" s="10" t="n">
        <v>30000</v>
      </c>
      <c r="L623" s="23">
        <f>IF(E623="多",1,-1)*(I623-H623)*G623*J623</f>
        <v/>
      </c>
      <c r="M623" s="24">
        <f>L623/K623</f>
        <v/>
      </c>
      <c r="N623" s="2" t="inlineStr">
        <is>
          <t>将军撤退</t>
        </is>
      </c>
      <c r="O623" s="2" t="inlineStr">
        <is>
          <t>否</t>
        </is>
      </c>
    </row>
    <row r="624">
      <c r="A624" s="14" t="inlineStr">
        <is>
          <t>2025-05-26</t>
        </is>
      </c>
      <c r="B624" s="14" t="inlineStr">
        <is>
          <t>2025-05-30</t>
        </is>
      </c>
      <c r="C624" s="14" t="inlineStr">
        <is>
          <t>PTA</t>
        </is>
      </c>
      <c r="D624" s="14" t="inlineStr">
        <is>
          <t>TA</t>
        </is>
      </c>
      <c r="E624" s="14" t="inlineStr">
        <is>
          <t>空</t>
        </is>
      </c>
      <c r="F624" s="14" t="inlineStr">
        <is>
          <t>★★</t>
        </is>
      </c>
      <c r="G624" s="14" t="n">
        <v>6</v>
      </c>
      <c r="H624" s="15" t="n">
        <v>4722</v>
      </c>
      <c r="I624" s="15" t="n">
        <v>4700</v>
      </c>
      <c r="J624" s="14" t="n">
        <v>5</v>
      </c>
      <c r="K624" s="14" t="n">
        <v>10000</v>
      </c>
      <c r="L624" s="25">
        <f>IF(E624="多",1,-1)*(I624-H624)*G624*J624</f>
        <v/>
      </c>
      <c r="M624" s="26">
        <f>L624/K624</f>
        <v/>
      </c>
      <c r="N624" s="14" t="inlineStr">
        <is>
          <t>将军撤退</t>
        </is>
      </c>
      <c r="O624" s="14" t="inlineStr">
        <is>
          <t>是</t>
        </is>
      </c>
    </row>
    <row r="625">
      <c r="A625" s="14" t="inlineStr">
        <is>
          <t>2025-05-26</t>
        </is>
      </c>
      <c r="B625" s="14" t="inlineStr">
        <is>
          <t>2025-05-30</t>
        </is>
      </c>
      <c r="C625" s="14" t="inlineStr">
        <is>
          <t>菜粕</t>
        </is>
      </c>
      <c r="D625" s="14" t="inlineStr">
        <is>
          <t>RM</t>
        </is>
      </c>
      <c r="E625" s="14" t="inlineStr">
        <is>
          <t>多</t>
        </is>
      </c>
      <c r="F625" s="14" t="inlineStr">
        <is>
          <t>★★★</t>
        </is>
      </c>
      <c r="G625" s="14" t="n">
        <v>6</v>
      </c>
      <c r="H625" s="15" t="n">
        <v>2561</v>
      </c>
      <c r="I625" s="15" t="n">
        <v>2637</v>
      </c>
      <c r="J625" s="14" t="n">
        <v>10</v>
      </c>
      <c r="K625" s="14" t="n">
        <v>10000</v>
      </c>
      <c r="L625" s="25">
        <f>IF(E625="多",1,-1)*(I625-H625)*G625*J625</f>
        <v/>
      </c>
      <c r="M625" s="26">
        <f>L625/K625</f>
        <v/>
      </c>
      <c r="N625" s="14" t="inlineStr">
        <is>
          <t>将军撤退</t>
        </is>
      </c>
      <c r="O625" s="14" t="inlineStr">
        <is>
          <t>是</t>
        </is>
      </c>
    </row>
    <row r="626">
      <c r="A626" s="2" t="inlineStr">
        <is>
          <t>2025-05-27</t>
        </is>
      </c>
      <c r="B626" s="2" t="inlineStr">
        <is>
          <t>2025-05-29</t>
        </is>
      </c>
      <c r="C626" s="2" t="inlineStr">
        <is>
          <t>纯碱</t>
        </is>
      </c>
      <c r="D626" s="2" t="inlineStr">
        <is>
          <t>SA</t>
        </is>
      </c>
      <c r="E626" s="9" t="inlineStr">
        <is>
          <t>空</t>
        </is>
      </c>
      <c r="F626" s="2" t="inlineStr">
        <is>
          <t>★★★</t>
        </is>
      </c>
      <c r="G626" s="10" t="n">
        <v>14</v>
      </c>
      <c r="H626" s="11" t="n">
        <v>1228</v>
      </c>
      <c r="I626" s="11" t="n">
        <v>1203</v>
      </c>
      <c r="J626" s="10" t="n">
        <v>20</v>
      </c>
      <c r="K626" s="10" t="n">
        <v>30000</v>
      </c>
      <c r="L626" s="23">
        <f>IF(E626="多",1,-1)*(I626-H626)*G626*J626</f>
        <v/>
      </c>
      <c r="M626" s="24">
        <f>L626/K626</f>
        <v/>
      </c>
      <c r="N626" s="2" t="inlineStr">
        <is>
          <t>将军撤退</t>
        </is>
      </c>
      <c r="O626" s="2" t="inlineStr">
        <is>
          <t>否</t>
        </is>
      </c>
    </row>
    <row r="627">
      <c r="A627" s="2" t="inlineStr">
        <is>
          <t>2025-05-26</t>
        </is>
      </c>
      <c r="B627" s="2" t="inlineStr">
        <is>
          <t>2025-05-28</t>
        </is>
      </c>
      <c r="C627" s="2" t="inlineStr">
        <is>
          <t>聚丙烯</t>
        </is>
      </c>
      <c r="D627" s="2" t="inlineStr">
        <is>
          <t>PP</t>
        </is>
      </c>
      <c r="E627" s="9" t="inlineStr">
        <is>
          <t>空</t>
        </is>
      </c>
      <c r="F627" s="2" t="inlineStr">
        <is>
          <t>★★★</t>
        </is>
      </c>
      <c r="G627" s="10" t="n">
        <v>28</v>
      </c>
      <c r="H627" s="11" t="n">
        <v>6922</v>
      </c>
      <c r="I627" s="11" t="n">
        <v>6893</v>
      </c>
      <c r="J627" s="10" t="n">
        <v>5</v>
      </c>
      <c r="K627" s="10" t="n">
        <v>30000</v>
      </c>
      <c r="L627" s="23">
        <f>IF(E627="多",1,-1)*(I627-H627)*G627*J627</f>
        <v/>
      </c>
      <c r="M627" s="24">
        <f>L627/K627</f>
        <v/>
      </c>
      <c r="N627" s="2" t="inlineStr">
        <is>
          <t>将军撤退</t>
        </is>
      </c>
      <c r="O627" s="2" t="inlineStr">
        <is>
          <t>否</t>
        </is>
      </c>
    </row>
    <row r="628">
      <c r="A628" s="14" t="inlineStr">
        <is>
          <t>2025-04-24</t>
        </is>
      </c>
      <c r="B628" s="14" t="inlineStr">
        <is>
          <t>2025-05-28</t>
        </is>
      </c>
      <c r="C628" s="14" t="inlineStr">
        <is>
          <t>沪锌</t>
        </is>
      </c>
      <c r="D628" s="14" t="inlineStr">
        <is>
          <t>ZN</t>
        </is>
      </c>
      <c r="E628" s="14" t="inlineStr">
        <is>
          <t>多</t>
        </is>
      </c>
      <c r="F628" s="14" t="inlineStr">
        <is>
          <t>★★</t>
        </is>
      </c>
      <c r="G628" s="14" t="n">
        <v>1</v>
      </c>
      <c r="H628" s="15" t="n">
        <v>22420</v>
      </c>
      <c r="I628" s="15" t="n">
        <v>22210</v>
      </c>
      <c r="J628" s="14" t="n">
        <v>5</v>
      </c>
      <c r="K628" s="14" t="n">
        <v>10000</v>
      </c>
      <c r="L628" s="25">
        <f>IF(E628="多",1,-1)*(I628-H628)*G628*J628</f>
        <v/>
      </c>
      <c r="M628" s="26">
        <f>L628/K628</f>
        <v/>
      </c>
      <c r="N628" s="14" t="inlineStr">
        <is>
          <t>反向信号</t>
        </is>
      </c>
      <c r="O628" s="14" t="inlineStr">
        <is>
          <t>是</t>
        </is>
      </c>
    </row>
    <row r="629">
      <c r="A629" s="2" t="inlineStr">
        <is>
          <t>2025-05-26</t>
        </is>
      </c>
      <c r="B629" s="2" t="inlineStr">
        <is>
          <t>2025-05-27</t>
        </is>
      </c>
      <c r="C629" s="2" t="inlineStr">
        <is>
          <t>工业硅</t>
        </is>
      </c>
      <c r="D629" s="2" t="inlineStr">
        <is>
          <t>SI</t>
        </is>
      </c>
      <c r="E629" s="9" t="inlineStr">
        <is>
          <t>空</t>
        </is>
      </c>
      <c r="F629" s="2" t="inlineStr">
        <is>
          <t>★★★</t>
        </is>
      </c>
      <c r="G629" s="10" t="n">
        <v>9</v>
      </c>
      <c r="H629" s="11" t="n">
        <v>7670</v>
      </c>
      <c r="I629" s="11" t="n">
        <v>7510</v>
      </c>
      <c r="J629" s="10" t="n">
        <v>5</v>
      </c>
      <c r="K629" s="10" t="n">
        <v>30000</v>
      </c>
      <c r="L629" s="23">
        <f>IF(E629="多",1,-1)*(I629-H629)*G629*J629</f>
        <v/>
      </c>
      <c r="M629" s="24">
        <f>L629/K629</f>
        <v/>
      </c>
      <c r="N629" s="2" t="inlineStr">
        <is>
          <t>将军撤退</t>
        </is>
      </c>
      <c r="O629" s="2" t="inlineStr">
        <is>
          <t>否</t>
        </is>
      </c>
    </row>
    <row r="630">
      <c r="A630" s="2" t="inlineStr">
        <is>
          <t>2025-05-23</t>
        </is>
      </c>
      <c r="B630" s="2" t="inlineStr">
        <is>
          <t>2025-05-26</t>
        </is>
      </c>
      <c r="C630" s="2" t="inlineStr">
        <is>
          <t>塑料</t>
        </is>
      </c>
      <c r="D630" s="2" t="inlineStr">
        <is>
          <t>L</t>
        </is>
      </c>
      <c r="E630" s="9" t="inlineStr">
        <is>
          <t>空</t>
        </is>
      </c>
      <c r="F630" s="2" t="inlineStr">
        <is>
          <t>★★★</t>
        </is>
      </c>
      <c r="G630" s="10" t="n">
        <v>21</v>
      </c>
      <c r="H630" s="11" t="n">
        <v>7070</v>
      </c>
      <c r="I630" s="11" t="n">
        <v>7080</v>
      </c>
      <c r="J630" s="10" t="n">
        <v>5</v>
      </c>
      <c r="K630" s="10" t="n">
        <v>30000</v>
      </c>
      <c r="L630" s="23">
        <f>IF(E630="多",1,-1)*(I630-H630)*G630*J630</f>
        <v/>
      </c>
      <c r="M630" s="24">
        <f>L630/K630</f>
        <v/>
      </c>
      <c r="N630" s="2" t="inlineStr">
        <is>
          <t>将军撤退+大将军转向</t>
        </is>
      </c>
      <c r="O630" s="2" t="inlineStr">
        <is>
          <t>否</t>
        </is>
      </c>
    </row>
    <row r="631">
      <c r="A631" s="2" t="inlineStr">
        <is>
          <t>2025-05-23</t>
        </is>
      </c>
      <c r="B631" s="2" t="inlineStr">
        <is>
          <t>2025-05-26</t>
        </is>
      </c>
      <c r="C631" s="2" t="inlineStr">
        <is>
          <t>碳酸锂</t>
        </is>
      </c>
      <c r="D631" s="2" t="inlineStr">
        <is>
          <t>LC</t>
        </is>
      </c>
      <c r="E631" s="9" t="inlineStr">
        <is>
          <t>空</t>
        </is>
      </c>
      <c r="F631" s="2" t="inlineStr">
        <is>
          <t>★★★</t>
        </is>
      </c>
      <c r="G631" s="10" t="n">
        <v>6</v>
      </c>
      <c r="H631" s="11" t="n">
        <v>61060</v>
      </c>
      <c r="I631" s="11" t="n">
        <v>60100</v>
      </c>
      <c r="J631" s="10" t="n">
        <v>1</v>
      </c>
      <c r="K631" s="10" t="n">
        <v>30000</v>
      </c>
      <c r="L631" s="23">
        <f>IF(E631="多",1,-1)*(I631-H631)*G631*J631</f>
        <v/>
      </c>
      <c r="M631" s="24">
        <f>L631/K631</f>
        <v/>
      </c>
      <c r="N631" s="2" t="inlineStr">
        <is>
          <t>大将军转向</t>
        </is>
      </c>
      <c r="O631" s="2" t="inlineStr">
        <is>
          <t>否</t>
        </is>
      </c>
    </row>
    <row r="632">
      <c r="A632" s="14" t="inlineStr">
        <is>
          <t>2025-05-21</t>
        </is>
      </c>
      <c r="B632" s="14" t="inlineStr">
        <is>
          <t>2025-05-26</t>
        </is>
      </c>
      <c r="C632" s="14" t="inlineStr">
        <is>
          <t>螺纹钢</t>
        </is>
      </c>
      <c r="D632" s="14" t="inlineStr">
        <is>
          <t>RB</t>
        </is>
      </c>
      <c r="E632" s="14" t="inlineStr">
        <is>
          <t>空</t>
        </is>
      </c>
      <c r="F632" s="14" t="inlineStr">
        <is>
          <t>★★★</t>
        </is>
      </c>
      <c r="G632" s="14" t="n">
        <v>7</v>
      </c>
      <c r="H632" s="15" t="n">
        <v>3062</v>
      </c>
      <c r="I632" s="15" t="n">
        <v>3004</v>
      </c>
      <c r="J632" s="14" t="n">
        <v>10</v>
      </c>
      <c r="K632" s="14" t="n">
        <v>10000</v>
      </c>
      <c r="L632" s="25">
        <f>IF(E632="多",1,-1)*(I632-H632)*G632*J632</f>
        <v/>
      </c>
      <c r="M632" s="26">
        <f>L632/K632</f>
        <v/>
      </c>
      <c r="N632" s="14" t="inlineStr">
        <is>
          <t>大将军转向</t>
        </is>
      </c>
      <c r="O632" s="14" t="inlineStr">
        <is>
          <t>是</t>
        </is>
      </c>
    </row>
    <row r="633">
      <c r="A633" s="2" t="inlineStr">
        <is>
          <t>2025-05-20</t>
        </is>
      </c>
      <c r="B633" s="2" t="inlineStr">
        <is>
          <t>2025-05-26</t>
        </is>
      </c>
      <c r="C633" s="2" t="inlineStr">
        <is>
          <t>纯碱</t>
        </is>
      </c>
      <c r="D633" s="2" t="inlineStr">
        <is>
          <t>SA</t>
        </is>
      </c>
      <c r="E633" s="9" t="inlineStr">
        <is>
          <t>空</t>
        </is>
      </c>
      <c r="F633" s="2" t="inlineStr">
        <is>
          <t>★★★</t>
        </is>
      </c>
      <c r="G633" s="10" t="n">
        <v>13</v>
      </c>
      <c r="H633" s="11" t="n">
        <v>1277</v>
      </c>
      <c r="I633" s="11" t="n">
        <v>1254</v>
      </c>
      <c r="J633" s="10" t="n">
        <v>20</v>
      </c>
      <c r="K633" s="10" t="n">
        <v>30000</v>
      </c>
      <c r="L633" s="23">
        <f>IF(E633="多",1,-1)*(I633-H633)*G633*J633</f>
        <v/>
      </c>
      <c r="M633" s="24">
        <f>L633/K633</f>
        <v/>
      </c>
      <c r="N633" s="2" t="inlineStr">
        <is>
          <t>将军撤退+大将军转向</t>
        </is>
      </c>
      <c r="O633" s="2" t="inlineStr">
        <is>
          <t>否</t>
        </is>
      </c>
    </row>
    <row r="634">
      <c r="A634" s="14" t="inlineStr">
        <is>
          <t>2025-05-19</t>
        </is>
      </c>
      <c r="B634" s="14" t="inlineStr">
        <is>
          <t>2025-05-26</t>
        </is>
      </c>
      <c r="C634" s="14" t="inlineStr">
        <is>
          <t>铁矿石</t>
        </is>
      </c>
      <c r="D634" s="14" t="inlineStr">
        <is>
          <t>I</t>
        </is>
      </c>
      <c r="E634" s="14" t="inlineStr">
        <is>
          <t>空</t>
        </is>
      </c>
      <c r="F634" s="14" t="inlineStr">
        <is>
          <t>★★</t>
        </is>
      </c>
      <c r="G634" s="14" t="n">
        <v>2</v>
      </c>
      <c r="H634" s="15" t="n">
        <v>722.5</v>
      </c>
      <c r="I634" s="15" t="n">
        <v>706.5</v>
      </c>
      <c r="J634" s="14" t="n">
        <v>100</v>
      </c>
      <c r="K634" s="14" t="n">
        <v>10000</v>
      </c>
      <c r="L634" s="25">
        <f>IF(E634="多",1,-1)*(I634-H634)*G634*J634</f>
        <v/>
      </c>
      <c r="M634" s="26">
        <f>L634/K634</f>
        <v/>
      </c>
      <c r="N634" s="14" t="inlineStr">
        <is>
          <t>大将军转向</t>
        </is>
      </c>
      <c r="O634" s="14" t="inlineStr">
        <is>
          <t>是</t>
        </is>
      </c>
    </row>
    <row r="635">
      <c r="A635" s="14" t="inlineStr">
        <is>
          <t>2025-05-12</t>
        </is>
      </c>
      <c r="B635" s="14" t="inlineStr">
        <is>
          <t>2025-05-26</t>
        </is>
      </c>
      <c r="C635" s="14" t="inlineStr">
        <is>
          <t>菜粕</t>
        </is>
      </c>
      <c r="D635" s="14" t="inlineStr">
        <is>
          <t>RM</t>
        </is>
      </c>
      <c r="E635" s="14" t="inlineStr">
        <is>
          <t>空</t>
        </is>
      </c>
      <c r="F635" s="14" t="inlineStr">
        <is>
          <t>★★</t>
        </is>
      </c>
      <c r="G635" s="14" t="n">
        <v>6</v>
      </c>
      <c r="H635" s="15" t="n">
        <v>2535</v>
      </c>
      <c r="I635" s="15" t="n">
        <v>2566</v>
      </c>
      <c r="J635" s="14" t="n">
        <v>10</v>
      </c>
      <c r="K635" s="14" t="n">
        <v>10000</v>
      </c>
      <c r="L635" s="25">
        <f>IF(E635="多",1,-1)*(I635-H635)*G635*J635</f>
        <v/>
      </c>
      <c r="M635" s="26">
        <f>L635/K635</f>
        <v/>
      </c>
      <c r="N635" s="14" t="inlineStr">
        <is>
          <t>反向信号</t>
        </is>
      </c>
      <c r="O635" s="14" t="inlineStr">
        <is>
          <t>是</t>
        </is>
      </c>
    </row>
    <row r="636">
      <c r="A636" s="2" t="inlineStr">
        <is>
          <t>2025-05-21</t>
        </is>
      </c>
      <c r="B636" s="2" t="inlineStr">
        <is>
          <t>2025-05-23</t>
        </is>
      </c>
      <c r="C636" s="2" t="inlineStr">
        <is>
          <t>工业硅</t>
        </is>
      </c>
      <c r="D636" s="2" t="inlineStr">
        <is>
          <t>SI</t>
        </is>
      </c>
      <c r="E636" s="9" t="inlineStr">
        <is>
          <t>空</t>
        </is>
      </c>
      <c r="F636" s="2" t="inlineStr">
        <is>
          <t>★★★</t>
        </is>
      </c>
      <c r="G636" s="10" t="n">
        <v>8</v>
      </c>
      <c r="H636" s="11" t="n">
        <v>7960</v>
      </c>
      <c r="I636" s="11" t="n">
        <v>7970</v>
      </c>
      <c r="J636" s="10" t="n">
        <v>5</v>
      </c>
      <c r="K636" s="10" t="n">
        <v>30000</v>
      </c>
      <c r="L636" s="23">
        <f>IF(E636="多",1,-1)*(I636-H636)*G636*J636</f>
        <v/>
      </c>
      <c r="M636" s="24">
        <f>L636/K636</f>
        <v/>
      </c>
      <c r="N636" s="2" t="inlineStr">
        <is>
          <t>将军撤退</t>
        </is>
      </c>
      <c r="O636" s="2" t="inlineStr">
        <is>
          <t>否</t>
        </is>
      </c>
    </row>
    <row r="637">
      <c r="A637" s="2" t="inlineStr">
        <is>
          <t>2025-05-20</t>
        </is>
      </c>
      <c r="B637" s="2" t="inlineStr">
        <is>
          <t>2025-05-23</t>
        </is>
      </c>
      <c r="C637" s="2" t="inlineStr">
        <is>
          <t>聚丙烯</t>
        </is>
      </c>
      <c r="D637" s="2" t="inlineStr">
        <is>
          <t>PP</t>
        </is>
      </c>
      <c r="E637" s="9" t="inlineStr">
        <is>
          <t>空</t>
        </is>
      </c>
      <c r="F637" s="2" t="inlineStr">
        <is>
          <t>★★★</t>
        </is>
      </c>
      <c r="G637" s="10" t="n">
        <v>28</v>
      </c>
      <c r="H637" s="11" t="n">
        <v>7046</v>
      </c>
      <c r="I637" s="11" t="n">
        <v>6948</v>
      </c>
      <c r="J637" s="10" t="n">
        <v>5</v>
      </c>
      <c r="K637" s="10" t="n">
        <v>30000</v>
      </c>
      <c r="L637" s="23">
        <f>IF(E637="多",1,-1)*(I637-H637)*G637*J637</f>
        <v/>
      </c>
      <c r="M637" s="24">
        <f>L637/K637</f>
        <v/>
      </c>
      <c r="N637" s="2" t="inlineStr">
        <is>
          <t>将军撤退+大将军转向</t>
        </is>
      </c>
      <c r="O637" s="2" t="inlineStr">
        <is>
          <t>否</t>
        </is>
      </c>
    </row>
    <row r="638">
      <c r="A638" s="14" t="inlineStr">
        <is>
          <t>2025-05-21</t>
        </is>
      </c>
      <c r="B638" s="14" t="inlineStr">
        <is>
          <t>2025-05-22</t>
        </is>
      </c>
      <c r="C638" s="14" t="inlineStr">
        <is>
          <t>沪铝</t>
        </is>
      </c>
      <c r="D638" s="14" t="inlineStr">
        <is>
          <t>AL</t>
        </is>
      </c>
      <c r="E638" s="14" t="inlineStr">
        <is>
          <t>多</t>
        </is>
      </c>
      <c r="F638" s="14" t="inlineStr">
        <is>
          <t>★★</t>
        </is>
      </c>
      <c r="G638" s="14" t="n">
        <v>2</v>
      </c>
      <c r="H638" s="15" t="n">
        <v>20155</v>
      </c>
      <c r="I638" s="15" t="n">
        <v>20210</v>
      </c>
      <c r="J638" s="14" t="n">
        <v>5</v>
      </c>
      <c r="K638" s="14" t="n">
        <v>10000</v>
      </c>
      <c r="L638" s="25">
        <f>IF(E638="多",1,-1)*(I638-H638)*G638*J638</f>
        <v/>
      </c>
      <c r="M638" s="26">
        <f>L638/K638</f>
        <v/>
      </c>
      <c r="N638" s="14" t="inlineStr">
        <is>
          <t>将军撤退+大将军转向</t>
        </is>
      </c>
      <c r="O638" s="14" t="inlineStr">
        <is>
          <t>是</t>
        </is>
      </c>
    </row>
    <row r="639">
      <c r="A639" s="2" t="inlineStr">
        <is>
          <t>2025-05-20</t>
        </is>
      </c>
      <c r="B639" s="2" t="inlineStr">
        <is>
          <t>2025-05-22</t>
        </is>
      </c>
      <c r="C639" s="2" t="inlineStr">
        <is>
          <t>硅铁</t>
        </is>
      </c>
      <c r="D639" s="2" t="inlineStr">
        <is>
          <t>SF</t>
        </is>
      </c>
      <c r="E639" s="9" t="inlineStr">
        <is>
          <t>空</t>
        </is>
      </c>
      <c r="F639" s="2" t="inlineStr">
        <is>
          <t>★★★</t>
        </is>
      </c>
      <c r="G639" s="10" t="n">
        <v>6</v>
      </c>
      <c r="H639" s="11" t="n">
        <v>5652</v>
      </c>
      <c r="I639" s="11" t="n">
        <v>5622</v>
      </c>
      <c r="J639" s="10" t="n">
        <v>5</v>
      </c>
      <c r="K639" s="10" t="n">
        <v>10000</v>
      </c>
      <c r="L639" s="23">
        <f>IF(E639="多",1,-1)*(I639-H639)*G639*J639</f>
        <v/>
      </c>
      <c r="M639" s="24">
        <f>L639/K639</f>
        <v/>
      </c>
      <c r="N639" s="2" t="inlineStr">
        <is>
          <t>大将军转向</t>
        </is>
      </c>
      <c r="O639" s="2" t="inlineStr">
        <is>
          <t>否</t>
        </is>
      </c>
    </row>
    <row r="640">
      <c r="A640" s="14" t="inlineStr">
        <is>
          <t>2025-05-20</t>
        </is>
      </c>
      <c r="B640" s="14" t="inlineStr">
        <is>
          <t>2025-05-21</t>
        </is>
      </c>
      <c r="C640" s="14" t="inlineStr">
        <is>
          <t>燃料油</t>
        </is>
      </c>
      <c r="D640" s="14" t="inlineStr">
        <is>
          <t>FU</t>
        </is>
      </c>
      <c r="E640" s="14" t="inlineStr">
        <is>
          <t>多</t>
        </is>
      </c>
      <c r="F640" s="14" t="inlineStr">
        <is>
          <t>★★</t>
        </is>
      </c>
      <c r="G640" s="14" t="n">
        <v>5</v>
      </c>
      <c r="H640" s="15" t="n">
        <v>3035</v>
      </c>
      <c r="I640" s="15" t="n">
        <v>3074</v>
      </c>
      <c r="J640" s="14" t="n">
        <v>10</v>
      </c>
      <c r="K640" s="14" t="n">
        <v>10000</v>
      </c>
      <c r="L640" s="25">
        <f>IF(E640="多",1,-1)*(I640-H640)*G640*J640</f>
        <v/>
      </c>
      <c r="M640" s="26">
        <f>L640/K640</f>
        <v/>
      </c>
      <c r="N640" s="14" t="inlineStr">
        <is>
          <t>将军撤退+大将军转向</t>
        </is>
      </c>
      <c r="O640" s="14" t="inlineStr">
        <is>
          <t>是</t>
        </is>
      </c>
    </row>
    <row r="641">
      <c r="A641" s="2" t="inlineStr">
        <is>
          <t>2025-05-16</t>
        </is>
      </c>
      <c r="B641" s="2" t="inlineStr">
        <is>
          <t>2025-05-21</t>
        </is>
      </c>
      <c r="C641" s="2" t="inlineStr">
        <is>
          <t>碳酸锂</t>
        </is>
      </c>
      <c r="D641" s="2" t="inlineStr">
        <is>
          <t>LC</t>
        </is>
      </c>
      <c r="E641" s="9" t="inlineStr">
        <is>
          <t>空</t>
        </is>
      </c>
      <c r="F641" s="2" t="inlineStr">
        <is>
          <t>★★★</t>
        </is>
      </c>
      <c r="G641" s="10" t="n">
        <v>6</v>
      </c>
      <c r="H641" s="11" t="n">
        <v>61800</v>
      </c>
      <c r="I641" s="11" t="n">
        <v>61100</v>
      </c>
      <c r="J641" s="10" t="n">
        <v>1</v>
      </c>
      <c r="K641" s="10" t="n">
        <v>30000</v>
      </c>
      <c r="L641" s="23">
        <f>IF(E641="多",1,-1)*(I641-H641)*G641*J641</f>
        <v/>
      </c>
      <c r="M641" s="24">
        <f>L641/K641</f>
        <v/>
      </c>
      <c r="N641" s="2" t="inlineStr">
        <is>
          <t>将军撤退+大将军转向</t>
        </is>
      </c>
      <c r="O641" s="2" t="inlineStr">
        <is>
          <t>否</t>
        </is>
      </c>
    </row>
    <row r="642">
      <c r="A642" s="14" t="inlineStr">
        <is>
          <t>2025-04-24</t>
        </is>
      </c>
      <c r="B642" s="14" t="inlineStr">
        <is>
          <t>2025-05-21</t>
        </is>
      </c>
      <c r="C642" s="14" t="inlineStr">
        <is>
          <t>菜油</t>
        </is>
      </c>
      <c r="D642" s="14" t="inlineStr">
        <is>
          <t>OI</t>
        </is>
      </c>
      <c r="E642" s="14" t="inlineStr">
        <is>
          <t>多</t>
        </is>
      </c>
      <c r="F642" s="14" t="inlineStr">
        <is>
          <t>★★★</t>
        </is>
      </c>
      <c r="G642" s="14" t="n">
        <v>1</v>
      </c>
      <c r="H642" s="15" t="n">
        <v>9392</v>
      </c>
      <c r="I642" s="15" t="n">
        <v>9440</v>
      </c>
      <c r="J642" s="14" t="n">
        <v>10</v>
      </c>
      <c r="K642" s="14" t="n">
        <v>10000</v>
      </c>
      <c r="L642" s="25">
        <f>IF(E642="多",1,-1)*(I642-H642)*G642*J642</f>
        <v/>
      </c>
      <c r="M642" s="26">
        <f>L642/K642</f>
        <v/>
      </c>
      <c r="N642" s="14" t="inlineStr">
        <is>
          <t>大将军转向</t>
        </is>
      </c>
      <c r="O642" s="14" t="inlineStr">
        <is>
          <t>是</t>
        </is>
      </c>
    </row>
    <row r="643">
      <c r="A643" s="14" t="inlineStr">
        <is>
          <t>2025-05-13</t>
        </is>
      </c>
      <c r="B643" s="14" t="inlineStr">
        <is>
          <t>2025-05-20</t>
        </is>
      </c>
      <c r="C643" s="14" t="inlineStr">
        <is>
          <t>棉花</t>
        </is>
      </c>
      <c r="D643" s="14" t="inlineStr">
        <is>
          <t>CF</t>
        </is>
      </c>
      <c r="E643" s="14" t="inlineStr">
        <is>
          <t>多</t>
        </is>
      </c>
      <c r="F643" s="14" t="inlineStr">
        <is>
          <t>★★★</t>
        </is>
      </c>
      <c r="G643" s="14" t="n">
        <v>3</v>
      </c>
      <c r="H643" s="15" t="n">
        <v>13330</v>
      </c>
      <c r="I643" s="15" t="n">
        <v>13395</v>
      </c>
      <c r="J643" s="14" t="n">
        <v>5</v>
      </c>
      <c r="K643" s="14" t="n">
        <v>10000</v>
      </c>
      <c r="L643" s="25">
        <f>IF(E643="多",1,-1)*(I643-H643)*G643*J643</f>
        <v/>
      </c>
      <c r="M643" s="26">
        <f>L643/K643</f>
        <v/>
      </c>
      <c r="N643" s="14" t="inlineStr">
        <is>
          <t>将军撤退</t>
        </is>
      </c>
      <c r="O643" s="14" t="inlineStr">
        <is>
          <t>是</t>
        </is>
      </c>
    </row>
    <row r="644">
      <c r="A644" s="2" t="inlineStr">
        <is>
          <t>2025-04-30</t>
        </is>
      </c>
      <c r="B644" s="2" t="inlineStr">
        <is>
          <t>2025-05-20</t>
        </is>
      </c>
      <c r="C644" s="2" t="inlineStr">
        <is>
          <t>玉米</t>
        </is>
      </c>
      <c r="D644" s="2" t="inlineStr">
        <is>
          <t>C</t>
        </is>
      </c>
      <c r="E644" s="19" t="inlineStr">
        <is>
          <t>多</t>
        </is>
      </c>
      <c r="F644" s="2" t="inlineStr">
        <is>
          <t>★★★</t>
        </is>
      </c>
      <c r="G644" s="10" t="n">
        <v>50</v>
      </c>
      <c r="H644" s="11" t="n">
        <v>2382</v>
      </c>
      <c r="I644" s="11" t="n">
        <v>2322.43</v>
      </c>
      <c r="J644" s="10" t="n">
        <v>10</v>
      </c>
      <c r="K644" s="10" t="n">
        <v>30000</v>
      </c>
      <c r="L644" s="23">
        <f>IF(E644="多",1,-1)*(I644-H644)*G644*J644</f>
        <v/>
      </c>
      <c r="M644" s="24">
        <f>L644/K644</f>
        <v/>
      </c>
      <c r="N644" s="2" t="inlineStr">
        <is>
          <t>止损</t>
        </is>
      </c>
      <c r="O644" s="2" t="inlineStr">
        <is>
          <t>否</t>
        </is>
      </c>
    </row>
    <row r="645">
      <c r="A645" s="2" t="inlineStr">
        <is>
          <t>2025-05-16</t>
        </is>
      </c>
      <c r="B645" s="2" t="inlineStr">
        <is>
          <t>2025-05-19</t>
        </is>
      </c>
      <c r="C645" s="2" t="inlineStr">
        <is>
          <t>工业硅</t>
        </is>
      </c>
      <c r="D645" s="2" t="inlineStr">
        <is>
          <t>SI</t>
        </is>
      </c>
      <c r="E645" s="9" t="inlineStr">
        <is>
          <t>空</t>
        </is>
      </c>
      <c r="F645" s="2" t="inlineStr">
        <is>
          <t>★★★</t>
        </is>
      </c>
      <c r="G645" s="10" t="n">
        <v>8</v>
      </c>
      <c r="H645" s="11" t="n">
        <v>8215</v>
      </c>
      <c r="I645" s="11" t="n">
        <v>8200</v>
      </c>
      <c r="J645" s="10" t="n">
        <v>5</v>
      </c>
      <c r="K645" s="10" t="n">
        <v>30000</v>
      </c>
      <c r="L645" s="23">
        <f>IF(E645="多",1,-1)*(I645-H645)*G645*J645</f>
        <v/>
      </c>
      <c r="M645" s="24">
        <f>L645/K645</f>
        <v/>
      </c>
      <c r="N645" s="2" t="inlineStr">
        <is>
          <t>大将军转向</t>
        </is>
      </c>
      <c r="O645" s="2" t="inlineStr">
        <is>
          <t>否</t>
        </is>
      </c>
    </row>
    <row r="646">
      <c r="A646" s="14" t="inlineStr">
        <is>
          <t>2025-05-16</t>
        </is>
      </c>
      <c r="B646" s="14" t="inlineStr">
        <is>
          <t>2025-05-19</t>
        </is>
      </c>
      <c r="C646" s="14" t="inlineStr">
        <is>
          <t>螺纹钢</t>
        </is>
      </c>
      <c r="D646" s="14" t="inlineStr">
        <is>
          <t>RB</t>
        </is>
      </c>
      <c r="E646" s="14" t="inlineStr">
        <is>
          <t>空</t>
        </is>
      </c>
      <c r="F646" s="14" t="inlineStr">
        <is>
          <t>★★</t>
        </is>
      </c>
      <c r="G646" s="14" t="n">
        <v>7</v>
      </c>
      <c r="H646" s="15" t="n">
        <v>3078</v>
      </c>
      <c r="I646" s="15" t="n">
        <v>3069</v>
      </c>
      <c r="J646" s="14" t="n">
        <v>10</v>
      </c>
      <c r="K646" s="14" t="n">
        <v>10000</v>
      </c>
      <c r="L646" s="25">
        <f>IF(E646="多",1,-1)*(I646-H646)*G646*J646</f>
        <v/>
      </c>
      <c r="M646" s="26">
        <f>L646/K646</f>
        <v/>
      </c>
      <c r="N646" s="14" t="inlineStr">
        <is>
          <t>大将军转向</t>
        </is>
      </c>
      <c r="O646" s="14" t="inlineStr">
        <is>
          <t>是</t>
        </is>
      </c>
    </row>
    <row r="647">
      <c r="A647" s="14" t="inlineStr">
        <is>
          <t>2025-05-15</t>
        </is>
      </c>
      <c r="B647" s="14" t="inlineStr">
        <is>
          <t>2025-05-16</t>
        </is>
      </c>
      <c r="C647" s="14" t="inlineStr">
        <is>
          <t>苯乙烯</t>
        </is>
      </c>
      <c r="D647" s="14" t="inlineStr">
        <is>
          <t>EB</t>
        </is>
      </c>
      <c r="E647" s="14" t="inlineStr">
        <is>
          <t>多</t>
        </is>
      </c>
      <c r="F647" s="14" t="inlineStr">
        <is>
          <t>★★</t>
        </is>
      </c>
      <c r="G647" s="14" t="n">
        <v>3</v>
      </c>
      <c r="H647" s="15" t="n">
        <v>7748</v>
      </c>
      <c r="I647" s="15" t="n">
        <v>7661</v>
      </c>
      <c r="J647" s="14" t="n">
        <v>5</v>
      </c>
      <c r="K647" s="14" t="n">
        <v>10000</v>
      </c>
      <c r="L647" s="25">
        <f>IF(E647="多",1,-1)*(I647-H647)*G647*J647</f>
        <v/>
      </c>
      <c r="M647" s="26">
        <f>L647/K647</f>
        <v/>
      </c>
      <c r="N647" s="14" t="inlineStr">
        <is>
          <t>大将军转向</t>
        </is>
      </c>
      <c r="O647" s="14" t="inlineStr">
        <is>
          <t>是</t>
        </is>
      </c>
    </row>
    <row r="648">
      <c r="A648" s="14" t="inlineStr">
        <is>
          <t>2025-05-15</t>
        </is>
      </c>
      <c r="B648" s="14" t="inlineStr">
        <is>
          <t>2025-05-16</t>
        </is>
      </c>
      <c r="C648" s="14" t="inlineStr">
        <is>
          <t>沪铝</t>
        </is>
      </c>
      <c r="D648" s="14" t="inlineStr">
        <is>
          <t>AL</t>
        </is>
      </c>
      <c r="E648" s="14" t="inlineStr">
        <is>
          <t>多</t>
        </is>
      </c>
      <c r="F648" s="14" t="inlineStr">
        <is>
          <t>★★</t>
        </is>
      </c>
      <c r="G648" s="14" t="n">
        <v>2</v>
      </c>
      <c r="H648" s="15" t="n">
        <v>20150</v>
      </c>
      <c r="I648" s="15" t="n">
        <v>20130</v>
      </c>
      <c r="J648" s="14" t="n">
        <v>5</v>
      </c>
      <c r="K648" s="14" t="n">
        <v>10000</v>
      </c>
      <c r="L648" s="25">
        <f>IF(E648="多",1,-1)*(I648-H648)*G648*J648</f>
        <v/>
      </c>
      <c r="M648" s="26">
        <f>L648/K648</f>
        <v/>
      </c>
      <c r="N648" s="14" t="inlineStr">
        <is>
          <t>大将军转向</t>
        </is>
      </c>
      <c r="O648" s="14" t="inlineStr">
        <is>
          <t>是</t>
        </is>
      </c>
    </row>
    <row r="649">
      <c r="A649" s="2" t="inlineStr">
        <is>
          <t>2025-05-13</t>
        </is>
      </c>
      <c r="B649" s="2" t="inlineStr">
        <is>
          <t>2025-05-15</t>
        </is>
      </c>
      <c r="C649" s="2" t="inlineStr">
        <is>
          <t>碳酸锂</t>
        </is>
      </c>
      <c r="D649" s="2" t="inlineStr">
        <is>
          <t>LC</t>
        </is>
      </c>
      <c r="E649" s="9" t="inlineStr">
        <is>
          <t>空</t>
        </is>
      </c>
      <c r="F649" s="2" t="inlineStr">
        <is>
          <t>★★★</t>
        </is>
      </c>
      <c r="G649" s="10" t="n">
        <v>2</v>
      </c>
      <c r="H649" s="11" t="n">
        <v>63860</v>
      </c>
      <c r="I649" s="11" t="n">
        <v>64120</v>
      </c>
      <c r="J649" s="10" t="n">
        <v>1</v>
      </c>
      <c r="K649" s="10" t="n">
        <v>10000</v>
      </c>
      <c r="L649" s="23">
        <f>IF(E649="多",1,-1)*(I649-H649)*G649*J649</f>
        <v/>
      </c>
      <c r="M649" s="24">
        <f>L649/K649</f>
        <v/>
      </c>
      <c r="N649" s="2" t="inlineStr">
        <is>
          <t>将军撤退</t>
        </is>
      </c>
      <c r="O649" s="2" t="inlineStr">
        <is>
          <t>否</t>
        </is>
      </c>
    </row>
    <row r="650">
      <c r="A650" s="14" t="inlineStr">
        <is>
          <t>2025-05-07</t>
        </is>
      </c>
      <c r="B650" s="14" t="inlineStr">
        <is>
          <t>2025-05-15</t>
        </is>
      </c>
      <c r="C650" s="14" t="inlineStr">
        <is>
          <t>豆粕</t>
        </is>
      </c>
      <c r="D650" s="14" t="inlineStr">
        <is>
          <t>M</t>
        </is>
      </c>
      <c r="E650" s="14" t="inlineStr">
        <is>
          <t>空</t>
        </is>
      </c>
      <c r="F650" s="14" t="inlineStr">
        <is>
          <t>★★★</t>
        </is>
      </c>
      <c r="G650" s="14" t="n">
        <v>7</v>
      </c>
      <c r="H650" s="15" t="n">
        <v>2916</v>
      </c>
      <c r="I650" s="15" t="n">
        <v>2923</v>
      </c>
      <c r="J650" s="14" t="n">
        <v>10</v>
      </c>
      <c r="K650" s="14" t="n">
        <v>10000</v>
      </c>
      <c r="L650" s="25">
        <f>IF(E650="多",1,-1)*(I650-H650)*G650*J650</f>
        <v/>
      </c>
      <c r="M650" s="26">
        <f>L650/K650</f>
        <v/>
      </c>
      <c r="N650" s="14" t="inlineStr">
        <is>
          <t>大将军转向</t>
        </is>
      </c>
      <c r="O650" s="14" t="inlineStr">
        <is>
          <t>是</t>
        </is>
      </c>
    </row>
    <row r="651">
      <c r="A651" s="2" t="inlineStr">
        <is>
          <t>2025-05-13</t>
        </is>
      </c>
      <c r="B651" s="2" t="inlineStr">
        <is>
          <t>2025-05-14</t>
        </is>
      </c>
      <c r="C651" s="2" t="inlineStr">
        <is>
          <t>工业硅</t>
        </is>
      </c>
      <c r="D651" s="2" t="inlineStr">
        <is>
          <t>SI</t>
        </is>
      </c>
      <c r="E651" s="9" t="inlineStr">
        <is>
          <t>空</t>
        </is>
      </c>
      <c r="F651" s="2" t="inlineStr">
        <is>
          <t>★★★</t>
        </is>
      </c>
      <c r="G651" s="10" t="n">
        <v>9</v>
      </c>
      <c r="H651" s="11" t="n">
        <v>8305</v>
      </c>
      <c r="I651" s="11" t="n">
        <v>8490</v>
      </c>
      <c r="J651" s="10" t="n">
        <v>5</v>
      </c>
      <c r="K651" s="10" t="n">
        <v>30000</v>
      </c>
      <c r="L651" s="23">
        <f>IF(E651="多",1,-1)*(I651-H651)*G651*J651</f>
        <v/>
      </c>
      <c r="M651" s="24">
        <f>L651/K651</f>
        <v/>
      </c>
      <c r="N651" s="2" t="inlineStr">
        <is>
          <t>大将军转向</t>
        </is>
      </c>
      <c r="O651" s="2" t="inlineStr">
        <is>
          <t>否</t>
        </is>
      </c>
    </row>
    <row r="652">
      <c r="A652" s="2" t="inlineStr">
        <is>
          <t>2025-05-13</t>
        </is>
      </c>
      <c r="B652" s="2" t="inlineStr">
        <is>
          <t>2025-05-14</t>
        </is>
      </c>
      <c r="C652" s="2" t="inlineStr">
        <is>
          <t>玻璃</t>
        </is>
      </c>
      <c r="D652" s="2" t="inlineStr">
        <is>
          <t>FG</t>
        </is>
      </c>
      <c r="E652" s="9" t="inlineStr">
        <is>
          <t>空</t>
        </is>
      </c>
      <c r="F652" s="2" t="inlineStr">
        <is>
          <t>★★★</t>
        </is>
      </c>
      <c r="G652" s="10" t="n">
        <v>18</v>
      </c>
      <c r="H652" s="11" t="n">
        <v>1015</v>
      </c>
      <c r="I652" s="11" t="n">
        <v>1046</v>
      </c>
      <c r="J652" s="10" t="n">
        <v>20</v>
      </c>
      <c r="K652" s="10" t="n">
        <v>30000</v>
      </c>
      <c r="L652" s="23">
        <f>IF(E652="多",1,-1)*(I652-H652)*G652*J652</f>
        <v/>
      </c>
      <c r="M652" s="24">
        <f>L652/K652</f>
        <v/>
      </c>
      <c r="N652" s="2" t="inlineStr">
        <is>
          <t>将军撤退+大将军转向</t>
        </is>
      </c>
      <c r="O652" s="2" t="inlineStr">
        <is>
          <t>否</t>
        </is>
      </c>
    </row>
    <row r="653">
      <c r="A653" s="14" t="inlineStr">
        <is>
          <t>2025-05-12</t>
        </is>
      </c>
      <c r="B653" s="14" t="inlineStr">
        <is>
          <t>2025-05-14</t>
        </is>
      </c>
      <c r="C653" s="14" t="inlineStr">
        <is>
          <t>PTA</t>
        </is>
      </c>
      <c r="D653" s="14" t="inlineStr">
        <is>
          <t>TA</t>
        </is>
      </c>
      <c r="E653" s="14" t="inlineStr">
        <is>
          <t>多</t>
        </is>
      </c>
      <c r="F653" s="14" t="inlineStr">
        <is>
          <t>★★★</t>
        </is>
      </c>
      <c r="G653" s="14" t="n">
        <v>6</v>
      </c>
      <c r="H653" s="15" t="n">
        <v>4780</v>
      </c>
      <c r="I653" s="15" t="n">
        <v>4874</v>
      </c>
      <c r="J653" s="14" t="n">
        <v>5</v>
      </c>
      <c r="K653" s="14" t="n">
        <v>10000</v>
      </c>
      <c r="L653" s="25">
        <f>IF(E653="多",1,-1)*(I653-H653)*G653*J653</f>
        <v/>
      </c>
      <c r="M653" s="26">
        <f>L653/K653</f>
        <v/>
      </c>
      <c r="N653" s="14" t="inlineStr">
        <is>
          <t>将军撤退</t>
        </is>
      </c>
      <c r="O653" s="14" t="inlineStr">
        <is>
          <t>是</t>
        </is>
      </c>
    </row>
    <row r="654">
      <c r="A654" s="2" t="inlineStr">
        <is>
          <t>2025-05-08</t>
        </is>
      </c>
      <c r="B654" s="2" t="inlineStr">
        <is>
          <t>2025-05-12</t>
        </is>
      </c>
      <c r="C654" s="2" t="inlineStr">
        <is>
          <t>甲醇</t>
        </is>
      </c>
      <c r="D654" s="2" t="inlineStr">
        <is>
          <t>MA</t>
        </is>
      </c>
      <c r="E654" s="9" t="inlineStr">
        <is>
          <t>空</t>
        </is>
      </c>
      <c r="F654" s="2" t="inlineStr">
        <is>
          <t>★★★</t>
        </is>
      </c>
      <c r="G654" s="10" t="n">
        <v>26</v>
      </c>
      <c r="H654" s="11" t="n">
        <v>2216</v>
      </c>
      <c r="I654" s="11" t="n">
        <v>2270</v>
      </c>
      <c r="J654" s="10" t="n">
        <v>10</v>
      </c>
      <c r="K654" s="10" t="n">
        <v>30000</v>
      </c>
      <c r="L654" s="23">
        <f>IF(E654="多",1,-1)*(I654-H654)*G654*J654</f>
        <v/>
      </c>
      <c r="M654" s="24">
        <f>L654/K654</f>
        <v/>
      </c>
      <c r="N654" s="2" t="inlineStr">
        <is>
          <t>大将军转向</t>
        </is>
      </c>
      <c r="O654" s="2" t="inlineStr">
        <is>
          <t>否</t>
        </is>
      </c>
    </row>
    <row r="655">
      <c r="A655" s="2" t="inlineStr">
        <is>
          <t>2025-05-08</t>
        </is>
      </c>
      <c r="B655" s="2" t="inlineStr">
        <is>
          <t>2025-05-12</t>
        </is>
      </c>
      <c r="C655" s="2" t="inlineStr">
        <is>
          <t>玻璃</t>
        </is>
      </c>
      <c r="D655" s="2" t="inlineStr">
        <is>
          <t>FG</t>
        </is>
      </c>
      <c r="E655" s="9" t="inlineStr">
        <is>
          <t>空</t>
        </is>
      </c>
      <c r="F655" s="2" t="inlineStr">
        <is>
          <t>★★★</t>
        </is>
      </c>
      <c r="G655" s="10" t="n">
        <v>6</v>
      </c>
      <c r="H655" s="11" t="n">
        <v>1055</v>
      </c>
      <c r="I655" s="11" t="n">
        <v>1045</v>
      </c>
      <c r="J655" s="10" t="n">
        <v>20</v>
      </c>
      <c r="K655" s="10" t="n">
        <v>10000</v>
      </c>
      <c r="L655" s="23">
        <f>IF(E655="多",1,-1)*(I655-H655)*G655*J655</f>
        <v/>
      </c>
      <c r="M655" s="24">
        <f>L655/K655</f>
        <v/>
      </c>
      <c r="N655" s="2" t="inlineStr">
        <is>
          <t>将军撤退</t>
        </is>
      </c>
      <c r="O655" s="2" t="inlineStr">
        <is>
          <t>否</t>
        </is>
      </c>
    </row>
    <row r="656">
      <c r="A656" s="2" t="inlineStr">
        <is>
          <t>2025-05-06</t>
        </is>
      </c>
      <c r="B656" s="2" t="inlineStr">
        <is>
          <t>2025-05-12</t>
        </is>
      </c>
      <c r="C656" s="2" t="inlineStr">
        <is>
          <t>沪银</t>
        </is>
      </c>
      <c r="D656" s="2" t="inlineStr">
        <is>
          <t>AG</t>
        </is>
      </c>
      <c r="E656" s="19" t="inlineStr">
        <is>
          <t>多</t>
        </is>
      </c>
      <c r="F656" s="2" t="inlineStr">
        <is>
          <t>★★★</t>
        </is>
      </c>
      <c r="G656" s="10" t="n">
        <v>4</v>
      </c>
      <c r="H656" s="11" t="n">
        <v>8261</v>
      </c>
      <c r="I656" s="11" t="n">
        <v>8255</v>
      </c>
      <c r="J656" s="10" t="n">
        <v>15</v>
      </c>
      <c r="K656" s="10" t="n">
        <v>30000</v>
      </c>
      <c r="L656" s="23">
        <f>IF(E656="多",1,-1)*(I656-H656)*G656*J656</f>
        <v/>
      </c>
      <c r="M656" s="24">
        <f>L656/K656</f>
        <v/>
      </c>
      <c r="N656" s="2" t="inlineStr">
        <is>
          <t>将军撤退</t>
        </is>
      </c>
      <c r="O656" s="2" t="inlineStr">
        <is>
          <t>否</t>
        </is>
      </c>
    </row>
    <row r="657">
      <c r="A657" s="14" t="inlineStr">
        <is>
          <t>2025-04-21</t>
        </is>
      </c>
      <c r="B657" s="14" t="inlineStr">
        <is>
          <t>2025-05-09</t>
        </is>
      </c>
      <c r="C657" s="14" t="inlineStr">
        <is>
          <t>PTA</t>
        </is>
      </c>
      <c r="D657" s="14" t="inlineStr">
        <is>
          <t>TA</t>
        </is>
      </c>
      <c r="E657" s="14" t="inlineStr">
        <is>
          <t>多</t>
        </is>
      </c>
      <c r="F657" s="14" t="inlineStr">
        <is>
          <t>★★</t>
        </is>
      </c>
      <c r="G657" s="14" t="n">
        <v>4</v>
      </c>
      <c r="H657" s="15" t="n">
        <v>4330</v>
      </c>
      <c r="I657" s="15" t="n">
        <v>4582</v>
      </c>
      <c r="J657" s="14" t="n">
        <v>5</v>
      </c>
      <c r="K657" s="14" t="n">
        <v>10000</v>
      </c>
      <c r="L657" s="25">
        <f>IF(E657="多",1,-1)*(I657-H657)*G657*J657</f>
        <v/>
      </c>
      <c r="M657" s="26">
        <f>L657/K657</f>
        <v/>
      </c>
      <c r="N657" s="14" t="inlineStr">
        <is>
          <t>将军撤退</t>
        </is>
      </c>
      <c r="O657" s="14" t="inlineStr">
        <is>
          <t>是</t>
        </is>
      </c>
    </row>
    <row r="658">
      <c r="A658" s="14" t="inlineStr">
        <is>
          <t>2025-05-07</t>
        </is>
      </c>
      <c r="B658" s="14" t="inlineStr">
        <is>
          <t>2025-05-08</t>
        </is>
      </c>
      <c r="C658" s="14" t="inlineStr">
        <is>
          <t>硅铁</t>
        </is>
      </c>
      <c r="D658" s="14" t="inlineStr">
        <is>
          <t>SF</t>
        </is>
      </c>
      <c r="E658" s="14" t="inlineStr">
        <is>
          <t>空</t>
        </is>
      </c>
      <c r="F658" s="14" t="inlineStr">
        <is>
          <t>★★</t>
        </is>
      </c>
      <c r="G658" s="14" t="n">
        <v>7</v>
      </c>
      <c r="H658" s="15" t="n">
        <v>5480</v>
      </c>
      <c r="I658" s="15" t="n">
        <v>5534</v>
      </c>
      <c r="J658" s="14" t="n">
        <v>5</v>
      </c>
      <c r="K658" s="14" t="n">
        <v>10000</v>
      </c>
      <c r="L658" s="25">
        <f>IF(E658="多",1,-1)*(I658-H658)*G658*J658</f>
        <v/>
      </c>
      <c r="M658" s="26">
        <f>L658/K658</f>
        <v/>
      </c>
      <c r="N658" s="14" t="inlineStr">
        <is>
          <t>大将军转向</t>
        </is>
      </c>
      <c r="O658" s="14" t="inlineStr">
        <is>
          <t>是</t>
        </is>
      </c>
    </row>
    <row r="659">
      <c r="A659" s="14" t="inlineStr">
        <is>
          <t>2025-05-07</t>
        </is>
      </c>
      <c r="B659" s="14" t="inlineStr">
        <is>
          <t>2025-05-08</t>
        </is>
      </c>
      <c r="C659" s="14" t="inlineStr">
        <is>
          <t>塑料</t>
        </is>
      </c>
      <c r="D659" s="14" t="inlineStr">
        <is>
          <t>L</t>
        </is>
      </c>
      <c r="E659" s="14" t="inlineStr">
        <is>
          <t>空</t>
        </is>
      </c>
      <c r="F659" s="14" t="inlineStr">
        <is>
          <t>★★</t>
        </is>
      </c>
      <c r="G659" s="14" t="n">
        <v>8</v>
      </c>
      <c r="H659" s="15" t="n">
        <v>7032</v>
      </c>
      <c r="I659" s="15" t="n">
        <v>7016</v>
      </c>
      <c r="J659" s="14" t="n">
        <v>5</v>
      </c>
      <c r="K659" s="14" t="n">
        <v>10000</v>
      </c>
      <c r="L659" s="25">
        <f>IF(E659="多",1,-1)*(I659-H659)*G659*J659</f>
        <v/>
      </c>
      <c r="M659" s="26">
        <f>L659/K659</f>
        <v/>
      </c>
      <c r="N659" s="14" t="inlineStr">
        <is>
          <t>将军撤退</t>
        </is>
      </c>
      <c r="O659" s="14" t="inlineStr">
        <is>
          <t>是</t>
        </is>
      </c>
    </row>
    <row r="660">
      <c r="A660" s="2" t="inlineStr">
        <is>
          <t>2025-04-30</t>
        </is>
      </c>
      <c r="B660" s="2" t="inlineStr">
        <is>
          <t>2025-05-08</t>
        </is>
      </c>
      <c r="C660" s="2" t="inlineStr">
        <is>
          <t>沪镍</t>
        </is>
      </c>
      <c r="D660" s="2" t="inlineStr">
        <is>
          <t>NI</t>
        </is>
      </c>
      <c r="E660" s="9" t="inlineStr">
        <is>
          <t>空</t>
        </is>
      </c>
      <c r="F660" s="2" t="inlineStr">
        <is>
          <t>★★★</t>
        </is>
      </c>
      <c r="G660" s="10" t="n">
        <v>5</v>
      </c>
      <c r="H660" s="11" t="n">
        <v>123570</v>
      </c>
      <c r="I660" s="11" t="n">
        <v>123630</v>
      </c>
      <c r="J660" s="10" t="n">
        <v>1</v>
      </c>
      <c r="K660" s="10" t="n">
        <v>30000</v>
      </c>
      <c r="L660" s="23">
        <f>IF(E660="多",1,-1)*(I660-H660)*G660*J660</f>
        <v/>
      </c>
      <c r="M660" s="24">
        <f>L660/K660</f>
        <v/>
      </c>
      <c r="N660" s="2" t="inlineStr">
        <is>
          <t>将军撤退</t>
        </is>
      </c>
      <c r="O660" s="2" t="inlineStr">
        <is>
          <t>否</t>
        </is>
      </c>
    </row>
    <row r="661">
      <c r="A661" s="2" t="inlineStr">
        <is>
          <t>2025-04-30</t>
        </is>
      </c>
      <c r="B661" s="2" t="inlineStr">
        <is>
          <t>2025-05-08</t>
        </is>
      </c>
      <c r="C661" s="2" t="inlineStr">
        <is>
          <t>铁矿石</t>
        </is>
      </c>
      <c r="D661" s="2" t="inlineStr">
        <is>
          <t>I</t>
        </is>
      </c>
      <c r="E661" s="9" t="inlineStr">
        <is>
          <t>空</t>
        </is>
      </c>
      <c r="F661" s="2" t="inlineStr">
        <is>
          <t>★★★</t>
        </is>
      </c>
      <c r="G661" s="10" t="n">
        <v>2</v>
      </c>
      <c r="H661" s="11" t="n">
        <v>704</v>
      </c>
      <c r="I661" s="11" t="n">
        <v>693.5</v>
      </c>
      <c r="J661" s="10" t="n">
        <v>100</v>
      </c>
      <c r="K661" s="10" t="n">
        <v>10000</v>
      </c>
      <c r="L661" s="23">
        <f>IF(E661="多",1,-1)*(I661-H661)*G661*J661</f>
        <v/>
      </c>
      <c r="M661" s="24">
        <f>L661/K661</f>
        <v/>
      </c>
      <c r="N661" s="2" t="inlineStr">
        <is>
          <t>将军撤退</t>
        </is>
      </c>
      <c r="O661" s="2" t="inlineStr">
        <is>
          <t>否</t>
        </is>
      </c>
    </row>
    <row r="662">
      <c r="A662" s="2" t="inlineStr">
        <is>
          <t>2025-04-25</t>
        </is>
      </c>
      <c r="B662" s="2" t="inlineStr">
        <is>
          <t>2025-05-06</t>
        </is>
      </c>
      <c r="C662" s="2" t="inlineStr">
        <is>
          <t>玻璃</t>
        </is>
      </c>
      <c r="D662" s="2" t="inlineStr">
        <is>
          <t>FG</t>
        </is>
      </c>
      <c r="E662" s="9" t="inlineStr">
        <is>
          <t>空</t>
        </is>
      </c>
      <c r="F662" s="2" t="inlineStr">
        <is>
          <t>★★★</t>
        </is>
      </c>
      <c r="G662" s="10" t="n">
        <v>14</v>
      </c>
      <c r="H662" s="11" t="n">
        <v>1118</v>
      </c>
      <c r="I662" s="11" t="n">
        <v>1071</v>
      </c>
      <c r="J662" s="10" t="n">
        <v>20</v>
      </c>
      <c r="K662" s="10" t="n">
        <v>30000</v>
      </c>
      <c r="L662" s="23">
        <f>IF(E662="多",1,-1)*(I662-H662)*G662*J662</f>
        <v/>
      </c>
      <c r="M662" s="24">
        <f>L662/K662</f>
        <v/>
      </c>
      <c r="N662" s="2" t="inlineStr">
        <is>
          <t>大将军转向</t>
        </is>
      </c>
      <c r="O662" s="2" t="inlineStr">
        <is>
          <t>否</t>
        </is>
      </c>
    </row>
    <row r="663">
      <c r="A663" s="14" t="inlineStr">
        <is>
          <t>2025-04-15</t>
        </is>
      </c>
      <c r="B663" s="14" t="inlineStr">
        <is>
          <t>2025-05-06</t>
        </is>
      </c>
      <c r="C663" s="14" t="inlineStr">
        <is>
          <t>燃料油</t>
        </is>
      </c>
      <c r="D663" s="14" t="inlineStr">
        <is>
          <t>FU</t>
        </is>
      </c>
      <c r="E663" s="14" t="inlineStr">
        <is>
          <t>多</t>
        </is>
      </c>
      <c r="F663" s="14" t="inlineStr">
        <is>
          <t>★★</t>
        </is>
      </c>
      <c r="G663" s="14" t="n">
        <v>3</v>
      </c>
      <c r="H663" s="15" t="n">
        <v>2918</v>
      </c>
      <c r="I663" s="15" t="n">
        <v>2824</v>
      </c>
      <c r="J663" s="14" t="n">
        <v>10</v>
      </c>
      <c r="K663" s="14" t="n">
        <v>10000</v>
      </c>
      <c r="L663" s="25">
        <f>IF(E663="多",1,-1)*(I663-H663)*G663*J663</f>
        <v/>
      </c>
      <c r="M663" s="26">
        <f>L663/K663</f>
        <v/>
      </c>
      <c r="N663" s="14" t="inlineStr">
        <is>
          <t>跳空止损</t>
        </is>
      </c>
      <c r="O663" s="14" t="inlineStr">
        <is>
          <t>是</t>
        </is>
      </c>
    </row>
    <row r="664">
      <c r="A664" s="14" t="inlineStr">
        <is>
          <t>2025-04-29</t>
        </is>
      </c>
      <c r="B664" s="14" t="inlineStr">
        <is>
          <t>2025-04-30</t>
        </is>
      </c>
      <c r="C664" s="14" t="inlineStr">
        <is>
          <t>纯碱</t>
        </is>
      </c>
      <c r="D664" s="14" t="inlineStr">
        <is>
          <t>SA</t>
        </is>
      </c>
      <c r="E664" s="14" t="inlineStr">
        <is>
          <t>多</t>
        </is>
      </c>
      <c r="F664" s="14" t="inlineStr">
        <is>
          <t>★★</t>
        </is>
      </c>
      <c r="G664" s="14" t="n">
        <v>5</v>
      </c>
      <c r="H664" s="15" t="n">
        <v>1375</v>
      </c>
      <c r="I664" s="15" t="n">
        <v>1352</v>
      </c>
      <c r="J664" s="14" t="n">
        <v>20</v>
      </c>
      <c r="K664" s="14" t="n">
        <v>10000</v>
      </c>
      <c r="L664" s="25">
        <f>IF(E664="多",1,-1)*(I664-H664)*G664*J664</f>
        <v/>
      </c>
      <c r="M664" s="26">
        <f>L664/K664</f>
        <v/>
      </c>
      <c r="N664" s="14" t="inlineStr">
        <is>
          <t>大将军转向</t>
        </is>
      </c>
      <c r="O664" s="14" t="inlineStr">
        <is>
          <t>是</t>
        </is>
      </c>
    </row>
    <row r="665">
      <c r="A665" s="2" t="inlineStr">
        <is>
          <t>2025-04-25</t>
        </is>
      </c>
      <c r="B665" s="2" t="inlineStr">
        <is>
          <t>2025-04-30</t>
        </is>
      </c>
      <c r="C665" s="2" t="inlineStr">
        <is>
          <t>锰硅</t>
        </is>
      </c>
      <c r="D665" s="2" t="inlineStr">
        <is>
          <t>SM</t>
        </is>
      </c>
      <c r="E665" s="9" t="inlineStr">
        <is>
          <t>空</t>
        </is>
      </c>
      <c r="F665" s="2" t="inlineStr">
        <is>
          <t>★★★</t>
        </is>
      </c>
      <c r="G665" s="10" t="n">
        <v>22</v>
      </c>
      <c r="H665" s="11" t="n">
        <v>5806</v>
      </c>
      <c r="I665" s="11" t="n">
        <v>5752</v>
      </c>
      <c r="J665" s="10" t="n">
        <v>5</v>
      </c>
      <c r="K665" s="10" t="n">
        <v>30000</v>
      </c>
      <c r="L665" s="23">
        <f>IF(E665="多",1,-1)*(I665-H665)*G665*J665</f>
        <v/>
      </c>
      <c r="M665" s="24">
        <f>L665/K665</f>
        <v/>
      </c>
      <c r="N665" s="2" t="inlineStr">
        <is>
          <t>将军撤退</t>
        </is>
      </c>
      <c r="O665" s="2" t="inlineStr">
        <is>
          <t>否</t>
        </is>
      </c>
    </row>
    <row r="666">
      <c r="A666" s="14" t="inlineStr">
        <is>
          <t>2025-04-23</t>
        </is>
      </c>
      <c r="B666" s="14" t="inlineStr">
        <is>
          <t>2025-04-30</t>
        </is>
      </c>
      <c r="C666" s="14" t="inlineStr">
        <is>
          <t>碳酸锂</t>
        </is>
      </c>
      <c r="D666" s="14" t="inlineStr">
        <is>
          <t>LC</t>
        </is>
      </c>
      <c r="E666" s="14" t="inlineStr">
        <is>
          <t>空</t>
        </is>
      </c>
      <c r="F666" s="14" t="inlineStr">
        <is>
          <t>★★★</t>
        </is>
      </c>
      <c r="G666" s="14" t="n">
        <v>2</v>
      </c>
      <c r="H666" s="15" t="n">
        <v>68800</v>
      </c>
      <c r="I666" s="15" t="n">
        <v>65960</v>
      </c>
      <c r="J666" s="14" t="n">
        <v>1</v>
      </c>
      <c r="K666" s="14" t="n">
        <v>10000</v>
      </c>
      <c r="L666" s="25">
        <f>IF(E666="多",1,-1)*(I666-H666)*G666*J666</f>
        <v/>
      </c>
      <c r="M666" s="26">
        <f>L666/K666</f>
        <v/>
      </c>
      <c r="N666" s="14" t="inlineStr">
        <is>
          <t>大将军转向</t>
        </is>
      </c>
      <c r="O666" s="14" t="inlineStr">
        <is>
          <t>是</t>
        </is>
      </c>
    </row>
    <row r="667">
      <c r="A667" s="2" t="inlineStr">
        <is>
          <t>2025-04-09</t>
        </is>
      </c>
      <c r="B667" s="2" t="inlineStr">
        <is>
          <t>2025-04-30</t>
        </is>
      </c>
      <c r="C667" s="2" t="inlineStr">
        <is>
          <t>棉花</t>
        </is>
      </c>
      <c r="D667" s="2" t="inlineStr">
        <is>
          <t>CF</t>
        </is>
      </c>
      <c r="E667" s="9" t="inlineStr">
        <is>
          <t>空</t>
        </is>
      </c>
      <c r="F667" s="2" t="inlineStr">
        <is>
          <t>★★★</t>
        </is>
      </c>
      <c r="G667" s="10" t="n">
        <v>10</v>
      </c>
      <c r="H667" s="11" t="n">
        <v>12665</v>
      </c>
      <c r="I667" s="11" t="n">
        <v>12750</v>
      </c>
      <c r="J667" s="10" t="n">
        <v>5</v>
      </c>
      <c r="K667" s="10" t="n">
        <v>30000</v>
      </c>
      <c r="L667" s="23">
        <f>IF(E667="多",1,-1)*(I667-H667)*G667*J667</f>
        <v/>
      </c>
      <c r="M667" s="24">
        <f>L667/K667</f>
        <v/>
      </c>
      <c r="N667" s="2" t="inlineStr">
        <is>
          <t>大将军转向</t>
        </is>
      </c>
      <c r="O667" s="2" t="inlineStr">
        <is>
          <t>否</t>
        </is>
      </c>
    </row>
    <row r="668">
      <c r="A668" s="14" t="inlineStr">
        <is>
          <t>2025-03-27</t>
        </is>
      </c>
      <c r="B668" s="14" t="inlineStr">
        <is>
          <t>2025-04-30</t>
        </is>
      </c>
      <c r="C668" s="14" t="inlineStr">
        <is>
          <t>白糖</t>
        </is>
      </c>
      <c r="D668" s="14" t="inlineStr">
        <is>
          <t>SR</t>
        </is>
      </c>
      <c r="E668" s="14" t="inlineStr">
        <is>
          <t>空</t>
        </is>
      </c>
      <c r="F668" s="14" t="inlineStr">
        <is>
          <t>★★</t>
        </is>
      </c>
      <c r="G668" s="14" t="n">
        <v>6</v>
      </c>
      <c r="H668" s="15" t="n">
        <v>5944</v>
      </c>
      <c r="I668" s="15" t="n">
        <v>5887</v>
      </c>
      <c r="J668" s="14" t="n">
        <v>10</v>
      </c>
      <c r="K668" s="14" t="n">
        <v>10000</v>
      </c>
      <c r="L668" s="25">
        <f>IF(E668="多",1,-1)*(I668-H668)*G668*J668</f>
        <v/>
      </c>
      <c r="M668" s="26">
        <f>L668/K668</f>
        <v/>
      </c>
      <c r="N668" s="14" t="inlineStr">
        <is>
          <t>将军撤退+大将军转向</t>
        </is>
      </c>
      <c r="O668" s="14" t="inlineStr">
        <is>
          <t>是</t>
        </is>
      </c>
    </row>
    <row r="669">
      <c r="A669" s="14" t="inlineStr">
        <is>
          <t>2025-04-25</t>
        </is>
      </c>
      <c r="B669" s="14" t="inlineStr">
        <is>
          <t>2025-04-29</t>
        </is>
      </c>
      <c r="C669" s="14" t="inlineStr">
        <is>
          <t>沪铝</t>
        </is>
      </c>
      <c r="D669" s="14" t="inlineStr">
        <is>
          <t>AL</t>
        </is>
      </c>
      <c r="E669" s="14" t="inlineStr">
        <is>
          <t>多</t>
        </is>
      </c>
      <c r="F669" s="14" t="inlineStr">
        <is>
          <t>★★</t>
        </is>
      </c>
      <c r="G669" s="14" t="n">
        <v>2</v>
      </c>
      <c r="H669" s="15" t="n">
        <v>19950</v>
      </c>
      <c r="I669" s="15" t="n">
        <v>19930</v>
      </c>
      <c r="J669" s="14" t="n">
        <v>5</v>
      </c>
      <c r="K669" s="14" t="n">
        <v>10000</v>
      </c>
      <c r="L669" s="25">
        <f>IF(E669="多",1,-1)*(I669-H669)*G669*J669</f>
        <v/>
      </c>
      <c r="M669" s="26">
        <f>L669/K669</f>
        <v/>
      </c>
      <c r="N669" s="14" t="inlineStr">
        <is>
          <t>将军撤退</t>
        </is>
      </c>
      <c r="O669" s="14" t="inlineStr">
        <is>
          <t>是</t>
        </is>
      </c>
    </row>
    <row r="670">
      <c r="A670" s="2" t="inlineStr">
        <is>
          <t>2025-03-27</t>
        </is>
      </c>
      <c r="B670" s="2" t="inlineStr">
        <is>
          <t>2025-04-29</t>
        </is>
      </c>
      <c r="C670" s="2" t="inlineStr">
        <is>
          <t>纯碱</t>
        </is>
      </c>
      <c r="D670" s="2" t="inlineStr">
        <is>
          <t>SA</t>
        </is>
      </c>
      <c r="E670" s="9" t="inlineStr">
        <is>
          <t>空</t>
        </is>
      </c>
      <c r="F670" s="2" t="inlineStr">
        <is>
          <t>★★★</t>
        </is>
      </c>
      <c r="G670" s="10" t="n">
        <v>5</v>
      </c>
      <c r="H670" s="11" t="n">
        <v>1459</v>
      </c>
      <c r="I670" s="11" t="n">
        <v>1376</v>
      </c>
      <c r="J670" s="10" t="n">
        <v>20</v>
      </c>
      <c r="K670" s="10" t="n">
        <v>10000</v>
      </c>
      <c r="L670" s="23">
        <f>IF(E670="多",1,-1)*(I670-H670)*G670*J670</f>
        <v/>
      </c>
      <c r="M670" s="24">
        <f>L670/K670</f>
        <v/>
      </c>
      <c r="N670" s="2" t="inlineStr">
        <is>
          <t>反向信号</t>
        </is>
      </c>
      <c r="O670" s="2" t="inlineStr">
        <is>
          <t>否</t>
        </is>
      </c>
    </row>
    <row r="671">
      <c r="A671" s="14" t="inlineStr">
        <is>
          <t>2025-04-25</t>
        </is>
      </c>
      <c r="B671" s="14" t="inlineStr">
        <is>
          <t>2025-04-28</t>
        </is>
      </c>
      <c r="C671" s="14" t="inlineStr">
        <is>
          <t>螺纹钢</t>
        </is>
      </c>
      <c r="D671" s="14" t="inlineStr">
        <is>
          <t>RB</t>
        </is>
      </c>
      <c r="E671" s="14" t="inlineStr">
        <is>
          <t>空</t>
        </is>
      </c>
      <c r="F671" s="14" t="inlineStr">
        <is>
          <t>★★</t>
        </is>
      </c>
      <c r="G671" s="14" t="n">
        <v>6</v>
      </c>
      <c r="H671" s="15" t="n">
        <v>3106</v>
      </c>
      <c r="I671" s="15" t="n">
        <v>3129</v>
      </c>
      <c r="J671" s="14" t="n">
        <v>10</v>
      </c>
      <c r="K671" s="14" t="n">
        <v>10000</v>
      </c>
      <c r="L671" s="25">
        <f>IF(E671="多",1,-1)*(I671-H671)*G671*J671</f>
        <v/>
      </c>
      <c r="M671" s="26">
        <f>L671/K671</f>
        <v/>
      </c>
      <c r="N671" s="14" t="inlineStr">
        <is>
          <t>将军撤退</t>
        </is>
      </c>
      <c r="O671" s="14" t="inlineStr">
        <is>
          <t>是</t>
        </is>
      </c>
    </row>
    <row r="672">
      <c r="A672" s="2" t="inlineStr">
        <is>
          <t>2025-04-22</t>
        </is>
      </c>
      <c r="B672" s="2" t="inlineStr">
        <is>
          <t>2025-04-25</t>
        </is>
      </c>
      <c r="C672" s="2" t="inlineStr">
        <is>
          <t>PVC</t>
        </is>
      </c>
      <c r="D672" s="2" t="inlineStr">
        <is>
          <t>V</t>
        </is>
      </c>
      <c r="E672" s="9" t="inlineStr">
        <is>
          <t>空</t>
        </is>
      </c>
      <c r="F672" s="2" t="inlineStr">
        <is>
          <t>★★★</t>
        </is>
      </c>
      <c r="G672" s="10" t="n">
        <v>21</v>
      </c>
      <c r="H672" s="11" t="n">
        <v>4935</v>
      </c>
      <c r="I672" s="11" t="n">
        <v>4961</v>
      </c>
      <c r="J672" s="10" t="n">
        <v>5</v>
      </c>
      <c r="K672" s="10" t="n">
        <v>30000</v>
      </c>
      <c r="L672" s="23">
        <f>IF(E672="多",1,-1)*(I672-H672)*G672*J672</f>
        <v/>
      </c>
      <c r="M672" s="24">
        <f>L672/K672</f>
        <v/>
      </c>
      <c r="N672" s="2" t="inlineStr">
        <is>
          <t>将军撤退</t>
        </is>
      </c>
      <c r="O672" s="2" t="inlineStr">
        <is>
          <t>否</t>
        </is>
      </c>
    </row>
    <row r="673">
      <c r="A673" s="14" t="inlineStr">
        <is>
          <t>2025-04-10</t>
        </is>
      </c>
      <c r="B673" s="14" t="inlineStr">
        <is>
          <t>2025-04-25</t>
        </is>
      </c>
      <c r="C673" s="14" t="inlineStr">
        <is>
          <t>豆油</t>
        </is>
      </c>
      <c r="D673" s="14" t="inlineStr">
        <is>
          <t>Y</t>
        </is>
      </c>
      <c r="E673" s="14" t="inlineStr">
        <is>
          <t>空</t>
        </is>
      </c>
      <c r="F673" s="14" t="inlineStr">
        <is>
          <t>★★</t>
        </is>
      </c>
      <c r="G673" s="14" t="n">
        <v>2</v>
      </c>
      <c r="H673" s="15" t="n">
        <v>7622</v>
      </c>
      <c r="I673" s="15" t="n">
        <v>7936.71</v>
      </c>
      <c r="J673" s="14" t="n">
        <v>10</v>
      </c>
      <c r="K673" s="14" t="n">
        <v>10000</v>
      </c>
      <c r="L673" s="25">
        <f>IF(E673="多",1,-1)*(I673-H673)*G673*J673</f>
        <v/>
      </c>
      <c r="M673" s="26">
        <f>L673/K673</f>
        <v/>
      </c>
      <c r="N673" s="14" t="inlineStr">
        <is>
          <t>止损</t>
        </is>
      </c>
      <c r="O673" s="14" t="inlineStr">
        <is>
          <t>是</t>
        </is>
      </c>
    </row>
    <row r="674">
      <c r="A674" s="14" t="inlineStr">
        <is>
          <t>2025-04-21</t>
        </is>
      </c>
      <c r="B674" s="14" t="inlineStr">
        <is>
          <t>2025-04-24</t>
        </is>
      </c>
      <c r="C674" s="14" t="inlineStr">
        <is>
          <t>苯乙烯</t>
        </is>
      </c>
      <c r="D674" s="14" t="inlineStr">
        <is>
          <t>EB</t>
        </is>
      </c>
      <c r="E674" s="14" t="inlineStr">
        <is>
          <t>多</t>
        </is>
      </c>
      <c r="F674" s="14" t="inlineStr">
        <is>
          <t>★★</t>
        </is>
      </c>
      <c r="G674" s="14" t="n">
        <v>2</v>
      </c>
      <c r="H674" s="15" t="n">
        <v>7294</v>
      </c>
      <c r="I674" s="15" t="n">
        <v>7248</v>
      </c>
      <c r="J674" s="14" t="n">
        <v>5</v>
      </c>
      <c r="K674" s="14" t="n">
        <v>10000</v>
      </c>
      <c r="L674" s="25">
        <f>IF(E674="多",1,-1)*(I674-H674)*G674*J674</f>
        <v/>
      </c>
      <c r="M674" s="26">
        <f>L674/K674</f>
        <v/>
      </c>
      <c r="N674" s="14" t="inlineStr">
        <is>
          <t>将军撤退+大将军转向</t>
        </is>
      </c>
      <c r="O674" s="14" t="inlineStr">
        <is>
          <t>是</t>
        </is>
      </c>
    </row>
    <row r="675">
      <c r="A675" s="2" t="inlineStr">
        <is>
          <t>2025-04-22</t>
        </is>
      </c>
      <c r="B675" s="2" t="inlineStr">
        <is>
          <t>2025-04-23</t>
        </is>
      </c>
      <c r="C675" s="2" t="inlineStr">
        <is>
          <t>螺纹钢</t>
        </is>
      </c>
      <c r="D675" s="2" t="inlineStr">
        <is>
          <t>RB</t>
        </is>
      </c>
      <c r="E675" s="9" t="inlineStr">
        <is>
          <t>空</t>
        </is>
      </c>
      <c r="F675" s="2" t="inlineStr">
        <is>
          <t>★★★</t>
        </is>
      </c>
      <c r="G675" s="10" t="n">
        <v>18</v>
      </c>
      <c r="H675" s="11" t="n">
        <v>3080</v>
      </c>
      <c r="I675" s="11" t="n">
        <v>3137</v>
      </c>
      <c r="J675" s="10" t="n">
        <v>10</v>
      </c>
      <c r="K675" s="10" t="n">
        <v>30000</v>
      </c>
      <c r="L675" s="23">
        <f>IF(E675="多",1,-1)*(I675-H675)*G675*J675</f>
        <v/>
      </c>
      <c r="M675" s="24">
        <f>L675/K675</f>
        <v/>
      </c>
      <c r="N675" s="2" t="inlineStr">
        <is>
          <t>将军撤退+大将军转向</t>
        </is>
      </c>
      <c r="O675" s="2" t="inlineStr">
        <is>
          <t>否</t>
        </is>
      </c>
    </row>
    <row r="676">
      <c r="A676" s="14" t="inlineStr">
        <is>
          <t>2025-04-18</t>
        </is>
      </c>
      <c r="B676" s="14" t="inlineStr">
        <is>
          <t>2025-04-22</t>
        </is>
      </c>
      <c r="C676" s="14" t="inlineStr">
        <is>
          <t>锰硅</t>
        </is>
      </c>
      <c r="D676" s="14" t="inlineStr">
        <is>
          <t>SM</t>
        </is>
      </c>
      <c r="E676" s="14" t="inlineStr">
        <is>
          <t>空</t>
        </is>
      </c>
      <c r="F676" s="14" t="inlineStr">
        <is>
          <t>★★</t>
        </is>
      </c>
      <c r="G676" s="14" t="n">
        <v>6</v>
      </c>
      <c r="H676" s="15" t="n">
        <v>5910</v>
      </c>
      <c r="I676" s="15" t="n">
        <v>5810</v>
      </c>
      <c r="J676" s="14" t="n">
        <v>5</v>
      </c>
      <c r="K676" s="14" t="n">
        <v>10000</v>
      </c>
      <c r="L676" s="25">
        <f>IF(E676="多",1,-1)*(I676-H676)*G676*J676</f>
        <v/>
      </c>
      <c r="M676" s="26">
        <f>L676/K676</f>
        <v/>
      </c>
      <c r="N676" s="14" t="inlineStr">
        <is>
          <t>大将军转向</t>
        </is>
      </c>
      <c r="O676" s="14" t="inlineStr">
        <is>
          <t>是</t>
        </is>
      </c>
    </row>
    <row r="677">
      <c r="A677" s="2" t="inlineStr">
        <is>
          <t>2025-04-18</t>
        </is>
      </c>
      <c r="B677" s="2" t="inlineStr">
        <is>
          <t>2025-04-22</t>
        </is>
      </c>
      <c r="C677" s="2" t="inlineStr">
        <is>
          <t>碳酸锂</t>
        </is>
      </c>
      <c r="D677" s="2" t="inlineStr">
        <is>
          <t>LC</t>
        </is>
      </c>
      <c r="E677" s="9" t="inlineStr">
        <is>
          <t>空</t>
        </is>
      </c>
      <c r="F677" s="2" t="inlineStr">
        <is>
          <t>★★★</t>
        </is>
      </c>
      <c r="G677" s="10" t="n">
        <v>8</v>
      </c>
      <c r="H677" s="11" t="n">
        <v>70240</v>
      </c>
      <c r="I677" s="11" t="n">
        <v>67840</v>
      </c>
      <c r="J677" s="10" t="n">
        <v>1</v>
      </c>
      <c r="K677" s="10" t="n">
        <v>30000</v>
      </c>
      <c r="L677" s="23">
        <f>IF(E677="多",1,-1)*(I677-H677)*G677*J677</f>
        <v/>
      </c>
      <c r="M677" s="24">
        <f>L677/K677</f>
        <v/>
      </c>
      <c r="N677" s="2" t="inlineStr">
        <is>
          <t>大将军转向</t>
        </is>
      </c>
      <c r="O677" s="2" t="inlineStr">
        <is>
          <t>否</t>
        </is>
      </c>
    </row>
    <row r="678">
      <c r="A678" s="2" t="inlineStr">
        <is>
          <t>2025-04-17</t>
        </is>
      </c>
      <c r="B678" s="2" t="inlineStr">
        <is>
          <t>2025-04-22</t>
        </is>
      </c>
      <c r="C678" s="2" t="inlineStr">
        <is>
          <t>硅铁</t>
        </is>
      </c>
      <c r="D678" s="2" t="inlineStr">
        <is>
          <t>SF</t>
        </is>
      </c>
      <c r="E678" s="9" t="inlineStr">
        <is>
          <t>空</t>
        </is>
      </c>
      <c r="F678" s="2" t="inlineStr">
        <is>
          <t>★★★</t>
        </is>
      </c>
      <c r="G678" s="10" t="n">
        <v>20</v>
      </c>
      <c r="H678" s="11" t="n">
        <v>5648</v>
      </c>
      <c r="I678" s="11" t="n">
        <v>5666</v>
      </c>
      <c r="J678" s="10" t="n">
        <v>5</v>
      </c>
      <c r="K678" s="10" t="n">
        <v>30000</v>
      </c>
      <c r="L678" s="23">
        <f>IF(E678="多",1,-1)*(I678-H678)*G678*J678</f>
        <v/>
      </c>
      <c r="M678" s="24">
        <f>L678/K678</f>
        <v/>
      </c>
      <c r="N678" s="2" t="inlineStr">
        <is>
          <t>大将军转向</t>
        </is>
      </c>
      <c r="O678" s="2" t="inlineStr">
        <is>
          <t>否</t>
        </is>
      </c>
    </row>
    <row r="679">
      <c r="A679" s="14" t="inlineStr">
        <is>
          <t>2025-04-17</t>
        </is>
      </c>
      <c r="B679" s="14" t="inlineStr">
        <is>
          <t>2025-04-21</t>
        </is>
      </c>
      <c r="C679" s="14" t="inlineStr">
        <is>
          <t>螺纹钢</t>
        </is>
      </c>
      <c r="D679" s="14" t="inlineStr">
        <is>
          <t>RB</t>
        </is>
      </c>
      <c r="E679" s="14" t="inlineStr">
        <is>
          <t>空</t>
        </is>
      </c>
      <c r="F679" s="14" t="inlineStr">
        <is>
          <t>★★★</t>
        </is>
      </c>
      <c r="G679" s="14" t="n">
        <v>6</v>
      </c>
      <c r="H679" s="15" t="n">
        <v>3091</v>
      </c>
      <c r="I679" s="15" t="n">
        <v>3113</v>
      </c>
      <c r="J679" s="14" t="n">
        <v>10</v>
      </c>
      <c r="K679" s="14" t="n">
        <v>10000</v>
      </c>
      <c r="L679" s="25">
        <f>IF(E679="多",1,-1)*(I679-H679)*G679*J679</f>
        <v/>
      </c>
      <c r="M679" s="26">
        <f>L679/K679</f>
        <v/>
      </c>
      <c r="N679" s="14" t="inlineStr">
        <is>
          <t>将军撤退</t>
        </is>
      </c>
      <c r="O679" s="14" t="inlineStr">
        <is>
          <t>是</t>
        </is>
      </c>
    </row>
    <row r="680">
      <c r="A680" s="14" t="inlineStr">
        <is>
          <t>2025-04-10</t>
        </is>
      </c>
      <c r="B680" s="14" t="inlineStr">
        <is>
          <t>2025-04-21</t>
        </is>
      </c>
      <c r="C680" s="14" t="inlineStr">
        <is>
          <t>沪银</t>
        </is>
      </c>
      <c r="D680" s="14" t="inlineStr">
        <is>
          <t>AG</t>
        </is>
      </c>
      <c r="E680" s="14" t="inlineStr">
        <is>
          <t>多</t>
        </is>
      </c>
      <c r="F680" s="14" t="inlineStr">
        <is>
          <t>★★</t>
        </is>
      </c>
      <c r="G680" s="14" t="n">
        <v>1</v>
      </c>
      <c r="H680" s="15" t="n">
        <v>7908</v>
      </c>
      <c r="I680" s="15" t="n">
        <v>8247</v>
      </c>
      <c r="J680" s="14" t="n">
        <v>15</v>
      </c>
      <c r="K680" s="14" t="n">
        <v>10000</v>
      </c>
      <c r="L680" s="25">
        <f>IF(E680="多",1,-1)*(I680-H680)*G680*J680</f>
        <v/>
      </c>
      <c r="M680" s="26">
        <f>L680/K680</f>
        <v/>
      </c>
      <c r="N680" s="14" t="inlineStr">
        <is>
          <t>将军撤退</t>
        </is>
      </c>
      <c r="O680" s="14" t="inlineStr">
        <is>
          <t>是</t>
        </is>
      </c>
    </row>
    <row r="681">
      <c r="A681" s="14" t="inlineStr">
        <is>
          <t>2025-04-17</t>
        </is>
      </c>
      <c r="B681" s="14" t="inlineStr">
        <is>
          <t>2025-04-18</t>
        </is>
      </c>
      <c r="C681" s="14" t="inlineStr">
        <is>
          <t>沪锌</t>
        </is>
      </c>
      <c r="D681" s="14" t="inlineStr">
        <is>
          <t>ZN</t>
        </is>
      </c>
      <c r="E681" s="14" t="inlineStr">
        <is>
          <t>空</t>
        </is>
      </c>
      <c r="F681" s="14" t="inlineStr">
        <is>
          <t>★★</t>
        </is>
      </c>
      <c r="G681" s="14" t="n">
        <v>1</v>
      </c>
      <c r="H681" s="15" t="n">
        <v>21950</v>
      </c>
      <c r="I681" s="15" t="n">
        <v>22050</v>
      </c>
      <c r="J681" s="14" t="n">
        <v>5</v>
      </c>
      <c r="K681" s="14" t="n">
        <v>10000</v>
      </c>
      <c r="L681" s="25">
        <f>IF(E681="多",1,-1)*(I681-H681)*G681*J681</f>
        <v/>
      </c>
      <c r="M681" s="26">
        <f>L681/K681</f>
        <v/>
      </c>
      <c r="N681" s="14" t="inlineStr">
        <is>
          <t>将军撤退</t>
        </is>
      </c>
      <c r="O681" s="14" t="inlineStr">
        <is>
          <t>是</t>
        </is>
      </c>
    </row>
    <row r="682">
      <c r="A682" s="14" t="inlineStr">
        <is>
          <t>2025-04-17</t>
        </is>
      </c>
      <c r="B682" s="14" t="inlineStr">
        <is>
          <t>2025-04-18</t>
        </is>
      </c>
      <c r="C682" s="14" t="inlineStr">
        <is>
          <t>工业硅</t>
        </is>
      </c>
      <c r="D682" s="14" t="inlineStr">
        <is>
          <t>SI</t>
        </is>
      </c>
      <c r="E682" s="14" t="inlineStr">
        <is>
          <t>空</t>
        </is>
      </c>
      <c r="F682" s="14" t="inlineStr">
        <is>
          <t>★★</t>
        </is>
      </c>
      <c r="G682" s="14" t="n">
        <v>3</v>
      </c>
      <c r="H682" s="15" t="n">
        <v>8990</v>
      </c>
      <c r="I682" s="15" t="n">
        <v>8750</v>
      </c>
      <c r="J682" s="14" t="n">
        <v>5</v>
      </c>
      <c r="K682" s="14" t="n">
        <v>10000</v>
      </c>
      <c r="L682" s="25">
        <f>IF(E682="多",1,-1)*(I682-H682)*G682*J682</f>
        <v/>
      </c>
      <c r="M682" s="26">
        <f>L682/K682</f>
        <v/>
      </c>
      <c r="N682" s="14" t="inlineStr">
        <is>
          <t>将军撤退+大将军转向</t>
        </is>
      </c>
      <c r="O682" s="14" t="inlineStr">
        <is>
          <t>是</t>
        </is>
      </c>
    </row>
    <row r="683">
      <c r="A683" s="2" t="inlineStr">
        <is>
          <t>2025-04-15</t>
        </is>
      </c>
      <c r="B683" s="2" t="inlineStr">
        <is>
          <t>2025-04-18</t>
        </is>
      </c>
      <c r="C683" s="2" t="inlineStr">
        <is>
          <t>甲醇</t>
        </is>
      </c>
      <c r="D683" s="2" t="inlineStr">
        <is>
          <t>MA</t>
        </is>
      </c>
      <c r="E683" s="9" t="inlineStr">
        <is>
          <t>空</t>
        </is>
      </c>
      <c r="F683" s="2" t="inlineStr">
        <is>
          <t>★★★</t>
        </is>
      </c>
      <c r="G683" s="10" t="n">
        <v>17</v>
      </c>
      <c r="H683" s="11" t="n">
        <v>2275</v>
      </c>
      <c r="I683" s="11" t="n">
        <v>2266</v>
      </c>
      <c r="J683" s="10" t="n">
        <v>10</v>
      </c>
      <c r="K683" s="10" t="n">
        <v>30000</v>
      </c>
      <c r="L683" s="23">
        <f>IF(E683="多",1,-1)*(I683-H683)*G683*J683</f>
        <v/>
      </c>
      <c r="M683" s="24">
        <f>L683/K683</f>
        <v/>
      </c>
      <c r="N683" s="2" t="inlineStr">
        <is>
          <t>将军撤退+大将军转向</t>
        </is>
      </c>
      <c r="O683" s="2" t="inlineStr">
        <is>
          <t>否</t>
        </is>
      </c>
    </row>
    <row r="684">
      <c r="A684" s="2" t="inlineStr">
        <is>
          <t>2025-04-11</t>
        </is>
      </c>
      <c r="B684" s="2" t="inlineStr">
        <is>
          <t>2025-04-17</t>
        </is>
      </c>
      <c r="C684" s="2" t="inlineStr">
        <is>
          <t>碳酸锂</t>
        </is>
      </c>
      <c r="D684" s="2" t="inlineStr">
        <is>
          <t>LC</t>
        </is>
      </c>
      <c r="E684" s="9" t="inlineStr">
        <is>
          <t>空</t>
        </is>
      </c>
      <c r="F684" s="2" t="inlineStr">
        <is>
          <t>★★★</t>
        </is>
      </c>
      <c r="G684" s="10" t="n">
        <v>8</v>
      </c>
      <c r="H684" s="11" t="n">
        <v>70800</v>
      </c>
      <c r="I684" s="11" t="n">
        <v>70460</v>
      </c>
      <c r="J684" s="10" t="n">
        <v>1</v>
      </c>
      <c r="K684" s="10" t="n">
        <v>30000</v>
      </c>
      <c r="L684" s="23">
        <f>IF(E684="多",1,-1)*(I684-H684)*G684*J684</f>
        <v/>
      </c>
      <c r="M684" s="24">
        <f>L684/K684</f>
        <v/>
      </c>
      <c r="N684" s="2" t="inlineStr">
        <is>
          <t>将军撤退</t>
        </is>
      </c>
      <c r="O684" s="2" t="inlineStr">
        <is>
          <t>否</t>
        </is>
      </c>
    </row>
    <row r="685">
      <c r="A685" s="2" t="inlineStr">
        <is>
          <t>2025-04-14</t>
        </is>
      </c>
      <c r="B685" s="2" t="inlineStr">
        <is>
          <t>2025-04-15</t>
        </is>
      </c>
      <c r="C685" s="2" t="inlineStr">
        <is>
          <t>玻璃</t>
        </is>
      </c>
      <c r="D685" s="2" t="inlineStr">
        <is>
          <t>FG</t>
        </is>
      </c>
      <c r="E685" s="9" t="inlineStr">
        <is>
          <t>空</t>
        </is>
      </c>
      <c r="F685" s="2" t="inlineStr">
        <is>
          <t>★★★</t>
        </is>
      </c>
      <c r="G685" s="10" t="n">
        <v>11</v>
      </c>
      <c r="H685" s="11" t="n">
        <v>1207</v>
      </c>
      <c r="I685" s="11" t="n">
        <v>1181</v>
      </c>
      <c r="J685" s="10" t="n">
        <v>20</v>
      </c>
      <c r="K685" s="10" t="n">
        <v>30000</v>
      </c>
      <c r="L685" s="23">
        <f>IF(E685="多",1,-1)*(I685-H685)*G685*J685</f>
        <v/>
      </c>
      <c r="M685" s="24">
        <f>L685/K685</f>
        <v/>
      </c>
      <c r="N685" s="2" t="inlineStr">
        <is>
          <t>将军撤退</t>
        </is>
      </c>
      <c r="O685" s="2" t="inlineStr">
        <is>
          <t>否</t>
        </is>
      </c>
    </row>
    <row r="686">
      <c r="A686" s="14" t="inlineStr">
        <is>
          <t>2025-04-11</t>
        </is>
      </c>
      <c r="B686" s="14" t="inlineStr">
        <is>
          <t>2025-04-15</t>
        </is>
      </c>
      <c r="C686" s="14" t="inlineStr">
        <is>
          <t>PTA</t>
        </is>
      </c>
      <c r="D686" s="14" t="inlineStr">
        <is>
          <t>TA</t>
        </is>
      </c>
      <c r="E686" s="14" t="inlineStr">
        <is>
          <t>多</t>
        </is>
      </c>
      <c r="F686" s="14" t="inlineStr">
        <is>
          <t>★★</t>
        </is>
      </c>
      <c r="G686" s="14" t="n">
        <v>5</v>
      </c>
      <c r="H686" s="15" t="n">
        <v>4390</v>
      </c>
      <c r="I686" s="15" t="n">
        <v>4324</v>
      </c>
      <c r="J686" s="14" t="n">
        <v>5</v>
      </c>
      <c r="K686" s="14" t="n">
        <v>10000</v>
      </c>
      <c r="L686" s="25">
        <f>IF(E686="多",1,-1)*(I686-H686)*G686*J686</f>
        <v/>
      </c>
      <c r="M686" s="26">
        <f>L686/K686</f>
        <v/>
      </c>
      <c r="N686" s="14" t="inlineStr">
        <is>
          <t>反向信号</t>
        </is>
      </c>
      <c r="O686" s="14" t="inlineStr">
        <is>
          <t>是</t>
        </is>
      </c>
    </row>
    <row r="687">
      <c r="A687" s="14" t="inlineStr">
        <is>
          <t>2025-04-10</t>
        </is>
      </c>
      <c r="B687" s="14" t="inlineStr">
        <is>
          <t>2025-04-14</t>
        </is>
      </c>
      <c r="C687" s="14" t="inlineStr">
        <is>
          <t>铁矿石</t>
        </is>
      </c>
      <c r="D687" s="14" t="inlineStr">
        <is>
          <t>I</t>
        </is>
      </c>
      <c r="E687" s="14" t="inlineStr">
        <is>
          <t>空</t>
        </is>
      </c>
      <c r="F687" s="14" t="inlineStr">
        <is>
          <t>★★</t>
        </is>
      </c>
      <c r="G687" s="14" t="n">
        <v>1</v>
      </c>
      <c r="H687" s="15" t="n">
        <v>709</v>
      </c>
      <c r="I687" s="15" t="n">
        <v>706</v>
      </c>
      <c r="J687" s="14" t="n">
        <v>100</v>
      </c>
      <c r="K687" s="14" t="n">
        <v>10000</v>
      </c>
      <c r="L687" s="25">
        <f>IF(E687="多",1,-1)*(I687-H687)*G687*J687</f>
        <v/>
      </c>
      <c r="M687" s="26">
        <f>L687/K687</f>
        <v/>
      </c>
      <c r="N687" s="14" t="inlineStr">
        <is>
          <t>大将军转向</t>
        </is>
      </c>
      <c r="O687" s="14" t="inlineStr">
        <is>
          <t>是</t>
        </is>
      </c>
    </row>
    <row r="688">
      <c r="A688" s="2" t="inlineStr">
        <is>
          <t>2025-04-09</t>
        </is>
      </c>
      <c r="B688" s="2" t="inlineStr">
        <is>
          <t>2025-04-10</t>
        </is>
      </c>
      <c r="C688" s="2" t="inlineStr">
        <is>
          <t>玻璃</t>
        </is>
      </c>
      <c r="D688" s="2" t="inlineStr">
        <is>
          <t>FG</t>
        </is>
      </c>
      <c r="E688" s="9" t="inlineStr">
        <is>
          <t>空</t>
        </is>
      </c>
      <c r="F688" s="2" t="inlineStr">
        <is>
          <t>★★★</t>
        </is>
      </c>
      <c r="G688" s="10" t="n">
        <v>11</v>
      </c>
      <c r="H688" s="11" t="n">
        <v>1174</v>
      </c>
      <c r="I688" s="11" t="n">
        <v>1169</v>
      </c>
      <c r="J688" s="10" t="n">
        <v>20</v>
      </c>
      <c r="K688" s="10" t="n">
        <v>30000</v>
      </c>
      <c r="L688" s="23">
        <f>IF(E688="多",1,-1)*(I688-H688)*G688*J688</f>
        <v/>
      </c>
      <c r="M688" s="24">
        <f>L688/K688</f>
        <v/>
      </c>
      <c r="N688" s="2" t="inlineStr">
        <is>
          <t>将军撤退</t>
        </is>
      </c>
      <c r="O688" s="2" t="inlineStr">
        <is>
          <t>否</t>
        </is>
      </c>
    </row>
    <row r="689">
      <c r="A689" s="2" t="inlineStr">
        <is>
          <t>2025-04-08</t>
        </is>
      </c>
      <c r="B689" s="2" t="inlineStr">
        <is>
          <t>2025-04-09</t>
        </is>
      </c>
      <c r="C689" s="2" t="inlineStr">
        <is>
          <t>沪铜</t>
        </is>
      </c>
      <c r="D689" s="2" t="inlineStr">
        <is>
          <t>CU</t>
        </is>
      </c>
      <c r="E689" s="9" t="inlineStr">
        <is>
          <t>空</t>
        </is>
      </c>
      <c r="F689" s="2" t="inlineStr">
        <is>
          <t>★★★</t>
        </is>
      </c>
      <c r="G689" s="10" t="n">
        <v>1</v>
      </c>
      <c r="H689" s="11" t="n">
        <v>73410</v>
      </c>
      <c r="I689" s="11" t="n">
        <v>72130</v>
      </c>
      <c r="J689" s="10" t="n">
        <v>5</v>
      </c>
      <c r="K689" s="10" t="n">
        <v>30000</v>
      </c>
      <c r="L689" s="23">
        <f>IF(E689="多",1,-1)*(I689-H689)*G689*J689</f>
        <v/>
      </c>
      <c r="M689" s="24">
        <f>L689/K689</f>
        <v/>
      </c>
      <c r="N689" s="2" t="inlineStr">
        <is>
          <t>将军撤退</t>
        </is>
      </c>
      <c r="O689" s="2" t="inlineStr">
        <is>
          <t>否</t>
        </is>
      </c>
    </row>
    <row r="690">
      <c r="A690" s="14" t="inlineStr">
        <is>
          <t>2025-03-27</t>
        </is>
      </c>
      <c r="B690" s="14" t="inlineStr">
        <is>
          <t>2025-04-09</t>
        </is>
      </c>
      <c r="C690" s="14" t="inlineStr">
        <is>
          <t>玻璃</t>
        </is>
      </c>
      <c r="D690" s="14" t="inlineStr">
        <is>
          <t>FG</t>
        </is>
      </c>
      <c r="E690" s="14" t="inlineStr">
        <is>
          <t>多</t>
        </is>
      </c>
      <c r="F690" s="14" t="inlineStr">
        <is>
          <t>★★</t>
        </is>
      </c>
      <c r="G690" s="14" t="n">
        <v>4</v>
      </c>
      <c r="H690" s="15" t="n">
        <v>1233</v>
      </c>
      <c r="I690" s="15" t="n">
        <v>1180</v>
      </c>
      <c r="J690" s="14" t="n">
        <v>20</v>
      </c>
      <c r="K690" s="14" t="n">
        <v>10000</v>
      </c>
      <c r="L690" s="25">
        <f>IF(E690="多",1,-1)*(I690-H690)*G690*J690</f>
        <v/>
      </c>
      <c r="M690" s="26">
        <f>L690/K690</f>
        <v/>
      </c>
      <c r="N690" s="14" t="inlineStr">
        <is>
          <t>反向信号</t>
        </is>
      </c>
      <c r="O690" s="14" t="inlineStr">
        <is>
          <t>是</t>
        </is>
      </c>
    </row>
    <row r="691">
      <c r="A691" s="14" t="inlineStr">
        <is>
          <t>2025-03-25</t>
        </is>
      </c>
      <c r="B691" s="14" t="inlineStr">
        <is>
          <t>2025-04-09</t>
        </is>
      </c>
      <c r="C691" s="14" t="inlineStr">
        <is>
          <t>苯乙烯</t>
        </is>
      </c>
      <c r="D691" s="14" t="inlineStr">
        <is>
          <t>EB</t>
        </is>
      </c>
      <c r="E691" s="14" t="inlineStr">
        <is>
          <t>空</t>
        </is>
      </c>
      <c r="F691" s="14" t="inlineStr">
        <is>
          <t>★★</t>
        </is>
      </c>
      <c r="G691" s="14" t="n">
        <v>4</v>
      </c>
      <c r="H691" s="15" t="n">
        <v>7762</v>
      </c>
      <c r="I691" s="15" t="n">
        <v>7034</v>
      </c>
      <c r="J691" s="14" t="n">
        <v>5</v>
      </c>
      <c r="K691" s="14" t="n">
        <v>10000</v>
      </c>
      <c r="L691" s="25">
        <f>IF(E691="多",1,-1)*(I691-H691)*G691*J691</f>
        <v/>
      </c>
      <c r="M691" s="26">
        <f>L691/K691</f>
        <v/>
      </c>
      <c r="N691" s="14" t="inlineStr">
        <is>
          <t>将军撤退</t>
        </is>
      </c>
      <c r="O691" s="14" t="inlineStr">
        <is>
          <t>是</t>
        </is>
      </c>
    </row>
    <row r="692">
      <c r="A692" s="14" t="inlineStr">
        <is>
          <t>2025-04-07</t>
        </is>
      </c>
      <c r="B692" s="14" t="inlineStr">
        <is>
          <t>2025-04-08</t>
        </is>
      </c>
      <c r="C692" s="14" t="inlineStr">
        <is>
          <t>沪锌</t>
        </is>
      </c>
      <c r="D692" s="14" t="inlineStr">
        <is>
          <t>ZN</t>
        </is>
      </c>
      <c r="E692" s="14" t="inlineStr">
        <is>
          <t>空</t>
        </is>
      </c>
      <c r="F692" s="14" t="inlineStr">
        <is>
          <t>★★</t>
        </is>
      </c>
      <c r="G692" s="14" t="n">
        <v>1</v>
      </c>
      <c r="H692" s="15" t="n">
        <v>22190</v>
      </c>
      <c r="I692" s="15" t="n">
        <v>22085</v>
      </c>
      <c r="J692" s="14" t="n">
        <v>5</v>
      </c>
      <c r="K692" s="14" t="n">
        <v>10000</v>
      </c>
      <c r="L692" s="25">
        <f>IF(E692="多",1,-1)*(I692-H692)*G692*J692</f>
        <v/>
      </c>
      <c r="M692" s="26">
        <f>L692/K692</f>
        <v/>
      </c>
      <c r="N692" s="14" t="inlineStr">
        <is>
          <t>将军撤退+大将军转向</t>
        </is>
      </c>
      <c r="O692" s="14" t="inlineStr">
        <is>
          <t>是</t>
        </is>
      </c>
    </row>
    <row r="693">
      <c r="A693" s="14" t="inlineStr">
        <is>
          <t>2025-03-28</t>
        </is>
      </c>
      <c r="B693" s="14" t="inlineStr">
        <is>
          <t>2025-04-07</t>
        </is>
      </c>
      <c r="C693" s="14" t="inlineStr">
        <is>
          <t>燃料油</t>
        </is>
      </c>
      <c r="D693" s="14" t="inlineStr">
        <is>
          <t>FU</t>
        </is>
      </c>
      <c r="E693" s="14" t="inlineStr">
        <is>
          <t>多</t>
        </is>
      </c>
      <c r="F693" s="14" t="inlineStr">
        <is>
          <t>★★</t>
        </is>
      </c>
      <c r="G693" s="14" t="n">
        <v>5</v>
      </c>
      <c r="H693" s="15" t="n">
        <v>3171</v>
      </c>
      <c r="I693" s="15" t="n">
        <v>3006</v>
      </c>
      <c r="J693" s="14" t="n">
        <v>10</v>
      </c>
      <c r="K693" s="14" t="n">
        <v>10000</v>
      </c>
      <c r="L693" s="25">
        <f>IF(E693="多",1,-1)*(I693-H693)*G693*J693</f>
        <v/>
      </c>
      <c r="M693" s="26">
        <f>L693/K693</f>
        <v/>
      </c>
      <c r="N693" s="14" t="inlineStr">
        <is>
          <t>跳空止损</t>
        </is>
      </c>
      <c r="O693" s="14" t="inlineStr">
        <is>
          <t>是</t>
        </is>
      </c>
    </row>
    <row r="694">
      <c r="A694" s="14" t="inlineStr">
        <is>
          <t>2025-03-28</t>
        </is>
      </c>
      <c r="B694" s="14" t="inlineStr">
        <is>
          <t>2025-04-07</t>
        </is>
      </c>
      <c r="C694" s="14" t="inlineStr">
        <is>
          <t>玉米</t>
        </is>
      </c>
      <c r="D694" s="14" t="inlineStr">
        <is>
          <t>C</t>
        </is>
      </c>
      <c r="E694" s="14" t="inlineStr">
        <is>
          <t>空</t>
        </is>
      </c>
      <c r="F694" s="14" t="inlineStr">
        <is>
          <t>★★</t>
        </is>
      </c>
      <c r="G694" s="14" t="n">
        <v>19</v>
      </c>
      <c r="H694" s="15" t="n">
        <v>2258</v>
      </c>
      <c r="I694" s="15" t="n">
        <v>2294.14</v>
      </c>
      <c r="J694" s="14" t="n">
        <v>10</v>
      </c>
      <c r="K694" s="14" t="n">
        <v>10000</v>
      </c>
      <c r="L694" s="25">
        <f>IF(E694="多",1,-1)*(I694-H694)*G694*J694</f>
        <v/>
      </c>
      <c r="M694" s="26">
        <f>L694/K694</f>
        <v/>
      </c>
      <c r="N694" s="14" t="inlineStr">
        <is>
          <t>止损</t>
        </is>
      </c>
      <c r="O694" s="14" t="inlineStr">
        <is>
          <t>是</t>
        </is>
      </c>
    </row>
    <row r="695">
      <c r="A695" s="14" t="inlineStr">
        <is>
          <t>2025-03-14</t>
        </is>
      </c>
      <c r="B695" s="14" t="inlineStr">
        <is>
          <t>2025-04-02</t>
        </is>
      </c>
      <c r="C695" s="14" t="inlineStr">
        <is>
          <t>菜粕</t>
        </is>
      </c>
      <c r="D695" s="14" t="inlineStr">
        <is>
          <t>RM</t>
        </is>
      </c>
      <c r="E695" s="14" t="inlineStr">
        <is>
          <t>空</t>
        </is>
      </c>
      <c r="F695" s="14" t="inlineStr">
        <is>
          <t>★★</t>
        </is>
      </c>
      <c r="G695" s="14" t="n">
        <v>4</v>
      </c>
      <c r="H695" s="15" t="n">
        <v>2819</v>
      </c>
      <c r="I695" s="15" t="n">
        <v>2694</v>
      </c>
      <c r="J695" s="14" t="n">
        <v>10</v>
      </c>
      <c r="K695" s="14" t="n">
        <v>10000</v>
      </c>
      <c r="L695" s="25">
        <f>IF(E695="多",1,-1)*(I695-H695)*G695*J695</f>
        <v/>
      </c>
      <c r="M695" s="26">
        <f>L695/K695</f>
        <v/>
      </c>
      <c r="N695" s="14" t="inlineStr">
        <is>
          <t>大将军转向</t>
        </is>
      </c>
      <c r="O695" s="14" t="inlineStr">
        <is>
          <t>是</t>
        </is>
      </c>
    </row>
    <row r="696">
      <c r="A696" s="2" t="inlineStr">
        <is>
          <t>2025-03-31</t>
        </is>
      </c>
      <c r="B696" s="2" t="inlineStr">
        <is>
          <t>2025-04-01</t>
        </is>
      </c>
      <c r="C696" s="2" t="inlineStr">
        <is>
          <t>沪金</t>
        </is>
      </c>
      <c r="D696" s="2" t="inlineStr">
        <is>
          <t>AU</t>
        </is>
      </c>
      <c r="E696" s="19" t="inlineStr">
        <is>
          <t>多</t>
        </is>
      </c>
      <c r="F696" s="2" t="inlineStr">
        <is>
          <t>★★★</t>
        </is>
      </c>
      <c r="G696" s="10" t="n">
        <v>1</v>
      </c>
      <c r="H696" s="11" t="n">
        <v>731.74</v>
      </c>
      <c r="I696" s="11" t="n">
        <v>736.3</v>
      </c>
      <c r="J696" s="10" t="n">
        <v>1000</v>
      </c>
      <c r="K696" s="10" t="n">
        <v>30000</v>
      </c>
      <c r="L696" s="23">
        <f>IF(E696="多",1,-1)*(I696-H696)*G696*J696</f>
        <v/>
      </c>
      <c r="M696" s="24">
        <f>L696/K696</f>
        <v/>
      </c>
      <c r="N696" s="2" t="inlineStr">
        <is>
          <t>将军撤退+大将军转向</t>
        </is>
      </c>
      <c r="O696" s="2" t="inlineStr">
        <is>
          <t>否</t>
        </is>
      </c>
    </row>
    <row r="697">
      <c r="A697" s="14" t="inlineStr">
        <is>
          <t>2025-03-28</t>
        </is>
      </c>
      <c r="B697" s="14" t="inlineStr">
        <is>
          <t>2025-03-31</t>
        </is>
      </c>
      <c r="C697" s="14" t="inlineStr">
        <is>
          <t>PTA</t>
        </is>
      </c>
      <c r="D697" s="14" t="inlineStr">
        <is>
          <t>TA</t>
        </is>
      </c>
      <c r="E697" s="14" t="inlineStr">
        <is>
          <t>空</t>
        </is>
      </c>
      <c r="F697" s="14" t="inlineStr">
        <is>
          <t>★★</t>
        </is>
      </c>
      <c r="G697" s="14" t="n">
        <v>8</v>
      </c>
      <c r="H697" s="15" t="n">
        <v>4892</v>
      </c>
      <c r="I697" s="15" t="n">
        <v>4842</v>
      </c>
      <c r="J697" s="14" t="n">
        <v>5</v>
      </c>
      <c r="K697" s="14" t="n">
        <v>10000</v>
      </c>
      <c r="L697" s="25">
        <f>IF(E697="多",1,-1)*(I697-H697)*G697*J697</f>
        <v/>
      </c>
      <c r="M697" s="26">
        <f>L697/K697</f>
        <v/>
      </c>
      <c r="N697" s="14" t="inlineStr">
        <is>
          <t>将军撤退</t>
        </is>
      </c>
      <c r="O697" s="14" t="inlineStr">
        <is>
          <t>是</t>
        </is>
      </c>
    </row>
    <row r="698">
      <c r="A698" s="2" t="inlineStr">
        <is>
          <t>2025-03-26</t>
        </is>
      </c>
      <c r="B698" s="2" t="inlineStr">
        <is>
          <t>2025-03-31</t>
        </is>
      </c>
      <c r="C698" s="2" t="inlineStr">
        <is>
          <t>沪银</t>
        </is>
      </c>
      <c r="D698" s="2" t="inlineStr">
        <is>
          <t>AG</t>
        </is>
      </c>
      <c r="E698" s="19" t="inlineStr">
        <is>
          <t>多</t>
        </is>
      </c>
      <c r="F698" s="2" t="inlineStr">
        <is>
          <t>★★★</t>
        </is>
      </c>
      <c r="G698" s="10" t="n">
        <v>5</v>
      </c>
      <c r="H698" s="11" t="n">
        <v>8387</v>
      </c>
      <c r="I698" s="11" t="n">
        <v>8506</v>
      </c>
      <c r="J698" s="10" t="n">
        <v>15</v>
      </c>
      <c r="K698" s="10" t="n">
        <v>30000</v>
      </c>
      <c r="L698" s="23">
        <f>IF(E698="多",1,-1)*(I698-H698)*G698*J698</f>
        <v/>
      </c>
      <c r="M698" s="24">
        <f>L698/K698</f>
        <v/>
      </c>
      <c r="N698" s="2" t="inlineStr">
        <is>
          <t>将军撤退</t>
        </is>
      </c>
      <c r="O698" s="2" t="inlineStr">
        <is>
          <t>否</t>
        </is>
      </c>
    </row>
    <row r="699">
      <c r="A699" s="14" t="inlineStr">
        <is>
          <t>2025-03-21</t>
        </is>
      </c>
      <c r="B699" s="14" t="inlineStr">
        <is>
          <t>2025-03-31</t>
        </is>
      </c>
      <c r="C699" s="14" t="inlineStr">
        <is>
          <t>铁矿石</t>
        </is>
      </c>
      <c r="D699" s="14" t="inlineStr">
        <is>
          <t>I</t>
        </is>
      </c>
      <c r="E699" s="14" t="inlineStr">
        <is>
          <t>空</t>
        </is>
      </c>
      <c r="F699" s="14" t="inlineStr">
        <is>
          <t>★★</t>
        </is>
      </c>
      <c r="G699" s="14" t="n">
        <v>2</v>
      </c>
      <c r="H699" s="15" t="n">
        <v>760</v>
      </c>
      <c r="I699" s="15" t="n">
        <v>773</v>
      </c>
      <c r="J699" s="14" t="n">
        <v>100</v>
      </c>
      <c r="K699" s="14" t="n">
        <v>10000</v>
      </c>
      <c r="L699" s="25">
        <f>IF(E699="多",1,-1)*(I699-H699)*G699*J699</f>
        <v/>
      </c>
      <c r="M699" s="26">
        <f>L699/K699</f>
        <v/>
      </c>
      <c r="N699" s="14" t="inlineStr">
        <is>
          <t>将军撤退</t>
        </is>
      </c>
      <c r="O699" s="14" t="inlineStr">
        <is>
          <t>是</t>
        </is>
      </c>
    </row>
    <row r="700">
      <c r="A700" s="14" t="inlineStr">
        <is>
          <t>2025-03-20</t>
        </is>
      </c>
      <c r="B700" s="14" t="inlineStr">
        <is>
          <t>2025-03-31</t>
        </is>
      </c>
      <c r="C700" s="14" t="inlineStr">
        <is>
          <t>锰硅</t>
        </is>
      </c>
      <c r="D700" s="14" t="inlineStr">
        <is>
          <t>SM</t>
        </is>
      </c>
      <c r="E700" s="14" t="inlineStr">
        <is>
          <t>空</t>
        </is>
      </c>
      <c r="F700" s="14" t="inlineStr">
        <is>
          <t>★★</t>
        </is>
      </c>
      <c r="G700" s="14" t="n">
        <v>6</v>
      </c>
      <c r="H700" s="15" t="n">
        <v>6120</v>
      </c>
      <c r="I700" s="15" t="n">
        <v>6070</v>
      </c>
      <c r="J700" s="14" t="n">
        <v>5</v>
      </c>
      <c r="K700" s="14" t="n">
        <v>10000</v>
      </c>
      <c r="L700" s="25">
        <f>IF(E700="多",1,-1)*(I700-H700)*G700*J700</f>
        <v/>
      </c>
      <c r="M700" s="26">
        <f>L700/K700</f>
        <v/>
      </c>
      <c r="N700" s="14" t="inlineStr">
        <is>
          <t>将军撤退+大将军转向</t>
        </is>
      </c>
      <c r="O700" s="14" t="inlineStr">
        <is>
          <t>是</t>
        </is>
      </c>
    </row>
    <row r="701">
      <c r="A701" s="2" t="inlineStr">
        <is>
          <t>2025-03-20</t>
        </is>
      </c>
      <c r="B701" s="2" t="inlineStr">
        <is>
          <t>2025-03-31</t>
        </is>
      </c>
      <c r="C701" s="2" t="inlineStr">
        <is>
          <t>热卷</t>
        </is>
      </c>
      <c r="D701" s="2" t="inlineStr">
        <is>
          <t>HC</t>
        </is>
      </c>
      <c r="E701" s="9" t="inlineStr">
        <is>
          <t>空</t>
        </is>
      </c>
      <c r="F701" s="2" t="inlineStr">
        <is>
          <t>★★★</t>
        </is>
      </c>
      <c r="G701" s="10" t="n">
        <v>24</v>
      </c>
      <c r="H701" s="11" t="n">
        <v>3357</v>
      </c>
      <c r="I701" s="11" t="n">
        <v>3342</v>
      </c>
      <c r="J701" s="10" t="n">
        <v>10</v>
      </c>
      <c r="K701" s="10" t="n">
        <v>30000</v>
      </c>
      <c r="L701" s="23">
        <f>IF(E701="多",1,-1)*(I701-H701)*G701*J701</f>
        <v/>
      </c>
      <c r="M701" s="24">
        <f>L701/K701</f>
        <v/>
      </c>
      <c r="N701" s="2" t="inlineStr">
        <is>
          <t>大将军转向</t>
        </is>
      </c>
      <c r="O701" s="2" t="inlineStr">
        <is>
          <t>否</t>
        </is>
      </c>
    </row>
    <row r="702">
      <c r="A702" s="2" t="inlineStr">
        <is>
          <t>2025-03-26</t>
        </is>
      </c>
      <c r="B702" s="2" t="inlineStr">
        <is>
          <t>2025-03-27</t>
        </is>
      </c>
      <c r="C702" s="2" t="inlineStr">
        <is>
          <t>工业硅</t>
        </is>
      </c>
      <c r="D702" s="2" t="inlineStr">
        <is>
          <t>SI</t>
        </is>
      </c>
      <c r="E702" s="9" t="inlineStr">
        <is>
          <t>空</t>
        </is>
      </c>
      <c r="F702" s="2" t="inlineStr">
        <is>
          <t>★★★</t>
        </is>
      </c>
      <c r="G702" s="10" t="n">
        <v>4</v>
      </c>
      <c r="H702" s="11" t="n">
        <v>9770</v>
      </c>
      <c r="I702" s="11" t="n">
        <v>9920</v>
      </c>
      <c r="J702" s="10" t="n">
        <v>5</v>
      </c>
      <c r="K702" s="10" t="n">
        <v>10000</v>
      </c>
      <c r="L702" s="23">
        <f>IF(E702="多",1,-1)*(I702-H702)*G702*J702</f>
        <v/>
      </c>
      <c r="M702" s="24">
        <f>L702/K702</f>
        <v/>
      </c>
      <c r="N702" s="2" t="inlineStr">
        <is>
          <t>大将军转向</t>
        </is>
      </c>
      <c r="O702" s="2" t="inlineStr">
        <is>
          <t>否</t>
        </is>
      </c>
    </row>
    <row r="703">
      <c r="A703" s="14" t="inlineStr">
        <is>
          <t>2025-03-26</t>
        </is>
      </c>
      <c r="B703" s="14" t="inlineStr">
        <is>
          <t>2025-03-27</t>
        </is>
      </c>
      <c r="C703" s="14" t="inlineStr">
        <is>
          <t>玉米</t>
        </is>
      </c>
      <c r="D703" s="14" t="inlineStr">
        <is>
          <t>C</t>
        </is>
      </c>
      <c r="E703" s="14" t="inlineStr">
        <is>
          <t>空</t>
        </is>
      </c>
      <c r="F703" s="14" t="inlineStr">
        <is>
          <t>★★</t>
        </is>
      </c>
      <c r="G703" s="14" t="n">
        <v>17</v>
      </c>
      <c r="H703" s="15" t="n">
        <v>2262</v>
      </c>
      <c r="I703" s="15" t="n">
        <v>2266</v>
      </c>
      <c r="J703" s="14" t="n">
        <v>10</v>
      </c>
      <c r="K703" s="14" t="n">
        <v>10000</v>
      </c>
      <c r="L703" s="25">
        <f>IF(E703="多",1,-1)*(I703-H703)*G703*J703</f>
        <v/>
      </c>
      <c r="M703" s="26">
        <f>L703/K703</f>
        <v/>
      </c>
      <c r="N703" s="14" t="inlineStr">
        <is>
          <t>大将军转向</t>
        </is>
      </c>
      <c r="O703" s="14" t="inlineStr">
        <is>
          <t>是</t>
        </is>
      </c>
    </row>
    <row r="704">
      <c r="A704" s="2" t="inlineStr">
        <is>
          <t>2025-03-18</t>
        </is>
      </c>
      <c r="B704" s="2" t="inlineStr">
        <is>
          <t>2025-03-27</t>
        </is>
      </c>
      <c r="C704" s="2" t="inlineStr">
        <is>
          <t>白糖</t>
        </is>
      </c>
      <c r="D704" s="2" t="inlineStr">
        <is>
          <t>SR</t>
        </is>
      </c>
      <c r="E704" s="19" t="inlineStr">
        <is>
          <t>多</t>
        </is>
      </c>
      <c r="F704" s="2" t="inlineStr">
        <is>
          <t>★★★</t>
        </is>
      </c>
      <c r="G704" s="10" t="n">
        <v>19</v>
      </c>
      <c r="H704" s="11" t="n">
        <v>6097</v>
      </c>
      <c r="I704" s="11" t="n">
        <v>6067</v>
      </c>
      <c r="J704" s="10" t="n">
        <v>10</v>
      </c>
      <c r="K704" s="10" t="n">
        <v>30000</v>
      </c>
      <c r="L704" s="23">
        <f>IF(E704="多",1,-1)*(I704-H704)*G704*J704</f>
        <v/>
      </c>
      <c r="M704" s="24">
        <f>L704/K704</f>
        <v/>
      </c>
      <c r="N704" s="2" t="inlineStr">
        <is>
          <t>反向信号</t>
        </is>
      </c>
      <c r="O704" s="2" t="inlineStr">
        <is>
          <t>否</t>
        </is>
      </c>
    </row>
    <row r="705">
      <c r="A705" s="14" t="inlineStr">
        <is>
          <t>2025-03-04</t>
        </is>
      </c>
      <c r="B705" s="14" t="inlineStr">
        <is>
          <t>2025-03-27</t>
        </is>
      </c>
      <c r="C705" s="14" t="inlineStr">
        <is>
          <t>PTA</t>
        </is>
      </c>
      <c r="D705" s="14" t="inlineStr">
        <is>
          <t>TA</t>
        </is>
      </c>
      <c r="E705" s="14" t="inlineStr">
        <is>
          <t>空</t>
        </is>
      </c>
      <c r="F705" s="14" t="inlineStr">
        <is>
          <t>★★★</t>
        </is>
      </c>
      <c r="G705" s="14" t="n">
        <v>8</v>
      </c>
      <c r="H705" s="15" t="n">
        <v>4866</v>
      </c>
      <c r="I705" s="15" t="n">
        <v>4947.57</v>
      </c>
      <c r="J705" s="14" t="n">
        <v>5</v>
      </c>
      <c r="K705" s="14" t="n">
        <v>10000</v>
      </c>
      <c r="L705" s="25">
        <f>IF(E705="多",1,-1)*(I705-H705)*G705*J705</f>
        <v/>
      </c>
      <c r="M705" s="26">
        <f>L705/K705</f>
        <v/>
      </c>
      <c r="N705" s="14" t="inlineStr">
        <is>
          <t>止损</t>
        </is>
      </c>
      <c r="O705" s="14" t="inlineStr">
        <is>
          <t>是</t>
        </is>
      </c>
    </row>
    <row r="706">
      <c r="A706" s="2" t="inlineStr">
        <is>
          <t>2025-03-24</t>
        </is>
      </c>
      <c r="B706" s="2" t="inlineStr">
        <is>
          <t>2025-03-25</t>
        </is>
      </c>
      <c r="C706" s="2" t="inlineStr">
        <is>
          <t>碳酸锂</t>
        </is>
      </c>
      <c r="D706" s="2" t="inlineStr">
        <is>
          <t>LC</t>
        </is>
      </c>
      <c r="E706" s="9" t="inlineStr">
        <is>
          <t>空</t>
        </is>
      </c>
      <c r="F706" s="2" t="inlineStr">
        <is>
          <t>★★★</t>
        </is>
      </c>
      <c r="G706" s="10" t="n">
        <v>10</v>
      </c>
      <c r="H706" s="11" t="n">
        <v>73720</v>
      </c>
      <c r="I706" s="11" t="n">
        <v>73800</v>
      </c>
      <c r="J706" s="10" t="n">
        <v>1</v>
      </c>
      <c r="K706" s="10" t="n">
        <v>30000</v>
      </c>
      <c r="L706" s="23">
        <f>IF(E706="多",1,-1)*(I706-H706)*G706*J706</f>
        <v/>
      </c>
      <c r="M706" s="24">
        <f>L706/K706</f>
        <v/>
      </c>
      <c r="N706" s="2" t="inlineStr">
        <is>
          <t>大将军转向</t>
        </is>
      </c>
      <c r="O706" s="2" t="inlineStr">
        <is>
          <t>否</t>
        </is>
      </c>
    </row>
    <row r="707">
      <c r="A707" s="14" t="inlineStr">
        <is>
          <t>2025-03-17</t>
        </is>
      </c>
      <c r="B707" s="14" t="inlineStr">
        <is>
          <t>2025-03-24</t>
        </is>
      </c>
      <c r="C707" s="14" t="inlineStr">
        <is>
          <t>鸡蛋</t>
        </is>
      </c>
      <c r="D707" s="14" t="inlineStr">
        <is>
          <t>JD</t>
        </is>
      </c>
      <c r="E707" s="14" t="inlineStr">
        <is>
          <t>空</t>
        </is>
      </c>
      <c r="F707" s="14" t="inlineStr">
        <is>
          <t>★★★</t>
        </is>
      </c>
      <c r="G707" s="14" t="n">
        <v>8</v>
      </c>
      <c r="H707" s="15" t="n">
        <v>3040</v>
      </c>
      <c r="I707" s="15" t="n">
        <v>3024</v>
      </c>
      <c r="J707" s="14" t="n">
        <v>10</v>
      </c>
      <c r="K707" s="14" t="n">
        <v>10000</v>
      </c>
      <c r="L707" s="25">
        <f>IF(E707="多",1,-1)*(I707-H707)*G707*J707</f>
        <v/>
      </c>
      <c r="M707" s="26">
        <f>L707/K707</f>
        <v/>
      </c>
      <c r="N707" s="14" t="inlineStr">
        <is>
          <t>大将军转向</t>
        </is>
      </c>
      <c r="O707" s="14" t="inlineStr">
        <is>
          <t>是</t>
        </is>
      </c>
    </row>
    <row r="708">
      <c r="A708" s="14" t="inlineStr">
        <is>
          <t>2025-03-12</t>
        </is>
      </c>
      <c r="B708" s="14" t="inlineStr">
        <is>
          <t>2025-03-24</t>
        </is>
      </c>
      <c r="C708" s="14" t="inlineStr">
        <is>
          <t>PVC</t>
        </is>
      </c>
      <c r="D708" s="14" t="inlineStr">
        <is>
          <t>V</t>
        </is>
      </c>
      <c r="E708" s="14" t="inlineStr">
        <is>
          <t>空</t>
        </is>
      </c>
      <c r="F708" s="14" t="inlineStr">
        <is>
          <t>★★★</t>
        </is>
      </c>
      <c r="G708" s="14" t="n">
        <v>11</v>
      </c>
      <c r="H708" s="15" t="n">
        <v>5025</v>
      </c>
      <c r="I708" s="15" t="n">
        <v>5156.79</v>
      </c>
      <c r="J708" s="14" t="n">
        <v>5</v>
      </c>
      <c r="K708" s="14" t="n">
        <v>10000</v>
      </c>
      <c r="L708" s="25">
        <f>IF(E708="多",1,-1)*(I708-H708)*G708*J708</f>
        <v/>
      </c>
      <c r="M708" s="26">
        <f>L708/K708</f>
        <v/>
      </c>
      <c r="N708" s="14" t="inlineStr">
        <is>
          <t>止损</t>
        </is>
      </c>
      <c r="O708" s="14" t="inlineStr">
        <is>
          <t>是</t>
        </is>
      </c>
    </row>
    <row r="709">
      <c r="A709" s="2" t="inlineStr">
        <is>
          <t>2025-03-20</t>
        </is>
      </c>
      <c r="B709" s="2" t="inlineStr">
        <is>
          <t>2025-03-21</t>
        </is>
      </c>
      <c r="C709" s="2" t="inlineStr">
        <is>
          <t>工业硅</t>
        </is>
      </c>
      <c r="D709" s="2" t="inlineStr">
        <is>
          <t>SI</t>
        </is>
      </c>
      <c r="E709" s="9" t="inlineStr">
        <is>
          <t>空</t>
        </is>
      </c>
      <c r="F709" s="2" t="inlineStr">
        <is>
          <t>★★★</t>
        </is>
      </c>
      <c r="G709" s="10" t="n">
        <v>14</v>
      </c>
      <c r="H709" s="11" t="n">
        <v>9725</v>
      </c>
      <c r="I709" s="11" t="n">
        <v>9770</v>
      </c>
      <c r="J709" s="10" t="n">
        <v>5</v>
      </c>
      <c r="K709" s="10" t="n">
        <v>30000</v>
      </c>
      <c r="L709" s="23">
        <f>IF(E709="多",1,-1)*(I709-H709)*G709*J709</f>
        <v/>
      </c>
      <c r="M709" s="24">
        <f>L709/K709</f>
        <v/>
      </c>
      <c r="N709" s="2" t="inlineStr">
        <is>
          <t>将军撤退+大将军转向</t>
        </is>
      </c>
      <c r="O709" s="2" t="inlineStr">
        <is>
          <t>否</t>
        </is>
      </c>
    </row>
    <row r="710">
      <c r="A710" s="2" t="inlineStr">
        <is>
          <t>2025-03-18</t>
        </is>
      </c>
      <c r="B710" s="2" t="inlineStr">
        <is>
          <t>2025-03-20</t>
        </is>
      </c>
      <c r="C710" s="2" t="inlineStr">
        <is>
          <t>螺纹钢</t>
        </is>
      </c>
      <c r="D710" s="2" t="inlineStr">
        <is>
          <t>RB</t>
        </is>
      </c>
      <c r="E710" s="9" t="inlineStr">
        <is>
          <t>空</t>
        </is>
      </c>
      <c r="F710" s="2" t="inlineStr">
        <is>
          <t>★★★</t>
        </is>
      </c>
      <c r="G710" s="10" t="n">
        <v>7</v>
      </c>
      <c r="H710" s="11" t="n">
        <v>3195</v>
      </c>
      <c r="I710" s="11" t="n">
        <v>3176</v>
      </c>
      <c r="J710" s="10" t="n">
        <v>10</v>
      </c>
      <c r="K710" s="10" t="n">
        <v>10000</v>
      </c>
      <c r="L710" s="23">
        <f>IF(E710="多",1,-1)*(I710-H710)*G710*J710</f>
        <v/>
      </c>
      <c r="M710" s="24">
        <f>L710/K710</f>
        <v/>
      </c>
      <c r="N710" s="2" t="inlineStr">
        <is>
          <t>大将军转向</t>
        </is>
      </c>
      <c r="O710" s="2" t="inlineStr">
        <is>
          <t>否</t>
        </is>
      </c>
    </row>
    <row r="711">
      <c r="A711" s="2" t="inlineStr">
        <is>
          <t>2025-03-17</t>
        </is>
      </c>
      <c r="B711" s="2" t="inlineStr">
        <is>
          <t>2025-03-20</t>
        </is>
      </c>
      <c r="C711" s="2" t="inlineStr">
        <is>
          <t>塑料</t>
        </is>
      </c>
      <c r="D711" s="2" t="inlineStr">
        <is>
          <t>L</t>
        </is>
      </c>
      <c r="E711" s="9" t="inlineStr">
        <is>
          <t>空</t>
        </is>
      </c>
      <c r="F711" s="2" t="inlineStr">
        <is>
          <t>★★★</t>
        </is>
      </c>
      <c r="G711" s="10" t="n">
        <v>28</v>
      </c>
      <c r="H711" s="11" t="n">
        <v>7740</v>
      </c>
      <c r="I711" s="11" t="n">
        <v>7669</v>
      </c>
      <c r="J711" s="10" t="n">
        <v>5</v>
      </c>
      <c r="K711" s="10" t="n">
        <v>30000</v>
      </c>
      <c r="L711" s="23">
        <f>IF(E711="多",1,-1)*(I711-H711)*G711*J711</f>
        <v/>
      </c>
      <c r="M711" s="24">
        <f>L711/K711</f>
        <v/>
      </c>
      <c r="N711" s="2" t="inlineStr">
        <is>
          <t>将军撤退+大将军转向</t>
        </is>
      </c>
      <c r="O711" s="2" t="inlineStr">
        <is>
          <t>否</t>
        </is>
      </c>
    </row>
    <row r="712">
      <c r="A712" s="2" t="inlineStr">
        <is>
          <t>2025-03-03</t>
        </is>
      </c>
      <c r="B712" s="2" t="inlineStr">
        <is>
          <t>2025-03-20</t>
        </is>
      </c>
      <c r="C712" s="2" t="inlineStr">
        <is>
          <t>碳酸锂</t>
        </is>
      </c>
      <c r="D712" s="2" t="inlineStr">
        <is>
          <t>LC</t>
        </is>
      </c>
      <c r="E712" s="9" t="inlineStr">
        <is>
          <t>空</t>
        </is>
      </c>
      <c r="F712" s="2" t="inlineStr">
        <is>
          <t>★★★</t>
        </is>
      </c>
      <c r="G712" s="10" t="n">
        <v>12</v>
      </c>
      <c r="H712" s="11" t="n">
        <v>75300</v>
      </c>
      <c r="I712" s="11" t="n">
        <v>73260</v>
      </c>
      <c r="J712" s="10" t="n">
        <v>1</v>
      </c>
      <c r="K712" s="10" t="n">
        <v>30000</v>
      </c>
      <c r="L712" s="23">
        <f>IF(E712="多",1,-1)*(I712-H712)*G712*J712</f>
        <v/>
      </c>
      <c r="M712" s="24">
        <f>L712/K712</f>
        <v/>
      </c>
      <c r="N712" s="2" t="inlineStr">
        <is>
          <t>将军撤退+大将军转向</t>
        </is>
      </c>
      <c r="O712" s="2" t="inlineStr">
        <is>
          <t>否</t>
        </is>
      </c>
    </row>
    <row r="713">
      <c r="A713" s="14" t="inlineStr">
        <is>
          <t>2025-03-03</t>
        </is>
      </c>
      <c r="B713" s="14" t="inlineStr">
        <is>
          <t>2025-03-20</t>
        </is>
      </c>
      <c r="C713" s="14" t="inlineStr">
        <is>
          <t>玉米</t>
        </is>
      </c>
      <c r="D713" s="14" t="inlineStr">
        <is>
          <t>C</t>
        </is>
      </c>
      <c r="E713" s="14" t="inlineStr">
        <is>
          <t>多</t>
        </is>
      </c>
      <c r="F713" s="14" t="inlineStr">
        <is>
          <t>★★</t>
        </is>
      </c>
      <c r="G713" s="14" t="n">
        <v>17</v>
      </c>
      <c r="H713" s="15" t="n">
        <v>2314</v>
      </c>
      <c r="I713" s="15" t="n">
        <v>2276.43</v>
      </c>
      <c r="J713" s="14" t="n">
        <v>10</v>
      </c>
      <c r="K713" s="14" t="n">
        <v>10000</v>
      </c>
      <c r="L713" s="25">
        <f>IF(E713="多",1,-1)*(I713-H713)*G713*J713</f>
        <v/>
      </c>
      <c r="M713" s="26">
        <f>L713/K713</f>
        <v/>
      </c>
      <c r="N713" s="14" t="inlineStr">
        <is>
          <t>止损</t>
        </is>
      </c>
      <c r="O713" s="14" t="inlineStr">
        <is>
          <t>是</t>
        </is>
      </c>
    </row>
    <row r="714">
      <c r="A714" s="14" t="inlineStr">
        <is>
          <t>2025-03-13</t>
        </is>
      </c>
      <c r="B714" s="14" t="inlineStr">
        <is>
          <t>2025-03-19</t>
        </is>
      </c>
      <c r="C714" s="14" t="inlineStr">
        <is>
          <t>工业硅</t>
        </is>
      </c>
      <c r="D714" s="14" t="inlineStr">
        <is>
          <t>SI</t>
        </is>
      </c>
      <c r="E714" s="14" t="inlineStr">
        <is>
          <t>空</t>
        </is>
      </c>
      <c r="F714" s="14" t="inlineStr">
        <is>
          <t>★★★</t>
        </is>
      </c>
      <c r="G714" s="14" t="n">
        <v>5</v>
      </c>
      <c r="H714" s="15" t="n">
        <v>9950</v>
      </c>
      <c r="I714" s="15" t="n">
        <v>9785</v>
      </c>
      <c r="J714" s="14" t="n">
        <v>5</v>
      </c>
      <c r="K714" s="14" t="n">
        <v>10000</v>
      </c>
      <c r="L714" s="25">
        <f>IF(E714="多",1,-1)*(I714-H714)*G714*J714</f>
        <v/>
      </c>
      <c r="M714" s="26">
        <f>L714/K714</f>
        <v/>
      </c>
      <c r="N714" s="14" t="inlineStr">
        <is>
          <t>将军撤退+大将军转向</t>
        </is>
      </c>
      <c r="O714" s="14" t="inlineStr">
        <is>
          <t>是</t>
        </is>
      </c>
    </row>
    <row r="715">
      <c r="A715" s="14" t="inlineStr">
        <is>
          <t>2025-03-13</t>
        </is>
      </c>
      <c r="B715" s="14" t="inlineStr">
        <is>
          <t>2025-03-14</t>
        </is>
      </c>
      <c r="C715" s="14" t="inlineStr">
        <is>
          <t>沪镍</t>
        </is>
      </c>
      <c r="D715" s="14" t="inlineStr">
        <is>
          <t>NI</t>
        </is>
      </c>
      <c r="E715" s="14" t="inlineStr">
        <is>
          <t>多</t>
        </is>
      </c>
      <c r="F715" s="14" t="inlineStr">
        <is>
          <t>★★</t>
        </is>
      </c>
      <c r="G715" s="14" t="n">
        <v>1</v>
      </c>
      <c r="H715" s="15" t="n">
        <v>132500</v>
      </c>
      <c r="I715" s="15" t="n">
        <v>133660</v>
      </c>
      <c r="J715" s="14" t="n">
        <v>1</v>
      </c>
      <c r="K715" s="14" t="n">
        <v>10000</v>
      </c>
      <c r="L715" s="25">
        <f>IF(E715="多",1,-1)*(I715-H715)*G715*J715</f>
        <v/>
      </c>
      <c r="M715" s="26">
        <f>L715/K715</f>
        <v/>
      </c>
      <c r="N715" s="14" t="inlineStr">
        <is>
          <t>大将军转向</t>
        </is>
      </c>
      <c r="O715" s="14" t="inlineStr">
        <is>
          <t>是</t>
        </is>
      </c>
    </row>
    <row r="716">
      <c r="A716" s="2" t="inlineStr">
        <is>
          <t>2025-03-12</t>
        </is>
      </c>
      <c r="B716" s="2" t="inlineStr">
        <is>
          <t>2025-03-14</t>
        </is>
      </c>
      <c r="C716" s="2" t="inlineStr">
        <is>
          <t>硅铁</t>
        </is>
      </c>
      <c r="D716" s="2" t="inlineStr">
        <is>
          <t>SF</t>
        </is>
      </c>
      <c r="E716" s="9" t="inlineStr">
        <is>
          <t>空</t>
        </is>
      </c>
      <c r="F716" s="2" t="inlineStr">
        <is>
          <t>★★★</t>
        </is>
      </c>
      <c r="G716" s="10" t="n">
        <v>38</v>
      </c>
      <c r="H716" s="11" t="n">
        <v>5984</v>
      </c>
      <c r="I716" s="11" t="n">
        <v>6106.14</v>
      </c>
      <c r="J716" s="10" t="n">
        <v>5</v>
      </c>
      <c r="K716" s="10" t="n">
        <v>30000</v>
      </c>
      <c r="L716" s="23">
        <f>IF(E716="多",1,-1)*(I716-H716)*G716*J716</f>
        <v/>
      </c>
      <c r="M716" s="24">
        <f>L716/K716</f>
        <v/>
      </c>
      <c r="N716" s="2" t="inlineStr">
        <is>
          <t>止损</t>
        </is>
      </c>
      <c r="O716" s="2" t="inlineStr">
        <is>
          <t>否</t>
        </is>
      </c>
    </row>
    <row r="717">
      <c r="A717" s="14" t="inlineStr">
        <is>
          <t>2025-03-12</t>
        </is>
      </c>
      <c r="B717" s="14" t="inlineStr">
        <is>
          <t>2025-03-13</t>
        </is>
      </c>
      <c r="C717" s="14" t="inlineStr">
        <is>
          <t>螺纹钢</t>
        </is>
      </c>
      <c r="D717" s="14" t="inlineStr">
        <is>
          <t>RB</t>
        </is>
      </c>
      <c r="E717" s="14" t="inlineStr">
        <is>
          <t>空</t>
        </is>
      </c>
      <c r="F717" s="14" t="inlineStr">
        <is>
          <t>★★</t>
        </is>
      </c>
      <c r="G717" s="14" t="n">
        <v>7</v>
      </c>
      <c r="H717" s="15" t="n">
        <v>3230</v>
      </c>
      <c r="I717" s="15" t="n">
        <v>3256</v>
      </c>
      <c r="J717" s="14" t="n">
        <v>10</v>
      </c>
      <c r="K717" s="14" t="n">
        <v>10000</v>
      </c>
      <c r="L717" s="25">
        <f>IF(E717="多",1,-1)*(I717-H717)*G717*J717</f>
        <v/>
      </c>
      <c r="M717" s="26">
        <f>L717/K717</f>
        <v/>
      </c>
      <c r="N717" s="14" t="inlineStr">
        <is>
          <t>大将军转向</t>
        </is>
      </c>
      <c r="O717" s="14" t="inlineStr">
        <is>
          <t>是</t>
        </is>
      </c>
    </row>
    <row r="718">
      <c r="A718" s="14" t="inlineStr">
        <is>
          <t>2025-03-10</t>
        </is>
      </c>
      <c r="B718" s="14" t="inlineStr">
        <is>
          <t>2025-03-12</t>
        </is>
      </c>
      <c r="C718" s="14" t="inlineStr">
        <is>
          <t>铁矿石</t>
        </is>
      </c>
      <c r="D718" s="14" t="inlineStr">
        <is>
          <t>I</t>
        </is>
      </c>
      <c r="E718" s="14" t="inlineStr">
        <is>
          <t>空</t>
        </is>
      </c>
      <c r="F718" s="14" t="inlineStr">
        <is>
          <t>★★</t>
        </is>
      </c>
      <c r="G718" s="14" t="n">
        <v>2</v>
      </c>
      <c r="H718" s="15" t="n">
        <v>771</v>
      </c>
      <c r="I718" s="15" t="n">
        <v>769.5</v>
      </c>
      <c r="J718" s="14" t="n">
        <v>100</v>
      </c>
      <c r="K718" s="14" t="n">
        <v>10000</v>
      </c>
      <c r="L718" s="25">
        <f>IF(E718="多",1,-1)*(I718-H718)*G718*J718</f>
        <v/>
      </c>
      <c r="M718" s="26">
        <f>L718/K718</f>
        <v/>
      </c>
      <c r="N718" s="14" t="inlineStr">
        <is>
          <t>大将军转向</t>
        </is>
      </c>
      <c r="O718" s="14" t="inlineStr">
        <is>
          <t>是</t>
        </is>
      </c>
    </row>
    <row r="719">
      <c r="A719" s="2" t="inlineStr">
        <is>
          <t>2025-03-10</t>
        </is>
      </c>
      <c r="B719" s="2" t="inlineStr">
        <is>
          <t>2025-03-12</t>
        </is>
      </c>
      <c r="C719" s="2" t="inlineStr">
        <is>
          <t>玻璃</t>
        </is>
      </c>
      <c r="D719" s="2" t="inlineStr">
        <is>
          <t>FG</t>
        </is>
      </c>
      <c r="E719" s="9" t="inlineStr">
        <is>
          <t>空</t>
        </is>
      </c>
      <c r="F719" s="2" t="inlineStr">
        <is>
          <t>★★★</t>
        </is>
      </c>
      <c r="G719" s="10" t="n">
        <v>16</v>
      </c>
      <c r="H719" s="11" t="n">
        <v>1146</v>
      </c>
      <c r="I719" s="11" t="n">
        <v>1147</v>
      </c>
      <c r="J719" s="10" t="n">
        <v>20</v>
      </c>
      <c r="K719" s="10" t="n">
        <v>30000</v>
      </c>
      <c r="L719" s="23">
        <f>IF(E719="多",1,-1)*(I719-H719)*G719*J719</f>
        <v/>
      </c>
      <c r="M719" s="24">
        <f>L719/K719</f>
        <v/>
      </c>
      <c r="N719" s="2" t="inlineStr">
        <is>
          <t>大将军转向</t>
        </is>
      </c>
      <c r="O719" s="2" t="inlineStr">
        <is>
          <t>否</t>
        </is>
      </c>
    </row>
    <row r="720">
      <c r="A720" s="2" t="inlineStr">
        <is>
          <t>2025-03-07</t>
        </is>
      </c>
      <c r="B720" s="2" t="inlineStr">
        <is>
          <t>2025-03-11</t>
        </is>
      </c>
      <c r="C720" s="2" t="inlineStr">
        <is>
          <t>工业硅</t>
        </is>
      </c>
      <c r="D720" s="2" t="inlineStr">
        <is>
          <t>SI</t>
        </is>
      </c>
      <c r="E720" s="9" t="inlineStr">
        <is>
          <t>空</t>
        </is>
      </c>
      <c r="F720" s="2" t="inlineStr">
        <is>
          <t>★★★</t>
        </is>
      </c>
      <c r="G720" s="10" t="n">
        <v>15</v>
      </c>
      <c r="H720" s="11" t="n">
        <v>10125</v>
      </c>
      <c r="I720" s="11" t="n">
        <v>9985</v>
      </c>
      <c r="J720" s="10" t="n">
        <v>5</v>
      </c>
      <c r="K720" s="10" t="n">
        <v>30000</v>
      </c>
      <c r="L720" s="23">
        <f>IF(E720="多",1,-1)*(I720-H720)*G720*J720</f>
        <v/>
      </c>
      <c r="M720" s="24">
        <f>L720/K720</f>
        <v/>
      </c>
      <c r="N720" s="2" t="inlineStr">
        <is>
          <t>大将军转向</t>
        </is>
      </c>
      <c r="O720" s="2" t="inlineStr">
        <is>
          <t>否</t>
        </is>
      </c>
    </row>
    <row r="721">
      <c r="A721" s="2" t="inlineStr">
        <is>
          <t>2025-02-21</t>
        </is>
      </c>
      <c r="B721" s="2" t="inlineStr">
        <is>
          <t>2025-03-10</t>
        </is>
      </c>
      <c r="C721" s="2" t="inlineStr">
        <is>
          <t>螺纹钢</t>
        </is>
      </c>
      <c r="D721" s="2" t="inlineStr">
        <is>
          <t>RB</t>
        </is>
      </c>
      <c r="E721" s="19" t="inlineStr">
        <is>
          <t>多</t>
        </is>
      </c>
      <c r="F721" s="2" t="inlineStr">
        <is>
          <t>★★★</t>
        </is>
      </c>
      <c r="G721" s="10" t="n">
        <v>21</v>
      </c>
      <c r="H721" s="11" t="n">
        <v>3340</v>
      </c>
      <c r="I721" s="11" t="n">
        <v>3218.07</v>
      </c>
      <c r="J721" s="10" t="n">
        <v>10</v>
      </c>
      <c r="K721" s="10" t="n">
        <v>30000</v>
      </c>
      <c r="L721" s="23">
        <f>IF(E721="多",1,-1)*(I721-H721)*G721*J721</f>
        <v/>
      </c>
      <c r="M721" s="24">
        <f>L721/K721</f>
        <v/>
      </c>
      <c r="N721" s="2" t="inlineStr">
        <is>
          <t>止损</t>
        </is>
      </c>
      <c r="O721" s="2" t="inlineStr">
        <is>
          <t>否</t>
        </is>
      </c>
    </row>
    <row r="722">
      <c r="A722" s="14" t="inlineStr">
        <is>
          <t>2025-02-12</t>
        </is>
      </c>
      <c r="B722" s="14" t="inlineStr">
        <is>
          <t>2025-03-10</t>
        </is>
      </c>
      <c r="C722" s="14" t="inlineStr">
        <is>
          <t>豆油</t>
        </is>
      </c>
      <c r="D722" s="14" t="inlineStr">
        <is>
          <t>Y</t>
        </is>
      </c>
      <c r="E722" s="14" t="inlineStr">
        <is>
          <t>空</t>
        </is>
      </c>
      <c r="F722" s="14" t="inlineStr">
        <is>
          <t>★★</t>
        </is>
      </c>
      <c r="G722" s="14" t="n">
        <v>2</v>
      </c>
      <c r="H722" s="15" t="n">
        <v>8008</v>
      </c>
      <c r="I722" s="15" t="n">
        <v>8106.43</v>
      </c>
      <c r="J722" s="14" t="n">
        <v>10</v>
      </c>
      <c r="K722" s="14" t="n">
        <v>10000</v>
      </c>
      <c r="L722" s="25">
        <f>IF(E722="多",1,-1)*(I722-H722)*G722*J722</f>
        <v/>
      </c>
      <c r="M722" s="26">
        <f>L722/K722</f>
        <v/>
      </c>
      <c r="N722" s="14" t="inlineStr">
        <is>
          <t>止损</t>
        </is>
      </c>
      <c r="O722" s="14" t="inlineStr">
        <is>
          <t>是</t>
        </is>
      </c>
    </row>
    <row r="723">
      <c r="A723" s="14" t="inlineStr">
        <is>
          <t>2025-02-12</t>
        </is>
      </c>
      <c r="B723" s="14" t="inlineStr">
        <is>
          <t>2025-03-07</t>
        </is>
      </c>
      <c r="C723" s="14" t="inlineStr">
        <is>
          <t>玻璃</t>
        </is>
      </c>
      <c r="D723" s="14" t="inlineStr">
        <is>
          <t>FG</t>
        </is>
      </c>
      <c r="E723" s="14" t="inlineStr">
        <is>
          <t>空</t>
        </is>
      </c>
      <c r="F723" s="14" t="inlineStr">
        <is>
          <t>★★★</t>
        </is>
      </c>
      <c r="G723" s="14" t="n">
        <v>4</v>
      </c>
      <c r="H723" s="15" t="n">
        <v>1323</v>
      </c>
      <c r="I723" s="15" t="n">
        <v>1182</v>
      </c>
      <c r="J723" s="14" t="n">
        <v>20</v>
      </c>
      <c r="K723" s="14" t="n">
        <v>10000</v>
      </c>
      <c r="L723" s="25">
        <f>IF(E723="多",1,-1)*(I723-H723)*G723*J723</f>
        <v/>
      </c>
      <c r="M723" s="26">
        <f>L723/K723</f>
        <v/>
      </c>
      <c r="N723" s="14" t="inlineStr">
        <is>
          <t>大将军转向</t>
        </is>
      </c>
      <c r="O723" s="14" t="inlineStr">
        <is>
          <t>是</t>
        </is>
      </c>
    </row>
    <row r="724">
      <c r="A724" s="2" t="inlineStr">
        <is>
          <t>2025-03-05</t>
        </is>
      </c>
      <c r="B724" s="2" t="inlineStr">
        <is>
          <t>2025-03-06</t>
        </is>
      </c>
      <c r="C724" s="2" t="inlineStr">
        <is>
          <t>甲醇</t>
        </is>
      </c>
      <c r="D724" s="2" t="inlineStr">
        <is>
          <t>MA</t>
        </is>
      </c>
      <c r="E724" s="9" t="inlineStr">
        <is>
          <t>空</t>
        </is>
      </c>
      <c r="F724" s="2" t="inlineStr">
        <is>
          <t>★★★</t>
        </is>
      </c>
      <c r="G724" s="10" t="n">
        <v>30</v>
      </c>
      <c r="H724" s="11" t="n">
        <v>2591</v>
      </c>
      <c r="I724" s="11" t="n">
        <v>2571</v>
      </c>
      <c r="J724" s="10" t="n">
        <v>10</v>
      </c>
      <c r="K724" s="10" t="n">
        <v>30000</v>
      </c>
      <c r="L724" s="23">
        <f>IF(E724="多",1,-1)*(I724-H724)*G724*J724</f>
        <v/>
      </c>
      <c r="M724" s="24">
        <f>L724/K724</f>
        <v/>
      </c>
      <c r="N724" s="2" t="inlineStr">
        <is>
          <t>将军撤退</t>
        </is>
      </c>
      <c r="O724" s="2" t="inlineStr">
        <is>
          <t>否</t>
        </is>
      </c>
    </row>
    <row r="725">
      <c r="A725" s="14" t="inlineStr">
        <is>
          <t>2025-02-20</t>
        </is>
      </c>
      <c r="B725" s="14" t="inlineStr">
        <is>
          <t>2025-03-06</t>
        </is>
      </c>
      <c r="C725" s="14" t="inlineStr">
        <is>
          <t>沪铝</t>
        </is>
      </c>
      <c r="D725" s="14" t="inlineStr">
        <is>
          <t>AL</t>
        </is>
      </c>
      <c r="E725" s="14" t="inlineStr">
        <is>
          <t>多</t>
        </is>
      </c>
      <c r="F725" s="14" t="inlineStr">
        <is>
          <t>★★</t>
        </is>
      </c>
      <c r="G725" s="14" t="n">
        <v>2</v>
      </c>
      <c r="H725" s="15" t="n">
        <v>20865</v>
      </c>
      <c r="I725" s="15" t="n">
        <v>20865</v>
      </c>
      <c r="J725" s="14" t="n">
        <v>5</v>
      </c>
      <c r="K725" s="14" t="n">
        <v>10000</v>
      </c>
      <c r="L725" s="25">
        <f>IF(E725="多",1,-1)*(I725-H725)*G725*J725</f>
        <v/>
      </c>
      <c r="M725" s="26">
        <f>L725/K725</f>
        <v/>
      </c>
      <c r="N725" s="14" t="inlineStr">
        <is>
          <t>将军撤退</t>
        </is>
      </c>
      <c r="O725" s="14" t="inlineStr">
        <is>
          <t>是</t>
        </is>
      </c>
    </row>
    <row r="726">
      <c r="A726" s="2" t="inlineStr">
        <is>
          <t>2025-03-04</t>
        </is>
      </c>
      <c r="B726" s="2" t="inlineStr">
        <is>
          <t>2025-03-05</t>
        </is>
      </c>
      <c r="C726" s="2" t="inlineStr">
        <is>
          <t>工业硅</t>
        </is>
      </c>
      <c r="D726" s="2" t="inlineStr">
        <is>
          <t>SI</t>
        </is>
      </c>
      <c r="E726" s="9" t="inlineStr">
        <is>
          <t>空</t>
        </is>
      </c>
      <c r="F726" s="2" t="inlineStr">
        <is>
          <t>★★★</t>
        </is>
      </c>
      <c r="G726" s="10" t="n">
        <v>13</v>
      </c>
      <c r="H726" s="11" t="n">
        <v>10320</v>
      </c>
      <c r="I726" s="11" t="n">
        <v>10190</v>
      </c>
      <c r="J726" s="10" t="n">
        <v>5</v>
      </c>
      <c r="K726" s="10" t="n">
        <v>30000</v>
      </c>
      <c r="L726" s="23">
        <f>IF(E726="多",1,-1)*(I726-H726)*G726*J726</f>
        <v/>
      </c>
      <c r="M726" s="24">
        <f>L726/K726</f>
        <v/>
      </c>
      <c r="N726" s="2" t="inlineStr">
        <is>
          <t>将军撤退</t>
        </is>
      </c>
      <c r="O726" s="2" t="inlineStr">
        <is>
          <t>否</t>
        </is>
      </c>
    </row>
    <row r="727">
      <c r="A727" s="14" t="inlineStr">
        <is>
          <t>2025-02-28</t>
        </is>
      </c>
      <c r="B727" s="14" t="inlineStr">
        <is>
          <t>2025-03-03</t>
        </is>
      </c>
      <c r="C727" s="14" t="inlineStr">
        <is>
          <t>工业硅</t>
        </is>
      </c>
      <c r="D727" s="14" t="inlineStr">
        <is>
          <t>SI</t>
        </is>
      </c>
      <c r="E727" s="14" t="inlineStr">
        <is>
          <t>空</t>
        </is>
      </c>
      <c r="F727" s="14" t="inlineStr">
        <is>
          <t>★★</t>
        </is>
      </c>
      <c r="G727" s="14" t="n">
        <v>4</v>
      </c>
      <c r="H727" s="15" t="n">
        <v>10350</v>
      </c>
      <c r="I727" s="15" t="n">
        <v>10405</v>
      </c>
      <c r="J727" s="14" t="n">
        <v>5</v>
      </c>
      <c r="K727" s="14" t="n">
        <v>10000</v>
      </c>
      <c r="L727" s="25">
        <f>IF(E727="多",1,-1)*(I727-H727)*G727*J727</f>
        <v/>
      </c>
      <c r="M727" s="26">
        <f>L727/K727</f>
        <v/>
      </c>
      <c r="N727" s="14" t="inlineStr">
        <is>
          <t>将军撤退</t>
        </is>
      </c>
      <c r="O727" s="14" t="inlineStr">
        <is>
          <t>是</t>
        </is>
      </c>
    </row>
    <row r="728">
      <c r="A728" s="14" t="inlineStr">
        <is>
          <t>2025-02-21</t>
        </is>
      </c>
      <c r="B728" s="14" t="inlineStr">
        <is>
          <t>2025-03-03</t>
        </is>
      </c>
      <c r="C728" s="14" t="inlineStr">
        <is>
          <t>铁矿石</t>
        </is>
      </c>
      <c r="D728" s="14" t="inlineStr">
        <is>
          <t>I</t>
        </is>
      </c>
      <c r="E728" s="14" t="inlineStr">
        <is>
          <t>多</t>
        </is>
      </c>
      <c r="F728" s="14" t="inlineStr">
        <is>
          <t>★★</t>
        </is>
      </c>
      <c r="G728" s="14" t="n">
        <v>1</v>
      </c>
      <c r="H728" s="15" t="n">
        <v>832</v>
      </c>
      <c r="I728" s="15" t="n">
        <v>785.8200000000001</v>
      </c>
      <c r="J728" s="14" t="n">
        <v>100</v>
      </c>
      <c r="K728" s="14" t="n">
        <v>10000</v>
      </c>
      <c r="L728" s="25">
        <f>IF(E728="多",1,-1)*(I728-H728)*G728*J728</f>
        <v/>
      </c>
      <c r="M728" s="26">
        <f>L728/K728</f>
        <v/>
      </c>
      <c r="N728" s="14" t="inlineStr">
        <is>
          <t>止损</t>
        </is>
      </c>
      <c r="O728" s="14" t="inlineStr">
        <is>
          <t>是</t>
        </is>
      </c>
    </row>
    <row r="729">
      <c r="A729" s="14" t="inlineStr">
        <is>
          <t>2025-02-18</t>
        </is>
      </c>
      <c r="B729" s="14" t="inlineStr">
        <is>
          <t>2025-02-28</t>
        </is>
      </c>
      <c r="C729" s="14" t="inlineStr">
        <is>
          <t>白糖</t>
        </is>
      </c>
      <c r="D729" s="14" t="inlineStr">
        <is>
          <t>SR</t>
        </is>
      </c>
      <c r="E729" s="14" t="inlineStr">
        <is>
          <t>多</t>
        </is>
      </c>
      <c r="F729" s="14" t="inlineStr">
        <is>
          <t>★★★</t>
        </is>
      </c>
      <c r="G729" s="14" t="n">
        <v>6</v>
      </c>
      <c r="H729" s="15" t="n">
        <v>5988</v>
      </c>
      <c r="I729" s="15" t="n">
        <v>5931</v>
      </c>
      <c r="J729" s="14" t="n">
        <v>10</v>
      </c>
      <c r="K729" s="14" t="n">
        <v>10000</v>
      </c>
      <c r="L729" s="25">
        <f>IF(E729="多",1,-1)*(I729-H729)*G729*J729</f>
        <v/>
      </c>
      <c r="M729" s="26">
        <f>L729/K729</f>
        <v/>
      </c>
      <c r="N729" s="14" t="inlineStr">
        <is>
          <t>大将军转向</t>
        </is>
      </c>
      <c r="O729" s="14" t="inlineStr">
        <is>
          <t>是</t>
        </is>
      </c>
    </row>
    <row r="730">
      <c r="A730" s="14" t="inlineStr">
        <is>
          <t>2025-02-18</t>
        </is>
      </c>
      <c r="B730" s="14" t="inlineStr">
        <is>
          <t>2025-02-28</t>
        </is>
      </c>
      <c r="C730" s="14" t="inlineStr">
        <is>
          <t>甲醇</t>
        </is>
      </c>
      <c r="D730" s="14" t="inlineStr">
        <is>
          <t>MA</t>
        </is>
      </c>
      <c r="E730" s="14" t="inlineStr">
        <is>
          <t>空</t>
        </is>
      </c>
      <c r="F730" s="14" t="inlineStr">
        <is>
          <t>★★</t>
        </is>
      </c>
      <c r="G730" s="14" t="n">
        <v>9</v>
      </c>
      <c r="H730" s="15" t="n">
        <v>2546</v>
      </c>
      <c r="I730" s="15" t="n">
        <v>2586</v>
      </c>
      <c r="J730" s="14" t="n">
        <v>10</v>
      </c>
      <c r="K730" s="14" t="n">
        <v>10000</v>
      </c>
      <c r="L730" s="25">
        <f>IF(E730="多",1,-1)*(I730-H730)*G730*J730</f>
        <v/>
      </c>
      <c r="M730" s="26">
        <f>L730/K730</f>
        <v/>
      </c>
      <c r="N730" s="14" t="inlineStr">
        <is>
          <t>大将军转向</t>
        </is>
      </c>
      <c r="O730" s="14" t="inlineStr">
        <is>
          <t>是</t>
        </is>
      </c>
    </row>
    <row r="731">
      <c r="A731" s="14" t="inlineStr">
        <is>
          <t>2025-02-18</t>
        </is>
      </c>
      <c r="B731" s="14" t="inlineStr">
        <is>
          <t>2025-02-28</t>
        </is>
      </c>
      <c r="C731" s="14" t="inlineStr">
        <is>
          <t>棉花</t>
        </is>
      </c>
      <c r="D731" s="14" t="inlineStr">
        <is>
          <t>CF</t>
        </is>
      </c>
      <c r="E731" s="14" t="inlineStr">
        <is>
          <t>多</t>
        </is>
      </c>
      <c r="F731" s="14" t="inlineStr">
        <is>
          <t>★★</t>
        </is>
      </c>
      <c r="G731" s="14" t="n">
        <v>5</v>
      </c>
      <c r="H731" s="15" t="n">
        <v>13890</v>
      </c>
      <c r="I731" s="15" t="n">
        <v>13636.43</v>
      </c>
      <c r="J731" s="14" t="n">
        <v>5</v>
      </c>
      <c r="K731" s="14" t="n">
        <v>10000</v>
      </c>
      <c r="L731" s="25">
        <f>IF(E731="多",1,-1)*(I731-H731)*G731*J731</f>
        <v/>
      </c>
      <c r="M731" s="26">
        <f>L731/K731</f>
        <v/>
      </c>
      <c r="N731" s="14" t="inlineStr">
        <is>
          <t>止损</t>
        </is>
      </c>
      <c r="O731" s="14" t="inlineStr">
        <is>
          <t>是</t>
        </is>
      </c>
    </row>
    <row r="732">
      <c r="A732" s="2" t="inlineStr">
        <is>
          <t>2025-02-25</t>
        </is>
      </c>
      <c r="B732" s="2" t="inlineStr">
        <is>
          <t>2025-02-26</t>
        </is>
      </c>
      <c r="C732" s="2" t="inlineStr">
        <is>
          <t>工业硅</t>
        </is>
      </c>
      <c r="D732" s="2" t="inlineStr">
        <is>
          <t>SI</t>
        </is>
      </c>
      <c r="E732" s="9" t="inlineStr">
        <is>
          <t>空</t>
        </is>
      </c>
      <c r="F732" s="2" t="inlineStr">
        <is>
          <t>★★★</t>
        </is>
      </c>
      <c r="G732" s="10" t="n">
        <v>11</v>
      </c>
      <c r="H732" s="11" t="n">
        <v>10425</v>
      </c>
      <c r="I732" s="11" t="n">
        <v>10335</v>
      </c>
      <c r="J732" s="10" t="n">
        <v>5</v>
      </c>
      <c r="K732" s="10" t="n">
        <v>30000</v>
      </c>
      <c r="L732" s="23">
        <f>IF(E732="多",1,-1)*(I732-H732)*G732*J732</f>
        <v/>
      </c>
      <c r="M732" s="24">
        <f>L732/K732</f>
        <v/>
      </c>
      <c r="N732" s="2" t="inlineStr">
        <is>
          <t>大将军转向</t>
        </is>
      </c>
      <c r="O732" s="2" t="inlineStr">
        <is>
          <t>否</t>
        </is>
      </c>
    </row>
    <row r="733">
      <c r="A733" s="14" t="inlineStr">
        <is>
          <t>2025-01-27</t>
        </is>
      </c>
      <c r="B733" s="14" t="inlineStr">
        <is>
          <t>2025-02-26</t>
        </is>
      </c>
      <c r="C733" s="14" t="inlineStr">
        <is>
          <t>碳酸锂</t>
        </is>
      </c>
      <c r="D733" s="14" t="inlineStr">
        <is>
          <t>LC</t>
        </is>
      </c>
      <c r="E733" s="14" t="inlineStr">
        <is>
          <t>多</t>
        </is>
      </c>
      <c r="F733" s="14" t="inlineStr">
        <is>
          <t>★★</t>
        </is>
      </c>
      <c r="G733" s="14" t="n">
        <v>2</v>
      </c>
      <c r="H733" s="15" t="n">
        <v>78740</v>
      </c>
      <c r="I733" s="15" t="n">
        <v>76468.57000000001</v>
      </c>
      <c r="J733" s="14" t="n">
        <v>1</v>
      </c>
      <c r="K733" s="14" t="n">
        <v>10000</v>
      </c>
      <c r="L733" s="25">
        <f>IF(E733="多",1,-1)*(I733-H733)*G733*J733</f>
        <v/>
      </c>
      <c r="M733" s="26">
        <f>L733/K733</f>
        <v/>
      </c>
      <c r="N733" s="14" t="inlineStr">
        <is>
          <t>止损</t>
        </is>
      </c>
      <c r="O733" s="14" t="inlineStr">
        <is>
          <t>是</t>
        </is>
      </c>
    </row>
    <row r="734">
      <c r="A734" s="14" t="inlineStr">
        <is>
          <t>2025-01-24</t>
        </is>
      </c>
      <c r="B734" s="14" t="inlineStr">
        <is>
          <t>2025-02-26</t>
        </is>
      </c>
      <c r="C734" s="14" t="inlineStr">
        <is>
          <t>沥青</t>
        </is>
      </c>
      <c r="D734" s="14" t="inlineStr">
        <is>
          <t>BU</t>
        </is>
      </c>
      <c r="E734" s="14" t="inlineStr">
        <is>
          <t>多</t>
        </is>
      </c>
      <c r="F734" s="14" t="inlineStr">
        <is>
          <t>★★</t>
        </is>
      </c>
      <c r="G734" s="14" t="n">
        <v>4</v>
      </c>
      <c r="H734" s="15" t="n">
        <v>3751</v>
      </c>
      <c r="I734" s="15" t="n">
        <v>3713.64</v>
      </c>
      <c r="J734" s="14" t="n">
        <v>10</v>
      </c>
      <c r="K734" s="14" t="n">
        <v>10000</v>
      </c>
      <c r="L734" s="25">
        <f>IF(E734="多",1,-1)*(I734-H734)*G734*J734</f>
        <v/>
      </c>
      <c r="M734" s="26">
        <f>L734/K734</f>
        <v/>
      </c>
      <c r="N734" s="14" t="inlineStr">
        <is>
          <t>止损</t>
        </is>
      </c>
      <c r="O734" s="14" t="inlineStr">
        <is>
          <t>是</t>
        </is>
      </c>
    </row>
    <row r="735">
      <c r="A735" s="14" t="inlineStr">
        <is>
          <t>2025-01-24</t>
        </is>
      </c>
      <c r="B735" s="14" t="inlineStr">
        <is>
          <t>2025-02-25</t>
        </is>
      </c>
      <c r="C735" s="14" t="inlineStr">
        <is>
          <t>沪镍</t>
        </is>
      </c>
      <c r="D735" s="14" t="inlineStr">
        <is>
          <t>NI</t>
        </is>
      </c>
      <c r="E735" s="14" t="inlineStr">
        <is>
          <t>空</t>
        </is>
      </c>
      <c r="F735" s="14" t="inlineStr">
        <is>
          <t>★★</t>
        </is>
      </c>
      <c r="G735" s="14" t="n">
        <v>1</v>
      </c>
      <c r="H735" s="15" t="n">
        <v>124460</v>
      </c>
      <c r="I735" s="15" t="n">
        <v>124350</v>
      </c>
      <c r="J735" s="14" t="n">
        <v>1</v>
      </c>
      <c r="K735" s="14" t="n">
        <v>10000</v>
      </c>
      <c r="L735" s="25">
        <f>IF(E735="多",1,-1)*(I735-H735)*G735*J735</f>
        <v/>
      </c>
      <c r="M735" s="26">
        <f>L735/K735</f>
        <v/>
      </c>
      <c r="N735" s="14" t="inlineStr">
        <is>
          <t>大将军转向</t>
        </is>
      </c>
      <c r="O735" s="14" t="inlineStr">
        <is>
          <t>是</t>
        </is>
      </c>
    </row>
    <row r="736">
      <c r="A736" s="2" t="inlineStr">
        <is>
          <t>2025-02-21</t>
        </is>
      </c>
      <c r="B736" s="2" t="inlineStr">
        <is>
          <t>2025-02-24</t>
        </is>
      </c>
      <c r="C736" s="2" t="inlineStr">
        <is>
          <t>工业硅</t>
        </is>
      </c>
      <c r="D736" s="2" t="inlineStr">
        <is>
          <t>SI</t>
        </is>
      </c>
      <c r="E736" s="9" t="inlineStr">
        <is>
          <t>空</t>
        </is>
      </c>
      <c r="F736" s="2" t="inlineStr">
        <is>
          <t>★★★</t>
        </is>
      </c>
      <c r="G736" s="10" t="n">
        <v>9</v>
      </c>
      <c r="H736" s="11" t="n">
        <v>10475</v>
      </c>
      <c r="I736" s="11" t="n">
        <v>10490</v>
      </c>
      <c r="J736" s="10" t="n">
        <v>5</v>
      </c>
      <c r="K736" s="10" t="n">
        <v>30000</v>
      </c>
      <c r="L736" s="23">
        <f>IF(E736="多",1,-1)*(I736-H736)*G736*J736</f>
        <v/>
      </c>
      <c r="M736" s="24">
        <f>L736/K736</f>
        <v/>
      </c>
      <c r="N736" s="2" t="inlineStr">
        <is>
          <t>大将军转向</t>
        </is>
      </c>
      <c r="O736" s="2" t="inlineStr">
        <is>
          <t>否</t>
        </is>
      </c>
    </row>
    <row r="737">
      <c r="A737" s="2" t="inlineStr">
        <is>
          <t>2025-02-19</t>
        </is>
      </c>
      <c r="B737" s="2" t="inlineStr">
        <is>
          <t>2025-02-24</t>
        </is>
      </c>
      <c r="C737" s="2" t="inlineStr">
        <is>
          <t>棕榈油</t>
        </is>
      </c>
      <c r="D737" s="2" t="inlineStr">
        <is>
          <t>P</t>
        </is>
      </c>
      <c r="E737" s="19" t="inlineStr">
        <is>
          <t>多</t>
        </is>
      </c>
      <c r="F737" s="2" t="inlineStr">
        <is>
          <t>★★★</t>
        </is>
      </c>
      <c r="G737" s="10" t="n">
        <v>5</v>
      </c>
      <c r="H737" s="11" t="n">
        <v>9260</v>
      </c>
      <c r="I737" s="11" t="n">
        <v>9240</v>
      </c>
      <c r="J737" s="10" t="n">
        <v>10</v>
      </c>
      <c r="K737" s="10" t="n">
        <v>30000</v>
      </c>
      <c r="L737" s="23">
        <f>IF(E737="多",1,-1)*(I737-H737)*G737*J737</f>
        <v/>
      </c>
      <c r="M737" s="24">
        <f>L737/K737</f>
        <v/>
      </c>
      <c r="N737" s="2" t="inlineStr">
        <is>
          <t>将军撤退</t>
        </is>
      </c>
      <c r="O737" s="2" t="inlineStr">
        <is>
          <t>否</t>
        </is>
      </c>
    </row>
    <row r="738">
      <c r="A738" s="14" t="inlineStr">
        <is>
          <t>2025-02-11</t>
        </is>
      </c>
      <c r="B738" s="14" t="inlineStr">
        <is>
          <t>2025-02-20</t>
        </is>
      </c>
      <c r="C738" s="14" t="inlineStr">
        <is>
          <t>菜粕</t>
        </is>
      </c>
      <c r="D738" s="14" t="inlineStr">
        <is>
          <t>RM</t>
        </is>
      </c>
      <c r="E738" s="14" t="inlineStr">
        <is>
          <t>多</t>
        </is>
      </c>
      <c r="F738" s="14" t="inlineStr">
        <is>
          <t>★★</t>
        </is>
      </c>
      <c r="G738" s="14" t="n">
        <v>5</v>
      </c>
      <c r="H738" s="15" t="n">
        <v>2539</v>
      </c>
      <c r="I738" s="15" t="n">
        <v>2615</v>
      </c>
      <c r="J738" s="14" t="n">
        <v>10</v>
      </c>
      <c r="K738" s="14" t="n">
        <v>10000</v>
      </c>
      <c r="L738" s="25">
        <f>IF(E738="多",1,-1)*(I738-H738)*G738*J738</f>
        <v/>
      </c>
      <c r="M738" s="26">
        <f>L738/K738</f>
        <v/>
      </c>
      <c r="N738" s="14" t="inlineStr">
        <is>
          <t>大将军转向</t>
        </is>
      </c>
      <c r="O738" s="14" t="inlineStr">
        <is>
          <t>是</t>
        </is>
      </c>
    </row>
    <row r="739">
      <c r="A739" s="14" t="inlineStr">
        <is>
          <t>2025-02-14</t>
        </is>
      </c>
      <c r="B739" s="14" t="inlineStr">
        <is>
          <t>2025-02-17</t>
        </is>
      </c>
      <c r="C739" s="14" t="inlineStr">
        <is>
          <t>沪铝</t>
        </is>
      </c>
      <c r="D739" s="14" t="inlineStr">
        <is>
          <t>AL</t>
        </is>
      </c>
      <c r="E739" s="14" t="inlineStr">
        <is>
          <t>多</t>
        </is>
      </c>
      <c r="F739" s="14" t="inlineStr">
        <is>
          <t>★★</t>
        </is>
      </c>
      <c r="G739" s="14" t="n">
        <v>2</v>
      </c>
      <c r="H739" s="15" t="n">
        <v>20845</v>
      </c>
      <c r="I739" s="15" t="n">
        <v>20660</v>
      </c>
      <c r="J739" s="14" t="n">
        <v>5</v>
      </c>
      <c r="K739" s="14" t="n">
        <v>10000</v>
      </c>
      <c r="L739" s="25">
        <f>IF(E739="多",1,-1)*(I739-H739)*G739*J739</f>
        <v/>
      </c>
      <c r="M739" s="26">
        <f>L739/K739</f>
        <v/>
      </c>
      <c r="N739" s="14" t="inlineStr">
        <is>
          <t>将军撤退</t>
        </is>
      </c>
      <c r="O739" s="14" t="inlineStr">
        <is>
          <t>是</t>
        </is>
      </c>
    </row>
    <row r="740">
      <c r="A740" s="2" t="inlineStr">
        <is>
          <t>2025-02-13</t>
        </is>
      </c>
      <c r="B740" s="2" t="inlineStr">
        <is>
          <t>2025-02-17</t>
        </is>
      </c>
      <c r="C740" s="2" t="inlineStr">
        <is>
          <t>沪金</t>
        </is>
      </c>
      <c r="D740" s="2" t="inlineStr">
        <is>
          <t>AU</t>
        </is>
      </c>
      <c r="E740" s="19" t="inlineStr">
        <is>
          <t>多</t>
        </is>
      </c>
      <c r="F740" s="2" t="inlineStr">
        <is>
          <t>★★★</t>
        </is>
      </c>
      <c r="G740" s="10" t="n">
        <v>1</v>
      </c>
      <c r="H740" s="11" t="n">
        <v>685.72</v>
      </c>
      <c r="I740" s="11" t="n">
        <v>677.1</v>
      </c>
      <c r="J740" s="10" t="n">
        <v>1000</v>
      </c>
      <c r="K740" s="10" t="n">
        <v>30000</v>
      </c>
      <c r="L740" s="23">
        <f>IF(E740="多",1,-1)*(I740-H740)*G740*J740</f>
        <v/>
      </c>
      <c r="M740" s="24">
        <f>L740/K740</f>
        <v/>
      </c>
      <c r="N740" s="2" t="inlineStr">
        <is>
          <t>将军撤退+大将军转向</t>
        </is>
      </c>
      <c r="O740" s="2" t="inlineStr">
        <is>
          <t>否</t>
        </is>
      </c>
    </row>
    <row r="741">
      <c r="A741" s="14" t="inlineStr">
        <is>
          <t>2025-02-12</t>
        </is>
      </c>
      <c r="B741" s="14" t="inlineStr">
        <is>
          <t>2025-02-17</t>
        </is>
      </c>
      <c r="C741" s="14" t="inlineStr">
        <is>
          <t>豆粕</t>
        </is>
      </c>
      <c r="D741" s="14" t="inlineStr">
        <is>
          <t>M</t>
        </is>
      </c>
      <c r="E741" s="14" t="inlineStr">
        <is>
          <t>空</t>
        </is>
      </c>
      <c r="F741" s="14" t="inlineStr">
        <is>
          <t>★★</t>
        </is>
      </c>
      <c r="G741" s="14" t="n">
        <v>5</v>
      </c>
      <c r="H741" s="15" t="n">
        <v>2837</v>
      </c>
      <c r="I741" s="15" t="n">
        <v>2849</v>
      </c>
      <c r="J741" s="14" t="n">
        <v>10</v>
      </c>
      <c r="K741" s="14" t="n">
        <v>10000</v>
      </c>
      <c r="L741" s="25">
        <f>IF(E741="多",1,-1)*(I741-H741)*G741*J741</f>
        <v/>
      </c>
      <c r="M741" s="26">
        <f>L741/K741</f>
        <v/>
      </c>
      <c r="N741" s="14" t="inlineStr">
        <is>
          <t>大将军转向</t>
        </is>
      </c>
      <c r="O741" s="14" t="inlineStr">
        <is>
          <t>是</t>
        </is>
      </c>
    </row>
    <row r="742">
      <c r="A742" s="14" t="inlineStr">
        <is>
          <t>2025-01-24</t>
        </is>
      </c>
      <c r="B742" s="14" t="inlineStr">
        <is>
          <t>2025-02-17</t>
        </is>
      </c>
      <c r="C742" s="14" t="inlineStr">
        <is>
          <t>纯碱</t>
        </is>
      </c>
      <c r="D742" s="14" t="inlineStr">
        <is>
          <t>SA</t>
        </is>
      </c>
      <c r="E742" s="14" t="inlineStr">
        <is>
          <t>多</t>
        </is>
      </c>
      <c r="F742" s="14" t="inlineStr">
        <is>
          <t>★★</t>
        </is>
      </c>
      <c r="G742" s="14" t="n">
        <v>4</v>
      </c>
      <c r="H742" s="15" t="n">
        <v>1510</v>
      </c>
      <c r="I742" s="15" t="n">
        <v>1514</v>
      </c>
      <c r="J742" s="14" t="n">
        <v>20</v>
      </c>
      <c r="K742" s="14" t="n">
        <v>10000</v>
      </c>
      <c r="L742" s="25">
        <f>IF(E742="多",1,-1)*(I742-H742)*G742*J742</f>
        <v/>
      </c>
      <c r="M742" s="26">
        <f>L742/K742</f>
        <v/>
      </c>
      <c r="N742" s="14" t="inlineStr">
        <is>
          <t>大将军转向</t>
        </is>
      </c>
      <c r="O742" s="14" t="inlineStr">
        <is>
          <t>是</t>
        </is>
      </c>
    </row>
    <row r="743">
      <c r="A743" s="2" t="inlineStr">
        <is>
          <t>2025-02-12</t>
        </is>
      </c>
      <c r="B743" s="2" t="inlineStr">
        <is>
          <t>2025-02-14</t>
        </is>
      </c>
      <c r="C743" s="2" t="inlineStr">
        <is>
          <t>棕榈油</t>
        </is>
      </c>
      <c r="D743" s="2" t="inlineStr">
        <is>
          <t>P</t>
        </is>
      </c>
      <c r="E743" s="19" t="inlineStr">
        <is>
          <t>多</t>
        </is>
      </c>
      <c r="F743" s="2" t="inlineStr">
        <is>
          <t>★★★</t>
        </is>
      </c>
      <c r="G743" s="10" t="n">
        <v>5</v>
      </c>
      <c r="H743" s="11" t="n">
        <v>9110</v>
      </c>
      <c r="I743" s="11" t="n">
        <v>9078</v>
      </c>
      <c r="J743" s="10" t="n">
        <v>10</v>
      </c>
      <c r="K743" s="10" t="n">
        <v>30000</v>
      </c>
      <c r="L743" s="23">
        <f>IF(E743="多",1,-1)*(I743-H743)*G743*J743</f>
        <v/>
      </c>
      <c r="M743" s="24">
        <f>L743/K743</f>
        <v/>
      </c>
      <c r="N743" s="2" t="inlineStr">
        <is>
          <t>大将军转向</t>
        </is>
      </c>
      <c r="O743" s="2" t="inlineStr">
        <is>
          <t>否</t>
        </is>
      </c>
    </row>
    <row r="744">
      <c r="A744" s="14" t="inlineStr">
        <is>
          <t>2025-02-07</t>
        </is>
      </c>
      <c r="B744" s="14" t="inlineStr">
        <is>
          <t>2025-02-14</t>
        </is>
      </c>
      <c r="C744" s="14" t="inlineStr">
        <is>
          <t>铁矿石</t>
        </is>
      </c>
      <c r="D744" s="14" t="inlineStr">
        <is>
          <t>I</t>
        </is>
      </c>
      <c r="E744" s="14" t="inlineStr">
        <is>
          <t>多</t>
        </is>
      </c>
      <c r="F744" s="14" t="inlineStr">
        <is>
          <t>★★★</t>
        </is>
      </c>
      <c r="G744" s="14" t="n">
        <v>2</v>
      </c>
      <c r="H744" s="15" t="n">
        <v>820</v>
      </c>
      <c r="I744" s="15" t="n">
        <v>810.5</v>
      </c>
      <c r="J744" s="14" t="n">
        <v>100</v>
      </c>
      <c r="K744" s="14" t="n">
        <v>10000</v>
      </c>
      <c r="L744" s="25">
        <f>IF(E744="多",1,-1)*(I744-H744)*G744*J744</f>
        <v/>
      </c>
      <c r="M744" s="26">
        <f>L744/K744</f>
        <v/>
      </c>
      <c r="N744" s="14" t="inlineStr">
        <is>
          <t>将军撤退</t>
        </is>
      </c>
      <c r="O744" s="14" t="inlineStr">
        <is>
          <t>是</t>
        </is>
      </c>
    </row>
    <row r="745">
      <c r="A745" s="2" t="inlineStr">
        <is>
          <t>2025-02-05</t>
        </is>
      </c>
      <c r="B745" s="2" t="inlineStr">
        <is>
          <t>2025-02-13</t>
        </is>
      </c>
      <c r="C745" s="2" t="inlineStr">
        <is>
          <t>工业硅</t>
        </is>
      </c>
      <c r="D745" s="2" t="inlineStr">
        <is>
          <t>SI</t>
        </is>
      </c>
      <c r="E745" s="9" t="inlineStr">
        <is>
          <t>空</t>
        </is>
      </c>
      <c r="F745" s="2" t="inlineStr">
        <is>
          <t>★★★</t>
        </is>
      </c>
      <c r="G745" s="10" t="n">
        <v>2</v>
      </c>
      <c r="H745" s="11" t="n">
        <v>10765</v>
      </c>
      <c r="I745" s="11" t="n">
        <v>10740</v>
      </c>
      <c r="J745" s="10" t="n">
        <v>5</v>
      </c>
      <c r="K745" s="10" t="n">
        <v>10000</v>
      </c>
      <c r="L745" s="23">
        <f>IF(E745="多",1,-1)*(I745-H745)*G745*J745</f>
        <v/>
      </c>
      <c r="M745" s="24">
        <f>L745/K745</f>
        <v/>
      </c>
      <c r="N745" s="2" t="inlineStr">
        <is>
          <t>将军撤退+大将军转向</t>
        </is>
      </c>
      <c r="O745" s="2" t="inlineStr">
        <is>
          <t>否</t>
        </is>
      </c>
    </row>
    <row r="746">
      <c r="A746" s="14" t="inlineStr">
        <is>
          <t>2025-02-11</t>
        </is>
      </c>
      <c r="B746" s="14" t="inlineStr">
        <is>
          <t>2025-02-12</t>
        </is>
      </c>
      <c r="C746" s="14" t="inlineStr">
        <is>
          <t>PVC</t>
        </is>
      </c>
      <c r="D746" s="14" t="inlineStr">
        <is>
          <t>V</t>
        </is>
      </c>
      <c r="E746" s="14" t="inlineStr">
        <is>
          <t>多</t>
        </is>
      </c>
      <c r="F746" s="14" t="inlineStr">
        <is>
          <t>★★</t>
        </is>
      </c>
      <c r="G746" s="14" t="n">
        <v>7</v>
      </c>
      <c r="H746" s="15" t="n">
        <v>5225</v>
      </c>
      <c r="I746" s="15" t="n">
        <v>5273</v>
      </c>
      <c r="J746" s="14" t="n">
        <v>5</v>
      </c>
      <c r="K746" s="14" t="n">
        <v>10000</v>
      </c>
      <c r="L746" s="25">
        <f>IF(E746="多",1,-1)*(I746-H746)*G746*J746</f>
        <v/>
      </c>
      <c r="M746" s="26">
        <f>L746/K746</f>
        <v/>
      </c>
      <c r="N746" s="14" t="inlineStr">
        <is>
          <t>大将军转向</t>
        </is>
      </c>
      <c r="O746" s="14" t="inlineStr">
        <is>
          <t>是</t>
        </is>
      </c>
    </row>
    <row r="747">
      <c r="A747" s="14" t="inlineStr">
        <is>
          <t>2025-02-11</t>
        </is>
      </c>
      <c r="B747" s="14" t="inlineStr">
        <is>
          <t>2025-02-12</t>
        </is>
      </c>
      <c r="C747" s="14" t="inlineStr">
        <is>
          <t>沪银</t>
        </is>
      </c>
      <c r="D747" s="14" t="inlineStr">
        <is>
          <t>AG</t>
        </is>
      </c>
      <c r="E747" s="14" t="inlineStr">
        <is>
          <t>空</t>
        </is>
      </c>
      <c r="F747" s="14" t="inlineStr">
        <is>
          <t>★★</t>
        </is>
      </c>
      <c r="G747" s="14" t="n">
        <v>1</v>
      </c>
      <c r="H747" s="15" t="n">
        <v>7916</v>
      </c>
      <c r="I747" s="15" t="n">
        <v>7967</v>
      </c>
      <c r="J747" s="14" t="n">
        <v>15</v>
      </c>
      <c r="K747" s="14" t="n">
        <v>10000</v>
      </c>
      <c r="L747" s="25">
        <f>IF(E747="多",1,-1)*(I747-H747)*G747*J747</f>
        <v/>
      </c>
      <c r="M747" s="26">
        <f>L747/K747</f>
        <v/>
      </c>
      <c r="N747" s="14" t="inlineStr">
        <is>
          <t>大将军转向</t>
        </is>
      </c>
      <c r="O747" s="14" t="inlineStr">
        <is>
          <t>是</t>
        </is>
      </c>
    </row>
    <row r="748">
      <c r="A748" s="14" t="inlineStr">
        <is>
          <t>2025-02-10</t>
        </is>
      </c>
      <c r="B748" s="14" t="inlineStr">
        <is>
          <t>2025-02-12</t>
        </is>
      </c>
      <c r="C748" s="14" t="inlineStr">
        <is>
          <t>聚丙烯</t>
        </is>
      </c>
      <c r="D748" s="14" t="inlineStr">
        <is>
          <t>PP</t>
        </is>
      </c>
      <c r="E748" s="14" t="inlineStr">
        <is>
          <t>多</t>
        </is>
      </c>
      <c r="F748" s="14" t="inlineStr">
        <is>
          <t>★★★</t>
        </is>
      </c>
      <c r="G748" s="14" t="n">
        <v>13</v>
      </c>
      <c r="H748" s="15" t="n">
        <v>7412</v>
      </c>
      <c r="I748" s="15" t="n">
        <v>7445</v>
      </c>
      <c r="J748" s="14" t="n">
        <v>5</v>
      </c>
      <c r="K748" s="14" t="n">
        <v>10000</v>
      </c>
      <c r="L748" s="25">
        <f>IF(E748="多",1,-1)*(I748-H748)*G748*J748</f>
        <v/>
      </c>
      <c r="M748" s="26">
        <f>L748/K748</f>
        <v/>
      </c>
      <c r="N748" s="14" t="inlineStr">
        <is>
          <t>将军撤退+大将军转向</t>
        </is>
      </c>
      <c r="O748" s="14" t="inlineStr">
        <is>
          <t>是</t>
        </is>
      </c>
    </row>
    <row r="749">
      <c r="A749" s="2" t="inlineStr">
        <is>
          <t>2025-02-07</t>
        </is>
      </c>
      <c r="B749" s="2" t="inlineStr">
        <is>
          <t>2025-02-12</t>
        </is>
      </c>
      <c r="C749" s="2" t="inlineStr">
        <is>
          <t>玉米</t>
        </is>
      </c>
      <c r="D749" s="2" t="inlineStr">
        <is>
          <t>C</t>
        </is>
      </c>
      <c r="E749" s="19" t="inlineStr">
        <is>
          <t>多</t>
        </is>
      </c>
      <c r="F749" s="2" t="inlineStr">
        <is>
          <t>★★★</t>
        </is>
      </c>
      <c r="G749" s="10" t="n">
        <v>47</v>
      </c>
      <c r="H749" s="11" t="n">
        <v>2286</v>
      </c>
      <c r="I749" s="11" t="n">
        <v>2303</v>
      </c>
      <c r="J749" s="10" t="n">
        <v>10</v>
      </c>
      <c r="K749" s="10" t="n">
        <v>30000</v>
      </c>
      <c r="L749" s="23">
        <f>IF(E749="多",1,-1)*(I749-H749)*G749*J749</f>
        <v/>
      </c>
      <c r="M749" s="24">
        <f>L749/K749</f>
        <v/>
      </c>
      <c r="N749" s="2" t="inlineStr">
        <is>
          <t>大将军转向</t>
        </is>
      </c>
      <c r="O749" s="2" t="inlineStr">
        <is>
          <t>否</t>
        </is>
      </c>
    </row>
    <row r="750">
      <c r="A750" s="2" t="inlineStr">
        <is>
          <t>2025-01-24</t>
        </is>
      </c>
      <c r="B750" s="2" t="inlineStr">
        <is>
          <t>2025-02-12</t>
        </is>
      </c>
      <c r="C750" s="2" t="inlineStr">
        <is>
          <t>豆粕</t>
        </is>
      </c>
      <c r="D750" s="2" t="inlineStr">
        <is>
          <t>M</t>
        </is>
      </c>
      <c r="E750" s="19" t="inlineStr">
        <is>
          <t>多</t>
        </is>
      </c>
      <c r="F750" s="2" t="inlineStr">
        <is>
          <t>★★★</t>
        </is>
      </c>
      <c r="G750" s="10" t="n">
        <v>20</v>
      </c>
      <c r="H750" s="11" t="n">
        <v>2831</v>
      </c>
      <c r="I750" s="11" t="n">
        <v>2854</v>
      </c>
      <c r="J750" s="10" t="n">
        <v>10</v>
      </c>
      <c r="K750" s="10" t="n">
        <v>30000</v>
      </c>
      <c r="L750" s="23">
        <f>IF(E750="多",1,-1)*(I750-H750)*G750*J750</f>
        <v/>
      </c>
      <c r="M750" s="24">
        <f>L750/K750</f>
        <v/>
      </c>
      <c r="N750" s="2" t="inlineStr">
        <is>
          <t>反向信号</t>
        </is>
      </c>
      <c r="O750" s="2" t="inlineStr">
        <is>
          <t>否</t>
        </is>
      </c>
    </row>
    <row r="751">
      <c r="A751" s="2" t="inlineStr">
        <is>
          <t>2025-02-10</t>
        </is>
      </c>
      <c r="B751" s="2" t="inlineStr">
        <is>
          <t>2025-02-11</t>
        </is>
      </c>
      <c r="C751" s="2" t="inlineStr">
        <is>
          <t>沪金</t>
        </is>
      </c>
      <c r="D751" s="2" t="inlineStr">
        <is>
          <t>AU</t>
        </is>
      </c>
      <c r="E751" s="19" t="inlineStr">
        <is>
          <t>多</t>
        </is>
      </c>
      <c r="F751" s="2" t="inlineStr">
        <is>
          <t>★★★</t>
        </is>
      </c>
      <c r="G751" s="10" t="n">
        <v>1</v>
      </c>
      <c r="H751" s="11" t="n">
        <v>682.22</v>
      </c>
      <c r="I751" s="11" t="n">
        <v>685.74</v>
      </c>
      <c r="J751" s="10" t="n">
        <v>1000</v>
      </c>
      <c r="K751" s="10" t="n">
        <v>30000</v>
      </c>
      <c r="L751" s="23">
        <f>IF(E751="多",1,-1)*(I751-H751)*G751*J751</f>
        <v/>
      </c>
      <c r="M751" s="24">
        <f>L751/K751</f>
        <v/>
      </c>
      <c r="N751" s="2" t="inlineStr">
        <is>
          <t>将军撤退</t>
        </is>
      </c>
      <c r="O751" s="2" t="inlineStr">
        <is>
          <t>否</t>
        </is>
      </c>
    </row>
    <row r="752">
      <c r="A752" s="14" t="inlineStr">
        <is>
          <t>2025-01-24</t>
        </is>
      </c>
      <c r="B752" s="14" t="inlineStr">
        <is>
          <t>2025-02-11</t>
        </is>
      </c>
      <c r="C752" s="14" t="inlineStr">
        <is>
          <t>热卷</t>
        </is>
      </c>
      <c r="D752" s="14" t="inlineStr">
        <is>
          <t>HC</t>
        </is>
      </c>
      <c r="E752" s="14" t="inlineStr">
        <is>
          <t>多</t>
        </is>
      </c>
      <c r="F752" s="14" t="inlineStr">
        <is>
          <t>★★</t>
        </is>
      </c>
      <c r="G752" s="14" t="n">
        <v>7</v>
      </c>
      <c r="H752" s="15" t="n">
        <v>3470</v>
      </c>
      <c r="I752" s="15" t="n">
        <v>3387</v>
      </c>
      <c r="J752" s="14" t="n">
        <v>10</v>
      </c>
      <c r="K752" s="14" t="n">
        <v>10000</v>
      </c>
      <c r="L752" s="25">
        <f>IF(E752="多",1,-1)*(I752-H752)*G752*J752</f>
        <v/>
      </c>
      <c r="M752" s="26">
        <f>L752/K752</f>
        <v/>
      </c>
      <c r="N752" s="14" t="inlineStr">
        <is>
          <t>大将军转向</t>
        </is>
      </c>
      <c r="O752" s="14" t="inlineStr">
        <is>
          <t>是</t>
        </is>
      </c>
    </row>
    <row r="753">
      <c r="A753" s="14" t="inlineStr">
        <is>
          <t>2025-01-22</t>
        </is>
      </c>
      <c r="B753" s="14" t="inlineStr">
        <is>
          <t>2025-02-11</t>
        </is>
      </c>
      <c r="C753" s="14" t="inlineStr">
        <is>
          <t>沪铝</t>
        </is>
      </c>
      <c r="D753" s="14" t="inlineStr">
        <is>
          <t>AL</t>
        </is>
      </c>
      <c r="E753" s="14" t="inlineStr">
        <is>
          <t>空</t>
        </is>
      </c>
      <c r="F753" s="14" t="inlineStr">
        <is>
          <t>★★</t>
        </is>
      </c>
      <c r="G753" s="14" t="n">
        <v>3</v>
      </c>
      <c r="H753" s="15" t="n">
        <v>20280</v>
      </c>
      <c r="I753" s="15" t="n">
        <v>20702.86</v>
      </c>
      <c r="J753" s="14" t="n">
        <v>5</v>
      </c>
      <c r="K753" s="14" t="n">
        <v>10000</v>
      </c>
      <c r="L753" s="25">
        <f>IF(E753="多",1,-1)*(I753-H753)*G753*J753</f>
        <v/>
      </c>
      <c r="M753" s="26">
        <f>L753/K753</f>
        <v/>
      </c>
      <c r="N753" s="14" t="inlineStr">
        <is>
          <t>止损</t>
        </is>
      </c>
      <c r="O753" s="14" t="inlineStr">
        <is>
          <t>是</t>
        </is>
      </c>
    </row>
    <row r="754">
      <c r="A754" s="14" t="inlineStr">
        <is>
          <t>2025-02-07</t>
        </is>
      </c>
      <c r="B754" s="14" t="inlineStr">
        <is>
          <t>2025-02-10</t>
        </is>
      </c>
      <c r="C754" s="14" t="inlineStr">
        <is>
          <t>甲醇</t>
        </is>
      </c>
      <c r="D754" s="14" t="inlineStr">
        <is>
          <t>MA</t>
        </is>
      </c>
      <c r="E754" s="14" t="inlineStr">
        <is>
          <t>多</t>
        </is>
      </c>
      <c r="F754" s="14" t="inlineStr">
        <is>
          <t>★★</t>
        </is>
      </c>
      <c r="G754" s="14" t="n">
        <v>8</v>
      </c>
      <c r="H754" s="15" t="n">
        <v>2590</v>
      </c>
      <c r="I754" s="15" t="n">
        <v>2608</v>
      </c>
      <c r="J754" s="14" t="n">
        <v>10</v>
      </c>
      <c r="K754" s="14" t="n">
        <v>10000</v>
      </c>
      <c r="L754" s="25">
        <f>IF(E754="多",1,-1)*(I754-H754)*G754*J754</f>
        <v/>
      </c>
      <c r="M754" s="26">
        <f>L754/K754</f>
        <v/>
      </c>
      <c r="N754" s="14" t="inlineStr">
        <is>
          <t>将军撤退+大将军转向</t>
        </is>
      </c>
      <c r="O754" s="14" t="inlineStr">
        <is>
          <t>是</t>
        </is>
      </c>
    </row>
    <row r="755">
      <c r="A755" s="2" t="inlineStr">
        <is>
          <t>2025-02-06</t>
        </is>
      </c>
      <c r="B755" s="2" t="inlineStr">
        <is>
          <t>2025-02-07</t>
        </is>
      </c>
      <c r="C755" s="2" t="inlineStr">
        <is>
          <t>沪铜</t>
        </is>
      </c>
      <c r="D755" s="2" t="inlineStr">
        <is>
          <t>CU</t>
        </is>
      </c>
      <c r="E755" s="19" t="inlineStr">
        <is>
          <t>多</t>
        </is>
      </c>
      <c r="F755" s="2" t="inlineStr">
        <is>
          <t>★★★</t>
        </is>
      </c>
      <c r="G755" s="10" t="n">
        <v>2</v>
      </c>
      <c r="H755" s="11" t="n">
        <v>76250</v>
      </c>
      <c r="I755" s="11" t="n">
        <v>77250</v>
      </c>
      <c r="J755" s="10" t="n">
        <v>5</v>
      </c>
      <c r="K755" s="10" t="n">
        <v>30000</v>
      </c>
      <c r="L755" s="23">
        <f>IF(E755="多",1,-1)*(I755-H755)*G755*J755</f>
        <v/>
      </c>
      <c r="M755" s="24">
        <f>L755/K755</f>
        <v/>
      </c>
      <c r="N755" s="2" t="inlineStr">
        <is>
          <t>将军撤退</t>
        </is>
      </c>
      <c r="O755" s="2" t="inlineStr">
        <is>
          <t>否</t>
        </is>
      </c>
    </row>
    <row r="756">
      <c r="A756" s="2" t="inlineStr">
        <is>
          <t>2025-02-05</t>
        </is>
      </c>
      <c r="B756" s="2" t="inlineStr">
        <is>
          <t>2025-02-07</t>
        </is>
      </c>
      <c r="C756" s="2" t="inlineStr">
        <is>
          <t>沪金</t>
        </is>
      </c>
      <c r="D756" s="2" t="inlineStr">
        <is>
          <t>AU</t>
        </is>
      </c>
      <c r="E756" s="19" t="inlineStr">
        <is>
          <t>多</t>
        </is>
      </c>
      <c r="F756" s="2" t="inlineStr">
        <is>
          <t>★★★</t>
        </is>
      </c>
      <c r="G756" s="10" t="n">
        <v>1</v>
      </c>
      <c r="H756" s="11" t="n">
        <v>672.42</v>
      </c>
      <c r="I756" s="11" t="n">
        <v>669.9</v>
      </c>
      <c r="J756" s="10" t="n">
        <v>1000</v>
      </c>
      <c r="K756" s="10" t="n">
        <v>30000</v>
      </c>
      <c r="L756" s="23">
        <f>IF(E756="多",1,-1)*(I756-H756)*G756*J756</f>
        <v/>
      </c>
      <c r="M756" s="24">
        <f>L756/K756</f>
        <v/>
      </c>
      <c r="N756" s="2" t="inlineStr">
        <is>
          <t>大将军转向</t>
        </is>
      </c>
      <c r="O756" s="2" t="inlineStr">
        <is>
          <t>否</t>
        </is>
      </c>
    </row>
    <row r="757">
      <c r="A757" s="2" t="inlineStr">
        <is>
          <t>2025-01-16</t>
        </is>
      </c>
      <c r="B757" s="2" t="inlineStr">
        <is>
          <t>2025-02-06</t>
        </is>
      </c>
      <c r="C757" s="2" t="inlineStr">
        <is>
          <t>玉米</t>
        </is>
      </c>
      <c r="D757" s="2" t="inlineStr">
        <is>
          <t>C</t>
        </is>
      </c>
      <c r="E757" s="19" t="inlineStr">
        <is>
          <t>多</t>
        </is>
      </c>
      <c r="F757" s="2" t="inlineStr">
        <is>
          <t>★★★</t>
        </is>
      </c>
      <c r="G757" s="10" t="n">
        <v>46</v>
      </c>
      <c r="H757" s="11" t="n">
        <v>2288</v>
      </c>
      <c r="I757" s="11" t="n">
        <v>2300</v>
      </c>
      <c r="J757" s="10" t="n">
        <v>10</v>
      </c>
      <c r="K757" s="10" t="n">
        <v>30000</v>
      </c>
      <c r="L757" s="23">
        <f>IF(E757="多",1,-1)*(I757-H757)*G757*J757</f>
        <v/>
      </c>
      <c r="M757" s="24">
        <f>L757/K757</f>
        <v/>
      </c>
      <c r="N757" s="2" t="inlineStr">
        <is>
          <t>大将军转向</t>
        </is>
      </c>
      <c r="O757" s="2" t="inlineStr">
        <is>
          <t>否</t>
        </is>
      </c>
    </row>
    <row r="758">
      <c r="A758" s="14" t="inlineStr">
        <is>
          <t>2025-01-22</t>
        </is>
      </c>
      <c r="B758" s="14" t="inlineStr">
        <is>
          <t>2025-01-27</t>
        </is>
      </c>
      <c r="C758" s="14" t="inlineStr">
        <is>
          <t>塑料</t>
        </is>
      </c>
      <c r="D758" s="14" t="inlineStr">
        <is>
          <t>L</t>
        </is>
      </c>
      <c r="E758" s="14" t="inlineStr">
        <is>
          <t>空</t>
        </is>
      </c>
      <c r="F758" s="14" t="inlineStr">
        <is>
          <t>★★★</t>
        </is>
      </c>
      <c r="G758" s="14" t="n">
        <v>7</v>
      </c>
      <c r="H758" s="15" t="n">
        <v>7770</v>
      </c>
      <c r="I758" s="15" t="n">
        <v>7785</v>
      </c>
      <c r="J758" s="14" t="n">
        <v>5</v>
      </c>
      <c r="K758" s="14" t="n">
        <v>10000</v>
      </c>
      <c r="L758" s="25">
        <f>IF(E758="多",1,-1)*(I758-H758)*G758*J758</f>
        <v/>
      </c>
      <c r="M758" s="26">
        <f>L758/K758</f>
        <v/>
      </c>
      <c r="N758" s="14" t="inlineStr">
        <is>
          <t>大将军转向</t>
        </is>
      </c>
      <c r="O758" s="14" t="inlineStr">
        <is>
          <t>是</t>
        </is>
      </c>
    </row>
    <row r="759">
      <c r="A759" s="14" t="inlineStr">
        <is>
          <t>2025-01-23</t>
        </is>
      </c>
      <c r="B759" s="14" t="inlineStr">
        <is>
          <t>2025-01-24</t>
        </is>
      </c>
      <c r="C759" s="14" t="inlineStr">
        <is>
          <t>棕榈油</t>
        </is>
      </c>
      <c r="D759" s="14" t="inlineStr">
        <is>
          <t>P</t>
        </is>
      </c>
      <c r="E759" s="14" t="inlineStr">
        <is>
          <t>空</t>
        </is>
      </c>
      <c r="F759" s="14" t="inlineStr">
        <is>
          <t>★★</t>
        </is>
      </c>
      <c r="G759" s="14" t="n">
        <v>1</v>
      </c>
      <c r="H759" s="15" t="n">
        <v>8280</v>
      </c>
      <c r="I759" s="15" t="n">
        <v>8258</v>
      </c>
      <c r="J759" s="14" t="n">
        <v>10</v>
      </c>
      <c r="K759" s="14" t="n">
        <v>10000</v>
      </c>
      <c r="L759" s="25">
        <f>IF(E759="多",1,-1)*(I759-H759)*G759*J759</f>
        <v/>
      </c>
      <c r="M759" s="26">
        <f>L759/K759</f>
        <v/>
      </c>
      <c r="N759" s="14" t="inlineStr">
        <is>
          <t>大将军转向</t>
        </is>
      </c>
      <c r="O759" s="14" t="inlineStr">
        <is>
          <t>是</t>
        </is>
      </c>
    </row>
    <row r="760">
      <c r="A760" s="2" t="inlineStr">
        <is>
          <t>2025-01-22</t>
        </is>
      </c>
      <c r="B760" s="2" t="inlineStr">
        <is>
          <t>2025-01-24</t>
        </is>
      </c>
      <c r="C760" s="2" t="inlineStr">
        <is>
          <t>沪金</t>
        </is>
      </c>
      <c r="D760" s="2" t="inlineStr">
        <is>
          <t>AU</t>
        </is>
      </c>
      <c r="E760" s="19" t="inlineStr">
        <is>
          <t>多</t>
        </is>
      </c>
      <c r="F760" s="2" t="inlineStr">
        <is>
          <t>★★★</t>
        </is>
      </c>
      <c r="G760" s="10" t="n">
        <v>1</v>
      </c>
      <c r="H760" s="11" t="n">
        <v>646.8</v>
      </c>
      <c r="I760" s="11" t="n">
        <v>648.9</v>
      </c>
      <c r="J760" s="10" t="n">
        <v>1000</v>
      </c>
      <c r="K760" s="10" t="n">
        <v>30000</v>
      </c>
      <c r="L760" s="23">
        <f>IF(E760="多",1,-1)*(I760-H760)*G760*J760</f>
        <v/>
      </c>
      <c r="M760" s="24">
        <f>L760/K760</f>
        <v/>
      </c>
      <c r="N760" s="2" t="inlineStr">
        <is>
          <t>将军撤退+大将军转向</t>
        </is>
      </c>
      <c r="O760" s="2" t="inlineStr">
        <is>
          <t>否</t>
        </is>
      </c>
    </row>
    <row r="761">
      <c r="A761" s="14" t="inlineStr">
        <is>
          <t>2025-01-20</t>
        </is>
      </c>
      <c r="B761" s="14" t="inlineStr">
        <is>
          <t>2025-01-24</t>
        </is>
      </c>
      <c r="C761" s="14" t="inlineStr">
        <is>
          <t>棉花</t>
        </is>
      </c>
      <c r="D761" s="14" t="inlineStr">
        <is>
          <t>CF</t>
        </is>
      </c>
      <c r="E761" s="14" t="inlineStr">
        <is>
          <t>多</t>
        </is>
      </c>
      <c r="F761" s="14" t="inlineStr">
        <is>
          <t>★★</t>
        </is>
      </c>
      <c r="G761" s="14" t="n">
        <v>5</v>
      </c>
      <c r="H761" s="15" t="n">
        <v>13665</v>
      </c>
      <c r="I761" s="15" t="n">
        <v>13590</v>
      </c>
      <c r="J761" s="14" t="n">
        <v>5</v>
      </c>
      <c r="K761" s="14" t="n">
        <v>10000</v>
      </c>
      <c r="L761" s="25">
        <f>IF(E761="多",1,-1)*(I761-H761)*G761*J761</f>
        <v/>
      </c>
      <c r="M761" s="26">
        <f>L761/K761</f>
        <v/>
      </c>
      <c r="N761" s="14" t="inlineStr">
        <is>
          <t>将军撤退</t>
        </is>
      </c>
      <c r="O761" s="14" t="inlineStr">
        <is>
          <t>是</t>
        </is>
      </c>
    </row>
    <row r="762">
      <c r="A762" s="14" t="inlineStr">
        <is>
          <t>2025-01-22</t>
        </is>
      </c>
      <c r="B762" s="14" t="inlineStr">
        <is>
          <t>2025-01-23</t>
        </is>
      </c>
      <c r="C762" s="14" t="inlineStr">
        <is>
          <t>豆粕</t>
        </is>
      </c>
      <c r="D762" s="14" t="inlineStr">
        <is>
          <t>M</t>
        </is>
      </c>
      <c r="E762" s="14" t="inlineStr">
        <is>
          <t>多</t>
        </is>
      </c>
      <c r="F762" s="14" t="inlineStr">
        <is>
          <t>★★</t>
        </is>
      </c>
      <c r="G762" s="14" t="n">
        <v>6</v>
      </c>
      <c r="H762" s="15" t="n">
        <v>2846</v>
      </c>
      <c r="I762" s="15" t="n">
        <v>2836</v>
      </c>
      <c r="J762" s="14" t="n">
        <v>10</v>
      </c>
      <c r="K762" s="14" t="n">
        <v>10000</v>
      </c>
      <c r="L762" s="25">
        <f>IF(E762="多",1,-1)*(I762-H762)*G762*J762</f>
        <v/>
      </c>
      <c r="M762" s="26">
        <f>L762/K762</f>
        <v/>
      </c>
      <c r="N762" s="14" t="inlineStr">
        <is>
          <t>将军撤退</t>
        </is>
      </c>
      <c r="O762" s="14" t="inlineStr">
        <is>
          <t>是</t>
        </is>
      </c>
    </row>
    <row r="763">
      <c r="A763" s="14" t="inlineStr">
        <is>
          <t>2025-01-20</t>
        </is>
      </c>
      <c r="B763" s="14" t="inlineStr">
        <is>
          <t>2025-01-21</t>
        </is>
      </c>
      <c r="C763" s="14" t="inlineStr">
        <is>
          <t>锰硅</t>
        </is>
      </c>
      <c r="D763" s="14" t="inlineStr">
        <is>
          <t>SM</t>
        </is>
      </c>
      <c r="E763" s="14" t="inlineStr">
        <is>
          <t>多</t>
        </is>
      </c>
      <c r="F763" s="14" t="inlineStr">
        <is>
          <t>★★</t>
        </is>
      </c>
      <c r="G763" s="14" t="n">
        <v>4</v>
      </c>
      <c r="H763" s="15" t="n">
        <v>6776</v>
      </c>
      <c r="I763" s="15" t="n">
        <v>6620</v>
      </c>
      <c r="J763" s="14" t="n">
        <v>5</v>
      </c>
      <c r="K763" s="14" t="n">
        <v>10000</v>
      </c>
      <c r="L763" s="25">
        <f>IF(E763="多",1,-1)*(I763-H763)*G763*J763</f>
        <v/>
      </c>
      <c r="M763" s="26">
        <f>L763/K763</f>
        <v/>
      </c>
      <c r="N763" s="14" t="inlineStr">
        <is>
          <t>大将军转向</t>
        </is>
      </c>
      <c r="O763" s="14" t="inlineStr">
        <is>
          <t>是</t>
        </is>
      </c>
    </row>
    <row r="764">
      <c r="A764" s="2" t="inlineStr">
        <is>
          <t>2025-01-20</t>
        </is>
      </c>
      <c r="B764" s="2" t="inlineStr">
        <is>
          <t>2025-01-21</t>
        </is>
      </c>
      <c r="C764" s="2" t="inlineStr">
        <is>
          <t>菜粕</t>
        </is>
      </c>
      <c r="D764" s="2" t="inlineStr">
        <is>
          <t>RM</t>
        </is>
      </c>
      <c r="E764" s="19" t="inlineStr">
        <is>
          <t>多</t>
        </is>
      </c>
      <c r="F764" s="2" t="inlineStr">
        <is>
          <t>★★★</t>
        </is>
      </c>
      <c r="G764" s="10" t="n">
        <v>18</v>
      </c>
      <c r="H764" s="11" t="n">
        <v>2469</v>
      </c>
      <c r="I764" s="11" t="n">
        <v>2479</v>
      </c>
      <c r="J764" s="10" t="n">
        <v>10</v>
      </c>
      <c r="K764" s="10" t="n">
        <v>30000</v>
      </c>
      <c r="L764" s="23">
        <f>IF(E764="多",1,-1)*(I764-H764)*G764*J764</f>
        <v/>
      </c>
      <c r="M764" s="24">
        <f>L764/K764</f>
        <v/>
      </c>
      <c r="N764" s="2" t="inlineStr">
        <is>
          <t>大将军转向</t>
        </is>
      </c>
      <c r="O764" s="2" t="inlineStr">
        <is>
          <t>否</t>
        </is>
      </c>
    </row>
    <row r="765">
      <c r="A765" s="2" t="inlineStr">
        <is>
          <t>2025-01-20</t>
        </is>
      </c>
      <c r="B765" s="2" t="inlineStr">
        <is>
          <t>2025-01-21</t>
        </is>
      </c>
      <c r="C765" s="2" t="inlineStr">
        <is>
          <t>塑料</t>
        </is>
      </c>
      <c r="D765" s="2" t="inlineStr">
        <is>
          <t>L</t>
        </is>
      </c>
      <c r="E765" s="9" t="inlineStr">
        <is>
          <t>空</t>
        </is>
      </c>
      <c r="F765" s="2" t="inlineStr">
        <is>
          <t>★★★</t>
        </is>
      </c>
      <c r="G765" s="10" t="n">
        <v>22</v>
      </c>
      <c r="H765" s="11" t="n">
        <v>7820</v>
      </c>
      <c r="I765" s="11" t="n">
        <v>7808</v>
      </c>
      <c r="J765" s="10" t="n">
        <v>5</v>
      </c>
      <c r="K765" s="10" t="n">
        <v>30000</v>
      </c>
      <c r="L765" s="23">
        <f>IF(E765="多",1,-1)*(I765-H765)*G765*J765</f>
        <v/>
      </c>
      <c r="M765" s="24">
        <f>L765/K765</f>
        <v/>
      </c>
      <c r="N765" s="2" t="inlineStr">
        <is>
          <t>将军撤退+大将军转向</t>
        </is>
      </c>
      <c r="O765" s="2" t="inlineStr">
        <is>
          <t>否</t>
        </is>
      </c>
    </row>
    <row r="766">
      <c r="A766" s="14" t="inlineStr">
        <is>
          <t>2025-01-17</t>
        </is>
      </c>
      <c r="B766" s="14" t="inlineStr">
        <is>
          <t>2025-01-21</t>
        </is>
      </c>
      <c r="C766" s="14" t="inlineStr">
        <is>
          <t>铁矿石</t>
        </is>
      </c>
      <c r="D766" s="14" t="inlineStr">
        <is>
          <t>I</t>
        </is>
      </c>
      <c r="E766" s="14" t="inlineStr">
        <is>
          <t>多</t>
        </is>
      </c>
      <c r="F766" s="14" t="inlineStr">
        <is>
          <t>★★</t>
        </is>
      </c>
      <c r="G766" s="14" t="n">
        <v>2</v>
      </c>
      <c r="H766" s="15" t="n">
        <v>803</v>
      </c>
      <c r="I766" s="15" t="n">
        <v>804.5</v>
      </c>
      <c r="J766" s="14" t="n">
        <v>100</v>
      </c>
      <c r="K766" s="14" t="n">
        <v>10000</v>
      </c>
      <c r="L766" s="25">
        <f>IF(E766="多",1,-1)*(I766-H766)*G766*J766</f>
        <v/>
      </c>
      <c r="M766" s="26">
        <f>L766/K766</f>
        <v/>
      </c>
      <c r="N766" s="14" t="inlineStr">
        <is>
          <t>将军撤退</t>
        </is>
      </c>
      <c r="O766" s="14" t="inlineStr">
        <is>
          <t>是</t>
        </is>
      </c>
    </row>
    <row r="767">
      <c r="A767" s="14" t="inlineStr">
        <is>
          <t>2025-01-16</t>
        </is>
      </c>
      <c r="B767" s="14" t="inlineStr">
        <is>
          <t>2025-01-21</t>
        </is>
      </c>
      <c r="C767" s="14" t="inlineStr">
        <is>
          <t>工业硅</t>
        </is>
      </c>
      <c r="D767" s="14" t="inlineStr">
        <is>
          <t>SI</t>
        </is>
      </c>
      <c r="E767" s="14" t="inlineStr">
        <is>
          <t>空</t>
        </is>
      </c>
      <c r="F767" s="14" t="inlineStr">
        <is>
          <t>★★</t>
        </is>
      </c>
      <c r="G767" s="14" t="n">
        <v>3</v>
      </c>
      <c r="H767" s="15" t="n">
        <v>10770</v>
      </c>
      <c r="I767" s="15" t="n">
        <v>10645</v>
      </c>
      <c r="J767" s="14" t="n">
        <v>5</v>
      </c>
      <c r="K767" s="14" t="n">
        <v>10000</v>
      </c>
      <c r="L767" s="25">
        <f>IF(E767="多",1,-1)*(I767-H767)*G767*J767</f>
        <v/>
      </c>
      <c r="M767" s="26">
        <f>L767/K767</f>
        <v/>
      </c>
      <c r="N767" s="14" t="inlineStr">
        <is>
          <t>将军撤退</t>
        </is>
      </c>
      <c r="O767" s="14" t="inlineStr">
        <is>
          <t>是</t>
        </is>
      </c>
    </row>
    <row r="768">
      <c r="A768" s="14" t="inlineStr">
        <is>
          <t>2025-01-17</t>
        </is>
      </c>
      <c r="B768" s="14" t="inlineStr">
        <is>
          <t>2025-01-20</t>
        </is>
      </c>
      <c r="C768" s="14" t="inlineStr">
        <is>
          <t>玻璃</t>
        </is>
      </c>
      <c r="D768" s="14" t="inlineStr">
        <is>
          <t>FG</t>
        </is>
      </c>
      <c r="E768" s="14" t="inlineStr">
        <is>
          <t>多</t>
        </is>
      </c>
      <c r="F768" s="14" t="inlineStr">
        <is>
          <t>★★</t>
        </is>
      </c>
      <c r="G768" s="14" t="n">
        <v>4</v>
      </c>
      <c r="H768" s="15" t="n">
        <v>1450</v>
      </c>
      <c r="I768" s="15" t="n">
        <v>1417</v>
      </c>
      <c r="J768" s="14" t="n">
        <v>20</v>
      </c>
      <c r="K768" s="14" t="n">
        <v>10000</v>
      </c>
      <c r="L768" s="25">
        <f>IF(E768="多",1,-1)*(I768-H768)*G768*J768</f>
        <v/>
      </c>
      <c r="M768" s="26">
        <f>L768/K768</f>
        <v/>
      </c>
      <c r="N768" s="14" t="inlineStr">
        <is>
          <t>大将军转向</t>
        </is>
      </c>
      <c r="O768" s="14" t="inlineStr">
        <is>
          <t>是</t>
        </is>
      </c>
    </row>
    <row r="769">
      <c r="A769" s="14" t="inlineStr">
        <is>
          <t>2025-01-16</t>
        </is>
      </c>
      <c r="B769" s="14" t="inlineStr">
        <is>
          <t>2025-01-20</t>
        </is>
      </c>
      <c r="C769" s="14" t="inlineStr">
        <is>
          <t>纯碱</t>
        </is>
      </c>
      <c r="D769" s="14" t="inlineStr">
        <is>
          <t>SA</t>
        </is>
      </c>
      <c r="E769" s="14" t="inlineStr">
        <is>
          <t>多</t>
        </is>
      </c>
      <c r="F769" s="14" t="inlineStr">
        <is>
          <t>★★</t>
        </is>
      </c>
      <c r="G769" s="14" t="n">
        <v>5</v>
      </c>
      <c r="H769" s="15" t="n">
        <v>1480</v>
      </c>
      <c r="I769" s="15" t="n">
        <v>1489</v>
      </c>
      <c r="J769" s="14" t="n">
        <v>20</v>
      </c>
      <c r="K769" s="14" t="n">
        <v>10000</v>
      </c>
      <c r="L769" s="25">
        <f>IF(E769="多",1,-1)*(I769-H769)*G769*J769</f>
        <v/>
      </c>
      <c r="M769" s="26">
        <f>L769/K769</f>
        <v/>
      </c>
      <c r="N769" s="14" t="inlineStr">
        <is>
          <t>大将军转向</t>
        </is>
      </c>
      <c r="O769" s="14" t="inlineStr">
        <is>
          <t>是</t>
        </is>
      </c>
    </row>
    <row r="770">
      <c r="A770" s="2" t="inlineStr">
        <is>
          <t>2025-01-16</t>
        </is>
      </c>
      <c r="B770" s="2" t="inlineStr">
        <is>
          <t>2025-01-20</t>
        </is>
      </c>
      <c r="C770" s="2" t="inlineStr">
        <is>
          <t>沪铜</t>
        </is>
      </c>
      <c r="D770" s="2" t="inlineStr">
        <is>
          <t>CU</t>
        </is>
      </c>
      <c r="E770" s="19" t="inlineStr">
        <is>
          <t>多</t>
        </is>
      </c>
      <c r="F770" s="2" t="inlineStr">
        <is>
          <t>★★★</t>
        </is>
      </c>
      <c r="G770" s="10" t="n">
        <v>2</v>
      </c>
      <c r="H770" s="11" t="n">
        <v>76300</v>
      </c>
      <c r="I770" s="11" t="n">
        <v>75400</v>
      </c>
      <c r="J770" s="10" t="n">
        <v>5</v>
      </c>
      <c r="K770" s="10" t="n">
        <v>30000</v>
      </c>
      <c r="L770" s="23">
        <f>IF(E770="多",1,-1)*(I770-H770)*G770*J770</f>
        <v/>
      </c>
      <c r="M770" s="24">
        <f>L770/K770</f>
        <v/>
      </c>
      <c r="N770" s="2" t="inlineStr">
        <is>
          <t>将军撤退</t>
        </is>
      </c>
      <c r="O770" s="2" t="inlineStr">
        <is>
          <t>否</t>
        </is>
      </c>
    </row>
    <row r="771">
      <c r="A771" s="2" t="inlineStr">
        <is>
          <t>2025-01-15</t>
        </is>
      </c>
      <c r="B771" s="2" t="inlineStr">
        <is>
          <t>2025-01-20</t>
        </is>
      </c>
      <c r="C771" s="2" t="inlineStr">
        <is>
          <t>沥青</t>
        </is>
      </c>
      <c r="D771" s="2" t="inlineStr">
        <is>
          <t>BU</t>
        </is>
      </c>
      <c r="E771" s="19" t="inlineStr">
        <is>
          <t>多</t>
        </is>
      </c>
      <c r="F771" s="2" t="inlineStr">
        <is>
          <t>★★★</t>
        </is>
      </c>
      <c r="G771" s="10" t="n">
        <v>13</v>
      </c>
      <c r="H771" s="11" t="n">
        <v>3822</v>
      </c>
      <c r="I771" s="11" t="n">
        <v>3735</v>
      </c>
      <c r="J771" s="10" t="n">
        <v>10</v>
      </c>
      <c r="K771" s="10" t="n">
        <v>30000</v>
      </c>
      <c r="L771" s="23">
        <f>IF(E771="多",1,-1)*(I771-H771)*G771*J771</f>
        <v/>
      </c>
      <c r="M771" s="24">
        <f>L771/K771</f>
        <v/>
      </c>
      <c r="N771" s="2" t="inlineStr">
        <is>
          <t>将军撤退</t>
        </is>
      </c>
      <c r="O771" s="2" t="inlineStr">
        <is>
          <t>否</t>
        </is>
      </c>
    </row>
    <row r="772">
      <c r="A772" s="14" t="inlineStr">
        <is>
          <t>2025-01-16</t>
        </is>
      </c>
      <c r="B772" s="14" t="inlineStr">
        <is>
          <t>2025-01-17</t>
        </is>
      </c>
      <c r="C772" s="14" t="inlineStr">
        <is>
          <t>棉花</t>
        </is>
      </c>
      <c r="D772" s="14" t="inlineStr">
        <is>
          <t>CF</t>
        </is>
      </c>
      <c r="E772" s="14" t="inlineStr">
        <is>
          <t>多</t>
        </is>
      </c>
      <c r="F772" s="14" t="inlineStr">
        <is>
          <t>★★</t>
        </is>
      </c>
      <c r="G772" s="14" t="n">
        <v>5</v>
      </c>
      <c r="H772" s="15" t="n">
        <v>13575</v>
      </c>
      <c r="I772" s="15" t="n">
        <v>13660</v>
      </c>
      <c r="J772" s="14" t="n">
        <v>5</v>
      </c>
      <c r="K772" s="14" t="n">
        <v>10000</v>
      </c>
      <c r="L772" s="25">
        <f>IF(E772="多",1,-1)*(I772-H772)*G772*J772</f>
        <v/>
      </c>
      <c r="M772" s="26">
        <f>L772/K772</f>
        <v/>
      </c>
      <c r="N772" s="14" t="inlineStr">
        <is>
          <t>将军撤退</t>
        </is>
      </c>
      <c r="O772" s="14" t="inlineStr">
        <is>
          <t>是</t>
        </is>
      </c>
    </row>
    <row r="773">
      <c r="A773" s="2" t="inlineStr">
        <is>
          <t>2025-01-14</t>
        </is>
      </c>
      <c r="B773" s="2" t="inlineStr">
        <is>
          <t>2025-01-16</t>
        </is>
      </c>
      <c r="C773" s="2" t="inlineStr">
        <is>
          <t>豆粕</t>
        </is>
      </c>
      <c r="D773" s="2" t="inlineStr">
        <is>
          <t>M</t>
        </is>
      </c>
      <c r="E773" s="19" t="inlineStr">
        <is>
          <t>多</t>
        </is>
      </c>
      <c r="F773" s="2" t="inlineStr">
        <is>
          <t>★★★</t>
        </is>
      </c>
      <c r="G773" s="10" t="n">
        <v>21</v>
      </c>
      <c r="H773" s="11" t="n">
        <v>2746</v>
      </c>
      <c r="I773" s="11" t="n">
        <v>2761</v>
      </c>
      <c r="J773" s="10" t="n">
        <v>10</v>
      </c>
      <c r="K773" s="10" t="n">
        <v>30000</v>
      </c>
      <c r="L773" s="23">
        <f>IF(E773="多",1,-1)*(I773-H773)*G773*J773</f>
        <v/>
      </c>
      <c r="M773" s="24">
        <f>L773/K773</f>
        <v/>
      </c>
      <c r="N773" s="2" t="inlineStr">
        <is>
          <t>大将军转向</t>
        </is>
      </c>
      <c r="O773" s="2" t="inlineStr">
        <is>
          <t>否</t>
        </is>
      </c>
    </row>
    <row r="774">
      <c r="A774" s="14" t="inlineStr">
        <is>
          <t>2025-01-14</t>
        </is>
      </c>
      <c r="B774" s="14" t="inlineStr">
        <is>
          <t>2025-01-15</t>
        </is>
      </c>
      <c r="C774" s="14" t="inlineStr">
        <is>
          <t>沪锌</t>
        </is>
      </c>
      <c r="D774" s="14" t="inlineStr">
        <is>
          <t>ZN</t>
        </is>
      </c>
      <c r="E774" s="14" t="inlineStr">
        <is>
          <t>空</t>
        </is>
      </c>
      <c r="F774" s="14" t="inlineStr">
        <is>
          <t>★★</t>
        </is>
      </c>
      <c r="G774" s="14" t="n">
        <v>1</v>
      </c>
      <c r="H774" s="15" t="n">
        <v>24155</v>
      </c>
      <c r="I774" s="15" t="n">
        <v>23595</v>
      </c>
      <c r="J774" s="14" t="n">
        <v>5</v>
      </c>
      <c r="K774" s="14" t="n">
        <v>10000</v>
      </c>
      <c r="L774" s="25">
        <f>IF(E774="多",1,-1)*(I774-H774)*G774*J774</f>
        <v/>
      </c>
      <c r="M774" s="26">
        <f>L774/K774</f>
        <v/>
      </c>
      <c r="N774" s="14" t="inlineStr">
        <is>
          <t>将军撤退+大将军转向</t>
        </is>
      </c>
      <c r="O774" s="14" t="inlineStr">
        <is>
          <t>是</t>
        </is>
      </c>
    </row>
    <row r="775">
      <c r="A775" s="2" t="inlineStr">
        <is>
          <t>2025-01-10</t>
        </is>
      </c>
      <c r="B775" s="2" t="inlineStr">
        <is>
          <t>2025-01-15</t>
        </is>
      </c>
      <c r="C775" s="2" t="inlineStr">
        <is>
          <t>玉米</t>
        </is>
      </c>
      <c r="D775" s="2" t="inlineStr">
        <is>
          <t>C</t>
        </is>
      </c>
      <c r="E775" s="19" t="inlineStr">
        <is>
          <t>多</t>
        </is>
      </c>
      <c r="F775" s="2" t="inlineStr">
        <is>
          <t>★★★</t>
        </is>
      </c>
      <c r="G775" s="10" t="n">
        <v>47</v>
      </c>
      <c r="H775" s="11" t="n">
        <v>2250</v>
      </c>
      <c r="I775" s="11" t="n">
        <v>2274</v>
      </c>
      <c r="J775" s="10" t="n">
        <v>10</v>
      </c>
      <c r="K775" s="10" t="n">
        <v>30000</v>
      </c>
      <c r="L775" s="23">
        <f>IF(E775="多",1,-1)*(I775-H775)*G775*J775</f>
        <v/>
      </c>
      <c r="M775" s="24">
        <f>L775/K775</f>
        <v/>
      </c>
      <c r="N775" s="2" t="inlineStr">
        <is>
          <t>将军撤退</t>
        </is>
      </c>
      <c r="O775" s="2" t="inlineStr">
        <is>
          <t>否</t>
        </is>
      </c>
    </row>
    <row r="776">
      <c r="A776" s="2" t="inlineStr">
        <is>
          <t>2025-01-07</t>
        </is>
      </c>
      <c r="B776" s="2" t="inlineStr">
        <is>
          <t>2025-01-15</t>
        </is>
      </c>
      <c r="C776" s="2" t="inlineStr">
        <is>
          <t>纯碱</t>
        </is>
      </c>
      <c r="D776" s="2" t="inlineStr">
        <is>
          <t>SA</t>
        </is>
      </c>
      <c r="E776" s="9" t="inlineStr">
        <is>
          <t>空</t>
        </is>
      </c>
      <c r="F776" s="2" t="inlineStr">
        <is>
          <t>★★★</t>
        </is>
      </c>
      <c r="G776" s="10" t="n">
        <v>16</v>
      </c>
      <c r="H776" s="11" t="n">
        <v>1400</v>
      </c>
      <c r="I776" s="11" t="n">
        <v>1452</v>
      </c>
      <c r="J776" s="10" t="n">
        <v>20</v>
      </c>
      <c r="K776" s="10" t="n">
        <v>30000</v>
      </c>
      <c r="L776" s="23">
        <f>IF(E776="多",1,-1)*(I776-H776)*G776*J776</f>
        <v/>
      </c>
      <c r="M776" s="24">
        <f>L776/K776</f>
        <v/>
      </c>
      <c r="N776" s="2" t="inlineStr">
        <is>
          <t>大将军转向</t>
        </is>
      </c>
      <c r="O776" s="2" t="inlineStr">
        <is>
          <t>否</t>
        </is>
      </c>
    </row>
    <row r="777">
      <c r="A777" s="14" t="inlineStr">
        <is>
          <t>2025-01-13</t>
        </is>
      </c>
      <c r="B777" s="14" t="inlineStr">
        <is>
          <t>2025-01-14</t>
        </is>
      </c>
      <c r="C777" s="14" t="inlineStr">
        <is>
          <t>菜粕</t>
        </is>
      </c>
      <c r="D777" s="14" t="inlineStr">
        <is>
          <t>RM</t>
        </is>
      </c>
      <c r="E777" s="14" t="inlineStr">
        <is>
          <t>多</t>
        </is>
      </c>
      <c r="F777" s="14" t="inlineStr">
        <is>
          <t>★★</t>
        </is>
      </c>
      <c r="G777" s="14" t="n">
        <v>7</v>
      </c>
      <c r="H777" s="15" t="n">
        <v>2366</v>
      </c>
      <c r="I777" s="15" t="n">
        <v>2383</v>
      </c>
      <c r="J777" s="14" t="n">
        <v>10</v>
      </c>
      <c r="K777" s="14" t="n">
        <v>10000</v>
      </c>
      <c r="L777" s="25">
        <f>IF(E777="多",1,-1)*(I777-H777)*G777*J777</f>
        <v/>
      </c>
      <c r="M777" s="26">
        <f>L777/K777</f>
        <v/>
      </c>
      <c r="N777" s="14" t="inlineStr">
        <is>
          <t>大将军转向</t>
        </is>
      </c>
      <c r="O777" s="14" t="inlineStr">
        <is>
          <t>是</t>
        </is>
      </c>
    </row>
    <row r="778">
      <c r="A778" s="2" t="inlineStr">
        <is>
          <t>2024-12-27</t>
        </is>
      </c>
      <c r="B778" s="2" t="inlineStr">
        <is>
          <t>2025-01-14</t>
        </is>
      </c>
      <c r="C778" s="2" t="inlineStr">
        <is>
          <t>热卷</t>
        </is>
      </c>
      <c r="D778" s="2" t="inlineStr">
        <is>
          <t>HC</t>
        </is>
      </c>
      <c r="E778" s="9" t="inlineStr">
        <is>
          <t>空</t>
        </is>
      </c>
      <c r="F778" s="2" t="inlineStr">
        <is>
          <t>★★★</t>
        </is>
      </c>
      <c r="G778" s="10" t="n">
        <v>7</v>
      </c>
      <c r="H778" s="11" t="n">
        <v>3390</v>
      </c>
      <c r="I778" s="11" t="n">
        <v>3410.57</v>
      </c>
      <c r="J778" s="10" t="n">
        <v>10</v>
      </c>
      <c r="K778" s="10" t="n">
        <v>10000</v>
      </c>
      <c r="L778" s="23">
        <f>IF(E778="多",1,-1)*(I778-H778)*G778*J778</f>
        <v/>
      </c>
      <c r="M778" s="24">
        <f>L778/K778</f>
        <v/>
      </c>
      <c r="N778" s="2" t="inlineStr">
        <is>
          <t>止损</t>
        </is>
      </c>
      <c r="O778" s="2" t="inlineStr">
        <is>
          <t>否</t>
        </is>
      </c>
    </row>
    <row r="779">
      <c r="A779" s="2" t="inlineStr">
        <is>
          <t>2024-12-19</t>
        </is>
      </c>
      <c r="B779" s="2" t="inlineStr">
        <is>
          <t>2025-01-14</t>
        </is>
      </c>
      <c r="C779" s="2" t="inlineStr">
        <is>
          <t>PVC</t>
        </is>
      </c>
      <c r="D779" s="2" t="inlineStr">
        <is>
          <t>V</t>
        </is>
      </c>
      <c r="E779" s="9" t="inlineStr">
        <is>
          <t>空</t>
        </is>
      </c>
      <c r="F779" s="2" t="inlineStr">
        <is>
          <t>★★★</t>
        </is>
      </c>
      <c r="G779" s="10" t="n">
        <v>27</v>
      </c>
      <c r="H779" s="11" t="n">
        <v>5292</v>
      </c>
      <c r="I779" s="11" t="n">
        <v>5249.57</v>
      </c>
      <c r="J779" s="10" t="n">
        <v>5</v>
      </c>
      <c r="K779" s="10" t="n">
        <v>30000</v>
      </c>
      <c r="L779" s="23">
        <f>IF(E779="多",1,-1)*(I779-H779)*G779*J779</f>
        <v/>
      </c>
      <c r="M779" s="24">
        <f>L779/K779</f>
        <v/>
      </c>
      <c r="N779" s="2" t="inlineStr">
        <is>
          <t>止损</t>
        </is>
      </c>
      <c r="O779" s="2" t="inlineStr">
        <is>
          <t>否</t>
        </is>
      </c>
    </row>
    <row r="780">
      <c r="A780" s="14" t="inlineStr">
        <is>
          <t>2025-01-10</t>
        </is>
      </c>
      <c r="B780" s="14" t="inlineStr">
        <is>
          <t>2025-01-13</t>
        </is>
      </c>
      <c r="C780" s="14" t="inlineStr">
        <is>
          <t>螺纹钢</t>
        </is>
      </c>
      <c r="D780" s="14" t="inlineStr">
        <is>
          <t>RB</t>
        </is>
      </c>
      <c r="E780" s="14" t="inlineStr">
        <is>
          <t>空</t>
        </is>
      </c>
      <c r="F780" s="14" t="inlineStr">
        <is>
          <t>★★</t>
        </is>
      </c>
      <c r="G780" s="14" t="n">
        <v>8</v>
      </c>
      <c r="H780" s="15" t="n">
        <v>3213</v>
      </c>
      <c r="I780" s="15" t="n">
        <v>3249</v>
      </c>
      <c r="J780" s="14" t="n">
        <v>10</v>
      </c>
      <c r="K780" s="14" t="n">
        <v>10000</v>
      </c>
      <c r="L780" s="25">
        <f>IF(E780="多",1,-1)*(I780-H780)*G780*J780</f>
        <v/>
      </c>
      <c r="M780" s="26">
        <f>L780/K780</f>
        <v/>
      </c>
      <c r="N780" s="14" t="inlineStr">
        <is>
          <t>将军撤退+大将军转向</t>
        </is>
      </c>
      <c r="O780" s="14" t="inlineStr">
        <is>
          <t>是</t>
        </is>
      </c>
    </row>
    <row r="781">
      <c r="A781" s="2" t="inlineStr">
        <is>
          <t>2025-01-09</t>
        </is>
      </c>
      <c r="B781" s="2" t="inlineStr">
        <is>
          <t>2025-01-10</t>
        </is>
      </c>
      <c r="C781" s="2" t="inlineStr">
        <is>
          <t>沥青</t>
        </is>
      </c>
      <c r="D781" s="2" t="inlineStr">
        <is>
          <t>BU</t>
        </is>
      </c>
      <c r="E781" s="19" t="inlineStr">
        <is>
          <t>多</t>
        </is>
      </c>
      <c r="F781" s="2" t="inlineStr">
        <is>
          <t>★★★</t>
        </is>
      </c>
      <c r="G781" s="10" t="n">
        <v>17</v>
      </c>
      <c r="H781" s="11" t="n">
        <v>3668</v>
      </c>
      <c r="I781" s="11" t="n">
        <v>3691</v>
      </c>
      <c r="J781" s="10" t="n">
        <v>10</v>
      </c>
      <c r="K781" s="10" t="n">
        <v>30000</v>
      </c>
      <c r="L781" s="23">
        <f>IF(E781="多",1,-1)*(I781-H781)*G781*J781</f>
        <v/>
      </c>
      <c r="M781" s="24">
        <f>L781/K781</f>
        <v/>
      </c>
      <c r="N781" s="2" t="inlineStr">
        <is>
          <t>大将军转向</t>
        </is>
      </c>
      <c r="O781" s="2" t="inlineStr">
        <is>
          <t>否</t>
        </is>
      </c>
    </row>
    <row r="782">
      <c r="A782" s="14" t="inlineStr">
        <is>
          <t>2025-01-07</t>
        </is>
      </c>
      <c r="B782" s="14" t="inlineStr">
        <is>
          <t>2025-01-10</t>
        </is>
      </c>
      <c r="C782" s="14" t="inlineStr">
        <is>
          <t>工业硅</t>
        </is>
      </c>
      <c r="D782" s="14" t="inlineStr">
        <is>
          <t>SI</t>
        </is>
      </c>
      <c r="E782" s="14" t="inlineStr">
        <is>
          <t>空</t>
        </is>
      </c>
      <c r="F782" s="14" t="inlineStr">
        <is>
          <t>★★</t>
        </is>
      </c>
      <c r="G782" s="14" t="n">
        <v>3</v>
      </c>
      <c r="H782" s="15" t="n">
        <v>10570</v>
      </c>
      <c r="I782" s="15" t="n">
        <v>10520</v>
      </c>
      <c r="J782" s="14" t="n">
        <v>5</v>
      </c>
      <c r="K782" s="14" t="n">
        <v>10000</v>
      </c>
      <c r="L782" s="25">
        <f>IF(E782="多",1,-1)*(I782-H782)*G782*J782</f>
        <v/>
      </c>
      <c r="M782" s="26">
        <f>L782/K782</f>
        <v/>
      </c>
      <c r="N782" s="14" t="inlineStr">
        <is>
          <t>大将军转向</t>
        </is>
      </c>
      <c r="O782" s="14" t="inlineStr">
        <is>
          <t>是</t>
        </is>
      </c>
    </row>
    <row r="783">
      <c r="A783" s="14" t="inlineStr">
        <is>
          <t>2024-12-30</t>
        </is>
      </c>
      <c r="B783" s="14" t="inlineStr">
        <is>
          <t>2025-01-10</t>
        </is>
      </c>
      <c r="C783" s="14" t="inlineStr">
        <is>
          <t>沪银</t>
        </is>
      </c>
      <c r="D783" s="14" t="inlineStr">
        <is>
          <t>AG</t>
        </is>
      </c>
      <c r="E783" s="14" t="inlineStr">
        <is>
          <t>空</t>
        </is>
      </c>
      <c r="F783" s="14" t="inlineStr">
        <is>
          <t>★★★</t>
        </is>
      </c>
      <c r="G783" s="14" t="n">
        <v>1</v>
      </c>
      <c r="H783" s="15" t="n">
        <v>7588</v>
      </c>
      <c r="I783" s="15" t="n">
        <v>7817</v>
      </c>
      <c r="J783" s="14" t="n">
        <v>15</v>
      </c>
      <c r="K783" s="14" t="n">
        <v>10000</v>
      </c>
      <c r="L783" s="25">
        <f>IF(E783="多",1,-1)*(I783-H783)*G783*J783</f>
        <v/>
      </c>
      <c r="M783" s="26">
        <f>L783/K783</f>
        <v/>
      </c>
      <c r="N783" s="14" t="inlineStr">
        <is>
          <t>跳空止损</t>
        </is>
      </c>
      <c r="O783" s="14" t="inlineStr">
        <is>
          <t>是</t>
        </is>
      </c>
    </row>
    <row r="784">
      <c r="A784" s="2" t="inlineStr">
        <is>
          <t>2025-01-06</t>
        </is>
      </c>
      <c r="B784" s="2" t="inlineStr">
        <is>
          <t>2025-01-09</t>
        </is>
      </c>
      <c r="C784" s="2" t="inlineStr">
        <is>
          <t>锰硅</t>
        </is>
      </c>
      <c r="D784" s="2" t="inlineStr">
        <is>
          <t>SM</t>
        </is>
      </c>
      <c r="E784" s="9" t="inlineStr">
        <is>
          <t>空</t>
        </is>
      </c>
      <c r="F784" s="2" t="inlineStr">
        <is>
          <t>★★★</t>
        </is>
      </c>
      <c r="G784" s="10" t="n">
        <v>32</v>
      </c>
      <c r="H784" s="11" t="n">
        <v>6080</v>
      </c>
      <c r="I784" s="11" t="n">
        <v>6058</v>
      </c>
      <c r="J784" s="10" t="n">
        <v>5</v>
      </c>
      <c r="K784" s="10" t="n">
        <v>30000</v>
      </c>
      <c r="L784" s="23">
        <f>IF(E784="多",1,-1)*(I784-H784)*G784*J784</f>
        <v/>
      </c>
      <c r="M784" s="24">
        <f>L784/K784</f>
        <v/>
      </c>
      <c r="N784" s="2" t="inlineStr">
        <is>
          <t>将军撤退</t>
        </is>
      </c>
      <c r="O784" s="2" t="inlineStr">
        <is>
          <t>否</t>
        </is>
      </c>
    </row>
    <row r="785">
      <c r="A785" s="14" t="inlineStr">
        <is>
          <t>2025-01-06</t>
        </is>
      </c>
      <c r="B785" s="14" t="inlineStr">
        <is>
          <t>2025-01-08</t>
        </is>
      </c>
      <c r="C785" s="14" t="inlineStr">
        <is>
          <t>沪镍</t>
        </is>
      </c>
      <c r="D785" s="14" t="inlineStr">
        <is>
          <t>NI</t>
        </is>
      </c>
      <c r="E785" s="14" t="inlineStr">
        <is>
          <t>空</t>
        </is>
      </c>
      <c r="F785" s="14" t="inlineStr">
        <is>
          <t>★★</t>
        </is>
      </c>
      <c r="G785" s="14" t="n">
        <v>1</v>
      </c>
      <c r="H785" s="15" t="n">
        <v>123500</v>
      </c>
      <c r="I785" s="15" t="n">
        <v>125230</v>
      </c>
      <c r="J785" s="14" t="n">
        <v>1</v>
      </c>
      <c r="K785" s="14" t="n">
        <v>10000</v>
      </c>
      <c r="L785" s="25">
        <f>IF(E785="多",1,-1)*(I785-H785)*G785*J785</f>
        <v/>
      </c>
      <c r="M785" s="26">
        <f>L785/K785</f>
        <v/>
      </c>
      <c r="N785" s="14" t="inlineStr">
        <is>
          <t>大将军转向</t>
        </is>
      </c>
      <c r="O785" s="14" t="inlineStr">
        <is>
          <t>是</t>
        </is>
      </c>
    </row>
    <row r="786">
      <c r="A786" s="14" t="inlineStr">
        <is>
          <t>2024-12-27</t>
        </is>
      </c>
      <c r="B786" s="14" t="inlineStr">
        <is>
          <t>2025-01-07</t>
        </is>
      </c>
      <c r="C786" s="14" t="inlineStr">
        <is>
          <t>塑料</t>
        </is>
      </c>
      <c r="D786" s="14" t="inlineStr">
        <is>
          <t>L</t>
        </is>
      </c>
      <c r="E786" s="14" t="inlineStr">
        <is>
          <t>空</t>
        </is>
      </c>
      <c r="F786" s="14" t="inlineStr">
        <is>
          <t>★★</t>
        </is>
      </c>
      <c r="G786" s="14" t="n">
        <v>10</v>
      </c>
      <c r="H786" s="15" t="n">
        <v>8079</v>
      </c>
      <c r="I786" s="15" t="n">
        <v>7893</v>
      </c>
      <c r="J786" s="14" t="n">
        <v>5</v>
      </c>
      <c r="K786" s="14" t="n">
        <v>10000</v>
      </c>
      <c r="L786" s="25">
        <f>IF(E786="多",1,-1)*(I786-H786)*G786*J786</f>
        <v/>
      </c>
      <c r="M786" s="26">
        <f>L786/K786</f>
        <v/>
      </c>
      <c r="N786" s="14" t="inlineStr">
        <is>
          <t>大将军转向</t>
        </is>
      </c>
      <c r="O786" s="14" t="inlineStr">
        <is>
          <t>是</t>
        </is>
      </c>
    </row>
    <row r="787">
      <c r="A787" s="2" t="inlineStr">
        <is>
          <t>2024-12-23</t>
        </is>
      </c>
      <c r="B787" s="2" t="inlineStr">
        <is>
          <t>2025-01-07</t>
        </is>
      </c>
      <c r="C787" s="2" t="inlineStr">
        <is>
          <t>豆油</t>
        </is>
      </c>
      <c r="D787" s="2" t="inlineStr">
        <is>
          <t>Y</t>
        </is>
      </c>
      <c r="E787" s="9" t="inlineStr">
        <is>
          <t>空</t>
        </is>
      </c>
      <c r="F787" s="2" t="inlineStr">
        <is>
          <t>★★★</t>
        </is>
      </c>
      <c r="G787" s="10" t="n">
        <v>6</v>
      </c>
      <c r="H787" s="11" t="n">
        <v>7612</v>
      </c>
      <c r="I787" s="11" t="n">
        <v>7596</v>
      </c>
      <c r="J787" s="10" t="n">
        <v>10</v>
      </c>
      <c r="K787" s="10" t="n">
        <v>30000</v>
      </c>
      <c r="L787" s="23">
        <f>IF(E787="多",1,-1)*(I787-H787)*G787*J787</f>
        <v/>
      </c>
      <c r="M787" s="24">
        <f>L787/K787</f>
        <v/>
      </c>
      <c r="N787" s="2" t="inlineStr">
        <is>
          <t>大将军转向</t>
        </is>
      </c>
      <c r="O787" s="2" t="inlineStr">
        <is>
          <t>否</t>
        </is>
      </c>
    </row>
    <row r="788">
      <c r="A788" s="2" t="inlineStr">
        <is>
          <t>2024-12-30</t>
        </is>
      </c>
      <c r="B788" s="2" t="inlineStr">
        <is>
          <t>2025-01-06</t>
        </is>
      </c>
      <c r="C788" s="2" t="inlineStr">
        <is>
          <t>甲醇</t>
        </is>
      </c>
      <c r="D788" s="2" t="inlineStr">
        <is>
          <t>MA</t>
        </is>
      </c>
      <c r="E788" s="19" t="inlineStr">
        <is>
          <t>多</t>
        </is>
      </c>
      <c r="F788" s="2" t="inlineStr">
        <is>
          <t>★★★</t>
        </is>
      </c>
      <c r="G788" s="10" t="n">
        <v>26</v>
      </c>
      <c r="H788" s="11" t="n">
        <v>2679</v>
      </c>
      <c r="I788" s="11" t="n">
        <v>2609.29</v>
      </c>
      <c r="J788" s="10" t="n">
        <v>10</v>
      </c>
      <c r="K788" s="10" t="n">
        <v>30000</v>
      </c>
      <c r="L788" s="23">
        <f>IF(E788="多",1,-1)*(I788-H788)*G788*J788</f>
        <v/>
      </c>
      <c r="M788" s="24">
        <f>L788/K788</f>
        <v/>
      </c>
      <c r="N788" s="2" t="inlineStr">
        <is>
          <t>止损</t>
        </is>
      </c>
      <c r="O788" s="2" t="inlineStr">
        <is>
          <t>否</t>
        </is>
      </c>
    </row>
    <row r="789">
      <c r="A789" s="14" t="inlineStr">
        <is>
          <t>2024-12-25</t>
        </is>
      </c>
      <c r="B789" s="14" t="inlineStr">
        <is>
          <t>2025-01-03</t>
        </is>
      </c>
      <c r="C789" s="14" t="inlineStr">
        <is>
          <t>沪锌</t>
        </is>
      </c>
      <c r="D789" s="14" t="inlineStr">
        <is>
          <t>ZN</t>
        </is>
      </c>
      <c r="E789" s="14" t="inlineStr">
        <is>
          <t>多</t>
        </is>
      </c>
      <c r="F789" s="14" t="inlineStr">
        <is>
          <t>★★</t>
        </is>
      </c>
      <c r="G789" s="14" t="n">
        <v>1</v>
      </c>
      <c r="H789" s="15" t="n">
        <v>25480</v>
      </c>
      <c r="I789" s="15" t="n">
        <v>24678.93</v>
      </c>
      <c r="J789" s="14" t="n">
        <v>5</v>
      </c>
      <c r="K789" s="14" t="n">
        <v>10000</v>
      </c>
      <c r="L789" s="25">
        <f>IF(E789="多",1,-1)*(I789-H789)*G789*J789</f>
        <v/>
      </c>
      <c r="M789" s="26">
        <f>L789/K789</f>
        <v/>
      </c>
      <c r="N789" s="14" t="inlineStr">
        <is>
          <t>止损</t>
        </is>
      </c>
      <c r="O789" s="14" t="inlineStr">
        <is>
          <t>是</t>
        </is>
      </c>
    </row>
    <row r="790">
      <c r="A790" s="14" t="inlineStr">
        <is>
          <t>2024-12-31</t>
        </is>
      </c>
      <c r="B790" s="14" t="inlineStr">
        <is>
          <t>2025-01-02</t>
        </is>
      </c>
      <c r="C790" s="14" t="inlineStr">
        <is>
          <t>工业硅</t>
        </is>
      </c>
      <c r="D790" s="14" t="inlineStr">
        <is>
          <t>SI</t>
        </is>
      </c>
      <c r="E790" s="14" t="inlineStr">
        <is>
          <t>空</t>
        </is>
      </c>
      <c r="F790" s="14" t="inlineStr">
        <is>
          <t>★★</t>
        </is>
      </c>
      <c r="G790" s="14" t="n">
        <v>3</v>
      </c>
      <c r="H790" s="15" t="n">
        <v>11005</v>
      </c>
      <c r="I790" s="15" t="n">
        <v>11050</v>
      </c>
      <c r="J790" s="14" t="n">
        <v>5</v>
      </c>
      <c r="K790" s="14" t="n">
        <v>10000</v>
      </c>
      <c r="L790" s="25">
        <f>IF(E790="多",1,-1)*(I790-H790)*G790*J790</f>
        <v/>
      </c>
      <c r="M790" s="26">
        <f>L790/K790</f>
        <v/>
      </c>
      <c r="N790" s="14" t="inlineStr">
        <is>
          <t>大将军转向</t>
        </is>
      </c>
      <c r="O790" s="14" t="inlineStr">
        <is>
          <t>是</t>
        </is>
      </c>
    </row>
    <row r="791">
      <c r="A791" s="14" t="inlineStr">
        <is>
          <t>2024-12-31</t>
        </is>
      </c>
      <c r="B791" s="14" t="inlineStr">
        <is>
          <t>2025-01-02</t>
        </is>
      </c>
      <c r="C791" s="14" t="inlineStr">
        <is>
          <t>棕榈油</t>
        </is>
      </c>
      <c r="D791" s="14" t="inlineStr">
        <is>
          <t>P</t>
        </is>
      </c>
      <c r="E791" s="14" t="inlineStr">
        <is>
          <t>空</t>
        </is>
      </c>
      <c r="F791" s="14" t="inlineStr">
        <is>
          <t>★★</t>
        </is>
      </c>
      <c r="G791" s="14" t="n">
        <v>1</v>
      </c>
      <c r="H791" s="15" t="n">
        <v>8660</v>
      </c>
      <c r="I791" s="15" t="n">
        <v>8474</v>
      </c>
      <c r="J791" s="14" t="n">
        <v>10</v>
      </c>
      <c r="K791" s="14" t="n">
        <v>10000</v>
      </c>
      <c r="L791" s="25">
        <f>IF(E791="多",1,-1)*(I791-H791)*G791*J791</f>
        <v/>
      </c>
      <c r="M791" s="26">
        <f>L791/K791</f>
        <v/>
      </c>
      <c r="N791" s="14" t="inlineStr">
        <is>
          <t>将军撤退</t>
        </is>
      </c>
      <c r="O791" s="14" t="inlineStr">
        <is>
          <t>是</t>
        </is>
      </c>
    </row>
    <row r="792">
      <c r="A792" s="14" t="inlineStr">
        <is>
          <t>2024-12-31</t>
        </is>
      </c>
      <c r="B792" s="14" t="inlineStr">
        <is>
          <t>2025-01-02</t>
        </is>
      </c>
      <c r="C792" s="14" t="inlineStr">
        <is>
          <t>豆粕</t>
        </is>
      </c>
      <c r="D792" s="14" t="inlineStr">
        <is>
          <t>M</t>
        </is>
      </c>
      <c r="E792" s="14" t="inlineStr">
        <is>
          <t>多</t>
        </is>
      </c>
      <c r="F792" s="14" t="inlineStr">
        <is>
          <t>★★</t>
        </is>
      </c>
      <c r="G792" s="14" t="n">
        <v>8</v>
      </c>
      <c r="H792" s="15" t="n">
        <v>2722</v>
      </c>
      <c r="I792" s="15" t="n">
        <v>2716</v>
      </c>
      <c r="J792" s="14" t="n">
        <v>10</v>
      </c>
      <c r="K792" s="14" t="n">
        <v>10000</v>
      </c>
      <c r="L792" s="25">
        <f>IF(E792="多",1,-1)*(I792-H792)*G792*J792</f>
        <v/>
      </c>
      <c r="M792" s="26">
        <f>L792/K792</f>
        <v/>
      </c>
      <c r="N792" s="14" t="inlineStr">
        <is>
          <t>将军撤退</t>
        </is>
      </c>
      <c r="O792" s="14" t="inlineStr">
        <is>
          <t>是</t>
        </is>
      </c>
    </row>
    <row r="793">
      <c r="A793" s="14" t="inlineStr">
        <is>
          <t>2024-12-23</t>
        </is>
      </c>
      <c r="B793" s="14" t="inlineStr">
        <is>
          <t>2025-01-02</t>
        </is>
      </c>
      <c r="C793" s="14" t="inlineStr">
        <is>
          <t>沪铜</t>
        </is>
      </c>
      <c r="D793" s="14" t="inlineStr">
        <is>
          <t>CU</t>
        </is>
      </c>
      <c r="E793" s="14" t="inlineStr">
        <is>
          <t>多</t>
        </is>
      </c>
      <c r="F793" s="14" t="inlineStr">
        <is>
          <t>★★</t>
        </is>
      </c>
      <c r="G793" s="14" t="n">
        <v>1</v>
      </c>
      <c r="H793" s="15" t="n">
        <v>74010</v>
      </c>
      <c r="I793" s="15" t="n">
        <v>73037.86</v>
      </c>
      <c r="J793" s="14" t="n">
        <v>5</v>
      </c>
      <c r="K793" s="14" t="n">
        <v>10000</v>
      </c>
      <c r="L793" s="25">
        <f>IF(E793="多",1,-1)*(I793-H793)*G793*J793</f>
        <v/>
      </c>
      <c r="M793" s="26">
        <f>L793/K793</f>
        <v/>
      </c>
      <c r="N793" s="14" t="inlineStr">
        <is>
          <t>止损</t>
        </is>
      </c>
      <c r="O793" s="14" t="inlineStr">
        <is>
          <t>是</t>
        </is>
      </c>
    </row>
    <row r="794">
      <c r="A794" s="14" t="inlineStr">
        <is>
          <t>2024-12-27</t>
        </is>
      </c>
      <c r="B794" s="14" t="inlineStr">
        <is>
          <t>2024-12-31</t>
        </is>
      </c>
      <c r="C794" s="14" t="inlineStr">
        <is>
          <t>沪铝</t>
        </is>
      </c>
      <c r="D794" s="14" t="inlineStr">
        <is>
          <t>AL</t>
        </is>
      </c>
      <c r="E794" s="14" t="inlineStr">
        <is>
          <t>空</t>
        </is>
      </c>
      <c r="F794" s="14" t="inlineStr">
        <is>
          <t>★★</t>
        </is>
      </c>
      <c r="G794" s="14" t="n">
        <v>3</v>
      </c>
      <c r="H794" s="15" t="n">
        <v>19770</v>
      </c>
      <c r="I794" s="15" t="n">
        <v>19780</v>
      </c>
      <c r="J794" s="14" t="n">
        <v>5</v>
      </c>
      <c r="K794" s="14" t="n">
        <v>10000</v>
      </c>
      <c r="L794" s="25">
        <f>IF(E794="多",1,-1)*(I794-H794)*G794*J794</f>
        <v/>
      </c>
      <c r="M794" s="26">
        <f>L794/K794</f>
        <v/>
      </c>
      <c r="N794" s="14" t="inlineStr">
        <is>
          <t>将军撤退+大将军转向</t>
        </is>
      </c>
      <c r="O794" s="14" t="inlineStr">
        <is>
          <t>是</t>
        </is>
      </c>
    </row>
    <row r="795">
      <c r="A795" s="14" t="inlineStr">
        <is>
          <t>2024-12-26</t>
        </is>
      </c>
      <c r="B795" s="14" t="inlineStr">
        <is>
          <t>2024-12-30</t>
        </is>
      </c>
      <c r="C795" s="14" t="inlineStr">
        <is>
          <t>工业硅</t>
        </is>
      </c>
      <c r="D795" s="14" t="inlineStr">
        <is>
          <t>SI</t>
        </is>
      </c>
      <c r="E795" s="14" t="inlineStr">
        <is>
          <t>空</t>
        </is>
      </c>
      <c r="F795" s="14" t="inlineStr">
        <is>
          <t>★★★</t>
        </is>
      </c>
      <c r="G795" s="14" t="n">
        <v>3</v>
      </c>
      <c r="H795" s="15" t="n">
        <v>11175</v>
      </c>
      <c r="I795" s="15" t="n">
        <v>11180</v>
      </c>
      <c r="J795" s="14" t="n">
        <v>5</v>
      </c>
      <c r="K795" s="14" t="n">
        <v>10000</v>
      </c>
      <c r="L795" s="25">
        <f>IF(E795="多",1,-1)*(I795-H795)*G795*J795</f>
        <v/>
      </c>
      <c r="M795" s="26">
        <f>L795/K795</f>
        <v/>
      </c>
      <c r="N795" s="14" t="inlineStr">
        <is>
          <t>大将军转向</t>
        </is>
      </c>
      <c r="O795" s="14" t="inlineStr">
        <is>
          <t>是</t>
        </is>
      </c>
    </row>
    <row r="796">
      <c r="A796" s="2" t="inlineStr">
        <is>
          <t>2024-12-25</t>
        </is>
      </c>
      <c r="B796" s="2" t="inlineStr">
        <is>
          <t>2024-12-30</t>
        </is>
      </c>
      <c r="C796" s="2" t="inlineStr">
        <is>
          <t>棕榈油</t>
        </is>
      </c>
      <c r="D796" s="2" t="inlineStr">
        <is>
          <t>P</t>
        </is>
      </c>
      <c r="E796" s="9" t="inlineStr">
        <is>
          <t>空</t>
        </is>
      </c>
      <c r="F796" s="2" t="inlineStr">
        <is>
          <t>★★★</t>
        </is>
      </c>
      <c r="G796" s="10" t="n">
        <v>4</v>
      </c>
      <c r="H796" s="11" t="n">
        <v>8704</v>
      </c>
      <c r="I796" s="11" t="n">
        <v>8744</v>
      </c>
      <c r="J796" s="10" t="n">
        <v>10</v>
      </c>
      <c r="K796" s="10" t="n">
        <v>30000</v>
      </c>
      <c r="L796" s="23">
        <f>IF(E796="多",1,-1)*(I796-H796)*G796*J796</f>
        <v/>
      </c>
      <c r="M796" s="24">
        <f>L796/K796</f>
        <v/>
      </c>
      <c r="N796" s="2" t="inlineStr">
        <is>
          <t>大将军转向</t>
        </is>
      </c>
      <c r="O796" s="2" t="inlineStr">
        <is>
          <t>否</t>
        </is>
      </c>
    </row>
    <row r="797">
      <c r="A797" s="14" t="inlineStr">
        <is>
          <t>2024-12-23</t>
        </is>
      </c>
      <c r="B797" s="14" t="inlineStr">
        <is>
          <t>2024-12-30</t>
        </is>
      </c>
      <c r="C797" s="14" t="inlineStr">
        <is>
          <t>锰硅</t>
        </is>
      </c>
      <c r="D797" s="14" t="inlineStr">
        <is>
          <t>SM</t>
        </is>
      </c>
      <c r="E797" s="14" t="inlineStr">
        <is>
          <t>空</t>
        </is>
      </c>
      <c r="F797" s="14" t="inlineStr">
        <is>
          <t>★★★</t>
        </is>
      </c>
      <c r="G797" s="14" t="n">
        <v>8</v>
      </c>
      <c r="H797" s="15" t="n">
        <v>6160</v>
      </c>
      <c r="I797" s="15" t="n">
        <v>6102</v>
      </c>
      <c r="J797" s="14" t="n">
        <v>5</v>
      </c>
      <c r="K797" s="14" t="n">
        <v>10000</v>
      </c>
      <c r="L797" s="25">
        <f>IF(E797="多",1,-1)*(I797-H797)*G797*J797</f>
        <v/>
      </c>
      <c r="M797" s="26">
        <f>L797/K797</f>
        <v/>
      </c>
      <c r="N797" s="14" t="inlineStr">
        <is>
          <t>大将军转向</t>
        </is>
      </c>
      <c r="O797" s="14" t="inlineStr">
        <is>
          <t>是</t>
        </is>
      </c>
    </row>
    <row r="798">
      <c r="A798" s="14" t="inlineStr">
        <is>
          <t>2024-12-20</t>
        </is>
      </c>
      <c r="B798" s="14" t="inlineStr">
        <is>
          <t>2024-12-30</t>
        </is>
      </c>
      <c r="C798" s="14" t="inlineStr">
        <is>
          <t>甲醇</t>
        </is>
      </c>
      <c r="D798" s="14" t="inlineStr">
        <is>
          <t>MA</t>
        </is>
      </c>
      <c r="E798" s="14" t="inlineStr">
        <is>
          <t>空</t>
        </is>
      </c>
      <c r="F798" s="14" t="inlineStr">
        <is>
          <t>★★</t>
        </is>
      </c>
      <c r="G798" s="14" t="n">
        <v>9</v>
      </c>
      <c r="H798" s="15" t="n">
        <v>2587</v>
      </c>
      <c r="I798" s="15" t="n">
        <v>2685.86</v>
      </c>
      <c r="J798" s="14" t="n">
        <v>10</v>
      </c>
      <c r="K798" s="14" t="n">
        <v>10000</v>
      </c>
      <c r="L798" s="25">
        <f>IF(E798="多",1,-1)*(I798-H798)*G798*J798</f>
        <v/>
      </c>
      <c r="M798" s="26">
        <f>L798/K798</f>
        <v/>
      </c>
      <c r="N798" s="14" t="inlineStr">
        <is>
          <t>止损</t>
        </is>
      </c>
      <c r="O798" s="14" t="inlineStr">
        <is>
          <t>是</t>
        </is>
      </c>
    </row>
    <row r="799">
      <c r="A799" s="14" t="inlineStr">
        <is>
          <t>2024-12-17</t>
        </is>
      </c>
      <c r="B799" s="14" t="inlineStr">
        <is>
          <t>2024-12-30</t>
        </is>
      </c>
      <c r="C799" s="14" t="inlineStr">
        <is>
          <t>沥青</t>
        </is>
      </c>
      <c r="D799" s="14" t="inlineStr">
        <is>
          <t>BU</t>
        </is>
      </c>
      <c r="E799" s="14" t="inlineStr">
        <is>
          <t>多</t>
        </is>
      </c>
      <c r="F799" s="14" t="inlineStr">
        <is>
          <t>★★</t>
        </is>
      </c>
      <c r="G799" s="14" t="n">
        <v>5</v>
      </c>
      <c r="H799" s="15" t="n">
        <v>3523</v>
      </c>
      <c r="I799" s="15" t="n">
        <v>3655</v>
      </c>
      <c r="J799" s="14" t="n">
        <v>10</v>
      </c>
      <c r="K799" s="14" t="n">
        <v>10000</v>
      </c>
      <c r="L799" s="25">
        <f>IF(E799="多",1,-1)*(I799-H799)*G799*J799</f>
        <v/>
      </c>
      <c r="M799" s="26">
        <f>L799/K799</f>
        <v/>
      </c>
      <c r="N799" s="14" t="inlineStr">
        <is>
          <t>将军撤退+大将军转向</t>
        </is>
      </c>
      <c r="O799" s="14" t="inlineStr">
        <is>
          <t>是</t>
        </is>
      </c>
    </row>
    <row r="800">
      <c r="A800" s="14" t="inlineStr">
        <is>
          <t>2024-12-26</t>
        </is>
      </c>
      <c r="B800" s="14" t="inlineStr">
        <is>
          <t>2024-12-27</t>
        </is>
      </c>
      <c r="C800" s="14" t="inlineStr">
        <is>
          <t>玻璃</t>
        </is>
      </c>
      <c r="D800" s="14" t="inlineStr">
        <is>
          <t>FG</t>
        </is>
      </c>
      <c r="E800" s="14" t="inlineStr">
        <is>
          <t>空</t>
        </is>
      </c>
      <c r="F800" s="14" t="inlineStr">
        <is>
          <t>★★</t>
        </is>
      </c>
      <c r="G800" s="14" t="n">
        <v>4</v>
      </c>
      <c r="H800" s="15" t="n">
        <v>1344</v>
      </c>
      <c r="I800" s="15" t="n">
        <v>1336</v>
      </c>
      <c r="J800" s="14" t="n">
        <v>20</v>
      </c>
      <c r="K800" s="14" t="n">
        <v>10000</v>
      </c>
      <c r="L800" s="25">
        <f>IF(E800="多",1,-1)*(I800-H800)*G800*J800</f>
        <v/>
      </c>
      <c r="M800" s="26">
        <f>L800/K800</f>
        <v/>
      </c>
      <c r="N800" s="14" t="inlineStr">
        <is>
          <t>将军撤退+大将军转向</t>
        </is>
      </c>
      <c r="O800" s="14" t="inlineStr">
        <is>
          <t>是</t>
        </is>
      </c>
    </row>
    <row r="801">
      <c r="A801" s="14" t="inlineStr">
        <is>
          <t>2024-12-26</t>
        </is>
      </c>
      <c r="B801" s="14" t="inlineStr">
        <is>
          <t>2024-12-27</t>
        </is>
      </c>
      <c r="C801" s="14" t="inlineStr">
        <is>
          <t>玉米</t>
        </is>
      </c>
      <c r="D801" s="14" t="inlineStr">
        <is>
          <t>C</t>
        </is>
      </c>
      <c r="E801" s="14" t="inlineStr">
        <is>
          <t>多</t>
        </is>
      </c>
      <c r="F801" s="14" t="inlineStr">
        <is>
          <t>★★</t>
        </is>
      </c>
      <c r="G801" s="14" t="n">
        <v>15</v>
      </c>
      <c r="H801" s="15" t="n">
        <v>2208</v>
      </c>
      <c r="I801" s="15" t="n">
        <v>2234</v>
      </c>
      <c r="J801" s="14" t="n">
        <v>10</v>
      </c>
      <c r="K801" s="14" t="n">
        <v>10000</v>
      </c>
      <c r="L801" s="25">
        <f>IF(E801="多",1,-1)*(I801-H801)*G801*J801</f>
        <v/>
      </c>
      <c r="M801" s="26">
        <f>L801/K801</f>
        <v/>
      </c>
      <c r="N801" s="14" t="inlineStr">
        <is>
          <t>将军撤退+大将军转向</t>
        </is>
      </c>
      <c r="O801" s="14" t="inlineStr">
        <is>
          <t>是</t>
        </is>
      </c>
    </row>
    <row r="802">
      <c r="A802" s="2" t="inlineStr">
        <is>
          <t>2024-12-25</t>
        </is>
      </c>
      <c r="B802" s="2" t="inlineStr">
        <is>
          <t>2024-12-27</t>
        </is>
      </c>
      <c r="C802" s="2" t="inlineStr">
        <is>
          <t>聚丙烯</t>
        </is>
      </c>
      <c r="D802" s="2" t="inlineStr">
        <is>
          <t>PP</t>
        </is>
      </c>
      <c r="E802" s="9" t="inlineStr">
        <is>
          <t>空</t>
        </is>
      </c>
      <c r="F802" s="2" t="inlineStr">
        <is>
          <t>★★★</t>
        </is>
      </c>
      <c r="G802" s="10" t="n">
        <v>13</v>
      </c>
      <c r="H802" s="11" t="n">
        <v>7402</v>
      </c>
      <c r="I802" s="11" t="n">
        <v>7370</v>
      </c>
      <c r="J802" s="10" t="n">
        <v>5</v>
      </c>
      <c r="K802" s="10" t="n">
        <v>10000</v>
      </c>
      <c r="L802" s="23">
        <f>IF(E802="多",1,-1)*(I802-H802)*G802*J802</f>
        <v/>
      </c>
      <c r="M802" s="24">
        <f>L802/K802</f>
        <v/>
      </c>
      <c r="N802" s="2" t="inlineStr">
        <is>
          <t>将军撤退</t>
        </is>
      </c>
      <c r="O802" s="2" t="inlineStr">
        <is>
          <t>否</t>
        </is>
      </c>
    </row>
    <row r="803">
      <c r="A803" s="14" t="inlineStr">
        <is>
          <t>2024-12-20</t>
        </is>
      </c>
      <c r="B803" s="14" t="inlineStr">
        <is>
          <t>2024-12-26</t>
        </is>
      </c>
      <c r="C803" s="14" t="inlineStr">
        <is>
          <t>铁矿石</t>
        </is>
      </c>
      <c r="D803" s="14" t="inlineStr">
        <is>
          <t>I</t>
        </is>
      </c>
      <c r="E803" s="14" t="inlineStr">
        <is>
          <t>空</t>
        </is>
      </c>
      <c r="F803" s="14" t="inlineStr">
        <is>
          <t>★★</t>
        </is>
      </c>
      <c r="G803" s="14" t="n">
        <v>1</v>
      </c>
      <c r="H803" s="15" t="n">
        <v>769</v>
      </c>
      <c r="I803" s="15" t="n">
        <v>776.5</v>
      </c>
      <c r="J803" s="14" t="n">
        <v>100</v>
      </c>
      <c r="K803" s="14" t="n">
        <v>10000</v>
      </c>
      <c r="L803" s="25">
        <f>IF(E803="多",1,-1)*(I803-H803)*G803*J803</f>
        <v/>
      </c>
      <c r="M803" s="26">
        <f>L803/K803</f>
        <v/>
      </c>
      <c r="N803" s="14" t="inlineStr">
        <is>
          <t>大将军转向</t>
        </is>
      </c>
      <c r="O803" s="14" t="inlineStr">
        <is>
          <t>是</t>
        </is>
      </c>
    </row>
    <row r="804">
      <c r="A804" s="2" t="inlineStr">
        <is>
          <t>2024-12-24</t>
        </is>
      </c>
      <c r="B804" s="2" t="inlineStr">
        <is>
          <t>2024-12-25</t>
        </is>
      </c>
      <c r="C804" s="2" t="inlineStr">
        <is>
          <t>玉米</t>
        </is>
      </c>
      <c r="D804" s="2" t="inlineStr">
        <is>
          <t>C</t>
        </is>
      </c>
      <c r="E804" s="19" t="inlineStr">
        <is>
          <t>多</t>
        </is>
      </c>
      <c r="F804" s="2" t="inlineStr">
        <is>
          <t>★★★</t>
        </is>
      </c>
      <c r="G804" s="10" t="n">
        <v>37</v>
      </c>
      <c r="H804" s="11" t="n">
        <v>2192</v>
      </c>
      <c r="I804" s="11" t="n">
        <v>2205</v>
      </c>
      <c r="J804" s="10" t="n">
        <v>10</v>
      </c>
      <c r="K804" s="10" t="n">
        <v>30000</v>
      </c>
      <c r="L804" s="23">
        <f>IF(E804="多",1,-1)*(I804-H804)*G804*J804</f>
        <v/>
      </c>
      <c r="M804" s="24">
        <f>L804/K804</f>
        <v/>
      </c>
      <c r="N804" s="2" t="inlineStr">
        <is>
          <t>将军撤退</t>
        </is>
      </c>
      <c r="O804" s="2" t="inlineStr">
        <is>
          <t>否</t>
        </is>
      </c>
    </row>
    <row r="805">
      <c r="A805" s="14" t="inlineStr">
        <is>
          <t>2024-12-23</t>
        </is>
      </c>
      <c r="B805" s="14" t="inlineStr">
        <is>
          <t>2024-12-24</t>
        </is>
      </c>
      <c r="C805" s="14" t="inlineStr">
        <is>
          <t>燃料油</t>
        </is>
      </c>
      <c r="D805" s="14" t="inlineStr">
        <is>
          <t>FU</t>
        </is>
      </c>
      <c r="E805" s="14" t="inlineStr">
        <is>
          <t>多</t>
        </is>
      </c>
      <c r="F805" s="14" t="inlineStr">
        <is>
          <t>★★</t>
        </is>
      </c>
      <c r="G805" s="14" t="n">
        <v>5</v>
      </c>
      <c r="H805" s="15" t="n">
        <v>3220</v>
      </c>
      <c r="I805" s="15" t="n">
        <v>3236</v>
      </c>
      <c r="J805" s="14" t="n">
        <v>10</v>
      </c>
      <c r="K805" s="14" t="n">
        <v>10000</v>
      </c>
      <c r="L805" s="25">
        <f>IF(E805="多",1,-1)*(I805-H805)*G805*J805</f>
        <v/>
      </c>
      <c r="M805" s="26">
        <f>L805/K805</f>
        <v/>
      </c>
      <c r="N805" s="14" t="inlineStr">
        <is>
          <t>大将军转向</t>
        </is>
      </c>
      <c r="O805" s="14" t="inlineStr">
        <is>
          <t>是</t>
        </is>
      </c>
    </row>
    <row r="806">
      <c r="A806" s="14" t="inlineStr">
        <is>
          <t>2024-12-20</t>
        </is>
      </c>
      <c r="B806" s="14" t="inlineStr">
        <is>
          <t>2024-12-24</t>
        </is>
      </c>
      <c r="C806" s="14" t="inlineStr">
        <is>
          <t>PTA</t>
        </is>
      </c>
      <c r="D806" s="14" t="inlineStr">
        <is>
          <t>TA</t>
        </is>
      </c>
      <c r="E806" s="14" t="inlineStr">
        <is>
          <t>空</t>
        </is>
      </c>
      <c r="F806" s="14" t="inlineStr">
        <is>
          <t>★★</t>
        </is>
      </c>
      <c r="G806" s="14" t="n">
        <v>9</v>
      </c>
      <c r="H806" s="15" t="n">
        <v>4932</v>
      </c>
      <c r="I806" s="15" t="n">
        <v>4948</v>
      </c>
      <c r="J806" s="14" t="n">
        <v>5</v>
      </c>
      <c r="K806" s="14" t="n">
        <v>10000</v>
      </c>
      <c r="L806" s="25">
        <f>IF(E806="多",1,-1)*(I806-H806)*G806*J806</f>
        <v/>
      </c>
      <c r="M806" s="26">
        <f>L806/K806</f>
        <v/>
      </c>
      <c r="N806" s="14" t="inlineStr">
        <is>
          <t>将军撤退</t>
        </is>
      </c>
      <c r="O806" s="14" t="inlineStr">
        <is>
          <t>是</t>
        </is>
      </c>
    </row>
    <row r="807">
      <c r="A807" s="2" t="inlineStr">
        <is>
          <t>2024-12-04</t>
        </is>
      </c>
      <c r="B807" s="2" t="inlineStr">
        <is>
          <t>2024-12-24</t>
        </is>
      </c>
      <c r="C807" s="2" t="inlineStr">
        <is>
          <t>棉花</t>
        </is>
      </c>
      <c r="D807" s="2" t="inlineStr">
        <is>
          <t>CF</t>
        </is>
      </c>
      <c r="E807" s="9" t="inlineStr">
        <is>
          <t>空</t>
        </is>
      </c>
      <c r="F807" s="2" t="inlineStr">
        <is>
          <t>★★★</t>
        </is>
      </c>
      <c r="G807" s="10" t="n">
        <v>17</v>
      </c>
      <c r="H807" s="11" t="n">
        <v>13905</v>
      </c>
      <c r="I807" s="11" t="n">
        <v>13450</v>
      </c>
      <c r="J807" s="10" t="n">
        <v>5</v>
      </c>
      <c r="K807" s="10" t="n">
        <v>30000</v>
      </c>
      <c r="L807" s="23">
        <f>IF(E807="多",1,-1)*(I807-H807)*G807*J807</f>
        <v/>
      </c>
      <c r="M807" s="24">
        <f>L807/K807</f>
        <v/>
      </c>
      <c r="N807" s="2" t="inlineStr">
        <is>
          <t>将军撤退</t>
        </is>
      </c>
      <c r="O807" s="2" t="inlineStr">
        <is>
          <t>否</t>
        </is>
      </c>
    </row>
    <row r="808">
      <c r="A808" s="2" t="inlineStr">
        <is>
          <t>2024-12-19</t>
        </is>
      </c>
      <c r="B808" s="2" t="inlineStr">
        <is>
          <t>2024-12-23</t>
        </is>
      </c>
      <c r="C808" s="2" t="inlineStr">
        <is>
          <t>工业硅</t>
        </is>
      </c>
      <c r="D808" s="2" t="inlineStr">
        <is>
          <t>SI</t>
        </is>
      </c>
      <c r="E808" s="9" t="inlineStr">
        <is>
          <t>空</t>
        </is>
      </c>
      <c r="F808" s="2" t="inlineStr">
        <is>
          <t>★★★</t>
        </is>
      </c>
      <c r="G808" s="10" t="n">
        <v>3</v>
      </c>
      <c r="H808" s="11" t="n">
        <v>11300</v>
      </c>
      <c r="I808" s="11" t="n">
        <v>11365</v>
      </c>
      <c r="J808" s="10" t="n">
        <v>5</v>
      </c>
      <c r="K808" s="10" t="n">
        <v>10000</v>
      </c>
      <c r="L808" s="23">
        <f>IF(E808="多",1,-1)*(I808-H808)*G808*J808</f>
        <v/>
      </c>
      <c r="M808" s="24">
        <f>L808/K808</f>
        <v/>
      </c>
      <c r="N808" s="2" t="inlineStr">
        <is>
          <t>大将军转向</t>
        </is>
      </c>
      <c r="O808" s="2" t="inlineStr">
        <is>
          <t>否</t>
        </is>
      </c>
    </row>
    <row r="809">
      <c r="A809" s="14" t="inlineStr">
        <is>
          <t>2024-12-19</t>
        </is>
      </c>
      <c r="B809" s="14" t="inlineStr">
        <is>
          <t>2024-12-20</t>
        </is>
      </c>
      <c r="C809" s="14" t="inlineStr">
        <is>
          <t>玉米</t>
        </is>
      </c>
      <c r="D809" s="14" t="inlineStr">
        <is>
          <t>C</t>
        </is>
      </c>
      <c r="E809" s="14" t="inlineStr">
        <is>
          <t>空</t>
        </is>
      </c>
      <c r="F809" s="14" t="inlineStr">
        <is>
          <t>★★</t>
        </is>
      </c>
      <c r="G809" s="14" t="n">
        <v>11</v>
      </c>
      <c r="H809" s="15" t="n">
        <v>2173</v>
      </c>
      <c r="I809" s="15" t="n">
        <v>2184</v>
      </c>
      <c r="J809" s="14" t="n">
        <v>10</v>
      </c>
      <c r="K809" s="14" t="n">
        <v>10000</v>
      </c>
      <c r="L809" s="25">
        <f>IF(E809="多",1,-1)*(I809-H809)*G809*J809</f>
        <v/>
      </c>
      <c r="M809" s="26">
        <f>L809/K809</f>
        <v/>
      </c>
      <c r="N809" s="14" t="inlineStr">
        <is>
          <t>大将军转向</t>
        </is>
      </c>
      <c r="O809" s="14" t="inlineStr">
        <is>
          <t>是</t>
        </is>
      </c>
    </row>
    <row r="810">
      <c r="A810" s="2" t="inlineStr">
        <is>
          <t>2024-12-05</t>
        </is>
      </c>
      <c r="B810" s="2" t="inlineStr">
        <is>
          <t>2024-12-20</t>
        </is>
      </c>
      <c r="C810" s="2" t="inlineStr">
        <is>
          <t>豆粕</t>
        </is>
      </c>
      <c r="D810" s="2" t="inlineStr">
        <is>
          <t>M</t>
        </is>
      </c>
      <c r="E810" s="9" t="inlineStr">
        <is>
          <t>空</t>
        </is>
      </c>
      <c r="F810" s="2" t="inlineStr">
        <is>
          <t>★★★</t>
        </is>
      </c>
      <c r="G810" s="10" t="n">
        <v>26</v>
      </c>
      <c r="H810" s="11" t="n">
        <v>2658</v>
      </c>
      <c r="I810" s="11" t="n">
        <v>2633</v>
      </c>
      <c r="J810" s="10" t="n">
        <v>10</v>
      </c>
      <c r="K810" s="10" t="n">
        <v>30000</v>
      </c>
      <c r="L810" s="23">
        <f>IF(E810="多",1,-1)*(I810-H810)*G810*J810</f>
        <v/>
      </c>
      <c r="M810" s="24">
        <f>L810/K810</f>
        <v/>
      </c>
      <c r="N810" s="2" t="inlineStr">
        <is>
          <t>将军撤退</t>
        </is>
      </c>
      <c r="O810" s="2" t="inlineStr">
        <is>
          <t>否</t>
        </is>
      </c>
    </row>
    <row r="811">
      <c r="A811" s="2" t="inlineStr">
        <is>
          <t>2024-12-18</t>
        </is>
      </c>
      <c r="B811" s="2" t="inlineStr">
        <is>
          <t>2024-12-19</t>
        </is>
      </c>
      <c r="C811" s="2" t="inlineStr">
        <is>
          <t>碳酸锂</t>
        </is>
      </c>
      <c r="D811" s="2" t="inlineStr">
        <is>
          <t>LC</t>
        </is>
      </c>
      <c r="E811" s="9" t="inlineStr">
        <is>
          <t>空</t>
        </is>
      </c>
      <c r="F811" s="2" t="inlineStr">
        <is>
          <t>★★★</t>
        </is>
      </c>
      <c r="G811" s="10" t="n">
        <v>6</v>
      </c>
      <c r="H811" s="11" t="n">
        <v>76980</v>
      </c>
      <c r="I811" s="11" t="n">
        <v>76680</v>
      </c>
      <c r="J811" s="10" t="n">
        <v>1</v>
      </c>
      <c r="K811" s="10" t="n">
        <v>30000</v>
      </c>
      <c r="L811" s="23">
        <f>IF(E811="多",1,-1)*(I811-H811)*G811*J811</f>
        <v/>
      </c>
      <c r="M811" s="24">
        <f>L811/K811</f>
        <v/>
      </c>
      <c r="N811" s="2" t="inlineStr">
        <is>
          <t>将军撤退</t>
        </is>
      </c>
      <c r="O811" s="2" t="inlineStr">
        <is>
          <t>否</t>
        </is>
      </c>
    </row>
    <row r="812">
      <c r="A812" s="14" t="inlineStr">
        <is>
          <t>2024-12-17</t>
        </is>
      </c>
      <c r="B812" s="14" t="inlineStr">
        <is>
          <t>2024-12-19</t>
        </is>
      </c>
      <c r="C812" s="14" t="inlineStr">
        <is>
          <t>豆油</t>
        </is>
      </c>
      <c r="D812" s="14" t="inlineStr">
        <is>
          <t>Y</t>
        </is>
      </c>
      <c r="E812" s="14" t="inlineStr">
        <is>
          <t>空</t>
        </is>
      </c>
      <c r="F812" s="14" t="inlineStr">
        <is>
          <t>★★</t>
        </is>
      </c>
      <c r="G812" s="14" t="n">
        <v>2</v>
      </c>
      <c r="H812" s="15" t="n">
        <v>7872</v>
      </c>
      <c r="I812" s="15" t="n">
        <v>7438</v>
      </c>
      <c r="J812" s="14" t="n">
        <v>10</v>
      </c>
      <c r="K812" s="14" t="n">
        <v>10000</v>
      </c>
      <c r="L812" s="25">
        <f>IF(E812="多",1,-1)*(I812-H812)*G812*J812</f>
        <v/>
      </c>
      <c r="M812" s="26">
        <f>L812/K812</f>
        <v/>
      </c>
      <c r="N812" s="14" t="inlineStr">
        <is>
          <t>大将军转向</t>
        </is>
      </c>
      <c r="O812" s="14" t="inlineStr">
        <is>
          <t>是</t>
        </is>
      </c>
    </row>
    <row r="813">
      <c r="A813" s="14" t="inlineStr">
        <is>
          <t>2024-12-11</t>
        </is>
      </c>
      <c r="B813" s="14" t="inlineStr">
        <is>
          <t>2024-12-19</t>
        </is>
      </c>
      <c r="C813" s="14" t="inlineStr">
        <is>
          <t>热卷</t>
        </is>
      </c>
      <c r="D813" s="14" t="inlineStr">
        <is>
          <t>HC</t>
        </is>
      </c>
      <c r="E813" s="14" t="inlineStr">
        <is>
          <t>多</t>
        </is>
      </c>
      <c r="F813" s="14" t="inlineStr">
        <is>
          <t>★★</t>
        </is>
      </c>
      <c r="G813" s="14" t="n">
        <v>6</v>
      </c>
      <c r="H813" s="15" t="n">
        <v>3560</v>
      </c>
      <c r="I813" s="15" t="n">
        <v>3418.14</v>
      </c>
      <c r="J813" s="14" t="n">
        <v>10</v>
      </c>
      <c r="K813" s="14" t="n">
        <v>10000</v>
      </c>
      <c r="L813" s="25">
        <f>IF(E813="多",1,-1)*(I813-H813)*G813*J813</f>
        <v/>
      </c>
      <c r="M813" s="26">
        <f>L813/K813</f>
        <v/>
      </c>
      <c r="N813" s="14" t="inlineStr">
        <is>
          <t>止损</t>
        </is>
      </c>
      <c r="O813" s="14" t="inlineStr">
        <is>
          <t>是</t>
        </is>
      </c>
    </row>
    <row r="814">
      <c r="A814" s="2" t="inlineStr">
        <is>
          <t>2024-12-10</t>
        </is>
      </c>
      <c r="B814" s="2" t="inlineStr">
        <is>
          <t>2024-12-19</t>
        </is>
      </c>
      <c r="C814" s="2" t="inlineStr">
        <is>
          <t>沪锌</t>
        </is>
      </c>
      <c r="D814" s="2" t="inlineStr">
        <is>
          <t>ZN</t>
        </is>
      </c>
      <c r="E814" s="19" t="inlineStr">
        <is>
          <t>多</t>
        </is>
      </c>
      <c r="F814" s="2" t="inlineStr">
        <is>
          <t>★★★</t>
        </is>
      </c>
      <c r="G814" s="10" t="n">
        <v>1</v>
      </c>
      <c r="H814" s="11" t="n">
        <v>25580</v>
      </c>
      <c r="I814" s="11" t="n">
        <v>24790.71</v>
      </c>
      <c r="J814" s="10" t="n">
        <v>5</v>
      </c>
      <c r="K814" s="10" t="n">
        <v>10000</v>
      </c>
      <c r="L814" s="23">
        <f>IF(E814="多",1,-1)*(I814-H814)*G814*J814</f>
        <v/>
      </c>
      <c r="M814" s="24">
        <f>L814/K814</f>
        <v/>
      </c>
      <c r="N814" s="2" t="inlineStr">
        <is>
          <t>止损</t>
        </is>
      </c>
      <c r="O814" s="2" t="inlineStr">
        <is>
          <t>否</t>
        </is>
      </c>
    </row>
    <row r="815">
      <c r="A815" s="2" t="inlineStr">
        <is>
          <t>2024-12-17</t>
        </is>
      </c>
      <c r="B815" s="2" t="inlineStr">
        <is>
          <t>2024-12-18</t>
        </is>
      </c>
      <c r="C815" s="2" t="inlineStr">
        <is>
          <t>燃料油</t>
        </is>
      </c>
      <c r="D815" s="2" t="inlineStr">
        <is>
          <t>FU</t>
        </is>
      </c>
      <c r="E815" s="19" t="inlineStr">
        <is>
          <t>多</t>
        </is>
      </c>
      <c r="F815" s="2" t="inlineStr">
        <is>
          <t>★★★</t>
        </is>
      </c>
      <c r="G815" s="10" t="n">
        <v>15</v>
      </c>
      <c r="H815" s="11" t="n">
        <v>3197</v>
      </c>
      <c r="I815" s="11" t="n">
        <v>3207</v>
      </c>
      <c r="J815" s="10" t="n">
        <v>10</v>
      </c>
      <c r="K815" s="10" t="n">
        <v>30000</v>
      </c>
      <c r="L815" s="23">
        <f>IF(E815="多",1,-1)*(I815-H815)*G815*J815</f>
        <v/>
      </c>
      <c r="M815" s="24">
        <f>L815/K815</f>
        <v/>
      </c>
      <c r="N815" s="2" t="inlineStr">
        <is>
          <t>大将军转向</t>
        </is>
      </c>
      <c r="O815" s="2" t="inlineStr">
        <is>
          <t>否</t>
        </is>
      </c>
    </row>
    <row r="816">
      <c r="A816" s="14" t="inlineStr">
        <is>
          <t>2024-12-09</t>
        </is>
      </c>
      <c r="B816" s="14" t="inlineStr">
        <is>
          <t>2024-12-18</t>
        </is>
      </c>
      <c r="C816" s="14" t="inlineStr">
        <is>
          <t>菜粕</t>
        </is>
      </c>
      <c r="D816" s="14" t="inlineStr">
        <is>
          <t>RM</t>
        </is>
      </c>
      <c r="E816" s="14" t="inlineStr">
        <is>
          <t>空</t>
        </is>
      </c>
      <c r="F816" s="14" t="inlineStr">
        <is>
          <t>★★★</t>
        </is>
      </c>
      <c r="G816" s="14" t="n">
        <v>6</v>
      </c>
      <c r="H816" s="15" t="n">
        <v>2267</v>
      </c>
      <c r="I816" s="15" t="n">
        <v>2236</v>
      </c>
      <c r="J816" s="14" t="n">
        <v>10</v>
      </c>
      <c r="K816" s="14" t="n">
        <v>10000</v>
      </c>
      <c r="L816" s="25">
        <f>IF(E816="多",1,-1)*(I816-H816)*G816*J816</f>
        <v/>
      </c>
      <c r="M816" s="26">
        <f>L816/K816</f>
        <v/>
      </c>
      <c r="N816" s="14" t="inlineStr">
        <is>
          <t>大将军转向</t>
        </is>
      </c>
      <c r="O816" s="14" t="inlineStr">
        <is>
          <t>是</t>
        </is>
      </c>
    </row>
    <row r="817">
      <c r="A817" s="14" t="inlineStr">
        <is>
          <t>2024-12-16</t>
        </is>
      </c>
      <c r="B817" s="14" t="inlineStr">
        <is>
          <t>2024-12-17</t>
        </is>
      </c>
      <c r="C817" s="14" t="inlineStr">
        <is>
          <t>沪银</t>
        </is>
      </c>
      <c r="D817" s="14" t="inlineStr">
        <is>
          <t>AG</t>
        </is>
      </c>
      <c r="E817" s="14" t="inlineStr">
        <is>
          <t>空</t>
        </is>
      </c>
      <c r="F817" s="14" t="inlineStr">
        <is>
          <t>★★</t>
        </is>
      </c>
      <c r="G817" s="14" t="n">
        <v>1</v>
      </c>
      <c r="H817" s="15" t="n">
        <v>7751</v>
      </c>
      <c r="I817" s="15" t="n">
        <v>7717</v>
      </c>
      <c r="J817" s="14" t="n">
        <v>15</v>
      </c>
      <c r="K817" s="14" t="n">
        <v>10000</v>
      </c>
      <c r="L817" s="25">
        <f>IF(E817="多",1,-1)*(I817-H817)*G817*J817</f>
        <v/>
      </c>
      <c r="M817" s="26">
        <f>L817/K817</f>
        <v/>
      </c>
      <c r="N817" s="14" t="inlineStr">
        <is>
          <t>大将军转向</t>
        </is>
      </c>
      <c r="O817" s="14" t="inlineStr">
        <is>
          <t>是</t>
        </is>
      </c>
    </row>
    <row r="818">
      <c r="A818" s="2" t="inlineStr">
        <is>
          <t>2024-12-13</t>
        </is>
      </c>
      <c r="B818" s="2" t="inlineStr">
        <is>
          <t>2024-12-16</t>
        </is>
      </c>
      <c r="C818" s="2" t="inlineStr">
        <is>
          <t>碳酸锂</t>
        </is>
      </c>
      <c r="D818" s="2" t="inlineStr">
        <is>
          <t>LC</t>
        </is>
      </c>
      <c r="E818" s="9" t="inlineStr">
        <is>
          <t>空</t>
        </is>
      </c>
      <c r="F818" s="2" t="inlineStr">
        <is>
          <t>★★★</t>
        </is>
      </c>
      <c r="G818" s="10" t="n">
        <v>5</v>
      </c>
      <c r="H818" s="11" t="n">
        <v>75600</v>
      </c>
      <c r="I818" s="11" t="n">
        <v>76000</v>
      </c>
      <c r="J818" s="10" t="n">
        <v>1</v>
      </c>
      <c r="K818" s="10" t="n">
        <v>30000</v>
      </c>
      <c r="L818" s="23">
        <f>IF(E818="多",1,-1)*(I818-H818)*G818*J818</f>
        <v/>
      </c>
      <c r="M818" s="24">
        <f>L818/K818</f>
        <v/>
      </c>
      <c r="N818" s="2" t="inlineStr">
        <is>
          <t>将军撤退+大将军转向</t>
        </is>
      </c>
      <c r="O818" s="2" t="inlineStr">
        <is>
          <t>否</t>
        </is>
      </c>
    </row>
    <row r="819">
      <c r="A819" s="14" t="inlineStr">
        <is>
          <t>2024-12-13</t>
        </is>
      </c>
      <c r="B819" s="14" t="inlineStr">
        <is>
          <t>2024-12-16</t>
        </is>
      </c>
      <c r="C819" s="14" t="inlineStr">
        <is>
          <t>沥青</t>
        </is>
      </c>
      <c r="D819" s="14" t="inlineStr">
        <is>
          <t>BU</t>
        </is>
      </c>
      <c r="E819" s="14" t="inlineStr">
        <is>
          <t>多</t>
        </is>
      </c>
      <c r="F819" s="14" t="inlineStr">
        <is>
          <t>★★</t>
        </is>
      </c>
      <c r="G819" s="14" t="n">
        <v>5</v>
      </c>
      <c r="H819" s="15" t="n">
        <v>3529</v>
      </c>
      <c r="I819" s="15" t="n">
        <v>3522</v>
      </c>
      <c r="J819" s="14" t="n">
        <v>10</v>
      </c>
      <c r="K819" s="14" t="n">
        <v>10000</v>
      </c>
      <c r="L819" s="25">
        <f>IF(E819="多",1,-1)*(I819-H819)*G819*J819</f>
        <v/>
      </c>
      <c r="M819" s="26">
        <f>L819/K819</f>
        <v/>
      </c>
      <c r="N819" s="14" t="inlineStr">
        <is>
          <t>将军撤退</t>
        </is>
      </c>
      <c r="O819" s="14" t="inlineStr">
        <is>
          <t>是</t>
        </is>
      </c>
    </row>
    <row r="820">
      <c r="A820" s="14" t="inlineStr">
        <is>
          <t>2024-12-12</t>
        </is>
      </c>
      <c r="B820" s="14" t="inlineStr">
        <is>
          <t>2024-12-13</t>
        </is>
      </c>
      <c r="C820" s="14" t="inlineStr">
        <is>
          <t>工业硅</t>
        </is>
      </c>
      <c r="D820" s="14" t="inlineStr">
        <is>
          <t>SI</t>
        </is>
      </c>
      <c r="E820" s="14" t="inlineStr">
        <is>
          <t>空</t>
        </is>
      </c>
      <c r="F820" s="14" t="inlineStr">
        <is>
          <t>★★</t>
        </is>
      </c>
      <c r="G820" s="14" t="n">
        <v>2</v>
      </c>
      <c r="H820" s="15" t="n">
        <v>11700</v>
      </c>
      <c r="I820" s="15" t="n">
        <v>11585</v>
      </c>
      <c r="J820" s="14" t="n">
        <v>5</v>
      </c>
      <c r="K820" s="14" t="n">
        <v>10000</v>
      </c>
      <c r="L820" s="25">
        <f>IF(E820="多",1,-1)*(I820-H820)*G820*J820</f>
        <v/>
      </c>
      <c r="M820" s="26">
        <f>L820/K820</f>
        <v/>
      </c>
      <c r="N820" s="14" t="inlineStr">
        <is>
          <t>将军撤退+大将军转向</t>
        </is>
      </c>
      <c r="O820" s="14" t="inlineStr">
        <is>
          <t>是</t>
        </is>
      </c>
    </row>
    <row r="821">
      <c r="A821" s="14" t="inlineStr">
        <is>
          <t>2024-12-12</t>
        </is>
      </c>
      <c r="B821" s="14" t="inlineStr">
        <is>
          <t>2024-12-13</t>
        </is>
      </c>
      <c r="C821" s="14" t="inlineStr">
        <is>
          <t>棕榈油</t>
        </is>
      </c>
      <c r="D821" s="14" t="inlineStr">
        <is>
          <t>P</t>
        </is>
      </c>
      <c r="E821" s="14" t="inlineStr">
        <is>
          <t>空</t>
        </is>
      </c>
      <c r="F821" s="14" t="inlineStr">
        <is>
          <t>★★</t>
        </is>
      </c>
      <c r="G821" s="14" t="n">
        <v>1</v>
      </c>
      <c r="H821" s="15" t="n">
        <v>9280</v>
      </c>
      <c r="I821" s="15" t="n">
        <v>9266</v>
      </c>
      <c r="J821" s="14" t="n">
        <v>10</v>
      </c>
      <c r="K821" s="14" t="n">
        <v>10000</v>
      </c>
      <c r="L821" s="25">
        <f>IF(E821="多",1,-1)*(I821-H821)*G821*J821</f>
        <v/>
      </c>
      <c r="M821" s="26">
        <f>L821/K821</f>
        <v/>
      </c>
      <c r="N821" s="14" t="inlineStr">
        <is>
          <t>将军撤退</t>
        </is>
      </c>
      <c r="O821" s="14" t="inlineStr">
        <is>
          <t>是</t>
        </is>
      </c>
    </row>
    <row r="822">
      <c r="A822" s="14" t="inlineStr">
        <is>
          <t>2024-12-09</t>
        </is>
      </c>
      <c r="B822" s="14" t="inlineStr">
        <is>
          <t>2024-12-13</t>
        </is>
      </c>
      <c r="C822" s="14" t="inlineStr">
        <is>
          <t>沪银</t>
        </is>
      </c>
      <c r="D822" s="14" t="inlineStr">
        <is>
          <t>AG</t>
        </is>
      </c>
      <c r="E822" s="14" t="inlineStr">
        <is>
          <t>空</t>
        </is>
      </c>
      <c r="F822" s="14" t="inlineStr">
        <is>
          <t>★★</t>
        </is>
      </c>
      <c r="G822" s="14" t="n">
        <v>1</v>
      </c>
      <c r="H822" s="15" t="n">
        <v>7920</v>
      </c>
      <c r="I822" s="15" t="n">
        <v>7795</v>
      </c>
      <c r="J822" s="14" t="n">
        <v>15</v>
      </c>
      <c r="K822" s="14" t="n">
        <v>10000</v>
      </c>
      <c r="L822" s="25">
        <f>IF(E822="多",1,-1)*(I822-H822)*G822*J822</f>
        <v/>
      </c>
      <c r="M822" s="26">
        <f>L822/K822</f>
        <v/>
      </c>
      <c r="N822" s="14" t="inlineStr">
        <is>
          <t>将军撤退</t>
        </is>
      </c>
      <c r="O822" s="14" t="inlineStr">
        <is>
          <t>是</t>
        </is>
      </c>
    </row>
    <row r="823">
      <c r="A823" s="2" t="inlineStr">
        <is>
          <t>2024-12-04</t>
        </is>
      </c>
      <c r="B823" s="2" t="inlineStr">
        <is>
          <t>2024-12-13</t>
        </is>
      </c>
      <c r="C823" s="2" t="inlineStr">
        <is>
          <t>豆油</t>
        </is>
      </c>
      <c r="D823" s="2" t="inlineStr">
        <is>
          <t>Y</t>
        </is>
      </c>
      <c r="E823" s="9" t="inlineStr">
        <is>
          <t>空</t>
        </is>
      </c>
      <c r="F823" s="2" t="inlineStr">
        <is>
          <t>★★★</t>
        </is>
      </c>
      <c r="G823" s="10" t="n">
        <v>6</v>
      </c>
      <c r="H823" s="11" t="n">
        <v>7862</v>
      </c>
      <c r="I823" s="11" t="n">
        <v>7910</v>
      </c>
      <c r="J823" s="10" t="n">
        <v>10</v>
      </c>
      <c r="K823" s="10" t="n">
        <v>30000</v>
      </c>
      <c r="L823" s="23">
        <f>IF(E823="多",1,-1)*(I823-H823)*G823*J823</f>
        <v/>
      </c>
      <c r="M823" s="24">
        <f>L823/K823</f>
        <v/>
      </c>
      <c r="N823" s="2" t="inlineStr">
        <is>
          <t>将军撤退</t>
        </is>
      </c>
      <c r="O823" s="2" t="inlineStr">
        <is>
          <t>否</t>
        </is>
      </c>
    </row>
    <row r="824">
      <c r="A824" s="14" t="inlineStr">
        <is>
          <t>2024-11-22</t>
        </is>
      </c>
      <c r="B824" s="14" t="inlineStr">
        <is>
          <t>2024-12-11</t>
        </is>
      </c>
      <c r="C824" s="14" t="inlineStr">
        <is>
          <t>锰硅</t>
        </is>
      </c>
      <c r="D824" s="14" t="inlineStr">
        <is>
          <t>SM</t>
        </is>
      </c>
      <c r="E824" s="14" t="inlineStr">
        <is>
          <t>多</t>
        </is>
      </c>
      <c r="F824" s="14" t="inlineStr">
        <is>
          <t>★★★</t>
        </is>
      </c>
      <c r="G824" s="14" t="n">
        <v>6</v>
      </c>
      <c r="H824" s="15" t="n">
        <v>6372</v>
      </c>
      <c r="I824" s="15" t="n">
        <v>6348</v>
      </c>
      <c r="J824" s="14" t="n">
        <v>5</v>
      </c>
      <c r="K824" s="14" t="n">
        <v>10000</v>
      </c>
      <c r="L824" s="25">
        <f>IF(E824="多",1,-1)*(I824-H824)*G824*J824</f>
        <v/>
      </c>
      <c r="M824" s="26">
        <f>L824/K824</f>
        <v/>
      </c>
      <c r="N824" s="14" t="inlineStr">
        <is>
          <t>将军撤退</t>
        </is>
      </c>
      <c r="O824" s="14" t="inlineStr">
        <is>
          <t>是</t>
        </is>
      </c>
    </row>
    <row r="825">
      <c r="A825" s="14" t="inlineStr">
        <is>
          <t>2024-12-09</t>
        </is>
      </c>
      <c r="B825" s="14" t="inlineStr">
        <is>
          <t>2024-12-10</t>
        </is>
      </c>
      <c r="C825" s="14" t="inlineStr">
        <is>
          <t>沪镍</t>
        </is>
      </c>
      <c r="D825" s="14" t="inlineStr">
        <is>
          <t>NI</t>
        </is>
      </c>
      <c r="E825" s="14" t="inlineStr">
        <is>
          <t>多</t>
        </is>
      </c>
      <c r="F825" s="14" t="inlineStr">
        <is>
          <t>★★</t>
        </is>
      </c>
      <c r="G825" s="14" t="n">
        <v>1</v>
      </c>
      <c r="H825" s="15" t="n">
        <v>127000</v>
      </c>
      <c r="I825" s="15" t="n">
        <v>126820</v>
      </c>
      <c r="J825" s="14" t="n">
        <v>1</v>
      </c>
      <c r="K825" s="14" t="n">
        <v>10000</v>
      </c>
      <c r="L825" s="25">
        <f>IF(E825="多",1,-1)*(I825-H825)*G825*J825</f>
        <v/>
      </c>
      <c r="M825" s="26">
        <f>L825/K825</f>
        <v/>
      </c>
      <c r="N825" s="14" t="inlineStr">
        <is>
          <t>将军撤退+大将军转向</t>
        </is>
      </c>
      <c r="O825" s="14" t="inlineStr">
        <is>
          <t>是</t>
        </is>
      </c>
    </row>
    <row r="826">
      <c r="A826" s="2" t="inlineStr">
        <is>
          <t>2024-12-02</t>
        </is>
      </c>
      <c r="B826" s="2" t="inlineStr">
        <is>
          <t>2024-12-10</t>
        </is>
      </c>
      <c r="C826" s="2" t="inlineStr">
        <is>
          <t>沥青</t>
        </is>
      </c>
      <c r="D826" s="2" t="inlineStr">
        <is>
          <t>BU</t>
        </is>
      </c>
      <c r="E826" s="19" t="inlineStr">
        <is>
          <t>多</t>
        </is>
      </c>
      <c r="F826" s="2" t="inlineStr">
        <is>
          <t>★★★</t>
        </is>
      </c>
      <c r="G826" s="10" t="n">
        <v>5</v>
      </c>
      <c r="H826" s="11" t="n">
        <v>3564</v>
      </c>
      <c r="I826" s="11" t="n">
        <v>3476</v>
      </c>
      <c r="J826" s="10" t="n">
        <v>10</v>
      </c>
      <c r="K826" s="10" t="n">
        <v>10000</v>
      </c>
      <c r="L826" s="23">
        <f>IF(E826="多",1,-1)*(I826-H826)*G826*J826</f>
        <v/>
      </c>
      <c r="M826" s="24">
        <f>L826/K826</f>
        <v/>
      </c>
      <c r="N826" s="2" t="inlineStr">
        <is>
          <t>将军撤退+大将军转向</t>
        </is>
      </c>
      <c r="O826" s="2" t="inlineStr">
        <is>
          <t>否</t>
        </is>
      </c>
    </row>
    <row r="827">
      <c r="A827" s="14" t="inlineStr">
        <is>
          <t>2024-12-05</t>
        </is>
      </c>
      <c r="B827" s="14" t="inlineStr">
        <is>
          <t>2024-12-06</t>
        </is>
      </c>
      <c r="C827" s="14" t="inlineStr">
        <is>
          <t>碳酸锂</t>
        </is>
      </c>
      <c r="D827" s="14" t="inlineStr">
        <is>
          <t>LC</t>
        </is>
      </c>
      <c r="E827" s="14" t="inlineStr">
        <is>
          <t>空</t>
        </is>
      </c>
      <c r="F827" s="14" t="inlineStr">
        <is>
          <t>★★</t>
        </is>
      </c>
      <c r="G827" s="14" t="n">
        <v>1</v>
      </c>
      <c r="H827" s="15" t="n">
        <v>76600</v>
      </c>
      <c r="I827" s="15" t="n">
        <v>76650</v>
      </c>
      <c r="J827" s="14" t="n">
        <v>1</v>
      </c>
      <c r="K827" s="14" t="n">
        <v>10000</v>
      </c>
      <c r="L827" s="25">
        <f>IF(E827="多",1,-1)*(I827-H827)*G827*J827</f>
        <v/>
      </c>
      <c r="M827" s="26">
        <f>L827/K827</f>
        <v/>
      </c>
      <c r="N827" s="14" t="inlineStr">
        <is>
          <t>将军撤退+大将军转向</t>
        </is>
      </c>
      <c r="O827" s="14" t="inlineStr">
        <is>
          <t>是</t>
        </is>
      </c>
    </row>
    <row r="828">
      <c r="A828" s="14" t="inlineStr">
        <is>
          <t>2024-11-27</t>
        </is>
      </c>
      <c r="B828" s="14" t="inlineStr">
        <is>
          <t>2024-12-06</t>
        </is>
      </c>
      <c r="C828" s="14" t="inlineStr">
        <is>
          <t>沪锌</t>
        </is>
      </c>
      <c r="D828" s="14" t="inlineStr">
        <is>
          <t>ZN</t>
        </is>
      </c>
      <c r="E828" s="14" t="inlineStr">
        <is>
          <t>多</t>
        </is>
      </c>
      <c r="F828" s="14" t="inlineStr">
        <is>
          <t>★★</t>
        </is>
      </c>
      <c r="G828" s="14" t="n">
        <v>1</v>
      </c>
      <c r="H828" s="15" t="n">
        <v>25800</v>
      </c>
      <c r="I828" s="15" t="n">
        <v>25495</v>
      </c>
      <c r="J828" s="14" t="n">
        <v>5</v>
      </c>
      <c r="K828" s="14" t="n">
        <v>10000</v>
      </c>
      <c r="L828" s="25">
        <f>IF(E828="多",1,-1)*(I828-H828)*G828*J828</f>
        <v/>
      </c>
      <c r="M828" s="26">
        <f>L828/K828</f>
        <v/>
      </c>
      <c r="N828" s="14" t="inlineStr">
        <is>
          <t>大将军转向</t>
        </is>
      </c>
      <c r="O828" s="14" t="inlineStr">
        <is>
          <t>是</t>
        </is>
      </c>
    </row>
    <row r="829">
      <c r="A829" s="14" t="inlineStr">
        <is>
          <t>2024-11-21</t>
        </is>
      </c>
      <c r="B829" s="14" t="inlineStr">
        <is>
          <t>2024-12-06</t>
        </is>
      </c>
      <c r="C829" s="14" t="inlineStr">
        <is>
          <t>螺纹钢</t>
        </is>
      </c>
      <c r="D829" s="14" t="inlineStr">
        <is>
          <t>RB</t>
        </is>
      </c>
      <c r="E829" s="14" t="inlineStr">
        <is>
          <t>多</t>
        </is>
      </c>
      <c r="F829" s="14" t="inlineStr">
        <is>
          <t>★★</t>
        </is>
      </c>
      <c r="G829" s="14" t="n">
        <v>4</v>
      </c>
      <c r="H829" s="15" t="n">
        <v>3404</v>
      </c>
      <c r="I829" s="15" t="n">
        <v>3311</v>
      </c>
      <c r="J829" s="14" t="n">
        <v>10</v>
      </c>
      <c r="K829" s="14" t="n">
        <v>10000</v>
      </c>
      <c r="L829" s="25">
        <f>IF(E829="多",1,-1)*(I829-H829)*G829*J829</f>
        <v/>
      </c>
      <c r="M829" s="26">
        <f>L829/K829</f>
        <v/>
      </c>
      <c r="N829" s="14" t="inlineStr">
        <is>
          <t>大将军转向</t>
        </is>
      </c>
      <c r="O829" s="14" t="inlineStr">
        <is>
          <t>是</t>
        </is>
      </c>
    </row>
    <row r="830">
      <c r="A830" s="2" t="inlineStr">
        <is>
          <t>2024-12-03</t>
        </is>
      </c>
      <c r="B830" s="2" t="inlineStr">
        <is>
          <t>2024-12-05</t>
        </is>
      </c>
      <c r="C830" s="2" t="inlineStr">
        <is>
          <t>PVC</t>
        </is>
      </c>
      <c r="D830" s="2" t="inlineStr">
        <is>
          <t>V</t>
        </is>
      </c>
      <c r="E830" s="9" t="inlineStr">
        <is>
          <t>空</t>
        </is>
      </c>
      <c r="F830" s="2" t="inlineStr">
        <is>
          <t>★★★</t>
        </is>
      </c>
      <c r="G830" s="10" t="n">
        <v>33</v>
      </c>
      <c r="H830" s="11" t="n">
        <v>5096</v>
      </c>
      <c r="I830" s="11" t="n">
        <v>5047</v>
      </c>
      <c r="J830" s="10" t="n">
        <v>5</v>
      </c>
      <c r="K830" s="10" t="n">
        <v>30000</v>
      </c>
      <c r="L830" s="23">
        <f>IF(E830="多",1,-1)*(I830-H830)*G830*J830</f>
        <v/>
      </c>
      <c r="M830" s="24">
        <f>L830/K830</f>
        <v/>
      </c>
      <c r="N830" s="2" t="inlineStr">
        <is>
          <t>将军撤退</t>
        </is>
      </c>
      <c r="O830" s="2" t="inlineStr">
        <is>
          <t>否</t>
        </is>
      </c>
    </row>
    <row r="831">
      <c r="A831" s="2" t="inlineStr">
        <is>
          <t>2024-12-03</t>
        </is>
      </c>
      <c r="B831" s="2" t="inlineStr">
        <is>
          <t>2024-12-04</t>
        </is>
      </c>
      <c r="C831" s="2" t="inlineStr">
        <is>
          <t>菜粕</t>
        </is>
      </c>
      <c r="D831" s="2" t="inlineStr">
        <is>
          <t>RM</t>
        </is>
      </c>
      <c r="E831" s="9" t="inlineStr">
        <is>
          <t>空</t>
        </is>
      </c>
      <c r="F831" s="2" t="inlineStr">
        <is>
          <t>★★★</t>
        </is>
      </c>
      <c r="G831" s="10" t="n">
        <v>18</v>
      </c>
      <c r="H831" s="11" t="n">
        <v>2332</v>
      </c>
      <c r="I831" s="11" t="n">
        <v>2274</v>
      </c>
      <c r="J831" s="10" t="n">
        <v>10</v>
      </c>
      <c r="K831" s="10" t="n">
        <v>30000</v>
      </c>
      <c r="L831" s="23">
        <f>IF(E831="多",1,-1)*(I831-H831)*G831*J831</f>
        <v/>
      </c>
      <c r="M831" s="24">
        <f>L831/K831</f>
        <v/>
      </c>
      <c r="N831" s="2" t="inlineStr">
        <is>
          <t>大将军转向</t>
        </is>
      </c>
      <c r="O831" s="2" t="inlineStr">
        <is>
          <t>否</t>
        </is>
      </c>
    </row>
    <row r="832">
      <c r="A832" s="14" t="inlineStr">
        <is>
          <t>2024-12-03</t>
        </is>
      </c>
      <c r="B832" s="14" t="inlineStr">
        <is>
          <t>2024-12-04</t>
        </is>
      </c>
      <c r="C832" s="14" t="inlineStr">
        <is>
          <t>碳酸锂</t>
        </is>
      </c>
      <c r="D832" s="14" t="inlineStr">
        <is>
          <t>LC</t>
        </is>
      </c>
      <c r="E832" s="14" t="inlineStr">
        <is>
          <t>空</t>
        </is>
      </c>
      <c r="F832" s="14" t="inlineStr">
        <is>
          <t>★★</t>
        </is>
      </c>
      <c r="G832" s="14" t="n">
        <v>1</v>
      </c>
      <c r="H832" s="15" t="n">
        <v>78150</v>
      </c>
      <c r="I832" s="15" t="n">
        <v>76300</v>
      </c>
      <c r="J832" s="14" t="n">
        <v>1</v>
      </c>
      <c r="K832" s="14" t="n">
        <v>10000</v>
      </c>
      <c r="L832" s="25">
        <f>IF(E832="多",1,-1)*(I832-H832)*G832*J832</f>
        <v/>
      </c>
      <c r="M832" s="26">
        <f>L832/K832</f>
        <v/>
      </c>
      <c r="N832" s="14" t="inlineStr">
        <is>
          <t>将军撤退</t>
        </is>
      </c>
      <c r="O832" s="14" t="inlineStr">
        <is>
          <t>是</t>
        </is>
      </c>
    </row>
    <row r="833">
      <c r="A833" s="2" t="inlineStr">
        <is>
          <t>2024-12-02</t>
        </is>
      </c>
      <c r="B833" s="2" t="inlineStr">
        <is>
          <t>2024-12-04</t>
        </is>
      </c>
      <c r="C833" s="2" t="inlineStr">
        <is>
          <t>玉米</t>
        </is>
      </c>
      <c r="D833" s="2" t="inlineStr">
        <is>
          <t>C</t>
        </is>
      </c>
      <c r="E833" s="9" t="inlineStr">
        <is>
          <t>空</t>
        </is>
      </c>
      <c r="F833" s="2" t="inlineStr">
        <is>
          <t>★★★</t>
        </is>
      </c>
      <c r="G833" s="10" t="n">
        <v>46</v>
      </c>
      <c r="H833" s="11" t="n">
        <v>2134</v>
      </c>
      <c r="I833" s="11" t="n">
        <v>2084</v>
      </c>
      <c r="J833" s="10" t="n">
        <v>10</v>
      </c>
      <c r="K833" s="10" t="n">
        <v>30000</v>
      </c>
      <c r="L833" s="23">
        <f>IF(E833="多",1,-1)*(I833-H833)*G833*J833</f>
        <v/>
      </c>
      <c r="M833" s="24">
        <f>L833/K833</f>
        <v/>
      </c>
      <c r="N833" s="2" t="inlineStr">
        <is>
          <t>将军撤退</t>
        </is>
      </c>
      <c r="O833" s="2" t="inlineStr">
        <is>
          <t>否</t>
        </is>
      </c>
    </row>
    <row r="834">
      <c r="A834" s="2" t="inlineStr">
        <is>
          <t>2024-11-26</t>
        </is>
      </c>
      <c r="B834" s="2" t="inlineStr">
        <is>
          <t>2024-12-03</t>
        </is>
      </c>
      <c r="C834" s="2" t="inlineStr">
        <is>
          <t>棕榈油</t>
        </is>
      </c>
      <c r="D834" s="2" t="inlineStr">
        <is>
          <t>P</t>
        </is>
      </c>
      <c r="E834" s="19" t="inlineStr">
        <is>
          <t>多</t>
        </is>
      </c>
      <c r="F834" s="2" t="inlineStr">
        <is>
          <t>★★★</t>
        </is>
      </c>
      <c r="G834" s="10" t="n">
        <v>3</v>
      </c>
      <c r="H834" s="11" t="n">
        <v>9776</v>
      </c>
      <c r="I834" s="11" t="n">
        <v>10428</v>
      </c>
      <c r="J834" s="10" t="n">
        <v>10</v>
      </c>
      <c r="K834" s="10" t="n">
        <v>30000</v>
      </c>
      <c r="L834" s="23">
        <f>IF(E834="多",1,-1)*(I834-H834)*G834*J834</f>
        <v/>
      </c>
      <c r="M834" s="24">
        <f>L834/K834</f>
        <v/>
      </c>
      <c r="N834" s="2" t="inlineStr">
        <is>
          <t>大将军转向</t>
        </is>
      </c>
      <c r="O834" s="2" t="inlineStr">
        <is>
          <t>否</t>
        </is>
      </c>
    </row>
    <row r="835">
      <c r="A835" s="14" t="inlineStr">
        <is>
          <t>2024-11-22</t>
        </is>
      </c>
      <c r="B835" s="14" t="inlineStr">
        <is>
          <t>2024-12-03</t>
        </is>
      </c>
      <c r="C835" s="14" t="inlineStr">
        <is>
          <t>PTA</t>
        </is>
      </c>
      <c r="D835" s="14" t="inlineStr">
        <is>
          <t>TA</t>
        </is>
      </c>
      <c r="E835" s="14" t="inlineStr">
        <is>
          <t>多</t>
        </is>
      </c>
      <c r="F835" s="14" t="inlineStr">
        <is>
          <t>★★</t>
        </is>
      </c>
      <c r="G835" s="14" t="n">
        <v>7</v>
      </c>
      <c r="H835" s="15" t="n">
        <v>4852</v>
      </c>
      <c r="I835" s="15" t="n">
        <v>4802</v>
      </c>
      <c r="J835" s="14" t="n">
        <v>5</v>
      </c>
      <c r="K835" s="14" t="n">
        <v>10000</v>
      </c>
      <c r="L835" s="25">
        <f>IF(E835="多",1,-1)*(I835-H835)*G835*J835</f>
        <v/>
      </c>
      <c r="M835" s="26">
        <f>L835/K835</f>
        <v/>
      </c>
      <c r="N835" s="14" t="inlineStr">
        <is>
          <t>大将军转向</t>
        </is>
      </c>
      <c r="O835" s="14" t="inlineStr">
        <is>
          <t>是</t>
        </is>
      </c>
    </row>
    <row r="836">
      <c r="A836" s="2" t="inlineStr">
        <is>
          <t>2024-11-20</t>
        </is>
      </c>
      <c r="B836" s="2" t="inlineStr">
        <is>
          <t>2024-12-03</t>
        </is>
      </c>
      <c r="C836" s="2" t="inlineStr">
        <is>
          <t>棉花</t>
        </is>
      </c>
      <c r="D836" s="2" t="inlineStr">
        <is>
          <t>CF</t>
        </is>
      </c>
      <c r="E836" s="9" t="inlineStr">
        <is>
          <t>空</t>
        </is>
      </c>
      <c r="F836" s="2" t="inlineStr">
        <is>
          <t>★★★</t>
        </is>
      </c>
      <c r="G836" s="10" t="n">
        <v>13</v>
      </c>
      <c r="H836" s="11" t="n">
        <v>13945</v>
      </c>
      <c r="I836" s="11" t="n">
        <v>13920</v>
      </c>
      <c r="J836" s="10" t="n">
        <v>5</v>
      </c>
      <c r="K836" s="10" t="n">
        <v>30000</v>
      </c>
      <c r="L836" s="23">
        <f>IF(E836="多",1,-1)*(I836-H836)*G836*J836</f>
        <v/>
      </c>
      <c r="M836" s="24">
        <f>L836/K836</f>
        <v/>
      </c>
      <c r="N836" s="2" t="inlineStr">
        <is>
          <t>将军撤退</t>
        </is>
      </c>
      <c r="O836" s="2" t="inlineStr">
        <is>
          <t>否</t>
        </is>
      </c>
    </row>
    <row r="837">
      <c r="A837" s="14" t="inlineStr">
        <is>
          <t>2024-11-29</t>
        </is>
      </c>
      <c r="B837" s="14" t="inlineStr">
        <is>
          <t>2024-12-02</t>
        </is>
      </c>
      <c r="C837" s="14" t="inlineStr">
        <is>
          <t>白糖</t>
        </is>
      </c>
      <c r="D837" s="14" t="inlineStr">
        <is>
          <t>SR</t>
        </is>
      </c>
      <c r="E837" s="14" t="inlineStr">
        <is>
          <t>多</t>
        </is>
      </c>
      <c r="F837" s="14" t="inlineStr">
        <is>
          <t>★★</t>
        </is>
      </c>
      <c r="G837" s="14" t="n">
        <v>4</v>
      </c>
      <c r="H837" s="15" t="n">
        <v>6109</v>
      </c>
      <c r="I837" s="15" t="n">
        <v>6082</v>
      </c>
      <c r="J837" s="14" t="n">
        <v>10</v>
      </c>
      <c r="K837" s="14" t="n">
        <v>10000</v>
      </c>
      <c r="L837" s="25">
        <f>IF(E837="多",1,-1)*(I837-H837)*G837*J837</f>
        <v/>
      </c>
      <c r="M837" s="26">
        <f>L837/K837</f>
        <v/>
      </c>
      <c r="N837" s="14" t="inlineStr">
        <is>
          <t>大将军转向</t>
        </is>
      </c>
      <c r="O837" s="14" t="inlineStr">
        <is>
          <t>是</t>
        </is>
      </c>
    </row>
    <row r="838">
      <c r="A838" s="2" t="inlineStr">
        <is>
          <t>2024-11-26</t>
        </is>
      </c>
      <c r="B838" s="2" t="inlineStr">
        <is>
          <t>2024-12-02</t>
        </is>
      </c>
      <c r="C838" s="2" t="inlineStr">
        <is>
          <t>PVC</t>
        </is>
      </c>
      <c r="D838" s="2" t="inlineStr">
        <is>
          <t>V</t>
        </is>
      </c>
      <c r="E838" s="9" t="inlineStr">
        <is>
          <t>空</t>
        </is>
      </c>
      <c r="F838" s="2" t="inlineStr">
        <is>
          <t>★★★</t>
        </is>
      </c>
      <c r="G838" s="10" t="n">
        <v>8</v>
      </c>
      <c r="H838" s="11" t="n">
        <v>5246</v>
      </c>
      <c r="I838" s="11" t="n">
        <v>5160</v>
      </c>
      <c r="J838" s="10" t="n">
        <v>5</v>
      </c>
      <c r="K838" s="10" t="n">
        <v>10000</v>
      </c>
      <c r="L838" s="23">
        <f>IF(E838="多",1,-1)*(I838-H838)*G838*J838</f>
        <v/>
      </c>
      <c r="M838" s="24">
        <f>L838/K838</f>
        <v/>
      </c>
      <c r="N838" s="2" t="inlineStr">
        <is>
          <t>将军撤退</t>
        </is>
      </c>
      <c r="O838" s="2" t="inlineStr">
        <is>
          <t>否</t>
        </is>
      </c>
    </row>
    <row r="839">
      <c r="A839" s="14" t="inlineStr">
        <is>
          <t>2024-11-15</t>
        </is>
      </c>
      <c r="B839" s="14" t="inlineStr">
        <is>
          <t>2024-12-02</t>
        </is>
      </c>
      <c r="C839" s="14" t="inlineStr">
        <is>
          <t>聚丙烯</t>
        </is>
      </c>
      <c r="D839" s="14" t="inlineStr">
        <is>
          <t>PP</t>
        </is>
      </c>
      <c r="E839" s="14" t="inlineStr">
        <is>
          <t>空</t>
        </is>
      </c>
      <c r="F839" s="14" t="inlineStr">
        <is>
          <t>★★</t>
        </is>
      </c>
      <c r="G839" s="14" t="n">
        <v>9</v>
      </c>
      <c r="H839" s="15" t="n">
        <v>7425</v>
      </c>
      <c r="I839" s="15" t="n">
        <v>7546.07</v>
      </c>
      <c r="J839" s="14" t="n">
        <v>5</v>
      </c>
      <c r="K839" s="14" t="n">
        <v>10000</v>
      </c>
      <c r="L839" s="25">
        <f>IF(E839="多",1,-1)*(I839-H839)*G839*J839</f>
        <v/>
      </c>
      <c r="M839" s="26">
        <f>L839/K839</f>
        <v/>
      </c>
      <c r="N839" s="14" t="inlineStr">
        <is>
          <t>止损</t>
        </is>
      </c>
      <c r="O839" s="14" t="inlineStr">
        <is>
          <t>是</t>
        </is>
      </c>
    </row>
    <row r="840">
      <c r="A840" s="14" t="inlineStr">
        <is>
          <t>2024-11-28</t>
        </is>
      </c>
      <c r="B840" s="14" t="inlineStr">
        <is>
          <t>2024-11-29</t>
        </is>
      </c>
      <c r="C840" s="14" t="inlineStr">
        <is>
          <t>工业硅</t>
        </is>
      </c>
      <c r="D840" s="14" t="inlineStr">
        <is>
          <t>SI</t>
        </is>
      </c>
      <c r="E840" s="14" t="inlineStr">
        <is>
          <t>空</t>
        </is>
      </c>
      <c r="F840" s="14" t="inlineStr">
        <is>
          <t>★★</t>
        </is>
      </c>
      <c r="G840" s="14" t="n">
        <v>2</v>
      </c>
      <c r="H840" s="15" t="n">
        <v>11960</v>
      </c>
      <c r="I840" s="15" t="n">
        <v>12405</v>
      </c>
      <c r="J840" s="14" t="n">
        <v>5</v>
      </c>
      <c r="K840" s="14" t="n">
        <v>10000</v>
      </c>
      <c r="L840" s="25">
        <f>IF(E840="多",1,-1)*(I840-H840)*G840*J840</f>
        <v/>
      </c>
      <c r="M840" s="26">
        <f>L840/K840</f>
        <v/>
      </c>
      <c r="N840" s="14" t="inlineStr">
        <is>
          <t>将军撤退+大将军转向</t>
        </is>
      </c>
      <c r="O840" s="14" t="inlineStr">
        <is>
          <t>是</t>
        </is>
      </c>
    </row>
    <row r="841">
      <c r="A841" s="2" t="inlineStr">
        <is>
          <t>2024-11-20</t>
        </is>
      </c>
      <c r="B841" s="2" t="inlineStr">
        <is>
          <t>2024-11-29</t>
        </is>
      </c>
      <c r="C841" s="2" t="inlineStr">
        <is>
          <t>沥青</t>
        </is>
      </c>
      <c r="D841" s="2" t="inlineStr">
        <is>
          <t>BU</t>
        </is>
      </c>
      <c r="E841" s="19" t="inlineStr">
        <is>
          <t>多</t>
        </is>
      </c>
      <c r="F841" s="2" t="inlineStr">
        <is>
          <t>★★★</t>
        </is>
      </c>
      <c r="G841" s="10" t="n">
        <v>16</v>
      </c>
      <c r="H841" s="11" t="n">
        <v>3371</v>
      </c>
      <c r="I841" s="11" t="n">
        <v>3512</v>
      </c>
      <c r="J841" s="10" t="n">
        <v>10</v>
      </c>
      <c r="K841" s="10" t="n">
        <v>30000</v>
      </c>
      <c r="L841" s="23">
        <f>IF(E841="多",1,-1)*(I841-H841)*G841*J841</f>
        <v/>
      </c>
      <c r="M841" s="24">
        <f>L841/K841</f>
        <v/>
      </c>
      <c r="N841" s="2" t="inlineStr">
        <is>
          <t>将军撤退</t>
        </is>
      </c>
      <c r="O841" s="2" t="inlineStr">
        <is>
          <t>否</t>
        </is>
      </c>
    </row>
    <row r="842">
      <c r="A842" s="14" t="inlineStr">
        <is>
          <t>2024-11-26</t>
        </is>
      </c>
      <c r="B842" s="14" t="inlineStr">
        <is>
          <t>2024-11-28</t>
        </is>
      </c>
      <c r="C842" s="14" t="inlineStr">
        <is>
          <t>菜粕</t>
        </is>
      </c>
      <c r="D842" s="14" t="inlineStr">
        <is>
          <t>RM</t>
        </is>
      </c>
      <c r="E842" s="14" t="inlineStr">
        <is>
          <t>空</t>
        </is>
      </c>
      <c r="F842" s="14" t="inlineStr">
        <is>
          <t>★★</t>
        </is>
      </c>
      <c r="G842" s="14" t="n">
        <v>4</v>
      </c>
      <c r="H842" s="15" t="n">
        <v>2260</v>
      </c>
      <c r="I842" s="15" t="n">
        <v>2272</v>
      </c>
      <c r="J842" s="14" t="n">
        <v>10</v>
      </c>
      <c r="K842" s="14" t="n">
        <v>10000</v>
      </c>
      <c r="L842" s="25">
        <f>IF(E842="多",1,-1)*(I842-H842)*G842*J842</f>
        <v/>
      </c>
      <c r="M842" s="26">
        <f>L842/K842</f>
        <v/>
      </c>
      <c r="N842" s="14" t="inlineStr">
        <is>
          <t>将军撤退+大将军转向</t>
        </is>
      </c>
      <c r="O842" s="14" t="inlineStr">
        <is>
          <t>是</t>
        </is>
      </c>
    </row>
    <row r="843">
      <c r="A843" s="2" t="inlineStr">
        <is>
          <t>2024-11-25</t>
        </is>
      </c>
      <c r="B843" s="2" t="inlineStr">
        <is>
          <t>2024-11-26</t>
        </is>
      </c>
      <c r="C843" s="2" t="inlineStr">
        <is>
          <t>玻璃</t>
        </is>
      </c>
      <c r="D843" s="2" t="inlineStr">
        <is>
          <t>FG</t>
        </is>
      </c>
      <c r="E843" s="9" t="inlineStr">
        <is>
          <t>空</t>
        </is>
      </c>
      <c r="F843" s="2" t="inlineStr">
        <is>
          <t>★★★</t>
        </is>
      </c>
      <c r="G843" s="10" t="n">
        <v>3</v>
      </c>
      <c r="H843" s="11" t="n">
        <v>1242</v>
      </c>
      <c r="I843" s="11" t="n">
        <v>1242</v>
      </c>
      <c r="J843" s="10" t="n">
        <v>20</v>
      </c>
      <c r="K843" s="10" t="n">
        <v>10000</v>
      </c>
      <c r="L843" s="23">
        <f>IF(E843="多",1,-1)*(I843-H843)*G843*J843</f>
        <v/>
      </c>
      <c r="M843" s="24">
        <f>L843/K843</f>
        <v/>
      </c>
      <c r="N843" s="2" t="inlineStr">
        <is>
          <t>将军撤退</t>
        </is>
      </c>
      <c r="O843" s="2" t="inlineStr">
        <is>
          <t>否</t>
        </is>
      </c>
    </row>
    <row r="844">
      <c r="A844" s="14" t="inlineStr">
        <is>
          <t>2024-11-22</t>
        </is>
      </c>
      <c r="B844" s="14" t="inlineStr">
        <is>
          <t>2024-11-26</t>
        </is>
      </c>
      <c r="C844" s="14" t="inlineStr">
        <is>
          <t>豆油</t>
        </is>
      </c>
      <c r="D844" s="14" t="inlineStr">
        <is>
          <t>Y</t>
        </is>
      </c>
      <c r="E844" s="14" t="inlineStr">
        <is>
          <t>空</t>
        </is>
      </c>
      <c r="F844" s="14" t="inlineStr">
        <is>
          <t>★★</t>
        </is>
      </c>
      <c r="G844" s="14" t="n">
        <v>1</v>
      </c>
      <c r="H844" s="15" t="n">
        <v>7764</v>
      </c>
      <c r="I844" s="15" t="n">
        <v>7842</v>
      </c>
      <c r="J844" s="14" t="n">
        <v>10</v>
      </c>
      <c r="K844" s="14" t="n">
        <v>10000</v>
      </c>
      <c r="L844" s="25">
        <f>IF(E844="多",1,-1)*(I844-H844)*G844*J844</f>
        <v/>
      </c>
      <c r="M844" s="26">
        <f>L844/K844</f>
        <v/>
      </c>
      <c r="N844" s="14" t="inlineStr">
        <is>
          <t>将军撤退</t>
        </is>
      </c>
      <c r="O844" s="14" t="inlineStr">
        <is>
          <t>是</t>
        </is>
      </c>
    </row>
    <row r="845">
      <c r="A845" s="2" t="inlineStr">
        <is>
          <t>2024-11-18</t>
        </is>
      </c>
      <c r="B845" s="2" t="inlineStr">
        <is>
          <t>2024-11-26</t>
        </is>
      </c>
      <c r="C845" s="2" t="inlineStr">
        <is>
          <t>工业硅</t>
        </is>
      </c>
      <c r="D845" s="2" t="inlineStr">
        <is>
          <t>SI</t>
        </is>
      </c>
      <c r="E845" s="9" t="inlineStr">
        <is>
          <t>空</t>
        </is>
      </c>
      <c r="F845" s="2" t="inlineStr">
        <is>
          <t>★★★</t>
        </is>
      </c>
      <c r="G845" s="10" t="n">
        <v>8</v>
      </c>
      <c r="H845" s="11" t="n">
        <v>12405</v>
      </c>
      <c r="I845" s="11" t="n">
        <v>11870</v>
      </c>
      <c r="J845" s="10" t="n">
        <v>5</v>
      </c>
      <c r="K845" s="10" t="n">
        <v>30000</v>
      </c>
      <c r="L845" s="23">
        <f>IF(E845="多",1,-1)*(I845-H845)*G845*J845</f>
        <v/>
      </c>
      <c r="M845" s="24">
        <f>L845/K845</f>
        <v/>
      </c>
      <c r="N845" s="2" t="inlineStr">
        <is>
          <t>将军撤退+大将军转向</t>
        </is>
      </c>
      <c r="O845" s="2" t="inlineStr">
        <is>
          <t>否</t>
        </is>
      </c>
    </row>
    <row r="846">
      <c r="A846" s="14" t="inlineStr">
        <is>
          <t>2024-10-31</t>
        </is>
      </c>
      <c r="B846" s="14" t="inlineStr">
        <is>
          <t>2024-11-26</t>
        </is>
      </c>
      <c r="C846" s="14" t="inlineStr">
        <is>
          <t>沪镍</t>
        </is>
      </c>
      <c r="D846" s="14" t="inlineStr">
        <is>
          <t>NI</t>
        </is>
      </c>
      <c r="E846" s="14" t="inlineStr">
        <is>
          <t>空</t>
        </is>
      </c>
      <c r="F846" s="14" t="inlineStr">
        <is>
          <t>★★</t>
        </is>
      </c>
      <c r="G846" s="14" t="n">
        <v>1</v>
      </c>
      <c r="H846" s="15" t="n">
        <v>124000</v>
      </c>
      <c r="I846" s="15" t="n">
        <v>128901.43</v>
      </c>
      <c r="J846" s="14" t="n">
        <v>1</v>
      </c>
      <c r="K846" s="14" t="n">
        <v>10000</v>
      </c>
      <c r="L846" s="25">
        <f>IF(E846="多",1,-1)*(I846-H846)*G846*J846</f>
        <v/>
      </c>
      <c r="M846" s="26">
        <f>L846/K846</f>
        <v/>
      </c>
      <c r="N846" s="14" t="inlineStr">
        <is>
          <t>止损</t>
        </is>
      </c>
      <c r="O846" s="14" t="inlineStr">
        <is>
          <t>是</t>
        </is>
      </c>
    </row>
    <row r="847">
      <c r="A847" s="2" t="inlineStr">
        <is>
          <t>2024-11-22</t>
        </is>
      </c>
      <c r="B847" s="2" t="inlineStr">
        <is>
          <t>2024-11-25</t>
        </is>
      </c>
      <c r="C847" s="2" t="inlineStr">
        <is>
          <t>PVC</t>
        </is>
      </c>
      <c r="D847" s="2" t="inlineStr">
        <is>
          <t>V</t>
        </is>
      </c>
      <c r="E847" s="9" t="inlineStr">
        <is>
          <t>空</t>
        </is>
      </c>
      <c r="F847" s="2" t="inlineStr">
        <is>
          <t>★★★</t>
        </is>
      </c>
      <c r="G847" s="10" t="n">
        <v>8</v>
      </c>
      <c r="H847" s="11" t="n">
        <v>5236</v>
      </c>
      <c r="I847" s="11" t="n">
        <v>5269</v>
      </c>
      <c r="J847" s="10" t="n">
        <v>5</v>
      </c>
      <c r="K847" s="10" t="n">
        <v>10000</v>
      </c>
      <c r="L847" s="23">
        <f>IF(E847="多",1,-1)*(I847-H847)*G847*J847</f>
        <v/>
      </c>
      <c r="M847" s="24">
        <f>L847/K847</f>
        <v/>
      </c>
      <c r="N847" s="2" t="inlineStr">
        <is>
          <t>将军撤退</t>
        </is>
      </c>
      <c r="O847" s="2" t="inlineStr">
        <is>
          <t>否</t>
        </is>
      </c>
    </row>
    <row r="848">
      <c r="A848" s="14" t="inlineStr">
        <is>
          <t>2024-10-24</t>
        </is>
      </c>
      <c r="B848" s="14" t="inlineStr">
        <is>
          <t>2024-11-25</t>
        </is>
      </c>
      <c r="C848" s="14" t="inlineStr">
        <is>
          <t>塑料</t>
        </is>
      </c>
      <c r="D848" s="14" t="inlineStr">
        <is>
          <t>L</t>
        </is>
      </c>
      <c r="E848" s="14" t="inlineStr">
        <is>
          <t>多</t>
        </is>
      </c>
      <c r="F848" s="14" t="inlineStr">
        <is>
          <t>★★★</t>
        </is>
      </c>
      <c r="G848" s="14" t="n">
        <v>7</v>
      </c>
      <c r="H848" s="15" t="n">
        <v>8137</v>
      </c>
      <c r="I848" s="15" t="n">
        <v>8395</v>
      </c>
      <c r="J848" s="14" t="n">
        <v>5</v>
      </c>
      <c r="K848" s="14" t="n">
        <v>10000</v>
      </c>
      <c r="L848" s="25">
        <f>IF(E848="多",1,-1)*(I848-H848)*G848*J848</f>
        <v/>
      </c>
      <c r="M848" s="26">
        <f>L848/K848</f>
        <v/>
      </c>
      <c r="N848" s="14" t="inlineStr">
        <is>
          <t>大将军转向</t>
        </is>
      </c>
      <c r="O848" s="14" t="inlineStr">
        <is>
          <t>是</t>
        </is>
      </c>
    </row>
    <row r="849">
      <c r="A849" s="2" t="inlineStr">
        <is>
          <t>2024-11-21</t>
        </is>
      </c>
      <c r="B849" s="2" t="inlineStr">
        <is>
          <t>2024-11-22</t>
        </is>
      </c>
      <c r="C849" s="2" t="inlineStr">
        <is>
          <t>菜粕</t>
        </is>
      </c>
      <c r="D849" s="2" t="inlineStr">
        <is>
          <t>RM</t>
        </is>
      </c>
      <c r="E849" s="9" t="inlineStr">
        <is>
          <t>空</t>
        </is>
      </c>
      <c r="F849" s="2" t="inlineStr">
        <is>
          <t>★★★</t>
        </is>
      </c>
      <c r="G849" s="10" t="n">
        <v>4</v>
      </c>
      <c r="H849" s="11" t="n">
        <v>2306</v>
      </c>
      <c r="I849" s="11" t="n">
        <v>2255</v>
      </c>
      <c r="J849" s="10" t="n">
        <v>10</v>
      </c>
      <c r="K849" s="10" t="n">
        <v>10000</v>
      </c>
      <c r="L849" s="23">
        <f>IF(E849="多",1,-1)*(I849-H849)*G849*J849</f>
        <v/>
      </c>
      <c r="M849" s="24">
        <f>L849/K849</f>
        <v/>
      </c>
      <c r="N849" s="2" t="inlineStr">
        <is>
          <t>大将军转向</t>
        </is>
      </c>
      <c r="O849" s="2" t="inlineStr">
        <is>
          <t>否</t>
        </is>
      </c>
    </row>
    <row r="850">
      <c r="A850" s="14" t="inlineStr">
        <is>
          <t>2024-11-01</t>
        </is>
      </c>
      <c r="B850" s="14" t="inlineStr">
        <is>
          <t>2024-11-22</t>
        </is>
      </c>
      <c r="C850" s="14" t="inlineStr">
        <is>
          <t>铁矿石</t>
        </is>
      </c>
      <c r="D850" s="14" t="inlineStr">
        <is>
          <t>I</t>
        </is>
      </c>
      <c r="E850" s="14" t="inlineStr">
        <is>
          <t>空</t>
        </is>
      </c>
      <c r="F850" s="14" t="inlineStr">
        <is>
          <t>★★</t>
        </is>
      </c>
      <c r="G850" s="14" t="n">
        <v>1</v>
      </c>
      <c r="H850" s="15" t="n">
        <v>774</v>
      </c>
      <c r="I850" s="15" t="n">
        <v>769</v>
      </c>
      <c r="J850" s="14" t="n">
        <v>100</v>
      </c>
      <c r="K850" s="14" t="n">
        <v>10000</v>
      </c>
      <c r="L850" s="25">
        <f>IF(E850="多",1,-1)*(I850-H850)*G850*J850</f>
        <v/>
      </c>
      <c r="M850" s="26">
        <f>L850/K850</f>
        <v/>
      </c>
      <c r="N850" s="14" t="inlineStr">
        <is>
          <t>将军撤退</t>
        </is>
      </c>
      <c r="O850" s="14" t="inlineStr">
        <is>
          <t>是</t>
        </is>
      </c>
    </row>
    <row r="851">
      <c r="A851" s="14" t="inlineStr">
        <is>
          <t>2024-11-19</t>
        </is>
      </c>
      <c r="B851" s="14" t="inlineStr">
        <is>
          <t>2024-11-20</t>
        </is>
      </c>
      <c r="C851" s="14" t="inlineStr">
        <is>
          <t>PTA</t>
        </is>
      </c>
      <c r="D851" s="14" t="inlineStr">
        <is>
          <t>TA</t>
        </is>
      </c>
      <c r="E851" s="14" t="inlineStr">
        <is>
          <t>多</t>
        </is>
      </c>
      <c r="F851" s="14" t="inlineStr">
        <is>
          <t>★★</t>
        </is>
      </c>
      <c r="G851" s="14" t="n">
        <v>7</v>
      </c>
      <c r="H851" s="15" t="n">
        <v>4844</v>
      </c>
      <c r="I851" s="15" t="n">
        <v>4876</v>
      </c>
      <c r="J851" s="14" t="n">
        <v>5</v>
      </c>
      <c r="K851" s="14" t="n">
        <v>10000</v>
      </c>
      <c r="L851" s="25">
        <f>IF(E851="多",1,-1)*(I851-H851)*G851*J851</f>
        <v/>
      </c>
      <c r="M851" s="26">
        <f>L851/K851</f>
        <v/>
      </c>
      <c r="N851" s="14" t="inlineStr">
        <is>
          <t>大将军转向</t>
        </is>
      </c>
      <c r="O851" s="14" t="inlineStr">
        <is>
          <t>是</t>
        </is>
      </c>
    </row>
    <row r="852">
      <c r="A852" s="2" t="inlineStr">
        <is>
          <t>2024-11-19</t>
        </is>
      </c>
      <c r="B852" s="2" t="inlineStr">
        <is>
          <t>2024-11-20</t>
        </is>
      </c>
      <c r="C852" s="2" t="inlineStr">
        <is>
          <t>棕榈油</t>
        </is>
      </c>
      <c r="D852" s="2" t="inlineStr">
        <is>
          <t>P</t>
        </is>
      </c>
      <c r="E852" s="19" t="inlineStr">
        <is>
          <t>多</t>
        </is>
      </c>
      <c r="F852" s="2" t="inlineStr">
        <is>
          <t>★★★</t>
        </is>
      </c>
      <c r="G852" s="10" t="n">
        <v>4</v>
      </c>
      <c r="H852" s="11" t="n">
        <v>9928</v>
      </c>
      <c r="I852" s="11" t="n">
        <v>9954</v>
      </c>
      <c r="J852" s="10" t="n">
        <v>10</v>
      </c>
      <c r="K852" s="10" t="n">
        <v>30000</v>
      </c>
      <c r="L852" s="23">
        <f>IF(E852="多",1,-1)*(I852-H852)*G852*J852</f>
        <v/>
      </c>
      <c r="M852" s="24">
        <f>L852/K852</f>
        <v/>
      </c>
      <c r="N852" s="2" t="inlineStr">
        <is>
          <t>将军撤退</t>
        </is>
      </c>
      <c r="O852" s="2" t="inlineStr">
        <is>
          <t>否</t>
        </is>
      </c>
    </row>
    <row r="853">
      <c r="A853" s="14" t="inlineStr">
        <is>
          <t>2024-11-15</t>
        </is>
      </c>
      <c r="B853" s="14" t="inlineStr">
        <is>
          <t>2024-11-19</t>
        </is>
      </c>
      <c r="C853" s="14" t="inlineStr">
        <is>
          <t>玻璃</t>
        </is>
      </c>
      <c r="D853" s="14" t="inlineStr">
        <is>
          <t>FG</t>
        </is>
      </c>
      <c r="E853" s="14" t="inlineStr">
        <is>
          <t>空</t>
        </is>
      </c>
      <c r="F853" s="14" t="inlineStr">
        <is>
          <t>★★★</t>
        </is>
      </c>
      <c r="G853" s="14" t="n">
        <v>2</v>
      </c>
      <c r="H853" s="15" t="n">
        <v>1264</v>
      </c>
      <c r="I853" s="15" t="n">
        <v>1257</v>
      </c>
      <c r="J853" s="14" t="n">
        <v>20</v>
      </c>
      <c r="K853" s="14" t="n">
        <v>10000</v>
      </c>
      <c r="L853" s="25">
        <f>IF(E853="多",1,-1)*(I853-H853)*G853*J853</f>
        <v/>
      </c>
      <c r="M853" s="26">
        <f>L853/K853</f>
        <v/>
      </c>
      <c r="N853" s="14" t="inlineStr">
        <is>
          <t>大将军转向</t>
        </is>
      </c>
      <c r="O853" s="14" t="inlineStr">
        <is>
          <t>是</t>
        </is>
      </c>
    </row>
    <row r="854">
      <c r="A854" s="14" t="inlineStr">
        <is>
          <t>2024-11-15</t>
        </is>
      </c>
      <c r="B854" s="14" t="inlineStr">
        <is>
          <t>2024-11-18</t>
        </is>
      </c>
      <c r="C854" s="14" t="inlineStr">
        <is>
          <t>PVC</t>
        </is>
      </c>
      <c r="D854" s="14" t="inlineStr">
        <is>
          <t>V</t>
        </is>
      </c>
      <c r="E854" s="14" t="inlineStr">
        <is>
          <t>空</t>
        </is>
      </c>
      <c r="F854" s="14" t="inlineStr">
        <is>
          <t>★★</t>
        </is>
      </c>
      <c r="G854" s="14" t="n">
        <v>7</v>
      </c>
      <c r="H854" s="15" t="n">
        <v>5292</v>
      </c>
      <c r="I854" s="15" t="n">
        <v>5284</v>
      </c>
      <c r="J854" s="14" t="n">
        <v>5</v>
      </c>
      <c r="K854" s="14" t="n">
        <v>10000</v>
      </c>
      <c r="L854" s="25">
        <f>IF(E854="多",1,-1)*(I854-H854)*G854*J854</f>
        <v/>
      </c>
      <c r="M854" s="26">
        <f>L854/K854</f>
        <v/>
      </c>
      <c r="N854" s="14" t="inlineStr">
        <is>
          <t>将军撤退+大将军转向</t>
        </is>
      </c>
      <c r="O854" s="14" t="inlineStr">
        <is>
          <t>是</t>
        </is>
      </c>
    </row>
    <row r="855">
      <c r="A855" s="14" t="inlineStr">
        <is>
          <t>2024-11-07</t>
        </is>
      </c>
      <c r="B855" s="14" t="inlineStr">
        <is>
          <t>2024-11-15</t>
        </is>
      </c>
      <c r="C855" s="14" t="inlineStr">
        <is>
          <t>玻璃</t>
        </is>
      </c>
      <c r="D855" s="14" t="inlineStr">
        <is>
          <t>FG</t>
        </is>
      </c>
      <c r="E855" s="14" t="inlineStr">
        <is>
          <t>多</t>
        </is>
      </c>
      <c r="F855" s="14" t="inlineStr">
        <is>
          <t>★★</t>
        </is>
      </c>
      <c r="G855" s="14" t="n">
        <v>2</v>
      </c>
      <c r="H855" s="15" t="n">
        <v>1389</v>
      </c>
      <c r="I855" s="15" t="n">
        <v>1258</v>
      </c>
      <c r="J855" s="14" t="n">
        <v>20</v>
      </c>
      <c r="K855" s="14" t="n">
        <v>10000</v>
      </c>
      <c r="L855" s="25">
        <f>IF(E855="多",1,-1)*(I855-H855)*G855*J855</f>
        <v/>
      </c>
      <c r="M855" s="26">
        <f>L855/K855</f>
        <v/>
      </c>
      <c r="N855" s="14" t="inlineStr">
        <is>
          <t>反向信号</t>
        </is>
      </c>
      <c r="O855" s="14" t="inlineStr">
        <is>
          <t>是</t>
        </is>
      </c>
    </row>
    <row r="856">
      <c r="A856" s="14" t="inlineStr">
        <is>
          <t>2024-11-04</t>
        </is>
      </c>
      <c r="B856" s="14" t="inlineStr">
        <is>
          <t>2024-11-15</t>
        </is>
      </c>
      <c r="C856" s="14" t="inlineStr">
        <is>
          <t>锰硅</t>
        </is>
      </c>
      <c r="D856" s="14" t="inlineStr">
        <is>
          <t>SM</t>
        </is>
      </c>
      <c r="E856" s="14" t="inlineStr">
        <is>
          <t>多</t>
        </is>
      </c>
      <c r="F856" s="14" t="inlineStr">
        <is>
          <t>★★</t>
        </is>
      </c>
      <c r="G856" s="14" t="n">
        <v>5</v>
      </c>
      <c r="H856" s="15" t="n">
        <v>6424</v>
      </c>
      <c r="I856" s="15" t="n">
        <v>6182.14</v>
      </c>
      <c r="J856" s="14" t="n">
        <v>5</v>
      </c>
      <c r="K856" s="14" t="n">
        <v>10000</v>
      </c>
      <c r="L856" s="25">
        <f>IF(E856="多",1,-1)*(I856-H856)*G856*J856</f>
        <v/>
      </c>
      <c r="M856" s="26">
        <f>L856/K856</f>
        <v/>
      </c>
      <c r="N856" s="14" t="inlineStr">
        <is>
          <t>止损</t>
        </is>
      </c>
      <c r="O856" s="14" t="inlineStr">
        <is>
          <t>是</t>
        </is>
      </c>
    </row>
    <row r="857">
      <c r="A857" s="2" t="inlineStr">
        <is>
          <t>2024-11-06</t>
        </is>
      </c>
      <c r="B857" s="2" t="inlineStr">
        <is>
          <t>2024-11-14</t>
        </is>
      </c>
      <c r="C857" s="2" t="inlineStr">
        <is>
          <t>甲醇</t>
        </is>
      </c>
      <c r="D857" s="2" t="inlineStr">
        <is>
          <t>MA</t>
        </is>
      </c>
      <c r="E857" s="9" t="inlineStr">
        <is>
          <t>空</t>
        </is>
      </c>
      <c r="F857" s="2" t="inlineStr">
        <is>
          <t>★★★</t>
        </is>
      </c>
      <c r="G857" s="10" t="n">
        <v>25</v>
      </c>
      <c r="H857" s="11" t="n">
        <v>2471</v>
      </c>
      <c r="I857" s="11" t="n">
        <v>2483</v>
      </c>
      <c r="J857" s="10" t="n">
        <v>10</v>
      </c>
      <c r="K857" s="10" t="n">
        <v>30000</v>
      </c>
      <c r="L857" s="23">
        <f>IF(E857="多",1,-1)*(I857-H857)*G857*J857</f>
        <v/>
      </c>
      <c r="M857" s="24">
        <f>L857/K857</f>
        <v/>
      </c>
      <c r="N857" s="2" t="inlineStr">
        <is>
          <t>将军撤退</t>
        </is>
      </c>
      <c r="O857" s="2" t="inlineStr">
        <is>
          <t>否</t>
        </is>
      </c>
    </row>
    <row r="858">
      <c r="A858" s="14" t="inlineStr">
        <is>
          <t>2024-11-05</t>
        </is>
      </c>
      <c r="B858" s="14" t="inlineStr">
        <is>
          <t>2024-11-13</t>
        </is>
      </c>
      <c r="C858" s="14" t="inlineStr">
        <is>
          <t>棕榈油</t>
        </is>
      </c>
      <c r="D858" s="14" t="inlineStr">
        <is>
          <t>P</t>
        </is>
      </c>
      <c r="E858" s="14" t="inlineStr">
        <is>
          <t>多</t>
        </is>
      </c>
      <c r="F858" s="14" t="inlineStr">
        <is>
          <t>★★★</t>
        </is>
      </c>
      <c r="G858" s="14" t="n">
        <v>1</v>
      </c>
      <c r="H858" s="15" t="n">
        <v>9630</v>
      </c>
      <c r="I858" s="15" t="n">
        <v>9782</v>
      </c>
      <c r="J858" s="14" t="n">
        <v>10</v>
      </c>
      <c r="K858" s="14" t="n">
        <v>10000</v>
      </c>
      <c r="L858" s="25">
        <f>IF(E858="多",1,-1)*(I858-H858)*G858*J858</f>
        <v/>
      </c>
      <c r="M858" s="26">
        <f>L858/K858</f>
        <v/>
      </c>
      <c r="N858" s="14" t="inlineStr">
        <is>
          <t>将军撤退+大将军转向</t>
        </is>
      </c>
      <c r="O858" s="14" t="inlineStr">
        <is>
          <t>是</t>
        </is>
      </c>
    </row>
    <row r="859">
      <c r="A859" s="14" t="inlineStr">
        <is>
          <t>2024-10-28</t>
        </is>
      </c>
      <c r="B859" s="14" t="inlineStr">
        <is>
          <t>2024-11-13</t>
        </is>
      </c>
      <c r="C859" s="14" t="inlineStr">
        <is>
          <t>菜油</t>
        </is>
      </c>
      <c r="D859" s="14" t="inlineStr">
        <is>
          <t>OI</t>
        </is>
      </c>
      <c r="E859" s="14" t="inlineStr">
        <is>
          <t>多</t>
        </is>
      </c>
      <c r="F859" s="14" t="inlineStr">
        <is>
          <t>★★</t>
        </is>
      </c>
      <c r="G859" s="14" t="n">
        <v>1</v>
      </c>
      <c r="H859" s="15" t="n">
        <v>9620</v>
      </c>
      <c r="I859" s="15" t="n">
        <v>9440.860000000001</v>
      </c>
      <c r="J859" s="14" t="n">
        <v>10</v>
      </c>
      <c r="K859" s="14" t="n">
        <v>10000</v>
      </c>
      <c r="L859" s="25">
        <f>IF(E859="多",1,-1)*(I859-H859)*G859*J859</f>
        <v/>
      </c>
      <c r="M859" s="26">
        <f>L859/K859</f>
        <v/>
      </c>
      <c r="N859" s="14" t="inlineStr">
        <is>
          <t>止损</t>
        </is>
      </c>
      <c r="O859" s="14" t="inlineStr">
        <is>
          <t>是</t>
        </is>
      </c>
    </row>
    <row r="860">
      <c r="A860" s="2" t="inlineStr">
        <is>
          <t>2024-11-08</t>
        </is>
      </c>
      <c r="B860" s="2" t="inlineStr">
        <is>
          <t>2024-11-11</t>
        </is>
      </c>
      <c r="C860" s="2" t="inlineStr">
        <is>
          <t>沪铝</t>
        </is>
      </c>
      <c r="D860" s="2" t="inlineStr">
        <is>
          <t>AL</t>
        </is>
      </c>
      <c r="E860" s="19" t="inlineStr">
        <is>
          <t>多</t>
        </is>
      </c>
      <c r="F860" s="2" t="inlineStr">
        <is>
          <t>★★★</t>
        </is>
      </c>
      <c r="G860" s="10" t="n">
        <v>6</v>
      </c>
      <c r="H860" s="11" t="n">
        <v>21490</v>
      </c>
      <c r="I860" s="11" t="n">
        <v>21390</v>
      </c>
      <c r="J860" s="10" t="n">
        <v>5</v>
      </c>
      <c r="K860" s="10" t="n">
        <v>30000</v>
      </c>
      <c r="L860" s="23">
        <f>IF(E860="多",1,-1)*(I860-H860)*G860*J860</f>
        <v/>
      </c>
      <c r="M860" s="24">
        <f>L860/K860</f>
        <v/>
      </c>
      <c r="N860" s="2" t="inlineStr">
        <is>
          <t>大将军转向</t>
        </is>
      </c>
      <c r="O860" s="2" t="inlineStr">
        <is>
          <t>否</t>
        </is>
      </c>
    </row>
    <row r="861">
      <c r="A861" s="2" t="inlineStr">
        <is>
          <t>2024-11-07</t>
        </is>
      </c>
      <c r="B861" s="2" t="inlineStr">
        <is>
          <t>2024-11-08</t>
        </is>
      </c>
      <c r="C861" s="2" t="inlineStr">
        <is>
          <t>豆油</t>
        </is>
      </c>
      <c r="D861" s="2" t="inlineStr">
        <is>
          <t>Y</t>
        </is>
      </c>
      <c r="E861" s="19" t="inlineStr">
        <is>
          <t>多</t>
        </is>
      </c>
      <c r="F861" s="2" t="inlineStr">
        <is>
          <t>★★★</t>
        </is>
      </c>
      <c r="G861" s="10" t="n">
        <v>7</v>
      </c>
      <c r="H861" s="11" t="n">
        <v>8816</v>
      </c>
      <c r="I861" s="11" t="n">
        <v>8840</v>
      </c>
      <c r="J861" s="10" t="n">
        <v>10</v>
      </c>
      <c r="K861" s="10" t="n">
        <v>30000</v>
      </c>
      <c r="L861" s="23">
        <f>IF(E861="多",1,-1)*(I861-H861)*G861*J861</f>
        <v/>
      </c>
      <c r="M861" s="24">
        <f>L861/K861</f>
        <v/>
      </c>
      <c r="N861" s="2" t="inlineStr">
        <is>
          <t>大将军转向</t>
        </is>
      </c>
      <c r="O861" s="2" t="inlineStr">
        <is>
          <t>否</t>
        </is>
      </c>
    </row>
    <row r="862">
      <c r="A862" s="14" t="inlineStr">
        <is>
          <t>2024-11-04</t>
        </is>
      </c>
      <c r="B862" s="14" t="inlineStr">
        <is>
          <t>2024-11-05</t>
        </is>
      </c>
      <c r="C862" s="14" t="inlineStr">
        <is>
          <t>碳酸锂</t>
        </is>
      </c>
      <c r="D862" s="14" t="inlineStr">
        <is>
          <t>LC</t>
        </is>
      </c>
      <c r="E862" s="14" t="inlineStr">
        <is>
          <t>多</t>
        </is>
      </c>
      <c r="F862" s="14" t="inlineStr">
        <is>
          <t>★★</t>
        </is>
      </c>
      <c r="G862" s="14" t="n">
        <v>1</v>
      </c>
      <c r="H862" s="15" t="n">
        <v>77050</v>
      </c>
      <c r="I862" s="15" t="n">
        <v>77350</v>
      </c>
      <c r="J862" s="14" t="n">
        <v>1</v>
      </c>
      <c r="K862" s="14" t="n">
        <v>10000</v>
      </c>
      <c r="L862" s="25">
        <f>IF(E862="多",1,-1)*(I862-H862)*G862*J862</f>
        <v/>
      </c>
      <c r="M862" s="26">
        <f>L862/K862</f>
        <v/>
      </c>
      <c r="N862" s="14" t="inlineStr">
        <is>
          <t>将军撤退</t>
        </is>
      </c>
      <c r="O862" s="14" t="inlineStr">
        <is>
          <t>是</t>
        </is>
      </c>
    </row>
    <row r="863">
      <c r="A863" s="2" t="inlineStr">
        <is>
          <t>2024-10-31</t>
        </is>
      </c>
      <c r="B863" s="2" t="inlineStr">
        <is>
          <t>2024-11-04</t>
        </is>
      </c>
      <c r="C863" s="2" t="inlineStr">
        <is>
          <t>棕榈油</t>
        </is>
      </c>
      <c r="D863" s="2" t="inlineStr">
        <is>
          <t>P</t>
        </is>
      </c>
      <c r="E863" s="19" t="inlineStr">
        <is>
          <t>多</t>
        </is>
      </c>
      <c r="F863" s="2" t="inlineStr">
        <is>
          <t>★★★</t>
        </is>
      </c>
      <c r="G863" s="10" t="n">
        <v>5</v>
      </c>
      <c r="H863" s="11" t="n">
        <v>9522</v>
      </c>
      <c r="I863" s="11" t="n">
        <v>9714</v>
      </c>
      <c r="J863" s="10" t="n">
        <v>10</v>
      </c>
      <c r="K863" s="10" t="n">
        <v>30000</v>
      </c>
      <c r="L863" s="23">
        <f>IF(E863="多",1,-1)*(I863-H863)*G863*J863</f>
        <v/>
      </c>
      <c r="M863" s="24">
        <f>L863/K863</f>
        <v/>
      </c>
      <c r="N863" s="2" t="inlineStr">
        <is>
          <t>将军撤退</t>
        </is>
      </c>
      <c r="O863" s="2" t="inlineStr">
        <is>
          <t>否</t>
        </is>
      </c>
    </row>
    <row r="864">
      <c r="A864" s="14" t="inlineStr">
        <is>
          <t>2024-10-22</t>
        </is>
      </c>
      <c r="B864" s="14" t="inlineStr">
        <is>
          <t>2024-11-04</t>
        </is>
      </c>
      <c r="C864" s="14" t="inlineStr">
        <is>
          <t>白糖</t>
        </is>
      </c>
      <c r="D864" s="14" t="inlineStr">
        <is>
          <t>SR</t>
        </is>
      </c>
      <c r="E864" s="14" t="inlineStr">
        <is>
          <t>空</t>
        </is>
      </c>
      <c r="F864" s="14" t="inlineStr">
        <is>
          <t>★★</t>
        </is>
      </c>
      <c r="G864" s="14" t="n">
        <v>4</v>
      </c>
      <c r="H864" s="15" t="n">
        <v>5851</v>
      </c>
      <c r="I864" s="15" t="n">
        <v>5843</v>
      </c>
      <c r="J864" s="14" t="n">
        <v>10</v>
      </c>
      <c r="K864" s="14" t="n">
        <v>10000</v>
      </c>
      <c r="L864" s="25">
        <f>IF(E864="多",1,-1)*(I864-H864)*G864*J864</f>
        <v/>
      </c>
      <c r="M864" s="26">
        <f>L864/K864</f>
        <v/>
      </c>
      <c r="N864" s="14" t="inlineStr">
        <is>
          <t>大将军转向</t>
        </is>
      </c>
      <c r="O864" s="14" t="inlineStr">
        <is>
          <t>是</t>
        </is>
      </c>
    </row>
    <row r="865">
      <c r="A865" s="2" t="inlineStr">
        <is>
          <t>2024-10-28</t>
        </is>
      </c>
      <c r="B865" s="2" t="inlineStr">
        <is>
          <t>2024-11-01</t>
        </is>
      </c>
      <c r="C865" s="2" t="inlineStr">
        <is>
          <t>沪金</t>
        </is>
      </c>
      <c r="D865" s="2" t="inlineStr">
        <is>
          <t>AU</t>
        </is>
      </c>
      <c r="E865" s="19" t="inlineStr">
        <is>
          <t>多</t>
        </is>
      </c>
      <c r="F865" s="2" t="inlineStr">
        <is>
          <t>★★★</t>
        </is>
      </c>
      <c r="G865" s="10" t="n">
        <v>1</v>
      </c>
      <c r="H865" s="11" t="n">
        <v>625.14</v>
      </c>
      <c r="I865" s="11" t="n">
        <v>629.72</v>
      </c>
      <c r="J865" s="10" t="n">
        <v>1000</v>
      </c>
      <c r="K865" s="10" t="n">
        <v>30000</v>
      </c>
      <c r="L865" s="23">
        <f>IF(E865="多",1,-1)*(I865-H865)*G865*J865</f>
        <v/>
      </c>
      <c r="M865" s="24">
        <f>L865/K865</f>
        <v/>
      </c>
      <c r="N865" s="2" t="inlineStr">
        <is>
          <t>将军撤退+大将军转向</t>
        </is>
      </c>
      <c r="O865" s="2" t="inlineStr">
        <is>
          <t>否</t>
        </is>
      </c>
    </row>
    <row r="866">
      <c r="A866" s="2" t="inlineStr">
        <is>
          <t>2024-10-30</t>
        </is>
      </c>
      <c r="B866" s="2" t="inlineStr">
        <is>
          <t>2024-10-31</t>
        </is>
      </c>
      <c r="C866" s="2" t="inlineStr">
        <is>
          <t>棉花</t>
        </is>
      </c>
      <c r="D866" s="2" t="inlineStr">
        <is>
          <t>CF</t>
        </is>
      </c>
      <c r="E866" s="9" t="inlineStr">
        <is>
          <t>空</t>
        </is>
      </c>
      <c r="F866" s="2" t="inlineStr">
        <is>
          <t>★★★</t>
        </is>
      </c>
      <c r="G866" s="10" t="n">
        <v>12</v>
      </c>
      <c r="H866" s="11" t="n">
        <v>14040</v>
      </c>
      <c r="I866" s="11" t="n">
        <v>14015</v>
      </c>
      <c r="J866" s="10" t="n">
        <v>5</v>
      </c>
      <c r="K866" s="10" t="n">
        <v>30000</v>
      </c>
      <c r="L866" s="23">
        <f>IF(E866="多",1,-1)*(I866-H866)*G866*J866</f>
        <v/>
      </c>
      <c r="M866" s="24">
        <f>L866/K866</f>
        <v/>
      </c>
      <c r="N866" s="2" t="inlineStr">
        <is>
          <t>将军撤退+大将军转向</t>
        </is>
      </c>
      <c r="O866" s="2" t="inlineStr">
        <is>
          <t>否</t>
        </is>
      </c>
    </row>
    <row r="867">
      <c r="A867" s="2" t="inlineStr">
        <is>
          <t>2024-10-21</t>
        </is>
      </c>
      <c r="B867" s="2" t="inlineStr">
        <is>
          <t>2024-10-30</t>
        </is>
      </c>
      <c r="C867" s="2" t="inlineStr">
        <is>
          <t>玉米</t>
        </is>
      </c>
      <c r="D867" s="2" t="inlineStr">
        <is>
          <t>C</t>
        </is>
      </c>
      <c r="E867" s="9" t="inlineStr">
        <is>
          <t>空</t>
        </is>
      </c>
      <c r="F867" s="2" t="inlineStr">
        <is>
          <t>★★★</t>
        </is>
      </c>
      <c r="G867" s="10" t="n">
        <v>33</v>
      </c>
      <c r="H867" s="11" t="n">
        <v>2168</v>
      </c>
      <c r="I867" s="11" t="n">
        <v>2231.07</v>
      </c>
      <c r="J867" s="10" t="n">
        <v>10</v>
      </c>
      <c r="K867" s="10" t="n">
        <v>30000</v>
      </c>
      <c r="L867" s="23">
        <f>IF(E867="多",1,-1)*(I867-H867)*G867*J867</f>
        <v/>
      </c>
      <c r="M867" s="24">
        <f>L867/K867</f>
        <v/>
      </c>
      <c r="N867" s="2" t="inlineStr">
        <is>
          <t>止损</t>
        </is>
      </c>
      <c r="O867" s="2" t="inlineStr">
        <is>
          <t>否</t>
        </is>
      </c>
    </row>
    <row r="868">
      <c r="A868" s="14" t="inlineStr">
        <is>
          <t>2024-10-25</t>
        </is>
      </c>
      <c r="B868" s="14" t="inlineStr">
        <is>
          <t>2024-10-29</t>
        </is>
      </c>
      <c r="C868" s="14" t="inlineStr">
        <is>
          <t>棉花</t>
        </is>
      </c>
      <c r="D868" s="14" t="inlineStr">
        <is>
          <t>CF</t>
        </is>
      </c>
      <c r="E868" s="14" t="inlineStr">
        <is>
          <t>空</t>
        </is>
      </c>
      <c r="F868" s="14" t="inlineStr">
        <is>
          <t>★★</t>
        </is>
      </c>
      <c r="G868" s="14" t="n">
        <v>3</v>
      </c>
      <c r="H868" s="15" t="n">
        <v>14110</v>
      </c>
      <c r="I868" s="15" t="n">
        <v>14000</v>
      </c>
      <c r="J868" s="14" t="n">
        <v>5</v>
      </c>
      <c r="K868" s="14" t="n">
        <v>10000</v>
      </c>
      <c r="L868" s="25">
        <f>IF(E868="多",1,-1)*(I868-H868)*G868*J868</f>
        <v/>
      </c>
      <c r="M868" s="26">
        <f>L868/K868</f>
        <v/>
      </c>
      <c r="N868" s="14" t="inlineStr">
        <is>
          <t>将军撤退+大将军转向</t>
        </is>
      </c>
      <c r="O868" s="14" t="inlineStr">
        <is>
          <t>是</t>
        </is>
      </c>
    </row>
    <row r="869">
      <c r="A869" s="14" t="inlineStr">
        <is>
          <t>2024-10-22</t>
        </is>
      </c>
      <c r="B869" s="14" t="inlineStr">
        <is>
          <t>2024-10-28</t>
        </is>
      </c>
      <c r="C869" s="14" t="inlineStr">
        <is>
          <t>沪铝</t>
        </is>
      </c>
      <c r="D869" s="14" t="inlineStr">
        <is>
          <t>AL</t>
        </is>
      </c>
      <c r="E869" s="14" t="inlineStr">
        <is>
          <t>多</t>
        </is>
      </c>
      <c r="F869" s="14" t="inlineStr">
        <is>
          <t>★★★</t>
        </is>
      </c>
      <c r="G869" s="14" t="n">
        <v>2</v>
      </c>
      <c r="H869" s="15" t="n">
        <v>20940</v>
      </c>
      <c r="I869" s="15" t="n">
        <v>20895</v>
      </c>
      <c r="J869" s="14" t="n">
        <v>5</v>
      </c>
      <c r="K869" s="14" t="n">
        <v>10000</v>
      </c>
      <c r="L869" s="25">
        <f>IF(E869="多",1,-1)*(I869-H869)*G869*J869</f>
        <v/>
      </c>
      <c r="M869" s="26">
        <f>L869/K869</f>
        <v/>
      </c>
      <c r="N869" s="14" t="inlineStr">
        <is>
          <t>将军撤退+大将军转向</t>
        </is>
      </c>
      <c r="O869" s="14" t="inlineStr">
        <is>
          <t>是</t>
        </is>
      </c>
    </row>
    <row r="870">
      <c r="A870" s="14" t="inlineStr">
        <is>
          <t>2024-10-17</t>
        </is>
      </c>
      <c r="B870" s="14" t="inlineStr">
        <is>
          <t>2024-10-28</t>
        </is>
      </c>
      <c r="C870" s="14" t="inlineStr">
        <is>
          <t>热卷</t>
        </is>
      </c>
      <c r="D870" s="14" t="inlineStr">
        <is>
          <t>HC</t>
        </is>
      </c>
      <c r="E870" s="14" t="inlineStr">
        <is>
          <t>空</t>
        </is>
      </c>
      <c r="F870" s="14" t="inlineStr">
        <is>
          <t>★★</t>
        </is>
      </c>
      <c r="G870" s="14" t="n">
        <v>2</v>
      </c>
      <c r="H870" s="15" t="n">
        <v>3439</v>
      </c>
      <c r="I870" s="15" t="n">
        <v>3615</v>
      </c>
      <c r="J870" s="14" t="n">
        <v>10</v>
      </c>
      <c r="K870" s="14" t="n">
        <v>10000</v>
      </c>
      <c r="L870" s="25">
        <f>IF(E870="多",1,-1)*(I870-H870)*G870*J870</f>
        <v/>
      </c>
      <c r="M870" s="26">
        <f>L870/K870</f>
        <v/>
      </c>
      <c r="N870" s="14" t="inlineStr">
        <is>
          <t>将军撤退</t>
        </is>
      </c>
      <c r="O870" s="14" t="inlineStr">
        <is>
          <t>是</t>
        </is>
      </c>
    </row>
    <row r="871">
      <c r="A871" s="2" t="inlineStr">
        <is>
          <t>2024-10-24</t>
        </is>
      </c>
      <c r="B871" s="2" t="inlineStr">
        <is>
          <t>2024-10-25</t>
        </is>
      </c>
      <c r="C871" s="2" t="inlineStr">
        <is>
          <t>纯碱</t>
        </is>
      </c>
      <c r="D871" s="2" t="inlineStr">
        <is>
          <t>SA</t>
        </is>
      </c>
      <c r="E871" s="19" t="inlineStr">
        <is>
          <t>多</t>
        </is>
      </c>
      <c r="F871" s="2" t="inlineStr">
        <is>
          <t>★★★</t>
        </is>
      </c>
      <c r="G871" s="10" t="n">
        <v>5</v>
      </c>
      <c r="H871" s="11" t="n">
        <v>1563</v>
      </c>
      <c r="I871" s="11" t="n">
        <v>1518</v>
      </c>
      <c r="J871" s="10" t="n">
        <v>20</v>
      </c>
      <c r="K871" s="10" t="n">
        <v>30000</v>
      </c>
      <c r="L871" s="23">
        <f>IF(E871="多",1,-1)*(I871-H871)*G871*J871</f>
        <v/>
      </c>
      <c r="M871" s="24">
        <f>L871/K871</f>
        <v/>
      </c>
      <c r="N871" s="2" t="inlineStr">
        <is>
          <t>大将军转向</t>
        </is>
      </c>
      <c r="O871" s="2" t="inlineStr">
        <is>
          <t>否</t>
        </is>
      </c>
    </row>
    <row r="872">
      <c r="A872" s="14" t="inlineStr">
        <is>
          <t>2024-10-22</t>
        </is>
      </c>
      <c r="B872" s="14" t="inlineStr">
        <is>
          <t>2024-10-25</t>
        </is>
      </c>
      <c r="C872" s="14" t="inlineStr">
        <is>
          <t>锰硅</t>
        </is>
      </c>
      <c r="D872" s="14" t="inlineStr">
        <is>
          <t>SM</t>
        </is>
      </c>
      <c r="E872" s="14" t="inlineStr">
        <is>
          <t>空</t>
        </is>
      </c>
      <c r="F872" s="14" t="inlineStr">
        <is>
          <t>★★</t>
        </is>
      </c>
      <c r="G872" s="14" t="n">
        <v>4</v>
      </c>
      <c r="H872" s="15" t="n">
        <v>6122</v>
      </c>
      <c r="I872" s="15" t="n">
        <v>6298</v>
      </c>
      <c r="J872" s="14" t="n">
        <v>5</v>
      </c>
      <c r="K872" s="14" t="n">
        <v>10000</v>
      </c>
      <c r="L872" s="25">
        <f>IF(E872="多",1,-1)*(I872-H872)*G872*J872</f>
        <v/>
      </c>
      <c r="M872" s="26">
        <f>L872/K872</f>
        <v/>
      </c>
      <c r="N872" s="14" t="inlineStr">
        <is>
          <t>大将军转向</t>
        </is>
      </c>
      <c r="O872" s="14" t="inlineStr">
        <is>
          <t>是</t>
        </is>
      </c>
    </row>
    <row r="873">
      <c r="A873" s="2" t="inlineStr">
        <is>
          <t>2024-10-21</t>
        </is>
      </c>
      <c r="B873" s="2" t="inlineStr">
        <is>
          <t>2024-10-24</t>
        </is>
      </c>
      <c r="C873" s="2" t="inlineStr">
        <is>
          <t>沪锌</t>
        </is>
      </c>
      <c r="D873" s="2" t="inlineStr">
        <is>
          <t>ZN</t>
        </is>
      </c>
      <c r="E873" s="19" t="inlineStr">
        <is>
          <t>多</t>
        </is>
      </c>
      <c r="F873" s="2" t="inlineStr">
        <is>
          <t>★★★</t>
        </is>
      </c>
      <c r="G873" s="10" t="n">
        <v>3</v>
      </c>
      <c r="H873" s="11" t="n">
        <v>25085</v>
      </c>
      <c r="I873" s="11" t="n">
        <v>25880</v>
      </c>
      <c r="J873" s="10" t="n">
        <v>5</v>
      </c>
      <c r="K873" s="10" t="n">
        <v>30000</v>
      </c>
      <c r="L873" s="23">
        <f>IF(E873="多",1,-1)*(I873-H873)*G873*J873</f>
        <v/>
      </c>
      <c r="M873" s="24">
        <f>L873/K873</f>
        <v/>
      </c>
      <c r="N873" s="2" t="inlineStr">
        <is>
          <t>将军撤退+大将军转向</t>
        </is>
      </c>
      <c r="O873" s="2" t="inlineStr">
        <is>
          <t>否</t>
        </is>
      </c>
    </row>
    <row r="874">
      <c r="A874" s="2" t="inlineStr">
        <is>
          <t>2024-10-16</t>
        </is>
      </c>
      <c r="B874" s="2" t="inlineStr">
        <is>
          <t>2024-10-24</t>
        </is>
      </c>
      <c r="C874" s="2" t="inlineStr">
        <is>
          <t>豆油</t>
        </is>
      </c>
      <c r="D874" s="2" t="inlineStr">
        <is>
          <t>Y</t>
        </is>
      </c>
      <c r="E874" s="19" t="inlineStr">
        <is>
          <t>多</t>
        </is>
      </c>
      <c r="F874" s="2" t="inlineStr">
        <is>
          <t>★★★</t>
        </is>
      </c>
      <c r="G874" s="10" t="n">
        <v>6</v>
      </c>
      <c r="H874" s="11" t="n">
        <v>8296</v>
      </c>
      <c r="I874" s="11" t="n">
        <v>8464</v>
      </c>
      <c r="J874" s="10" t="n">
        <v>10</v>
      </c>
      <c r="K874" s="10" t="n">
        <v>30000</v>
      </c>
      <c r="L874" s="23">
        <f>IF(E874="多",1,-1)*(I874-H874)*G874*J874</f>
        <v/>
      </c>
      <c r="M874" s="24">
        <f>L874/K874</f>
        <v/>
      </c>
      <c r="N874" s="2" t="inlineStr">
        <is>
          <t>大将军转向</t>
        </is>
      </c>
      <c r="O874" s="2" t="inlineStr">
        <is>
          <t>否</t>
        </is>
      </c>
    </row>
    <row r="875">
      <c r="A875" s="14" t="inlineStr">
        <is>
          <t>2024-10-21</t>
        </is>
      </c>
      <c r="B875" s="14" t="inlineStr">
        <is>
          <t>2024-10-22</t>
        </is>
      </c>
      <c r="C875" s="14" t="inlineStr">
        <is>
          <t>PTA</t>
        </is>
      </c>
      <c r="D875" s="14" t="inlineStr">
        <is>
          <t>TA</t>
        </is>
      </c>
      <c r="E875" s="14" t="inlineStr">
        <is>
          <t>空</t>
        </is>
      </c>
      <c r="F875" s="14" t="inlineStr">
        <is>
          <t>★★</t>
        </is>
      </c>
      <c r="G875" s="14" t="n">
        <v>4</v>
      </c>
      <c r="H875" s="15" t="n">
        <v>4986</v>
      </c>
      <c r="I875" s="15" t="n">
        <v>5018</v>
      </c>
      <c r="J875" s="14" t="n">
        <v>5</v>
      </c>
      <c r="K875" s="14" t="n">
        <v>10000</v>
      </c>
      <c r="L875" s="25">
        <f>IF(E875="多",1,-1)*(I875-H875)*G875*J875</f>
        <v/>
      </c>
      <c r="M875" s="26">
        <f>L875/K875</f>
        <v/>
      </c>
      <c r="N875" s="14" t="inlineStr">
        <is>
          <t>将军撤退</t>
        </is>
      </c>
      <c r="O875" s="14" t="inlineStr">
        <is>
          <t>是</t>
        </is>
      </c>
    </row>
    <row r="876">
      <c r="A876" s="2" t="inlineStr">
        <is>
          <t>2024-10-21</t>
        </is>
      </c>
      <c r="B876" s="2" t="inlineStr">
        <is>
          <t>2024-10-22</t>
        </is>
      </c>
      <c r="C876" s="2" t="inlineStr">
        <is>
          <t>棕榈油</t>
        </is>
      </c>
      <c r="D876" s="2" t="inlineStr">
        <is>
          <t>P</t>
        </is>
      </c>
      <c r="E876" s="19" t="inlineStr">
        <is>
          <t>多</t>
        </is>
      </c>
      <c r="F876" s="2" t="inlineStr">
        <is>
          <t>★★★</t>
        </is>
      </c>
      <c r="G876" s="10" t="n">
        <v>1</v>
      </c>
      <c r="H876" s="11" t="n">
        <v>8896</v>
      </c>
      <c r="I876" s="11" t="n">
        <v>8996</v>
      </c>
      <c r="J876" s="10" t="n">
        <v>10</v>
      </c>
      <c r="K876" s="10" t="n">
        <v>10000</v>
      </c>
      <c r="L876" s="23">
        <f>IF(E876="多",1,-1)*(I876-H876)*G876*J876</f>
        <v/>
      </c>
      <c r="M876" s="24">
        <f>L876/K876</f>
        <v/>
      </c>
      <c r="N876" s="2" t="inlineStr">
        <is>
          <t>大将军转向</t>
        </is>
      </c>
      <c r="O876" s="2" t="inlineStr">
        <is>
          <t>否</t>
        </is>
      </c>
    </row>
    <row r="877">
      <c r="A877" s="14" t="inlineStr">
        <is>
          <t>2024-10-21</t>
        </is>
      </c>
      <c r="B877" s="14" t="inlineStr">
        <is>
          <t>2024-10-22</t>
        </is>
      </c>
      <c r="C877" s="14" t="inlineStr">
        <is>
          <t>甲醇</t>
        </is>
      </c>
      <c r="D877" s="14" t="inlineStr">
        <is>
          <t>MA</t>
        </is>
      </c>
      <c r="E877" s="14" t="inlineStr">
        <is>
          <t>空</t>
        </is>
      </c>
      <c r="F877" s="14" t="inlineStr">
        <is>
          <t>★★</t>
        </is>
      </c>
      <c r="G877" s="14" t="n">
        <v>6</v>
      </c>
      <c r="H877" s="15" t="n">
        <v>2392</v>
      </c>
      <c r="I877" s="15" t="n">
        <v>2425</v>
      </c>
      <c r="J877" s="14" t="n">
        <v>10</v>
      </c>
      <c r="K877" s="14" t="n">
        <v>10000</v>
      </c>
      <c r="L877" s="25">
        <f>IF(E877="多",1,-1)*(I877-H877)*G877*J877</f>
        <v/>
      </c>
      <c r="M877" s="26">
        <f>L877/K877</f>
        <v/>
      </c>
      <c r="N877" s="14" t="inlineStr">
        <is>
          <t>将军撤退</t>
        </is>
      </c>
      <c r="O877" s="14" t="inlineStr">
        <is>
          <t>是</t>
        </is>
      </c>
    </row>
    <row r="878">
      <c r="A878" s="2" t="inlineStr">
        <is>
          <t>2024-10-18</t>
        </is>
      </c>
      <c r="B878" s="2" t="inlineStr">
        <is>
          <t>2024-10-21</t>
        </is>
      </c>
      <c r="C878" s="2" t="inlineStr">
        <is>
          <t>沪银</t>
        </is>
      </c>
      <c r="D878" s="2" t="inlineStr">
        <is>
          <t>AG</t>
        </is>
      </c>
      <c r="E878" s="19" t="inlineStr">
        <is>
          <t>多</t>
        </is>
      </c>
      <c r="F878" s="2" t="inlineStr">
        <is>
          <t>★★★</t>
        </is>
      </c>
      <c r="G878" s="10" t="n">
        <v>3</v>
      </c>
      <c r="H878" s="11" t="n">
        <v>7971</v>
      </c>
      <c r="I878" s="11" t="n">
        <v>8343</v>
      </c>
      <c r="J878" s="10" t="n">
        <v>15</v>
      </c>
      <c r="K878" s="10" t="n">
        <v>30000</v>
      </c>
      <c r="L878" s="23">
        <f>IF(E878="多",1,-1)*(I878-H878)*G878*J878</f>
        <v/>
      </c>
      <c r="M878" s="24">
        <f>L878/K878</f>
        <v/>
      </c>
      <c r="N878" s="2" t="inlineStr">
        <is>
          <t>将军撤退+大将军转向</t>
        </is>
      </c>
      <c r="O878" s="2" t="inlineStr">
        <is>
          <t>否</t>
        </is>
      </c>
    </row>
    <row r="879">
      <c r="A879" s="14" t="inlineStr">
        <is>
          <t>2024-10-17</t>
        </is>
      </c>
      <c r="B879" s="14" t="inlineStr">
        <is>
          <t>2024-10-18</t>
        </is>
      </c>
      <c r="C879" s="14" t="inlineStr">
        <is>
          <t>聚丙烯</t>
        </is>
      </c>
      <c r="D879" s="14" t="inlineStr">
        <is>
          <t>PP</t>
        </is>
      </c>
      <c r="E879" s="14" t="inlineStr">
        <is>
          <t>空</t>
        </is>
      </c>
      <c r="F879" s="14" t="inlineStr">
        <is>
          <t>★★</t>
        </is>
      </c>
      <c r="G879" s="14" t="n">
        <v>6</v>
      </c>
      <c r="H879" s="15" t="n">
        <v>7458</v>
      </c>
      <c r="I879" s="15" t="n">
        <v>7515</v>
      </c>
      <c r="J879" s="14" t="n">
        <v>5</v>
      </c>
      <c r="K879" s="14" t="n">
        <v>10000</v>
      </c>
      <c r="L879" s="25">
        <f>IF(E879="多",1,-1)*(I879-H879)*G879*J879</f>
        <v/>
      </c>
      <c r="M879" s="26">
        <f>L879/K879</f>
        <v/>
      </c>
      <c r="N879" s="14" t="inlineStr">
        <is>
          <t>将军撤退</t>
        </is>
      </c>
      <c r="O879" s="14" t="inlineStr">
        <is>
          <t>是</t>
        </is>
      </c>
    </row>
    <row r="880">
      <c r="A880" s="2" t="inlineStr">
        <is>
          <t>2024-10-14</t>
        </is>
      </c>
      <c r="B880" s="2" t="inlineStr">
        <is>
          <t>2024-10-18</t>
        </is>
      </c>
      <c r="C880" s="2" t="inlineStr">
        <is>
          <t>白糖</t>
        </is>
      </c>
      <c r="D880" s="2" t="inlineStr">
        <is>
          <t>SR</t>
        </is>
      </c>
      <c r="E880" s="19" t="inlineStr">
        <is>
          <t>多</t>
        </is>
      </c>
      <c r="F880" s="2" t="inlineStr">
        <is>
          <t>★★★</t>
        </is>
      </c>
      <c r="G880" s="10" t="n">
        <v>4</v>
      </c>
      <c r="H880" s="11" t="n">
        <v>5930</v>
      </c>
      <c r="I880" s="11" t="n">
        <v>5866</v>
      </c>
      <c r="J880" s="10" t="n">
        <v>10</v>
      </c>
      <c r="K880" s="10" t="n">
        <v>10000</v>
      </c>
      <c r="L880" s="23">
        <f>IF(E880="多",1,-1)*(I880-H880)*G880*J880</f>
        <v/>
      </c>
      <c r="M880" s="24">
        <f>L880/K880</f>
        <v/>
      </c>
      <c r="N880" s="2" t="inlineStr">
        <is>
          <t>将军撤退+大将军转向</t>
        </is>
      </c>
      <c r="O880" s="2" t="inlineStr">
        <is>
          <t>否</t>
        </is>
      </c>
    </row>
    <row r="881">
      <c r="A881" s="14" t="inlineStr">
        <is>
          <t>2024-10-16</t>
        </is>
      </c>
      <c r="B881" s="14" t="inlineStr">
        <is>
          <t>2024-10-17</t>
        </is>
      </c>
      <c r="C881" s="14" t="inlineStr">
        <is>
          <t>锰硅</t>
        </is>
      </c>
      <c r="D881" s="14" t="inlineStr">
        <is>
          <t>SM</t>
        </is>
      </c>
      <c r="E881" s="14" t="inlineStr">
        <is>
          <t>空</t>
        </is>
      </c>
      <c r="F881" s="14" t="inlineStr">
        <is>
          <t>★★</t>
        </is>
      </c>
      <c r="G881" s="14" t="n">
        <v>3</v>
      </c>
      <c r="H881" s="15" t="n">
        <v>6314</v>
      </c>
      <c r="I881" s="15" t="n">
        <v>6122</v>
      </c>
      <c r="J881" s="14" t="n">
        <v>5</v>
      </c>
      <c r="K881" s="14" t="n">
        <v>10000</v>
      </c>
      <c r="L881" s="25">
        <f>IF(E881="多",1,-1)*(I881-H881)*G881*J881</f>
        <v/>
      </c>
      <c r="M881" s="26">
        <f>L881/K881</f>
        <v/>
      </c>
      <c r="N881" s="14" t="inlineStr">
        <is>
          <t>将军撤退+大将军转向</t>
        </is>
      </c>
      <c r="O881" s="14" t="inlineStr">
        <is>
          <t>是</t>
        </is>
      </c>
    </row>
    <row r="882">
      <c r="A882" s="2" t="inlineStr">
        <is>
          <t>2024-10-14</t>
        </is>
      </c>
      <c r="B882" s="2" t="inlineStr">
        <is>
          <t>2024-10-17</t>
        </is>
      </c>
      <c r="C882" s="2" t="inlineStr">
        <is>
          <t>沪金</t>
        </is>
      </c>
      <c r="D882" s="2" t="inlineStr">
        <is>
          <t>AU</t>
        </is>
      </c>
      <c r="E882" s="19" t="inlineStr">
        <is>
          <t>多</t>
        </is>
      </c>
      <c r="F882" s="2" t="inlineStr">
        <is>
          <t>★★★</t>
        </is>
      </c>
      <c r="G882" s="10" t="n">
        <v>1</v>
      </c>
      <c r="H882" s="11" t="n">
        <v>601</v>
      </c>
      <c r="I882" s="11" t="n">
        <v>614.26</v>
      </c>
      <c r="J882" s="10" t="n">
        <v>1000</v>
      </c>
      <c r="K882" s="10" t="n">
        <v>30000</v>
      </c>
      <c r="L882" s="23">
        <f>IF(E882="多",1,-1)*(I882-H882)*G882*J882</f>
        <v/>
      </c>
      <c r="M882" s="24">
        <f>L882/K882</f>
        <v/>
      </c>
      <c r="N882" s="2" t="inlineStr">
        <is>
          <t>将军撤退+大将军转向</t>
        </is>
      </c>
      <c r="O882" s="2" t="inlineStr">
        <is>
          <t>否</t>
        </is>
      </c>
    </row>
    <row r="883">
      <c r="A883" s="2" t="inlineStr">
        <is>
          <t>2024-10-14</t>
        </is>
      </c>
      <c r="B883" s="2" t="inlineStr">
        <is>
          <t>2024-10-17</t>
        </is>
      </c>
      <c r="C883" s="2" t="inlineStr">
        <is>
          <t>沪银</t>
        </is>
      </c>
      <c r="D883" s="2" t="inlineStr">
        <is>
          <t>AG</t>
        </is>
      </c>
      <c r="E883" s="19" t="inlineStr">
        <is>
          <t>多</t>
        </is>
      </c>
      <c r="F883" s="2" t="inlineStr">
        <is>
          <t>★★★</t>
        </is>
      </c>
      <c r="G883" s="10" t="n">
        <v>3</v>
      </c>
      <c r="H883" s="11" t="n">
        <v>7724</v>
      </c>
      <c r="I883" s="11" t="n">
        <v>7814</v>
      </c>
      <c r="J883" s="10" t="n">
        <v>15</v>
      </c>
      <c r="K883" s="10" t="n">
        <v>30000</v>
      </c>
      <c r="L883" s="23">
        <f>IF(E883="多",1,-1)*(I883-H883)*G883*J883</f>
        <v/>
      </c>
      <c r="M883" s="24">
        <f>L883/K883</f>
        <v/>
      </c>
      <c r="N883" s="2" t="inlineStr">
        <is>
          <t>将军撤退</t>
        </is>
      </c>
      <c r="O883" s="2" t="inlineStr">
        <is>
          <t>否</t>
        </is>
      </c>
    </row>
    <row r="884">
      <c r="A884" s="2" t="inlineStr">
        <is>
          <t>2024-10-11</t>
        </is>
      </c>
      <c r="B884" s="2" t="inlineStr">
        <is>
          <t>2024-10-15</t>
        </is>
      </c>
      <c r="C884" s="2" t="inlineStr">
        <is>
          <t>沪锌</t>
        </is>
      </c>
      <c r="D884" s="2" t="inlineStr">
        <is>
          <t>ZN</t>
        </is>
      </c>
      <c r="E884" s="19" t="inlineStr">
        <is>
          <t>多</t>
        </is>
      </c>
      <c r="F884" s="2" t="inlineStr">
        <is>
          <t>★★★</t>
        </is>
      </c>
      <c r="G884" s="10" t="n">
        <v>3</v>
      </c>
      <c r="H884" s="11" t="n">
        <v>25450</v>
      </c>
      <c r="I884" s="11" t="n">
        <v>24955</v>
      </c>
      <c r="J884" s="10" t="n">
        <v>5</v>
      </c>
      <c r="K884" s="10" t="n">
        <v>30000</v>
      </c>
      <c r="L884" s="23">
        <f>IF(E884="多",1,-1)*(I884-H884)*G884*J884</f>
        <v/>
      </c>
      <c r="M884" s="24">
        <f>L884/K884</f>
        <v/>
      </c>
      <c r="N884" s="2" t="inlineStr">
        <is>
          <t>将军撤退</t>
        </is>
      </c>
      <c r="O884" s="2" t="inlineStr">
        <is>
          <t>否</t>
        </is>
      </c>
    </row>
    <row r="885">
      <c r="A885" s="2" t="inlineStr">
        <is>
          <t>2024-10-11</t>
        </is>
      </c>
      <c r="B885" s="2" t="inlineStr">
        <is>
          <t>2024-10-14</t>
        </is>
      </c>
      <c r="C885" s="2" t="inlineStr">
        <is>
          <t>豆油</t>
        </is>
      </c>
      <c r="D885" s="2" t="inlineStr">
        <is>
          <t>Y</t>
        </is>
      </c>
      <c r="E885" s="19" t="inlineStr">
        <is>
          <t>多</t>
        </is>
      </c>
      <c r="F885" s="2" t="inlineStr">
        <is>
          <t>★★★</t>
        </is>
      </c>
      <c r="G885" s="10" t="n">
        <v>6</v>
      </c>
      <c r="H885" s="11" t="n">
        <v>8278</v>
      </c>
      <c r="I885" s="11" t="n">
        <v>8222</v>
      </c>
      <c r="J885" s="10" t="n">
        <v>10</v>
      </c>
      <c r="K885" s="10" t="n">
        <v>30000</v>
      </c>
      <c r="L885" s="23">
        <f>IF(E885="多",1,-1)*(I885-H885)*G885*J885</f>
        <v/>
      </c>
      <c r="M885" s="24">
        <f>L885/K885</f>
        <v/>
      </c>
      <c r="N885" s="2" t="inlineStr">
        <is>
          <t>将军撤退</t>
        </is>
      </c>
      <c r="O885" s="2" t="inlineStr">
        <is>
          <t>否</t>
        </is>
      </c>
    </row>
    <row r="886">
      <c r="A886" s="2" t="inlineStr">
        <is>
          <t>2024-10-11</t>
        </is>
      </c>
      <c r="B886" s="2" t="inlineStr">
        <is>
          <t>2024-10-14</t>
        </is>
      </c>
      <c r="C886" s="2" t="inlineStr">
        <is>
          <t>塑料</t>
        </is>
      </c>
      <c r="D886" s="2" t="inlineStr">
        <is>
          <t>L</t>
        </is>
      </c>
      <c r="E886" s="19" t="inlineStr">
        <is>
          <t>多</t>
        </is>
      </c>
      <c r="F886" s="2" t="inlineStr">
        <is>
          <t>★★★</t>
        </is>
      </c>
      <c r="G886" s="10" t="n">
        <v>6</v>
      </c>
      <c r="H886" s="11" t="n">
        <v>8305</v>
      </c>
      <c r="I886" s="11" t="n">
        <v>8298</v>
      </c>
      <c r="J886" s="10" t="n">
        <v>5</v>
      </c>
      <c r="K886" s="10" t="n">
        <v>10000</v>
      </c>
      <c r="L886" s="23">
        <f>IF(E886="多",1,-1)*(I886-H886)*G886*J886</f>
        <v/>
      </c>
      <c r="M886" s="24">
        <f>L886/K886</f>
        <v/>
      </c>
      <c r="N886" s="2" t="inlineStr">
        <is>
          <t>将军撤退+大将军转向</t>
        </is>
      </c>
      <c r="O886" s="2" t="inlineStr">
        <is>
          <t>否</t>
        </is>
      </c>
    </row>
    <row r="887">
      <c r="A887" s="2" t="inlineStr">
        <is>
          <t>2024-10-09</t>
        </is>
      </c>
      <c r="B887" s="2" t="inlineStr">
        <is>
          <t>2024-10-14</t>
        </is>
      </c>
      <c r="C887" s="2" t="inlineStr">
        <is>
          <t>沪镍</t>
        </is>
      </c>
      <c r="D887" s="2" t="inlineStr">
        <is>
          <t>NI</t>
        </is>
      </c>
      <c r="E887" s="19" t="inlineStr">
        <is>
          <t>多</t>
        </is>
      </c>
      <c r="F887" s="2" t="inlineStr">
        <is>
          <t>★★★</t>
        </is>
      </c>
      <c r="G887" s="10" t="n">
        <v>3</v>
      </c>
      <c r="H887" s="11" t="n">
        <v>133590</v>
      </c>
      <c r="I887" s="11" t="n">
        <v>134610</v>
      </c>
      <c r="J887" s="10" t="n">
        <v>1</v>
      </c>
      <c r="K887" s="10" t="n">
        <v>30000</v>
      </c>
      <c r="L887" s="23">
        <f>IF(E887="多",1,-1)*(I887-H887)*G887*J887</f>
        <v/>
      </c>
      <c r="M887" s="24">
        <f>L887/K887</f>
        <v/>
      </c>
      <c r="N887" s="2" t="inlineStr">
        <is>
          <t>将军撤退</t>
        </is>
      </c>
      <c r="O887" s="2" t="inlineStr">
        <is>
          <t>否</t>
        </is>
      </c>
    </row>
    <row r="888">
      <c r="A888" s="2" t="inlineStr">
        <is>
          <t>2024-10-08</t>
        </is>
      </c>
      <c r="B888" s="2" t="inlineStr">
        <is>
          <t>2024-10-10</t>
        </is>
      </c>
      <c r="C888" s="2" t="inlineStr">
        <is>
          <t>白糖</t>
        </is>
      </c>
      <c r="D888" s="2" t="inlineStr">
        <is>
          <t>SR</t>
        </is>
      </c>
      <c r="E888" s="19" t="inlineStr">
        <is>
          <t>多</t>
        </is>
      </c>
      <c r="F888" s="2" t="inlineStr">
        <is>
          <t>★★★</t>
        </is>
      </c>
      <c r="G888" s="10" t="n">
        <v>15</v>
      </c>
      <c r="H888" s="11" t="n">
        <v>5935</v>
      </c>
      <c r="I888" s="11" t="n">
        <v>5859</v>
      </c>
      <c r="J888" s="10" t="n">
        <v>10</v>
      </c>
      <c r="K888" s="10" t="n">
        <v>30000</v>
      </c>
      <c r="L888" s="23">
        <f>IF(E888="多",1,-1)*(I888-H888)*G888*J888</f>
        <v/>
      </c>
      <c r="M888" s="24">
        <f>L888/K888</f>
        <v/>
      </c>
      <c r="N888" s="2" t="inlineStr">
        <is>
          <t>将军撤退</t>
        </is>
      </c>
      <c r="O888" s="2" t="inlineStr">
        <is>
          <t>否</t>
        </is>
      </c>
    </row>
    <row r="889">
      <c r="A889" s="2" t="inlineStr">
        <is>
          <t>2024-10-08</t>
        </is>
      </c>
      <c r="B889" s="2" t="inlineStr">
        <is>
          <t>2024-10-10</t>
        </is>
      </c>
      <c r="C889" s="2" t="inlineStr">
        <is>
          <t>沪铝</t>
        </is>
      </c>
      <c r="D889" s="2" t="inlineStr">
        <is>
          <t>AL</t>
        </is>
      </c>
      <c r="E889" s="19" t="inlineStr">
        <is>
          <t>多</t>
        </is>
      </c>
      <c r="F889" s="2" t="inlineStr">
        <is>
          <t>★★★</t>
        </is>
      </c>
      <c r="G889" s="10" t="n">
        <v>7</v>
      </c>
      <c r="H889" s="11" t="n">
        <v>20600</v>
      </c>
      <c r="I889" s="11" t="n">
        <v>20585</v>
      </c>
      <c r="J889" s="10" t="n">
        <v>5</v>
      </c>
      <c r="K889" s="10" t="n">
        <v>30000</v>
      </c>
      <c r="L889" s="23">
        <f>IF(E889="多",1,-1)*(I889-H889)*G889*J889</f>
        <v/>
      </c>
      <c r="M889" s="24">
        <f>L889/K889</f>
        <v/>
      </c>
      <c r="N889" s="2" t="inlineStr">
        <is>
          <t>大将军转向</t>
        </is>
      </c>
      <c r="O889" s="2" t="inlineStr">
        <is>
          <t>否</t>
        </is>
      </c>
    </row>
    <row r="890">
      <c r="A890" s="2" t="inlineStr">
        <is>
          <t>2024-09-26</t>
        </is>
      </c>
      <c r="B890" s="2" t="inlineStr">
        <is>
          <t>2024-10-09</t>
        </is>
      </c>
      <c r="C890" s="2" t="inlineStr">
        <is>
          <t>豆油</t>
        </is>
      </c>
      <c r="D890" s="2" t="inlineStr">
        <is>
          <t>Y</t>
        </is>
      </c>
      <c r="E890" s="19" t="inlineStr">
        <is>
          <t>多</t>
        </is>
      </c>
      <c r="F890" s="2" t="inlineStr">
        <is>
          <t>★★★</t>
        </is>
      </c>
      <c r="G890" s="10" t="n">
        <v>7</v>
      </c>
      <c r="H890" s="11" t="n">
        <v>8212</v>
      </c>
      <c r="I890" s="11" t="n">
        <v>8168</v>
      </c>
      <c r="J890" s="10" t="n">
        <v>10</v>
      </c>
      <c r="K890" s="10" t="n">
        <v>30000</v>
      </c>
      <c r="L890" s="23">
        <f>IF(E890="多",1,-1)*(I890-H890)*G890*J890</f>
        <v/>
      </c>
      <c r="M890" s="24">
        <f>L890/K890</f>
        <v/>
      </c>
      <c r="N890" s="2" t="inlineStr">
        <is>
          <t>大将军转向</t>
        </is>
      </c>
      <c r="O890" s="2" t="inlineStr">
        <is>
          <t>否</t>
        </is>
      </c>
    </row>
    <row r="891">
      <c r="A891" s="2" t="inlineStr">
        <is>
          <t>2024-09-30</t>
        </is>
      </c>
      <c r="B891" s="2" t="inlineStr">
        <is>
          <t>2024-10-08</t>
        </is>
      </c>
      <c r="C891" s="2" t="inlineStr">
        <is>
          <t>沪锌</t>
        </is>
      </c>
      <c r="D891" s="2" t="inlineStr">
        <is>
          <t>ZN</t>
        </is>
      </c>
      <c r="E891" s="19" t="inlineStr">
        <is>
          <t>多</t>
        </is>
      </c>
      <c r="F891" s="2" t="inlineStr">
        <is>
          <t>★★★</t>
        </is>
      </c>
      <c r="G891" s="10" t="n">
        <v>4</v>
      </c>
      <c r="H891" s="11" t="n">
        <v>25640</v>
      </c>
      <c r="I891" s="11" t="n">
        <v>25285</v>
      </c>
      <c r="J891" s="10" t="n">
        <v>5</v>
      </c>
      <c r="K891" s="10" t="n">
        <v>30000</v>
      </c>
      <c r="L891" s="23">
        <f>IF(E891="多",1,-1)*(I891-H891)*G891*J891</f>
        <v/>
      </c>
      <c r="M891" s="24">
        <f>L891/K891</f>
        <v/>
      </c>
      <c r="N891" s="2" t="inlineStr">
        <is>
          <t>将军撤退+大将军转向</t>
        </is>
      </c>
      <c r="O891" s="2" t="inlineStr">
        <is>
          <t>否</t>
        </is>
      </c>
    </row>
    <row r="892">
      <c r="A892" s="14" t="inlineStr">
        <is>
          <t>2024-09-30</t>
        </is>
      </c>
      <c r="B892" s="14" t="inlineStr">
        <is>
          <t>2024-10-08</t>
        </is>
      </c>
      <c r="C892" s="14" t="inlineStr">
        <is>
          <t>沪银</t>
        </is>
      </c>
      <c r="D892" s="14" t="inlineStr">
        <is>
          <t>AG</t>
        </is>
      </c>
      <c r="E892" s="14" t="inlineStr">
        <is>
          <t>多</t>
        </is>
      </c>
      <c r="F892" s="14" t="inlineStr">
        <is>
          <t>★★</t>
        </is>
      </c>
      <c r="G892" s="14" t="n">
        <v>1</v>
      </c>
      <c r="H892" s="15" t="n">
        <v>7826</v>
      </c>
      <c r="I892" s="15" t="n">
        <v>7672</v>
      </c>
      <c r="J892" s="14" t="n">
        <v>15</v>
      </c>
      <c r="K892" s="14" t="n">
        <v>10000</v>
      </c>
      <c r="L892" s="25">
        <f>IF(E892="多",1,-1)*(I892-H892)*G892*J892</f>
        <v/>
      </c>
      <c r="M892" s="26">
        <f>L892/K892</f>
        <v/>
      </c>
      <c r="N892" s="14" t="inlineStr">
        <is>
          <t>将军撤退</t>
        </is>
      </c>
      <c r="O892" s="14" t="inlineStr">
        <is>
          <t>是</t>
        </is>
      </c>
    </row>
    <row r="893">
      <c r="A893" s="2" t="inlineStr">
        <is>
          <t>2024-09-27</t>
        </is>
      </c>
      <c r="B893" s="2" t="inlineStr">
        <is>
          <t>2024-10-08</t>
        </is>
      </c>
      <c r="C893" s="2" t="inlineStr">
        <is>
          <t>棉花</t>
        </is>
      </c>
      <c r="D893" s="2" t="inlineStr">
        <is>
          <t>CF</t>
        </is>
      </c>
      <c r="E893" s="19" t="inlineStr">
        <is>
          <t>多</t>
        </is>
      </c>
      <c r="F893" s="2" t="inlineStr">
        <is>
          <t>★★★</t>
        </is>
      </c>
      <c r="G893" s="10" t="n">
        <v>8</v>
      </c>
      <c r="H893" s="11" t="n">
        <v>14455</v>
      </c>
      <c r="I893" s="11" t="n">
        <v>14300</v>
      </c>
      <c r="J893" s="10" t="n">
        <v>5</v>
      </c>
      <c r="K893" s="10" t="n">
        <v>30000</v>
      </c>
      <c r="L893" s="23">
        <f>IF(E893="多",1,-1)*(I893-H893)*G893*J893</f>
        <v/>
      </c>
      <c r="M893" s="24">
        <f>L893/K893</f>
        <v/>
      </c>
      <c r="N893" s="2" t="inlineStr">
        <is>
          <t>大将军转向</t>
        </is>
      </c>
      <c r="O893" s="2" t="inlineStr">
        <is>
          <t>否</t>
        </is>
      </c>
    </row>
    <row r="894">
      <c r="A894" s="14" t="inlineStr">
        <is>
          <t>2024-09-23</t>
        </is>
      </c>
      <c r="B894" s="14" t="inlineStr">
        <is>
          <t>2024-10-08</t>
        </is>
      </c>
      <c r="C894" s="14" t="inlineStr">
        <is>
          <t>碳酸锂</t>
        </is>
      </c>
      <c r="D894" s="14" t="inlineStr">
        <is>
          <t>LC</t>
        </is>
      </c>
      <c r="E894" s="14" t="inlineStr">
        <is>
          <t>空</t>
        </is>
      </c>
      <c r="F894" s="14" t="inlineStr">
        <is>
          <t>★★</t>
        </is>
      </c>
      <c r="G894" s="14" t="n">
        <v>1</v>
      </c>
      <c r="H894" s="15" t="n">
        <v>75150</v>
      </c>
      <c r="I894" s="15" t="n">
        <v>83850</v>
      </c>
      <c r="J894" s="14" t="n">
        <v>1</v>
      </c>
      <c r="K894" s="14" t="n">
        <v>10000</v>
      </c>
      <c r="L894" s="25">
        <f>IF(E894="多",1,-1)*(I894-H894)*G894*J894</f>
        <v/>
      </c>
      <c r="M894" s="26">
        <f>L894/K894</f>
        <v/>
      </c>
      <c r="N894" s="14" t="inlineStr">
        <is>
          <t>止损</t>
        </is>
      </c>
      <c r="O894" s="14" t="inlineStr">
        <is>
          <t>是</t>
        </is>
      </c>
    </row>
    <row r="895">
      <c r="A895" s="14" t="inlineStr">
        <is>
          <t>2024-09-26</t>
        </is>
      </c>
      <c r="B895" s="14" t="inlineStr">
        <is>
          <t>2024-09-30</t>
        </is>
      </c>
      <c r="C895" s="14" t="inlineStr">
        <is>
          <t>菜粕</t>
        </is>
      </c>
      <c r="D895" s="14" t="inlineStr">
        <is>
          <t>RM</t>
        </is>
      </c>
      <c r="E895" s="14" t="inlineStr">
        <is>
          <t>多</t>
        </is>
      </c>
      <c r="F895" s="14" t="inlineStr">
        <is>
          <t>★★</t>
        </is>
      </c>
      <c r="G895" s="14" t="n">
        <v>3</v>
      </c>
      <c r="H895" s="15" t="n">
        <v>2600</v>
      </c>
      <c r="I895" s="15" t="n">
        <v>2618</v>
      </c>
      <c r="J895" s="14" t="n">
        <v>10</v>
      </c>
      <c r="K895" s="14" t="n">
        <v>10000</v>
      </c>
      <c r="L895" s="25">
        <f>IF(E895="多",1,-1)*(I895-H895)*G895*J895</f>
        <v/>
      </c>
      <c r="M895" s="26">
        <f>L895/K895</f>
        <v/>
      </c>
      <c r="N895" s="14" t="inlineStr">
        <is>
          <t>将军撤退</t>
        </is>
      </c>
      <c r="O895" s="14" t="inlineStr">
        <is>
          <t>是</t>
        </is>
      </c>
    </row>
    <row r="896">
      <c r="A896" s="2" t="inlineStr">
        <is>
          <t>2024-09-25</t>
        </is>
      </c>
      <c r="B896" s="2" t="inlineStr">
        <is>
          <t>2024-09-30</t>
        </is>
      </c>
      <c r="C896" s="2" t="inlineStr">
        <is>
          <t>白糖</t>
        </is>
      </c>
      <c r="D896" s="2" t="inlineStr">
        <is>
          <t>SR</t>
        </is>
      </c>
      <c r="E896" s="19" t="inlineStr">
        <is>
          <t>多</t>
        </is>
      </c>
      <c r="F896" s="2" t="inlineStr">
        <is>
          <t>★★★</t>
        </is>
      </c>
      <c r="G896" s="10" t="n">
        <v>14</v>
      </c>
      <c r="H896" s="11" t="n">
        <v>5908</v>
      </c>
      <c r="I896" s="11" t="n">
        <v>5915</v>
      </c>
      <c r="J896" s="10" t="n">
        <v>10</v>
      </c>
      <c r="K896" s="10" t="n">
        <v>30000</v>
      </c>
      <c r="L896" s="23">
        <f>IF(E896="多",1,-1)*(I896-H896)*G896*J896</f>
        <v/>
      </c>
      <c r="M896" s="24">
        <f>L896/K896</f>
        <v/>
      </c>
      <c r="N896" s="2" t="inlineStr">
        <is>
          <t>将军撤退</t>
        </is>
      </c>
      <c r="O896" s="2" t="inlineStr">
        <is>
          <t>否</t>
        </is>
      </c>
    </row>
    <row r="897">
      <c r="A897" s="14" t="inlineStr">
        <is>
          <t>2024-09-25</t>
        </is>
      </c>
      <c r="B897" s="14" t="inlineStr">
        <is>
          <t>2024-09-30</t>
        </is>
      </c>
      <c r="C897" s="14" t="inlineStr">
        <is>
          <t>甲醇</t>
        </is>
      </c>
      <c r="D897" s="14" t="inlineStr">
        <is>
          <t>MA</t>
        </is>
      </c>
      <c r="E897" s="14" t="inlineStr">
        <is>
          <t>多</t>
        </is>
      </c>
      <c r="F897" s="14" t="inlineStr">
        <is>
          <t>★★</t>
        </is>
      </c>
      <c r="G897" s="14" t="n">
        <v>6</v>
      </c>
      <c r="H897" s="15" t="n">
        <v>2400</v>
      </c>
      <c r="I897" s="15" t="n">
        <v>2525</v>
      </c>
      <c r="J897" s="14" t="n">
        <v>10</v>
      </c>
      <c r="K897" s="14" t="n">
        <v>10000</v>
      </c>
      <c r="L897" s="25">
        <f>IF(E897="多",1,-1)*(I897-H897)*G897*J897</f>
        <v/>
      </c>
      <c r="M897" s="26">
        <f>L897/K897</f>
        <v/>
      </c>
      <c r="N897" s="14" t="inlineStr">
        <is>
          <t>将军撤退</t>
        </is>
      </c>
      <c r="O897" s="14" t="inlineStr">
        <is>
          <t>是</t>
        </is>
      </c>
    </row>
    <row r="898">
      <c r="A898" s="14" t="inlineStr">
        <is>
          <t>2024-09-25</t>
        </is>
      </c>
      <c r="B898" s="14" t="inlineStr">
        <is>
          <t>2024-09-30</t>
        </is>
      </c>
      <c r="C898" s="14" t="inlineStr">
        <is>
          <t>沪铝</t>
        </is>
      </c>
      <c r="D898" s="14" t="inlineStr">
        <is>
          <t>AL</t>
        </is>
      </c>
      <c r="E898" s="14" t="inlineStr">
        <is>
          <t>多</t>
        </is>
      </c>
      <c r="F898" s="14" t="inlineStr">
        <is>
          <t>★★</t>
        </is>
      </c>
      <c r="G898" s="14" t="n">
        <v>2</v>
      </c>
      <c r="H898" s="15" t="n">
        <v>20010</v>
      </c>
      <c r="I898" s="15" t="n">
        <v>20460</v>
      </c>
      <c r="J898" s="14" t="n">
        <v>5</v>
      </c>
      <c r="K898" s="14" t="n">
        <v>10000</v>
      </c>
      <c r="L898" s="25">
        <f>IF(E898="多",1,-1)*(I898-H898)*G898*J898</f>
        <v/>
      </c>
      <c r="M898" s="26">
        <f>L898/K898</f>
        <v/>
      </c>
      <c r="N898" s="14" t="inlineStr">
        <is>
          <t>大将军转向</t>
        </is>
      </c>
      <c r="O898" s="14" t="inlineStr">
        <is>
          <t>是</t>
        </is>
      </c>
    </row>
    <row r="899">
      <c r="A899" s="14" t="inlineStr">
        <is>
          <t>2024-09-23</t>
        </is>
      </c>
      <c r="B899" s="14" t="inlineStr">
        <is>
          <t>2024-09-30</t>
        </is>
      </c>
      <c r="C899" s="14" t="inlineStr">
        <is>
          <t>塑料</t>
        </is>
      </c>
      <c r="D899" s="14" t="inlineStr">
        <is>
          <t>L</t>
        </is>
      </c>
      <c r="E899" s="14" t="inlineStr">
        <is>
          <t>空</t>
        </is>
      </c>
      <c r="F899" s="14" t="inlineStr">
        <is>
          <t>★★</t>
        </is>
      </c>
      <c r="G899" s="14" t="n">
        <v>7</v>
      </c>
      <c r="H899" s="15" t="n">
        <v>7844</v>
      </c>
      <c r="I899" s="15" t="n">
        <v>8115.79</v>
      </c>
      <c r="J899" s="14" t="n">
        <v>5</v>
      </c>
      <c r="K899" s="14" t="n">
        <v>10000</v>
      </c>
      <c r="L899" s="25">
        <f>IF(E899="多",1,-1)*(I899-H899)*G899*J899</f>
        <v/>
      </c>
      <c r="M899" s="26">
        <f>L899/K899</f>
        <v/>
      </c>
      <c r="N899" s="14" t="inlineStr">
        <is>
          <t>止损</t>
        </is>
      </c>
      <c r="O899" s="14" t="inlineStr">
        <is>
          <t>是</t>
        </is>
      </c>
    </row>
    <row r="900">
      <c r="A900" s="2" t="inlineStr">
        <is>
          <t>2024-09-24</t>
        </is>
      </c>
      <c r="B900" s="2" t="inlineStr">
        <is>
          <t>2024-09-25</t>
        </is>
      </c>
      <c r="C900" s="2" t="inlineStr">
        <is>
          <t>菜粕</t>
        </is>
      </c>
      <c r="D900" s="2" t="inlineStr">
        <is>
          <t>RM</t>
        </is>
      </c>
      <c r="E900" s="19" t="inlineStr">
        <is>
          <t>多</t>
        </is>
      </c>
      <c r="F900" s="2" t="inlineStr">
        <is>
          <t>★★★</t>
        </is>
      </c>
      <c r="G900" s="10" t="n">
        <v>11</v>
      </c>
      <c r="H900" s="11" t="n">
        <v>2580</v>
      </c>
      <c r="I900" s="11" t="n">
        <v>2514</v>
      </c>
      <c r="J900" s="10" t="n">
        <v>10</v>
      </c>
      <c r="K900" s="10" t="n">
        <v>30000</v>
      </c>
      <c r="L900" s="23">
        <f>IF(E900="多",1,-1)*(I900-H900)*G900*J900</f>
        <v/>
      </c>
      <c r="M900" s="24">
        <f>L900/K900</f>
        <v/>
      </c>
      <c r="N900" s="2" t="inlineStr">
        <is>
          <t>大将军转向</t>
        </is>
      </c>
      <c r="O900" s="2" t="inlineStr">
        <is>
          <t>否</t>
        </is>
      </c>
    </row>
    <row r="901">
      <c r="A901" s="2" t="inlineStr">
        <is>
          <t>2024-09-23</t>
        </is>
      </c>
      <c r="B901" s="2" t="inlineStr">
        <is>
          <t>2024-09-25</t>
        </is>
      </c>
      <c r="C901" s="2" t="inlineStr">
        <is>
          <t>热卷</t>
        </is>
      </c>
      <c r="D901" s="2" t="inlineStr">
        <is>
          <t>HC</t>
        </is>
      </c>
      <c r="E901" s="9" t="inlineStr">
        <is>
          <t>空</t>
        </is>
      </c>
      <c r="F901" s="2" t="inlineStr">
        <is>
          <t>★★★</t>
        </is>
      </c>
      <c r="G901" s="10" t="n">
        <v>11</v>
      </c>
      <c r="H901" s="11" t="n">
        <v>3160</v>
      </c>
      <c r="I901" s="11" t="n">
        <v>3310</v>
      </c>
      <c r="J901" s="10" t="n">
        <v>10</v>
      </c>
      <c r="K901" s="10" t="n">
        <v>30000</v>
      </c>
      <c r="L901" s="23">
        <f>IF(E901="多",1,-1)*(I901-H901)*G901*J901</f>
        <v/>
      </c>
      <c r="M901" s="24">
        <f>L901/K901</f>
        <v/>
      </c>
      <c r="N901" s="2" t="inlineStr">
        <is>
          <t>将军撤退+大将军转向</t>
        </is>
      </c>
      <c r="O901" s="2" t="inlineStr">
        <is>
          <t>否</t>
        </is>
      </c>
    </row>
    <row r="902">
      <c r="A902" s="2" t="inlineStr">
        <is>
          <t>2024-09-20</t>
        </is>
      </c>
      <c r="B902" s="2" t="inlineStr">
        <is>
          <t>2024-09-25</t>
        </is>
      </c>
      <c r="C902" s="2" t="inlineStr">
        <is>
          <t>沪金</t>
        </is>
      </c>
      <c r="D902" s="2" t="inlineStr">
        <is>
          <t>AU</t>
        </is>
      </c>
      <c r="E902" s="19" t="inlineStr">
        <is>
          <t>多</t>
        </is>
      </c>
      <c r="F902" s="2" t="inlineStr">
        <is>
          <t>★★★</t>
        </is>
      </c>
      <c r="G902" s="10" t="n">
        <v>1</v>
      </c>
      <c r="H902" s="11" t="n">
        <v>592.58</v>
      </c>
      <c r="I902" s="11" t="n">
        <v>598.74</v>
      </c>
      <c r="J902" s="10" t="n">
        <v>1000</v>
      </c>
      <c r="K902" s="10" t="n">
        <v>30000</v>
      </c>
      <c r="L902" s="23">
        <f>IF(E902="多",1,-1)*(I902-H902)*G902*J902</f>
        <v/>
      </c>
      <c r="M902" s="24">
        <f>L902/K902</f>
        <v/>
      </c>
      <c r="N902" s="2" t="inlineStr">
        <is>
          <t>将军撤退</t>
        </is>
      </c>
      <c r="O902" s="2" t="inlineStr">
        <is>
          <t>否</t>
        </is>
      </c>
    </row>
    <row r="903">
      <c r="A903" s="14" t="inlineStr">
        <is>
          <t>2024-09-23</t>
        </is>
      </c>
      <c r="B903" s="14" t="inlineStr">
        <is>
          <t>2024-09-24</t>
        </is>
      </c>
      <c r="C903" s="14" t="inlineStr">
        <is>
          <t>白糖</t>
        </is>
      </c>
      <c r="D903" s="14" t="inlineStr">
        <is>
          <t>SR</t>
        </is>
      </c>
      <c r="E903" s="14" t="inlineStr">
        <is>
          <t>多</t>
        </is>
      </c>
      <c r="F903" s="14" t="inlineStr">
        <is>
          <t>★★</t>
        </is>
      </c>
      <c r="G903" s="14" t="n">
        <v>4</v>
      </c>
      <c r="H903" s="15" t="n">
        <v>5863</v>
      </c>
      <c r="I903" s="15" t="n">
        <v>5871</v>
      </c>
      <c r="J903" s="14" t="n">
        <v>10</v>
      </c>
      <c r="K903" s="14" t="n">
        <v>10000</v>
      </c>
      <c r="L903" s="25">
        <f>IF(E903="多",1,-1)*(I903-H903)*G903*J903</f>
        <v/>
      </c>
      <c r="M903" s="26">
        <f>L903/K903</f>
        <v/>
      </c>
      <c r="N903" s="14" t="inlineStr">
        <is>
          <t>将军撤退</t>
        </is>
      </c>
      <c r="O903" s="14" t="inlineStr">
        <is>
          <t>是</t>
        </is>
      </c>
    </row>
    <row r="904">
      <c r="A904" s="2" t="inlineStr">
        <is>
          <t>2024-09-23</t>
        </is>
      </c>
      <c r="B904" s="2" t="inlineStr">
        <is>
          <t>2024-09-24</t>
        </is>
      </c>
      <c r="C904" s="2" t="inlineStr">
        <is>
          <t>聚丙烯</t>
        </is>
      </c>
      <c r="D904" s="2" t="inlineStr">
        <is>
          <t>PP</t>
        </is>
      </c>
      <c r="E904" s="9" t="inlineStr">
        <is>
          <t>空</t>
        </is>
      </c>
      <c r="F904" s="2" t="inlineStr">
        <is>
          <t>★★★</t>
        </is>
      </c>
      <c r="G904" s="10" t="n">
        <v>24</v>
      </c>
      <c r="H904" s="11" t="n">
        <v>7242</v>
      </c>
      <c r="I904" s="11" t="n">
        <v>7360</v>
      </c>
      <c r="J904" s="10" t="n">
        <v>5</v>
      </c>
      <c r="K904" s="10" t="n">
        <v>30000</v>
      </c>
      <c r="L904" s="23">
        <f>IF(E904="多",1,-1)*(I904-H904)*G904*J904</f>
        <v/>
      </c>
      <c r="M904" s="24">
        <f>L904/K904</f>
        <v/>
      </c>
      <c r="N904" s="2" t="inlineStr">
        <is>
          <t>将军撤退+大将军转向</t>
        </is>
      </c>
      <c r="O904" s="2" t="inlineStr">
        <is>
          <t>否</t>
        </is>
      </c>
    </row>
    <row r="905">
      <c r="A905" s="14" t="inlineStr">
        <is>
          <t>2024-09-20</t>
        </is>
      </c>
      <c r="B905" s="14" t="inlineStr">
        <is>
          <t>2024-09-23</t>
        </is>
      </c>
      <c r="C905" s="14" t="inlineStr">
        <is>
          <t>螺纹钢</t>
        </is>
      </c>
      <c r="D905" s="14" t="inlineStr">
        <is>
          <t>RB</t>
        </is>
      </c>
      <c r="E905" s="14" t="inlineStr">
        <is>
          <t>空</t>
        </is>
      </c>
      <c r="F905" s="14" t="inlineStr">
        <is>
          <t>★★</t>
        </is>
      </c>
      <c r="G905" s="14" t="n">
        <v>3</v>
      </c>
      <c r="H905" s="15" t="n">
        <v>3163</v>
      </c>
      <c r="I905" s="15" t="n">
        <v>3087</v>
      </c>
      <c r="J905" s="14" t="n">
        <v>10</v>
      </c>
      <c r="K905" s="14" t="n">
        <v>10000</v>
      </c>
      <c r="L905" s="25">
        <f>IF(E905="多",1,-1)*(I905-H905)*G905*J905</f>
        <v/>
      </c>
      <c r="M905" s="26">
        <f>L905/K905</f>
        <v/>
      </c>
      <c r="N905" s="14" t="inlineStr">
        <is>
          <t>将军撤退</t>
        </is>
      </c>
      <c r="O905" s="14" t="inlineStr">
        <is>
          <t>是</t>
        </is>
      </c>
    </row>
    <row r="906">
      <c r="A906" s="2" t="inlineStr">
        <is>
          <t>2024-09-20</t>
        </is>
      </c>
      <c r="B906" s="2" t="inlineStr">
        <is>
          <t>2024-09-23</t>
        </is>
      </c>
      <c r="C906" s="2" t="inlineStr">
        <is>
          <t>甲醇</t>
        </is>
      </c>
      <c r="D906" s="2" t="inlineStr">
        <is>
          <t>MA</t>
        </is>
      </c>
      <c r="E906" s="9" t="inlineStr">
        <is>
          <t>空</t>
        </is>
      </c>
      <c r="F906" s="2" t="inlineStr">
        <is>
          <t>★★★</t>
        </is>
      </c>
      <c r="G906" s="10" t="n">
        <v>21</v>
      </c>
      <c r="H906" s="11" t="n">
        <v>2379</v>
      </c>
      <c r="I906" s="11" t="n">
        <v>2339</v>
      </c>
      <c r="J906" s="10" t="n">
        <v>10</v>
      </c>
      <c r="K906" s="10" t="n">
        <v>30000</v>
      </c>
      <c r="L906" s="23">
        <f>IF(E906="多",1,-1)*(I906-H906)*G906*J906</f>
        <v/>
      </c>
      <c r="M906" s="24">
        <f>L906/K906</f>
        <v/>
      </c>
      <c r="N906" s="2" t="inlineStr">
        <is>
          <t>将军撤退</t>
        </is>
      </c>
      <c r="O906" s="2" t="inlineStr">
        <is>
          <t>否</t>
        </is>
      </c>
    </row>
    <row r="907">
      <c r="A907" s="2" t="inlineStr">
        <is>
          <t>2024-09-19</t>
        </is>
      </c>
      <c r="B907" s="2" t="inlineStr">
        <is>
          <t>2024-09-23</t>
        </is>
      </c>
      <c r="C907" s="2" t="inlineStr">
        <is>
          <t>玉米</t>
        </is>
      </c>
      <c r="D907" s="2" t="inlineStr">
        <is>
          <t>C</t>
        </is>
      </c>
      <c r="E907" s="9" t="inlineStr">
        <is>
          <t>空</t>
        </is>
      </c>
      <c r="F907" s="2" t="inlineStr">
        <is>
          <t>★★★</t>
        </is>
      </c>
      <c r="G907" s="10" t="n">
        <v>31</v>
      </c>
      <c r="H907" s="11" t="n">
        <v>2174</v>
      </c>
      <c r="I907" s="11" t="n">
        <v>2138</v>
      </c>
      <c r="J907" s="10" t="n">
        <v>10</v>
      </c>
      <c r="K907" s="10" t="n">
        <v>30000</v>
      </c>
      <c r="L907" s="23">
        <f>IF(E907="多",1,-1)*(I907-H907)*G907*J907</f>
        <v/>
      </c>
      <c r="M907" s="24">
        <f>L907/K907</f>
        <v/>
      </c>
      <c r="N907" s="2" t="inlineStr">
        <is>
          <t>将军撤退</t>
        </is>
      </c>
      <c r="O907" s="2" t="inlineStr">
        <is>
          <t>否</t>
        </is>
      </c>
    </row>
    <row r="908">
      <c r="A908" s="14" t="inlineStr">
        <is>
          <t>2024-09-19</t>
        </is>
      </c>
      <c r="B908" s="14" t="inlineStr">
        <is>
          <t>2024-09-20</t>
        </is>
      </c>
      <c r="C908" s="14" t="inlineStr">
        <is>
          <t>PVC</t>
        </is>
      </c>
      <c r="D908" s="14" t="inlineStr">
        <is>
          <t>V</t>
        </is>
      </c>
      <c r="E908" s="14" t="inlineStr">
        <is>
          <t>空</t>
        </is>
      </c>
      <c r="F908" s="14" t="inlineStr">
        <is>
          <t>★★</t>
        </is>
      </c>
      <c r="G908" s="14" t="n">
        <v>6</v>
      </c>
      <c r="H908" s="15" t="n">
        <v>5290</v>
      </c>
      <c r="I908" s="15" t="n">
        <v>5229</v>
      </c>
      <c r="J908" s="14" t="n">
        <v>5</v>
      </c>
      <c r="K908" s="14" t="n">
        <v>10000</v>
      </c>
      <c r="L908" s="25">
        <f>IF(E908="多",1,-1)*(I908-H908)*G908*J908</f>
        <v/>
      </c>
      <c r="M908" s="26">
        <f>L908/K908</f>
        <v/>
      </c>
      <c r="N908" s="14" t="inlineStr">
        <is>
          <t>大将军转向</t>
        </is>
      </c>
      <c r="O908" s="14" t="inlineStr">
        <is>
          <t>是</t>
        </is>
      </c>
    </row>
    <row r="909">
      <c r="A909" s="2" t="inlineStr">
        <is>
          <t>2024-09-19</t>
        </is>
      </c>
      <c r="B909" s="2" t="inlineStr">
        <is>
          <t>2024-09-20</t>
        </is>
      </c>
      <c r="C909" s="2" t="inlineStr">
        <is>
          <t>沪银</t>
        </is>
      </c>
      <c r="D909" s="2" t="inlineStr">
        <is>
          <t>AG</t>
        </is>
      </c>
      <c r="E909" s="19" t="inlineStr">
        <is>
          <t>多</t>
        </is>
      </c>
      <c r="F909" s="2" t="inlineStr">
        <is>
          <t>★★★</t>
        </is>
      </c>
      <c r="G909" s="10" t="n">
        <v>3</v>
      </c>
      <c r="H909" s="11" t="n">
        <v>7486</v>
      </c>
      <c r="I909" s="11" t="n">
        <v>7548</v>
      </c>
      <c r="J909" s="10" t="n">
        <v>15</v>
      </c>
      <c r="K909" s="10" t="n">
        <v>30000</v>
      </c>
      <c r="L909" s="23">
        <f>IF(E909="多",1,-1)*(I909-H909)*G909*J909</f>
        <v/>
      </c>
      <c r="M909" s="24">
        <f>L909/K909</f>
        <v/>
      </c>
      <c r="N909" s="2" t="inlineStr">
        <is>
          <t>大将军转向</t>
        </is>
      </c>
      <c r="O909" s="2" t="inlineStr">
        <is>
          <t>否</t>
        </is>
      </c>
    </row>
    <row r="910">
      <c r="A910" s="2" t="inlineStr">
        <is>
          <t>2024-09-06</t>
        </is>
      </c>
      <c r="B910" s="2" t="inlineStr">
        <is>
          <t>2024-09-20</t>
        </is>
      </c>
      <c r="C910" s="2" t="inlineStr">
        <is>
          <t>豆油</t>
        </is>
      </c>
      <c r="D910" s="2" t="inlineStr">
        <is>
          <t>Y</t>
        </is>
      </c>
      <c r="E910" s="19" t="inlineStr">
        <is>
          <t>多</t>
        </is>
      </c>
      <c r="F910" s="2" t="inlineStr">
        <is>
          <t>★★★</t>
        </is>
      </c>
      <c r="G910" s="10" t="n">
        <v>8</v>
      </c>
      <c r="H910" s="11" t="n">
        <v>7726</v>
      </c>
      <c r="I910" s="11" t="n">
        <v>7902</v>
      </c>
      <c r="J910" s="10" t="n">
        <v>10</v>
      </c>
      <c r="K910" s="10" t="n">
        <v>30000</v>
      </c>
      <c r="L910" s="23">
        <f>IF(E910="多",1,-1)*(I910-H910)*G910*J910</f>
        <v/>
      </c>
      <c r="M910" s="24">
        <f>L910/K910</f>
        <v/>
      </c>
      <c r="N910" s="2" t="inlineStr">
        <is>
          <t>将军撤退+大将军转向</t>
        </is>
      </c>
      <c r="O910" s="2" t="inlineStr">
        <is>
          <t>否</t>
        </is>
      </c>
    </row>
    <row r="911">
      <c r="A911" s="14" t="inlineStr">
        <is>
          <t>2024-09-06</t>
        </is>
      </c>
      <c r="B911" s="14" t="inlineStr">
        <is>
          <t>2024-09-20</t>
        </is>
      </c>
      <c r="C911" s="14" t="inlineStr">
        <is>
          <t>豆粕</t>
        </is>
      </c>
      <c r="D911" s="14" t="inlineStr">
        <is>
          <t>M</t>
        </is>
      </c>
      <c r="E911" s="14" t="inlineStr">
        <is>
          <t>多</t>
        </is>
      </c>
      <c r="F911" s="14" t="inlineStr">
        <is>
          <t>★★</t>
        </is>
      </c>
      <c r="G911" s="14" t="n">
        <v>6</v>
      </c>
      <c r="H911" s="15" t="n">
        <v>3135</v>
      </c>
      <c r="I911" s="15" t="n">
        <v>3065</v>
      </c>
      <c r="J911" s="14" t="n">
        <v>10</v>
      </c>
      <c r="K911" s="14" t="n">
        <v>10000</v>
      </c>
      <c r="L911" s="25">
        <f>IF(E911="多",1,-1)*(I911-H911)*G911*J911</f>
        <v/>
      </c>
      <c r="M911" s="26">
        <f>L911/K911</f>
        <v/>
      </c>
      <c r="N911" s="14" t="inlineStr">
        <is>
          <t>将军撤退+大将军转向</t>
        </is>
      </c>
      <c r="O911" s="14" t="inlineStr">
        <is>
          <t>是</t>
        </is>
      </c>
    </row>
    <row r="912">
      <c r="A912" s="2" t="inlineStr">
        <is>
          <t>2024-09-18</t>
        </is>
      </c>
      <c r="B912" s="2" t="inlineStr">
        <is>
          <t>2024-09-19</t>
        </is>
      </c>
      <c r="C912" s="2" t="inlineStr">
        <is>
          <t>聚丙烯</t>
        </is>
      </c>
      <c r="D912" s="2" t="inlineStr">
        <is>
          <t>PP</t>
        </is>
      </c>
      <c r="E912" s="9" t="inlineStr">
        <is>
          <t>空</t>
        </is>
      </c>
      <c r="F912" s="2" t="inlineStr">
        <is>
          <t>★★★</t>
        </is>
      </c>
      <c r="G912" s="10" t="n">
        <v>27</v>
      </c>
      <c r="H912" s="11" t="n">
        <v>7277</v>
      </c>
      <c r="I912" s="11" t="n">
        <v>7333</v>
      </c>
      <c r="J912" s="10" t="n">
        <v>5</v>
      </c>
      <c r="K912" s="10" t="n">
        <v>30000</v>
      </c>
      <c r="L912" s="23">
        <f>IF(E912="多",1,-1)*(I912-H912)*G912*J912</f>
        <v/>
      </c>
      <c r="M912" s="24">
        <f>L912/K912</f>
        <v/>
      </c>
      <c r="N912" s="2" t="inlineStr">
        <is>
          <t>将军撤退+大将军转向</t>
        </is>
      </c>
      <c r="O912" s="2" t="inlineStr">
        <is>
          <t>否</t>
        </is>
      </c>
    </row>
    <row r="913">
      <c r="A913" s="2" t="inlineStr">
        <is>
          <t>2024-09-13</t>
        </is>
      </c>
      <c r="B913" s="2" t="inlineStr">
        <is>
          <t>2024-09-19</t>
        </is>
      </c>
      <c r="C913" s="2" t="inlineStr">
        <is>
          <t>锰硅</t>
        </is>
      </c>
      <c r="D913" s="2" t="inlineStr">
        <is>
          <t>SM</t>
        </is>
      </c>
      <c r="E913" s="9" t="inlineStr">
        <is>
          <t>空</t>
        </is>
      </c>
      <c r="F913" s="2" t="inlineStr">
        <is>
          <t>★★★</t>
        </is>
      </c>
      <c r="G913" s="10" t="n">
        <v>5</v>
      </c>
      <c r="H913" s="11" t="n">
        <v>6018</v>
      </c>
      <c r="I913" s="11" t="n">
        <v>6108</v>
      </c>
      <c r="J913" s="10" t="n">
        <v>5</v>
      </c>
      <c r="K913" s="10" t="n">
        <v>10000</v>
      </c>
      <c r="L913" s="23">
        <f>IF(E913="多",1,-1)*(I913-H913)*G913*J913</f>
        <v/>
      </c>
      <c r="M913" s="24">
        <f>L913/K913</f>
        <v/>
      </c>
      <c r="N913" s="2" t="inlineStr">
        <is>
          <t>将军撤退+大将军转向</t>
        </is>
      </c>
      <c r="O913" s="2" t="inlineStr">
        <is>
          <t>否</t>
        </is>
      </c>
    </row>
    <row r="914">
      <c r="A914" s="2" t="inlineStr">
        <is>
          <t>2024-09-12</t>
        </is>
      </c>
      <c r="B914" s="2" t="inlineStr">
        <is>
          <t>2024-09-19</t>
        </is>
      </c>
      <c r="C914" s="2" t="inlineStr">
        <is>
          <t>铁矿石</t>
        </is>
      </c>
      <c r="D914" s="2" t="inlineStr">
        <is>
          <t>I</t>
        </is>
      </c>
      <c r="E914" s="19" t="inlineStr">
        <is>
          <t>多</t>
        </is>
      </c>
      <c r="F914" s="2" t="inlineStr">
        <is>
          <t>★★★</t>
        </is>
      </c>
      <c r="G914" s="10" t="n">
        <v>4</v>
      </c>
      <c r="H914" s="11" t="n">
        <v>707</v>
      </c>
      <c r="I914" s="11" t="n">
        <v>693</v>
      </c>
      <c r="J914" s="10" t="n">
        <v>100</v>
      </c>
      <c r="K914" s="10" t="n">
        <v>30000</v>
      </c>
      <c r="L914" s="23">
        <f>IF(E914="多",1,-1)*(I914-H914)*G914*J914</f>
        <v/>
      </c>
      <c r="M914" s="24">
        <f>L914/K914</f>
        <v/>
      </c>
      <c r="N914" s="2" t="inlineStr">
        <is>
          <t>大将军转向</t>
        </is>
      </c>
      <c r="O914" s="2" t="inlineStr">
        <is>
          <t>否</t>
        </is>
      </c>
    </row>
    <row r="915">
      <c r="A915" s="14" t="inlineStr">
        <is>
          <t>2024-08-29</t>
        </is>
      </c>
      <c r="B915" s="14" t="inlineStr">
        <is>
          <t>2024-09-19</t>
        </is>
      </c>
      <c r="C915" s="14" t="inlineStr">
        <is>
          <t>棕榈油</t>
        </is>
      </c>
      <c r="D915" s="14" t="inlineStr">
        <is>
          <t>P</t>
        </is>
      </c>
      <c r="E915" s="14" t="inlineStr">
        <is>
          <t>空</t>
        </is>
      </c>
      <c r="F915" s="14" t="inlineStr">
        <is>
          <t>★★</t>
        </is>
      </c>
      <c r="G915" s="14" t="n">
        <v>2</v>
      </c>
      <c r="H915" s="15" t="n">
        <v>8002</v>
      </c>
      <c r="I915" s="15" t="n">
        <v>8165.71</v>
      </c>
      <c r="J915" s="14" t="n">
        <v>10</v>
      </c>
      <c r="K915" s="14" t="n">
        <v>10000</v>
      </c>
      <c r="L915" s="25">
        <f>IF(E915="多",1,-1)*(I915-H915)*G915*J915</f>
        <v/>
      </c>
      <c r="M915" s="26">
        <f>L915/K915</f>
        <v/>
      </c>
      <c r="N915" s="14" t="inlineStr">
        <is>
          <t>止损</t>
        </is>
      </c>
      <c r="O915" s="14" t="inlineStr">
        <is>
          <t>是</t>
        </is>
      </c>
    </row>
    <row r="916">
      <c r="A916" s="2" t="inlineStr">
        <is>
          <t>2024-09-13</t>
        </is>
      </c>
      <c r="B916" s="2" t="inlineStr">
        <is>
          <t>2024-09-18</t>
        </is>
      </c>
      <c r="C916" s="2" t="inlineStr">
        <is>
          <t>玻璃</t>
        </is>
      </c>
      <c r="D916" s="2" t="inlineStr">
        <is>
          <t>FG</t>
        </is>
      </c>
      <c r="E916" s="9" t="inlineStr">
        <is>
          <t>空</t>
        </is>
      </c>
      <c r="F916" s="2" t="inlineStr">
        <is>
          <t>★★★</t>
        </is>
      </c>
      <c r="G916" s="10" t="n">
        <v>11</v>
      </c>
      <c r="H916" s="11" t="n">
        <v>1016</v>
      </c>
      <c r="I916" s="11" t="n">
        <v>1030</v>
      </c>
      <c r="J916" s="10" t="n">
        <v>20</v>
      </c>
      <c r="K916" s="10" t="n">
        <v>30000</v>
      </c>
      <c r="L916" s="23">
        <f>IF(E916="多",1,-1)*(I916-H916)*G916*J916</f>
        <v/>
      </c>
      <c r="M916" s="24">
        <f>L916/K916</f>
        <v/>
      </c>
      <c r="N916" s="2" t="inlineStr">
        <is>
          <t>将军撤退</t>
        </is>
      </c>
      <c r="O916" s="2" t="inlineStr">
        <is>
          <t>否</t>
        </is>
      </c>
    </row>
    <row r="917">
      <c r="A917" s="14" t="inlineStr">
        <is>
          <t>2024-09-12</t>
        </is>
      </c>
      <c r="B917" s="14" t="inlineStr">
        <is>
          <t>2024-09-18</t>
        </is>
      </c>
      <c r="C917" s="14" t="inlineStr">
        <is>
          <t>白糖</t>
        </is>
      </c>
      <c r="D917" s="14" t="inlineStr">
        <is>
          <t>SR</t>
        </is>
      </c>
      <c r="E917" s="14" t="inlineStr">
        <is>
          <t>多</t>
        </is>
      </c>
      <c r="F917" s="14" t="inlineStr">
        <is>
          <t>★★</t>
        </is>
      </c>
      <c r="G917" s="14" t="n">
        <v>5</v>
      </c>
      <c r="H917" s="15" t="n">
        <v>5707</v>
      </c>
      <c r="I917" s="15" t="n">
        <v>5742</v>
      </c>
      <c r="J917" s="14" t="n">
        <v>10</v>
      </c>
      <c r="K917" s="14" t="n">
        <v>10000</v>
      </c>
      <c r="L917" s="25">
        <f>IF(E917="多",1,-1)*(I917-H917)*G917*J917</f>
        <v/>
      </c>
      <c r="M917" s="26">
        <f>L917/K917</f>
        <v/>
      </c>
      <c r="N917" s="14" t="inlineStr">
        <is>
          <t>将军撤退</t>
        </is>
      </c>
      <c r="O917" s="14" t="inlineStr">
        <is>
          <t>是</t>
        </is>
      </c>
    </row>
    <row r="918">
      <c r="A918" s="14" t="inlineStr">
        <is>
          <t>2024-09-12</t>
        </is>
      </c>
      <c r="B918" s="14" t="inlineStr">
        <is>
          <t>2024-09-18</t>
        </is>
      </c>
      <c r="C918" s="14" t="inlineStr">
        <is>
          <t>纯碱</t>
        </is>
      </c>
      <c r="D918" s="14" t="inlineStr">
        <is>
          <t>SA</t>
        </is>
      </c>
      <c r="E918" s="14" t="inlineStr">
        <is>
          <t>空</t>
        </is>
      </c>
      <c r="F918" s="14" t="inlineStr">
        <is>
          <t>★★★</t>
        </is>
      </c>
      <c r="G918" s="14" t="n">
        <v>2</v>
      </c>
      <c r="H918" s="15" t="n">
        <v>1390</v>
      </c>
      <c r="I918" s="15" t="n">
        <v>1358</v>
      </c>
      <c r="J918" s="14" t="n">
        <v>20</v>
      </c>
      <c r="K918" s="14" t="n">
        <v>10000</v>
      </c>
      <c r="L918" s="25">
        <f>IF(E918="多",1,-1)*(I918-H918)*G918*J918</f>
        <v/>
      </c>
      <c r="M918" s="26">
        <f>L918/K918</f>
        <v/>
      </c>
      <c r="N918" s="14" t="inlineStr">
        <is>
          <t>将军撤退</t>
        </is>
      </c>
      <c r="O918" s="14" t="inlineStr">
        <is>
          <t>是</t>
        </is>
      </c>
    </row>
    <row r="919">
      <c r="A919" s="14" t="inlineStr">
        <is>
          <t>2024-09-12</t>
        </is>
      </c>
      <c r="B919" s="14" t="inlineStr">
        <is>
          <t>2024-09-18</t>
        </is>
      </c>
      <c r="C919" s="14" t="inlineStr">
        <is>
          <t>玉米</t>
        </is>
      </c>
      <c r="D919" s="14" t="inlineStr">
        <is>
          <t>C</t>
        </is>
      </c>
      <c r="E919" s="14" t="inlineStr">
        <is>
          <t>空</t>
        </is>
      </c>
      <c r="F919" s="14" t="inlineStr">
        <is>
          <t>★★</t>
        </is>
      </c>
      <c r="G919" s="14" t="n">
        <v>11</v>
      </c>
      <c r="H919" s="15" t="n">
        <v>2201</v>
      </c>
      <c r="I919" s="15" t="n">
        <v>2199</v>
      </c>
      <c r="J919" s="14" t="n">
        <v>10</v>
      </c>
      <c r="K919" s="14" t="n">
        <v>10000</v>
      </c>
      <c r="L919" s="25">
        <f>IF(E919="多",1,-1)*(I919-H919)*G919*J919</f>
        <v/>
      </c>
      <c r="M919" s="26">
        <f>L919/K919</f>
        <v/>
      </c>
      <c r="N919" s="14" t="inlineStr">
        <is>
          <t>大将军转向</t>
        </is>
      </c>
      <c r="O919" s="14" t="inlineStr">
        <is>
          <t>是</t>
        </is>
      </c>
    </row>
    <row r="920">
      <c r="A920" s="14" t="inlineStr">
        <is>
          <t>2024-09-09</t>
        </is>
      </c>
      <c r="B920" s="14" t="inlineStr">
        <is>
          <t>2024-09-18</t>
        </is>
      </c>
      <c r="C920" s="14" t="inlineStr">
        <is>
          <t>热卷</t>
        </is>
      </c>
      <c r="D920" s="14" t="inlineStr">
        <is>
          <t>HC</t>
        </is>
      </c>
      <c r="E920" s="14" t="inlineStr">
        <is>
          <t>空</t>
        </is>
      </c>
      <c r="F920" s="14" t="inlineStr">
        <is>
          <t>★★</t>
        </is>
      </c>
      <c r="G920" s="14" t="n">
        <v>3</v>
      </c>
      <c r="H920" s="15" t="n">
        <v>3140</v>
      </c>
      <c r="I920" s="15" t="n">
        <v>3196</v>
      </c>
      <c r="J920" s="14" t="n">
        <v>10</v>
      </c>
      <c r="K920" s="14" t="n">
        <v>10000</v>
      </c>
      <c r="L920" s="25">
        <f>IF(E920="多",1,-1)*(I920-H920)*G920*J920</f>
        <v/>
      </c>
      <c r="M920" s="26">
        <f>L920/K920</f>
        <v/>
      </c>
      <c r="N920" s="14" t="inlineStr">
        <is>
          <t>大将军转向</t>
        </is>
      </c>
      <c r="O920" s="14" t="inlineStr">
        <is>
          <t>是</t>
        </is>
      </c>
    </row>
    <row r="921">
      <c r="A921" s="14" t="inlineStr">
        <is>
          <t>2024-09-12</t>
        </is>
      </c>
      <c r="B921" s="14" t="inlineStr">
        <is>
          <t>2024-09-13</t>
        </is>
      </c>
      <c r="C921" s="14" t="inlineStr">
        <is>
          <t>沪锌</t>
        </is>
      </c>
      <c r="D921" s="14" t="inlineStr">
        <is>
          <t>ZN</t>
        </is>
      </c>
      <c r="E921" s="14" t="inlineStr">
        <is>
          <t>多</t>
        </is>
      </c>
      <c r="F921" s="14" t="inlineStr">
        <is>
          <t>★★</t>
        </is>
      </c>
      <c r="G921" s="14" t="n">
        <v>1</v>
      </c>
      <c r="H921" s="15" t="n">
        <v>23645</v>
      </c>
      <c r="I921" s="15" t="n">
        <v>23830</v>
      </c>
      <c r="J921" s="14" t="n">
        <v>5</v>
      </c>
      <c r="K921" s="14" t="n">
        <v>10000</v>
      </c>
      <c r="L921" s="25">
        <f>IF(E921="多",1,-1)*(I921-H921)*G921*J921</f>
        <v/>
      </c>
      <c r="M921" s="26">
        <f>L921/K921</f>
        <v/>
      </c>
      <c r="N921" s="14" t="inlineStr">
        <is>
          <t>将军撤退</t>
        </is>
      </c>
      <c r="O921" s="14" t="inlineStr">
        <is>
          <t>是</t>
        </is>
      </c>
    </row>
    <row r="922">
      <c r="A922" s="14" t="inlineStr">
        <is>
          <t>2024-09-11</t>
        </is>
      </c>
      <c r="B922" s="14" t="inlineStr">
        <is>
          <t>2024-09-12</t>
        </is>
      </c>
      <c r="C922" s="14" t="inlineStr">
        <is>
          <t>聚丙烯</t>
        </is>
      </c>
      <c r="D922" s="14" t="inlineStr">
        <is>
          <t>PP</t>
        </is>
      </c>
      <c r="E922" s="14" t="inlineStr">
        <is>
          <t>空</t>
        </is>
      </c>
      <c r="F922" s="14" t="inlineStr">
        <is>
          <t>★★</t>
        </is>
      </c>
      <c r="G922" s="14" t="n">
        <v>9</v>
      </c>
      <c r="H922" s="15" t="n">
        <v>7298</v>
      </c>
      <c r="I922" s="15" t="n">
        <v>7325</v>
      </c>
      <c r="J922" s="14" t="n">
        <v>5</v>
      </c>
      <c r="K922" s="14" t="n">
        <v>10000</v>
      </c>
      <c r="L922" s="25">
        <f>IF(E922="多",1,-1)*(I922-H922)*G922*J922</f>
        <v/>
      </c>
      <c r="M922" s="26">
        <f>L922/K922</f>
        <v/>
      </c>
      <c r="N922" s="14" t="inlineStr">
        <is>
          <t>将军撤退</t>
        </is>
      </c>
      <c r="O922" s="14" t="inlineStr">
        <is>
          <t>是</t>
        </is>
      </c>
    </row>
    <row r="923">
      <c r="A923" s="14" t="inlineStr">
        <is>
          <t>2024-09-06</t>
        </is>
      </c>
      <c r="B923" s="14" t="inlineStr">
        <is>
          <t>2024-09-12</t>
        </is>
      </c>
      <c r="C923" s="14" t="inlineStr">
        <is>
          <t>菜粕</t>
        </is>
      </c>
      <c r="D923" s="14" t="inlineStr">
        <is>
          <t>RM</t>
        </is>
      </c>
      <c r="E923" s="14" t="inlineStr">
        <is>
          <t>多</t>
        </is>
      </c>
      <c r="F923" s="14" t="inlineStr">
        <is>
          <t>★★★</t>
        </is>
      </c>
      <c r="G923" s="14" t="n">
        <v>5</v>
      </c>
      <c r="H923" s="15" t="n">
        <v>2560</v>
      </c>
      <c r="I923" s="15" t="n">
        <v>2547</v>
      </c>
      <c r="J923" s="14" t="n">
        <v>10</v>
      </c>
      <c r="K923" s="14" t="n">
        <v>10000</v>
      </c>
      <c r="L923" s="25">
        <f>IF(E923="多",1,-1)*(I923-H923)*G923*J923</f>
        <v/>
      </c>
      <c r="M923" s="26">
        <f>L923/K923</f>
        <v/>
      </c>
      <c r="N923" s="14" t="inlineStr">
        <is>
          <t>将军撤退+大将军转向</t>
        </is>
      </c>
      <c r="O923" s="14" t="inlineStr">
        <is>
          <t>是</t>
        </is>
      </c>
    </row>
    <row r="924">
      <c r="A924" s="2" t="inlineStr">
        <is>
          <t>2024-09-04</t>
        </is>
      </c>
      <c r="B924" s="2" t="inlineStr">
        <is>
          <t>2024-09-12</t>
        </is>
      </c>
      <c r="C924" s="2" t="inlineStr">
        <is>
          <t>锰硅</t>
        </is>
      </c>
      <c r="D924" s="2" t="inlineStr">
        <is>
          <t>SM</t>
        </is>
      </c>
      <c r="E924" s="9" t="inlineStr">
        <is>
          <t>空</t>
        </is>
      </c>
      <c r="F924" s="2" t="inlineStr">
        <is>
          <t>★★★</t>
        </is>
      </c>
      <c r="G924" s="10" t="n">
        <v>12</v>
      </c>
      <c r="H924" s="11" t="n">
        <v>6168</v>
      </c>
      <c r="I924" s="11" t="n">
        <v>6098</v>
      </c>
      <c r="J924" s="10" t="n">
        <v>5</v>
      </c>
      <c r="K924" s="10" t="n">
        <v>25000</v>
      </c>
      <c r="L924" s="23">
        <f>IF(E924="多",1,-1)*(I924-H924)*G924*J924</f>
        <v/>
      </c>
      <c r="M924" s="24">
        <f>L924/K924</f>
        <v/>
      </c>
      <c r="N924" s="2" t="inlineStr">
        <is>
          <t>大将军转向</t>
        </is>
      </c>
      <c r="O924" s="2" t="inlineStr">
        <is>
          <t>否</t>
        </is>
      </c>
    </row>
    <row r="925">
      <c r="A925" s="14" t="inlineStr">
        <is>
          <t>2024-08-26</t>
        </is>
      </c>
      <c r="B925" s="14" t="inlineStr">
        <is>
          <t>2024-09-12</t>
        </is>
      </c>
      <c r="C925" s="14" t="inlineStr">
        <is>
          <t>白糖</t>
        </is>
      </c>
      <c r="D925" s="14" t="inlineStr">
        <is>
          <t>SR</t>
        </is>
      </c>
      <c r="E925" s="14" t="inlineStr">
        <is>
          <t>空</t>
        </is>
      </c>
      <c r="F925" s="14" t="inlineStr">
        <is>
          <t>★★</t>
        </is>
      </c>
      <c r="G925" s="14" t="n">
        <v>5</v>
      </c>
      <c r="H925" s="15" t="n">
        <v>5605</v>
      </c>
      <c r="I925" s="15" t="n">
        <v>5692</v>
      </c>
      <c r="J925" s="14" t="n">
        <v>10</v>
      </c>
      <c r="K925" s="14" t="n">
        <v>10000</v>
      </c>
      <c r="L925" s="25">
        <f>IF(E925="多",1,-1)*(I925-H925)*G925*J925</f>
        <v/>
      </c>
      <c r="M925" s="26">
        <f>L925/K925</f>
        <v/>
      </c>
      <c r="N925" s="14" t="inlineStr">
        <is>
          <t>反向信号</t>
        </is>
      </c>
      <c r="O925" s="14" t="inlineStr">
        <is>
          <t>是</t>
        </is>
      </c>
    </row>
    <row r="926">
      <c r="A926" s="14" t="inlineStr">
        <is>
          <t>2024-09-10</t>
        </is>
      </c>
      <c r="B926" s="14" t="inlineStr">
        <is>
          <t>2024-09-11</t>
        </is>
      </c>
      <c r="C926" s="14" t="inlineStr">
        <is>
          <t>PVC</t>
        </is>
      </c>
      <c r="D926" s="14" t="inlineStr">
        <is>
          <t>V</t>
        </is>
      </c>
      <c r="E926" s="14" t="inlineStr">
        <is>
          <t>空</t>
        </is>
      </c>
      <c r="F926" s="14" t="inlineStr">
        <is>
          <t>★★</t>
        </is>
      </c>
      <c r="G926" s="14" t="n">
        <v>6</v>
      </c>
      <c r="H926" s="15" t="n">
        <v>5332</v>
      </c>
      <c r="I926" s="15" t="n">
        <v>5390</v>
      </c>
      <c r="J926" s="14" t="n">
        <v>5</v>
      </c>
      <c r="K926" s="14" t="n">
        <v>10000</v>
      </c>
      <c r="L926" s="25">
        <f>IF(E926="多",1,-1)*(I926-H926)*G926*J926</f>
        <v/>
      </c>
      <c r="M926" s="26">
        <f>L926/K926</f>
        <v/>
      </c>
      <c r="N926" s="14" t="inlineStr">
        <is>
          <t>大将军转向</t>
        </is>
      </c>
      <c r="O926" s="14" t="inlineStr">
        <is>
          <t>是</t>
        </is>
      </c>
    </row>
    <row r="927">
      <c r="A927" s="2" t="inlineStr">
        <is>
          <t>2024-09-06</t>
        </is>
      </c>
      <c r="B927" s="2" t="inlineStr">
        <is>
          <t>2024-09-11</t>
        </is>
      </c>
      <c r="C927" s="2" t="inlineStr">
        <is>
          <t>螺纹钢</t>
        </is>
      </c>
      <c r="D927" s="2" t="inlineStr">
        <is>
          <t>RB</t>
        </is>
      </c>
      <c r="E927" s="9" t="inlineStr">
        <is>
          <t>空</t>
        </is>
      </c>
      <c r="F927" s="2" t="inlineStr">
        <is>
          <t>★★★</t>
        </is>
      </c>
      <c r="G927" s="10" t="n">
        <v>14</v>
      </c>
      <c r="H927" s="11" t="n">
        <v>3060</v>
      </c>
      <c r="I927" s="11" t="n">
        <v>3137</v>
      </c>
      <c r="J927" s="10" t="n">
        <v>10</v>
      </c>
      <c r="K927" s="10" t="n">
        <v>30000</v>
      </c>
      <c r="L927" s="23">
        <f>IF(E927="多",1,-1)*(I927-H927)*G927*J927</f>
        <v/>
      </c>
      <c r="M927" s="24">
        <f>L927/K927</f>
        <v/>
      </c>
      <c r="N927" s="2" t="inlineStr">
        <is>
          <t>大将军转向</t>
        </is>
      </c>
      <c r="O927" s="2" t="inlineStr">
        <is>
          <t>否</t>
        </is>
      </c>
    </row>
    <row r="928">
      <c r="A928" s="2" t="inlineStr">
        <is>
          <t>2024-09-06</t>
        </is>
      </c>
      <c r="B928" s="2" t="inlineStr">
        <is>
          <t>2024-09-11</t>
        </is>
      </c>
      <c r="C928" s="2" t="inlineStr">
        <is>
          <t>甲醇</t>
        </is>
      </c>
      <c r="D928" s="2" t="inlineStr">
        <is>
          <t>MA</t>
        </is>
      </c>
      <c r="E928" s="9" t="inlineStr">
        <is>
          <t>空</t>
        </is>
      </c>
      <c r="F928" s="2" t="inlineStr">
        <is>
          <t>★★★</t>
        </is>
      </c>
      <c r="G928" s="10" t="n">
        <v>14</v>
      </c>
      <c r="H928" s="11" t="n">
        <v>2371</v>
      </c>
      <c r="I928" s="11" t="n">
        <v>2355</v>
      </c>
      <c r="J928" s="10" t="n">
        <v>10</v>
      </c>
      <c r="K928" s="10" t="n">
        <v>15000</v>
      </c>
      <c r="L928" s="23">
        <f>IF(E928="多",1,-1)*(I928-H928)*G928*J928</f>
        <v/>
      </c>
      <c r="M928" s="24">
        <f>L928/K928</f>
        <v/>
      </c>
      <c r="N928" s="2" t="inlineStr">
        <is>
          <t>大将军转向</t>
        </is>
      </c>
      <c r="O928" s="2" t="inlineStr">
        <is>
          <t>否</t>
        </is>
      </c>
    </row>
    <row r="929">
      <c r="A929" s="2" t="inlineStr">
        <is>
          <t>2024-09-05</t>
        </is>
      </c>
      <c r="B929" s="2" t="inlineStr">
        <is>
          <t>2024-09-06</t>
        </is>
      </c>
      <c r="C929" s="2" t="inlineStr">
        <is>
          <t>PVC</t>
        </is>
      </c>
      <c r="D929" s="2" t="inlineStr">
        <is>
          <t>V</t>
        </is>
      </c>
      <c r="E929" s="9" t="inlineStr">
        <is>
          <t>空</t>
        </is>
      </c>
      <c r="F929" s="2" t="inlineStr">
        <is>
          <t>★★★</t>
        </is>
      </c>
      <c r="G929" s="10" t="n">
        <v>20</v>
      </c>
      <c r="H929" s="11" t="n">
        <v>5340</v>
      </c>
      <c r="I929" s="11" t="n">
        <v>5358</v>
      </c>
      <c r="J929" s="10" t="n">
        <v>5</v>
      </c>
      <c r="K929" s="10" t="n">
        <v>30000</v>
      </c>
      <c r="L929" s="23">
        <f>IF(E929="多",1,-1)*(I929-H929)*G929*J929</f>
        <v/>
      </c>
      <c r="M929" s="24">
        <f>L929/K929</f>
        <v/>
      </c>
      <c r="N929" s="2" t="inlineStr">
        <is>
          <t>大将军转向</t>
        </is>
      </c>
      <c r="O929" s="2" t="inlineStr">
        <is>
          <t>否</t>
        </is>
      </c>
    </row>
    <row r="930">
      <c r="A930" s="2" t="inlineStr">
        <is>
          <t>2024-09-02</t>
        </is>
      </c>
      <c r="B930" s="2" t="inlineStr">
        <is>
          <t>2024-09-06</t>
        </is>
      </c>
      <c r="C930" s="2" t="inlineStr">
        <is>
          <t>热卷</t>
        </is>
      </c>
      <c r="D930" s="2" t="inlineStr">
        <is>
          <t>HC</t>
        </is>
      </c>
      <c r="E930" s="9" t="inlineStr">
        <is>
          <t>空</t>
        </is>
      </c>
      <c r="F930" s="2" t="inlineStr">
        <is>
          <t>★★★</t>
        </is>
      </c>
      <c r="G930" s="10" t="n">
        <v>11</v>
      </c>
      <c r="H930" s="11" t="n">
        <v>3280</v>
      </c>
      <c r="I930" s="11" t="n">
        <v>3096</v>
      </c>
      <c r="J930" s="10" t="n">
        <v>10</v>
      </c>
      <c r="K930" s="10" t="n">
        <v>30000</v>
      </c>
      <c r="L930" s="23">
        <f>IF(E930="多",1,-1)*(I930-H930)*G930*J930</f>
        <v/>
      </c>
      <c r="M930" s="24">
        <f>L930/K930</f>
        <v/>
      </c>
      <c r="N930" s="2" t="inlineStr">
        <is>
          <t>将军撤退</t>
        </is>
      </c>
      <c r="O930" s="2" t="inlineStr">
        <is>
          <t>否</t>
        </is>
      </c>
    </row>
    <row r="931">
      <c r="A931" s="2" t="inlineStr">
        <is>
          <t>2024-08-21</t>
        </is>
      </c>
      <c r="B931" s="2" t="inlineStr">
        <is>
          <t>2024-09-05</t>
        </is>
      </c>
      <c r="C931" s="2" t="inlineStr">
        <is>
          <t>沪金</t>
        </is>
      </c>
      <c r="D931" s="2" t="inlineStr">
        <is>
          <t>AU</t>
        </is>
      </c>
      <c r="E931" s="19" t="inlineStr">
        <is>
          <t>多</t>
        </is>
      </c>
      <c r="F931" s="2" t="inlineStr">
        <is>
          <t>★★★</t>
        </is>
      </c>
      <c r="G931" s="10" t="n">
        <v>1</v>
      </c>
      <c r="H931" s="11" t="n">
        <v>577.04</v>
      </c>
      <c r="I931" s="11" t="n">
        <v>573.72</v>
      </c>
      <c r="J931" s="10" t="n">
        <v>1000</v>
      </c>
      <c r="K931" s="10" t="n">
        <v>30000</v>
      </c>
      <c r="L931" s="23">
        <f>IF(E931="多",1,-1)*(I931-H931)*G931*J931</f>
        <v/>
      </c>
      <c r="M931" s="24">
        <f>L931/K931</f>
        <v/>
      </c>
      <c r="N931" s="2" t="inlineStr">
        <is>
          <t>大将军转向</t>
        </is>
      </c>
      <c r="O931" s="2" t="inlineStr">
        <is>
          <t>否</t>
        </is>
      </c>
    </row>
    <row r="932">
      <c r="A932" s="2" t="inlineStr">
        <is>
          <t>2024-08-16</t>
        </is>
      </c>
      <c r="B932" s="2" t="inlineStr">
        <is>
          <t>2024-09-05</t>
        </is>
      </c>
      <c r="C932" s="2" t="inlineStr">
        <is>
          <t>塑料</t>
        </is>
      </c>
      <c r="D932" s="2" t="inlineStr">
        <is>
          <t>L</t>
        </is>
      </c>
      <c r="E932" s="9" t="inlineStr">
        <is>
          <t>空</t>
        </is>
      </c>
      <c r="F932" s="2" t="inlineStr">
        <is>
          <t>★★★</t>
        </is>
      </c>
      <c r="G932" s="10" t="n">
        <v>13</v>
      </c>
      <c r="H932" s="11" t="n">
        <v>8002</v>
      </c>
      <c r="I932" s="11" t="n">
        <v>7897</v>
      </c>
      <c r="J932" s="10" t="n">
        <v>5</v>
      </c>
      <c r="K932" s="10" t="n">
        <v>15000</v>
      </c>
      <c r="L932" s="23">
        <f>IF(E932="多",1,-1)*(I932-H932)*G932*J932</f>
        <v/>
      </c>
      <c r="M932" s="24">
        <f>L932/K932</f>
        <v/>
      </c>
      <c r="N932" s="2" t="inlineStr">
        <is>
          <t>将军撤退+大将军转向</t>
        </is>
      </c>
      <c r="O932" s="2" t="inlineStr">
        <is>
          <t>否</t>
        </is>
      </c>
    </row>
    <row r="933">
      <c r="A933" s="14" t="inlineStr">
        <is>
          <t>2024-09-03</t>
        </is>
      </c>
      <c r="B933" s="14" t="inlineStr">
        <is>
          <t>2024-09-04</t>
        </is>
      </c>
      <c r="C933" s="14" t="inlineStr">
        <is>
          <t>菜粕</t>
        </is>
      </c>
      <c r="D933" s="14" t="inlineStr">
        <is>
          <t>RM</t>
        </is>
      </c>
      <c r="E933" s="14" t="inlineStr">
        <is>
          <t>多</t>
        </is>
      </c>
      <c r="F933" s="14" t="inlineStr">
        <is>
          <t>★★</t>
        </is>
      </c>
      <c r="G933" s="14" t="n">
        <v>6</v>
      </c>
      <c r="H933" s="15" t="n">
        <v>2385</v>
      </c>
      <c r="I933" s="15" t="n">
        <v>2418</v>
      </c>
      <c r="J933" s="14" t="n">
        <v>10</v>
      </c>
      <c r="K933" s="14" t="n">
        <v>10000</v>
      </c>
      <c r="L933" s="25">
        <f>IF(E933="多",1,-1)*(I933-H933)*G933*J933</f>
        <v/>
      </c>
      <c r="M933" s="26">
        <f>L933/K933</f>
        <v/>
      </c>
      <c r="N933" s="14" t="inlineStr">
        <is>
          <t>将军撤退</t>
        </is>
      </c>
      <c r="O933" s="14" t="inlineStr">
        <is>
          <t>是</t>
        </is>
      </c>
    </row>
    <row r="934">
      <c r="A934" s="14" t="inlineStr">
        <is>
          <t>2024-08-29</t>
        </is>
      </c>
      <c r="B934" s="14" t="inlineStr">
        <is>
          <t>2024-09-04</t>
        </is>
      </c>
      <c r="C934" s="14" t="inlineStr">
        <is>
          <t>PTA</t>
        </is>
      </c>
      <c r="D934" s="14" t="inlineStr">
        <is>
          <t>TA</t>
        </is>
      </c>
      <c r="E934" s="14" t="inlineStr">
        <is>
          <t>空</t>
        </is>
      </c>
      <c r="F934" s="14" t="inlineStr">
        <is>
          <t>★★★</t>
        </is>
      </c>
      <c r="G934" s="14" t="n">
        <v>7</v>
      </c>
      <c r="H934" s="15" t="n">
        <v>5408</v>
      </c>
      <c r="I934" s="15" t="n">
        <v>5102</v>
      </c>
      <c r="J934" s="14" t="n">
        <v>5</v>
      </c>
      <c r="K934" s="14" t="n">
        <v>10000</v>
      </c>
      <c r="L934" s="25">
        <f>IF(E934="多",1,-1)*(I934-H934)*G934*J934</f>
        <v/>
      </c>
      <c r="M934" s="26">
        <f>L934/K934</f>
        <v/>
      </c>
      <c r="N934" s="14" t="inlineStr">
        <is>
          <t>大将军转向</t>
        </is>
      </c>
      <c r="O934" s="14" t="inlineStr">
        <is>
          <t>是</t>
        </is>
      </c>
    </row>
    <row r="935">
      <c r="A935" s="14" t="inlineStr">
        <is>
          <t>2024-08-30</t>
        </is>
      </c>
      <c r="B935" s="14" t="inlineStr">
        <is>
          <t>2024-09-03</t>
        </is>
      </c>
      <c r="C935" s="14" t="inlineStr">
        <is>
          <t>甲醇</t>
        </is>
      </c>
      <c r="D935" s="14" t="inlineStr">
        <is>
          <t>MA</t>
        </is>
      </c>
      <c r="E935" s="14" t="inlineStr">
        <is>
          <t>空</t>
        </is>
      </c>
      <c r="F935" s="14" t="inlineStr">
        <is>
          <t>★★</t>
        </is>
      </c>
      <c r="G935" s="14" t="n">
        <v>9</v>
      </c>
      <c r="H935" s="15" t="n">
        <v>2528</v>
      </c>
      <c r="I935" s="15" t="n">
        <v>2464</v>
      </c>
      <c r="J935" s="14" t="n">
        <v>10</v>
      </c>
      <c r="K935" s="14" t="n">
        <v>10000</v>
      </c>
      <c r="L935" s="25">
        <f>IF(E935="多",1,-1)*(I935-H935)*G935*J935</f>
        <v/>
      </c>
      <c r="M935" s="26">
        <f>L935/K935</f>
        <v/>
      </c>
      <c r="N935" s="14" t="inlineStr">
        <is>
          <t>大将军转向</t>
        </is>
      </c>
      <c r="O935" s="14" t="inlineStr">
        <is>
          <t>是</t>
        </is>
      </c>
    </row>
    <row r="936">
      <c r="A936" s="14" t="inlineStr">
        <is>
          <t>2024-08-30</t>
        </is>
      </c>
      <c r="B936" s="14" t="inlineStr">
        <is>
          <t>2024-09-03</t>
        </is>
      </c>
      <c r="C936" s="14" t="inlineStr">
        <is>
          <t>铁矿石</t>
        </is>
      </c>
      <c r="D936" s="14" t="inlineStr">
        <is>
          <t>I</t>
        </is>
      </c>
      <c r="E936" s="14" t="inlineStr">
        <is>
          <t>空</t>
        </is>
      </c>
      <c r="F936" s="14" t="inlineStr">
        <is>
          <t>★★</t>
        </is>
      </c>
      <c r="G936" s="14" t="n">
        <v>1</v>
      </c>
      <c r="H936" s="15" t="n">
        <v>754</v>
      </c>
      <c r="I936" s="15" t="n">
        <v>703.5</v>
      </c>
      <c r="J936" s="14" t="n">
        <v>100</v>
      </c>
      <c r="K936" s="14" t="n">
        <v>10000</v>
      </c>
      <c r="L936" s="25">
        <f>IF(E936="多",1,-1)*(I936-H936)*G936*J936</f>
        <v/>
      </c>
      <c r="M936" s="26">
        <f>L936/K936</f>
        <v/>
      </c>
      <c r="N936" s="14" t="inlineStr">
        <is>
          <t>将军撤退</t>
        </is>
      </c>
      <c r="O936" s="14" t="inlineStr">
        <is>
          <t>是</t>
        </is>
      </c>
    </row>
    <row r="937">
      <c r="A937" s="2" t="inlineStr">
        <is>
          <t>2024-08-19</t>
        </is>
      </c>
      <c r="B937" s="2" t="inlineStr">
        <is>
          <t>2024-09-03</t>
        </is>
      </c>
      <c r="C937" s="2" t="inlineStr">
        <is>
          <t>豆粕</t>
        </is>
      </c>
      <c r="D937" s="2" t="inlineStr">
        <is>
          <t>M</t>
        </is>
      </c>
      <c r="E937" s="9" t="inlineStr">
        <is>
          <t>空</t>
        </is>
      </c>
      <c r="F937" s="2" t="inlineStr">
        <is>
          <t>★★★</t>
        </is>
      </c>
      <c r="G937" s="10" t="n">
        <v>6</v>
      </c>
      <c r="H937" s="11" t="n">
        <v>2916</v>
      </c>
      <c r="I937" s="11" t="n">
        <v>3046.43</v>
      </c>
      <c r="J937" s="10" t="n">
        <v>10</v>
      </c>
      <c r="K937" s="10" t="n">
        <v>11400</v>
      </c>
      <c r="L937" s="23">
        <f>IF(E937="多",1,-1)*(I937-H937)*G937*J937</f>
        <v/>
      </c>
      <c r="M937" s="24">
        <f>L937/K937</f>
        <v/>
      </c>
      <c r="N937" s="2" t="inlineStr">
        <is>
          <t>止损</t>
        </is>
      </c>
      <c r="O937" s="2" t="inlineStr">
        <is>
          <t>否</t>
        </is>
      </c>
    </row>
    <row r="938">
      <c r="A938" s="14" t="inlineStr">
        <is>
          <t>2024-08-15</t>
        </is>
      </c>
      <c r="B938" s="14" t="inlineStr">
        <is>
          <t>2024-09-03</t>
        </is>
      </c>
      <c r="C938" s="14" t="inlineStr">
        <is>
          <t>菜粕</t>
        </is>
      </c>
      <c r="D938" s="14" t="inlineStr">
        <is>
          <t>RM</t>
        </is>
      </c>
      <c r="E938" s="14" t="inlineStr">
        <is>
          <t>空</t>
        </is>
      </c>
      <c r="F938" s="14" t="inlineStr">
        <is>
          <t>★★★</t>
        </is>
      </c>
      <c r="G938" s="14" t="n">
        <v>5</v>
      </c>
      <c r="H938" s="15" t="n">
        <v>2184</v>
      </c>
      <c r="I938" s="15" t="n">
        <v>2277.86</v>
      </c>
      <c r="J938" s="14" t="n">
        <v>10</v>
      </c>
      <c r="K938" s="14" t="n">
        <v>10000</v>
      </c>
      <c r="L938" s="25">
        <f>IF(E938="多",1,-1)*(I938-H938)*G938*J938</f>
        <v/>
      </c>
      <c r="M938" s="26">
        <f>L938/K938</f>
        <v/>
      </c>
      <c r="N938" s="14" t="inlineStr">
        <is>
          <t>止损</t>
        </is>
      </c>
      <c r="O938" s="14" t="inlineStr">
        <is>
          <t>是</t>
        </is>
      </c>
    </row>
    <row r="939">
      <c r="A939" s="2" t="inlineStr">
        <is>
          <t>2024-08-30</t>
        </is>
      </c>
      <c r="B939" s="2" t="inlineStr">
        <is>
          <t>2024-09-02</t>
        </is>
      </c>
      <c r="C939" s="2" t="inlineStr">
        <is>
          <t>PVC</t>
        </is>
      </c>
      <c r="D939" s="2" t="inlineStr">
        <is>
          <t>V</t>
        </is>
      </c>
      <c r="E939" s="9" t="inlineStr">
        <is>
          <t>空</t>
        </is>
      </c>
      <c r="F939" s="2" t="inlineStr">
        <is>
          <t>★★★</t>
        </is>
      </c>
      <c r="G939" s="10" t="n">
        <v>9</v>
      </c>
      <c r="H939" s="11" t="n">
        <v>5581</v>
      </c>
      <c r="I939" s="11" t="n">
        <v>5470</v>
      </c>
      <c r="J939" s="10" t="n">
        <v>5</v>
      </c>
      <c r="K939" s="10" t="n">
        <v>13600</v>
      </c>
      <c r="L939" s="23">
        <f>IF(E939="多",1,-1)*(I939-H939)*G939*J939</f>
        <v/>
      </c>
      <c r="M939" s="24">
        <f>L939/K939</f>
        <v/>
      </c>
      <c r="N939" s="2" t="inlineStr">
        <is>
          <t>将军撤退</t>
        </is>
      </c>
      <c r="O939" s="2" t="inlineStr">
        <is>
          <t>否</t>
        </is>
      </c>
    </row>
    <row r="940">
      <c r="A940" s="14" t="inlineStr">
        <is>
          <t>2024-08-28</t>
        </is>
      </c>
      <c r="B940" s="14" t="inlineStr">
        <is>
          <t>2024-09-02</t>
        </is>
      </c>
      <c r="C940" s="14" t="inlineStr">
        <is>
          <t>沪锌</t>
        </is>
      </c>
      <c r="D940" s="14" t="inlineStr">
        <is>
          <t>ZN</t>
        </is>
      </c>
      <c r="E940" s="14" t="inlineStr">
        <is>
          <t>多</t>
        </is>
      </c>
      <c r="F940" s="14" t="inlineStr">
        <is>
          <t>★★★</t>
        </is>
      </c>
      <c r="G940" s="14" t="n">
        <v>1</v>
      </c>
      <c r="H940" s="15" t="n">
        <v>23915</v>
      </c>
      <c r="I940" s="15" t="n">
        <v>23630</v>
      </c>
      <c r="J940" s="14" t="n">
        <v>5</v>
      </c>
      <c r="K940" s="14" t="n">
        <v>10000</v>
      </c>
      <c r="L940" s="25">
        <f>IF(E940="多",1,-1)*(I940-H940)*G940*J940</f>
        <v/>
      </c>
      <c r="M940" s="26">
        <f>L940/K940</f>
        <v/>
      </c>
      <c r="N940" s="14" t="inlineStr">
        <is>
          <t>将军撤退+大将军转向</t>
        </is>
      </c>
      <c r="O940" s="14" t="inlineStr">
        <is>
          <t>是</t>
        </is>
      </c>
    </row>
    <row r="941">
      <c r="A941" s="14" t="inlineStr">
        <is>
          <t>2024-08-27</t>
        </is>
      </c>
      <c r="B941" s="14" t="inlineStr">
        <is>
          <t>2024-09-02</t>
        </is>
      </c>
      <c r="C941" s="14" t="inlineStr">
        <is>
          <t>玉米</t>
        </is>
      </c>
      <c r="D941" s="14" t="inlineStr">
        <is>
          <t>C</t>
        </is>
      </c>
      <c r="E941" s="14" t="inlineStr">
        <is>
          <t>多</t>
        </is>
      </c>
      <c r="F941" s="14" t="inlineStr">
        <is>
          <t>★★</t>
        </is>
      </c>
      <c r="G941" s="14" t="n">
        <v>12</v>
      </c>
      <c r="H941" s="15" t="n">
        <v>2345</v>
      </c>
      <c r="I941" s="15" t="n">
        <v>2285.64</v>
      </c>
      <c r="J941" s="14" t="n">
        <v>10</v>
      </c>
      <c r="K941" s="14" t="n">
        <v>10000</v>
      </c>
      <c r="L941" s="25">
        <f>IF(E941="多",1,-1)*(I941-H941)*G941*J941</f>
        <v/>
      </c>
      <c r="M941" s="26">
        <f>L941/K941</f>
        <v/>
      </c>
      <c r="N941" s="14" t="inlineStr">
        <is>
          <t>止损</t>
        </is>
      </c>
      <c r="O941" s="14" t="inlineStr">
        <is>
          <t>是</t>
        </is>
      </c>
    </row>
    <row r="942">
      <c r="A942" s="2" t="inlineStr">
        <is>
          <t>2024-08-22</t>
        </is>
      </c>
      <c r="B942" s="2" t="inlineStr">
        <is>
          <t>2024-09-02</t>
        </is>
      </c>
      <c r="C942" s="2" t="inlineStr">
        <is>
          <t>锰硅</t>
        </is>
      </c>
      <c r="D942" s="2" t="inlineStr">
        <is>
          <t>SM</t>
        </is>
      </c>
      <c r="E942" s="9" t="inlineStr">
        <is>
          <t>空</t>
        </is>
      </c>
      <c r="F942" s="2" t="inlineStr">
        <is>
          <t>★★★</t>
        </is>
      </c>
      <c r="G942" s="10" t="n">
        <v>11</v>
      </c>
      <c r="H942" s="11" t="n">
        <v>6300</v>
      </c>
      <c r="I942" s="11" t="n">
        <v>6288</v>
      </c>
      <c r="J942" s="10" t="n">
        <v>5</v>
      </c>
      <c r="K942" s="10" t="n">
        <v>30000</v>
      </c>
      <c r="L942" s="23">
        <f>IF(E942="多",1,-1)*(I942-H942)*G942*J942</f>
        <v/>
      </c>
      <c r="M942" s="24">
        <f>L942/K942</f>
        <v/>
      </c>
      <c r="N942" s="2" t="inlineStr">
        <is>
          <t>大将军转向</t>
        </is>
      </c>
      <c r="O942" s="2" t="inlineStr">
        <is>
          <t>否</t>
        </is>
      </c>
    </row>
    <row r="943">
      <c r="A943" s="14" t="inlineStr">
        <is>
          <t>2024-08-27</t>
        </is>
      </c>
      <c r="B943" s="14" t="inlineStr">
        <is>
          <t>2024-08-29</t>
        </is>
      </c>
      <c r="C943" s="14" t="inlineStr">
        <is>
          <t>棕榈油</t>
        </is>
      </c>
      <c r="D943" s="14" t="inlineStr">
        <is>
          <t>P</t>
        </is>
      </c>
      <c r="E943" s="14" t="inlineStr">
        <is>
          <t>多</t>
        </is>
      </c>
      <c r="F943" s="14" t="inlineStr">
        <is>
          <t>★★</t>
        </is>
      </c>
      <c r="G943" s="14" t="n">
        <v>2</v>
      </c>
      <c r="H943" s="15" t="n">
        <v>8048</v>
      </c>
      <c r="I943" s="15" t="n">
        <v>7988</v>
      </c>
      <c r="J943" s="14" t="n">
        <v>10</v>
      </c>
      <c r="K943" s="14" t="n">
        <v>10000</v>
      </c>
      <c r="L943" s="25">
        <f>IF(E943="多",1,-1)*(I943-H943)*G943*J943</f>
        <v/>
      </c>
      <c r="M943" s="26">
        <f>L943/K943</f>
        <v/>
      </c>
      <c r="N943" s="14" t="inlineStr">
        <is>
          <t>反向信号</t>
        </is>
      </c>
      <c r="O943" s="14" t="inlineStr">
        <is>
          <t>是</t>
        </is>
      </c>
    </row>
    <row r="944">
      <c r="A944" s="2" t="inlineStr">
        <is>
          <t>2024-08-26</t>
        </is>
      </c>
      <c r="B944" s="2" t="inlineStr">
        <is>
          <t>2024-08-29</t>
        </is>
      </c>
      <c r="C944" s="2" t="inlineStr">
        <is>
          <t>工业硅</t>
        </is>
      </c>
      <c r="D944" s="2" t="inlineStr">
        <is>
          <t>SI</t>
        </is>
      </c>
      <c r="E944" s="9" t="inlineStr">
        <is>
          <t>空</t>
        </is>
      </c>
      <c r="F944" s="2" t="inlineStr">
        <is>
          <t>★★★</t>
        </is>
      </c>
      <c r="G944" s="10" t="n">
        <v>3</v>
      </c>
      <c r="H944" s="11" t="n">
        <v>9515</v>
      </c>
      <c r="I944" s="11" t="n">
        <v>10130</v>
      </c>
      <c r="J944" s="10" t="n">
        <v>5</v>
      </c>
      <c r="K944" s="10" t="n">
        <v>13600</v>
      </c>
      <c r="L944" s="23">
        <f>IF(E944="多",1,-1)*(I944-H944)*G944*J944</f>
        <v/>
      </c>
      <c r="M944" s="24">
        <f>L944/K944</f>
        <v/>
      </c>
      <c r="N944" s="2" t="inlineStr">
        <is>
          <t>大将军转向</t>
        </is>
      </c>
      <c r="O944" s="2" t="inlineStr">
        <is>
          <t>否</t>
        </is>
      </c>
    </row>
    <row r="945">
      <c r="A945" s="14" t="inlineStr">
        <is>
          <t>2024-08-23</t>
        </is>
      </c>
      <c r="B945" s="14" t="inlineStr">
        <is>
          <t>2024-08-29</t>
        </is>
      </c>
      <c r="C945" s="14" t="inlineStr">
        <is>
          <t>沪铝</t>
        </is>
      </c>
      <c r="D945" s="14" t="inlineStr">
        <is>
          <t>AL</t>
        </is>
      </c>
      <c r="E945" s="14" t="inlineStr">
        <is>
          <t>多</t>
        </is>
      </c>
      <c r="F945" s="14" t="inlineStr">
        <is>
          <t>★★★</t>
        </is>
      </c>
      <c r="G945" s="14" t="n">
        <v>2</v>
      </c>
      <c r="H945" s="15" t="n">
        <v>19880</v>
      </c>
      <c r="I945" s="15" t="n">
        <v>19710</v>
      </c>
      <c r="J945" s="14" t="n">
        <v>5</v>
      </c>
      <c r="K945" s="14" t="n">
        <v>10000</v>
      </c>
      <c r="L945" s="25">
        <f>IF(E945="多",1,-1)*(I945-H945)*G945*J945</f>
        <v/>
      </c>
      <c r="M945" s="26">
        <f>L945/K945</f>
        <v/>
      </c>
      <c r="N945" s="14" t="inlineStr">
        <is>
          <t>大将军转向</t>
        </is>
      </c>
      <c r="O945" s="14" t="inlineStr">
        <is>
          <t>是</t>
        </is>
      </c>
    </row>
    <row r="946">
      <c r="A946" s="2" t="inlineStr">
        <is>
          <t>2024-08-22</t>
        </is>
      </c>
      <c r="B946" s="2" t="inlineStr">
        <is>
          <t>2024-08-26</t>
        </is>
      </c>
      <c r="C946" s="2" t="inlineStr">
        <is>
          <t>玻璃</t>
        </is>
      </c>
      <c r="D946" s="2" t="inlineStr">
        <is>
          <t>FG</t>
        </is>
      </c>
      <c r="E946" s="9" t="inlineStr">
        <is>
          <t>空</t>
        </is>
      </c>
      <c r="F946" s="2" t="inlineStr">
        <is>
          <t>★★★</t>
        </is>
      </c>
      <c r="G946" s="10" t="n">
        <v>5</v>
      </c>
      <c r="H946" s="11" t="n">
        <v>1261</v>
      </c>
      <c r="I946" s="11" t="n">
        <v>1249</v>
      </c>
      <c r="J946" s="10" t="n">
        <v>20</v>
      </c>
      <c r="K946" s="10" t="n">
        <v>13600</v>
      </c>
      <c r="L946" s="23">
        <f>IF(E946="多",1,-1)*(I946-H946)*G946*J946</f>
        <v/>
      </c>
      <c r="M946" s="24">
        <f>L946/K946</f>
        <v/>
      </c>
      <c r="N946" s="2" t="inlineStr">
        <is>
          <t>大将军转向</t>
        </is>
      </c>
      <c r="O946" s="2" t="inlineStr">
        <is>
          <t>否</t>
        </is>
      </c>
    </row>
    <row r="947">
      <c r="A947" s="14" t="inlineStr">
        <is>
          <t>2024-08-15</t>
        </is>
      </c>
      <c r="B947" s="14" t="inlineStr">
        <is>
          <t>2024-08-26</t>
        </is>
      </c>
      <c r="C947" s="14" t="inlineStr">
        <is>
          <t>沪银</t>
        </is>
      </c>
      <c r="D947" s="14" t="inlineStr">
        <is>
          <t>AG</t>
        </is>
      </c>
      <c r="E947" s="14" t="inlineStr">
        <is>
          <t>多</t>
        </is>
      </c>
      <c r="F947" s="14" t="inlineStr">
        <is>
          <t>★★</t>
        </is>
      </c>
      <c r="G947" s="14" t="n">
        <v>1</v>
      </c>
      <c r="H947" s="15" t="n">
        <v>7205</v>
      </c>
      <c r="I947" s="15" t="n">
        <v>7676</v>
      </c>
      <c r="J947" s="14" t="n">
        <v>15</v>
      </c>
      <c r="K947" s="14" t="n">
        <v>10000</v>
      </c>
      <c r="L947" s="25">
        <f>IF(E947="多",1,-1)*(I947-H947)*G947*J947</f>
        <v/>
      </c>
      <c r="M947" s="26">
        <f>L947/K947</f>
        <v/>
      </c>
      <c r="N947" s="14" t="inlineStr">
        <is>
          <t>大将军转向</t>
        </is>
      </c>
      <c r="O947" s="14" t="inlineStr">
        <is>
          <t>是</t>
        </is>
      </c>
    </row>
    <row r="948">
      <c r="A948" s="14" t="inlineStr">
        <is>
          <t>2024-08-13</t>
        </is>
      </c>
      <c r="B948" s="14" t="inlineStr">
        <is>
          <t>2024-08-22</t>
        </is>
      </c>
      <c r="C948" s="14" t="inlineStr">
        <is>
          <t>白糖</t>
        </is>
      </c>
      <c r="D948" s="14" t="inlineStr">
        <is>
          <t>SR</t>
        </is>
      </c>
      <c r="E948" s="14" t="inlineStr">
        <is>
          <t>多</t>
        </is>
      </c>
      <c r="F948" s="14" t="inlineStr">
        <is>
          <t>★★</t>
        </is>
      </c>
      <c r="G948" s="14" t="n">
        <v>5</v>
      </c>
      <c r="H948" s="15" t="n">
        <v>5725</v>
      </c>
      <c r="I948" s="15" t="n">
        <v>5555</v>
      </c>
      <c r="J948" s="14" t="n">
        <v>10</v>
      </c>
      <c r="K948" s="14" t="n">
        <v>10000</v>
      </c>
      <c r="L948" s="25">
        <f>IF(E948="多",1,-1)*(I948-H948)*G948*J948</f>
        <v/>
      </c>
      <c r="M948" s="26">
        <f>L948/K948</f>
        <v/>
      </c>
      <c r="N948" s="14" t="inlineStr">
        <is>
          <t>止损</t>
        </is>
      </c>
      <c r="O948" s="14" t="inlineStr">
        <is>
          <t>是</t>
        </is>
      </c>
    </row>
    <row r="949">
      <c r="A949" s="2" t="inlineStr">
        <is>
          <t>2024-08-16</t>
        </is>
      </c>
      <c r="B949" s="2" t="inlineStr">
        <is>
          <t>2024-08-21</t>
        </is>
      </c>
      <c r="C949" s="2" t="inlineStr">
        <is>
          <t>玻璃</t>
        </is>
      </c>
      <c r="D949" s="2" t="inlineStr">
        <is>
          <t>FG</t>
        </is>
      </c>
      <c r="E949" s="9" t="inlineStr">
        <is>
          <t>空</t>
        </is>
      </c>
      <c r="F949" s="2" t="inlineStr">
        <is>
          <t>★★★</t>
        </is>
      </c>
      <c r="G949" s="10" t="n">
        <v>6</v>
      </c>
      <c r="H949" s="11" t="n">
        <v>1271</v>
      </c>
      <c r="I949" s="11" t="n">
        <v>1323</v>
      </c>
      <c r="J949" s="10" t="n">
        <v>20</v>
      </c>
      <c r="K949" s="10" t="n">
        <v>15000</v>
      </c>
      <c r="L949" s="23">
        <f>IF(E949="多",1,-1)*(I949-H949)*G949*J949</f>
        <v/>
      </c>
      <c r="M949" s="24">
        <f>L949/K949</f>
        <v/>
      </c>
      <c r="N949" s="2" t="inlineStr">
        <is>
          <t>将军撤退</t>
        </is>
      </c>
      <c r="O949" s="2" t="inlineStr">
        <is>
          <t>否</t>
        </is>
      </c>
    </row>
    <row r="950">
      <c r="A950" s="2" t="inlineStr">
        <is>
          <t>2024-08-08</t>
        </is>
      </c>
      <c r="B950" s="2" t="inlineStr">
        <is>
          <t>2024-08-21</t>
        </is>
      </c>
      <c r="C950" s="2" t="inlineStr">
        <is>
          <t>PTA</t>
        </is>
      </c>
      <c r="D950" s="2" t="inlineStr">
        <is>
          <t>TA</t>
        </is>
      </c>
      <c r="E950" s="9" t="inlineStr">
        <is>
          <t>空</t>
        </is>
      </c>
      <c r="F950" s="2" t="inlineStr">
        <is>
          <t>★★★</t>
        </is>
      </c>
      <c r="G950" s="10" t="n">
        <v>26</v>
      </c>
      <c r="H950" s="11" t="n">
        <v>5604</v>
      </c>
      <c r="I950" s="11" t="n">
        <v>5440</v>
      </c>
      <c r="J950" s="10" t="n">
        <v>5</v>
      </c>
      <c r="K950" s="10" t="n">
        <v>28600</v>
      </c>
      <c r="L950" s="23">
        <f>IF(E950="多",1,-1)*(I950-H950)*G950*J950</f>
        <v/>
      </c>
      <c r="M950" s="24">
        <f>L950/K950</f>
        <v/>
      </c>
      <c r="N950" s="2" t="inlineStr">
        <is>
          <t>将军撤退</t>
        </is>
      </c>
      <c r="O950" s="2" t="inlineStr">
        <is>
          <t>否</t>
        </is>
      </c>
    </row>
    <row r="951">
      <c r="A951" s="14" t="inlineStr">
        <is>
          <t>2024-07-12</t>
        </is>
      </c>
      <c r="B951" s="14" t="inlineStr">
        <is>
          <t>2024-08-21</t>
        </is>
      </c>
      <c r="C951" s="14" t="inlineStr">
        <is>
          <t>碳酸锂</t>
        </is>
      </c>
      <c r="D951" s="14" t="inlineStr">
        <is>
          <t>LC</t>
        </is>
      </c>
      <c r="E951" s="14" t="inlineStr">
        <is>
          <t>空</t>
        </is>
      </c>
      <c r="F951" s="14" t="inlineStr">
        <is>
          <t>★★</t>
        </is>
      </c>
      <c r="G951" s="14" t="n">
        <v>1</v>
      </c>
      <c r="H951" s="15" t="n">
        <v>90800</v>
      </c>
      <c r="I951" s="15" t="n">
        <v>78675</v>
      </c>
      <c r="J951" s="14" t="n">
        <v>1</v>
      </c>
      <c r="K951" s="14" t="n">
        <v>10000</v>
      </c>
      <c r="L951" s="25">
        <f>IF(E951="多",1,-1)*(I951-H951)*G951*J951</f>
        <v/>
      </c>
      <c r="M951" s="26">
        <f>L951/K951</f>
        <v/>
      </c>
      <c r="N951" s="14" t="inlineStr">
        <is>
          <t>止损</t>
        </is>
      </c>
      <c r="O951" s="14" t="inlineStr">
        <is>
          <t>是</t>
        </is>
      </c>
    </row>
    <row r="952">
      <c r="A952" s="2" t="inlineStr">
        <is>
          <t>2024-08-19</t>
        </is>
      </c>
      <c r="B952" s="2" t="inlineStr">
        <is>
          <t>2024-08-20</t>
        </is>
      </c>
      <c r="C952" s="2" t="inlineStr">
        <is>
          <t>锰硅</t>
        </is>
      </c>
      <c r="D952" s="2" t="inlineStr">
        <is>
          <t>SM</t>
        </is>
      </c>
      <c r="E952" s="9" t="inlineStr">
        <is>
          <t>空</t>
        </is>
      </c>
      <c r="F952" s="2" t="inlineStr">
        <is>
          <t>★★★</t>
        </is>
      </c>
      <c r="G952" s="10" t="n">
        <v>10</v>
      </c>
      <c r="H952" s="11" t="n">
        <v>6350</v>
      </c>
      <c r="I952" s="11" t="n">
        <v>6334</v>
      </c>
      <c r="J952" s="10" t="n">
        <v>5</v>
      </c>
      <c r="K952" s="10" t="n">
        <v>30000</v>
      </c>
      <c r="L952" s="23">
        <f>IF(E952="多",1,-1)*(I952-H952)*G952*J952</f>
        <v/>
      </c>
      <c r="M952" s="24">
        <f>L952/K952</f>
        <v/>
      </c>
      <c r="N952" s="2" t="inlineStr">
        <is>
          <t>将军撤退</t>
        </is>
      </c>
      <c r="O952" s="2" t="inlineStr">
        <is>
          <t>否</t>
        </is>
      </c>
    </row>
    <row r="953">
      <c r="A953" s="2" t="inlineStr">
        <is>
          <t>2024-08-06</t>
        </is>
      </c>
      <c r="B953" s="2" t="inlineStr">
        <is>
          <t>2024-08-19</t>
        </is>
      </c>
      <c r="C953" s="2" t="inlineStr">
        <is>
          <t>纯碱</t>
        </is>
      </c>
      <c r="D953" s="2" t="inlineStr">
        <is>
          <t>SA</t>
        </is>
      </c>
      <c r="E953" s="9" t="inlineStr">
        <is>
          <t>空</t>
        </is>
      </c>
      <c r="F953" s="2" t="inlineStr">
        <is>
          <t>★★★</t>
        </is>
      </c>
      <c r="G953" s="10" t="n">
        <v>4</v>
      </c>
      <c r="H953" s="11" t="n">
        <v>1757</v>
      </c>
      <c r="I953" s="11" t="n">
        <v>1596</v>
      </c>
      <c r="J953" s="10" t="n">
        <v>20</v>
      </c>
      <c r="K953" s="10" t="n">
        <v>15000</v>
      </c>
      <c r="L953" s="23">
        <f>IF(E953="多",1,-1)*(I953-H953)*G953*J953</f>
        <v/>
      </c>
      <c r="M953" s="24">
        <f>L953/K953</f>
        <v/>
      </c>
      <c r="N953" s="2" t="inlineStr">
        <is>
          <t>将军撤退</t>
        </is>
      </c>
      <c r="O953" s="2" t="inlineStr">
        <is>
          <t>否</t>
        </is>
      </c>
    </row>
    <row r="954">
      <c r="A954" s="2" t="inlineStr">
        <is>
          <t>2024-07-31</t>
        </is>
      </c>
      <c r="B954" s="2" t="inlineStr">
        <is>
          <t>2024-08-19</t>
        </is>
      </c>
      <c r="C954" s="2" t="inlineStr">
        <is>
          <t>沪铝</t>
        </is>
      </c>
      <c r="D954" s="2" t="inlineStr">
        <is>
          <t>AL</t>
        </is>
      </c>
      <c r="E954" s="9" t="inlineStr">
        <is>
          <t>空</t>
        </is>
      </c>
      <c r="F954" s="2" t="inlineStr">
        <is>
          <t>★★★</t>
        </is>
      </c>
      <c r="G954" s="10" t="n">
        <v>6</v>
      </c>
      <c r="H954" s="11" t="n">
        <v>19315</v>
      </c>
      <c r="I954" s="11" t="n">
        <v>19531.43</v>
      </c>
      <c r="J954" s="10" t="n">
        <v>5</v>
      </c>
      <c r="K954" s="10" t="n">
        <v>26400</v>
      </c>
      <c r="L954" s="23">
        <f>IF(E954="多",1,-1)*(I954-H954)*G954*J954</f>
        <v/>
      </c>
      <c r="M954" s="24">
        <f>L954/K954</f>
        <v/>
      </c>
      <c r="N954" s="2" t="inlineStr">
        <is>
          <t>止损</t>
        </is>
      </c>
      <c r="O954" s="2" t="inlineStr">
        <is>
          <t>否</t>
        </is>
      </c>
    </row>
    <row r="955">
      <c r="A955" s="2" t="inlineStr">
        <is>
          <t>2024-08-08</t>
        </is>
      </c>
      <c r="B955" s="2" t="inlineStr">
        <is>
          <t>2024-08-15</t>
        </is>
      </c>
      <c r="C955" s="2" t="inlineStr">
        <is>
          <t>沪银</t>
        </is>
      </c>
      <c r="D955" s="2" t="inlineStr">
        <is>
          <t>AG</t>
        </is>
      </c>
      <c r="E955" s="9" t="inlineStr">
        <is>
          <t>空</t>
        </is>
      </c>
      <c r="F955" s="2" t="inlineStr">
        <is>
          <t>★★★</t>
        </is>
      </c>
      <c r="G955" s="10" t="n">
        <v>2</v>
      </c>
      <c r="H955" s="11" t="n">
        <v>6952</v>
      </c>
      <c r="I955" s="11" t="n">
        <v>7194</v>
      </c>
      <c r="J955" s="10" t="n">
        <v>15</v>
      </c>
      <c r="K955" s="10" t="n">
        <v>30000</v>
      </c>
      <c r="L955" s="23">
        <f>IF(E955="多",1,-1)*(I955-H955)*G955*J955</f>
        <v/>
      </c>
      <c r="M955" s="24">
        <f>L955/K955</f>
        <v/>
      </c>
      <c r="N955" s="2" t="inlineStr">
        <is>
          <t>反向信号</t>
        </is>
      </c>
      <c r="O955" s="2" t="inlineStr">
        <is>
          <t>否</t>
        </is>
      </c>
    </row>
    <row r="956">
      <c r="A956" s="14" t="inlineStr">
        <is>
          <t>2024-08-13</t>
        </is>
      </c>
      <c r="B956" s="14" t="inlineStr">
        <is>
          <t>2024-08-14</t>
        </is>
      </c>
      <c r="C956" s="14" t="inlineStr">
        <is>
          <t>菜油</t>
        </is>
      </c>
      <c r="D956" s="14" t="inlineStr">
        <is>
          <t>OI</t>
        </is>
      </c>
      <c r="E956" s="14" t="inlineStr">
        <is>
          <t>空</t>
        </is>
      </c>
      <c r="F956" s="14" t="inlineStr">
        <is>
          <t>★★</t>
        </is>
      </c>
      <c r="G956" s="14" t="n">
        <v>1</v>
      </c>
      <c r="H956" s="15" t="n">
        <v>8100</v>
      </c>
      <c r="I956" s="15" t="n">
        <v>7989</v>
      </c>
      <c r="J956" s="14" t="n">
        <v>10</v>
      </c>
      <c r="K956" s="14" t="n">
        <v>10000</v>
      </c>
      <c r="L956" s="25">
        <f>IF(E956="多",1,-1)*(I956-H956)*G956*J956</f>
        <v/>
      </c>
      <c r="M956" s="26">
        <f>L956/K956</f>
        <v/>
      </c>
      <c r="N956" s="14" t="inlineStr">
        <is>
          <t>大将军转向</t>
        </is>
      </c>
      <c r="O956" s="14" t="inlineStr">
        <is>
          <t>是</t>
        </is>
      </c>
    </row>
    <row r="957">
      <c r="A957" s="14" t="inlineStr">
        <is>
          <t>2024-08-12</t>
        </is>
      </c>
      <c r="B957" s="14" t="inlineStr">
        <is>
          <t>2024-08-14</t>
        </is>
      </c>
      <c r="C957" s="14" t="inlineStr">
        <is>
          <t>沪镍</t>
        </is>
      </c>
      <c r="D957" s="14" t="inlineStr">
        <is>
          <t>NI</t>
        </is>
      </c>
      <c r="E957" s="14" t="inlineStr">
        <is>
          <t>空</t>
        </is>
      </c>
      <c r="F957" s="14" t="inlineStr">
        <is>
          <t>★★</t>
        </is>
      </c>
      <c r="G957" s="14" t="n">
        <v>1</v>
      </c>
      <c r="H957" s="15" t="n">
        <v>128320</v>
      </c>
      <c r="I957" s="15" t="n">
        <v>127240</v>
      </c>
      <c r="J957" s="14" t="n">
        <v>1</v>
      </c>
      <c r="K957" s="14" t="n">
        <v>10000</v>
      </c>
      <c r="L957" s="25">
        <f>IF(E957="多",1,-1)*(I957-H957)*G957*J957</f>
        <v/>
      </c>
      <c r="M957" s="26">
        <f>L957/K957</f>
        <v/>
      </c>
      <c r="N957" s="14" t="inlineStr">
        <is>
          <t>大将军转向</t>
        </is>
      </c>
      <c r="O957" s="14" t="inlineStr">
        <is>
          <t>是</t>
        </is>
      </c>
    </row>
    <row r="958">
      <c r="A958" s="14" t="inlineStr">
        <is>
          <t>2024-08-09</t>
        </is>
      </c>
      <c r="B958" s="14" t="inlineStr">
        <is>
          <t>2024-08-12</t>
        </is>
      </c>
      <c r="C958" s="14" t="inlineStr">
        <is>
          <t>聚丙烯</t>
        </is>
      </c>
      <c r="D958" s="14" t="inlineStr">
        <is>
          <t>PP</t>
        </is>
      </c>
      <c r="E958" s="14" t="inlineStr">
        <is>
          <t>空</t>
        </is>
      </c>
      <c r="F958" s="14" t="inlineStr">
        <is>
          <t>★★</t>
        </is>
      </c>
      <c r="G958" s="14" t="n">
        <v>10</v>
      </c>
      <c r="H958" s="15" t="n">
        <v>7536</v>
      </c>
      <c r="I958" s="15" t="n">
        <v>7556</v>
      </c>
      <c r="J958" s="14" t="n">
        <v>5</v>
      </c>
      <c r="K958" s="14" t="n">
        <v>10000</v>
      </c>
      <c r="L958" s="25">
        <f>IF(E958="多",1,-1)*(I958-H958)*G958*J958</f>
        <v/>
      </c>
      <c r="M958" s="26">
        <f>L958/K958</f>
        <v/>
      </c>
      <c r="N958" s="14" t="inlineStr">
        <is>
          <t>将军撤退</t>
        </is>
      </c>
      <c r="O958" s="14" t="inlineStr">
        <is>
          <t>是</t>
        </is>
      </c>
    </row>
    <row r="959">
      <c r="A959" s="2" t="inlineStr">
        <is>
          <t>2024-08-07</t>
        </is>
      </c>
      <c r="B959" s="2" t="inlineStr">
        <is>
          <t>2024-08-08</t>
        </is>
      </c>
      <c r="C959" s="2" t="inlineStr">
        <is>
          <t>菜粕</t>
        </is>
      </c>
      <c r="D959" s="2" t="inlineStr">
        <is>
          <t>RM</t>
        </is>
      </c>
      <c r="E959" s="9" t="inlineStr">
        <is>
          <t>空</t>
        </is>
      </c>
      <c r="F959" s="2" t="inlineStr">
        <is>
          <t>★★★</t>
        </is>
      </c>
      <c r="G959" s="10" t="n">
        <v>6</v>
      </c>
      <c r="H959" s="11" t="n">
        <v>2295</v>
      </c>
      <c r="I959" s="11" t="n">
        <v>2269</v>
      </c>
      <c r="J959" s="10" t="n">
        <v>10</v>
      </c>
      <c r="K959" s="10" t="n">
        <v>13600</v>
      </c>
      <c r="L959" s="23">
        <f>IF(E959="多",1,-1)*(I959-H959)*G959*J959</f>
        <v/>
      </c>
      <c r="M959" s="24">
        <f>L959/K959</f>
        <v/>
      </c>
      <c r="N959" s="2" t="inlineStr">
        <is>
          <t>大将军转向</t>
        </is>
      </c>
      <c r="O959" s="2" t="inlineStr">
        <is>
          <t>否</t>
        </is>
      </c>
    </row>
    <row r="960">
      <c r="A960" s="2" t="inlineStr">
        <is>
          <t>2024-08-06</t>
        </is>
      </c>
      <c r="B960" s="2" t="inlineStr">
        <is>
          <t>2024-08-08</t>
        </is>
      </c>
      <c r="C960" s="2" t="inlineStr">
        <is>
          <t>锰硅</t>
        </is>
      </c>
      <c r="D960" s="2" t="inlineStr">
        <is>
          <t>SM</t>
        </is>
      </c>
      <c r="E960" s="9" t="inlineStr">
        <is>
          <t>空</t>
        </is>
      </c>
      <c r="F960" s="2" t="inlineStr">
        <is>
          <t>★★★</t>
        </is>
      </c>
      <c r="G960" s="10" t="n">
        <v>10</v>
      </c>
      <c r="H960" s="11" t="n">
        <v>6600</v>
      </c>
      <c r="I960" s="11" t="n">
        <v>6424</v>
      </c>
      <c r="J960" s="10" t="n">
        <v>5</v>
      </c>
      <c r="K960" s="10" t="n">
        <v>30000</v>
      </c>
      <c r="L960" s="23">
        <f>IF(E960="多",1,-1)*(I960-H960)*G960*J960</f>
        <v/>
      </c>
      <c r="M960" s="24">
        <f>L960/K960</f>
        <v/>
      </c>
      <c r="N960" s="2" t="inlineStr">
        <is>
          <t>大将军转向</t>
        </is>
      </c>
      <c r="O960" s="2" t="inlineStr">
        <is>
          <t>否</t>
        </is>
      </c>
    </row>
    <row r="961">
      <c r="A961" s="2" t="inlineStr">
        <is>
          <t>2024-08-05</t>
        </is>
      </c>
      <c r="B961" s="2" t="inlineStr">
        <is>
          <t>2024-08-08</t>
        </is>
      </c>
      <c r="C961" s="2" t="inlineStr">
        <is>
          <t>玻璃</t>
        </is>
      </c>
      <c r="D961" s="2" t="inlineStr">
        <is>
          <t>FG</t>
        </is>
      </c>
      <c r="E961" s="9" t="inlineStr">
        <is>
          <t>空</t>
        </is>
      </c>
      <c r="F961" s="2" t="inlineStr">
        <is>
          <t>★★★</t>
        </is>
      </c>
      <c r="G961" s="10" t="n">
        <v>6</v>
      </c>
      <c r="H961" s="11" t="n">
        <v>1345</v>
      </c>
      <c r="I961" s="11" t="n">
        <v>1297</v>
      </c>
      <c r="J961" s="10" t="n">
        <v>20</v>
      </c>
      <c r="K961" s="10" t="n">
        <v>15000</v>
      </c>
      <c r="L961" s="23">
        <f>IF(E961="多",1,-1)*(I961-H961)*G961*J961</f>
        <v/>
      </c>
      <c r="M961" s="24">
        <f>L961/K961</f>
        <v/>
      </c>
      <c r="N961" s="2" t="inlineStr">
        <is>
          <t>大将军转向</t>
        </is>
      </c>
      <c r="O961" s="2" t="inlineStr">
        <is>
          <t>否</t>
        </is>
      </c>
    </row>
    <row r="962">
      <c r="A962" s="2" t="inlineStr">
        <is>
          <t>2024-08-06</t>
        </is>
      </c>
      <c r="B962" s="2" t="inlineStr">
        <is>
          <t>2024-08-07</t>
        </is>
      </c>
      <c r="C962" s="2" t="inlineStr">
        <is>
          <t>PTA</t>
        </is>
      </c>
      <c r="D962" s="2" t="inlineStr">
        <is>
          <t>TA</t>
        </is>
      </c>
      <c r="E962" s="9" t="inlineStr">
        <is>
          <t>空</t>
        </is>
      </c>
      <c r="F962" s="2" t="inlineStr">
        <is>
          <t>★★★</t>
        </is>
      </c>
      <c r="G962" s="10" t="n">
        <v>13</v>
      </c>
      <c r="H962" s="11" t="n">
        <v>5586</v>
      </c>
      <c r="I962" s="11" t="n">
        <v>5592</v>
      </c>
      <c r="J962" s="10" t="n">
        <v>5</v>
      </c>
      <c r="K962" s="10" t="n">
        <v>13600</v>
      </c>
      <c r="L962" s="23">
        <f>IF(E962="多",1,-1)*(I962-H962)*G962*J962</f>
        <v/>
      </c>
      <c r="M962" s="24">
        <f>L962/K962</f>
        <v/>
      </c>
      <c r="N962" s="2" t="inlineStr">
        <is>
          <t>将军撤退+大将军转向</t>
        </is>
      </c>
      <c r="O962" s="2" t="inlineStr">
        <is>
          <t>否</t>
        </is>
      </c>
    </row>
    <row r="963">
      <c r="A963" s="2" t="inlineStr">
        <is>
          <t>2024-08-01</t>
        </is>
      </c>
      <c r="B963" s="2" t="inlineStr">
        <is>
          <t>2024-08-06</t>
        </is>
      </c>
      <c r="C963" s="2" t="inlineStr">
        <is>
          <t>玉米</t>
        </is>
      </c>
      <c r="D963" s="2" t="inlineStr">
        <is>
          <t>C</t>
        </is>
      </c>
      <c r="E963" s="9" t="inlineStr">
        <is>
          <t>空</t>
        </is>
      </c>
      <c r="F963" s="2" t="inlineStr">
        <is>
          <t>★★★</t>
        </is>
      </c>
      <c r="G963" s="10" t="n">
        <v>40</v>
      </c>
      <c r="H963" s="11" t="n">
        <v>2335</v>
      </c>
      <c r="I963" s="11" t="n">
        <v>2265</v>
      </c>
      <c r="J963" s="10" t="n">
        <v>10</v>
      </c>
      <c r="K963" s="10" t="n">
        <v>30000</v>
      </c>
      <c r="L963" s="23">
        <f>IF(E963="多",1,-1)*(I963-H963)*G963*J963</f>
        <v/>
      </c>
      <c r="M963" s="24">
        <f>L963/K963</f>
        <v/>
      </c>
      <c r="N963" s="2" t="inlineStr">
        <is>
          <t>将军撤退+大将军转向</t>
        </is>
      </c>
      <c r="O963" s="2" t="inlineStr">
        <is>
          <t>否</t>
        </is>
      </c>
    </row>
    <row r="964">
      <c r="A964" s="2" t="inlineStr">
        <is>
          <t>2024-07-15</t>
        </is>
      </c>
      <c r="B964" s="2" t="inlineStr">
        <is>
          <t>2024-08-06</t>
        </is>
      </c>
      <c r="C964" s="2" t="inlineStr">
        <is>
          <t>豆油</t>
        </is>
      </c>
      <c r="D964" s="2" t="inlineStr">
        <is>
          <t>Y</t>
        </is>
      </c>
      <c r="E964" s="9" t="inlineStr">
        <is>
          <t>空</t>
        </is>
      </c>
      <c r="F964" s="2" t="inlineStr">
        <is>
          <t>★★★</t>
        </is>
      </c>
      <c r="G964" s="10" t="n">
        <v>7</v>
      </c>
      <c r="H964" s="11" t="n">
        <v>7570</v>
      </c>
      <c r="I964" s="11" t="n">
        <v>7408</v>
      </c>
      <c r="J964" s="10" t="n">
        <v>10</v>
      </c>
      <c r="K964" s="10" t="n">
        <v>28600</v>
      </c>
      <c r="L964" s="23">
        <f>IF(E964="多",1,-1)*(I964-H964)*G964*J964</f>
        <v/>
      </c>
      <c r="M964" s="24">
        <f>L964/K964</f>
        <v/>
      </c>
      <c r="N964" s="2" t="inlineStr">
        <is>
          <t>将军撤退</t>
        </is>
      </c>
      <c r="O964" s="2" t="inlineStr">
        <is>
          <t>否</t>
        </is>
      </c>
    </row>
    <row r="965">
      <c r="A965" s="14" t="inlineStr">
        <is>
          <t>2024-07-19</t>
        </is>
      </c>
      <c r="B965" s="14" t="inlineStr">
        <is>
          <t>2024-08-05</t>
        </is>
      </c>
      <c r="C965" s="14" t="inlineStr">
        <is>
          <t>工业硅</t>
        </is>
      </c>
      <c r="D965" s="14" t="inlineStr">
        <is>
          <t>SI</t>
        </is>
      </c>
      <c r="E965" s="14" t="inlineStr">
        <is>
          <t>空</t>
        </is>
      </c>
      <c r="F965" s="14" t="inlineStr">
        <is>
          <t>★★★</t>
        </is>
      </c>
      <c r="G965" s="14" t="n">
        <v>2</v>
      </c>
      <c r="H965" s="15" t="n">
        <v>10535</v>
      </c>
      <c r="I965" s="15" t="n">
        <v>10405</v>
      </c>
      <c r="J965" s="14" t="n">
        <v>5</v>
      </c>
      <c r="K965" s="14" t="n">
        <v>10000</v>
      </c>
      <c r="L965" s="25">
        <f>IF(E965="多",1,-1)*(I965-H965)*G965*J965</f>
        <v/>
      </c>
      <c r="M965" s="26">
        <f>L965/K965</f>
        <v/>
      </c>
      <c r="N965" s="14" t="inlineStr">
        <is>
          <t>大将军转向</t>
        </is>
      </c>
      <c r="O965" s="14" t="inlineStr">
        <is>
          <t>是</t>
        </is>
      </c>
    </row>
    <row r="966">
      <c r="A966" s="2" t="inlineStr">
        <is>
          <t>2024-08-01</t>
        </is>
      </c>
      <c r="B966" s="2" t="inlineStr">
        <is>
          <t>2024-08-02</t>
        </is>
      </c>
      <c r="C966" s="2" t="inlineStr">
        <is>
          <t>锰硅</t>
        </is>
      </c>
      <c r="D966" s="2" t="inlineStr">
        <is>
          <t>SM</t>
        </is>
      </c>
      <c r="E966" s="9" t="inlineStr">
        <is>
          <t>空</t>
        </is>
      </c>
      <c r="F966" s="2" t="inlineStr">
        <is>
          <t>★★★</t>
        </is>
      </c>
      <c r="G966" s="10" t="n">
        <v>5</v>
      </c>
      <c r="H966" s="11" t="n">
        <v>6720</v>
      </c>
      <c r="I966" s="11" t="n">
        <v>6790</v>
      </c>
      <c r="J966" s="10" t="n">
        <v>5</v>
      </c>
      <c r="K966" s="10" t="n">
        <v>15000</v>
      </c>
      <c r="L966" s="23">
        <f>IF(E966="多",1,-1)*(I966-H966)*G966*J966</f>
        <v/>
      </c>
      <c r="M966" s="24">
        <f>L966/K966</f>
        <v/>
      </c>
      <c r="N966" s="2" t="inlineStr">
        <is>
          <t>将军撤退</t>
        </is>
      </c>
      <c r="O966" s="2" t="inlineStr">
        <is>
          <t>否</t>
        </is>
      </c>
    </row>
    <row r="967">
      <c r="A967" s="14" t="inlineStr">
        <is>
          <t>2024-07-31</t>
        </is>
      </c>
      <c r="B967" s="14" t="inlineStr">
        <is>
          <t>2024-08-02</t>
        </is>
      </c>
      <c r="C967" s="14" t="inlineStr">
        <is>
          <t>纯碱</t>
        </is>
      </c>
      <c r="D967" s="14" t="inlineStr">
        <is>
          <t>SA</t>
        </is>
      </c>
      <c r="E967" s="14" t="inlineStr">
        <is>
          <t>空</t>
        </is>
      </c>
      <c r="F967" s="14" t="inlineStr">
        <is>
          <t>★★★</t>
        </is>
      </c>
      <c r="G967" s="14" t="n">
        <v>3</v>
      </c>
      <c r="H967" s="15" t="n">
        <v>1778</v>
      </c>
      <c r="I967" s="15" t="n">
        <v>1813</v>
      </c>
      <c r="J967" s="14" t="n">
        <v>20</v>
      </c>
      <c r="K967" s="14" t="n">
        <v>10000</v>
      </c>
      <c r="L967" s="25">
        <f>IF(E967="多",1,-1)*(I967-H967)*G967*J967</f>
        <v/>
      </c>
      <c r="M967" s="26">
        <f>L967/K967</f>
        <v/>
      </c>
      <c r="N967" s="14" t="inlineStr">
        <is>
          <t>将军撤退</t>
        </is>
      </c>
      <c r="O967" s="14" t="inlineStr">
        <is>
          <t>是</t>
        </is>
      </c>
    </row>
    <row r="968">
      <c r="A968" s="2" t="inlineStr">
        <is>
          <t>2024-07-31</t>
        </is>
      </c>
      <c r="B968" s="2" t="inlineStr">
        <is>
          <t>2024-08-01</t>
        </is>
      </c>
      <c r="C968" s="2" t="inlineStr">
        <is>
          <t>豆粕</t>
        </is>
      </c>
      <c r="D968" s="2" t="inlineStr">
        <is>
          <t>M</t>
        </is>
      </c>
      <c r="E968" s="9" t="inlineStr">
        <is>
          <t>空</t>
        </is>
      </c>
      <c r="F968" s="2" t="inlineStr">
        <is>
          <t>★★★</t>
        </is>
      </c>
      <c r="G968" s="10" t="n">
        <v>17</v>
      </c>
      <c r="H968" s="11" t="n">
        <v>3085</v>
      </c>
      <c r="I968" s="11" t="n">
        <v>3072</v>
      </c>
      <c r="J968" s="10" t="n">
        <v>10</v>
      </c>
      <c r="K968" s="10" t="n">
        <v>30000</v>
      </c>
      <c r="L968" s="23">
        <f>IF(E968="多",1,-1)*(I968-H968)*G968*J968</f>
        <v/>
      </c>
      <c r="M968" s="24">
        <f>L968/K968</f>
        <v/>
      </c>
      <c r="N968" s="2" t="inlineStr">
        <is>
          <t>将军撤退</t>
        </is>
      </c>
      <c r="O968" s="2" t="inlineStr">
        <is>
          <t>否</t>
        </is>
      </c>
    </row>
    <row r="969">
      <c r="A969" s="2" t="inlineStr">
        <is>
          <t>2024-07-29</t>
        </is>
      </c>
      <c r="B969" s="2" t="inlineStr">
        <is>
          <t>2024-08-01</t>
        </is>
      </c>
      <c r="C969" s="2" t="inlineStr">
        <is>
          <t>PVC</t>
        </is>
      </c>
      <c r="D969" s="2" t="inlineStr">
        <is>
          <t>V</t>
        </is>
      </c>
      <c r="E969" s="9" t="inlineStr">
        <is>
          <t>空</t>
        </is>
      </c>
      <c r="F969" s="2" t="inlineStr">
        <is>
          <t>★★★</t>
        </is>
      </c>
      <c r="G969" s="10" t="n">
        <v>13</v>
      </c>
      <c r="H969" s="11" t="n">
        <v>5681</v>
      </c>
      <c r="I969" s="11" t="n">
        <v>5683</v>
      </c>
      <c r="J969" s="10" t="n">
        <v>5</v>
      </c>
      <c r="K969" s="10" t="n">
        <v>15000</v>
      </c>
      <c r="L969" s="23">
        <f>IF(E969="多",1,-1)*(I969-H969)*G969*J969</f>
        <v/>
      </c>
      <c r="M969" s="24">
        <f>L969/K969</f>
        <v/>
      </c>
      <c r="N969" s="2" t="inlineStr">
        <is>
          <t>大将军转向</t>
        </is>
      </c>
      <c r="O969" s="2" t="inlineStr">
        <is>
          <t>否</t>
        </is>
      </c>
    </row>
    <row r="970">
      <c r="A970" s="2" t="inlineStr">
        <is>
          <t>2024-07-26</t>
        </is>
      </c>
      <c r="B970" s="2" t="inlineStr">
        <is>
          <t>2024-07-31</t>
        </is>
      </c>
      <c r="C970" s="2" t="inlineStr">
        <is>
          <t>玻璃</t>
        </is>
      </c>
      <c r="D970" s="2" t="inlineStr">
        <is>
          <t>FG</t>
        </is>
      </c>
      <c r="E970" s="9" t="inlineStr">
        <is>
          <t>空</t>
        </is>
      </c>
      <c r="F970" s="2" t="inlineStr">
        <is>
          <t>★★★</t>
        </is>
      </c>
      <c r="G970" s="10" t="n">
        <v>14</v>
      </c>
      <c r="H970" s="11" t="n">
        <v>1388</v>
      </c>
      <c r="I970" s="11" t="n">
        <v>1375</v>
      </c>
      <c r="J970" s="10" t="n">
        <v>20</v>
      </c>
      <c r="K970" s="10" t="n">
        <v>28600</v>
      </c>
      <c r="L970" s="23">
        <f>IF(E970="多",1,-1)*(I970-H970)*G970*J970</f>
        <v/>
      </c>
      <c r="M970" s="24">
        <f>L970/K970</f>
        <v/>
      </c>
      <c r="N970" s="2" t="inlineStr">
        <is>
          <t>将军撤退+大将军转向</t>
        </is>
      </c>
      <c r="O970" s="2" t="inlineStr">
        <is>
          <t>否</t>
        </is>
      </c>
    </row>
    <row r="971">
      <c r="A971" s="2" t="inlineStr">
        <is>
          <t>2024-07-23</t>
        </is>
      </c>
      <c r="B971" s="2" t="inlineStr">
        <is>
          <t>2024-07-31</t>
        </is>
      </c>
      <c r="C971" s="2" t="inlineStr">
        <is>
          <t>塑料</t>
        </is>
      </c>
      <c r="D971" s="2" t="inlineStr">
        <is>
          <t>L</t>
        </is>
      </c>
      <c r="E971" s="9" t="inlineStr">
        <is>
          <t>空</t>
        </is>
      </c>
      <c r="F971" s="2" t="inlineStr">
        <is>
          <t>★★★</t>
        </is>
      </c>
      <c r="G971" s="10" t="n">
        <v>31</v>
      </c>
      <c r="H971" s="11" t="n">
        <v>8303</v>
      </c>
      <c r="I971" s="11" t="n">
        <v>8256</v>
      </c>
      <c r="J971" s="10" t="n">
        <v>5</v>
      </c>
      <c r="K971" s="10" t="n">
        <v>27800</v>
      </c>
      <c r="L971" s="23">
        <f>IF(E971="多",1,-1)*(I971-H971)*G971*J971</f>
        <v/>
      </c>
      <c r="M971" s="24">
        <f>L971/K971</f>
        <v/>
      </c>
      <c r="N971" s="2" t="inlineStr">
        <is>
          <t>将军撤退</t>
        </is>
      </c>
      <c r="O971" s="2" t="inlineStr">
        <is>
          <t>否</t>
        </is>
      </c>
    </row>
    <row r="972">
      <c r="A972" s="14" t="inlineStr">
        <is>
          <t>2024-07-18</t>
        </is>
      </c>
      <c r="B972" s="14" t="inlineStr">
        <is>
          <t>2024-07-30</t>
        </is>
      </c>
      <c r="C972" s="14" t="inlineStr">
        <is>
          <t>聚丙烯</t>
        </is>
      </c>
      <c r="D972" s="14" t="inlineStr">
        <is>
          <t>PP</t>
        </is>
      </c>
      <c r="E972" s="14" t="inlineStr">
        <is>
          <t>多</t>
        </is>
      </c>
      <c r="F972" s="14" t="inlineStr">
        <is>
          <t>★★</t>
        </is>
      </c>
      <c r="G972" s="14" t="n">
        <v>12</v>
      </c>
      <c r="H972" s="15" t="n">
        <v>7669</v>
      </c>
      <c r="I972" s="15" t="n">
        <v>7536.29</v>
      </c>
      <c r="J972" s="14" t="n">
        <v>5</v>
      </c>
      <c r="K972" s="14" t="n">
        <v>10000</v>
      </c>
      <c r="L972" s="25">
        <f>IF(E972="多",1,-1)*(I972-H972)*G972*J972</f>
        <v/>
      </c>
      <c r="M972" s="26">
        <f>L972/K972</f>
        <v/>
      </c>
      <c r="N972" s="14" t="inlineStr">
        <is>
          <t>止损</t>
        </is>
      </c>
      <c r="O972" s="14" t="inlineStr">
        <is>
          <t>是</t>
        </is>
      </c>
    </row>
    <row r="973">
      <c r="A973" s="14" t="inlineStr">
        <is>
          <t>2024-07-23</t>
        </is>
      </c>
      <c r="B973" s="14" t="inlineStr">
        <is>
          <t>2024-07-29</t>
        </is>
      </c>
      <c r="C973" s="14" t="inlineStr">
        <is>
          <t>沪镍</t>
        </is>
      </c>
      <c r="D973" s="14" t="inlineStr">
        <is>
          <t>NI</t>
        </is>
      </c>
      <c r="E973" s="14" t="inlineStr">
        <is>
          <t>空</t>
        </is>
      </c>
      <c r="F973" s="14" t="inlineStr">
        <is>
          <t>★★</t>
        </is>
      </c>
      <c r="G973" s="14" t="n">
        <v>1</v>
      </c>
      <c r="H973" s="15" t="n">
        <v>128000</v>
      </c>
      <c r="I973" s="15" t="n">
        <v>127260</v>
      </c>
      <c r="J973" s="14" t="n">
        <v>1</v>
      </c>
      <c r="K973" s="14" t="n">
        <v>10000</v>
      </c>
      <c r="L973" s="25">
        <f>IF(E973="多",1,-1)*(I973-H973)*G973*J973</f>
        <v/>
      </c>
      <c r="M973" s="26">
        <f>L973/K973</f>
        <v/>
      </c>
      <c r="N973" s="14" t="inlineStr">
        <is>
          <t>大将军转向</t>
        </is>
      </c>
      <c r="O973" s="14" t="inlineStr">
        <is>
          <t>是</t>
        </is>
      </c>
    </row>
    <row r="974">
      <c r="A974" s="2" t="inlineStr">
        <is>
          <t>2024-07-15</t>
        </is>
      </c>
      <c r="B974" s="2" t="inlineStr">
        <is>
          <t>2024-07-29</t>
        </is>
      </c>
      <c r="C974" s="2" t="inlineStr">
        <is>
          <t>玉米</t>
        </is>
      </c>
      <c r="D974" s="2" t="inlineStr">
        <is>
          <t>C</t>
        </is>
      </c>
      <c r="E974" s="9" t="inlineStr">
        <is>
          <t>空</t>
        </is>
      </c>
      <c r="F974" s="2" t="inlineStr">
        <is>
          <t>★★★</t>
        </is>
      </c>
      <c r="G974" s="10" t="n">
        <v>26</v>
      </c>
      <c r="H974" s="11" t="n">
        <v>2384</v>
      </c>
      <c r="I974" s="11" t="n">
        <v>2347</v>
      </c>
      <c r="J974" s="10" t="n">
        <v>10</v>
      </c>
      <c r="K974" s="10" t="n">
        <v>15000</v>
      </c>
      <c r="L974" s="23">
        <f>IF(E974="多",1,-1)*(I974-H974)*G974*J974</f>
        <v/>
      </c>
      <c r="M974" s="24">
        <f>L974/K974</f>
        <v/>
      </c>
      <c r="N974" s="2" t="inlineStr">
        <is>
          <t>将军撤退</t>
        </is>
      </c>
      <c r="O974" s="2" t="inlineStr">
        <is>
          <t>否</t>
        </is>
      </c>
    </row>
    <row r="975">
      <c r="A975" s="14" t="inlineStr">
        <is>
          <t>2024-07-24</t>
        </is>
      </c>
      <c r="B975" s="14" t="inlineStr">
        <is>
          <t>2024-07-26</t>
        </is>
      </c>
      <c r="C975" s="14" t="inlineStr">
        <is>
          <t>甲醇</t>
        </is>
      </c>
      <c r="D975" s="14" t="inlineStr">
        <is>
          <t>MA</t>
        </is>
      </c>
      <c r="E975" s="14" t="inlineStr">
        <is>
          <t>多</t>
        </is>
      </c>
      <c r="F975" s="14" t="inlineStr">
        <is>
          <t>★★</t>
        </is>
      </c>
      <c r="G975" s="14" t="n">
        <v>9</v>
      </c>
      <c r="H975" s="15" t="n">
        <v>2514</v>
      </c>
      <c r="I975" s="15" t="n">
        <v>2514</v>
      </c>
      <c r="J975" s="14" t="n">
        <v>10</v>
      </c>
      <c r="K975" s="14" t="n">
        <v>10000</v>
      </c>
      <c r="L975" s="25">
        <f>IF(E975="多",1,-1)*(I975-H975)*G975*J975</f>
        <v/>
      </c>
      <c r="M975" s="26">
        <f>L975/K975</f>
        <v/>
      </c>
      <c r="N975" s="14" t="inlineStr">
        <is>
          <t>将军撤退+大将军转向</t>
        </is>
      </c>
      <c r="O975" s="14" t="inlineStr">
        <is>
          <t>是</t>
        </is>
      </c>
    </row>
    <row r="976">
      <c r="A976" s="2" t="inlineStr">
        <is>
          <t>2024-07-15</t>
        </is>
      </c>
      <c r="B976" s="2" t="inlineStr">
        <is>
          <t>2024-07-26</t>
        </is>
      </c>
      <c r="C976" s="2" t="inlineStr">
        <is>
          <t>PVC</t>
        </is>
      </c>
      <c r="D976" s="2" t="inlineStr">
        <is>
          <t>V</t>
        </is>
      </c>
      <c r="E976" s="9" t="inlineStr">
        <is>
          <t>空</t>
        </is>
      </c>
      <c r="F976" s="2" t="inlineStr">
        <is>
          <t>★★★</t>
        </is>
      </c>
      <c r="G976" s="10" t="n">
        <v>28</v>
      </c>
      <c r="H976" s="11" t="n">
        <v>5830</v>
      </c>
      <c r="I976" s="11" t="n">
        <v>5739</v>
      </c>
      <c r="J976" s="10" t="n">
        <v>5</v>
      </c>
      <c r="K976" s="10" t="n">
        <v>28600</v>
      </c>
      <c r="L976" s="23">
        <f>IF(E976="多",1,-1)*(I976-H976)*G976*J976</f>
        <v/>
      </c>
      <c r="M976" s="24">
        <f>L976/K976</f>
        <v/>
      </c>
      <c r="N976" s="2" t="inlineStr">
        <is>
          <t>将军撤退+大将军转向</t>
        </is>
      </c>
      <c r="O976" s="2" t="inlineStr">
        <is>
          <t>否</t>
        </is>
      </c>
    </row>
    <row r="977">
      <c r="A977" s="14" t="inlineStr">
        <is>
          <t>2024-07-22</t>
        </is>
      </c>
      <c r="B977" s="14" t="inlineStr">
        <is>
          <t>2024-07-25</t>
        </is>
      </c>
      <c r="C977" s="14" t="inlineStr">
        <is>
          <t>纯碱</t>
        </is>
      </c>
      <c r="D977" s="14" t="inlineStr">
        <is>
          <t>SA</t>
        </is>
      </c>
      <c r="E977" s="14" t="inlineStr">
        <is>
          <t>空</t>
        </is>
      </c>
      <c r="F977" s="14" t="inlineStr">
        <is>
          <t>★★★</t>
        </is>
      </c>
      <c r="G977" s="14" t="n">
        <v>2</v>
      </c>
      <c r="H977" s="15" t="n">
        <v>1888</v>
      </c>
      <c r="I977" s="15" t="n">
        <v>1859</v>
      </c>
      <c r="J977" s="14" t="n">
        <v>20</v>
      </c>
      <c r="K977" s="14" t="n">
        <v>10000</v>
      </c>
      <c r="L977" s="25">
        <f>IF(E977="多",1,-1)*(I977-H977)*G977*J977</f>
        <v/>
      </c>
      <c r="M977" s="26">
        <f>L977/K977</f>
        <v/>
      </c>
      <c r="N977" s="14" t="inlineStr">
        <is>
          <t>将军撤退</t>
        </is>
      </c>
      <c r="O977" s="14" t="inlineStr">
        <is>
          <t>是</t>
        </is>
      </c>
    </row>
    <row r="978">
      <c r="A978" s="14" t="inlineStr">
        <is>
          <t>2024-07-18</t>
        </is>
      </c>
      <c r="B978" s="14" t="inlineStr">
        <is>
          <t>2024-07-24</t>
        </is>
      </c>
      <c r="C978" s="14" t="inlineStr">
        <is>
          <t>燃料油</t>
        </is>
      </c>
      <c r="D978" s="14" t="inlineStr">
        <is>
          <t>FU</t>
        </is>
      </c>
      <c r="E978" s="14" t="inlineStr">
        <is>
          <t>多</t>
        </is>
      </c>
      <c r="F978" s="14" t="inlineStr">
        <is>
          <t>★★</t>
        </is>
      </c>
      <c r="G978" s="14" t="n">
        <v>5</v>
      </c>
      <c r="H978" s="15" t="n">
        <v>3534</v>
      </c>
      <c r="I978" s="15" t="n">
        <v>3407</v>
      </c>
      <c r="J978" s="14" t="n">
        <v>10</v>
      </c>
      <c r="K978" s="14" t="n">
        <v>10000</v>
      </c>
      <c r="L978" s="25">
        <f>IF(E978="多",1,-1)*(I978-H978)*G978*J978</f>
        <v/>
      </c>
      <c r="M978" s="26">
        <f>L978/K978</f>
        <v/>
      </c>
      <c r="N978" s="14" t="inlineStr">
        <is>
          <t>反向信号</t>
        </is>
      </c>
      <c r="O978" s="14" t="inlineStr">
        <is>
          <t>是</t>
        </is>
      </c>
    </row>
    <row r="979">
      <c r="A979" s="14" t="inlineStr">
        <is>
          <t>2024-07-11</t>
        </is>
      </c>
      <c r="B979" s="14" t="inlineStr">
        <is>
          <t>2024-07-24</t>
        </is>
      </c>
      <c r="C979" s="14" t="inlineStr">
        <is>
          <t>豆粕</t>
        </is>
      </c>
      <c r="D979" s="14" t="inlineStr">
        <is>
          <t>M</t>
        </is>
      </c>
      <c r="E979" s="14" t="inlineStr">
        <is>
          <t>空</t>
        </is>
      </c>
      <c r="F979" s="14" t="inlineStr">
        <is>
          <t>★★★</t>
        </is>
      </c>
      <c r="G979" s="14" t="n">
        <v>5</v>
      </c>
      <c r="H979" s="15" t="n">
        <v>3201</v>
      </c>
      <c r="I979" s="15" t="n">
        <v>3159</v>
      </c>
      <c r="J979" s="14" t="n">
        <v>10</v>
      </c>
      <c r="K979" s="14" t="n">
        <v>10000</v>
      </c>
      <c r="L979" s="25">
        <f>IF(E979="多",1,-1)*(I979-H979)*G979*J979</f>
        <v/>
      </c>
      <c r="M979" s="26">
        <f>L979/K979</f>
        <v/>
      </c>
      <c r="N979" s="14" t="inlineStr">
        <is>
          <t>大将军转向</t>
        </is>
      </c>
      <c r="O979" s="14" t="inlineStr">
        <is>
          <t>是</t>
        </is>
      </c>
    </row>
    <row r="980">
      <c r="A980" s="14" t="inlineStr">
        <is>
          <t>2024-07-22</t>
        </is>
      </c>
      <c r="B980" s="14" t="inlineStr">
        <is>
          <t>2024-07-23</t>
        </is>
      </c>
      <c r="C980" s="14" t="inlineStr">
        <is>
          <t>菜油</t>
        </is>
      </c>
      <c r="D980" s="14" t="inlineStr">
        <is>
          <t>OI</t>
        </is>
      </c>
      <c r="E980" s="14" t="inlineStr">
        <is>
          <t>多</t>
        </is>
      </c>
      <c r="F980" s="14" t="inlineStr">
        <is>
          <t>★★</t>
        </is>
      </c>
      <c r="G980" s="14" t="n">
        <v>2</v>
      </c>
      <c r="H980" s="15" t="n">
        <v>8683</v>
      </c>
      <c r="I980" s="15" t="n">
        <v>8707</v>
      </c>
      <c r="J980" s="14" t="n">
        <v>10</v>
      </c>
      <c r="K980" s="14" t="n">
        <v>10000</v>
      </c>
      <c r="L980" s="25">
        <f>IF(E980="多",1,-1)*(I980-H980)*G980*J980</f>
        <v/>
      </c>
      <c r="M980" s="26">
        <f>L980/K980</f>
        <v/>
      </c>
      <c r="N980" s="14" t="inlineStr">
        <is>
          <t>大将军转向</t>
        </is>
      </c>
      <c r="O980" s="14" t="inlineStr">
        <is>
          <t>是</t>
        </is>
      </c>
    </row>
    <row r="981">
      <c r="A981" s="2" t="inlineStr">
        <is>
          <t>2024-07-22</t>
        </is>
      </c>
      <c r="B981" s="2" t="inlineStr">
        <is>
          <t>2024-07-23</t>
        </is>
      </c>
      <c r="C981" s="2" t="inlineStr">
        <is>
          <t>玻璃</t>
        </is>
      </c>
      <c r="D981" s="2" t="inlineStr">
        <is>
          <t>FG</t>
        </is>
      </c>
      <c r="E981" s="9" t="inlineStr">
        <is>
          <t>空</t>
        </is>
      </c>
      <c r="F981" s="2" t="inlineStr">
        <is>
          <t>★★★</t>
        </is>
      </c>
      <c r="G981" s="10" t="n">
        <v>13</v>
      </c>
      <c r="H981" s="11" t="n">
        <v>1425</v>
      </c>
      <c r="I981" s="11" t="n">
        <v>1406</v>
      </c>
      <c r="J981" s="10" t="n">
        <v>20</v>
      </c>
      <c r="K981" s="10" t="n">
        <v>27800</v>
      </c>
      <c r="L981" s="23">
        <f>IF(E981="多",1,-1)*(I981-H981)*G981*J981</f>
        <v/>
      </c>
      <c r="M981" s="24">
        <f>L981/K981</f>
        <v/>
      </c>
      <c r="N981" s="2" t="inlineStr">
        <is>
          <t>大将军转向</t>
        </is>
      </c>
      <c r="O981" s="2" t="inlineStr">
        <is>
          <t>否</t>
        </is>
      </c>
    </row>
    <row r="982">
      <c r="A982" s="14" t="inlineStr">
        <is>
          <t>2024-07-17</t>
        </is>
      </c>
      <c r="B982" s="14" t="inlineStr">
        <is>
          <t>2024-07-22</t>
        </is>
      </c>
      <c r="C982" s="14" t="inlineStr">
        <is>
          <t>苯乙烯</t>
        </is>
      </c>
      <c r="D982" s="14" t="inlineStr">
        <is>
          <t>EB</t>
        </is>
      </c>
      <c r="E982" s="14" t="inlineStr">
        <is>
          <t>空</t>
        </is>
      </c>
      <c r="F982" s="14" t="inlineStr">
        <is>
          <t>★★</t>
        </is>
      </c>
      <c r="G982" s="14" t="n">
        <v>4</v>
      </c>
      <c r="H982" s="15" t="n">
        <v>9146</v>
      </c>
      <c r="I982" s="15" t="n">
        <v>9031</v>
      </c>
      <c r="J982" s="14" t="n">
        <v>5</v>
      </c>
      <c r="K982" s="14" t="n">
        <v>10000</v>
      </c>
      <c r="L982" s="25">
        <f>IF(E982="多",1,-1)*(I982-H982)*G982*J982</f>
        <v/>
      </c>
      <c r="M982" s="26">
        <f>L982/K982</f>
        <v/>
      </c>
      <c r="N982" s="14" t="inlineStr">
        <is>
          <t>将军撤退+大将军转向</t>
        </is>
      </c>
      <c r="O982" s="14" t="inlineStr">
        <is>
          <t>是</t>
        </is>
      </c>
    </row>
    <row r="983">
      <c r="A983" s="14" t="inlineStr">
        <is>
          <t>2024-06-18</t>
        </is>
      </c>
      <c r="B983" s="14" t="inlineStr">
        <is>
          <t>2024-07-22</t>
        </is>
      </c>
      <c r="C983" s="14" t="inlineStr">
        <is>
          <t>螺纹钢</t>
        </is>
      </c>
      <c r="D983" s="14" t="inlineStr">
        <is>
          <t>RB</t>
        </is>
      </c>
      <c r="E983" s="14" t="inlineStr">
        <is>
          <t>空</t>
        </is>
      </c>
      <c r="F983" s="14" t="inlineStr">
        <is>
          <t>★★★</t>
        </is>
      </c>
      <c r="G983" s="14" t="n">
        <v>7</v>
      </c>
      <c r="H983" s="15" t="n">
        <v>3618</v>
      </c>
      <c r="I983" s="15" t="n">
        <v>3451</v>
      </c>
      <c r="J983" s="14" t="n">
        <v>10</v>
      </c>
      <c r="K983" s="14" t="n">
        <v>10000</v>
      </c>
      <c r="L983" s="25">
        <f>IF(E983="多",1,-1)*(I983-H983)*G983*J983</f>
        <v/>
      </c>
      <c r="M983" s="26">
        <f>L983/K983</f>
        <v/>
      </c>
      <c r="N983" s="14" t="inlineStr">
        <is>
          <t>大将军转向</t>
        </is>
      </c>
      <c r="O983" s="14" t="inlineStr">
        <is>
          <t>是</t>
        </is>
      </c>
    </row>
    <row r="984">
      <c r="A984" s="14" t="inlineStr">
        <is>
          <t>2024-07-18</t>
        </is>
      </c>
      <c r="B984" s="14" t="inlineStr">
        <is>
          <t>2024-07-19</t>
        </is>
      </c>
      <c r="C984" s="14" t="inlineStr">
        <is>
          <t>沪铝</t>
        </is>
      </c>
      <c r="D984" s="14" t="inlineStr">
        <is>
          <t>AL</t>
        </is>
      </c>
      <c r="E984" s="14" t="inlineStr">
        <is>
          <t>空</t>
        </is>
      </c>
      <c r="F984" s="14" t="inlineStr">
        <is>
          <t>★★</t>
        </is>
      </c>
      <c r="G984" s="14" t="n">
        <v>2</v>
      </c>
      <c r="H984" s="15" t="n">
        <v>19630</v>
      </c>
      <c r="I984" s="15" t="n">
        <v>19615</v>
      </c>
      <c r="J984" s="14" t="n">
        <v>5</v>
      </c>
      <c r="K984" s="14" t="n">
        <v>10000</v>
      </c>
      <c r="L984" s="25">
        <f>IF(E984="多",1,-1)*(I984-H984)*G984*J984</f>
        <v/>
      </c>
      <c r="M984" s="26">
        <f>L984/K984</f>
        <v/>
      </c>
      <c r="N984" s="14" t="inlineStr">
        <is>
          <t>大将军转向</t>
        </is>
      </c>
      <c r="O984" s="14" t="inlineStr">
        <is>
          <t>是</t>
        </is>
      </c>
    </row>
    <row r="985">
      <c r="A985" s="14" t="inlineStr">
        <is>
          <t>2024-07-16</t>
        </is>
      </c>
      <c r="B985" s="14" t="inlineStr">
        <is>
          <t>2024-07-19</t>
        </is>
      </c>
      <c r="C985" s="14" t="inlineStr">
        <is>
          <t>锰硅</t>
        </is>
      </c>
      <c r="D985" s="14" t="inlineStr">
        <is>
          <t>SM</t>
        </is>
      </c>
      <c r="E985" s="14" t="inlineStr">
        <is>
          <t>空</t>
        </is>
      </c>
      <c r="F985" s="14" t="inlineStr">
        <is>
          <t>★★★</t>
        </is>
      </c>
      <c r="G985" s="14" t="n">
        <v>3</v>
      </c>
      <c r="H985" s="15" t="n">
        <v>7288</v>
      </c>
      <c r="I985" s="15" t="n">
        <v>7314</v>
      </c>
      <c r="J985" s="14" t="n">
        <v>5</v>
      </c>
      <c r="K985" s="14" t="n">
        <v>10000</v>
      </c>
      <c r="L985" s="25">
        <f>IF(E985="多",1,-1)*(I985-H985)*G985*J985</f>
        <v/>
      </c>
      <c r="M985" s="26">
        <f>L985/K985</f>
        <v/>
      </c>
      <c r="N985" s="14" t="inlineStr">
        <is>
          <t>大将军转向</t>
        </is>
      </c>
      <c r="O985" s="14" t="inlineStr">
        <is>
          <t>是</t>
        </is>
      </c>
    </row>
    <row r="986">
      <c r="A986" s="2" t="inlineStr">
        <is>
          <t>2024-06-21</t>
        </is>
      </c>
      <c r="B986" s="2" t="inlineStr">
        <is>
          <t>2024-07-19</t>
        </is>
      </c>
      <c r="C986" s="2" t="inlineStr">
        <is>
          <t>沪金</t>
        </is>
      </c>
      <c r="D986" s="2" t="inlineStr">
        <is>
          <t>AU</t>
        </is>
      </c>
      <c r="E986" s="19" t="inlineStr">
        <is>
          <t>多</t>
        </is>
      </c>
      <c r="F986" s="2" t="inlineStr">
        <is>
          <t>★★★</t>
        </is>
      </c>
      <c r="G986" s="10" t="n">
        <v>1</v>
      </c>
      <c r="H986" s="11" t="n">
        <v>562.3200000000001</v>
      </c>
      <c r="I986" s="11" t="n">
        <v>569.13</v>
      </c>
      <c r="J986" s="10" t="n">
        <v>1000</v>
      </c>
      <c r="K986" s="10" t="n">
        <v>27800</v>
      </c>
      <c r="L986" s="23">
        <f>IF(E986="多",1,-1)*(I986-H986)*G986*J986</f>
        <v/>
      </c>
      <c r="M986" s="24">
        <f>L986/K986</f>
        <v/>
      </c>
      <c r="N986" s="2" t="inlineStr">
        <is>
          <t>止损</t>
        </is>
      </c>
      <c r="O986" s="2" t="inlineStr">
        <is>
          <t>否</t>
        </is>
      </c>
    </row>
    <row r="987">
      <c r="A987" s="14" t="inlineStr">
        <is>
          <t>2024-07-10</t>
        </is>
      </c>
      <c r="B987" s="14" t="inlineStr">
        <is>
          <t>2024-07-18</t>
        </is>
      </c>
      <c r="C987" s="14" t="inlineStr">
        <is>
          <t>聚丙烯</t>
        </is>
      </c>
      <c r="D987" s="14" t="inlineStr">
        <is>
          <t>PP</t>
        </is>
      </c>
      <c r="E987" s="14" t="inlineStr">
        <is>
          <t>空</t>
        </is>
      </c>
      <c r="F987" s="14" t="inlineStr">
        <is>
          <t>★★</t>
        </is>
      </c>
      <c r="G987" s="14" t="n">
        <v>11</v>
      </c>
      <c r="H987" s="15" t="n">
        <v>7670</v>
      </c>
      <c r="I987" s="15" t="n">
        <v>7681</v>
      </c>
      <c r="J987" s="14" t="n">
        <v>5</v>
      </c>
      <c r="K987" s="14" t="n">
        <v>10000</v>
      </c>
      <c r="L987" s="25">
        <f>IF(E987="多",1,-1)*(I987-H987)*G987*J987</f>
        <v/>
      </c>
      <c r="M987" s="26">
        <f>L987/K987</f>
        <v/>
      </c>
      <c r="N987" s="14" t="inlineStr">
        <is>
          <t>反向信号</t>
        </is>
      </c>
      <c r="O987" s="14" t="inlineStr">
        <is>
          <t>是</t>
        </is>
      </c>
    </row>
    <row r="988">
      <c r="A988" s="14" t="inlineStr">
        <is>
          <t>2024-07-16</t>
        </is>
      </c>
      <c r="B988" s="14" t="inlineStr">
        <is>
          <t>2024-07-17</t>
        </is>
      </c>
      <c r="C988" s="14" t="inlineStr">
        <is>
          <t>沪铝</t>
        </is>
      </c>
      <c r="D988" s="14" t="inlineStr">
        <is>
          <t>AL</t>
        </is>
      </c>
      <c r="E988" s="14" t="inlineStr">
        <is>
          <t>空</t>
        </is>
      </c>
      <c r="F988" s="14" t="inlineStr">
        <is>
          <t>★★</t>
        </is>
      </c>
      <c r="G988" s="14" t="n">
        <v>2</v>
      </c>
      <c r="H988" s="15" t="n">
        <v>19800</v>
      </c>
      <c r="I988" s="15" t="n">
        <v>19740</v>
      </c>
      <c r="J988" s="14" t="n">
        <v>5</v>
      </c>
      <c r="K988" s="14" t="n">
        <v>10000</v>
      </c>
      <c r="L988" s="25">
        <f>IF(E988="多",1,-1)*(I988-H988)*G988*J988</f>
        <v/>
      </c>
      <c r="M988" s="26">
        <f>L988/K988</f>
        <v/>
      </c>
      <c r="N988" s="14" t="inlineStr">
        <is>
          <t>将军撤退+大将军转向</t>
        </is>
      </c>
      <c r="O988" s="14" t="inlineStr">
        <is>
          <t>是</t>
        </is>
      </c>
    </row>
    <row r="989">
      <c r="A989" s="2" t="inlineStr">
        <is>
          <t>2024-07-12</t>
        </is>
      </c>
      <c r="B989" s="2" t="inlineStr">
        <is>
          <t>2024-07-15</t>
        </is>
      </c>
      <c r="C989" s="2" t="inlineStr">
        <is>
          <t>工业硅</t>
        </is>
      </c>
      <c r="D989" s="2" t="inlineStr">
        <is>
          <t>SI</t>
        </is>
      </c>
      <c r="E989" s="9" t="inlineStr">
        <is>
          <t>空</t>
        </is>
      </c>
      <c r="F989" s="2" t="inlineStr">
        <is>
          <t>★★★</t>
        </is>
      </c>
      <c r="G989" s="10" t="n">
        <v>8</v>
      </c>
      <c r="H989" s="11" t="n">
        <v>10765</v>
      </c>
      <c r="I989" s="11" t="n">
        <v>10505</v>
      </c>
      <c r="J989" s="10" t="n">
        <v>5</v>
      </c>
      <c r="K989" s="10" t="n">
        <v>28200</v>
      </c>
      <c r="L989" s="23">
        <f>IF(E989="多",1,-1)*(I989-H989)*G989*J989</f>
        <v/>
      </c>
      <c r="M989" s="24">
        <f>L989/K989</f>
        <v/>
      </c>
      <c r="N989" s="2" t="inlineStr">
        <is>
          <t>将军撤退</t>
        </is>
      </c>
      <c r="O989" s="2" t="inlineStr">
        <is>
          <t>否</t>
        </is>
      </c>
    </row>
    <row r="990">
      <c r="A990" s="2" t="inlineStr">
        <is>
          <t>2024-07-08</t>
        </is>
      </c>
      <c r="B990" s="2" t="inlineStr">
        <is>
          <t>2024-07-12</t>
        </is>
      </c>
      <c r="C990" s="2" t="inlineStr">
        <is>
          <t>PVC</t>
        </is>
      </c>
      <c r="D990" s="2" t="inlineStr">
        <is>
          <t>V</t>
        </is>
      </c>
      <c r="E990" s="9" t="inlineStr">
        <is>
          <t>空</t>
        </is>
      </c>
      <c r="F990" s="2" t="inlineStr">
        <is>
          <t>★★★</t>
        </is>
      </c>
      <c r="G990" s="10" t="n">
        <v>16</v>
      </c>
      <c r="H990" s="11" t="n">
        <v>5955</v>
      </c>
      <c r="I990" s="11" t="n">
        <v>5921</v>
      </c>
      <c r="J990" s="10" t="n">
        <v>5</v>
      </c>
      <c r="K990" s="10" t="n">
        <v>17200</v>
      </c>
      <c r="L990" s="23">
        <f>IF(E990="多",1,-1)*(I990-H990)*G990*J990</f>
        <v/>
      </c>
      <c r="M990" s="24">
        <f>L990/K990</f>
        <v/>
      </c>
      <c r="N990" s="2" t="inlineStr">
        <is>
          <t>将军撤退</t>
        </is>
      </c>
      <c r="O990" s="2" t="inlineStr">
        <is>
          <t>否</t>
        </is>
      </c>
    </row>
    <row r="991">
      <c r="A991" s="2" t="inlineStr">
        <is>
          <t>2024-07-10</t>
        </is>
      </c>
      <c r="B991" s="2" t="inlineStr">
        <is>
          <t>2024-07-11</t>
        </is>
      </c>
      <c r="C991" s="2" t="inlineStr">
        <is>
          <t>工业硅</t>
        </is>
      </c>
      <c r="D991" s="2" t="inlineStr">
        <is>
          <t>SI</t>
        </is>
      </c>
      <c r="E991" s="9" t="inlineStr">
        <is>
          <t>空</t>
        </is>
      </c>
      <c r="F991" s="2" t="inlineStr">
        <is>
          <t>★★★</t>
        </is>
      </c>
      <c r="G991" s="10" t="n">
        <v>7</v>
      </c>
      <c r="H991" s="11" t="n">
        <v>11130</v>
      </c>
      <c r="I991" s="11" t="n">
        <v>10905</v>
      </c>
      <c r="J991" s="10" t="n">
        <v>5</v>
      </c>
      <c r="K991" s="10" t="n">
        <v>27100</v>
      </c>
      <c r="L991" s="23">
        <f>IF(E991="多",1,-1)*(I991-H991)*G991*J991</f>
        <v/>
      </c>
      <c r="M991" s="24">
        <f>L991/K991</f>
        <v/>
      </c>
      <c r="N991" s="2" t="inlineStr">
        <is>
          <t>将军撤退</t>
        </is>
      </c>
      <c r="O991" s="2" t="inlineStr">
        <is>
          <t>否</t>
        </is>
      </c>
    </row>
    <row r="992">
      <c r="A992" s="2" t="inlineStr">
        <is>
          <t>2024-07-10</t>
        </is>
      </c>
      <c r="B992" s="2" t="inlineStr">
        <is>
          <t>2024-07-11</t>
        </is>
      </c>
      <c r="C992" s="2" t="inlineStr">
        <is>
          <t>乙二醇</t>
        </is>
      </c>
      <c r="D992" s="2" t="inlineStr">
        <is>
          <t>EG</t>
        </is>
      </c>
      <c r="E992" s="19" t="inlineStr">
        <is>
          <t>多</t>
        </is>
      </c>
      <c r="F992" s="2" t="inlineStr">
        <is>
          <t>★★★</t>
        </is>
      </c>
      <c r="G992" s="10" t="n">
        <v>18</v>
      </c>
      <c r="H992" s="11" t="n">
        <v>4723</v>
      </c>
      <c r="I992" s="11" t="n">
        <v>4802</v>
      </c>
      <c r="J992" s="10" t="n">
        <v>10</v>
      </c>
      <c r="K992" s="10" t="n">
        <v>27100</v>
      </c>
      <c r="L992" s="23">
        <f>IF(E992="多",1,-1)*(I992-H992)*G992*J992</f>
        <v/>
      </c>
      <c r="M992" s="24">
        <f>L992/K992</f>
        <v/>
      </c>
      <c r="N992" s="2" t="inlineStr">
        <is>
          <t>将军撤退</t>
        </is>
      </c>
      <c r="O992" s="2" t="inlineStr">
        <is>
          <t>否</t>
        </is>
      </c>
    </row>
    <row r="993">
      <c r="A993" s="14" t="inlineStr">
        <is>
          <t>2024-07-10</t>
        </is>
      </c>
      <c r="B993" s="14" t="inlineStr">
        <is>
          <t>2024-07-11</t>
        </is>
      </c>
      <c r="C993" s="14" t="inlineStr">
        <is>
          <t>沪银</t>
        </is>
      </c>
      <c r="D993" s="14" t="inlineStr">
        <is>
          <t>AG</t>
        </is>
      </c>
      <c r="E993" s="14" t="inlineStr">
        <is>
          <t>多</t>
        </is>
      </c>
      <c r="F993" s="14" t="inlineStr">
        <is>
          <t>★★</t>
        </is>
      </c>
      <c r="G993" s="14" t="n">
        <v>1</v>
      </c>
      <c r="H993" s="15" t="n">
        <v>8217</v>
      </c>
      <c r="I993" s="15" t="n">
        <v>8240</v>
      </c>
      <c r="J993" s="14" t="n">
        <v>15</v>
      </c>
      <c r="K993" s="14" t="n">
        <v>10000</v>
      </c>
      <c r="L993" s="25">
        <f>IF(E993="多",1,-1)*(I993-H993)*G993*J993</f>
        <v/>
      </c>
      <c r="M993" s="26">
        <f>L993/K993</f>
        <v/>
      </c>
      <c r="N993" s="14" t="inlineStr">
        <is>
          <t>大将军转向</t>
        </is>
      </c>
      <c r="O993" s="14" t="inlineStr">
        <is>
          <t>是</t>
        </is>
      </c>
    </row>
    <row r="994">
      <c r="A994" s="14" t="inlineStr">
        <is>
          <t>2024-07-09</t>
        </is>
      </c>
      <c r="B994" s="14" t="inlineStr">
        <is>
          <t>2024-07-10</t>
        </is>
      </c>
      <c r="C994" s="14" t="inlineStr">
        <is>
          <t>豆油</t>
        </is>
      </c>
      <c r="D994" s="14" t="inlineStr">
        <is>
          <t>Y</t>
        </is>
      </c>
      <c r="E994" s="14" t="inlineStr">
        <is>
          <t>空</t>
        </is>
      </c>
      <c r="F994" s="14" t="inlineStr">
        <is>
          <t>★★</t>
        </is>
      </c>
      <c r="G994" s="14" t="n">
        <v>2</v>
      </c>
      <c r="H994" s="15" t="n">
        <v>7750</v>
      </c>
      <c r="I994" s="15" t="n">
        <v>7572</v>
      </c>
      <c r="J994" s="14" t="n">
        <v>10</v>
      </c>
      <c r="K994" s="14" t="n">
        <v>10000</v>
      </c>
      <c r="L994" s="25">
        <f>IF(E994="多",1,-1)*(I994-H994)*G994*J994</f>
        <v/>
      </c>
      <c r="M994" s="26">
        <f>L994/K994</f>
        <v/>
      </c>
      <c r="N994" s="14" t="inlineStr">
        <is>
          <t>大将军转向</t>
        </is>
      </c>
      <c r="O994" s="14" t="inlineStr">
        <is>
          <t>是</t>
        </is>
      </c>
    </row>
    <row r="995">
      <c r="A995" s="2" t="inlineStr">
        <is>
          <t>2024-07-05</t>
        </is>
      </c>
      <c r="B995" s="2" t="inlineStr">
        <is>
          <t>2024-07-10</t>
        </is>
      </c>
      <c r="C995" s="2" t="inlineStr">
        <is>
          <t>燃料油</t>
        </is>
      </c>
      <c r="D995" s="2" t="inlineStr">
        <is>
          <t>FU</t>
        </is>
      </c>
      <c r="E995" s="19" t="inlineStr">
        <is>
          <t>多</t>
        </is>
      </c>
      <c r="F995" s="2" t="inlineStr">
        <is>
          <t>★★★</t>
        </is>
      </c>
      <c r="G995" s="10" t="n">
        <v>15</v>
      </c>
      <c r="H995" s="11" t="n">
        <v>3633</v>
      </c>
      <c r="I995" s="11" t="n">
        <v>3491.29</v>
      </c>
      <c r="J995" s="10" t="n">
        <v>10</v>
      </c>
      <c r="K995" s="10" t="n">
        <v>27500</v>
      </c>
      <c r="L995" s="23">
        <f>IF(E995="多",1,-1)*(I995-H995)*G995*J995</f>
        <v/>
      </c>
      <c r="M995" s="24">
        <f>L995/K995</f>
        <v/>
      </c>
      <c r="N995" s="2" t="inlineStr">
        <is>
          <t>止损</t>
        </is>
      </c>
      <c r="O995" s="2" t="inlineStr">
        <is>
          <t>否</t>
        </is>
      </c>
    </row>
    <row r="996">
      <c r="A996" s="2" t="inlineStr">
        <is>
          <t>2024-07-05</t>
        </is>
      </c>
      <c r="B996" s="2" t="inlineStr">
        <is>
          <t>2024-07-10</t>
        </is>
      </c>
      <c r="C996" s="2" t="inlineStr">
        <is>
          <t>玻璃</t>
        </is>
      </c>
      <c r="D996" s="2" t="inlineStr">
        <is>
          <t>FG</t>
        </is>
      </c>
      <c r="E996" s="9" t="inlineStr">
        <is>
          <t>空</t>
        </is>
      </c>
      <c r="F996" s="2" t="inlineStr">
        <is>
          <t>★★★</t>
        </is>
      </c>
      <c r="G996" s="10" t="n">
        <v>11</v>
      </c>
      <c r="H996" s="11" t="n">
        <v>1525</v>
      </c>
      <c r="I996" s="11" t="n">
        <v>1464</v>
      </c>
      <c r="J996" s="10" t="n">
        <v>20</v>
      </c>
      <c r="K996" s="10" t="n">
        <v>27500</v>
      </c>
      <c r="L996" s="23">
        <f>IF(E996="多",1,-1)*(I996-H996)*G996*J996</f>
        <v/>
      </c>
      <c r="M996" s="24">
        <f>L996/K996</f>
        <v/>
      </c>
      <c r="N996" s="2" t="inlineStr">
        <is>
          <t>将军撤退+大将军转向</t>
        </is>
      </c>
      <c r="O996" s="2" t="inlineStr">
        <is>
          <t>否</t>
        </is>
      </c>
    </row>
    <row r="997">
      <c r="A997" s="14" t="inlineStr">
        <is>
          <t>2024-07-08</t>
        </is>
      </c>
      <c r="B997" s="14" t="inlineStr">
        <is>
          <t>2024-07-09</t>
        </is>
      </c>
      <c r="C997" s="14" t="inlineStr">
        <is>
          <t>乙二醇</t>
        </is>
      </c>
      <c r="D997" s="14" t="inlineStr">
        <is>
          <t>EG</t>
        </is>
      </c>
      <c r="E997" s="14" t="inlineStr">
        <is>
          <t>多</t>
        </is>
      </c>
      <c r="F997" s="14" t="inlineStr">
        <is>
          <t>★★</t>
        </is>
      </c>
      <c r="G997" s="14" t="n">
        <v>7</v>
      </c>
      <c r="H997" s="15" t="n">
        <v>4712</v>
      </c>
      <c r="I997" s="15" t="n">
        <v>4728</v>
      </c>
      <c r="J997" s="14" t="n">
        <v>10</v>
      </c>
      <c r="K997" s="14" t="n">
        <v>10000</v>
      </c>
      <c r="L997" s="25">
        <f>IF(E997="多",1,-1)*(I997-H997)*G997*J997</f>
        <v/>
      </c>
      <c r="M997" s="26">
        <f>L997/K997</f>
        <v/>
      </c>
      <c r="N997" s="14" t="inlineStr">
        <is>
          <t>将军撤退</t>
        </is>
      </c>
      <c r="O997" s="14" t="inlineStr">
        <is>
          <t>是</t>
        </is>
      </c>
    </row>
    <row r="998">
      <c r="A998" s="14" t="inlineStr">
        <is>
          <t>2024-07-04</t>
        </is>
      </c>
      <c r="B998" s="14" t="inlineStr">
        <is>
          <t>2024-07-08</t>
        </is>
      </c>
      <c r="C998" s="14" t="inlineStr">
        <is>
          <t>工业硅</t>
        </is>
      </c>
      <c r="D998" s="14" t="inlineStr">
        <is>
          <t>SI</t>
        </is>
      </c>
      <c r="E998" s="14" t="inlineStr">
        <is>
          <t>空</t>
        </is>
      </c>
      <c r="F998" s="14" t="inlineStr">
        <is>
          <t>★★★</t>
        </is>
      </c>
      <c r="G998" s="14" t="n">
        <v>2</v>
      </c>
      <c r="H998" s="15" t="n">
        <v>11340</v>
      </c>
      <c r="I998" s="15" t="n">
        <v>11245</v>
      </c>
      <c r="J998" s="14" t="n">
        <v>5</v>
      </c>
      <c r="K998" s="14" t="n">
        <v>10000</v>
      </c>
      <c r="L998" s="25">
        <f>IF(E998="多",1,-1)*(I998-H998)*G998*J998</f>
        <v/>
      </c>
      <c r="M998" s="26">
        <f>L998/K998</f>
        <v/>
      </c>
      <c r="N998" s="14" t="inlineStr">
        <is>
          <t>将军撤退</t>
        </is>
      </c>
      <c r="O998" s="14" t="inlineStr">
        <is>
          <t>是</t>
        </is>
      </c>
    </row>
    <row r="999">
      <c r="A999" s="14" t="inlineStr">
        <is>
          <t>2024-07-03</t>
        </is>
      </c>
      <c r="B999" s="14" t="inlineStr">
        <is>
          <t>2024-07-08</t>
        </is>
      </c>
      <c r="C999" s="14" t="inlineStr">
        <is>
          <t>纯碱</t>
        </is>
      </c>
      <c r="D999" s="14" t="inlineStr">
        <is>
          <t>SA</t>
        </is>
      </c>
      <c r="E999" s="14" t="inlineStr">
        <is>
          <t>多</t>
        </is>
      </c>
      <c r="F999" s="14" t="inlineStr">
        <is>
          <t>★★</t>
        </is>
      </c>
      <c r="G999" s="14" t="n">
        <v>2</v>
      </c>
      <c r="H999" s="15" t="n">
        <v>2217</v>
      </c>
      <c r="I999" s="15" t="n">
        <v>2045.07</v>
      </c>
      <c r="J999" s="14" t="n">
        <v>20</v>
      </c>
      <c r="K999" s="14" t="n">
        <v>10000</v>
      </c>
      <c r="L999" s="25">
        <f>IF(E999="多",1,-1)*(I999-H999)*G999*J999</f>
        <v/>
      </c>
      <c r="M999" s="26">
        <f>L999/K999</f>
        <v/>
      </c>
      <c r="N999" s="14" t="inlineStr">
        <is>
          <t>止损</t>
        </is>
      </c>
      <c r="O999" s="14" t="inlineStr">
        <is>
          <t>是</t>
        </is>
      </c>
    </row>
    <row r="1000">
      <c r="A1000" s="14" t="inlineStr">
        <is>
          <t>2024-07-01</t>
        </is>
      </c>
      <c r="B1000" s="14" t="inlineStr">
        <is>
          <t>2024-07-08</t>
        </is>
      </c>
      <c r="C1000" s="14" t="inlineStr">
        <is>
          <t>热卷</t>
        </is>
      </c>
      <c r="D1000" s="14" t="inlineStr">
        <is>
          <t>HC</t>
        </is>
      </c>
      <c r="E1000" s="14" t="inlineStr">
        <is>
          <t>多</t>
        </is>
      </c>
      <c r="F1000" s="14" t="inlineStr">
        <is>
          <t>★★</t>
        </is>
      </c>
      <c r="G1000" s="14" t="n">
        <v>9</v>
      </c>
      <c r="H1000" s="15" t="n">
        <v>3768</v>
      </c>
      <c r="I1000" s="15" t="n">
        <v>3708.64</v>
      </c>
      <c r="J1000" s="14" t="n">
        <v>10</v>
      </c>
      <c r="K1000" s="14" t="n">
        <v>10000</v>
      </c>
      <c r="L1000" s="25">
        <f>IF(E1000="多",1,-1)*(I1000-H1000)*G1000*J1000</f>
        <v/>
      </c>
      <c r="M1000" s="26">
        <f>L1000/K1000</f>
        <v/>
      </c>
      <c r="N1000" s="14" t="inlineStr">
        <is>
          <t>止损</t>
        </is>
      </c>
      <c r="O1000" s="14" t="inlineStr">
        <is>
          <t>是</t>
        </is>
      </c>
    </row>
    <row r="1001">
      <c r="A1001" s="14" t="inlineStr">
        <is>
          <t>2024-07-03</t>
        </is>
      </c>
      <c r="B1001" s="14" t="inlineStr">
        <is>
          <t>2024-07-05</t>
        </is>
      </c>
      <c r="C1001" s="14" t="inlineStr">
        <is>
          <t>沪锌</t>
        </is>
      </c>
      <c r="D1001" s="14" t="inlineStr">
        <is>
          <t>ZN</t>
        </is>
      </c>
      <c r="E1001" s="14" t="inlineStr">
        <is>
          <t>多</t>
        </is>
      </c>
      <c r="F1001" s="14" t="inlineStr">
        <is>
          <t>★★</t>
        </is>
      </c>
      <c r="G1001" s="14" t="n">
        <v>1</v>
      </c>
      <c r="H1001" s="15" t="n">
        <v>24735</v>
      </c>
      <c r="I1001" s="15" t="n">
        <v>24655</v>
      </c>
      <c r="J1001" s="14" t="n">
        <v>5</v>
      </c>
      <c r="K1001" s="14" t="n">
        <v>10000</v>
      </c>
      <c r="L1001" s="25">
        <f>IF(E1001="多",1,-1)*(I1001-H1001)*G1001*J1001</f>
        <v/>
      </c>
      <c r="M1001" s="26">
        <f>L1001/K1001</f>
        <v/>
      </c>
      <c r="N1001" s="14" t="inlineStr">
        <is>
          <t>将军撤退</t>
        </is>
      </c>
      <c r="O1001" s="14" t="inlineStr">
        <is>
          <t>是</t>
        </is>
      </c>
    </row>
    <row r="1002">
      <c r="A1002" s="2" t="inlineStr">
        <is>
          <t>2024-06-26</t>
        </is>
      </c>
      <c r="B1002" s="2" t="inlineStr">
        <is>
          <t>2024-07-04</t>
        </is>
      </c>
      <c r="C1002" s="2" t="inlineStr">
        <is>
          <t>PVC</t>
        </is>
      </c>
      <c r="D1002" s="2" t="inlineStr">
        <is>
          <t>V</t>
        </is>
      </c>
      <c r="E1002" s="9" t="inlineStr">
        <is>
          <t>空</t>
        </is>
      </c>
      <c r="F1002" s="2" t="inlineStr">
        <is>
          <t>★★★</t>
        </is>
      </c>
      <c r="G1002" s="10" t="n">
        <v>22</v>
      </c>
      <c r="H1002" s="11" t="n">
        <v>6073</v>
      </c>
      <c r="I1002" s="11" t="n">
        <v>6047</v>
      </c>
      <c r="J1002" s="10" t="n">
        <v>5</v>
      </c>
      <c r="K1002" s="10" t="n">
        <v>28000</v>
      </c>
      <c r="L1002" s="23">
        <f>IF(E1002="多",1,-1)*(I1002-H1002)*G1002*J1002</f>
        <v/>
      </c>
      <c r="M1002" s="24">
        <f>L1002/K1002</f>
        <v/>
      </c>
      <c r="N1002" s="2" t="inlineStr">
        <is>
          <t>将军撤退</t>
        </is>
      </c>
      <c r="O1002" s="2" t="inlineStr">
        <is>
          <t>否</t>
        </is>
      </c>
    </row>
    <row r="1003">
      <c r="A1003" s="2" t="inlineStr">
        <is>
          <t>2024-07-02</t>
        </is>
      </c>
      <c r="B1003" s="2" t="inlineStr">
        <is>
          <t>2024-07-03</t>
        </is>
      </c>
      <c r="C1003" s="2" t="inlineStr">
        <is>
          <t>铁矿石</t>
        </is>
      </c>
      <c r="D1003" s="2" t="inlineStr">
        <is>
          <t>I</t>
        </is>
      </c>
      <c r="E1003" s="19" t="inlineStr">
        <is>
          <t>多</t>
        </is>
      </c>
      <c r="F1003" s="2" t="inlineStr">
        <is>
          <t>★★★</t>
        </is>
      </c>
      <c r="G1003" s="10" t="n">
        <v>4</v>
      </c>
      <c r="H1003" s="11" t="n">
        <v>843.5</v>
      </c>
      <c r="I1003" s="11" t="n">
        <v>864</v>
      </c>
      <c r="J1003" s="10" t="n">
        <v>100</v>
      </c>
      <c r="K1003" s="10" t="n">
        <v>27100</v>
      </c>
      <c r="L1003" s="23">
        <f>IF(E1003="多",1,-1)*(I1003-H1003)*G1003*J1003</f>
        <v/>
      </c>
      <c r="M1003" s="24">
        <f>L1003/K1003</f>
        <v/>
      </c>
      <c r="N1003" s="2" t="inlineStr">
        <is>
          <t>将军撤退+大将军转向</t>
        </is>
      </c>
      <c r="O1003" s="2" t="inlineStr">
        <is>
          <t>否</t>
        </is>
      </c>
    </row>
    <row r="1004">
      <c r="A1004" s="2" t="inlineStr">
        <is>
          <t>2024-07-01</t>
        </is>
      </c>
      <c r="B1004" s="2" t="inlineStr">
        <is>
          <t>2024-07-03</t>
        </is>
      </c>
      <c r="C1004" s="2" t="inlineStr">
        <is>
          <t>锰硅</t>
        </is>
      </c>
      <c r="D1004" s="2" t="inlineStr">
        <is>
          <t>SM</t>
        </is>
      </c>
      <c r="E1004" s="9" t="inlineStr">
        <is>
          <t>空</t>
        </is>
      </c>
      <c r="F1004" s="2" t="inlineStr">
        <is>
          <t>★★★</t>
        </is>
      </c>
      <c r="G1004" s="10" t="n">
        <v>3</v>
      </c>
      <c r="H1004" s="11" t="n">
        <v>7580</v>
      </c>
      <c r="I1004" s="11" t="n">
        <v>7592</v>
      </c>
      <c r="J1004" s="10" t="n">
        <v>5</v>
      </c>
      <c r="K1004" s="10" t="n">
        <v>16400</v>
      </c>
      <c r="L1004" s="23">
        <f>IF(E1004="多",1,-1)*(I1004-H1004)*G1004*J1004</f>
        <v/>
      </c>
      <c r="M1004" s="24">
        <f>L1004/K1004</f>
        <v/>
      </c>
      <c r="N1004" s="2" t="inlineStr">
        <is>
          <t>大将军转向</t>
        </is>
      </c>
      <c r="O1004" s="2" t="inlineStr">
        <is>
          <t>否</t>
        </is>
      </c>
    </row>
    <row r="1005">
      <c r="A1005" s="2" t="inlineStr">
        <is>
          <t>2024-06-21</t>
        </is>
      </c>
      <c r="B1005" s="2" t="inlineStr">
        <is>
          <t>2024-07-02</t>
        </is>
      </c>
      <c r="C1005" s="2" t="inlineStr">
        <is>
          <t>甲醇</t>
        </is>
      </c>
      <c r="D1005" s="2" t="inlineStr">
        <is>
          <t>MA</t>
        </is>
      </c>
      <c r="E1005" s="9" t="inlineStr">
        <is>
          <t>空</t>
        </is>
      </c>
      <c r="F1005" s="2" t="inlineStr">
        <is>
          <t>★★★</t>
        </is>
      </c>
      <c r="G1005" s="10" t="n">
        <v>28</v>
      </c>
      <c r="H1005" s="11" t="n">
        <v>2494</v>
      </c>
      <c r="I1005" s="11" t="n">
        <v>2562.43</v>
      </c>
      <c r="J1005" s="10" t="n">
        <v>10</v>
      </c>
      <c r="K1005" s="10" t="n">
        <v>27800</v>
      </c>
      <c r="L1005" s="23">
        <f>IF(E1005="多",1,-1)*(I1005-H1005)*G1005*J1005</f>
        <v/>
      </c>
      <c r="M1005" s="24">
        <f>L1005/K1005</f>
        <v/>
      </c>
      <c r="N1005" s="2" t="inlineStr">
        <is>
          <t>止损</t>
        </is>
      </c>
      <c r="O1005" s="2" t="inlineStr">
        <is>
          <t>否</t>
        </is>
      </c>
    </row>
    <row r="1006">
      <c r="A1006" s="14" t="inlineStr">
        <is>
          <t>2024-06-28</t>
        </is>
      </c>
      <c r="B1006" s="14" t="inlineStr">
        <is>
          <t>2024-07-01</t>
        </is>
      </c>
      <c r="C1006" s="14" t="inlineStr">
        <is>
          <t>苯乙烯</t>
        </is>
      </c>
      <c r="D1006" s="14" t="inlineStr">
        <is>
          <t>EB</t>
        </is>
      </c>
      <c r="E1006" s="14" t="inlineStr">
        <is>
          <t>多</t>
        </is>
      </c>
      <c r="F1006" s="14" t="inlineStr">
        <is>
          <t>★★</t>
        </is>
      </c>
      <c r="G1006" s="14" t="n">
        <v>4</v>
      </c>
      <c r="H1006" s="15" t="n">
        <v>9481</v>
      </c>
      <c r="I1006" s="15" t="n">
        <v>9441</v>
      </c>
      <c r="J1006" s="14" t="n">
        <v>5</v>
      </c>
      <c r="K1006" s="14" t="n">
        <v>10000</v>
      </c>
      <c r="L1006" s="25">
        <f>IF(E1006="多",1,-1)*(I1006-H1006)*G1006*J1006</f>
        <v/>
      </c>
      <c r="M1006" s="26">
        <f>L1006/K1006</f>
        <v/>
      </c>
      <c r="N1006" s="14" t="inlineStr">
        <is>
          <t>大将军转向</t>
        </is>
      </c>
      <c r="O1006" s="14" t="inlineStr">
        <is>
          <t>是</t>
        </is>
      </c>
    </row>
    <row r="1007">
      <c r="A1007" s="2" t="inlineStr">
        <is>
          <t>2024-06-27</t>
        </is>
      </c>
      <c r="B1007" s="2" t="inlineStr">
        <is>
          <t>2024-06-28</t>
        </is>
      </c>
      <c r="C1007" s="2" t="inlineStr">
        <is>
          <t>碳酸锂</t>
        </is>
      </c>
      <c r="D1007" s="2" t="inlineStr">
        <is>
          <t>LC</t>
        </is>
      </c>
      <c r="E1007" s="9" t="inlineStr">
        <is>
          <t>空</t>
        </is>
      </c>
      <c r="F1007" s="2" t="inlineStr">
        <is>
          <t>★★★</t>
        </is>
      </c>
      <c r="G1007" s="10" t="n">
        <v>1</v>
      </c>
      <c r="H1007" s="11" t="n">
        <v>94000</v>
      </c>
      <c r="I1007" s="11" t="n">
        <v>94500</v>
      </c>
      <c r="J1007" s="10" t="n">
        <v>1</v>
      </c>
      <c r="K1007" s="10" t="n">
        <v>16400</v>
      </c>
      <c r="L1007" s="23">
        <f>IF(E1007="多",1,-1)*(I1007-H1007)*G1007*J1007</f>
        <v/>
      </c>
      <c r="M1007" s="24">
        <f>L1007/K1007</f>
        <v/>
      </c>
      <c r="N1007" s="2" t="inlineStr">
        <is>
          <t>将军撤退+大将军转向</t>
        </is>
      </c>
      <c r="O1007" s="2" t="inlineStr">
        <is>
          <t>否</t>
        </is>
      </c>
    </row>
    <row r="1008">
      <c r="A1008" s="14" t="inlineStr">
        <is>
          <t>2024-06-26</t>
        </is>
      </c>
      <c r="B1008" s="14" t="inlineStr">
        <is>
          <t>2024-06-28</t>
        </is>
      </c>
      <c r="C1008" s="14" t="inlineStr">
        <is>
          <t>铁矿石</t>
        </is>
      </c>
      <c r="D1008" s="14" t="inlineStr">
        <is>
          <t>I</t>
        </is>
      </c>
      <c r="E1008" s="14" t="inlineStr">
        <is>
          <t>多</t>
        </is>
      </c>
      <c r="F1008" s="14" t="inlineStr">
        <is>
          <t>★★</t>
        </is>
      </c>
      <c r="G1008" s="14" t="n">
        <v>1</v>
      </c>
      <c r="H1008" s="15" t="n">
        <v>825</v>
      </c>
      <c r="I1008" s="15" t="n">
        <v>825</v>
      </c>
      <c r="J1008" s="14" t="n">
        <v>100</v>
      </c>
      <c r="K1008" s="14" t="n">
        <v>10000</v>
      </c>
      <c r="L1008" s="25">
        <f>IF(E1008="多",1,-1)*(I1008-H1008)*G1008*J1008</f>
        <v/>
      </c>
      <c r="M1008" s="26">
        <f>L1008/K1008</f>
        <v/>
      </c>
      <c r="N1008" s="14" t="inlineStr">
        <is>
          <t>将军撤退+大将军转向</t>
        </is>
      </c>
      <c r="O1008" s="14" t="inlineStr">
        <is>
          <t>是</t>
        </is>
      </c>
    </row>
    <row r="1009">
      <c r="A1009" s="14" t="inlineStr">
        <is>
          <t>2024-06-25</t>
        </is>
      </c>
      <c r="B1009" s="14" t="inlineStr">
        <is>
          <t>2024-06-26</t>
        </is>
      </c>
      <c r="C1009" s="14" t="inlineStr">
        <is>
          <t>锰硅</t>
        </is>
      </c>
      <c r="D1009" s="14" t="inlineStr">
        <is>
          <t>SM</t>
        </is>
      </c>
      <c r="E1009" s="14" t="inlineStr">
        <is>
          <t>空</t>
        </is>
      </c>
      <c r="F1009" s="14" t="inlineStr">
        <is>
          <t>★★</t>
        </is>
      </c>
      <c r="G1009" s="14" t="n">
        <v>2</v>
      </c>
      <c r="H1009" s="15" t="n">
        <v>7770</v>
      </c>
      <c r="I1009" s="15" t="n">
        <v>7684</v>
      </c>
      <c r="J1009" s="14" t="n">
        <v>5</v>
      </c>
      <c r="K1009" s="14" t="n">
        <v>10000</v>
      </c>
      <c r="L1009" s="25">
        <f>IF(E1009="多",1,-1)*(I1009-H1009)*G1009*J1009</f>
        <v/>
      </c>
      <c r="M1009" s="26">
        <f>L1009/K1009</f>
        <v/>
      </c>
      <c r="N1009" s="14" t="inlineStr">
        <is>
          <t>将军撤退+大将军转向</t>
        </is>
      </c>
      <c r="O1009" s="14" t="inlineStr">
        <is>
          <t>是</t>
        </is>
      </c>
    </row>
    <row r="1010">
      <c r="A1010" s="2" t="inlineStr">
        <is>
          <t>2024-06-24</t>
        </is>
      </c>
      <c r="B1010" s="2" t="inlineStr">
        <is>
          <t>2024-06-25</t>
        </is>
      </c>
      <c r="C1010" s="2" t="inlineStr">
        <is>
          <t>纯碱</t>
        </is>
      </c>
      <c r="D1010" s="2" t="inlineStr">
        <is>
          <t>SA</t>
        </is>
      </c>
      <c r="E1010" s="9" t="inlineStr">
        <is>
          <t>空</t>
        </is>
      </c>
      <c r="F1010" s="2" t="inlineStr">
        <is>
          <t>★★★</t>
        </is>
      </c>
      <c r="G1010" s="10" t="n">
        <v>6</v>
      </c>
      <c r="H1010" s="11" t="n">
        <v>2023</v>
      </c>
      <c r="I1010" s="11" t="n">
        <v>2028</v>
      </c>
      <c r="J1010" s="10" t="n">
        <v>20</v>
      </c>
      <c r="K1010" s="10" t="n">
        <v>28100</v>
      </c>
      <c r="L1010" s="23">
        <f>IF(E1010="多",1,-1)*(I1010-H1010)*G1010*J1010</f>
        <v/>
      </c>
      <c r="M1010" s="24">
        <f>L1010/K1010</f>
        <v/>
      </c>
      <c r="N1010" s="2" t="inlineStr">
        <is>
          <t>将军撤退</t>
        </is>
      </c>
      <c r="O1010" s="2" t="inlineStr">
        <is>
          <t>否</t>
        </is>
      </c>
    </row>
    <row r="1011">
      <c r="A1011" s="14" t="inlineStr">
        <is>
          <t>2024-06-19</t>
        </is>
      </c>
      <c r="B1011" s="14" t="inlineStr">
        <is>
          <t>2024-06-24</t>
        </is>
      </c>
      <c r="C1011" s="14" t="inlineStr">
        <is>
          <t>玻璃</t>
        </is>
      </c>
      <c r="D1011" s="14" t="inlineStr">
        <is>
          <t>FG</t>
        </is>
      </c>
      <c r="E1011" s="14" t="inlineStr">
        <is>
          <t>空</t>
        </is>
      </c>
      <c r="F1011" s="14" t="inlineStr">
        <is>
          <t>★★★</t>
        </is>
      </c>
      <c r="G1011" s="14" t="n">
        <v>3</v>
      </c>
      <c r="H1011" s="15" t="n">
        <v>1586</v>
      </c>
      <c r="I1011" s="15" t="n">
        <v>1534</v>
      </c>
      <c r="J1011" s="14" t="n">
        <v>20</v>
      </c>
      <c r="K1011" s="14" t="n">
        <v>10000</v>
      </c>
      <c r="L1011" s="25">
        <f>IF(E1011="多",1,-1)*(I1011-H1011)*G1011*J1011</f>
        <v/>
      </c>
      <c r="M1011" s="26">
        <f>L1011/K1011</f>
        <v/>
      </c>
      <c r="N1011" s="14" t="inlineStr">
        <is>
          <t>将军撤退</t>
        </is>
      </c>
      <c r="O1011" s="14" t="inlineStr">
        <is>
          <t>是</t>
        </is>
      </c>
    </row>
    <row r="1012">
      <c r="A1012" s="14" t="inlineStr">
        <is>
          <t>2024-06-20</t>
        </is>
      </c>
      <c r="B1012" s="14" t="inlineStr">
        <is>
          <t>2024-06-21</t>
        </is>
      </c>
      <c r="C1012" s="14" t="inlineStr">
        <is>
          <t>菜粕</t>
        </is>
      </c>
      <c r="D1012" s="14" t="inlineStr">
        <is>
          <t>RM</t>
        </is>
      </c>
      <c r="E1012" s="14" t="inlineStr">
        <is>
          <t>空</t>
        </is>
      </c>
      <c r="F1012" s="14" t="inlineStr">
        <is>
          <t>★★</t>
        </is>
      </c>
      <c r="G1012" s="14" t="n">
        <v>6</v>
      </c>
      <c r="H1012" s="15" t="n">
        <v>2573</v>
      </c>
      <c r="I1012" s="15" t="n">
        <v>2581</v>
      </c>
      <c r="J1012" s="14" t="n">
        <v>10</v>
      </c>
      <c r="K1012" s="14" t="n">
        <v>10000</v>
      </c>
      <c r="L1012" s="25">
        <f>IF(E1012="多",1,-1)*(I1012-H1012)*G1012*J1012</f>
        <v/>
      </c>
      <c r="M1012" s="26">
        <f>L1012/K1012</f>
        <v/>
      </c>
      <c r="N1012" s="14" t="inlineStr">
        <is>
          <t>将军撤退</t>
        </is>
      </c>
      <c r="O1012" s="14" t="inlineStr">
        <is>
          <t>是</t>
        </is>
      </c>
    </row>
    <row r="1013">
      <c r="A1013" s="14" t="inlineStr">
        <is>
          <t>2024-06-20</t>
        </is>
      </c>
      <c r="B1013" s="14" t="inlineStr">
        <is>
          <t>2024-06-21</t>
        </is>
      </c>
      <c r="C1013" s="14" t="inlineStr">
        <is>
          <t>玉米</t>
        </is>
      </c>
      <c r="D1013" s="14" t="inlineStr">
        <is>
          <t>C</t>
        </is>
      </c>
      <c r="E1013" s="14" t="inlineStr">
        <is>
          <t>空</t>
        </is>
      </c>
      <c r="F1013" s="14" t="inlineStr">
        <is>
          <t>★★</t>
        </is>
      </c>
      <c r="G1013" s="14" t="n">
        <v>20</v>
      </c>
      <c r="H1013" s="15" t="n">
        <v>2467</v>
      </c>
      <c r="I1013" s="15" t="n">
        <v>2465</v>
      </c>
      <c r="J1013" s="14" t="n">
        <v>10</v>
      </c>
      <c r="K1013" s="14" t="n">
        <v>10000</v>
      </c>
      <c r="L1013" s="25">
        <f>IF(E1013="多",1,-1)*(I1013-H1013)*G1013*J1013</f>
        <v/>
      </c>
      <c r="M1013" s="26">
        <f>L1013/K1013</f>
        <v/>
      </c>
      <c r="N1013" s="14" t="inlineStr">
        <is>
          <t>大将军转向</t>
        </is>
      </c>
      <c r="O1013" s="14" t="inlineStr">
        <is>
          <t>是</t>
        </is>
      </c>
    </row>
    <row r="1014">
      <c r="A1014" s="14" t="inlineStr">
        <is>
          <t>2024-06-17</t>
        </is>
      </c>
      <c r="B1014" s="14" t="inlineStr">
        <is>
          <t>2024-06-21</t>
        </is>
      </c>
      <c r="C1014" s="14" t="inlineStr">
        <is>
          <t>热卷</t>
        </is>
      </c>
      <c r="D1014" s="14" t="inlineStr">
        <is>
          <t>HC</t>
        </is>
      </c>
      <c r="E1014" s="14" t="inlineStr">
        <is>
          <t>空</t>
        </is>
      </c>
      <c r="F1014" s="14" t="inlineStr">
        <is>
          <t>★★</t>
        </is>
      </c>
      <c r="G1014" s="14" t="n">
        <v>7</v>
      </c>
      <c r="H1014" s="15" t="n">
        <v>3780</v>
      </c>
      <c r="I1014" s="15" t="n">
        <v>3753</v>
      </c>
      <c r="J1014" s="14" t="n">
        <v>10</v>
      </c>
      <c r="K1014" s="14" t="n">
        <v>10000</v>
      </c>
      <c r="L1014" s="25">
        <f>IF(E1014="多",1,-1)*(I1014-H1014)*G1014*J1014</f>
        <v/>
      </c>
      <c r="M1014" s="26">
        <f>L1014/K1014</f>
        <v/>
      </c>
      <c r="N1014" s="14" t="inlineStr">
        <is>
          <t>将军撤退+大将军转向</t>
        </is>
      </c>
      <c r="O1014" s="14" t="inlineStr">
        <is>
          <t>是</t>
        </is>
      </c>
    </row>
    <row r="1015">
      <c r="A1015" s="2" t="inlineStr">
        <is>
          <t>2024-06-11</t>
        </is>
      </c>
      <c r="B1015" s="2" t="inlineStr">
        <is>
          <t>2024-06-21</t>
        </is>
      </c>
      <c r="C1015" s="2" t="inlineStr">
        <is>
          <t>铁矿石</t>
        </is>
      </c>
      <c r="D1015" s="2" t="inlineStr">
        <is>
          <t>I</t>
        </is>
      </c>
      <c r="E1015" s="9" t="inlineStr">
        <is>
          <t>空</t>
        </is>
      </c>
      <c r="F1015" s="2" t="inlineStr">
        <is>
          <t>★★★</t>
        </is>
      </c>
      <c r="G1015" s="10" t="n">
        <v>4</v>
      </c>
      <c r="H1015" s="11" t="n">
        <v>806</v>
      </c>
      <c r="I1015" s="11" t="n">
        <v>811.5</v>
      </c>
      <c r="J1015" s="10" t="n">
        <v>100</v>
      </c>
      <c r="K1015" s="10" t="n">
        <v>27100</v>
      </c>
      <c r="L1015" s="23">
        <f>IF(E1015="多",1,-1)*(I1015-H1015)*G1015*J1015</f>
        <v/>
      </c>
      <c r="M1015" s="24">
        <f>L1015/K1015</f>
        <v/>
      </c>
      <c r="N1015" s="2" t="inlineStr">
        <is>
          <t>大将军转向</t>
        </is>
      </c>
      <c r="O1015" s="2" t="inlineStr">
        <is>
          <t>否</t>
        </is>
      </c>
    </row>
    <row r="1016">
      <c r="A1016" s="2" t="inlineStr">
        <is>
          <t>2024-06-18</t>
        </is>
      </c>
      <c r="B1016" s="2" t="inlineStr">
        <is>
          <t>2024-06-19</t>
        </is>
      </c>
      <c r="C1016" s="2" t="inlineStr">
        <is>
          <t>纯碱</t>
        </is>
      </c>
      <c r="D1016" s="2" t="inlineStr">
        <is>
          <t>SA</t>
        </is>
      </c>
      <c r="E1016" s="9" t="inlineStr">
        <is>
          <t>空</t>
        </is>
      </c>
      <c r="F1016" s="2" t="inlineStr">
        <is>
          <t>★★★</t>
        </is>
      </c>
      <c r="G1016" s="10" t="n">
        <v>5</v>
      </c>
      <c r="H1016" s="11" t="n">
        <v>2071</v>
      </c>
      <c r="I1016" s="11" t="n">
        <v>2075</v>
      </c>
      <c r="J1016" s="10" t="n">
        <v>20</v>
      </c>
      <c r="K1016" s="10" t="n">
        <v>28000</v>
      </c>
      <c r="L1016" s="23">
        <f>IF(E1016="多",1,-1)*(I1016-H1016)*G1016*J1016</f>
        <v/>
      </c>
      <c r="M1016" s="24">
        <f>L1016/K1016</f>
        <v/>
      </c>
      <c r="N1016" s="2" t="inlineStr">
        <is>
          <t>将军撤退+大将军转向</t>
        </is>
      </c>
      <c r="O1016" s="2" t="inlineStr">
        <is>
          <t>否</t>
        </is>
      </c>
    </row>
    <row r="1017">
      <c r="A1017" s="2" t="inlineStr">
        <is>
          <t>2024-06-18</t>
        </is>
      </c>
      <c r="B1017" s="2" t="inlineStr">
        <is>
          <t>2024-06-19</t>
        </is>
      </c>
      <c r="C1017" s="2" t="inlineStr">
        <is>
          <t>碳酸锂</t>
        </is>
      </c>
      <c r="D1017" s="2" t="inlineStr">
        <is>
          <t>LC</t>
        </is>
      </c>
      <c r="E1017" s="9" t="inlineStr">
        <is>
          <t>空</t>
        </is>
      </c>
      <c r="F1017" s="2" t="inlineStr">
        <is>
          <t>★★★</t>
        </is>
      </c>
      <c r="G1017" s="10" t="n">
        <v>2</v>
      </c>
      <c r="H1017" s="11" t="n">
        <v>93350</v>
      </c>
      <c r="I1017" s="11" t="n">
        <v>94000</v>
      </c>
      <c r="J1017" s="10" t="n">
        <v>1</v>
      </c>
      <c r="K1017" s="10" t="n">
        <v>17700</v>
      </c>
      <c r="L1017" s="23">
        <f>IF(E1017="多",1,-1)*(I1017-H1017)*G1017*J1017</f>
        <v/>
      </c>
      <c r="M1017" s="24">
        <f>L1017/K1017</f>
        <v/>
      </c>
      <c r="N1017" s="2" t="inlineStr">
        <is>
          <t>将军撤退</t>
        </is>
      </c>
      <c r="O1017" s="2" t="inlineStr">
        <is>
          <t>否</t>
        </is>
      </c>
    </row>
    <row r="1018">
      <c r="A1018" s="2" t="inlineStr">
        <is>
          <t>2024-06-14</t>
        </is>
      </c>
      <c r="B1018" s="2" t="inlineStr">
        <is>
          <t>2024-06-19</t>
        </is>
      </c>
      <c r="C1018" s="2" t="inlineStr">
        <is>
          <t>沪镍</t>
        </is>
      </c>
      <c r="D1018" s="2" t="inlineStr">
        <is>
          <t>NI</t>
        </is>
      </c>
      <c r="E1018" s="9" t="inlineStr">
        <is>
          <t>空</t>
        </is>
      </c>
      <c r="F1018" s="2" t="inlineStr">
        <is>
          <t>★★★</t>
        </is>
      </c>
      <c r="G1018" s="10" t="n">
        <v>2</v>
      </c>
      <c r="H1018" s="11" t="n">
        <v>136000</v>
      </c>
      <c r="I1018" s="11" t="n">
        <v>134470</v>
      </c>
      <c r="J1018" s="10" t="n">
        <v>1</v>
      </c>
      <c r="K1018" s="10" t="n">
        <v>27200</v>
      </c>
      <c r="L1018" s="23">
        <f>IF(E1018="多",1,-1)*(I1018-H1018)*G1018*J1018</f>
        <v/>
      </c>
      <c r="M1018" s="24">
        <f>L1018/K1018</f>
        <v/>
      </c>
      <c r="N1018" s="2" t="inlineStr">
        <is>
          <t>大将军转向</t>
        </is>
      </c>
      <c r="O1018" s="2" t="inlineStr">
        <is>
          <t>否</t>
        </is>
      </c>
    </row>
    <row r="1019">
      <c r="A1019" s="2" t="inlineStr">
        <is>
          <t>2024-06-14</t>
        </is>
      </c>
      <c r="B1019" s="2" t="inlineStr">
        <is>
          <t>2024-06-17</t>
        </is>
      </c>
      <c r="C1019" s="2" t="inlineStr">
        <is>
          <t>碳酸锂</t>
        </is>
      </c>
      <c r="D1019" s="2" t="inlineStr">
        <is>
          <t>LC</t>
        </is>
      </c>
      <c r="E1019" s="9" t="inlineStr">
        <is>
          <t>空</t>
        </is>
      </c>
      <c r="F1019" s="2" t="inlineStr">
        <is>
          <t>★★★</t>
        </is>
      </c>
      <c r="G1019" s="10" t="n">
        <v>3</v>
      </c>
      <c r="H1019" s="11" t="n">
        <v>96500</v>
      </c>
      <c r="I1019" s="11" t="n">
        <v>95800</v>
      </c>
      <c r="J1019" s="10" t="n">
        <v>1</v>
      </c>
      <c r="K1019" s="10" t="n">
        <v>27200</v>
      </c>
      <c r="L1019" s="23">
        <f>IF(E1019="多",1,-1)*(I1019-H1019)*G1019*J1019</f>
        <v/>
      </c>
      <c r="M1019" s="24">
        <f>L1019/K1019</f>
        <v/>
      </c>
      <c r="N1019" s="2" t="inlineStr">
        <is>
          <t>将军撤退+大将军转向</t>
        </is>
      </c>
      <c r="O1019" s="2" t="inlineStr">
        <is>
          <t>否</t>
        </is>
      </c>
    </row>
    <row r="1020">
      <c r="A1020" s="2" t="inlineStr">
        <is>
          <t>2024-06-14</t>
        </is>
      </c>
      <c r="B1020" s="2" t="inlineStr">
        <is>
          <t>2024-06-17</t>
        </is>
      </c>
      <c r="C1020" s="2" t="inlineStr">
        <is>
          <t>棉花</t>
        </is>
      </c>
      <c r="D1020" s="2" t="inlineStr">
        <is>
          <t>CF</t>
        </is>
      </c>
      <c r="E1020" s="9" t="inlineStr">
        <is>
          <t>空</t>
        </is>
      </c>
      <c r="F1020" s="2" t="inlineStr">
        <is>
          <t>★★★</t>
        </is>
      </c>
      <c r="G1020" s="10" t="n">
        <v>6</v>
      </c>
      <c r="H1020" s="11" t="n">
        <v>14815</v>
      </c>
      <c r="I1020" s="11" t="n">
        <v>14435</v>
      </c>
      <c r="J1020" s="10" t="n">
        <v>5</v>
      </c>
      <c r="K1020" s="10" t="n">
        <v>18500</v>
      </c>
      <c r="L1020" s="23">
        <f>IF(E1020="多",1,-1)*(I1020-H1020)*G1020*J1020</f>
        <v/>
      </c>
      <c r="M1020" s="24">
        <f>L1020/K1020</f>
        <v/>
      </c>
      <c r="N1020" s="2" t="inlineStr">
        <is>
          <t>将军撤退</t>
        </is>
      </c>
      <c r="O1020" s="2" t="inlineStr">
        <is>
          <t>否</t>
        </is>
      </c>
    </row>
    <row r="1021">
      <c r="A1021" s="14" t="inlineStr">
        <is>
          <t>2024-06-13</t>
        </is>
      </c>
      <c r="B1021" s="14" t="inlineStr">
        <is>
          <t>2024-06-17</t>
        </is>
      </c>
      <c r="C1021" s="14" t="inlineStr">
        <is>
          <t>玻璃</t>
        </is>
      </c>
      <c r="D1021" s="14" t="inlineStr">
        <is>
          <t>FG</t>
        </is>
      </c>
      <c r="E1021" s="14" t="inlineStr">
        <is>
          <t>空</t>
        </is>
      </c>
      <c r="F1021" s="14" t="inlineStr">
        <is>
          <t>★★</t>
        </is>
      </c>
      <c r="G1021" s="14" t="n">
        <v>3</v>
      </c>
      <c r="H1021" s="15" t="n">
        <v>1648</v>
      </c>
      <c r="I1021" s="15" t="n">
        <v>1592</v>
      </c>
      <c r="J1021" s="14" t="n">
        <v>20</v>
      </c>
      <c r="K1021" s="14" t="n">
        <v>10000</v>
      </c>
      <c r="L1021" s="25">
        <f>IF(E1021="多",1,-1)*(I1021-H1021)*G1021*J1021</f>
        <v/>
      </c>
      <c r="M1021" s="26">
        <f>L1021/K1021</f>
        <v/>
      </c>
      <c r="N1021" s="14" t="inlineStr">
        <is>
          <t>将军撤退+大将军转向</t>
        </is>
      </c>
      <c r="O1021" s="14" t="inlineStr">
        <is>
          <t>是</t>
        </is>
      </c>
    </row>
    <row r="1022">
      <c r="A1022" s="2" t="inlineStr">
        <is>
          <t>2024-06-13</t>
        </is>
      </c>
      <c r="B1022" s="2" t="inlineStr">
        <is>
          <t>2024-06-14</t>
        </is>
      </c>
      <c r="C1022" s="2" t="inlineStr">
        <is>
          <t>甲醇</t>
        </is>
      </c>
      <c r="D1022" s="2" t="inlineStr">
        <is>
          <t>MA</t>
        </is>
      </c>
      <c r="E1022" s="9" t="inlineStr">
        <is>
          <t>空</t>
        </is>
      </c>
      <c r="F1022" s="2" t="inlineStr">
        <is>
          <t>★★★</t>
        </is>
      </c>
      <c r="G1022" s="10" t="n">
        <v>23</v>
      </c>
      <c r="H1022" s="11" t="n">
        <v>2537</v>
      </c>
      <c r="I1022" s="11" t="n">
        <v>2529</v>
      </c>
      <c r="J1022" s="10" t="n">
        <v>10</v>
      </c>
      <c r="K1022" s="10" t="n">
        <v>27100</v>
      </c>
      <c r="L1022" s="23">
        <f>IF(E1022="多",1,-1)*(I1022-H1022)*G1022*J1022</f>
        <v/>
      </c>
      <c r="M1022" s="24">
        <f>L1022/K1022</f>
        <v/>
      </c>
      <c r="N1022" s="2" t="inlineStr">
        <is>
          <t>将军撤退+大将军转向</t>
        </is>
      </c>
      <c r="O1022" s="2" t="inlineStr">
        <is>
          <t>否</t>
        </is>
      </c>
    </row>
    <row r="1023">
      <c r="A1023" s="14" t="inlineStr">
        <is>
          <t>2024-06-12</t>
        </is>
      </c>
      <c r="B1023" s="14" t="inlineStr">
        <is>
          <t>2024-06-13</t>
        </is>
      </c>
      <c r="C1023" s="14" t="inlineStr">
        <is>
          <t>热卷</t>
        </is>
      </c>
      <c r="D1023" s="14" t="inlineStr">
        <is>
          <t>HC</t>
        </is>
      </c>
      <c r="E1023" s="14" t="inlineStr">
        <is>
          <t>空</t>
        </is>
      </c>
      <c r="F1023" s="14" t="inlineStr">
        <is>
          <t>★★</t>
        </is>
      </c>
      <c r="G1023" s="14" t="n">
        <v>7</v>
      </c>
      <c r="H1023" s="15" t="n">
        <v>3785</v>
      </c>
      <c r="I1023" s="15" t="n">
        <v>3788</v>
      </c>
      <c r="J1023" s="14" t="n">
        <v>10</v>
      </c>
      <c r="K1023" s="14" t="n">
        <v>10000</v>
      </c>
      <c r="L1023" s="25">
        <f>IF(E1023="多",1,-1)*(I1023-H1023)*G1023*J1023</f>
        <v/>
      </c>
      <c r="M1023" s="26">
        <f>L1023/K1023</f>
        <v/>
      </c>
      <c r="N1023" s="14" t="inlineStr">
        <is>
          <t>大将军转向</t>
        </is>
      </c>
      <c r="O1023" s="14" t="inlineStr">
        <is>
          <t>是</t>
        </is>
      </c>
    </row>
    <row r="1024">
      <c r="A1024" s="14" t="inlineStr">
        <is>
          <t>2024-06-11</t>
        </is>
      </c>
      <c r="B1024" s="14" t="inlineStr">
        <is>
          <t>2024-06-13</t>
        </is>
      </c>
      <c r="C1024" s="14" t="inlineStr">
        <is>
          <t>棉花</t>
        </is>
      </c>
      <c r="D1024" s="14" t="inlineStr">
        <is>
          <t>CF</t>
        </is>
      </c>
      <c r="E1024" s="14" t="inlineStr">
        <is>
          <t>空</t>
        </is>
      </c>
      <c r="F1024" s="14" t="inlineStr">
        <is>
          <t>★★</t>
        </is>
      </c>
      <c r="G1024" s="14" t="n">
        <v>3</v>
      </c>
      <c r="H1024" s="15" t="n">
        <v>14980</v>
      </c>
      <c r="I1024" s="15" t="n">
        <v>14760</v>
      </c>
      <c r="J1024" s="14" t="n">
        <v>5</v>
      </c>
      <c r="K1024" s="14" t="n">
        <v>10000</v>
      </c>
      <c r="L1024" s="25">
        <f>IF(E1024="多",1,-1)*(I1024-H1024)*G1024*J1024</f>
        <v/>
      </c>
      <c r="M1024" s="26">
        <f>L1024/K1024</f>
        <v/>
      </c>
      <c r="N1024" s="14" t="inlineStr">
        <is>
          <t>将军撤退</t>
        </is>
      </c>
      <c r="O1024" s="14" t="inlineStr">
        <is>
          <t>是</t>
        </is>
      </c>
    </row>
    <row r="1025">
      <c r="A1025" s="14" t="inlineStr">
        <is>
          <t>2024-06-11</t>
        </is>
      </c>
      <c r="B1025" s="14" t="inlineStr">
        <is>
          <t>2024-06-12</t>
        </is>
      </c>
      <c r="C1025" s="14" t="inlineStr">
        <is>
          <t>纯碱</t>
        </is>
      </c>
      <c r="D1025" s="14" t="inlineStr">
        <is>
          <t>SA</t>
        </is>
      </c>
      <c r="E1025" s="14" t="inlineStr">
        <is>
          <t>空</t>
        </is>
      </c>
      <c r="F1025" s="14" t="inlineStr">
        <is>
          <t>★★</t>
        </is>
      </c>
      <c r="G1025" s="14" t="n">
        <v>1</v>
      </c>
      <c r="H1025" s="15" t="n">
        <v>2167</v>
      </c>
      <c r="I1025" s="15" t="n">
        <v>2175</v>
      </c>
      <c r="J1025" s="14" t="n">
        <v>20</v>
      </c>
      <c r="K1025" s="14" t="n">
        <v>10000</v>
      </c>
      <c r="L1025" s="25">
        <f>IF(E1025="多",1,-1)*(I1025-H1025)*G1025*J1025</f>
        <v/>
      </c>
      <c r="M1025" s="26">
        <f>L1025/K1025</f>
        <v/>
      </c>
      <c r="N1025" s="14" t="inlineStr">
        <is>
          <t>将军撤退</t>
        </is>
      </c>
      <c r="O1025" s="14" t="inlineStr">
        <is>
          <t>是</t>
        </is>
      </c>
    </row>
    <row r="1026">
      <c r="A1026" s="2" t="inlineStr">
        <is>
          <t>2024-06-07</t>
        </is>
      </c>
      <c r="B1026" s="2" t="inlineStr">
        <is>
          <t>2024-06-12</t>
        </is>
      </c>
      <c r="C1026" s="2" t="inlineStr">
        <is>
          <t>菜粕</t>
        </is>
      </c>
      <c r="D1026" s="2" t="inlineStr">
        <is>
          <t>RM</t>
        </is>
      </c>
      <c r="E1026" s="9" t="inlineStr">
        <is>
          <t>空</t>
        </is>
      </c>
      <c r="F1026" s="2" t="inlineStr">
        <is>
          <t>★★★</t>
        </is>
      </c>
      <c r="G1026" s="10" t="n">
        <v>15</v>
      </c>
      <c r="H1026" s="11" t="n">
        <v>2760</v>
      </c>
      <c r="I1026" s="11" t="n">
        <v>2747</v>
      </c>
      <c r="J1026" s="10" t="n">
        <v>10</v>
      </c>
      <c r="K1026" s="10" t="n">
        <v>27200</v>
      </c>
      <c r="L1026" s="23">
        <f>IF(E1026="多",1,-1)*(I1026-H1026)*G1026*J1026</f>
        <v/>
      </c>
      <c r="M1026" s="24">
        <f>L1026/K1026</f>
        <v/>
      </c>
      <c r="N1026" s="2" t="inlineStr">
        <is>
          <t>大将军转向</t>
        </is>
      </c>
      <c r="O1026" s="2" t="inlineStr">
        <is>
          <t>否</t>
        </is>
      </c>
    </row>
    <row r="1027">
      <c r="A1027" s="2" t="inlineStr">
        <is>
          <t>2024-06-06</t>
        </is>
      </c>
      <c r="B1027" s="2" t="inlineStr">
        <is>
          <t>2024-06-12</t>
        </is>
      </c>
      <c r="C1027" s="2" t="inlineStr">
        <is>
          <t>甲醇</t>
        </is>
      </c>
      <c r="D1027" s="2" t="inlineStr">
        <is>
          <t>MA</t>
        </is>
      </c>
      <c r="E1027" s="9" t="inlineStr">
        <is>
          <t>空</t>
        </is>
      </c>
      <c r="F1027" s="2" t="inlineStr">
        <is>
          <t>★★★</t>
        </is>
      </c>
      <c r="G1027" s="10" t="n">
        <v>22</v>
      </c>
      <c r="H1027" s="11" t="n">
        <v>2556</v>
      </c>
      <c r="I1027" s="11" t="n">
        <v>2560</v>
      </c>
      <c r="J1027" s="10" t="n">
        <v>10</v>
      </c>
      <c r="K1027" s="10" t="n">
        <v>27200</v>
      </c>
      <c r="L1027" s="23">
        <f>IF(E1027="多",1,-1)*(I1027-H1027)*G1027*J1027</f>
        <v/>
      </c>
      <c r="M1027" s="24">
        <f>L1027/K1027</f>
        <v/>
      </c>
      <c r="N1027" s="2" t="inlineStr">
        <is>
          <t>将军撤退</t>
        </is>
      </c>
      <c r="O1027" s="2" t="inlineStr">
        <is>
          <t>否</t>
        </is>
      </c>
    </row>
    <row r="1028">
      <c r="A1028" s="2" t="inlineStr">
        <is>
          <t>2024-06-07</t>
        </is>
      </c>
      <c r="B1028" s="2" t="inlineStr">
        <is>
          <t>2024-06-11</t>
        </is>
      </c>
      <c r="C1028" s="2" t="inlineStr">
        <is>
          <t>沪银</t>
        </is>
      </c>
      <c r="D1028" s="2" t="inlineStr">
        <is>
          <t>AG</t>
        </is>
      </c>
      <c r="E1028" s="19" t="inlineStr">
        <is>
          <t>多</t>
        </is>
      </c>
      <c r="F1028" s="2" t="inlineStr">
        <is>
          <t>★★★</t>
        </is>
      </c>
      <c r="G1028" s="10" t="n">
        <v>1</v>
      </c>
      <c r="H1028" s="11" t="n">
        <v>7845</v>
      </c>
      <c r="I1028" s="11" t="n">
        <v>7680</v>
      </c>
      <c r="J1028" s="10" t="n">
        <v>15</v>
      </c>
      <c r="K1028" s="10" t="n">
        <v>27200</v>
      </c>
      <c r="L1028" s="23">
        <f>IF(E1028="多",1,-1)*(I1028-H1028)*G1028*J1028</f>
        <v/>
      </c>
      <c r="M1028" s="24">
        <f>L1028/K1028</f>
        <v/>
      </c>
      <c r="N1028" s="2" t="inlineStr">
        <is>
          <t>大将军转向</t>
        </is>
      </c>
      <c r="O1028" s="2" t="inlineStr">
        <is>
          <t>否</t>
        </is>
      </c>
    </row>
    <row r="1029">
      <c r="A1029" s="14" t="inlineStr">
        <is>
          <t>2024-06-06</t>
        </is>
      </c>
      <c r="B1029" s="14" t="inlineStr">
        <is>
          <t>2024-06-07</t>
        </is>
      </c>
      <c r="C1029" s="14" t="inlineStr">
        <is>
          <t>碳酸锂</t>
        </is>
      </c>
      <c r="D1029" s="14" t="inlineStr">
        <is>
          <t>LC</t>
        </is>
      </c>
      <c r="E1029" s="14" t="inlineStr">
        <is>
          <t>空</t>
        </is>
      </c>
      <c r="F1029" s="14" t="inlineStr">
        <is>
          <t>★★</t>
        </is>
      </c>
      <c r="G1029" s="14" t="n">
        <v>1</v>
      </c>
      <c r="H1029" s="15" t="n">
        <v>102000</v>
      </c>
      <c r="I1029" s="15" t="n">
        <v>100050</v>
      </c>
      <c r="J1029" s="14" t="n">
        <v>1</v>
      </c>
      <c r="K1029" s="14" t="n">
        <v>10000</v>
      </c>
      <c r="L1029" s="25">
        <f>IF(E1029="多",1,-1)*(I1029-H1029)*G1029*J1029</f>
        <v/>
      </c>
      <c r="M1029" s="26">
        <f>L1029/K1029</f>
        <v/>
      </c>
      <c r="N1029" s="14" t="inlineStr">
        <is>
          <t>将军撤退</t>
        </is>
      </c>
      <c r="O1029" s="14" t="inlineStr">
        <is>
          <t>是</t>
        </is>
      </c>
    </row>
    <row r="1030">
      <c r="A1030" s="14" t="inlineStr">
        <is>
          <t>2024-06-04</t>
        </is>
      </c>
      <c r="B1030" s="14" t="inlineStr">
        <is>
          <t>2024-06-07</t>
        </is>
      </c>
      <c r="C1030" s="14" t="inlineStr">
        <is>
          <t>纯碱</t>
        </is>
      </c>
      <c r="D1030" s="14" t="inlineStr">
        <is>
          <t>SA</t>
        </is>
      </c>
      <c r="E1030" s="14" t="inlineStr">
        <is>
          <t>空</t>
        </is>
      </c>
      <c r="F1030" s="14" t="inlineStr">
        <is>
          <t>★★</t>
        </is>
      </c>
      <c r="G1030" s="14" t="n">
        <v>1</v>
      </c>
      <c r="H1030" s="15" t="n">
        <v>2218</v>
      </c>
      <c r="I1030" s="15" t="n">
        <v>2223</v>
      </c>
      <c r="J1030" s="14" t="n">
        <v>20</v>
      </c>
      <c r="K1030" s="14" t="n">
        <v>10000</v>
      </c>
      <c r="L1030" s="25">
        <f>IF(E1030="多",1,-1)*(I1030-H1030)*G1030*J1030</f>
        <v/>
      </c>
      <c r="M1030" s="26">
        <f>L1030/K1030</f>
        <v/>
      </c>
      <c r="N1030" s="14" t="inlineStr">
        <is>
          <t>大将军转向</t>
        </is>
      </c>
      <c r="O1030" s="14" t="inlineStr">
        <is>
          <t>是</t>
        </is>
      </c>
    </row>
    <row r="1031">
      <c r="A1031" s="14" t="inlineStr">
        <is>
          <t>2024-05-30</t>
        </is>
      </c>
      <c r="B1031" s="14" t="inlineStr">
        <is>
          <t>2024-06-06</t>
        </is>
      </c>
      <c r="C1031" s="14" t="inlineStr">
        <is>
          <t>PVC</t>
        </is>
      </c>
      <c r="D1031" s="14" t="inlineStr">
        <is>
          <t>V</t>
        </is>
      </c>
      <c r="E1031" s="14" t="inlineStr">
        <is>
          <t>多</t>
        </is>
      </c>
      <c r="F1031" s="14" t="inlineStr">
        <is>
          <t>★★★</t>
        </is>
      </c>
      <c r="G1031" s="14" t="n">
        <v>5</v>
      </c>
      <c r="H1031" s="15" t="n">
        <v>6515</v>
      </c>
      <c r="I1031" s="15" t="n">
        <v>6180.93</v>
      </c>
      <c r="J1031" s="14" t="n">
        <v>5</v>
      </c>
      <c r="K1031" s="14" t="n">
        <v>10000</v>
      </c>
      <c r="L1031" s="25">
        <f>IF(E1031="多",1,-1)*(I1031-H1031)*G1031*J1031</f>
        <v/>
      </c>
      <c r="M1031" s="26">
        <f>L1031/K1031</f>
        <v/>
      </c>
      <c r="N1031" s="14" t="inlineStr">
        <is>
          <t>止损</t>
        </is>
      </c>
      <c r="O1031" s="14" t="inlineStr">
        <is>
          <t>是</t>
        </is>
      </c>
    </row>
    <row r="1032">
      <c r="A1032" s="14" t="inlineStr">
        <is>
          <t>2024-06-03</t>
        </is>
      </c>
      <c r="B1032" s="14" t="inlineStr">
        <is>
          <t>2024-06-05</t>
        </is>
      </c>
      <c r="C1032" s="14" t="inlineStr">
        <is>
          <t>铁矿石</t>
        </is>
      </c>
      <c r="D1032" s="14" t="inlineStr">
        <is>
          <t>I</t>
        </is>
      </c>
      <c r="E1032" s="14" t="inlineStr">
        <is>
          <t>空</t>
        </is>
      </c>
      <c r="F1032" s="14" t="inlineStr">
        <is>
          <t>★★★</t>
        </is>
      </c>
      <c r="G1032" s="14" t="n">
        <v>1</v>
      </c>
      <c r="H1032" s="15" t="n">
        <v>842</v>
      </c>
      <c r="I1032" s="15" t="n">
        <v>825</v>
      </c>
      <c r="J1032" s="14" t="n">
        <v>100</v>
      </c>
      <c r="K1032" s="14" t="n">
        <v>10000</v>
      </c>
      <c r="L1032" s="25">
        <f>IF(E1032="多",1,-1)*(I1032-H1032)*G1032*J1032</f>
        <v/>
      </c>
      <c r="M1032" s="26">
        <f>L1032/K1032</f>
        <v/>
      </c>
      <c r="N1032" s="14" t="inlineStr">
        <is>
          <t>将军撤退</t>
        </is>
      </c>
      <c r="O1032" s="14" t="inlineStr">
        <is>
          <t>是</t>
        </is>
      </c>
    </row>
    <row r="1033">
      <c r="A1033" s="14" t="inlineStr">
        <is>
          <t>2024-05-31</t>
        </is>
      </c>
      <c r="B1033" s="14" t="inlineStr">
        <is>
          <t>2024-06-05</t>
        </is>
      </c>
      <c r="C1033" s="14" t="inlineStr">
        <is>
          <t>碳酸锂</t>
        </is>
      </c>
      <c r="D1033" s="14" t="inlineStr">
        <is>
          <t>LC</t>
        </is>
      </c>
      <c r="E1033" s="14" t="inlineStr">
        <is>
          <t>空</t>
        </is>
      </c>
      <c r="F1033" s="14" t="inlineStr">
        <is>
          <t>★★★</t>
        </is>
      </c>
      <c r="G1033" s="14" t="n">
        <v>1</v>
      </c>
      <c r="H1033" s="15" t="n">
        <v>104000</v>
      </c>
      <c r="I1033" s="15" t="n">
        <v>99800</v>
      </c>
      <c r="J1033" s="14" t="n">
        <v>1</v>
      </c>
      <c r="K1033" s="14" t="n">
        <v>10000</v>
      </c>
      <c r="L1033" s="25">
        <f>IF(E1033="多",1,-1)*(I1033-H1033)*G1033*J1033</f>
        <v/>
      </c>
      <c r="M1033" s="26">
        <f>L1033/K1033</f>
        <v/>
      </c>
      <c r="N1033" s="14" t="inlineStr">
        <is>
          <t>将军撤退+大将军转向</t>
        </is>
      </c>
      <c r="O1033" s="14" t="inlineStr">
        <is>
          <t>是</t>
        </is>
      </c>
    </row>
    <row r="1034">
      <c r="A1034" s="2" t="inlineStr">
        <is>
          <t>2024-05-31</t>
        </is>
      </c>
      <c r="B1034" s="2" t="inlineStr">
        <is>
          <t>2024-06-03</t>
        </is>
      </c>
      <c r="C1034" s="2" t="inlineStr">
        <is>
          <t>螺纹钢</t>
        </is>
      </c>
      <c r="D1034" s="2" t="inlineStr">
        <is>
          <t>RB</t>
        </is>
      </c>
      <c r="E1034" s="9" t="inlineStr">
        <is>
          <t>空</t>
        </is>
      </c>
      <c r="F1034" s="2" t="inlineStr">
        <is>
          <t>★★★</t>
        </is>
      </c>
      <c r="G1034" s="10" t="n">
        <v>16</v>
      </c>
      <c r="H1034" s="11" t="n">
        <v>3706</v>
      </c>
      <c r="I1034" s="11" t="n">
        <v>3665</v>
      </c>
      <c r="J1034" s="10" t="n">
        <v>10</v>
      </c>
      <c r="K1034" s="10" t="n">
        <v>27000</v>
      </c>
      <c r="L1034" s="23">
        <f>IF(E1034="多",1,-1)*(I1034-H1034)*G1034*J1034</f>
        <v/>
      </c>
      <c r="M1034" s="24">
        <f>L1034/K1034</f>
        <v/>
      </c>
      <c r="N1034" s="2" t="inlineStr">
        <is>
          <t>将军撤退</t>
        </is>
      </c>
      <c r="O1034" s="2" t="inlineStr">
        <is>
          <t>否</t>
        </is>
      </c>
    </row>
    <row r="1035">
      <c r="A1035" s="14" t="inlineStr">
        <is>
          <t>2024-05-31</t>
        </is>
      </c>
      <c r="B1035" s="14" t="inlineStr">
        <is>
          <t>2024-06-03</t>
        </is>
      </c>
      <c r="C1035" s="14" t="inlineStr">
        <is>
          <t>豆粕</t>
        </is>
      </c>
      <c r="D1035" s="14" t="inlineStr">
        <is>
          <t>M</t>
        </is>
      </c>
      <c r="E1035" s="14" t="inlineStr">
        <is>
          <t>空</t>
        </is>
      </c>
      <c r="F1035" s="14" t="inlineStr">
        <is>
          <t>★★</t>
        </is>
      </c>
      <c r="G1035" s="14" t="n">
        <v>5</v>
      </c>
      <c r="H1035" s="15" t="n">
        <v>3508</v>
      </c>
      <c r="I1035" s="15" t="n">
        <v>3447</v>
      </c>
      <c r="J1035" s="14" t="n">
        <v>10</v>
      </c>
      <c r="K1035" s="14" t="n">
        <v>10000</v>
      </c>
      <c r="L1035" s="25">
        <f>IF(E1035="多",1,-1)*(I1035-H1035)*G1035*J1035</f>
        <v/>
      </c>
      <c r="M1035" s="26">
        <f>L1035/K1035</f>
        <v/>
      </c>
      <c r="N1035" s="14" t="inlineStr">
        <is>
          <t>将军撤退+大将军转向</t>
        </is>
      </c>
      <c r="O1035" s="14" t="inlineStr">
        <is>
          <t>是</t>
        </is>
      </c>
    </row>
    <row r="1036">
      <c r="A1036" s="14" t="inlineStr">
        <is>
          <t>2024-05-30</t>
        </is>
      </c>
      <c r="B1036" s="14" t="inlineStr">
        <is>
          <t>2024-06-03</t>
        </is>
      </c>
      <c r="C1036" s="14" t="inlineStr">
        <is>
          <t>热卷</t>
        </is>
      </c>
      <c r="D1036" s="14" t="inlineStr">
        <is>
          <t>HC</t>
        </is>
      </c>
      <c r="E1036" s="14" t="inlineStr">
        <is>
          <t>空</t>
        </is>
      </c>
      <c r="F1036" s="14" t="inlineStr">
        <is>
          <t>★★★</t>
        </is>
      </c>
      <c r="G1036" s="14" t="n">
        <v>7</v>
      </c>
      <c r="H1036" s="15" t="n">
        <v>3860</v>
      </c>
      <c r="I1036" s="15" t="n">
        <v>3800</v>
      </c>
      <c r="J1036" s="14" t="n">
        <v>10</v>
      </c>
      <c r="K1036" s="14" t="n">
        <v>10000</v>
      </c>
      <c r="L1036" s="25">
        <f>IF(E1036="多",1,-1)*(I1036-H1036)*G1036*J1036</f>
        <v/>
      </c>
      <c r="M1036" s="26">
        <f>L1036/K1036</f>
        <v/>
      </c>
      <c r="N1036" s="14" t="inlineStr">
        <is>
          <t>将军撤退</t>
        </is>
      </c>
      <c r="O1036" s="14" t="inlineStr">
        <is>
          <t>是</t>
        </is>
      </c>
    </row>
    <row r="1037">
      <c r="A1037" s="2" t="inlineStr">
        <is>
          <t>2024-05-28</t>
        </is>
      </c>
      <c r="B1037" s="2" t="inlineStr">
        <is>
          <t>2024-06-03</t>
        </is>
      </c>
      <c r="C1037" s="2" t="inlineStr">
        <is>
          <t>沪铝</t>
        </is>
      </c>
      <c r="D1037" s="2" t="inlineStr">
        <is>
          <t>AL</t>
        </is>
      </c>
      <c r="E1037" s="19" t="inlineStr">
        <is>
          <t>多</t>
        </is>
      </c>
      <c r="F1037" s="2" t="inlineStr">
        <is>
          <t>★★★</t>
        </is>
      </c>
      <c r="G1037" s="10" t="n">
        <v>4</v>
      </c>
      <c r="H1037" s="11" t="n">
        <v>21250</v>
      </c>
      <c r="I1037" s="11" t="n">
        <v>21170</v>
      </c>
      <c r="J1037" s="10" t="n">
        <v>5</v>
      </c>
      <c r="K1037" s="10" t="n">
        <v>27100</v>
      </c>
      <c r="L1037" s="23">
        <f>IF(E1037="多",1,-1)*(I1037-H1037)*G1037*J1037</f>
        <v/>
      </c>
      <c r="M1037" s="24">
        <f>L1037/K1037</f>
        <v/>
      </c>
      <c r="N1037" s="2" t="inlineStr">
        <is>
          <t>大将军转向</t>
        </is>
      </c>
      <c r="O1037" s="2" t="inlineStr">
        <is>
          <t>否</t>
        </is>
      </c>
    </row>
    <row r="1038">
      <c r="A1038" s="2" t="inlineStr">
        <is>
          <t>2024-05-29</t>
        </is>
      </c>
      <c r="B1038" s="2" t="inlineStr">
        <is>
          <t>2024-05-30</t>
        </is>
      </c>
      <c r="C1038" s="2" t="inlineStr">
        <is>
          <t>沪锌</t>
        </is>
      </c>
      <c r="D1038" s="2" t="inlineStr">
        <is>
          <t>ZN</t>
        </is>
      </c>
      <c r="E1038" s="19" t="inlineStr">
        <is>
          <t>多</t>
        </is>
      </c>
      <c r="F1038" s="2" t="inlineStr">
        <is>
          <t>★★★</t>
        </is>
      </c>
      <c r="G1038" s="10" t="n">
        <v>3</v>
      </c>
      <c r="H1038" s="11" t="n">
        <v>25100</v>
      </c>
      <c r="I1038" s="11" t="n">
        <v>24710</v>
      </c>
      <c r="J1038" s="10" t="n">
        <v>5</v>
      </c>
      <c r="K1038" s="10" t="n">
        <v>27300</v>
      </c>
      <c r="L1038" s="23">
        <f>IF(E1038="多",1,-1)*(I1038-H1038)*G1038*J1038</f>
        <v/>
      </c>
      <c r="M1038" s="24">
        <f>L1038/K1038</f>
        <v/>
      </c>
      <c r="N1038" s="2" t="inlineStr">
        <is>
          <t>大将军转向</t>
        </is>
      </c>
      <c r="O1038" s="2" t="inlineStr">
        <is>
          <t>否</t>
        </is>
      </c>
    </row>
    <row r="1039">
      <c r="A1039" s="2" t="inlineStr">
        <is>
          <t>2024-05-28</t>
        </is>
      </c>
      <c r="B1039" s="2" t="inlineStr">
        <is>
          <t>2024-05-29</t>
        </is>
      </c>
      <c r="C1039" s="2" t="inlineStr">
        <is>
          <t>沪银</t>
        </is>
      </c>
      <c r="D1039" s="2" t="inlineStr">
        <is>
          <t>AG</t>
        </is>
      </c>
      <c r="E1039" s="19" t="inlineStr">
        <is>
          <t>多</t>
        </is>
      </c>
      <c r="F1039" s="2" t="inlineStr">
        <is>
          <t>★★★</t>
        </is>
      </c>
      <c r="G1039" s="10" t="n">
        <v>2</v>
      </c>
      <c r="H1039" s="11" t="n">
        <v>8363</v>
      </c>
      <c r="I1039" s="11" t="n">
        <v>8539</v>
      </c>
      <c r="J1039" s="10" t="n">
        <v>15</v>
      </c>
      <c r="K1039" s="10" t="n">
        <v>27100</v>
      </c>
      <c r="L1039" s="23">
        <f>IF(E1039="多",1,-1)*(I1039-H1039)*G1039*J1039</f>
        <v/>
      </c>
      <c r="M1039" s="24">
        <f>L1039/K1039</f>
        <v/>
      </c>
      <c r="N1039" s="2" t="inlineStr">
        <is>
          <t>将军撤退</t>
        </is>
      </c>
      <c r="O1039" s="2" t="inlineStr">
        <is>
          <t>否</t>
        </is>
      </c>
    </row>
    <row r="1040">
      <c r="A1040" s="14" t="inlineStr">
        <is>
          <t>2024-05-21</t>
        </is>
      </c>
      <c r="B1040" s="14" t="inlineStr">
        <is>
          <t>2024-05-29</t>
        </is>
      </c>
      <c r="C1040" s="14" t="inlineStr">
        <is>
          <t>PTA</t>
        </is>
      </c>
      <c r="D1040" s="14" t="inlineStr">
        <is>
          <t>TA</t>
        </is>
      </c>
      <c r="E1040" s="14" t="inlineStr">
        <is>
          <t>多</t>
        </is>
      </c>
      <c r="F1040" s="14" t="inlineStr">
        <is>
          <t>★★</t>
        </is>
      </c>
      <c r="G1040" s="14" t="n">
        <v>11</v>
      </c>
      <c r="H1040" s="15" t="n">
        <v>5900</v>
      </c>
      <c r="I1040" s="15" t="n">
        <v>5954</v>
      </c>
      <c r="J1040" s="14" t="n">
        <v>5</v>
      </c>
      <c r="K1040" s="14" t="n">
        <v>10000</v>
      </c>
      <c r="L1040" s="25">
        <f>IF(E1040="多",1,-1)*(I1040-H1040)*G1040*J1040</f>
        <v/>
      </c>
      <c r="M1040" s="26">
        <f>L1040/K1040</f>
        <v/>
      </c>
      <c r="N1040" s="14" t="inlineStr">
        <is>
          <t>大将军转向</t>
        </is>
      </c>
      <c r="O1040" s="14" t="inlineStr">
        <is>
          <t>是</t>
        </is>
      </c>
    </row>
    <row r="1041">
      <c r="A1041" s="14" t="inlineStr">
        <is>
          <t>2024-05-08</t>
        </is>
      </c>
      <c r="B1041" s="14" t="inlineStr">
        <is>
          <t>2024-05-29</t>
        </is>
      </c>
      <c r="C1041" s="14" t="inlineStr">
        <is>
          <t>菜粕</t>
        </is>
      </c>
      <c r="D1041" s="14" t="inlineStr">
        <is>
          <t>RM</t>
        </is>
      </c>
      <c r="E1041" s="14" t="inlineStr">
        <is>
          <t>多</t>
        </is>
      </c>
      <c r="F1041" s="14" t="inlineStr">
        <is>
          <t>★★</t>
        </is>
      </c>
      <c r="G1041" s="14" t="n">
        <v>4</v>
      </c>
      <c r="H1041" s="15" t="n">
        <v>2900</v>
      </c>
      <c r="I1041" s="15" t="n">
        <v>2792.43</v>
      </c>
      <c r="J1041" s="14" t="n">
        <v>10</v>
      </c>
      <c r="K1041" s="14" t="n">
        <v>10000</v>
      </c>
      <c r="L1041" s="25">
        <f>IF(E1041="多",1,-1)*(I1041-H1041)*G1041*J1041</f>
        <v/>
      </c>
      <c r="M1041" s="26">
        <f>L1041/K1041</f>
        <v/>
      </c>
      <c r="N1041" s="14" t="inlineStr">
        <is>
          <t>止损</t>
        </is>
      </c>
      <c r="O1041" s="14" t="inlineStr">
        <is>
          <t>是</t>
        </is>
      </c>
    </row>
    <row r="1042">
      <c r="A1042" s="2" t="inlineStr">
        <is>
          <t>2024-05-24</t>
        </is>
      </c>
      <c r="B1042" s="2" t="inlineStr">
        <is>
          <t>2024-05-28</t>
        </is>
      </c>
      <c r="C1042" s="2" t="inlineStr">
        <is>
          <t>沪锌</t>
        </is>
      </c>
      <c r="D1042" s="2" t="inlineStr">
        <is>
          <t>ZN</t>
        </is>
      </c>
      <c r="E1042" s="19" t="inlineStr">
        <is>
          <t>多</t>
        </is>
      </c>
      <c r="F1042" s="2" t="inlineStr">
        <is>
          <t>★★★</t>
        </is>
      </c>
      <c r="G1042" s="10" t="n">
        <v>3</v>
      </c>
      <c r="H1042" s="11" t="n">
        <v>24680</v>
      </c>
      <c r="I1042" s="11" t="n">
        <v>24795</v>
      </c>
      <c r="J1042" s="10" t="n">
        <v>5</v>
      </c>
      <c r="K1042" s="10" t="n">
        <v>27000</v>
      </c>
      <c r="L1042" s="23">
        <f>IF(E1042="多",1,-1)*(I1042-H1042)*G1042*J1042</f>
        <v/>
      </c>
      <c r="M1042" s="24">
        <f>L1042/K1042</f>
        <v/>
      </c>
      <c r="N1042" s="2" t="inlineStr">
        <is>
          <t>大将军转向</t>
        </is>
      </c>
      <c r="O1042" s="2" t="inlineStr">
        <is>
          <t>否</t>
        </is>
      </c>
    </row>
    <row r="1043">
      <c r="A1043" s="14" t="inlineStr">
        <is>
          <t>2024-05-24</t>
        </is>
      </c>
      <c r="B1043" s="14" t="inlineStr">
        <is>
          <t>2024-05-27</t>
        </is>
      </c>
      <c r="C1043" s="14" t="inlineStr">
        <is>
          <t>玻璃</t>
        </is>
      </c>
      <c r="D1043" s="14" t="inlineStr">
        <is>
          <t>FG</t>
        </is>
      </c>
      <c r="E1043" s="14" t="inlineStr">
        <is>
          <t>多</t>
        </is>
      </c>
      <c r="F1043" s="14" t="inlineStr">
        <is>
          <t>★★</t>
        </is>
      </c>
      <c r="G1043" s="14" t="n">
        <v>4</v>
      </c>
      <c r="H1043" s="15" t="n">
        <v>1720</v>
      </c>
      <c r="I1043" s="15" t="n">
        <v>1709</v>
      </c>
      <c r="J1043" s="14" t="n">
        <v>20</v>
      </c>
      <c r="K1043" s="14" t="n">
        <v>10000</v>
      </c>
      <c r="L1043" s="25">
        <f>IF(E1043="多",1,-1)*(I1043-H1043)*G1043*J1043</f>
        <v/>
      </c>
      <c r="M1043" s="26">
        <f>L1043/K1043</f>
        <v/>
      </c>
      <c r="N1043" s="14" t="inlineStr">
        <is>
          <t>将军撤退+大将军转向</t>
        </is>
      </c>
      <c r="O1043" s="14" t="inlineStr">
        <is>
          <t>是</t>
        </is>
      </c>
    </row>
    <row r="1044">
      <c r="A1044" s="2" t="inlineStr">
        <is>
          <t>2024-05-21</t>
        </is>
      </c>
      <c r="B1044" s="2" t="inlineStr">
        <is>
          <t>2024-05-24</t>
        </is>
      </c>
      <c r="C1044" s="2" t="inlineStr">
        <is>
          <t>工业硅</t>
        </is>
      </c>
      <c r="D1044" s="2" t="inlineStr">
        <is>
          <t>SI</t>
        </is>
      </c>
      <c r="E1044" s="19" t="inlineStr">
        <is>
          <t>多</t>
        </is>
      </c>
      <c r="F1044" s="2" t="inlineStr">
        <is>
          <t>★★★</t>
        </is>
      </c>
      <c r="G1044" s="10" t="n">
        <v>6</v>
      </c>
      <c r="H1044" s="11" t="n">
        <v>12450</v>
      </c>
      <c r="I1044" s="11" t="n">
        <v>12940</v>
      </c>
      <c r="J1044" s="10" t="n">
        <v>5</v>
      </c>
      <c r="K1044" s="10" t="n">
        <v>26500</v>
      </c>
      <c r="L1044" s="23">
        <f>IF(E1044="多",1,-1)*(I1044-H1044)*G1044*J1044</f>
        <v/>
      </c>
      <c r="M1044" s="24">
        <f>L1044/K1044</f>
        <v/>
      </c>
      <c r="N1044" s="2" t="inlineStr">
        <is>
          <t>将军撤退</t>
        </is>
      </c>
      <c r="O1044" s="2" t="inlineStr">
        <is>
          <t>否</t>
        </is>
      </c>
    </row>
    <row r="1045">
      <c r="A1045" s="14" t="inlineStr">
        <is>
          <t>2024-05-20</t>
        </is>
      </c>
      <c r="B1045" s="14" t="inlineStr">
        <is>
          <t>2024-05-24</t>
        </is>
      </c>
      <c r="C1045" s="14" t="inlineStr">
        <is>
          <t>沪铝</t>
        </is>
      </c>
      <c r="D1045" s="14" t="inlineStr">
        <is>
          <t>AL</t>
        </is>
      </c>
      <c r="E1045" s="14" t="inlineStr">
        <is>
          <t>多</t>
        </is>
      </c>
      <c r="F1045" s="14" t="inlineStr">
        <is>
          <t>★★★</t>
        </is>
      </c>
      <c r="G1045" s="14" t="n">
        <v>2</v>
      </c>
      <c r="H1045" s="15" t="n">
        <v>20890</v>
      </c>
      <c r="I1045" s="15" t="n">
        <v>20855</v>
      </c>
      <c r="J1045" s="14" t="n">
        <v>5</v>
      </c>
      <c r="K1045" s="14" t="n">
        <v>10000</v>
      </c>
      <c r="L1045" s="25">
        <f>IF(E1045="多",1,-1)*(I1045-H1045)*G1045*J1045</f>
        <v/>
      </c>
      <c r="M1045" s="26">
        <f>L1045/K1045</f>
        <v/>
      </c>
      <c r="N1045" s="14" t="inlineStr">
        <is>
          <t>将军撤退+大将军转向</t>
        </is>
      </c>
      <c r="O1045" s="14" t="inlineStr">
        <is>
          <t>是</t>
        </is>
      </c>
    </row>
    <row r="1046">
      <c r="A1046" s="14" t="inlineStr">
        <is>
          <t>2024-05-21</t>
        </is>
      </c>
      <c r="B1046" s="14" t="inlineStr">
        <is>
          <t>2024-05-22</t>
        </is>
      </c>
      <c r="C1046" s="14" t="inlineStr">
        <is>
          <t>螺纹钢</t>
        </is>
      </c>
      <c r="D1046" s="14" t="inlineStr">
        <is>
          <t>RB</t>
        </is>
      </c>
      <c r="E1046" s="14" t="inlineStr">
        <is>
          <t>多</t>
        </is>
      </c>
      <c r="F1046" s="14" t="inlineStr">
        <is>
          <t>★★</t>
        </is>
      </c>
      <c r="G1046" s="14" t="n">
        <v>6</v>
      </c>
      <c r="H1046" s="15" t="n">
        <v>3746</v>
      </c>
      <c r="I1046" s="15" t="n">
        <v>3800</v>
      </c>
      <c r="J1046" s="14" t="n">
        <v>10</v>
      </c>
      <c r="K1046" s="14" t="n">
        <v>10000</v>
      </c>
      <c r="L1046" s="25">
        <f>IF(E1046="多",1,-1)*(I1046-H1046)*G1046*J1046</f>
        <v/>
      </c>
      <c r="M1046" s="26">
        <f>L1046/K1046</f>
        <v/>
      </c>
      <c r="N1046" s="14" t="inlineStr">
        <is>
          <t>大将军转向</t>
        </is>
      </c>
      <c r="O1046" s="14" t="inlineStr">
        <is>
          <t>是</t>
        </is>
      </c>
    </row>
    <row r="1047">
      <c r="A1047" s="14" t="inlineStr">
        <is>
          <t>2024-05-17</t>
        </is>
      </c>
      <c r="B1047" s="14" t="inlineStr">
        <is>
          <t>2024-05-21</t>
        </is>
      </c>
      <c r="C1047" s="14" t="inlineStr">
        <is>
          <t>沪银</t>
        </is>
      </c>
      <c r="D1047" s="14" t="inlineStr">
        <is>
          <t>AG</t>
        </is>
      </c>
      <c r="E1047" s="14" t="inlineStr">
        <is>
          <t>多</t>
        </is>
      </c>
      <c r="F1047" s="14" t="inlineStr">
        <is>
          <t>★★★</t>
        </is>
      </c>
      <c r="G1047" s="14" t="n">
        <v>1</v>
      </c>
      <c r="H1047" s="15" t="n">
        <v>7764</v>
      </c>
      <c r="I1047" s="15" t="n">
        <v>8231</v>
      </c>
      <c r="J1047" s="14" t="n">
        <v>15</v>
      </c>
      <c r="K1047" s="14" t="n">
        <v>10000</v>
      </c>
      <c r="L1047" s="25">
        <f>IF(E1047="多",1,-1)*(I1047-H1047)*G1047*J1047</f>
        <v/>
      </c>
      <c r="M1047" s="26">
        <f>L1047/K1047</f>
        <v/>
      </c>
      <c r="N1047" s="14" t="inlineStr">
        <is>
          <t>将军撤退+大将军转向</t>
        </is>
      </c>
      <c r="O1047" s="14" t="inlineStr">
        <is>
          <t>是</t>
        </is>
      </c>
    </row>
    <row r="1048">
      <c r="A1048" s="14" t="inlineStr">
        <is>
          <t>2024-05-15</t>
        </is>
      </c>
      <c r="B1048" s="14" t="inlineStr">
        <is>
          <t>2024-05-21</t>
        </is>
      </c>
      <c r="C1048" s="14" t="inlineStr">
        <is>
          <t>PTA</t>
        </is>
      </c>
      <c r="D1048" s="14" t="inlineStr">
        <is>
          <t>TA</t>
        </is>
      </c>
      <c r="E1048" s="14" t="inlineStr">
        <is>
          <t>空</t>
        </is>
      </c>
      <c r="F1048" s="14" t="inlineStr">
        <is>
          <t>★★</t>
        </is>
      </c>
      <c r="G1048" s="14" t="n">
        <v>11</v>
      </c>
      <c r="H1048" s="15" t="n">
        <v>5782</v>
      </c>
      <c r="I1048" s="15" t="n">
        <v>5938.86</v>
      </c>
      <c r="J1048" s="14" t="n">
        <v>5</v>
      </c>
      <c r="K1048" s="14" t="n">
        <v>10000</v>
      </c>
      <c r="L1048" s="25">
        <f>IF(E1048="多",1,-1)*(I1048-H1048)*G1048*J1048</f>
        <v/>
      </c>
      <c r="M1048" s="26">
        <f>L1048/K1048</f>
        <v/>
      </c>
      <c r="N1048" s="14" t="inlineStr">
        <is>
          <t>止损</t>
        </is>
      </c>
      <c r="O1048" s="14" t="inlineStr">
        <is>
          <t>是</t>
        </is>
      </c>
    </row>
    <row r="1049">
      <c r="A1049" s="2" t="inlineStr">
        <is>
          <t>2024-05-15</t>
        </is>
      </c>
      <c r="B1049" s="2" t="inlineStr">
        <is>
          <t>2024-05-21</t>
        </is>
      </c>
      <c r="C1049" s="2" t="inlineStr">
        <is>
          <t>棉花</t>
        </is>
      </c>
      <c r="D1049" s="2" t="inlineStr">
        <is>
          <t>CF</t>
        </is>
      </c>
      <c r="E1049" s="9" t="inlineStr">
        <is>
          <t>空</t>
        </is>
      </c>
      <c r="F1049" s="2" t="inlineStr">
        <is>
          <t>★★★</t>
        </is>
      </c>
      <c r="G1049" s="10" t="n">
        <v>9</v>
      </c>
      <c r="H1049" s="11" t="n">
        <v>14940</v>
      </c>
      <c r="I1049" s="11" t="n">
        <v>15340</v>
      </c>
      <c r="J1049" s="10" t="n">
        <v>5</v>
      </c>
      <c r="K1049" s="10" t="n">
        <v>27600</v>
      </c>
      <c r="L1049" s="23">
        <f>IF(E1049="多",1,-1)*(I1049-H1049)*G1049*J1049</f>
        <v/>
      </c>
      <c r="M1049" s="24">
        <f>L1049/K1049</f>
        <v/>
      </c>
      <c r="N1049" s="2" t="inlineStr">
        <is>
          <t>大将军转向</t>
        </is>
      </c>
      <c r="O1049" s="2" t="inlineStr">
        <is>
          <t>否</t>
        </is>
      </c>
    </row>
    <row r="1050">
      <c r="A1050" s="14" t="inlineStr">
        <is>
          <t>2024-05-14</t>
        </is>
      </c>
      <c r="B1050" s="14" t="inlineStr">
        <is>
          <t>2024-05-21</t>
        </is>
      </c>
      <c r="C1050" s="14" t="inlineStr">
        <is>
          <t>菜油</t>
        </is>
      </c>
      <c r="D1050" s="14" t="inlineStr">
        <is>
          <t>OI</t>
        </is>
      </c>
      <c r="E1050" s="14" t="inlineStr">
        <is>
          <t>多</t>
        </is>
      </c>
      <c r="F1050" s="14" t="inlineStr">
        <is>
          <t>★★</t>
        </is>
      </c>
      <c r="G1050" s="14" t="n">
        <v>1</v>
      </c>
      <c r="H1050" s="15" t="n">
        <v>8753</v>
      </c>
      <c r="I1050" s="15" t="n">
        <v>8861</v>
      </c>
      <c r="J1050" s="14" t="n">
        <v>10</v>
      </c>
      <c r="K1050" s="14" t="n">
        <v>10000</v>
      </c>
      <c r="L1050" s="25">
        <f>IF(E1050="多",1,-1)*(I1050-H1050)*G1050*J1050</f>
        <v/>
      </c>
      <c r="M1050" s="26">
        <f>L1050/K1050</f>
        <v/>
      </c>
      <c r="N1050" s="14" t="inlineStr">
        <is>
          <t>大将军转向</t>
        </is>
      </c>
      <c r="O1050" s="14" t="inlineStr">
        <is>
          <t>是</t>
        </is>
      </c>
    </row>
    <row r="1051">
      <c r="A1051" s="2" t="inlineStr">
        <is>
          <t>2024-05-10</t>
        </is>
      </c>
      <c r="B1051" s="2" t="inlineStr">
        <is>
          <t>2024-05-20</t>
        </is>
      </c>
      <c r="C1051" s="2" t="inlineStr">
        <is>
          <t>棕榈油</t>
        </is>
      </c>
      <c r="D1051" s="2" t="inlineStr">
        <is>
          <t>P</t>
        </is>
      </c>
      <c r="E1051" s="9" t="inlineStr">
        <is>
          <t>空</t>
        </is>
      </c>
      <c r="F1051" s="2" t="inlineStr">
        <is>
          <t>★★★</t>
        </is>
      </c>
      <c r="G1051" s="10" t="n">
        <v>5</v>
      </c>
      <c r="H1051" s="11" t="n">
        <v>7300</v>
      </c>
      <c r="I1051" s="11" t="n">
        <v>7664</v>
      </c>
      <c r="J1051" s="10" t="n">
        <v>10</v>
      </c>
      <c r="K1051" s="10" t="n">
        <v>26300</v>
      </c>
      <c r="L1051" s="23">
        <f>IF(E1051="多",1,-1)*(I1051-H1051)*G1051*J1051</f>
        <v/>
      </c>
      <c r="M1051" s="24">
        <f>L1051/K1051</f>
        <v/>
      </c>
      <c r="N1051" s="2" t="inlineStr">
        <is>
          <t>大将军转向</t>
        </is>
      </c>
      <c r="O1051" s="2" t="inlineStr">
        <is>
          <t>否</t>
        </is>
      </c>
    </row>
    <row r="1052">
      <c r="A1052" s="14" t="inlineStr">
        <is>
          <t>2024-05-10</t>
        </is>
      </c>
      <c r="B1052" s="14" t="inlineStr">
        <is>
          <t>2024-05-20</t>
        </is>
      </c>
      <c r="C1052" s="14" t="inlineStr">
        <is>
          <t>燃料油</t>
        </is>
      </c>
      <c r="D1052" s="14" t="inlineStr">
        <is>
          <t>FU</t>
        </is>
      </c>
      <c r="E1052" s="14" t="inlineStr">
        <is>
          <t>多</t>
        </is>
      </c>
      <c r="F1052" s="14" t="inlineStr">
        <is>
          <t>★★</t>
        </is>
      </c>
      <c r="G1052" s="14" t="n">
        <v>3</v>
      </c>
      <c r="H1052" s="15" t="n">
        <v>3426</v>
      </c>
      <c r="I1052" s="15" t="n">
        <v>3486</v>
      </c>
      <c r="J1052" s="14" t="n">
        <v>10</v>
      </c>
      <c r="K1052" s="14" t="n">
        <v>10000</v>
      </c>
      <c r="L1052" s="25">
        <f>IF(E1052="多",1,-1)*(I1052-H1052)*G1052*J1052</f>
        <v/>
      </c>
      <c r="M1052" s="26">
        <f>L1052/K1052</f>
        <v/>
      </c>
      <c r="N1052" s="14" t="inlineStr">
        <is>
          <t>大将军转向</t>
        </is>
      </c>
      <c r="O1052" s="14" t="inlineStr">
        <is>
          <t>是</t>
        </is>
      </c>
    </row>
    <row r="1053">
      <c r="A1053" s="14" t="inlineStr">
        <is>
          <t>2024-05-09</t>
        </is>
      </c>
      <c r="B1053" s="14" t="inlineStr">
        <is>
          <t>2024-05-20</t>
        </is>
      </c>
      <c r="C1053" s="14" t="inlineStr">
        <is>
          <t>苯乙烯</t>
        </is>
      </c>
      <c r="D1053" s="14" t="inlineStr">
        <is>
          <t>EB</t>
        </is>
      </c>
      <c r="E1053" s="14" t="inlineStr">
        <is>
          <t>空</t>
        </is>
      </c>
      <c r="F1053" s="14" t="inlineStr">
        <is>
          <t>★★</t>
        </is>
      </c>
      <c r="G1053" s="14" t="n">
        <v>5</v>
      </c>
      <c r="H1053" s="15" t="n">
        <v>9233</v>
      </c>
      <c r="I1053" s="15" t="n">
        <v>9444.139999999999</v>
      </c>
      <c r="J1053" s="14" t="n">
        <v>5</v>
      </c>
      <c r="K1053" s="14" t="n">
        <v>10000</v>
      </c>
      <c r="L1053" s="25">
        <f>IF(E1053="多",1,-1)*(I1053-H1053)*G1053*J1053</f>
        <v/>
      </c>
      <c r="M1053" s="26">
        <f>L1053/K1053</f>
        <v/>
      </c>
      <c r="N1053" s="14" t="inlineStr">
        <is>
          <t>止损</t>
        </is>
      </c>
      <c r="O1053" s="14" t="inlineStr">
        <is>
          <t>是</t>
        </is>
      </c>
    </row>
    <row r="1054">
      <c r="A1054" s="14" t="inlineStr">
        <is>
          <t>2024-05-06</t>
        </is>
      </c>
      <c r="B1054" s="14" t="inlineStr">
        <is>
          <t>2024-05-17</t>
        </is>
      </c>
      <c r="C1054" s="14" t="inlineStr">
        <is>
          <t>纯碱</t>
        </is>
      </c>
      <c r="D1054" s="14" t="inlineStr">
        <is>
          <t>SA</t>
        </is>
      </c>
      <c r="E1054" s="14" t="inlineStr">
        <is>
          <t>多</t>
        </is>
      </c>
      <c r="F1054" s="14" t="inlineStr">
        <is>
          <t>★★</t>
        </is>
      </c>
      <c r="G1054" s="14" t="n">
        <v>1</v>
      </c>
      <c r="H1054" s="15" t="n">
        <v>2268</v>
      </c>
      <c r="I1054" s="15" t="n">
        <v>2301</v>
      </c>
      <c r="J1054" s="14" t="n">
        <v>20</v>
      </c>
      <c r="K1054" s="14" t="n">
        <v>10000</v>
      </c>
      <c r="L1054" s="25">
        <f>IF(E1054="多",1,-1)*(I1054-H1054)*G1054*J1054</f>
        <v/>
      </c>
      <c r="M1054" s="26">
        <f>L1054/K1054</f>
        <v/>
      </c>
      <c r="N1054" s="14" t="inlineStr">
        <is>
          <t>大将军转向</t>
        </is>
      </c>
      <c r="O1054" s="14" t="inlineStr">
        <is>
          <t>是</t>
        </is>
      </c>
    </row>
    <row r="1055">
      <c r="A1055" s="2" t="inlineStr">
        <is>
          <t>2024-04-30</t>
        </is>
      </c>
      <c r="B1055" s="2" t="inlineStr">
        <is>
          <t>2024-05-14</t>
        </is>
      </c>
      <c r="C1055" s="2" t="inlineStr">
        <is>
          <t>锰硅</t>
        </is>
      </c>
      <c r="D1055" s="2" t="inlineStr">
        <is>
          <t>SM</t>
        </is>
      </c>
      <c r="E1055" s="19" t="inlineStr">
        <is>
          <t>多</t>
        </is>
      </c>
      <c r="F1055" s="2" t="inlineStr">
        <is>
          <t>★★★</t>
        </is>
      </c>
      <c r="G1055" s="10" t="n">
        <v>9</v>
      </c>
      <c r="H1055" s="11" t="n">
        <v>7910</v>
      </c>
      <c r="I1055" s="11" t="n">
        <v>8538</v>
      </c>
      <c r="J1055" s="10" t="n">
        <v>5</v>
      </c>
      <c r="K1055" s="10" t="n">
        <v>24400</v>
      </c>
      <c r="L1055" s="23">
        <f>IF(E1055="多",1,-1)*(I1055-H1055)*G1055*J1055</f>
        <v/>
      </c>
      <c r="M1055" s="24">
        <f>L1055/K1055</f>
        <v/>
      </c>
      <c r="N1055" s="2" t="inlineStr">
        <is>
          <t>大将军转向</t>
        </is>
      </c>
      <c r="O1055" s="2" t="inlineStr">
        <is>
          <t>否</t>
        </is>
      </c>
    </row>
    <row r="1056">
      <c r="A1056" s="14" t="inlineStr">
        <is>
          <t>2024-05-10</t>
        </is>
      </c>
      <c r="B1056" s="14" t="inlineStr">
        <is>
          <t>2024-05-13</t>
        </is>
      </c>
      <c r="C1056" s="14" t="inlineStr">
        <is>
          <t>工业硅</t>
        </is>
      </c>
      <c r="D1056" s="14" t="inlineStr">
        <is>
          <t>SI</t>
        </is>
      </c>
      <c r="E1056" s="14" t="inlineStr">
        <is>
          <t>空</t>
        </is>
      </c>
      <c r="F1056" s="14" t="inlineStr">
        <is>
          <t>★★</t>
        </is>
      </c>
      <c r="G1056" s="14" t="n">
        <v>2</v>
      </c>
      <c r="H1056" s="15" t="n">
        <v>12010</v>
      </c>
      <c r="I1056" s="15" t="n">
        <v>12055</v>
      </c>
      <c r="J1056" s="14" t="n">
        <v>5</v>
      </c>
      <c r="K1056" s="14" t="n">
        <v>10000</v>
      </c>
      <c r="L1056" s="25">
        <f>IF(E1056="多",1,-1)*(I1056-H1056)*G1056*J1056</f>
        <v/>
      </c>
      <c r="M1056" s="26">
        <f>L1056/K1056</f>
        <v/>
      </c>
      <c r="N1056" s="14" t="inlineStr">
        <is>
          <t>大将军转向</t>
        </is>
      </c>
      <c r="O1056" s="14" t="inlineStr">
        <is>
          <t>是</t>
        </is>
      </c>
    </row>
    <row r="1057">
      <c r="A1057" s="14" t="inlineStr">
        <is>
          <t>2024-05-08</t>
        </is>
      </c>
      <c r="B1057" s="14" t="inlineStr">
        <is>
          <t>2024-05-13</t>
        </is>
      </c>
      <c r="C1057" s="14" t="inlineStr">
        <is>
          <t>热卷</t>
        </is>
      </c>
      <c r="D1057" s="14" t="inlineStr">
        <is>
          <t>HC</t>
        </is>
      </c>
      <c r="E1057" s="14" t="inlineStr">
        <is>
          <t>空</t>
        </is>
      </c>
      <c r="F1057" s="14" t="inlineStr">
        <is>
          <t>★★</t>
        </is>
      </c>
      <c r="G1057" s="14" t="n">
        <v>6</v>
      </c>
      <c r="H1057" s="15" t="n">
        <v>3810</v>
      </c>
      <c r="I1057" s="15" t="n">
        <v>3820</v>
      </c>
      <c r="J1057" s="14" t="n">
        <v>10</v>
      </c>
      <c r="K1057" s="14" t="n">
        <v>10000</v>
      </c>
      <c r="L1057" s="25">
        <f>IF(E1057="多",1,-1)*(I1057-H1057)*G1057*J1057</f>
        <v/>
      </c>
      <c r="M1057" s="26">
        <f>L1057/K1057</f>
        <v/>
      </c>
      <c r="N1057" s="14" t="inlineStr">
        <is>
          <t>大将军转向</t>
        </is>
      </c>
      <c r="O1057" s="14" t="inlineStr">
        <is>
          <t>是</t>
        </is>
      </c>
    </row>
    <row r="1058">
      <c r="A1058" s="2" t="inlineStr">
        <is>
          <t>2024-05-08</t>
        </is>
      </c>
      <c r="B1058" s="2" t="inlineStr">
        <is>
          <t>2024-05-09</t>
        </is>
      </c>
      <c r="C1058" s="2" t="inlineStr">
        <is>
          <t>工业硅</t>
        </is>
      </c>
      <c r="D1058" s="2" t="inlineStr">
        <is>
          <t>SI</t>
        </is>
      </c>
      <c r="E1058" s="9" t="inlineStr">
        <is>
          <t>空</t>
        </is>
      </c>
      <c r="F1058" s="2" t="inlineStr">
        <is>
          <t>★★★</t>
        </is>
      </c>
      <c r="G1058" s="10" t="n">
        <v>7</v>
      </c>
      <c r="H1058" s="11" t="n">
        <v>11885</v>
      </c>
      <c r="I1058" s="11" t="n">
        <v>12060</v>
      </c>
      <c r="J1058" s="10" t="n">
        <v>5</v>
      </c>
      <c r="K1058" s="10" t="n">
        <v>25800</v>
      </c>
      <c r="L1058" s="23">
        <f>IF(E1058="多",1,-1)*(I1058-H1058)*G1058*J1058</f>
        <v/>
      </c>
      <c r="M1058" s="24">
        <f>L1058/K1058</f>
        <v/>
      </c>
      <c r="N1058" s="2" t="inlineStr">
        <is>
          <t>将军撤退</t>
        </is>
      </c>
      <c r="O1058" s="2" t="inlineStr">
        <is>
          <t>否</t>
        </is>
      </c>
    </row>
    <row r="1059">
      <c r="A1059" s="14" t="inlineStr">
        <is>
          <t>2024-04-26</t>
        </is>
      </c>
      <c r="B1059" s="14" t="inlineStr">
        <is>
          <t>2024-05-09</t>
        </is>
      </c>
      <c r="C1059" s="14" t="inlineStr">
        <is>
          <t>棉花</t>
        </is>
      </c>
      <c r="D1059" s="14" t="inlineStr">
        <is>
          <t>CF</t>
        </is>
      </c>
      <c r="E1059" s="14" t="inlineStr">
        <is>
          <t>空</t>
        </is>
      </c>
      <c r="F1059" s="14" t="inlineStr">
        <is>
          <t>★★★</t>
        </is>
      </c>
      <c r="G1059" s="14" t="n">
        <v>4</v>
      </c>
      <c r="H1059" s="15" t="n">
        <v>15705</v>
      </c>
      <c r="I1059" s="15" t="n">
        <v>15310</v>
      </c>
      <c r="J1059" s="14" t="n">
        <v>5</v>
      </c>
      <c r="K1059" s="14" t="n">
        <v>10000</v>
      </c>
      <c r="L1059" s="25">
        <f>IF(E1059="多",1,-1)*(I1059-H1059)*G1059*J1059</f>
        <v/>
      </c>
      <c r="M1059" s="26">
        <f>L1059/K1059</f>
        <v/>
      </c>
      <c r="N1059" s="14" t="inlineStr">
        <is>
          <t>将军撤退+大将军转向</t>
        </is>
      </c>
      <c r="O1059" s="14" t="inlineStr">
        <is>
          <t>是</t>
        </is>
      </c>
    </row>
    <row r="1060">
      <c r="A1060" s="2" t="inlineStr">
        <is>
          <t>2024-05-06</t>
        </is>
      </c>
      <c r="B1060" s="2" t="inlineStr">
        <is>
          <t>2024-05-08</t>
        </is>
      </c>
      <c r="C1060" s="2" t="inlineStr">
        <is>
          <t>豆粕</t>
        </is>
      </c>
      <c r="D1060" s="2" t="inlineStr">
        <is>
          <t>M</t>
        </is>
      </c>
      <c r="E1060" s="19" t="inlineStr">
        <is>
          <t>多</t>
        </is>
      </c>
      <c r="F1060" s="2" t="inlineStr">
        <is>
          <t>★★★</t>
        </is>
      </c>
      <c r="G1060" s="10" t="n">
        <v>13</v>
      </c>
      <c r="H1060" s="11" t="n">
        <v>3486</v>
      </c>
      <c r="I1060" s="11" t="n">
        <v>3594</v>
      </c>
      <c r="J1060" s="10" t="n">
        <v>10</v>
      </c>
      <c r="K1060" s="10" t="n">
        <v>25200</v>
      </c>
      <c r="L1060" s="23">
        <f>IF(E1060="多",1,-1)*(I1060-H1060)*G1060*J1060</f>
        <v/>
      </c>
      <c r="M1060" s="24">
        <f>L1060/K1060</f>
        <v/>
      </c>
      <c r="N1060" s="2" t="inlineStr">
        <is>
          <t>大将军转向</t>
        </is>
      </c>
      <c r="O1060" s="2" t="inlineStr">
        <is>
          <t>否</t>
        </is>
      </c>
    </row>
    <row r="1061">
      <c r="A1061" s="14" t="inlineStr">
        <is>
          <t>2024-04-30</t>
        </is>
      </c>
      <c r="B1061" s="14" t="inlineStr">
        <is>
          <t>2024-05-08</t>
        </is>
      </c>
      <c r="C1061" s="14" t="inlineStr">
        <is>
          <t>玉米</t>
        </is>
      </c>
      <c r="D1061" s="14" t="inlineStr">
        <is>
          <t>C</t>
        </is>
      </c>
      <c r="E1061" s="14" t="inlineStr">
        <is>
          <t>空</t>
        </is>
      </c>
      <c r="F1061" s="14" t="inlineStr">
        <is>
          <t>★★</t>
        </is>
      </c>
      <c r="G1061" s="14" t="n">
        <v>16</v>
      </c>
      <c r="H1061" s="15" t="n">
        <v>2395</v>
      </c>
      <c r="I1061" s="15" t="n">
        <v>2447.14</v>
      </c>
      <c r="J1061" s="14" t="n">
        <v>10</v>
      </c>
      <c r="K1061" s="14" t="n">
        <v>10000</v>
      </c>
      <c r="L1061" s="25">
        <f>IF(E1061="多",1,-1)*(I1061-H1061)*G1061*J1061</f>
        <v/>
      </c>
      <c r="M1061" s="26">
        <f>L1061/K1061</f>
        <v/>
      </c>
      <c r="N1061" s="14" t="inlineStr">
        <is>
          <t>止损</t>
        </is>
      </c>
      <c r="O1061" s="14" t="inlineStr">
        <is>
          <t>是</t>
        </is>
      </c>
    </row>
    <row r="1062">
      <c r="A1062" s="14" t="inlineStr">
        <is>
          <t>2024-04-29</t>
        </is>
      </c>
      <c r="B1062" s="14" t="inlineStr">
        <is>
          <t>2024-05-07</t>
        </is>
      </c>
      <c r="C1062" s="14" t="inlineStr">
        <is>
          <t>白糖</t>
        </is>
      </c>
      <c r="D1062" s="14" t="inlineStr">
        <is>
          <t>SR</t>
        </is>
      </c>
      <c r="E1062" s="14" t="inlineStr">
        <is>
          <t>空</t>
        </is>
      </c>
      <c r="F1062" s="14" t="inlineStr">
        <is>
          <t>★★</t>
        </is>
      </c>
      <c r="G1062" s="14" t="n">
        <v>4</v>
      </c>
      <c r="H1062" s="15" t="n">
        <v>6137</v>
      </c>
      <c r="I1062" s="15" t="n">
        <v>6282</v>
      </c>
      <c r="J1062" s="14" t="n">
        <v>10</v>
      </c>
      <c r="K1062" s="14" t="n">
        <v>10000</v>
      </c>
      <c r="L1062" s="25">
        <f>IF(E1062="多",1,-1)*(I1062-H1062)*G1062*J1062</f>
        <v/>
      </c>
      <c r="M1062" s="26">
        <f>L1062/K1062</f>
        <v/>
      </c>
      <c r="N1062" s="14" t="inlineStr">
        <is>
          <t>将军撤退</t>
        </is>
      </c>
      <c r="O1062" s="14" t="inlineStr">
        <is>
          <t>是</t>
        </is>
      </c>
    </row>
    <row r="1063">
      <c r="A1063" s="2" t="inlineStr">
        <is>
          <t>2024-04-25</t>
        </is>
      </c>
      <c r="B1063" s="2" t="inlineStr">
        <is>
          <t>2024-05-06</t>
        </is>
      </c>
      <c r="C1063" s="2" t="inlineStr">
        <is>
          <t>菜粕</t>
        </is>
      </c>
      <c r="D1063" s="2" t="inlineStr">
        <is>
          <t>RM</t>
        </is>
      </c>
      <c r="E1063" s="19" t="inlineStr">
        <is>
          <t>多</t>
        </is>
      </c>
      <c r="F1063" s="2" t="inlineStr">
        <is>
          <t>★★★</t>
        </is>
      </c>
      <c r="G1063" s="10" t="n">
        <v>2</v>
      </c>
      <c r="H1063" s="11" t="n">
        <v>2781</v>
      </c>
      <c r="I1063" s="11" t="n">
        <v>2842</v>
      </c>
      <c r="J1063" s="10" t="n">
        <v>10</v>
      </c>
      <c r="K1063" s="10" t="n">
        <v>4800</v>
      </c>
      <c r="L1063" s="23">
        <f>IF(E1063="多",1,-1)*(I1063-H1063)*G1063*J1063</f>
        <v/>
      </c>
      <c r="M1063" s="24">
        <f>L1063/K1063</f>
        <v/>
      </c>
      <c r="N1063" s="2" t="inlineStr">
        <is>
          <t>大将军转向</t>
        </is>
      </c>
      <c r="O1063" s="2" t="inlineStr">
        <is>
          <t>否</t>
        </is>
      </c>
    </row>
    <row r="1064">
      <c r="A1064" s="2" t="inlineStr">
        <is>
          <t>2024-04-24</t>
        </is>
      </c>
      <c r="B1064" s="2" t="inlineStr">
        <is>
          <t>2024-05-06</t>
        </is>
      </c>
      <c r="C1064" s="2" t="inlineStr">
        <is>
          <t>沪铜</t>
        </is>
      </c>
      <c r="D1064" s="2" t="inlineStr">
        <is>
          <t>CU</t>
        </is>
      </c>
      <c r="E1064" s="19" t="inlineStr">
        <is>
          <t>多</t>
        </is>
      </c>
      <c r="F1064" s="2" t="inlineStr">
        <is>
          <t>★★★</t>
        </is>
      </c>
      <c r="G1064" s="10" t="n">
        <v>1</v>
      </c>
      <c r="H1064" s="11" t="n">
        <v>79250</v>
      </c>
      <c r="I1064" s="11" t="n">
        <v>81300</v>
      </c>
      <c r="J1064" s="10" t="n">
        <v>5</v>
      </c>
      <c r="K1064" s="10" t="n">
        <v>23900</v>
      </c>
      <c r="L1064" s="23">
        <f>IF(E1064="多",1,-1)*(I1064-H1064)*G1064*J1064</f>
        <v/>
      </c>
      <c r="M1064" s="24">
        <f>L1064/K1064</f>
        <v/>
      </c>
      <c r="N1064" s="2" t="inlineStr">
        <is>
          <t>将军撤退</t>
        </is>
      </c>
      <c r="O1064" s="2" t="inlineStr">
        <is>
          <t>否</t>
        </is>
      </c>
    </row>
    <row r="1065">
      <c r="A1065" s="2" t="inlineStr">
        <is>
          <t>2024-04-29</t>
        </is>
      </c>
      <c r="B1065" s="2" t="inlineStr">
        <is>
          <t>2024-04-30</t>
        </is>
      </c>
      <c r="C1065" s="2" t="inlineStr">
        <is>
          <t>沪锌</t>
        </is>
      </c>
      <c r="D1065" s="2" t="inlineStr">
        <is>
          <t>ZN</t>
        </is>
      </c>
      <c r="E1065" s="19" t="inlineStr">
        <is>
          <t>多</t>
        </is>
      </c>
      <c r="F1065" s="2" t="inlineStr">
        <is>
          <t>★★★</t>
        </is>
      </c>
      <c r="G1065" s="10" t="n">
        <v>3</v>
      </c>
      <c r="H1065" s="11" t="n">
        <v>23110</v>
      </c>
      <c r="I1065" s="11" t="n">
        <v>23515</v>
      </c>
      <c r="J1065" s="10" t="n">
        <v>5</v>
      </c>
      <c r="K1065" s="10" t="n">
        <v>24300</v>
      </c>
      <c r="L1065" s="23">
        <f>IF(E1065="多",1,-1)*(I1065-H1065)*G1065*J1065</f>
        <v/>
      </c>
      <c r="M1065" s="24">
        <f>L1065/K1065</f>
        <v/>
      </c>
      <c r="N1065" s="2" t="inlineStr">
        <is>
          <t>大将军转向</t>
        </is>
      </c>
      <c r="O1065" s="2" t="inlineStr">
        <is>
          <t>否</t>
        </is>
      </c>
    </row>
    <row r="1066">
      <c r="A1066" s="2" t="inlineStr">
        <is>
          <t>2024-04-24</t>
        </is>
      </c>
      <c r="B1066" s="2" t="inlineStr">
        <is>
          <t>2024-04-30</t>
        </is>
      </c>
      <c r="C1066" s="2" t="inlineStr">
        <is>
          <t>螺纹钢</t>
        </is>
      </c>
      <c r="D1066" s="2" t="inlineStr">
        <is>
          <t>RB</t>
        </is>
      </c>
      <c r="E1066" s="19" t="inlineStr">
        <is>
          <t>多</t>
        </is>
      </c>
      <c r="F1066" s="2" t="inlineStr">
        <is>
          <t>★★★</t>
        </is>
      </c>
      <c r="G1066" s="10" t="n">
        <v>14</v>
      </c>
      <c r="H1066" s="11" t="n">
        <v>3680</v>
      </c>
      <c r="I1066" s="11" t="n">
        <v>3656</v>
      </c>
      <c r="J1066" s="10" t="n">
        <v>10</v>
      </c>
      <c r="K1066" s="10" t="n">
        <v>23900</v>
      </c>
      <c r="L1066" s="23">
        <f>IF(E1066="多",1,-1)*(I1066-H1066)*G1066*J1066</f>
        <v/>
      </c>
      <c r="M1066" s="24">
        <f>L1066/K1066</f>
        <v/>
      </c>
      <c r="N1066" s="2" t="inlineStr">
        <is>
          <t>将军撤退</t>
        </is>
      </c>
      <c r="O1066" s="2" t="inlineStr">
        <is>
          <t>否</t>
        </is>
      </c>
    </row>
    <row r="1067">
      <c r="A1067" s="14" t="inlineStr">
        <is>
          <t>2024-04-26</t>
        </is>
      </c>
      <c r="B1067" s="14" t="inlineStr">
        <is>
          <t>2024-04-29</t>
        </is>
      </c>
      <c r="C1067" s="14" t="inlineStr">
        <is>
          <t>锰硅</t>
        </is>
      </c>
      <c r="D1067" s="14" t="inlineStr">
        <is>
          <t>SM</t>
        </is>
      </c>
      <c r="E1067" s="14" t="inlineStr">
        <is>
          <t>多</t>
        </is>
      </c>
      <c r="F1067" s="14" t="inlineStr">
        <is>
          <t>★★</t>
        </is>
      </c>
      <c r="G1067" s="14" t="n">
        <v>4</v>
      </c>
      <c r="H1067" s="15" t="n">
        <v>7590</v>
      </c>
      <c r="I1067" s="15" t="n">
        <v>7828</v>
      </c>
      <c r="J1067" s="14" t="n">
        <v>5</v>
      </c>
      <c r="K1067" s="14" t="n">
        <v>10000</v>
      </c>
      <c r="L1067" s="25">
        <f>IF(E1067="多",1,-1)*(I1067-H1067)*G1067*J1067</f>
        <v/>
      </c>
      <c r="M1067" s="26">
        <f>L1067/K1067</f>
        <v/>
      </c>
      <c r="N1067" s="14" t="inlineStr">
        <is>
          <t>将军撤退+大将军转向</t>
        </is>
      </c>
      <c r="O1067" s="14" t="inlineStr">
        <is>
          <t>是</t>
        </is>
      </c>
    </row>
    <row r="1068">
      <c r="A1068" s="2" t="inlineStr">
        <is>
          <t>2024-04-22</t>
        </is>
      </c>
      <c r="B1068" s="2" t="inlineStr">
        <is>
          <t>2024-04-29</t>
        </is>
      </c>
      <c r="C1068" s="2" t="inlineStr">
        <is>
          <t>棕榈油</t>
        </is>
      </c>
      <c r="D1068" s="2" t="inlineStr">
        <is>
          <t>P</t>
        </is>
      </c>
      <c r="E1068" s="9" t="inlineStr">
        <is>
          <t>空</t>
        </is>
      </c>
      <c r="F1068" s="2" t="inlineStr">
        <is>
          <t>★★★</t>
        </is>
      </c>
      <c r="G1068" s="10" t="n">
        <v>4</v>
      </c>
      <c r="H1068" s="11" t="n">
        <v>7360</v>
      </c>
      <c r="I1068" s="11" t="n">
        <v>7434</v>
      </c>
      <c r="J1068" s="10" t="n">
        <v>10</v>
      </c>
      <c r="K1068" s="10" t="n">
        <v>23800</v>
      </c>
      <c r="L1068" s="23">
        <f>IF(E1068="多",1,-1)*(I1068-H1068)*G1068*J1068</f>
        <v/>
      </c>
      <c r="M1068" s="24">
        <f>L1068/K1068</f>
        <v/>
      </c>
      <c r="N1068" s="2" t="inlineStr">
        <is>
          <t>大将军转向</t>
        </is>
      </c>
      <c r="O1068" s="2" t="inlineStr">
        <is>
          <t>否</t>
        </is>
      </c>
    </row>
    <row r="1069">
      <c r="A1069" s="2" t="inlineStr">
        <is>
          <t>2024-04-15</t>
        </is>
      </c>
      <c r="B1069" s="2" t="inlineStr">
        <is>
          <t>2024-04-29</t>
        </is>
      </c>
      <c r="C1069" s="2" t="inlineStr">
        <is>
          <t>玉米</t>
        </is>
      </c>
      <c r="D1069" s="2" t="inlineStr">
        <is>
          <t>C</t>
        </is>
      </c>
      <c r="E1069" s="9" t="inlineStr">
        <is>
          <t>空</t>
        </is>
      </c>
      <c r="F1069" s="2" t="inlineStr">
        <is>
          <t>★★★</t>
        </is>
      </c>
      <c r="G1069" s="10" t="n">
        <v>39</v>
      </c>
      <c r="H1069" s="11" t="n">
        <v>2425</v>
      </c>
      <c r="I1069" s="11" t="n">
        <v>2391</v>
      </c>
      <c r="J1069" s="10" t="n">
        <v>10</v>
      </c>
      <c r="K1069" s="10" t="n">
        <v>23600</v>
      </c>
      <c r="L1069" s="23">
        <f>IF(E1069="多",1,-1)*(I1069-H1069)*G1069*J1069</f>
        <v/>
      </c>
      <c r="M1069" s="24">
        <f>L1069/K1069</f>
        <v/>
      </c>
      <c r="N1069" s="2" t="inlineStr">
        <is>
          <t>大将军转向</t>
        </is>
      </c>
      <c r="O1069" s="2" t="inlineStr">
        <is>
          <t>否</t>
        </is>
      </c>
    </row>
    <row r="1070">
      <c r="A1070" s="14" t="inlineStr">
        <is>
          <t>2024-04-23</t>
        </is>
      </c>
      <c r="B1070" s="14" t="inlineStr">
        <is>
          <t>2024-04-24</t>
        </is>
      </c>
      <c r="C1070" s="14" t="inlineStr">
        <is>
          <t>锰硅</t>
        </is>
      </c>
      <c r="D1070" s="14" t="inlineStr">
        <is>
          <t>SM</t>
        </is>
      </c>
      <c r="E1070" s="14" t="inlineStr">
        <is>
          <t>多</t>
        </is>
      </c>
      <c r="F1070" s="14" t="inlineStr">
        <is>
          <t>★★</t>
        </is>
      </c>
      <c r="G1070" s="14" t="n">
        <v>8</v>
      </c>
      <c r="H1070" s="15" t="n">
        <v>6726</v>
      </c>
      <c r="I1070" s="15" t="n">
        <v>7078</v>
      </c>
      <c r="J1070" s="14" t="n">
        <v>5</v>
      </c>
      <c r="K1070" s="14" t="n">
        <v>10000</v>
      </c>
      <c r="L1070" s="25">
        <f>IF(E1070="多",1,-1)*(I1070-H1070)*G1070*J1070</f>
        <v/>
      </c>
      <c r="M1070" s="26">
        <f>L1070/K1070</f>
        <v/>
      </c>
      <c r="N1070" s="14" t="inlineStr">
        <is>
          <t>大将军转向</t>
        </is>
      </c>
      <c r="O1070" s="14" t="inlineStr">
        <is>
          <t>是</t>
        </is>
      </c>
    </row>
    <row r="1071">
      <c r="A1071" s="14" t="inlineStr">
        <is>
          <t>2024-04-16</t>
        </is>
      </c>
      <c r="B1071" s="14" t="inlineStr">
        <is>
          <t>2024-04-24</t>
        </is>
      </c>
      <c r="C1071" s="14" t="inlineStr">
        <is>
          <t>玻璃</t>
        </is>
      </c>
      <c r="D1071" s="14" t="inlineStr">
        <is>
          <t>FG</t>
        </is>
      </c>
      <c r="E1071" s="14" t="inlineStr">
        <is>
          <t>空</t>
        </is>
      </c>
      <c r="F1071" s="14" t="inlineStr">
        <is>
          <t>★★</t>
        </is>
      </c>
      <c r="G1071" s="14" t="n">
        <v>4</v>
      </c>
      <c r="H1071" s="15" t="n">
        <v>1450</v>
      </c>
      <c r="I1071" s="15" t="n">
        <v>1562.36</v>
      </c>
      <c r="J1071" s="14" t="n">
        <v>20</v>
      </c>
      <c r="K1071" s="14" t="n">
        <v>10000</v>
      </c>
      <c r="L1071" s="25">
        <f>IF(E1071="多",1,-1)*(I1071-H1071)*G1071*J1071</f>
        <v/>
      </c>
      <c r="M1071" s="26">
        <f>L1071/K1071</f>
        <v/>
      </c>
      <c r="N1071" s="14" t="inlineStr">
        <is>
          <t>止损</t>
        </is>
      </c>
      <c r="O1071" s="14" t="inlineStr">
        <is>
          <t>是</t>
        </is>
      </c>
    </row>
    <row r="1072">
      <c r="A1072" s="2" t="inlineStr">
        <is>
          <t>2024-04-19</t>
        </is>
      </c>
      <c r="B1072" s="2" t="inlineStr">
        <is>
          <t>2024-04-23</t>
        </is>
      </c>
      <c r="C1072" s="2" t="inlineStr">
        <is>
          <t>白糖</t>
        </is>
      </c>
      <c r="D1072" s="2" t="inlineStr">
        <is>
          <t>SR</t>
        </is>
      </c>
      <c r="E1072" s="9" t="inlineStr">
        <is>
          <t>空</t>
        </is>
      </c>
      <c r="F1072" s="2" t="inlineStr">
        <is>
          <t>★★★</t>
        </is>
      </c>
      <c r="G1072" s="10" t="n">
        <v>2</v>
      </c>
      <c r="H1072" s="11" t="n">
        <v>6204</v>
      </c>
      <c r="I1072" s="11" t="n">
        <v>6182</v>
      </c>
      <c r="J1072" s="10" t="n">
        <v>10</v>
      </c>
      <c r="K1072" s="10" t="n">
        <v>5900</v>
      </c>
      <c r="L1072" s="23">
        <f>IF(E1072="多",1,-1)*(I1072-H1072)*G1072*J1072</f>
        <v/>
      </c>
      <c r="M1072" s="24">
        <f>L1072/K1072</f>
        <v/>
      </c>
      <c r="N1072" s="2" t="inlineStr">
        <is>
          <t>将军撤退</t>
        </is>
      </c>
      <c r="O1072" s="2" t="inlineStr">
        <is>
          <t>否</t>
        </is>
      </c>
    </row>
    <row r="1073">
      <c r="A1073" s="14" t="inlineStr">
        <is>
          <t>2024-04-18</t>
        </is>
      </c>
      <c r="B1073" s="14" t="inlineStr">
        <is>
          <t>2024-04-23</t>
        </is>
      </c>
      <c r="C1073" s="14" t="inlineStr">
        <is>
          <t>甲醇</t>
        </is>
      </c>
      <c r="D1073" s="14" t="inlineStr">
        <is>
          <t>MA</t>
        </is>
      </c>
      <c r="E1073" s="14" t="inlineStr">
        <is>
          <t>多</t>
        </is>
      </c>
      <c r="F1073" s="14" t="inlineStr">
        <is>
          <t>★★</t>
        </is>
      </c>
      <c r="G1073" s="14" t="n">
        <v>9</v>
      </c>
      <c r="H1073" s="15" t="n">
        <v>2566</v>
      </c>
      <c r="I1073" s="15" t="n">
        <v>2506.64</v>
      </c>
      <c r="J1073" s="14" t="n">
        <v>10</v>
      </c>
      <c r="K1073" s="14" t="n">
        <v>10000</v>
      </c>
      <c r="L1073" s="25">
        <f>IF(E1073="多",1,-1)*(I1073-H1073)*G1073*J1073</f>
        <v/>
      </c>
      <c r="M1073" s="26">
        <f>L1073/K1073</f>
        <v/>
      </c>
      <c r="N1073" s="14" t="inlineStr">
        <is>
          <t>止损</t>
        </is>
      </c>
      <c r="O1073" s="14" t="inlineStr">
        <is>
          <t>是</t>
        </is>
      </c>
    </row>
    <row r="1074">
      <c r="A1074" s="14" t="inlineStr">
        <is>
          <t>2024-04-19</t>
        </is>
      </c>
      <c r="B1074" s="14" t="inlineStr">
        <is>
          <t>2024-04-22</t>
        </is>
      </c>
      <c r="C1074" s="14" t="inlineStr">
        <is>
          <t>沪银</t>
        </is>
      </c>
      <c r="D1074" s="14" t="inlineStr">
        <is>
          <t>AG</t>
        </is>
      </c>
      <c r="E1074" s="14" t="inlineStr">
        <is>
          <t>多</t>
        </is>
      </c>
      <c r="F1074" s="14" t="inlineStr">
        <is>
          <t>★★</t>
        </is>
      </c>
      <c r="G1074" s="14" t="n">
        <v>1</v>
      </c>
      <c r="H1074" s="15" t="n">
        <v>7390</v>
      </c>
      <c r="I1074" s="15" t="n">
        <v>7178</v>
      </c>
      <c r="J1074" s="14" t="n">
        <v>15</v>
      </c>
      <c r="K1074" s="14" t="n">
        <v>10000</v>
      </c>
      <c r="L1074" s="25">
        <f>IF(E1074="多",1,-1)*(I1074-H1074)*G1074*J1074</f>
        <v/>
      </c>
      <c r="M1074" s="26">
        <f>L1074/K1074</f>
        <v/>
      </c>
      <c r="N1074" s="14" t="inlineStr">
        <is>
          <t>将军撤退+大将军转向</t>
        </is>
      </c>
      <c r="O1074" s="14" t="inlineStr">
        <is>
          <t>是</t>
        </is>
      </c>
    </row>
    <row r="1075">
      <c r="A1075" s="2" t="inlineStr">
        <is>
          <t>2024-04-18</t>
        </is>
      </c>
      <c r="B1075" s="2" t="inlineStr">
        <is>
          <t>2024-04-22</t>
        </is>
      </c>
      <c r="C1075" s="2" t="inlineStr">
        <is>
          <t>沪锌</t>
        </is>
      </c>
      <c r="D1075" s="2" t="inlineStr">
        <is>
          <t>ZN</t>
        </is>
      </c>
      <c r="E1075" s="19" t="inlineStr">
        <is>
          <t>多</t>
        </is>
      </c>
      <c r="F1075" s="2" t="inlineStr">
        <is>
          <t>★★★</t>
        </is>
      </c>
      <c r="G1075" s="10" t="n">
        <v>3</v>
      </c>
      <c r="H1075" s="11" t="n">
        <v>22700</v>
      </c>
      <c r="I1075" s="11" t="n">
        <v>22535</v>
      </c>
      <c r="J1075" s="10" t="n">
        <v>5</v>
      </c>
      <c r="K1075" s="10" t="n">
        <v>23500</v>
      </c>
      <c r="L1075" s="23">
        <f>IF(E1075="多",1,-1)*(I1075-H1075)*G1075*J1075</f>
        <v/>
      </c>
      <c r="M1075" s="24">
        <f>L1075/K1075</f>
        <v/>
      </c>
      <c r="N1075" s="2" t="inlineStr">
        <is>
          <t>将军撤退</t>
        </is>
      </c>
      <c r="O1075" s="2" t="inlineStr">
        <is>
          <t>否</t>
        </is>
      </c>
    </row>
    <row r="1076">
      <c r="A1076" s="2" t="inlineStr">
        <is>
          <t>2024-04-18</t>
        </is>
      </c>
      <c r="B1076" s="2" t="inlineStr">
        <is>
          <t>2024-04-22</t>
        </is>
      </c>
      <c r="C1076" s="2" t="inlineStr">
        <is>
          <t>塑料</t>
        </is>
      </c>
      <c r="D1076" s="2" t="inlineStr">
        <is>
          <t>L</t>
        </is>
      </c>
      <c r="E1076" s="19" t="inlineStr">
        <is>
          <t>多</t>
        </is>
      </c>
      <c r="F1076" s="2" t="inlineStr">
        <is>
          <t>★★★</t>
        </is>
      </c>
      <c r="G1076" s="10" t="n">
        <v>22</v>
      </c>
      <c r="H1076" s="11" t="n">
        <v>8424</v>
      </c>
      <c r="I1076" s="11" t="n">
        <v>8462</v>
      </c>
      <c r="J1076" s="10" t="n">
        <v>5</v>
      </c>
      <c r="K1076" s="10" t="n">
        <v>23500</v>
      </c>
      <c r="L1076" s="23">
        <f>IF(E1076="多",1,-1)*(I1076-H1076)*G1076*J1076</f>
        <v/>
      </c>
      <c r="M1076" s="24">
        <f>L1076/K1076</f>
        <v/>
      </c>
      <c r="N1076" s="2" t="inlineStr">
        <is>
          <t>将军撤退</t>
        </is>
      </c>
      <c r="O1076" s="2" t="inlineStr">
        <is>
          <t>否</t>
        </is>
      </c>
    </row>
    <row r="1077">
      <c r="A1077" s="2" t="inlineStr">
        <is>
          <t>2024-04-18</t>
        </is>
      </c>
      <c r="B1077" s="2" t="inlineStr">
        <is>
          <t>2024-04-22</t>
        </is>
      </c>
      <c r="C1077" s="2" t="inlineStr">
        <is>
          <t>沪铜</t>
        </is>
      </c>
      <c r="D1077" s="2" t="inlineStr">
        <is>
          <t>CU</t>
        </is>
      </c>
      <c r="E1077" s="19" t="inlineStr">
        <is>
          <t>多</t>
        </is>
      </c>
      <c r="F1077" s="2" t="inlineStr">
        <is>
          <t>★★★</t>
        </is>
      </c>
      <c r="G1077" s="10" t="n">
        <v>1</v>
      </c>
      <c r="H1077" s="11" t="n">
        <v>78900</v>
      </c>
      <c r="I1077" s="11" t="n">
        <v>79550</v>
      </c>
      <c r="J1077" s="10" t="n">
        <v>5</v>
      </c>
      <c r="K1077" s="10" t="n">
        <v>23500</v>
      </c>
      <c r="L1077" s="23">
        <f>IF(E1077="多",1,-1)*(I1077-H1077)*G1077*J1077</f>
        <v/>
      </c>
      <c r="M1077" s="24">
        <f>L1077/K1077</f>
        <v/>
      </c>
      <c r="N1077" s="2" t="inlineStr">
        <is>
          <t>将军撤退</t>
        </is>
      </c>
      <c r="O1077" s="2" t="inlineStr">
        <is>
          <t>否</t>
        </is>
      </c>
    </row>
    <row r="1078">
      <c r="A1078" s="14" t="inlineStr">
        <is>
          <t>2024-04-17</t>
        </is>
      </c>
      <c r="B1078" s="14" t="inlineStr">
        <is>
          <t>2024-04-18</t>
        </is>
      </c>
      <c r="C1078" s="14" t="inlineStr">
        <is>
          <t>纯碱</t>
        </is>
      </c>
      <c r="D1078" s="14" t="inlineStr">
        <is>
          <t>SA</t>
        </is>
      </c>
      <c r="E1078" s="14" t="inlineStr">
        <is>
          <t>多</t>
        </is>
      </c>
      <c r="F1078" s="14" t="inlineStr">
        <is>
          <t>★★</t>
        </is>
      </c>
      <c r="G1078" s="14" t="n">
        <v>2</v>
      </c>
      <c r="H1078" s="15" t="n">
        <v>1935</v>
      </c>
      <c r="I1078" s="15" t="n">
        <v>2070</v>
      </c>
      <c r="J1078" s="14" t="n">
        <v>20</v>
      </c>
      <c r="K1078" s="14" t="n">
        <v>10000</v>
      </c>
      <c r="L1078" s="25">
        <f>IF(E1078="多",1,-1)*(I1078-H1078)*G1078*J1078</f>
        <v/>
      </c>
      <c r="M1078" s="26">
        <f>L1078/K1078</f>
        <v/>
      </c>
      <c r="N1078" s="14" t="inlineStr">
        <is>
          <t>将军撤退</t>
        </is>
      </c>
      <c r="O1078" s="14" t="inlineStr">
        <is>
          <t>是</t>
        </is>
      </c>
    </row>
    <row r="1079">
      <c r="A1079" s="14" t="inlineStr">
        <is>
          <t>2024-04-17</t>
        </is>
      </c>
      <c r="B1079" s="14" t="inlineStr">
        <is>
          <t>2024-04-18</t>
        </is>
      </c>
      <c r="C1079" s="14" t="inlineStr">
        <is>
          <t>苯乙烯</t>
        </is>
      </c>
      <c r="D1079" s="14" t="inlineStr">
        <is>
          <t>EB</t>
        </is>
      </c>
      <c r="E1079" s="14" t="inlineStr">
        <is>
          <t>多</t>
        </is>
      </c>
      <c r="F1079" s="14" t="inlineStr">
        <is>
          <t>★★</t>
        </is>
      </c>
      <c r="G1079" s="14" t="n">
        <v>5</v>
      </c>
      <c r="H1079" s="15" t="n">
        <v>9567</v>
      </c>
      <c r="I1079" s="15" t="n">
        <v>9646</v>
      </c>
      <c r="J1079" s="14" t="n">
        <v>5</v>
      </c>
      <c r="K1079" s="14" t="n">
        <v>10000</v>
      </c>
      <c r="L1079" s="25">
        <f>IF(E1079="多",1,-1)*(I1079-H1079)*G1079*J1079</f>
        <v/>
      </c>
      <c r="M1079" s="26">
        <f>L1079/K1079</f>
        <v/>
      </c>
      <c r="N1079" s="14" t="inlineStr">
        <is>
          <t>大将军转向</t>
        </is>
      </c>
      <c r="O1079" s="14" t="inlineStr">
        <is>
          <t>是</t>
        </is>
      </c>
    </row>
    <row r="1080">
      <c r="A1080" s="2" t="inlineStr">
        <is>
          <t>2024-04-17</t>
        </is>
      </c>
      <c r="B1080" s="2" t="inlineStr">
        <is>
          <t>2024-04-18</t>
        </is>
      </c>
      <c r="C1080" s="2" t="inlineStr">
        <is>
          <t>沪银</t>
        </is>
      </c>
      <c r="D1080" s="2" t="inlineStr">
        <is>
          <t>AG</t>
        </is>
      </c>
      <c r="E1080" s="19" t="inlineStr">
        <is>
          <t>多</t>
        </is>
      </c>
      <c r="F1080" s="2" t="inlineStr">
        <is>
          <t>★★★</t>
        </is>
      </c>
      <c r="G1080" s="10" t="n">
        <v>2</v>
      </c>
      <c r="H1080" s="11" t="n">
        <v>7403</v>
      </c>
      <c r="I1080" s="11" t="n">
        <v>7440</v>
      </c>
      <c r="J1080" s="10" t="n">
        <v>15</v>
      </c>
      <c r="K1080" s="10" t="n">
        <v>23400</v>
      </c>
      <c r="L1080" s="23">
        <f>IF(E1080="多",1,-1)*(I1080-H1080)*G1080*J1080</f>
        <v/>
      </c>
      <c r="M1080" s="24">
        <f>L1080/K1080</f>
        <v/>
      </c>
      <c r="N1080" s="2" t="inlineStr">
        <is>
          <t>将军撤退</t>
        </is>
      </c>
      <c r="O1080" s="2" t="inlineStr">
        <is>
          <t>否</t>
        </is>
      </c>
    </row>
    <row r="1081">
      <c r="A1081" s="14" t="inlineStr">
        <is>
          <t>2024-04-11</t>
        </is>
      </c>
      <c r="B1081" s="14" t="inlineStr">
        <is>
          <t>2024-04-18</t>
        </is>
      </c>
      <c r="C1081" s="14" t="inlineStr">
        <is>
          <t>螺纹钢</t>
        </is>
      </c>
      <c r="D1081" s="14" t="inlineStr">
        <is>
          <t>RB</t>
        </is>
      </c>
      <c r="E1081" s="14" t="inlineStr">
        <is>
          <t>多</t>
        </is>
      </c>
      <c r="F1081" s="14" t="inlineStr">
        <is>
          <t>★★</t>
        </is>
      </c>
      <c r="G1081" s="14" t="n">
        <v>4</v>
      </c>
      <c r="H1081" s="15" t="n">
        <v>3615</v>
      </c>
      <c r="I1081" s="15" t="n">
        <v>3682</v>
      </c>
      <c r="J1081" s="14" t="n">
        <v>10</v>
      </c>
      <c r="K1081" s="14" t="n">
        <v>10000</v>
      </c>
      <c r="L1081" s="25">
        <f>IF(E1081="多",1,-1)*(I1081-H1081)*G1081*J1081</f>
        <v/>
      </c>
      <c r="M1081" s="26">
        <f>L1081/K1081</f>
        <v/>
      </c>
      <c r="N1081" s="14" t="inlineStr">
        <is>
          <t>将军撤退+大将军转向</t>
        </is>
      </c>
      <c r="O1081" s="14" t="inlineStr">
        <is>
          <t>是</t>
        </is>
      </c>
    </row>
    <row r="1082">
      <c r="A1082" s="2" t="inlineStr">
        <is>
          <t>2024-04-16</t>
        </is>
      </c>
      <c r="B1082" s="2" t="inlineStr">
        <is>
          <t>2024-04-17</t>
        </is>
      </c>
      <c r="C1082" s="2" t="inlineStr">
        <is>
          <t>PVC</t>
        </is>
      </c>
      <c r="D1082" s="2" t="inlineStr">
        <is>
          <t>V</t>
        </is>
      </c>
      <c r="E1082" s="9" t="inlineStr">
        <is>
          <t>空</t>
        </is>
      </c>
      <c r="F1082" s="2" t="inlineStr">
        <is>
          <t>★★★</t>
        </is>
      </c>
      <c r="G1082" s="10" t="n">
        <v>25</v>
      </c>
      <c r="H1082" s="11" t="n">
        <v>5881</v>
      </c>
      <c r="I1082" s="11" t="n">
        <v>5921</v>
      </c>
      <c r="J1082" s="10" t="n">
        <v>5</v>
      </c>
      <c r="K1082" s="10" t="n">
        <v>23700</v>
      </c>
      <c r="L1082" s="23">
        <f>IF(E1082="多",1,-1)*(I1082-H1082)*G1082*J1082</f>
        <v/>
      </c>
      <c r="M1082" s="24">
        <f>L1082/K1082</f>
        <v/>
      </c>
      <c r="N1082" s="2" t="inlineStr">
        <is>
          <t>将军撤退</t>
        </is>
      </c>
      <c r="O1082" s="2" t="inlineStr">
        <is>
          <t>否</t>
        </is>
      </c>
    </row>
    <row r="1083">
      <c r="A1083" s="14" t="inlineStr">
        <is>
          <t>2024-04-16</t>
        </is>
      </c>
      <c r="B1083" s="14" t="inlineStr">
        <is>
          <t>2024-04-17</t>
        </is>
      </c>
      <c r="C1083" s="14" t="inlineStr">
        <is>
          <t>白糖</t>
        </is>
      </c>
      <c r="D1083" s="14" t="inlineStr">
        <is>
          <t>SR</t>
        </is>
      </c>
      <c r="E1083" s="14" t="inlineStr">
        <is>
          <t>空</t>
        </is>
      </c>
      <c r="F1083" s="14" t="inlineStr">
        <is>
          <t>★★</t>
        </is>
      </c>
      <c r="G1083" s="14" t="n">
        <v>3</v>
      </c>
      <c r="H1083" s="15" t="n">
        <v>6235</v>
      </c>
      <c r="I1083" s="15" t="n">
        <v>6252</v>
      </c>
      <c r="J1083" s="14" t="n">
        <v>10</v>
      </c>
      <c r="K1083" s="14" t="n">
        <v>10000</v>
      </c>
      <c r="L1083" s="25">
        <f>IF(E1083="多",1,-1)*(I1083-H1083)*G1083*J1083</f>
        <v/>
      </c>
      <c r="M1083" s="26">
        <f>L1083/K1083</f>
        <v/>
      </c>
      <c r="N1083" s="14" t="inlineStr">
        <is>
          <t>将军撤退</t>
        </is>
      </c>
      <c r="O1083" s="14" t="inlineStr">
        <is>
          <t>是</t>
        </is>
      </c>
    </row>
    <row r="1084">
      <c r="A1084" s="14" t="inlineStr">
        <is>
          <t>2024-04-15</t>
        </is>
      </c>
      <c r="B1084" s="14" t="inlineStr">
        <is>
          <t>2024-04-16</t>
        </is>
      </c>
      <c r="C1084" s="14" t="inlineStr">
        <is>
          <t>沪锌</t>
        </is>
      </c>
      <c r="D1084" s="14" t="inlineStr">
        <is>
          <t>ZN</t>
        </is>
      </c>
      <c r="E1084" s="14" t="inlineStr">
        <is>
          <t>多</t>
        </is>
      </c>
      <c r="F1084" s="14" t="inlineStr">
        <is>
          <t>★★</t>
        </is>
      </c>
      <c r="G1084" s="14" t="n">
        <v>1</v>
      </c>
      <c r="H1084" s="15" t="n">
        <v>22755</v>
      </c>
      <c r="I1084" s="15" t="n">
        <v>22280</v>
      </c>
      <c r="J1084" s="14" t="n">
        <v>5</v>
      </c>
      <c r="K1084" s="14" t="n">
        <v>10000</v>
      </c>
      <c r="L1084" s="25">
        <f>IF(E1084="多",1,-1)*(I1084-H1084)*G1084*J1084</f>
        <v/>
      </c>
      <c r="M1084" s="26">
        <f>L1084/K1084</f>
        <v/>
      </c>
      <c r="N1084" s="14" t="inlineStr">
        <is>
          <t>将军撤退+大将军转向</t>
        </is>
      </c>
      <c r="O1084" s="14" t="inlineStr">
        <is>
          <t>是</t>
        </is>
      </c>
    </row>
    <row r="1085">
      <c r="A1085" s="14" t="inlineStr">
        <is>
          <t>2024-04-15</t>
        </is>
      </c>
      <c r="B1085" s="14" t="inlineStr">
        <is>
          <t>2024-04-16</t>
        </is>
      </c>
      <c r="C1085" s="14" t="inlineStr">
        <is>
          <t>菜粕</t>
        </is>
      </c>
      <c r="D1085" s="14" t="inlineStr">
        <is>
          <t>RM</t>
        </is>
      </c>
      <c r="E1085" s="14" t="inlineStr">
        <is>
          <t>多</t>
        </is>
      </c>
      <c r="F1085" s="14" t="inlineStr">
        <is>
          <t>★★</t>
        </is>
      </c>
      <c r="G1085" s="14" t="n">
        <v>6</v>
      </c>
      <c r="H1085" s="15" t="n">
        <v>2775</v>
      </c>
      <c r="I1085" s="15" t="n">
        <v>2822</v>
      </c>
      <c r="J1085" s="14" t="n">
        <v>10</v>
      </c>
      <c r="K1085" s="14" t="n">
        <v>10000</v>
      </c>
      <c r="L1085" s="25">
        <f>IF(E1085="多",1,-1)*(I1085-H1085)*G1085*J1085</f>
        <v/>
      </c>
      <c r="M1085" s="26">
        <f>L1085/K1085</f>
        <v/>
      </c>
      <c r="N1085" s="14" t="inlineStr">
        <is>
          <t>将军撤退</t>
        </is>
      </c>
      <c r="O1085" s="14" t="inlineStr">
        <is>
          <t>是</t>
        </is>
      </c>
    </row>
    <row r="1086">
      <c r="A1086" s="14" t="inlineStr">
        <is>
          <t>2024-04-15</t>
        </is>
      </c>
      <c r="B1086" s="14" t="inlineStr">
        <is>
          <t>2024-04-16</t>
        </is>
      </c>
      <c r="C1086" s="14" t="inlineStr">
        <is>
          <t>苯乙烯</t>
        </is>
      </c>
      <c r="D1086" s="14" t="inlineStr">
        <is>
          <t>EB</t>
        </is>
      </c>
      <c r="E1086" s="14" t="inlineStr">
        <is>
          <t>多</t>
        </is>
      </c>
      <c r="F1086" s="14" t="inlineStr">
        <is>
          <t>★★</t>
        </is>
      </c>
      <c r="G1086" s="14" t="n">
        <v>5</v>
      </c>
      <c r="H1086" s="15" t="n">
        <v>9546</v>
      </c>
      <c r="I1086" s="15" t="n">
        <v>9612</v>
      </c>
      <c r="J1086" s="14" t="n">
        <v>5</v>
      </c>
      <c r="K1086" s="14" t="n">
        <v>10000</v>
      </c>
      <c r="L1086" s="25">
        <f>IF(E1086="多",1,-1)*(I1086-H1086)*G1086*J1086</f>
        <v/>
      </c>
      <c r="M1086" s="26">
        <f>L1086/K1086</f>
        <v/>
      </c>
      <c r="N1086" s="14" t="inlineStr">
        <is>
          <t>大将军转向</t>
        </is>
      </c>
      <c r="O1086" s="14" t="inlineStr">
        <is>
          <t>是</t>
        </is>
      </c>
    </row>
    <row r="1087">
      <c r="A1087" s="14" t="inlineStr">
        <is>
          <t>2024-04-10</t>
        </is>
      </c>
      <c r="B1087" s="14" t="inlineStr">
        <is>
          <t>2024-04-16</t>
        </is>
      </c>
      <c r="C1087" s="14" t="inlineStr">
        <is>
          <t>塑料</t>
        </is>
      </c>
      <c r="D1087" s="14" t="inlineStr">
        <is>
          <t>L</t>
        </is>
      </c>
      <c r="E1087" s="14" t="inlineStr">
        <is>
          <t>多</t>
        </is>
      </c>
      <c r="F1087" s="14" t="inlineStr">
        <is>
          <t>★★★</t>
        </is>
      </c>
      <c r="G1087" s="14" t="n">
        <v>10</v>
      </c>
      <c r="H1087" s="15" t="n">
        <v>8383</v>
      </c>
      <c r="I1087" s="15" t="n">
        <v>8394</v>
      </c>
      <c r="J1087" s="14" t="n">
        <v>5</v>
      </c>
      <c r="K1087" s="14" t="n">
        <v>10000</v>
      </c>
      <c r="L1087" s="25">
        <f>IF(E1087="多",1,-1)*(I1087-H1087)*G1087*J1087</f>
        <v/>
      </c>
      <c r="M1087" s="26">
        <f>L1087/K1087</f>
        <v/>
      </c>
      <c r="N1087" s="14" t="inlineStr">
        <is>
          <t>大将军转向</t>
        </is>
      </c>
      <c r="O1087" s="14" t="inlineStr">
        <is>
          <t>是</t>
        </is>
      </c>
    </row>
    <row r="1088">
      <c r="A1088" s="14" t="inlineStr">
        <is>
          <t>2024-04-09</t>
        </is>
      </c>
      <c r="B1088" s="14" t="inlineStr">
        <is>
          <t>2024-04-16</t>
        </is>
      </c>
      <c r="C1088" s="14" t="inlineStr">
        <is>
          <t>热卷</t>
        </is>
      </c>
      <c r="D1088" s="14" t="inlineStr">
        <is>
          <t>HC</t>
        </is>
      </c>
      <c r="E1088" s="14" t="inlineStr">
        <is>
          <t>多</t>
        </is>
      </c>
      <c r="F1088" s="14" t="inlineStr">
        <is>
          <t>★★★</t>
        </is>
      </c>
      <c r="G1088" s="14" t="n">
        <v>4</v>
      </c>
      <c r="H1088" s="15" t="n">
        <v>3766</v>
      </c>
      <c r="I1088" s="15" t="n">
        <v>3777</v>
      </c>
      <c r="J1088" s="14" t="n">
        <v>10</v>
      </c>
      <c r="K1088" s="14" t="n">
        <v>10000</v>
      </c>
      <c r="L1088" s="25">
        <f>IF(E1088="多",1,-1)*(I1088-H1088)*G1088*J1088</f>
        <v/>
      </c>
      <c r="M1088" s="26">
        <f>L1088/K1088</f>
        <v/>
      </c>
      <c r="N1088" s="14" t="inlineStr">
        <is>
          <t>将军撤退</t>
        </is>
      </c>
      <c r="O1088" s="14" t="inlineStr">
        <is>
          <t>是</t>
        </is>
      </c>
    </row>
    <row r="1089">
      <c r="A1089" s="2" t="inlineStr">
        <is>
          <t>2024-04-10</t>
        </is>
      </c>
      <c r="B1089" s="2" t="inlineStr">
        <is>
          <t>2024-04-15</t>
        </is>
      </c>
      <c r="C1089" s="2" t="inlineStr">
        <is>
          <t>沪铝</t>
        </is>
      </c>
      <c r="D1089" s="2" t="inlineStr">
        <is>
          <t>AL</t>
        </is>
      </c>
      <c r="E1089" s="19" t="inlineStr">
        <is>
          <t>多</t>
        </is>
      </c>
      <c r="F1089" s="2" t="inlineStr">
        <is>
          <t>★★★</t>
        </is>
      </c>
      <c r="G1089" s="10" t="n">
        <v>6</v>
      </c>
      <c r="H1089" s="11" t="n">
        <v>20500</v>
      </c>
      <c r="I1089" s="11" t="n">
        <v>20685</v>
      </c>
      <c r="J1089" s="10" t="n">
        <v>5</v>
      </c>
      <c r="K1089" s="10" t="n">
        <v>21300</v>
      </c>
      <c r="L1089" s="23">
        <f>IF(E1089="多",1,-1)*(I1089-H1089)*G1089*J1089</f>
        <v/>
      </c>
      <c r="M1089" s="24">
        <f>L1089/K1089</f>
        <v/>
      </c>
      <c r="N1089" s="2" t="inlineStr">
        <is>
          <t>将军撤退</t>
        </is>
      </c>
      <c r="O1089" s="2" t="inlineStr">
        <is>
          <t>否</t>
        </is>
      </c>
    </row>
    <row r="1090">
      <c r="A1090" s="2" t="inlineStr">
        <is>
          <t>2024-04-03</t>
        </is>
      </c>
      <c r="B1090" s="2" t="inlineStr">
        <is>
          <t>2024-04-15</t>
        </is>
      </c>
      <c r="C1090" s="2" t="inlineStr">
        <is>
          <t>沪银</t>
        </is>
      </c>
      <c r="D1090" s="2" t="inlineStr">
        <is>
          <t>AG</t>
        </is>
      </c>
      <c r="E1090" s="19" t="inlineStr">
        <is>
          <t>多</t>
        </is>
      </c>
      <c r="F1090" s="2" t="inlineStr">
        <is>
          <t>★★★</t>
        </is>
      </c>
      <c r="G1090" s="10" t="n">
        <v>2</v>
      </c>
      <c r="H1090" s="11" t="n">
        <v>6879</v>
      </c>
      <c r="I1090" s="11" t="n">
        <v>7436</v>
      </c>
      <c r="J1090" s="10" t="n">
        <v>15</v>
      </c>
      <c r="K1090" s="10" t="n">
        <v>13100</v>
      </c>
      <c r="L1090" s="23">
        <f>IF(E1090="多",1,-1)*(I1090-H1090)*G1090*J1090</f>
        <v/>
      </c>
      <c r="M1090" s="24">
        <f>L1090/K1090</f>
        <v/>
      </c>
      <c r="N1090" s="2" t="inlineStr">
        <is>
          <t>大将军转向</t>
        </is>
      </c>
      <c r="O1090" s="2" t="inlineStr">
        <is>
          <t>否</t>
        </is>
      </c>
    </row>
    <row r="1091">
      <c r="A1091" s="14" t="inlineStr">
        <is>
          <t>2024-04-11</t>
        </is>
      </c>
      <c r="B1091" s="14" t="inlineStr">
        <is>
          <t>2024-04-12</t>
        </is>
      </c>
      <c r="C1091" s="14" t="inlineStr">
        <is>
          <t>白糖</t>
        </is>
      </c>
      <c r="D1091" s="14" t="inlineStr">
        <is>
          <t>SR</t>
        </is>
      </c>
      <c r="E1091" s="14" t="inlineStr">
        <is>
          <t>空</t>
        </is>
      </c>
      <c r="F1091" s="14" t="inlineStr">
        <is>
          <t>★★</t>
        </is>
      </c>
      <c r="G1091" s="14" t="n">
        <v>3</v>
      </c>
      <c r="H1091" s="15" t="n">
        <v>6438</v>
      </c>
      <c r="I1091" s="15" t="n">
        <v>6394</v>
      </c>
      <c r="J1091" s="14" t="n">
        <v>10</v>
      </c>
      <c r="K1091" s="14" t="n">
        <v>10000</v>
      </c>
      <c r="L1091" s="25">
        <f>IF(E1091="多",1,-1)*(I1091-H1091)*G1091*J1091</f>
        <v/>
      </c>
      <c r="M1091" s="26">
        <f>L1091/K1091</f>
        <v/>
      </c>
      <c r="N1091" s="14" t="inlineStr">
        <is>
          <t>大将军转向</t>
        </is>
      </c>
      <c r="O1091" s="14" t="inlineStr">
        <is>
          <t>是</t>
        </is>
      </c>
    </row>
    <row r="1092">
      <c r="A1092" s="2" t="inlineStr">
        <is>
          <t>2024-04-10</t>
        </is>
      </c>
      <c r="B1092" s="2" t="inlineStr">
        <is>
          <t>2024-04-12</t>
        </is>
      </c>
      <c r="C1092" s="2" t="inlineStr">
        <is>
          <t>沪锌</t>
        </is>
      </c>
      <c r="D1092" s="2" t="inlineStr">
        <is>
          <t>ZN</t>
        </is>
      </c>
      <c r="E1092" s="19" t="inlineStr">
        <is>
          <t>多</t>
        </is>
      </c>
      <c r="F1092" s="2" t="inlineStr">
        <is>
          <t>★★★</t>
        </is>
      </c>
      <c r="G1092" s="10" t="n">
        <v>4</v>
      </c>
      <c r="H1092" s="11" t="n">
        <v>22595</v>
      </c>
      <c r="I1092" s="11" t="n">
        <v>23045</v>
      </c>
      <c r="J1092" s="10" t="n">
        <v>5</v>
      </c>
      <c r="K1092" s="10" t="n">
        <v>21300</v>
      </c>
      <c r="L1092" s="23">
        <f>IF(E1092="多",1,-1)*(I1092-H1092)*G1092*J1092</f>
        <v/>
      </c>
      <c r="M1092" s="24">
        <f>L1092/K1092</f>
        <v/>
      </c>
      <c r="N1092" s="2" t="inlineStr">
        <is>
          <t>大将军转向</t>
        </is>
      </c>
      <c r="O1092" s="2" t="inlineStr">
        <is>
          <t>否</t>
        </is>
      </c>
    </row>
    <row r="1093">
      <c r="A1093" s="14" t="inlineStr">
        <is>
          <t>2024-04-08</t>
        </is>
      </c>
      <c r="B1093" s="14" t="inlineStr">
        <is>
          <t>2024-04-11</t>
        </is>
      </c>
      <c r="C1093" s="14" t="inlineStr">
        <is>
          <t>白糖</t>
        </is>
      </c>
      <c r="D1093" s="14" t="inlineStr">
        <is>
          <t>SR</t>
        </is>
      </c>
      <c r="E1093" s="14" t="inlineStr">
        <is>
          <t>多</t>
        </is>
      </c>
      <c r="F1093" s="14" t="inlineStr">
        <is>
          <t>★★</t>
        </is>
      </c>
      <c r="G1093" s="14" t="n">
        <v>3</v>
      </c>
      <c r="H1093" s="15" t="n">
        <v>6516</v>
      </c>
      <c r="I1093" s="15" t="n">
        <v>6455</v>
      </c>
      <c r="J1093" s="14" t="n">
        <v>10</v>
      </c>
      <c r="K1093" s="14" t="n">
        <v>10000</v>
      </c>
      <c r="L1093" s="25">
        <f>IF(E1093="多",1,-1)*(I1093-H1093)*G1093*J1093</f>
        <v/>
      </c>
      <c r="M1093" s="26">
        <f>L1093/K1093</f>
        <v/>
      </c>
      <c r="N1093" s="14" t="inlineStr">
        <is>
          <t>反向信号</t>
        </is>
      </c>
      <c r="O1093" s="14" t="inlineStr">
        <is>
          <t>是</t>
        </is>
      </c>
    </row>
    <row r="1094">
      <c r="A1094" s="2" t="inlineStr">
        <is>
          <t>2024-04-09</t>
        </is>
      </c>
      <c r="B1094" s="2" t="inlineStr">
        <is>
          <t>2024-04-10</t>
        </is>
      </c>
      <c r="C1094" s="2" t="inlineStr">
        <is>
          <t>玉米</t>
        </is>
      </c>
      <c r="D1094" s="2" t="inlineStr">
        <is>
          <t>C</t>
        </is>
      </c>
      <c r="E1094" s="9" t="inlineStr">
        <is>
          <t>空</t>
        </is>
      </c>
      <c r="F1094" s="2" t="inlineStr">
        <is>
          <t>★★★</t>
        </is>
      </c>
      <c r="G1094" s="10" t="n">
        <v>36</v>
      </c>
      <c r="H1094" s="11" t="n">
        <v>2415</v>
      </c>
      <c r="I1094" s="11" t="n">
        <v>2417</v>
      </c>
      <c r="J1094" s="10" t="n">
        <v>10</v>
      </c>
      <c r="K1094" s="10" t="n">
        <v>22300</v>
      </c>
      <c r="L1094" s="23">
        <f>IF(E1094="多",1,-1)*(I1094-H1094)*G1094*J1094</f>
        <v/>
      </c>
      <c r="M1094" s="24">
        <f>L1094/K1094</f>
        <v/>
      </c>
      <c r="N1094" s="2" t="inlineStr">
        <is>
          <t>大将军转向</t>
        </is>
      </c>
      <c r="O1094" s="2" t="inlineStr">
        <is>
          <t>否</t>
        </is>
      </c>
    </row>
    <row r="1095">
      <c r="A1095" s="2" t="inlineStr">
        <is>
          <t>2024-04-09</t>
        </is>
      </c>
      <c r="B1095" s="2" t="inlineStr">
        <is>
          <t>2024-04-10</t>
        </is>
      </c>
      <c r="C1095" s="2" t="inlineStr">
        <is>
          <t>沪铜</t>
        </is>
      </c>
      <c r="D1095" s="2" t="inlineStr">
        <is>
          <t>CU</t>
        </is>
      </c>
      <c r="E1095" s="19" t="inlineStr">
        <is>
          <t>多</t>
        </is>
      </c>
      <c r="F1095" s="2" t="inlineStr">
        <is>
          <t>★★★</t>
        </is>
      </c>
      <c r="G1095" s="10" t="n">
        <v>1</v>
      </c>
      <c r="H1095" s="11" t="n">
        <v>76720</v>
      </c>
      <c r="I1095" s="11" t="n">
        <v>76800</v>
      </c>
      <c r="J1095" s="10" t="n">
        <v>5</v>
      </c>
      <c r="K1095" s="10" t="n">
        <v>22300</v>
      </c>
      <c r="L1095" s="23">
        <f>IF(E1095="多",1,-1)*(I1095-H1095)*G1095*J1095</f>
        <v/>
      </c>
      <c r="M1095" s="24">
        <f>L1095/K1095</f>
        <v/>
      </c>
      <c r="N1095" s="2" t="inlineStr">
        <is>
          <t>大将军转向</t>
        </is>
      </c>
      <c r="O1095" s="2" t="inlineStr">
        <is>
          <t>否</t>
        </is>
      </c>
    </row>
    <row r="1096">
      <c r="A1096" s="14" t="inlineStr">
        <is>
          <t>2024-04-08</t>
        </is>
      </c>
      <c r="B1096" s="14" t="inlineStr">
        <is>
          <t>2024-04-10</t>
        </is>
      </c>
      <c r="C1096" s="14" t="inlineStr">
        <is>
          <t>甲醇</t>
        </is>
      </c>
      <c r="D1096" s="14" t="inlineStr">
        <is>
          <t>MA</t>
        </is>
      </c>
      <c r="E1096" s="14" t="inlineStr">
        <is>
          <t>空</t>
        </is>
      </c>
      <c r="F1096" s="14" t="inlineStr">
        <is>
          <t>★★</t>
        </is>
      </c>
      <c r="G1096" s="14" t="n">
        <v>8</v>
      </c>
      <c r="H1096" s="15" t="n">
        <v>2491</v>
      </c>
      <c r="I1096" s="15" t="n">
        <v>2520</v>
      </c>
      <c r="J1096" s="14" t="n">
        <v>10</v>
      </c>
      <c r="K1096" s="14" t="n">
        <v>10000</v>
      </c>
      <c r="L1096" s="25">
        <f>IF(E1096="多",1,-1)*(I1096-H1096)*G1096*J1096</f>
        <v/>
      </c>
      <c r="M1096" s="26">
        <f>L1096/K1096</f>
        <v/>
      </c>
      <c r="N1096" s="14" t="inlineStr">
        <is>
          <t>大将军转向</t>
        </is>
      </c>
      <c r="O1096" s="14" t="inlineStr">
        <is>
          <t>是</t>
        </is>
      </c>
    </row>
    <row r="1097">
      <c r="A1097" s="14" t="inlineStr">
        <is>
          <t>2024-04-03</t>
        </is>
      </c>
      <c r="B1097" s="14" t="inlineStr">
        <is>
          <t>2024-04-10</t>
        </is>
      </c>
      <c r="C1097" s="14" t="inlineStr">
        <is>
          <t>PVC</t>
        </is>
      </c>
      <c r="D1097" s="14" t="inlineStr">
        <is>
          <t>V</t>
        </is>
      </c>
      <c r="E1097" s="14" t="inlineStr">
        <is>
          <t>空</t>
        </is>
      </c>
      <c r="F1097" s="14" t="inlineStr">
        <is>
          <t>★★</t>
        </is>
      </c>
      <c r="G1097" s="14" t="n">
        <v>9</v>
      </c>
      <c r="H1097" s="15" t="n">
        <v>5765</v>
      </c>
      <c r="I1097" s="15" t="n">
        <v>5808</v>
      </c>
      <c r="J1097" s="14" t="n">
        <v>5</v>
      </c>
      <c r="K1097" s="14" t="n">
        <v>10000</v>
      </c>
      <c r="L1097" s="25">
        <f>IF(E1097="多",1,-1)*(I1097-H1097)*G1097*J1097</f>
        <v/>
      </c>
      <c r="M1097" s="26">
        <f>L1097/K1097</f>
        <v/>
      </c>
      <c r="N1097" s="14" t="inlineStr">
        <is>
          <t>将军撤退+大将军转向</t>
        </is>
      </c>
      <c r="O1097" s="14" t="inlineStr">
        <is>
          <t>是</t>
        </is>
      </c>
    </row>
    <row r="1098">
      <c r="A1098" s="14" t="inlineStr">
        <is>
          <t>2024-04-02</t>
        </is>
      </c>
      <c r="B1098" s="14" t="inlineStr">
        <is>
          <t>2024-04-10</t>
        </is>
      </c>
      <c r="C1098" s="14" t="inlineStr">
        <is>
          <t>沪镍</t>
        </is>
      </c>
      <c r="D1098" s="14" t="inlineStr">
        <is>
          <t>NI</t>
        </is>
      </c>
      <c r="E1098" s="14" t="inlineStr">
        <is>
          <t>多</t>
        </is>
      </c>
      <c r="F1098" s="14" t="inlineStr">
        <is>
          <t>★★</t>
        </is>
      </c>
      <c r="G1098" s="14" t="n">
        <v>1</v>
      </c>
      <c r="H1098" s="15" t="n">
        <v>133430</v>
      </c>
      <c r="I1098" s="15" t="n">
        <v>139680</v>
      </c>
      <c r="J1098" s="14" t="n">
        <v>1</v>
      </c>
      <c r="K1098" s="14" t="n">
        <v>10000</v>
      </c>
      <c r="L1098" s="25">
        <f>IF(E1098="多",1,-1)*(I1098-H1098)*G1098*J1098</f>
        <v/>
      </c>
      <c r="M1098" s="26">
        <f>L1098/K1098</f>
        <v/>
      </c>
      <c r="N1098" s="14" t="inlineStr">
        <is>
          <t>将军撤退+大将军转向</t>
        </is>
      </c>
      <c r="O1098" s="14" t="inlineStr">
        <is>
          <t>是</t>
        </is>
      </c>
    </row>
    <row r="1099">
      <c r="A1099" s="2" t="inlineStr">
        <is>
          <t>2024-03-28</t>
        </is>
      </c>
      <c r="B1099" s="2" t="inlineStr">
        <is>
          <t>2024-04-10</t>
        </is>
      </c>
      <c r="C1099" s="2" t="inlineStr">
        <is>
          <t>玻璃</t>
        </is>
      </c>
      <c r="D1099" s="2" t="inlineStr">
        <is>
          <t>FG</t>
        </is>
      </c>
      <c r="E1099" s="9" t="inlineStr">
        <is>
          <t>空</t>
        </is>
      </c>
      <c r="F1099" s="2" t="inlineStr">
        <is>
          <t>★★★</t>
        </is>
      </c>
      <c r="G1099" s="10" t="n">
        <v>7</v>
      </c>
      <c r="H1099" s="11" t="n">
        <v>1412</v>
      </c>
      <c r="I1099" s="11" t="n">
        <v>1520</v>
      </c>
      <c r="J1099" s="10" t="n">
        <v>20</v>
      </c>
      <c r="K1099" s="10" t="n">
        <v>22300</v>
      </c>
      <c r="L1099" s="23">
        <f>IF(E1099="多",1,-1)*(I1099-H1099)*G1099*J1099</f>
        <v/>
      </c>
      <c r="M1099" s="24">
        <f>L1099/K1099</f>
        <v/>
      </c>
      <c r="N1099" s="2" t="inlineStr">
        <is>
          <t>跳空止损</t>
        </is>
      </c>
      <c r="O1099" s="2" t="inlineStr">
        <is>
          <t>否</t>
        </is>
      </c>
    </row>
    <row r="1100">
      <c r="A1100" s="14" t="inlineStr">
        <is>
          <t>2024-04-08</t>
        </is>
      </c>
      <c r="B1100" s="14" t="inlineStr">
        <is>
          <t>2024-04-09</t>
        </is>
      </c>
      <c r="C1100" s="14" t="inlineStr">
        <is>
          <t>苯乙烯</t>
        </is>
      </c>
      <c r="D1100" s="14" t="inlineStr">
        <is>
          <t>EB</t>
        </is>
      </c>
      <c r="E1100" s="14" t="inlineStr">
        <is>
          <t>多</t>
        </is>
      </c>
      <c r="F1100" s="14" t="inlineStr">
        <is>
          <t>★★</t>
        </is>
      </c>
      <c r="G1100" s="14" t="n">
        <v>5</v>
      </c>
      <c r="H1100" s="15" t="n">
        <v>9543</v>
      </c>
      <c r="I1100" s="15" t="n">
        <v>9596</v>
      </c>
      <c r="J1100" s="14" t="n">
        <v>5</v>
      </c>
      <c r="K1100" s="14" t="n">
        <v>10000</v>
      </c>
      <c r="L1100" s="25">
        <f>IF(E1100="多",1,-1)*(I1100-H1100)*G1100*J1100</f>
        <v/>
      </c>
      <c r="M1100" s="26">
        <f>L1100/K1100</f>
        <v/>
      </c>
      <c r="N1100" s="14" t="inlineStr">
        <is>
          <t>将军撤退+大将军转向</t>
        </is>
      </c>
      <c r="O1100" s="14" t="inlineStr">
        <is>
          <t>是</t>
        </is>
      </c>
    </row>
    <row r="1101">
      <c r="A1101" s="2" t="inlineStr">
        <is>
          <t>2024-04-01</t>
        </is>
      </c>
      <c r="B1101" s="2" t="inlineStr">
        <is>
          <t>2024-04-08</t>
        </is>
      </c>
      <c r="C1101" s="2" t="inlineStr">
        <is>
          <t>沪金</t>
        </is>
      </c>
      <c r="D1101" s="2" t="inlineStr">
        <is>
          <t>AU</t>
        </is>
      </c>
      <c r="E1101" s="19" t="inlineStr">
        <is>
          <t>多</t>
        </is>
      </c>
      <c r="F1101" s="2" t="inlineStr">
        <is>
          <t>★★★</t>
        </is>
      </c>
      <c r="G1101" s="10" t="n">
        <v>1</v>
      </c>
      <c r="H1101" s="11" t="n">
        <v>532.92</v>
      </c>
      <c r="I1101" s="11" t="n">
        <v>554.74</v>
      </c>
      <c r="J1101" s="10" t="n">
        <v>1000</v>
      </c>
      <c r="K1101" s="10" t="n">
        <v>21700</v>
      </c>
      <c r="L1101" s="23">
        <f>IF(E1101="多",1,-1)*(I1101-H1101)*G1101*J1101</f>
        <v/>
      </c>
      <c r="M1101" s="24">
        <f>L1101/K1101</f>
        <v/>
      </c>
      <c r="N1101" s="2" t="inlineStr">
        <is>
          <t>将军撤退+大将军转向</t>
        </is>
      </c>
      <c r="O1101" s="2" t="inlineStr">
        <is>
          <t>否</t>
        </is>
      </c>
    </row>
    <row r="1102">
      <c r="A1102" s="2" t="inlineStr">
        <is>
          <t>2024-03-29</t>
        </is>
      </c>
      <c r="B1102" s="2" t="inlineStr">
        <is>
          <t>2024-04-08</t>
        </is>
      </c>
      <c r="C1102" s="2" t="inlineStr">
        <is>
          <t>热卷</t>
        </is>
      </c>
      <c r="D1102" s="2" t="inlineStr">
        <is>
          <t>HC</t>
        </is>
      </c>
      <c r="E1102" s="9" t="inlineStr">
        <is>
          <t>空</t>
        </is>
      </c>
      <c r="F1102" s="2" t="inlineStr">
        <is>
          <t>★★★</t>
        </is>
      </c>
      <c r="G1102" s="10" t="n">
        <v>10</v>
      </c>
      <c r="H1102" s="11" t="n">
        <v>3596</v>
      </c>
      <c r="I1102" s="11" t="n">
        <v>3728</v>
      </c>
      <c r="J1102" s="10" t="n">
        <v>10</v>
      </c>
      <c r="K1102" s="10" t="n">
        <v>21200</v>
      </c>
      <c r="L1102" s="23">
        <f>IF(E1102="多",1,-1)*(I1102-H1102)*G1102*J1102</f>
        <v/>
      </c>
      <c r="M1102" s="24">
        <f>L1102/K1102</f>
        <v/>
      </c>
      <c r="N1102" s="2" t="inlineStr">
        <is>
          <t>大将军转向</t>
        </is>
      </c>
      <c r="O1102" s="2" t="inlineStr">
        <is>
          <t>否</t>
        </is>
      </c>
    </row>
    <row r="1103">
      <c r="A1103" s="2" t="inlineStr">
        <is>
          <t>2024-03-26</t>
        </is>
      </c>
      <c r="B1103" s="2" t="inlineStr">
        <is>
          <t>2024-04-08</t>
        </is>
      </c>
      <c r="C1103" s="2" t="inlineStr">
        <is>
          <t>玉米</t>
        </is>
      </c>
      <c r="D1103" s="2" t="inlineStr">
        <is>
          <t>C</t>
        </is>
      </c>
      <c r="E1103" s="9" t="inlineStr">
        <is>
          <t>空</t>
        </is>
      </c>
      <c r="F1103" s="2" t="inlineStr">
        <is>
          <t>★★★</t>
        </is>
      </c>
      <c r="G1103" s="10" t="n">
        <v>33</v>
      </c>
      <c r="H1103" s="11" t="n">
        <v>2383</v>
      </c>
      <c r="I1103" s="11" t="n">
        <v>2419</v>
      </c>
      <c r="J1103" s="10" t="n">
        <v>10</v>
      </c>
      <c r="K1103" s="10" t="n">
        <v>21700</v>
      </c>
      <c r="L1103" s="23">
        <f>IF(E1103="多",1,-1)*(I1103-H1103)*G1103*J1103</f>
        <v/>
      </c>
      <c r="M1103" s="24">
        <f>L1103/K1103</f>
        <v/>
      </c>
      <c r="N1103" s="2" t="inlineStr">
        <is>
          <t>大将军转向</t>
        </is>
      </c>
      <c r="O1103" s="2" t="inlineStr">
        <is>
          <t>否</t>
        </is>
      </c>
    </row>
    <row r="1104">
      <c r="A1104" s="2" t="inlineStr">
        <is>
          <t>2024-03-26</t>
        </is>
      </c>
      <c r="B1104" s="2" t="inlineStr">
        <is>
          <t>2024-04-03</t>
        </is>
      </c>
      <c r="C1104" s="2" t="inlineStr">
        <is>
          <t>沪铝</t>
        </is>
      </c>
      <c r="D1104" s="2" t="inlineStr">
        <is>
          <t>AL</t>
        </is>
      </c>
      <c r="E1104" s="19" t="inlineStr">
        <is>
          <t>多</t>
        </is>
      </c>
      <c r="F1104" s="2" t="inlineStr">
        <is>
          <t>★★★</t>
        </is>
      </c>
      <c r="G1104" s="10" t="n">
        <v>2</v>
      </c>
      <c r="H1104" s="11" t="n">
        <v>19490</v>
      </c>
      <c r="I1104" s="11" t="n">
        <v>19925</v>
      </c>
      <c r="J1104" s="10" t="n">
        <v>5</v>
      </c>
      <c r="K1104" s="10" t="n">
        <v>5900</v>
      </c>
      <c r="L1104" s="23">
        <f>IF(E1104="多",1,-1)*(I1104-H1104)*G1104*J1104</f>
        <v/>
      </c>
      <c r="M1104" s="24">
        <f>L1104/K1104</f>
        <v/>
      </c>
      <c r="N1104" s="2" t="inlineStr">
        <is>
          <t>大将军转向</t>
        </is>
      </c>
      <c r="O1104" s="2" t="inlineStr">
        <is>
          <t>否</t>
        </is>
      </c>
    </row>
    <row r="1105">
      <c r="A1105" s="2" t="inlineStr">
        <is>
          <t>2024-04-01</t>
        </is>
      </c>
      <c r="B1105" s="2" t="inlineStr">
        <is>
          <t>2024-04-02</t>
        </is>
      </c>
      <c r="C1105" s="2" t="inlineStr">
        <is>
          <t>沪银</t>
        </is>
      </c>
      <c r="D1105" s="2" t="inlineStr">
        <is>
          <t>AG</t>
        </is>
      </c>
      <c r="E1105" s="19" t="inlineStr">
        <is>
          <t>多</t>
        </is>
      </c>
      <c r="F1105" s="2" t="inlineStr">
        <is>
          <t>★★★</t>
        </is>
      </c>
      <c r="G1105" s="10" t="n">
        <v>1</v>
      </c>
      <c r="H1105" s="11" t="n">
        <v>6480</v>
      </c>
      <c r="I1105" s="11" t="n">
        <v>6562</v>
      </c>
      <c r="J1105" s="10" t="n">
        <v>15</v>
      </c>
      <c r="K1105" s="10" t="n">
        <v>7200</v>
      </c>
      <c r="L1105" s="23">
        <f>IF(E1105="多",1,-1)*(I1105-H1105)*G1105*J1105</f>
        <v/>
      </c>
      <c r="M1105" s="24">
        <f>L1105/K1105</f>
        <v/>
      </c>
      <c r="N1105" s="2" t="inlineStr">
        <is>
          <t>将军撤退</t>
        </is>
      </c>
      <c r="O1105" s="2" t="inlineStr">
        <is>
          <t>否</t>
        </is>
      </c>
    </row>
    <row r="1106">
      <c r="A1106" s="14" t="inlineStr">
        <is>
          <t>2024-03-29</t>
        </is>
      </c>
      <c r="B1106" s="14" t="inlineStr">
        <is>
          <t>2024-04-02</t>
        </is>
      </c>
      <c r="C1106" s="14" t="inlineStr">
        <is>
          <t>纯碱</t>
        </is>
      </c>
      <c r="D1106" s="14" t="inlineStr">
        <is>
          <t>SA</t>
        </is>
      </c>
      <c r="E1106" s="14" t="inlineStr">
        <is>
          <t>多</t>
        </is>
      </c>
      <c r="F1106" s="14" t="inlineStr">
        <is>
          <t>★★</t>
        </is>
      </c>
      <c r="G1106" s="14" t="n">
        <v>2</v>
      </c>
      <c r="H1106" s="15" t="n">
        <v>1781</v>
      </c>
      <c r="I1106" s="15" t="n">
        <v>1803</v>
      </c>
      <c r="J1106" s="14" t="n">
        <v>20</v>
      </c>
      <c r="K1106" s="14" t="n">
        <v>10000</v>
      </c>
      <c r="L1106" s="25">
        <f>IF(E1106="多",1,-1)*(I1106-H1106)*G1106*J1106</f>
        <v/>
      </c>
      <c r="M1106" s="26">
        <f>L1106/K1106</f>
        <v/>
      </c>
      <c r="N1106" s="14" t="inlineStr">
        <is>
          <t>将军撤退</t>
        </is>
      </c>
      <c r="O1106" s="14" t="inlineStr">
        <is>
          <t>是</t>
        </is>
      </c>
    </row>
    <row r="1107">
      <c r="A1107" s="14" t="inlineStr">
        <is>
          <t>2024-03-29</t>
        </is>
      </c>
      <c r="B1107" s="14" t="inlineStr">
        <is>
          <t>2024-04-01</t>
        </is>
      </c>
      <c r="C1107" s="14" t="inlineStr">
        <is>
          <t>白糖</t>
        </is>
      </c>
      <c r="D1107" s="14" t="inlineStr">
        <is>
          <t>SR</t>
        </is>
      </c>
      <c r="E1107" s="14" t="inlineStr">
        <is>
          <t>多</t>
        </is>
      </c>
      <c r="F1107" s="14" t="inlineStr">
        <is>
          <t>★★</t>
        </is>
      </c>
      <c r="G1107" s="14" t="n">
        <v>4</v>
      </c>
      <c r="H1107" s="15" t="n">
        <v>6520</v>
      </c>
      <c r="I1107" s="15" t="n">
        <v>6638</v>
      </c>
      <c r="J1107" s="14" t="n">
        <v>10</v>
      </c>
      <c r="K1107" s="14" t="n">
        <v>10000</v>
      </c>
      <c r="L1107" s="25">
        <f>IF(E1107="多",1,-1)*(I1107-H1107)*G1107*J1107</f>
        <v/>
      </c>
      <c r="M1107" s="26">
        <f>L1107/K1107</f>
        <v/>
      </c>
      <c r="N1107" s="14" t="inlineStr">
        <is>
          <t>将军撤退</t>
        </is>
      </c>
      <c r="O1107" s="14" t="inlineStr">
        <is>
          <t>是</t>
        </is>
      </c>
    </row>
    <row r="1108">
      <c r="A1108" s="2" t="inlineStr">
        <is>
          <t>2024-03-28</t>
        </is>
      </c>
      <c r="B1108" s="2" t="inlineStr">
        <is>
          <t>2024-04-01</t>
        </is>
      </c>
      <c r="C1108" s="2" t="inlineStr">
        <is>
          <t>螺纹钢</t>
        </is>
      </c>
      <c r="D1108" s="2" t="inlineStr">
        <is>
          <t>RB</t>
        </is>
      </c>
      <c r="E1108" s="9" t="inlineStr">
        <is>
          <t>空</t>
        </is>
      </c>
      <c r="F1108" s="2" t="inlineStr">
        <is>
          <t>★★★</t>
        </is>
      </c>
      <c r="G1108" s="10" t="n">
        <v>3</v>
      </c>
      <c r="H1108" s="11" t="n">
        <v>3513</v>
      </c>
      <c r="I1108" s="11" t="n">
        <v>3492</v>
      </c>
      <c r="J1108" s="10" t="n">
        <v>10</v>
      </c>
      <c r="K1108" s="10" t="n">
        <v>7700</v>
      </c>
      <c r="L1108" s="23">
        <f>IF(E1108="多",1,-1)*(I1108-H1108)*G1108*J1108</f>
        <v/>
      </c>
      <c r="M1108" s="24">
        <f>L1108/K1108</f>
        <v/>
      </c>
      <c r="N1108" s="2" t="inlineStr">
        <is>
          <t>将军撤退</t>
        </is>
      </c>
      <c r="O1108" s="2" t="inlineStr">
        <is>
          <t>否</t>
        </is>
      </c>
    </row>
    <row r="1109">
      <c r="A1109" s="14" t="inlineStr">
        <is>
          <t>2024-03-28</t>
        </is>
      </c>
      <c r="B1109" s="14" t="inlineStr">
        <is>
          <t>2024-04-01</t>
        </is>
      </c>
      <c r="C1109" s="14" t="inlineStr">
        <is>
          <t>甲醇</t>
        </is>
      </c>
      <c r="D1109" s="14" t="inlineStr">
        <is>
          <t>MA</t>
        </is>
      </c>
      <c r="E1109" s="14" t="inlineStr">
        <is>
          <t>空</t>
        </is>
      </c>
      <c r="F1109" s="14" t="inlineStr">
        <is>
          <t>★★</t>
        </is>
      </c>
      <c r="G1109" s="14" t="n">
        <v>7</v>
      </c>
      <c r="H1109" s="15" t="n">
        <v>2465</v>
      </c>
      <c r="I1109" s="15" t="n">
        <v>2524</v>
      </c>
      <c r="J1109" s="14" t="n">
        <v>10</v>
      </c>
      <c r="K1109" s="14" t="n">
        <v>10000</v>
      </c>
      <c r="L1109" s="25">
        <f>IF(E1109="多",1,-1)*(I1109-H1109)*G1109*J1109</f>
        <v/>
      </c>
      <c r="M1109" s="26">
        <f>L1109/K1109</f>
        <v/>
      </c>
      <c r="N1109" s="14" t="inlineStr">
        <is>
          <t>大将军转向</t>
        </is>
      </c>
      <c r="O1109" s="14" t="inlineStr">
        <is>
          <t>是</t>
        </is>
      </c>
    </row>
    <row r="1110">
      <c r="A1110" s="2" t="inlineStr">
        <is>
          <t>2024-03-25</t>
        </is>
      </c>
      <c r="B1110" s="2" t="inlineStr">
        <is>
          <t>2024-04-01</t>
        </is>
      </c>
      <c r="C1110" s="2" t="inlineStr">
        <is>
          <t>棕榈油</t>
        </is>
      </c>
      <c r="D1110" s="2" t="inlineStr">
        <is>
          <t>P</t>
        </is>
      </c>
      <c r="E1110" s="19" t="inlineStr">
        <is>
          <t>多</t>
        </is>
      </c>
      <c r="F1110" s="2" t="inlineStr">
        <is>
          <t>★★★</t>
        </is>
      </c>
      <c r="G1110" s="10" t="n">
        <v>4</v>
      </c>
      <c r="H1110" s="11" t="n">
        <v>8400</v>
      </c>
      <c r="I1110" s="11" t="n">
        <v>8328</v>
      </c>
      <c r="J1110" s="10" t="n">
        <v>10</v>
      </c>
      <c r="K1110" s="10" t="n">
        <v>21200</v>
      </c>
      <c r="L1110" s="23">
        <f>IF(E1110="多",1,-1)*(I1110-H1110)*G1110*J1110</f>
        <v/>
      </c>
      <c r="M1110" s="24">
        <f>L1110/K1110</f>
        <v/>
      </c>
      <c r="N1110" s="2" t="inlineStr">
        <is>
          <t>将军撤退</t>
        </is>
      </c>
      <c r="O1110" s="2" t="inlineStr">
        <is>
          <t>否</t>
        </is>
      </c>
    </row>
    <row r="1111">
      <c r="A1111" s="14" t="inlineStr">
        <is>
          <t>2024-03-28</t>
        </is>
      </c>
      <c r="B1111" s="14" t="inlineStr">
        <is>
          <t>2024-03-29</t>
        </is>
      </c>
      <c r="C1111" s="14" t="inlineStr">
        <is>
          <t>菜粕</t>
        </is>
      </c>
      <c r="D1111" s="14" t="inlineStr">
        <is>
          <t>RM</t>
        </is>
      </c>
      <c r="E1111" s="14" t="inlineStr">
        <is>
          <t>空</t>
        </is>
      </c>
      <c r="F1111" s="14" t="inlineStr">
        <is>
          <t>★★</t>
        </is>
      </c>
      <c r="G1111" s="14" t="n">
        <v>5</v>
      </c>
      <c r="H1111" s="15" t="n">
        <v>2591</v>
      </c>
      <c r="I1111" s="15" t="n">
        <v>2622</v>
      </c>
      <c r="J1111" s="14" t="n">
        <v>10</v>
      </c>
      <c r="K1111" s="14" t="n">
        <v>10000</v>
      </c>
      <c r="L1111" s="25">
        <f>IF(E1111="多",1,-1)*(I1111-H1111)*G1111*J1111</f>
        <v/>
      </c>
      <c r="M1111" s="26">
        <f>L1111/K1111</f>
        <v/>
      </c>
      <c r="N1111" s="14" t="inlineStr">
        <is>
          <t>将军撤退</t>
        </is>
      </c>
      <c r="O1111" s="14" t="inlineStr">
        <is>
          <t>是</t>
        </is>
      </c>
    </row>
    <row r="1112">
      <c r="A1112" s="2" t="inlineStr">
        <is>
          <t>2024-03-21</t>
        </is>
      </c>
      <c r="B1112" s="2" t="inlineStr">
        <is>
          <t>2024-03-29</t>
        </is>
      </c>
      <c r="C1112" s="2" t="inlineStr">
        <is>
          <t>豆油</t>
        </is>
      </c>
      <c r="D1112" s="2" t="inlineStr">
        <is>
          <t>Y</t>
        </is>
      </c>
      <c r="E1112" s="19" t="inlineStr">
        <is>
          <t>多</t>
        </is>
      </c>
      <c r="F1112" s="2" t="inlineStr">
        <is>
          <t>★★★</t>
        </is>
      </c>
      <c r="G1112" s="10" t="n">
        <v>6</v>
      </c>
      <c r="H1112" s="11" t="n">
        <v>7908</v>
      </c>
      <c r="I1112" s="11" t="n">
        <v>7790</v>
      </c>
      <c r="J1112" s="10" t="n">
        <v>10</v>
      </c>
      <c r="K1112" s="10" t="n">
        <v>21200</v>
      </c>
      <c r="L1112" s="23">
        <f>IF(E1112="多",1,-1)*(I1112-H1112)*G1112*J1112</f>
        <v/>
      </c>
      <c r="M1112" s="24">
        <f>L1112/K1112</f>
        <v/>
      </c>
      <c r="N1112" s="2" t="inlineStr">
        <is>
          <t>大将军转向</t>
        </is>
      </c>
      <c r="O1112" s="2" t="inlineStr">
        <is>
          <t>否</t>
        </is>
      </c>
    </row>
    <row r="1113">
      <c r="A1113" s="2" t="inlineStr">
        <is>
          <t>2024-03-27</t>
        </is>
      </c>
      <c r="B1113" s="2" t="inlineStr">
        <is>
          <t>2024-03-28</t>
        </is>
      </c>
      <c r="C1113" s="2" t="inlineStr">
        <is>
          <t>热卷</t>
        </is>
      </c>
      <c r="D1113" s="2" t="inlineStr">
        <is>
          <t>HC</t>
        </is>
      </c>
      <c r="E1113" s="9" t="inlineStr">
        <is>
          <t>空</t>
        </is>
      </c>
      <c r="F1113" s="2" t="inlineStr">
        <is>
          <t>★★★</t>
        </is>
      </c>
      <c r="G1113" s="10" t="n">
        <v>4</v>
      </c>
      <c r="H1113" s="11" t="n">
        <v>3713</v>
      </c>
      <c r="I1113" s="11" t="n">
        <v>3692</v>
      </c>
      <c r="J1113" s="10" t="n">
        <v>10</v>
      </c>
      <c r="K1113" s="10" t="n">
        <v>8000</v>
      </c>
      <c r="L1113" s="23">
        <f>IF(E1113="多",1,-1)*(I1113-H1113)*G1113*J1113</f>
        <v/>
      </c>
      <c r="M1113" s="24">
        <f>L1113/K1113</f>
        <v/>
      </c>
      <c r="N1113" s="2" t="inlineStr">
        <is>
          <t>将军撤退</t>
        </is>
      </c>
      <c r="O1113" s="2" t="inlineStr">
        <is>
          <t>否</t>
        </is>
      </c>
    </row>
    <row r="1114">
      <c r="A1114" s="2" t="inlineStr">
        <is>
          <t>2024-03-27</t>
        </is>
      </c>
      <c r="B1114" s="2" t="inlineStr">
        <is>
          <t>2024-03-28</t>
        </is>
      </c>
      <c r="C1114" s="2" t="inlineStr">
        <is>
          <t>沪金</t>
        </is>
      </c>
      <c r="D1114" s="2" t="inlineStr">
        <is>
          <t>AU</t>
        </is>
      </c>
      <c r="E1114" s="19" t="inlineStr">
        <is>
          <t>多</t>
        </is>
      </c>
      <c r="F1114" s="2" t="inlineStr">
        <is>
          <t>★★★</t>
        </is>
      </c>
      <c r="G1114" s="10" t="n">
        <v>1</v>
      </c>
      <c r="H1114" s="11" t="n">
        <v>518</v>
      </c>
      <c r="I1114" s="11" t="n">
        <v>520</v>
      </c>
      <c r="J1114" s="10" t="n">
        <v>1000</v>
      </c>
      <c r="K1114" s="10" t="n">
        <v>22000</v>
      </c>
      <c r="L1114" s="23">
        <f>IF(E1114="多",1,-1)*(I1114-H1114)*G1114*J1114</f>
        <v/>
      </c>
      <c r="M1114" s="24">
        <f>L1114/K1114</f>
        <v/>
      </c>
      <c r="N1114" s="2" t="inlineStr">
        <is>
          <t>将军撤退</t>
        </is>
      </c>
      <c r="O1114" s="2" t="inlineStr">
        <is>
          <t>否</t>
        </is>
      </c>
    </row>
    <row r="1115">
      <c r="A1115" s="2" t="inlineStr">
        <is>
          <t>2024-03-26</t>
        </is>
      </c>
      <c r="B1115" s="2" t="inlineStr">
        <is>
          <t>2024-03-27</t>
        </is>
      </c>
      <c r="C1115" s="2" t="inlineStr">
        <is>
          <t>螺纹钢</t>
        </is>
      </c>
      <c r="D1115" s="2" t="inlineStr">
        <is>
          <t>RB</t>
        </is>
      </c>
      <c r="E1115" s="9" t="inlineStr">
        <is>
          <t>空</t>
        </is>
      </c>
      <c r="F1115" s="2" t="inlineStr">
        <is>
          <t>★★★</t>
        </is>
      </c>
      <c r="G1115" s="10" t="n">
        <v>4</v>
      </c>
      <c r="H1115" s="11" t="n">
        <v>3491</v>
      </c>
      <c r="I1115" s="11" t="n">
        <v>3479</v>
      </c>
      <c r="J1115" s="10" t="n">
        <v>10</v>
      </c>
      <c r="K1115" s="10" t="n">
        <v>8300</v>
      </c>
      <c r="L1115" s="23">
        <f>IF(E1115="多",1,-1)*(I1115-H1115)*G1115*J1115</f>
        <v/>
      </c>
      <c r="M1115" s="24">
        <f>L1115/K1115</f>
        <v/>
      </c>
      <c r="N1115" s="2" t="inlineStr">
        <is>
          <t>将军撤退</t>
        </is>
      </c>
      <c r="O1115" s="2" t="inlineStr">
        <is>
          <t>否</t>
        </is>
      </c>
    </row>
    <row r="1116">
      <c r="A1116" s="2" t="inlineStr">
        <is>
          <t>2024-03-26</t>
        </is>
      </c>
      <c r="B1116" s="2" t="inlineStr">
        <is>
          <t>2024-03-27</t>
        </is>
      </c>
      <c r="C1116" s="2" t="inlineStr">
        <is>
          <t>铁矿石</t>
        </is>
      </c>
      <c r="D1116" s="2" t="inlineStr">
        <is>
          <t>I</t>
        </is>
      </c>
      <c r="E1116" s="9" t="inlineStr">
        <is>
          <t>空</t>
        </is>
      </c>
      <c r="F1116" s="2" t="inlineStr">
        <is>
          <t>★★★</t>
        </is>
      </c>
      <c r="G1116" s="10" t="n">
        <v>2</v>
      </c>
      <c r="H1116" s="11" t="n">
        <v>814.5</v>
      </c>
      <c r="I1116" s="11" t="n">
        <v>805.5</v>
      </c>
      <c r="J1116" s="10" t="n">
        <v>100</v>
      </c>
      <c r="K1116" s="10" t="n">
        <v>21700</v>
      </c>
      <c r="L1116" s="23">
        <f>IF(E1116="多",1,-1)*(I1116-H1116)*G1116*J1116</f>
        <v/>
      </c>
      <c r="M1116" s="24">
        <f>L1116/K1116</f>
        <v/>
      </c>
      <c r="N1116" s="2" t="inlineStr">
        <is>
          <t>将军撤退+大将军转向</t>
        </is>
      </c>
      <c r="O1116" s="2" t="inlineStr">
        <is>
          <t>否</t>
        </is>
      </c>
    </row>
    <row r="1117">
      <c r="A1117" s="2" t="inlineStr">
        <is>
          <t>2024-03-25</t>
        </is>
      </c>
      <c r="B1117" s="2" t="inlineStr">
        <is>
          <t>2024-03-26</t>
        </is>
      </c>
      <c r="C1117" s="2" t="inlineStr">
        <is>
          <t>热卷</t>
        </is>
      </c>
      <c r="D1117" s="2" t="inlineStr">
        <is>
          <t>HC</t>
        </is>
      </c>
      <c r="E1117" s="9" t="inlineStr">
        <is>
          <t>空</t>
        </is>
      </c>
      <c r="F1117" s="2" t="inlineStr">
        <is>
          <t>★★★</t>
        </is>
      </c>
      <c r="G1117" s="10" t="n">
        <v>12</v>
      </c>
      <c r="H1117" s="11" t="n">
        <v>3800</v>
      </c>
      <c r="I1117" s="11" t="n">
        <v>3735</v>
      </c>
      <c r="J1117" s="10" t="n">
        <v>10</v>
      </c>
      <c r="K1117" s="10" t="n">
        <v>21200</v>
      </c>
      <c r="L1117" s="23">
        <f>IF(E1117="多",1,-1)*(I1117-H1117)*G1117*J1117</f>
        <v/>
      </c>
      <c r="M1117" s="24">
        <f>L1117/K1117</f>
        <v/>
      </c>
      <c r="N1117" s="2" t="inlineStr">
        <is>
          <t>将军撤退</t>
        </is>
      </c>
      <c r="O1117" s="2" t="inlineStr">
        <is>
          <t>否</t>
        </is>
      </c>
    </row>
    <row r="1118">
      <c r="A1118" s="2" t="inlineStr">
        <is>
          <t>2024-03-25</t>
        </is>
      </c>
      <c r="B1118" s="2" t="inlineStr">
        <is>
          <t>2024-03-26</t>
        </is>
      </c>
      <c r="C1118" s="2" t="inlineStr">
        <is>
          <t>玻璃</t>
        </is>
      </c>
      <c r="D1118" s="2" t="inlineStr">
        <is>
          <t>FG</t>
        </is>
      </c>
      <c r="E1118" s="9" t="inlineStr">
        <is>
          <t>空</t>
        </is>
      </c>
      <c r="F1118" s="2" t="inlineStr">
        <is>
          <t>★★★</t>
        </is>
      </c>
      <c r="G1118" s="10" t="n">
        <v>7</v>
      </c>
      <c r="H1118" s="11" t="n">
        <v>1492</v>
      </c>
      <c r="I1118" s="11" t="n">
        <v>1491</v>
      </c>
      <c r="J1118" s="10" t="n">
        <v>20</v>
      </c>
      <c r="K1118" s="10" t="n">
        <v>21200</v>
      </c>
      <c r="L1118" s="23">
        <f>IF(E1118="多",1,-1)*(I1118-H1118)*G1118*J1118</f>
        <v/>
      </c>
      <c r="M1118" s="24">
        <f>L1118/K1118</f>
        <v/>
      </c>
      <c r="N1118" s="2" t="inlineStr">
        <is>
          <t>大将军转向</t>
        </is>
      </c>
      <c r="O1118" s="2" t="inlineStr">
        <is>
          <t>否</t>
        </is>
      </c>
    </row>
    <row r="1119">
      <c r="A1119" s="14" t="inlineStr">
        <is>
          <t>2024-03-22</t>
        </is>
      </c>
      <c r="B1119" s="14" t="inlineStr">
        <is>
          <t>2024-03-25</t>
        </is>
      </c>
      <c r="C1119" s="14" t="inlineStr">
        <is>
          <t>菜粕</t>
        </is>
      </c>
      <c r="D1119" s="14" t="inlineStr">
        <is>
          <t>RM</t>
        </is>
      </c>
      <c r="E1119" s="14" t="inlineStr">
        <is>
          <t>多</t>
        </is>
      </c>
      <c r="F1119" s="14" t="inlineStr">
        <is>
          <t>★★</t>
        </is>
      </c>
      <c r="G1119" s="14" t="n">
        <v>5</v>
      </c>
      <c r="H1119" s="15" t="n">
        <v>2717</v>
      </c>
      <c r="I1119" s="15" t="n">
        <v>2645</v>
      </c>
      <c r="J1119" s="14" t="n">
        <v>10</v>
      </c>
      <c r="K1119" s="14" t="n">
        <v>10000</v>
      </c>
      <c r="L1119" s="25">
        <f>IF(E1119="多",1,-1)*(I1119-H1119)*G1119*J1119</f>
        <v/>
      </c>
      <c r="M1119" s="26">
        <f>L1119/K1119</f>
        <v/>
      </c>
      <c r="N1119" s="14" t="inlineStr">
        <is>
          <t>将军撤退</t>
        </is>
      </c>
      <c r="O1119" s="14" t="inlineStr">
        <is>
          <t>是</t>
        </is>
      </c>
    </row>
    <row r="1120">
      <c r="A1120" s="2" t="inlineStr">
        <is>
          <t>2024-03-21</t>
        </is>
      </c>
      <c r="B1120" s="2" t="inlineStr">
        <is>
          <t>2024-03-25</t>
        </is>
      </c>
      <c r="C1120" s="2" t="inlineStr">
        <is>
          <t>塑料</t>
        </is>
      </c>
      <c r="D1120" s="2" t="inlineStr">
        <is>
          <t>L</t>
        </is>
      </c>
      <c r="E1120" s="19" t="inlineStr">
        <is>
          <t>多</t>
        </is>
      </c>
      <c r="F1120" s="2" t="inlineStr">
        <is>
          <t>★★★</t>
        </is>
      </c>
      <c r="G1120" s="10" t="n">
        <v>13</v>
      </c>
      <c r="H1120" s="11" t="n">
        <v>8321</v>
      </c>
      <c r="I1120" s="11" t="n">
        <v>8219</v>
      </c>
      <c r="J1120" s="10" t="n">
        <v>5</v>
      </c>
      <c r="K1120" s="10" t="n">
        <v>15500</v>
      </c>
      <c r="L1120" s="23">
        <f>IF(E1120="多",1,-1)*(I1120-H1120)*G1120*J1120</f>
        <v/>
      </c>
      <c r="M1120" s="24">
        <f>L1120/K1120</f>
        <v/>
      </c>
      <c r="N1120" s="2" t="inlineStr">
        <is>
          <t>大将军转向</t>
        </is>
      </c>
      <c r="O1120" s="2" t="inlineStr">
        <is>
          <t>否</t>
        </is>
      </c>
    </row>
    <row r="1121">
      <c r="A1121" s="2" t="inlineStr">
        <is>
          <t>2024-03-21</t>
        </is>
      </c>
      <c r="B1121" s="2" t="inlineStr">
        <is>
          <t>2024-03-25</t>
        </is>
      </c>
      <c r="C1121" s="2" t="inlineStr">
        <is>
          <t>沪金</t>
        </is>
      </c>
      <c r="D1121" s="2" t="inlineStr">
        <is>
          <t>AU</t>
        </is>
      </c>
      <c r="E1121" s="19" t="inlineStr">
        <is>
          <t>多</t>
        </is>
      </c>
      <c r="F1121" s="2" t="inlineStr">
        <is>
          <t>★★★</t>
        </is>
      </c>
      <c r="G1121" s="10" t="n">
        <v>1</v>
      </c>
      <c r="H1121" s="11" t="n">
        <v>515.5</v>
      </c>
      <c r="I1121" s="11" t="n">
        <v>513.42</v>
      </c>
      <c r="J1121" s="10" t="n">
        <v>1000</v>
      </c>
      <c r="K1121" s="10" t="n">
        <v>21200</v>
      </c>
      <c r="L1121" s="23">
        <f>IF(E1121="多",1,-1)*(I1121-H1121)*G1121*J1121</f>
        <v/>
      </c>
      <c r="M1121" s="24">
        <f>L1121/K1121</f>
        <v/>
      </c>
      <c r="N1121" s="2" t="inlineStr">
        <is>
          <t>将军撤退</t>
        </is>
      </c>
      <c r="O1121" s="2" t="inlineStr">
        <is>
          <t>否</t>
        </is>
      </c>
    </row>
    <row r="1122">
      <c r="A1122" s="2" t="inlineStr">
        <is>
          <t>2024-03-20</t>
        </is>
      </c>
      <c r="B1122" s="2" t="inlineStr">
        <is>
          <t>2024-03-25</t>
        </is>
      </c>
      <c r="C1122" s="2" t="inlineStr">
        <is>
          <t>沪铝</t>
        </is>
      </c>
      <c r="D1122" s="2" t="inlineStr">
        <is>
          <t>AL</t>
        </is>
      </c>
      <c r="E1122" s="19" t="inlineStr">
        <is>
          <t>多</t>
        </is>
      </c>
      <c r="F1122" s="2" t="inlineStr">
        <is>
          <t>★★★</t>
        </is>
      </c>
      <c r="G1122" s="10" t="n">
        <v>9</v>
      </c>
      <c r="H1122" s="11" t="n">
        <v>19320</v>
      </c>
      <c r="I1122" s="11" t="n">
        <v>19455</v>
      </c>
      <c r="J1122" s="10" t="n">
        <v>5</v>
      </c>
      <c r="K1122" s="10" t="n">
        <v>21200</v>
      </c>
      <c r="L1122" s="23">
        <f>IF(E1122="多",1,-1)*(I1122-H1122)*G1122*J1122</f>
        <v/>
      </c>
      <c r="M1122" s="24">
        <f>L1122/K1122</f>
        <v/>
      </c>
      <c r="N1122" s="2" t="inlineStr">
        <is>
          <t>将军撤退+大将军转向</t>
        </is>
      </c>
      <c r="O1122" s="2" t="inlineStr">
        <is>
          <t>否</t>
        </is>
      </c>
    </row>
    <row r="1123">
      <c r="A1123" s="14" t="inlineStr">
        <is>
          <t>2024-03-19</t>
        </is>
      </c>
      <c r="B1123" s="14" t="inlineStr">
        <is>
          <t>2024-03-25</t>
        </is>
      </c>
      <c r="C1123" s="14" t="inlineStr">
        <is>
          <t>沪镍</t>
        </is>
      </c>
      <c r="D1123" s="14" t="inlineStr">
        <is>
          <t>NI</t>
        </is>
      </c>
      <c r="E1123" s="14" t="inlineStr">
        <is>
          <t>空</t>
        </is>
      </c>
      <c r="F1123" s="14" t="inlineStr">
        <is>
          <t>★★</t>
        </is>
      </c>
      <c r="G1123" s="14" t="n">
        <v>1</v>
      </c>
      <c r="H1123" s="15" t="n">
        <v>137000</v>
      </c>
      <c r="I1123" s="15" t="n">
        <v>133330</v>
      </c>
      <c r="J1123" s="14" t="n">
        <v>1</v>
      </c>
      <c r="K1123" s="14" t="n">
        <v>10000</v>
      </c>
      <c r="L1123" s="25">
        <f>IF(E1123="多",1,-1)*(I1123-H1123)*G1123*J1123</f>
        <v/>
      </c>
      <c r="M1123" s="26">
        <f>L1123/K1123</f>
        <v/>
      </c>
      <c r="N1123" s="14" t="inlineStr">
        <is>
          <t>将军撤退</t>
        </is>
      </c>
      <c r="O1123" s="14" t="inlineStr">
        <is>
          <t>是</t>
        </is>
      </c>
    </row>
    <row r="1124">
      <c r="A1124" s="2" t="inlineStr">
        <is>
          <t>2024-03-19</t>
        </is>
      </c>
      <c r="B1124" s="2" t="inlineStr">
        <is>
          <t>2024-03-25</t>
        </is>
      </c>
      <c r="C1124" s="2" t="inlineStr">
        <is>
          <t>豆粕</t>
        </is>
      </c>
      <c r="D1124" s="2" t="inlineStr">
        <is>
          <t>M</t>
        </is>
      </c>
      <c r="E1124" s="19" t="inlineStr">
        <is>
          <t>多</t>
        </is>
      </c>
      <c r="F1124" s="2" t="inlineStr">
        <is>
          <t>★★★</t>
        </is>
      </c>
      <c r="G1124" s="10" t="n">
        <v>11</v>
      </c>
      <c r="H1124" s="11" t="n">
        <v>3280</v>
      </c>
      <c r="I1124" s="11" t="n">
        <v>3229.86</v>
      </c>
      <c r="J1124" s="10" t="n">
        <v>10</v>
      </c>
      <c r="K1124" s="10" t="n">
        <v>20900</v>
      </c>
      <c r="L1124" s="23">
        <f>IF(E1124="多",1,-1)*(I1124-H1124)*G1124*J1124</f>
        <v/>
      </c>
      <c r="M1124" s="24">
        <f>L1124/K1124</f>
        <v/>
      </c>
      <c r="N1124" s="2" t="inlineStr">
        <is>
          <t>止损</t>
        </is>
      </c>
      <c r="O1124" s="2" t="inlineStr">
        <is>
          <t>否</t>
        </is>
      </c>
    </row>
    <row r="1125">
      <c r="A1125" s="14" t="inlineStr">
        <is>
          <t>2024-03-12</t>
        </is>
      </c>
      <c r="B1125" s="14" t="inlineStr">
        <is>
          <t>2024-03-22</t>
        </is>
      </c>
      <c r="C1125" s="14" t="inlineStr">
        <is>
          <t>沪银</t>
        </is>
      </c>
      <c r="D1125" s="14" t="inlineStr">
        <is>
          <t>AG</t>
        </is>
      </c>
      <c r="E1125" s="14" t="inlineStr">
        <is>
          <t>多</t>
        </is>
      </c>
      <c r="F1125" s="14" t="inlineStr">
        <is>
          <t>★★★</t>
        </is>
      </c>
      <c r="G1125" s="14" t="n">
        <v>3</v>
      </c>
      <c r="H1125" s="15" t="n">
        <v>6155</v>
      </c>
      <c r="I1125" s="15" t="n">
        <v>6316</v>
      </c>
      <c r="J1125" s="14" t="n">
        <v>15</v>
      </c>
      <c r="K1125" s="14" t="n">
        <v>10000</v>
      </c>
      <c r="L1125" s="25">
        <f>IF(E1125="多",1,-1)*(I1125-H1125)*G1125*J1125</f>
        <v/>
      </c>
      <c r="M1125" s="26">
        <f>L1125/K1125</f>
        <v/>
      </c>
      <c r="N1125" s="14" t="inlineStr">
        <is>
          <t>将军撤退+大将军转向</t>
        </is>
      </c>
      <c r="O1125" s="14" t="inlineStr">
        <is>
          <t>是</t>
        </is>
      </c>
    </row>
    <row r="1126">
      <c r="A1126" s="2" t="inlineStr">
        <is>
          <t>2024-03-20</t>
        </is>
      </c>
      <c r="B1126" s="2" t="inlineStr">
        <is>
          <t>2024-03-21</t>
        </is>
      </c>
      <c r="C1126" s="2" t="inlineStr">
        <is>
          <t>菜粕</t>
        </is>
      </c>
      <c r="D1126" s="2" t="inlineStr">
        <is>
          <t>RM</t>
        </is>
      </c>
      <c r="E1126" s="19" t="inlineStr">
        <is>
          <t>多</t>
        </is>
      </c>
      <c r="F1126" s="2" t="inlineStr">
        <is>
          <t>★★★</t>
        </is>
      </c>
      <c r="G1126" s="10" t="n">
        <v>5</v>
      </c>
      <c r="H1126" s="11" t="n">
        <v>2723</v>
      </c>
      <c r="I1126" s="11" t="n">
        <v>2767</v>
      </c>
      <c r="J1126" s="10" t="n">
        <v>10</v>
      </c>
      <c r="K1126" s="10" t="n">
        <v>9100</v>
      </c>
      <c r="L1126" s="23">
        <f>IF(E1126="多",1,-1)*(I1126-H1126)*G1126*J1126</f>
        <v/>
      </c>
      <c r="M1126" s="24">
        <f>L1126/K1126</f>
        <v/>
      </c>
      <c r="N1126" s="2" t="inlineStr">
        <is>
          <t>大将军转向</t>
        </is>
      </c>
      <c r="O1126" s="2" t="inlineStr">
        <is>
          <t>否</t>
        </is>
      </c>
    </row>
    <row r="1127">
      <c r="A1127" s="2" t="inlineStr">
        <is>
          <t>2024-03-18</t>
        </is>
      </c>
      <c r="B1127" s="2" t="inlineStr">
        <is>
          <t>2024-03-21</t>
        </is>
      </c>
      <c r="C1127" s="2" t="inlineStr">
        <is>
          <t>沪铜</t>
        </is>
      </c>
      <c r="D1127" s="2" t="inlineStr">
        <is>
          <t>CU</t>
        </is>
      </c>
      <c r="E1127" s="19" t="inlineStr">
        <is>
          <t>多</t>
        </is>
      </c>
      <c r="F1127" s="2" t="inlineStr">
        <is>
          <t>★★★</t>
        </is>
      </c>
      <c r="G1127" s="10" t="n">
        <v>1</v>
      </c>
      <c r="H1127" s="11" t="n">
        <v>73130</v>
      </c>
      <c r="I1127" s="11" t="n">
        <v>73240</v>
      </c>
      <c r="J1127" s="10" t="n">
        <v>5</v>
      </c>
      <c r="K1127" s="10" t="n">
        <v>16700</v>
      </c>
      <c r="L1127" s="23">
        <f>IF(E1127="多",1,-1)*(I1127-H1127)*G1127*J1127</f>
        <v/>
      </c>
      <c r="M1127" s="24">
        <f>L1127/K1127</f>
        <v/>
      </c>
      <c r="N1127" s="2" t="inlineStr">
        <is>
          <t>将军撤退+大将军转向</t>
        </is>
      </c>
      <c r="O1127" s="2" t="inlineStr">
        <is>
          <t>否</t>
        </is>
      </c>
    </row>
    <row r="1128">
      <c r="A1128" s="2" t="inlineStr">
        <is>
          <t>2024-02-19</t>
        </is>
      </c>
      <c r="B1128" s="2" t="inlineStr">
        <is>
          <t>2024-03-21</t>
        </is>
      </c>
      <c r="C1128" s="2" t="inlineStr">
        <is>
          <t>苯乙烯</t>
        </is>
      </c>
      <c r="D1128" s="2" t="inlineStr">
        <is>
          <t>EB</t>
        </is>
      </c>
      <c r="E1128" s="19" t="inlineStr">
        <is>
          <t>多</t>
        </is>
      </c>
      <c r="F1128" s="2" t="inlineStr">
        <is>
          <t>★★★</t>
        </is>
      </c>
      <c r="G1128" s="10" t="n">
        <v>5</v>
      </c>
      <c r="H1128" s="11" t="n">
        <v>9271</v>
      </c>
      <c r="I1128" s="11" t="n">
        <v>9125</v>
      </c>
      <c r="J1128" s="10" t="n">
        <v>5</v>
      </c>
      <c r="K1128" s="10" t="n">
        <v>16500</v>
      </c>
      <c r="L1128" s="23">
        <f>IF(E1128="多",1,-1)*(I1128-H1128)*G1128*J1128</f>
        <v/>
      </c>
      <c r="M1128" s="24">
        <f>L1128/K1128</f>
        <v/>
      </c>
      <c r="N1128" s="2" t="inlineStr">
        <is>
          <t>跳空止损</t>
        </is>
      </c>
      <c r="O1128" s="2" t="inlineStr">
        <is>
          <t>否</t>
        </is>
      </c>
    </row>
    <row r="1129">
      <c r="A1129" s="2" t="inlineStr">
        <is>
          <t>2024-03-13</t>
        </is>
      </c>
      <c r="B1129" s="2" t="inlineStr">
        <is>
          <t>2024-03-20</t>
        </is>
      </c>
      <c r="C1129" s="2" t="inlineStr">
        <is>
          <t>豆油</t>
        </is>
      </c>
      <c r="D1129" s="2" t="inlineStr">
        <is>
          <t>Y</t>
        </is>
      </c>
      <c r="E1129" s="19" t="inlineStr">
        <is>
          <t>多</t>
        </is>
      </c>
      <c r="F1129" s="2" t="inlineStr">
        <is>
          <t>★★★</t>
        </is>
      </c>
      <c r="G1129" s="10" t="n">
        <v>4</v>
      </c>
      <c r="H1129" s="11" t="n">
        <v>7720</v>
      </c>
      <c r="I1129" s="11" t="n">
        <v>7890</v>
      </c>
      <c r="J1129" s="10" t="n">
        <v>10</v>
      </c>
      <c r="K1129" s="10" t="n">
        <v>13700</v>
      </c>
      <c r="L1129" s="23">
        <f>IF(E1129="多",1,-1)*(I1129-H1129)*G1129*J1129</f>
        <v/>
      </c>
      <c r="M1129" s="24">
        <f>L1129/K1129</f>
        <v/>
      </c>
      <c r="N1129" s="2" t="inlineStr">
        <is>
          <t>大将军转向</t>
        </is>
      </c>
      <c r="O1129" s="2" t="inlineStr">
        <is>
          <t>否</t>
        </is>
      </c>
    </row>
    <row r="1130">
      <c r="A1130" s="14" t="inlineStr">
        <is>
          <t>2024-03-18</t>
        </is>
      </c>
      <c r="B1130" s="14" t="inlineStr">
        <is>
          <t>2024-03-19</t>
        </is>
      </c>
      <c r="C1130" s="14" t="inlineStr">
        <is>
          <t>沪铝</t>
        </is>
      </c>
      <c r="D1130" s="14" t="inlineStr">
        <is>
          <t>AL</t>
        </is>
      </c>
      <c r="E1130" s="14" t="inlineStr">
        <is>
          <t>多</t>
        </is>
      </c>
      <c r="F1130" s="14" t="inlineStr">
        <is>
          <t>★★</t>
        </is>
      </c>
      <c r="G1130" s="14" t="n">
        <v>4</v>
      </c>
      <c r="H1130" s="15" t="n">
        <v>19290</v>
      </c>
      <c r="I1130" s="15" t="n">
        <v>19215</v>
      </c>
      <c r="J1130" s="14" t="n">
        <v>5</v>
      </c>
      <c r="K1130" s="14" t="n">
        <v>10000</v>
      </c>
      <c r="L1130" s="25">
        <f>IF(E1130="多",1,-1)*(I1130-H1130)*G1130*J1130</f>
        <v/>
      </c>
      <c r="M1130" s="26">
        <f>L1130/K1130</f>
        <v/>
      </c>
      <c r="N1130" s="14" t="inlineStr">
        <is>
          <t>将军撤退</t>
        </is>
      </c>
      <c r="O1130" s="14" t="inlineStr">
        <is>
          <t>是</t>
        </is>
      </c>
    </row>
    <row r="1131">
      <c r="A1131" s="2" t="inlineStr">
        <is>
          <t>2024-03-14</t>
        </is>
      </c>
      <c r="B1131" s="2" t="inlineStr">
        <is>
          <t>2024-03-19</t>
        </is>
      </c>
      <c r="C1131" s="2" t="inlineStr">
        <is>
          <t>菜粕</t>
        </is>
      </c>
      <c r="D1131" s="2" t="inlineStr">
        <is>
          <t>RM</t>
        </is>
      </c>
      <c r="E1131" s="19" t="inlineStr">
        <is>
          <t>多</t>
        </is>
      </c>
      <c r="F1131" s="2" t="inlineStr">
        <is>
          <t>★★★</t>
        </is>
      </c>
      <c r="G1131" s="10" t="n">
        <v>13</v>
      </c>
      <c r="H1131" s="11" t="n">
        <v>2644</v>
      </c>
      <c r="I1131" s="11" t="n">
        <v>2702</v>
      </c>
      <c r="J1131" s="10" t="n">
        <v>10</v>
      </c>
      <c r="K1131" s="10" t="n">
        <v>18400</v>
      </c>
      <c r="L1131" s="23">
        <f>IF(E1131="多",1,-1)*(I1131-H1131)*G1131*J1131</f>
        <v/>
      </c>
      <c r="M1131" s="24">
        <f>L1131/K1131</f>
        <v/>
      </c>
      <c r="N1131" s="2" t="inlineStr">
        <is>
          <t>将军撤退</t>
        </is>
      </c>
      <c r="O1131" s="2" t="inlineStr">
        <is>
          <t>否</t>
        </is>
      </c>
    </row>
    <row r="1132">
      <c r="A1132" s="2" t="inlineStr">
        <is>
          <t>2024-03-13</t>
        </is>
      </c>
      <c r="B1132" s="2" t="inlineStr">
        <is>
          <t>2024-03-19</t>
        </is>
      </c>
      <c r="C1132" s="2" t="inlineStr">
        <is>
          <t>沪镍</t>
        </is>
      </c>
      <c r="D1132" s="2" t="inlineStr">
        <is>
          <t>NI</t>
        </is>
      </c>
      <c r="E1132" s="19" t="inlineStr">
        <is>
          <t>多</t>
        </is>
      </c>
      <c r="F1132" s="2" t="inlineStr">
        <is>
          <t>★★★</t>
        </is>
      </c>
      <c r="G1132" s="10" t="n">
        <v>1</v>
      </c>
      <c r="H1132" s="11" t="n">
        <v>141420</v>
      </c>
      <c r="I1132" s="11" t="n">
        <v>137460</v>
      </c>
      <c r="J1132" s="10" t="n">
        <v>1</v>
      </c>
      <c r="K1132" s="10" t="n">
        <v>18400</v>
      </c>
      <c r="L1132" s="23">
        <f>IF(E1132="多",1,-1)*(I1132-H1132)*G1132*J1132</f>
        <v/>
      </c>
      <c r="M1132" s="24">
        <f>L1132/K1132</f>
        <v/>
      </c>
      <c r="N1132" s="2" t="inlineStr">
        <is>
          <t>反向信号</t>
        </is>
      </c>
      <c r="O1132" s="2" t="inlineStr">
        <is>
          <t>否</t>
        </is>
      </c>
    </row>
    <row r="1133">
      <c r="A1133" s="2" t="inlineStr">
        <is>
          <t>2024-03-06</t>
        </is>
      </c>
      <c r="B1133" s="2" t="inlineStr">
        <is>
          <t>2024-03-19</t>
        </is>
      </c>
      <c r="C1133" s="2" t="inlineStr">
        <is>
          <t>热卷</t>
        </is>
      </c>
      <c r="D1133" s="2" t="inlineStr">
        <is>
          <t>HC</t>
        </is>
      </c>
      <c r="E1133" s="9" t="inlineStr">
        <is>
          <t>空</t>
        </is>
      </c>
      <c r="F1133" s="2" t="inlineStr">
        <is>
          <t>★★★</t>
        </is>
      </c>
      <c r="G1133" s="10" t="n">
        <v>9</v>
      </c>
      <c r="H1133" s="11" t="n">
        <v>3832</v>
      </c>
      <c r="I1133" s="11" t="n">
        <v>3786.21</v>
      </c>
      <c r="J1133" s="10" t="n">
        <v>10</v>
      </c>
      <c r="K1133" s="10" t="n">
        <v>16300</v>
      </c>
      <c r="L1133" s="23">
        <f>IF(E1133="多",1,-1)*(I1133-H1133)*G1133*J1133</f>
        <v/>
      </c>
      <c r="M1133" s="24">
        <f>L1133/K1133</f>
        <v/>
      </c>
      <c r="N1133" s="2" t="inlineStr">
        <is>
          <t>止损</t>
        </is>
      </c>
      <c r="O1133" s="2" t="inlineStr">
        <is>
          <t>否</t>
        </is>
      </c>
    </row>
    <row r="1134">
      <c r="A1134" s="2" t="inlineStr">
        <is>
          <t>2024-03-07</t>
        </is>
      </c>
      <c r="B1134" s="2" t="inlineStr">
        <is>
          <t>2024-03-18</t>
        </is>
      </c>
      <c r="C1134" s="2" t="inlineStr">
        <is>
          <t>棕榈油</t>
        </is>
      </c>
      <c r="D1134" s="2" t="inlineStr">
        <is>
          <t>P</t>
        </is>
      </c>
      <c r="E1134" s="19" t="inlineStr">
        <is>
          <t>多</t>
        </is>
      </c>
      <c r="F1134" s="2" t="inlineStr">
        <is>
          <t>★★★</t>
        </is>
      </c>
      <c r="G1134" s="10" t="n">
        <v>5</v>
      </c>
      <c r="H1134" s="11" t="n">
        <v>7706</v>
      </c>
      <c r="I1134" s="11" t="n">
        <v>8132</v>
      </c>
      <c r="J1134" s="10" t="n">
        <v>10</v>
      </c>
      <c r="K1134" s="10" t="n">
        <v>16300</v>
      </c>
      <c r="L1134" s="23">
        <f>IF(E1134="多",1,-1)*(I1134-H1134)*G1134*J1134</f>
        <v/>
      </c>
      <c r="M1134" s="24">
        <f>L1134/K1134</f>
        <v/>
      </c>
      <c r="N1134" s="2" t="inlineStr">
        <is>
          <t>将军撤退+大将军转向</t>
        </is>
      </c>
      <c r="O1134" s="2" t="inlineStr">
        <is>
          <t>否</t>
        </is>
      </c>
    </row>
    <row r="1135">
      <c r="A1135" s="2" t="inlineStr">
        <is>
          <t>2024-03-11</t>
        </is>
      </c>
      <c r="B1135" s="2" t="inlineStr">
        <is>
          <t>2024-03-13</t>
        </is>
      </c>
      <c r="C1135" s="2" t="inlineStr">
        <is>
          <t>玻璃</t>
        </is>
      </c>
      <c r="D1135" s="2" t="inlineStr">
        <is>
          <t>FG</t>
        </is>
      </c>
      <c r="E1135" s="9" t="inlineStr">
        <is>
          <t>空</t>
        </is>
      </c>
      <c r="F1135" s="2" t="inlineStr">
        <is>
          <t>★★★</t>
        </is>
      </c>
      <c r="G1135" s="10" t="n">
        <v>6</v>
      </c>
      <c r="H1135" s="11" t="n">
        <v>1575</v>
      </c>
      <c r="I1135" s="11" t="n">
        <v>1575</v>
      </c>
      <c r="J1135" s="10" t="n">
        <v>20</v>
      </c>
      <c r="K1135" s="10" t="n">
        <v>17100</v>
      </c>
      <c r="L1135" s="23">
        <f>IF(E1135="多",1,-1)*(I1135-H1135)*G1135*J1135</f>
        <v/>
      </c>
      <c r="M1135" s="24">
        <f>L1135/K1135</f>
        <v/>
      </c>
      <c r="N1135" s="2" t="inlineStr">
        <is>
          <t>将军撤退</t>
        </is>
      </c>
      <c r="O1135" s="2" t="inlineStr">
        <is>
          <t>否</t>
        </is>
      </c>
    </row>
    <row r="1136">
      <c r="A1136" s="2" t="inlineStr">
        <is>
          <t>2024-03-08</t>
        </is>
      </c>
      <c r="B1136" s="2" t="inlineStr">
        <is>
          <t>2024-03-13</t>
        </is>
      </c>
      <c r="C1136" s="2" t="inlineStr">
        <is>
          <t>螺纹钢</t>
        </is>
      </c>
      <c r="D1136" s="2" t="inlineStr">
        <is>
          <t>RB</t>
        </is>
      </c>
      <c r="E1136" s="9" t="inlineStr">
        <is>
          <t>空</t>
        </is>
      </c>
      <c r="F1136" s="2" t="inlineStr">
        <is>
          <t>★★★</t>
        </is>
      </c>
      <c r="G1136" s="10" t="n">
        <v>8</v>
      </c>
      <c r="H1136" s="11" t="n">
        <v>3687</v>
      </c>
      <c r="I1136" s="11" t="n">
        <v>3583</v>
      </c>
      <c r="J1136" s="10" t="n">
        <v>10</v>
      </c>
      <c r="K1136" s="10" t="n">
        <v>13700</v>
      </c>
      <c r="L1136" s="23">
        <f>IF(E1136="多",1,-1)*(I1136-H1136)*G1136*J1136</f>
        <v/>
      </c>
      <c r="M1136" s="24">
        <f>L1136/K1136</f>
        <v/>
      </c>
      <c r="N1136" s="2" t="inlineStr">
        <is>
          <t>大将军转向</t>
        </is>
      </c>
      <c r="O1136" s="2" t="inlineStr">
        <is>
          <t>否</t>
        </is>
      </c>
    </row>
    <row r="1137">
      <c r="A1137" s="2" t="inlineStr">
        <is>
          <t>2024-03-08</t>
        </is>
      </c>
      <c r="B1137" s="2" t="inlineStr">
        <is>
          <t>2024-03-13</t>
        </is>
      </c>
      <c r="C1137" s="2" t="inlineStr">
        <is>
          <t>沪铝</t>
        </is>
      </c>
      <c r="D1137" s="2" t="inlineStr">
        <is>
          <t>AL</t>
        </is>
      </c>
      <c r="E1137" s="19" t="inlineStr">
        <is>
          <t>多</t>
        </is>
      </c>
      <c r="F1137" s="2" t="inlineStr">
        <is>
          <t>★★★</t>
        </is>
      </c>
      <c r="G1137" s="10" t="n">
        <v>6</v>
      </c>
      <c r="H1137" s="11" t="n">
        <v>19230</v>
      </c>
      <c r="I1137" s="11" t="n">
        <v>19235</v>
      </c>
      <c r="J1137" s="10" t="n">
        <v>5</v>
      </c>
      <c r="K1137" s="10" t="n">
        <v>16300</v>
      </c>
      <c r="L1137" s="23">
        <f>IF(E1137="多",1,-1)*(I1137-H1137)*G1137*J1137</f>
        <v/>
      </c>
      <c r="M1137" s="24">
        <f>L1137/K1137</f>
        <v/>
      </c>
      <c r="N1137" s="2" t="inlineStr">
        <is>
          <t>将军撤退</t>
        </is>
      </c>
      <c r="O1137" s="2" t="inlineStr">
        <is>
          <t>否</t>
        </is>
      </c>
    </row>
    <row r="1138">
      <c r="A1138" s="2" t="inlineStr">
        <is>
          <t>2024-03-11</t>
        </is>
      </c>
      <c r="B1138" s="2" t="inlineStr">
        <is>
          <t>2024-03-12</t>
        </is>
      </c>
      <c r="C1138" s="2" t="inlineStr">
        <is>
          <t>菜粕</t>
        </is>
      </c>
      <c r="D1138" s="2" t="inlineStr">
        <is>
          <t>RM</t>
        </is>
      </c>
      <c r="E1138" s="19" t="inlineStr">
        <is>
          <t>多</t>
        </is>
      </c>
      <c r="F1138" s="2" t="inlineStr">
        <is>
          <t>★★★</t>
        </is>
      </c>
      <c r="G1138" s="10" t="n">
        <v>3</v>
      </c>
      <c r="H1138" s="11" t="n">
        <v>2602</v>
      </c>
      <c r="I1138" s="11" t="n">
        <v>2654</v>
      </c>
      <c r="J1138" s="10" t="n">
        <v>10</v>
      </c>
      <c r="K1138" s="10" t="n">
        <v>3800</v>
      </c>
      <c r="L1138" s="23">
        <f>IF(E1138="多",1,-1)*(I1138-H1138)*G1138*J1138</f>
        <v/>
      </c>
      <c r="M1138" s="24">
        <f>L1138/K1138</f>
        <v/>
      </c>
      <c r="N1138" s="2" t="inlineStr">
        <is>
          <t>大将军转向</t>
        </is>
      </c>
      <c r="O1138" s="2" t="inlineStr">
        <is>
          <t>否</t>
        </is>
      </c>
    </row>
    <row r="1139">
      <c r="A1139" s="2" t="inlineStr">
        <is>
          <t>2024-03-05</t>
        </is>
      </c>
      <c r="B1139" s="2" t="inlineStr">
        <is>
          <t>2024-03-11</t>
        </is>
      </c>
      <c r="C1139" s="2" t="inlineStr">
        <is>
          <t>沪金</t>
        </is>
      </c>
      <c r="D1139" s="2" t="inlineStr">
        <is>
          <t>AU</t>
        </is>
      </c>
      <c r="E1139" s="19" t="inlineStr">
        <is>
          <t>多</t>
        </is>
      </c>
      <c r="F1139" s="2" t="inlineStr">
        <is>
          <t>★★★</t>
        </is>
      </c>
      <c r="G1139" s="10" t="n">
        <v>1</v>
      </c>
      <c r="H1139" s="11" t="n">
        <v>498.64</v>
      </c>
      <c r="I1139" s="11" t="n">
        <v>508.3</v>
      </c>
      <c r="J1139" s="10" t="n">
        <v>1000</v>
      </c>
      <c r="K1139" s="10" t="n">
        <v>15800</v>
      </c>
      <c r="L1139" s="23">
        <f>IF(E1139="多",1,-1)*(I1139-H1139)*G1139*J1139</f>
        <v/>
      </c>
      <c r="M1139" s="24">
        <f>L1139/K1139</f>
        <v/>
      </c>
      <c r="N1139" s="2" t="inlineStr">
        <is>
          <t>将军撤退</t>
        </is>
      </c>
      <c r="O1139" s="2" t="inlineStr">
        <is>
          <t>否</t>
        </is>
      </c>
    </row>
    <row r="1140">
      <c r="A1140" s="14" t="inlineStr">
        <is>
          <t>2024-03-07</t>
        </is>
      </c>
      <c r="B1140" s="14" t="inlineStr">
        <is>
          <t>2024-03-08</t>
        </is>
      </c>
      <c r="C1140" s="14" t="inlineStr">
        <is>
          <t>豆油</t>
        </is>
      </c>
      <c r="D1140" s="14" t="inlineStr">
        <is>
          <t>Y</t>
        </is>
      </c>
      <c r="E1140" s="14" t="inlineStr">
        <is>
          <t>多</t>
        </is>
      </c>
      <c r="F1140" s="14" t="inlineStr">
        <is>
          <t>★★</t>
        </is>
      </c>
      <c r="G1140" s="14" t="n">
        <v>3</v>
      </c>
      <c r="H1140" s="15" t="n">
        <v>7548</v>
      </c>
      <c r="I1140" s="15" t="n">
        <v>7646</v>
      </c>
      <c r="J1140" s="14" t="n">
        <v>10</v>
      </c>
      <c r="K1140" s="14" t="n">
        <v>10000</v>
      </c>
      <c r="L1140" s="25">
        <f>IF(E1140="多",1,-1)*(I1140-H1140)*G1140*J1140</f>
        <v/>
      </c>
      <c r="M1140" s="26">
        <f>L1140/K1140</f>
        <v/>
      </c>
      <c r="N1140" s="14" t="inlineStr">
        <is>
          <t>将军撤退</t>
        </is>
      </c>
      <c r="O1140" s="14" t="inlineStr">
        <is>
          <t>是</t>
        </is>
      </c>
    </row>
    <row r="1141">
      <c r="A1141" s="14" t="inlineStr">
        <is>
          <t>2024-03-07</t>
        </is>
      </c>
      <c r="B1141" s="14" t="inlineStr">
        <is>
          <t>2024-03-08</t>
        </is>
      </c>
      <c r="C1141" s="14" t="inlineStr">
        <is>
          <t>菜粕</t>
        </is>
      </c>
      <c r="D1141" s="14" t="inlineStr">
        <is>
          <t>RM</t>
        </is>
      </c>
      <c r="E1141" s="14" t="inlineStr">
        <is>
          <t>多</t>
        </is>
      </c>
      <c r="F1141" s="14" t="inlineStr">
        <is>
          <t>★★</t>
        </is>
      </c>
      <c r="G1141" s="14" t="n">
        <v>8</v>
      </c>
      <c r="H1141" s="15" t="n">
        <v>2541</v>
      </c>
      <c r="I1141" s="15" t="n">
        <v>2591</v>
      </c>
      <c r="J1141" s="14" t="n">
        <v>10</v>
      </c>
      <c r="K1141" s="14" t="n">
        <v>10000</v>
      </c>
      <c r="L1141" s="25">
        <f>IF(E1141="多",1,-1)*(I1141-H1141)*G1141*J1141</f>
        <v/>
      </c>
      <c r="M1141" s="26">
        <f>L1141/K1141</f>
        <v/>
      </c>
      <c r="N1141" s="14" t="inlineStr">
        <is>
          <t>将军撤退+大将军转向</t>
        </is>
      </c>
      <c r="O1141" s="14" t="inlineStr">
        <is>
          <t>是</t>
        </is>
      </c>
    </row>
    <row r="1142">
      <c r="A1142" s="14" t="inlineStr">
        <is>
          <t>2024-02-28</t>
        </is>
      </c>
      <c r="B1142" s="14" t="inlineStr">
        <is>
          <t>2024-03-08</t>
        </is>
      </c>
      <c r="C1142" s="14" t="inlineStr">
        <is>
          <t>沪铜</t>
        </is>
      </c>
      <c r="D1142" s="14" t="inlineStr">
        <is>
          <t>CU</t>
        </is>
      </c>
      <c r="E1142" s="14" t="inlineStr">
        <is>
          <t>空</t>
        </is>
      </c>
      <c r="F1142" s="14" t="inlineStr">
        <is>
          <t>★★</t>
        </is>
      </c>
      <c r="G1142" s="14" t="n">
        <v>1</v>
      </c>
      <c r="H1142" s="15" t="n">
        <v>68630</v>
      </c>
      <c r="I1142" s="15" t="n">
        <v>69980</v>
      </c>
      <c r="J1142" s="14" t="n">
        <v>5</v>
      </c>
      <c r="K1142" s="14" t="n">
        <v>10000</v>
      </c>
      <c r="L1142" s="25">
        <f>IF(E1142="多",1,-1)*(I1142-H1142)*G1142*J1142</f>
        <v/>
      </c>
      <c r="M1142" s="26">
        <f>L1142/K1142</f>
        <v/>
      </c>
      <c r="N1142" s="14" t="inlineStr">
        <is>
          <t>跳空止损</t>
        </is>
      </c>
      <c r="O1142" s="14" t="inlineStr">
        <is>
          <t>是</t>
        </is>
      </c>
    </row>
    <row r="1143">
      <c r="A1143" s="14" t="inlineStr">
        <is>
          <t>2024-02-28</t>
        </is>
      </c>
      <c r="B1143" s="14" t="inlineStr">
        <is>
          <t>2024-03-08</t>
        </is>
      </c>
      <c r="C1143" s="14" t="inlineStr">
        <is>
          <t>沪铝</t>
        </is>
      </c>
      <c r="D1143" s="14" t="inlineStr">
        <is>
          <t>AL</t>
        </is>
      </c>
      <c r="E1143" s="14" t="inlineStr">
        <is>
          <t>空</t>
        </is>
      </c>
      <c r="F1143" s="14" t="inlineStr">
        <is>
          <t>★★</t>
        </is>
      </c>
      <c r="G1143" s="14" t="n">
        <v>3</v>
      </c>
      <c r="H1143" s="15" t="n">
        <v>18765</v>
      </c>
      <c r="I1143" s="15" t="n">
        <v>19200</v>
      </c>
      <c r="J1143" s="14" t="n">
        <v>5</v>
      </c>
      <c r="K1143" s="14" t="n">
        <v>10000</v>
      </c>
      <c r="L1143" s="25">
        <f>IF(E1143="多",1,-1)*(I1143-H1143)*G1143*J1143</f>
        <v/>
      </c>
      <c r="M1143" s="26">
        <f>L1143/K1143</f>
        <v/>
      </c>
      <c r="N1143" s="14" t="inlineStr">
        <is>
          <t>反向信号</t>
        </is>
      </c>
      <c r="O1143" s="14" t="inlineStr">
        <is>
          <t>是</t>
        </is>
      </c>
    </row>
    <row r="1144">
      <c r="A1144" s="2" t="inlineStr">
        <is>
          <t>2024-03-06</t>
        </is>
      </c>
      <c r="B1144" s="2" t="inlineStr">
        <is>
          <t>2024-03-07</t>
        </is>
      </c>
      <c r="C1144" s="2" t="inlineStr">
        <is>
          <t>螺纹钢</t>
        </is>
      </c>
      <c r="D1144" s="2" t="inlineStr">
        <is>
          <t>RB</t>
        </is>
      </c>
      <c r="E1144" s="9" t="inlineStr">
        <is>
          <t>空</t>
        </is>
      </c>
      <c r="F1144" s="2" t="inlineStr">
        <is>
          <t>★★★</t>
        </is>
      </c>
      <c r="G1144" s="10" t="n">
        <v>8</v>
      </c>
      <c r="H1144" s="11" t="n">
        <v>3710</v>
      </c>
      <c r="I1144" s="11" t="n">
        <v>3708</v>
      </c>
      <c r="J1144" s="10" t="n">
        <v>10</v>
      </c>
      <c r="K1144" s="10" t="n">
        <v>13700</v>
      </c>
      <c r="L1144" s="23">
        <f>IF(E1144="多",1,-1)*(I1144-H1144)*G1144*J1144</f>
        <v/>
      </c>
      <c r="M1144" s="24">
        <f>L1144/K1144</f>
        <v/>
      </c>
      <c r="N1144" s="2" t="inlineStr">
        <is>
          <t>大将军转向</t>
        </is>
      </c>
      <c r="O1144" s="2" t="inlineStr">
        <is>
          <t>否</t>
        </is>
      </c>
    </row>
    <row r="1145">
      <c r="A1145" s="14" t="inlineStr">
        <is>
          <t>2024-03-06</t>
        </is>
      </c>
      <c r="B1145" s="14" t="inlineStr">
        <is>
          <t>2024-03-07</t>
        </is>
      </c>
      <c r="C1145" s="14" t="inlineStr">
        <is>
          <t>玻璃</t>
        </is>
      </c>
      <c r="D1145" s="14" t="inlineStr">
        <is>
          <t>FG</t>
        </is>
      </c>
      <c r="E1145" s="14" t="inlineStr">
        <is>
          <t>空</t>
        </is>
      </c>
      <c r="F1145" s="14" t="inlineStr">
        <is>
          <t>★★</t>
        </is>
      </c>
      <c r="G1145" s="14" t="n">
        <v>3</v>
      </c>
      <c r="H1145" s="15" t="n">
        <v>1650</v>
      </c>
      <c r="I1145" s="15" t="n">
        <v>1616</v>
      </c>
      <c r="J1145" s="14" t="n">
        <v>20</v>
      </c>
      <c r="K1145" s="14" t="n">
        <v>10000</v>
      </c>
      <c r="L1145" s="25">
        <f>IF(E1145="多",1,-1)*(I1145-H1145)*G1145*J1145</f>
        <v/>
      </c>
      <c r="M1145" s="26">
        <f>L1145/K1145</f>
        <v/>
      </c>
      <c r="N1145" s="14" t="inlineStr">
        <is>
          <t>大将军转向</t>
        </is>
      </c>
      <c r="O1145" s="14" t="inlineStr">
        <is>
          <t>是</t>
        </is>
      </c>
    </row>
    <row r="1146">
      <c r="A1146" s="2" t="inlineStr">
        <is>
          <t>2024-03-04</t>
        </is>
      </c>
      <c r="B1146" s="2" t="inlineStr">
        <is>
          <t>2024-03-06</t>
        </is>
      </c>
      <c r="C1146" s="2" t="inlineStr">
        <is>
          <t>豆油</t>
        </is>
      </c>
      <c r="D1146" s="2" t="inlineStr">
        <is>
          <t>Y</t>
        </is>
      </c>
      <c r="E1146" s="19" t="inlineStr">
        <is>
          <t>多</t>
        </is>
      </c>
      <c r="F1146" s="2" t="inlineStr">
        <is>
          <t>★★★</t>
        </is>
      </c>
      <c r="G1146" s="10" t="n">
        <v>5</v>
      </c>
      <c r="H1146" s="11" t="n">
        <v>7398</v>
      </c>
      <c r="I1146" s="11" t="n">
        <v>7508</v>
      </c>
      <c r="J1146" s="10" t="n">
        <v>10</v>
      </c>
      <c r="K1146" s="10" t="n">
        <v>15700</v>
      </c>
      <c r="L1146" s="23">
        <f>IF(E1146="多",1,-1)*(I1146-H1146)*G1146*J1146</f>
        <v/>
      </c>
      <c r="M1146" s="24">
        <f>L1146/K1146</f>
        <v/>
      </c>
      <c r="N1146" s="2" t="inlineStr">
        <is>
          <t>将军撤退</t>
        </is>
      </c>
      <c r="O1146" s="2" t="inlineStr">
        <is>
          <t>否</t>
        </is>
      </c>
    </row>
    <row r="1147">
      <c r="A1147" s="14" t="inlineStr">
        <is>
          <t>2024-02-26</t>
        </is>
      </c>
      <c r="B1147" s="14" t="inlineStr">
        <is>
          <t>2024-03-06</t>
        </is>
      </c>
      <c r="C1147" s="14" t="inlineStr">
        <is>
          <t>棕榈油</t>
        </is>
      </c>
      <c r="D1147" s="14" t="inlineStr">
        <is>
          <t>P</t>
        </is>
      </c>
      <c r="E1147" s="14" t="inlineStr">
        <is>
          <t>空</t>
        </is>
      </c>
      <c r="F1147" s="14" t="inlineStr">
        <is>
          <t>★★</t>
        </is>
      </c>
      <c r="G1147" s="14" t="n">
        <v>2</v>
      </c>
      <c r="H1147" s="15" t="n">
        <v>7284</v>
      </c>
      <c r="I1147" s="15" t="n">
        <v>7592</v>
      </c>
      <c r="J1147" s="14" t="n">
        <v>10</v>
      </c>
      <c r="K1147" s="14" t="n">
        <v>10000</v>
      </c>
      <c r="L1147" s="25">
        <f>IF(E1147="多",1,-1)*(I1147-H1147)*G1147*J1147</f>
        <v/>
      </c>
      <c r="M1147" s="26">
        <f>L1147/K1147</f>
        <v/>
      </c>
      <c r="N1147" s="14" t="inlineStr">
        <is>
          <t>止损</t>
        </is>
      </c>
      <c r="O1147" s="14" t="inlineStr">
        <is>
          <t>是</t>
        </is>
      </c>
    </row>
    <row r="1148">
      <c r="A1148" s="14" t="inlineStr">
        <is>
          <t>2024-02-26</t>
        </is>
      </c>
      <c r="B1148" s="14" t="inlineStr">
        <is>
          <t>2024-03-05</t>
        </is>
      </c>
      <c r="C1148" s="14" t="inlineStr">
        <is>
          <t>热卷</t>
        </is>
      </c>
      <c r="D1148" s="14" t="inlineStr">
        <is>
          <t>HC</t>
        </is>
      </c>
      <c r="E1148" s="14" t="inlineStr">
        <is>
          <t>空</t>
        </is>
      </c>
      <c r="F1148" s="14" t="inlineStr">
        <is>
          <t>★★★</t>
        </is>
      </c>
      <c r="G1148" s="14" t="n">
        <v>6</v>
      </c>
      <c r="H1148" s="15" t="n">
        <v>3866</v>
      </c>
      <c r="I1148" s="15" t="n">
        <v>3857</v>
      </c>
      <c r="J1148" s="14" t="n">
        <v>10</v>
      </c>
      <c r="K1148" s="14" t="n">
        <v>10000</v>
      </c>
      <c r="L1148" s="25">
        <f>IF(E1148="多",1,-1)*(I1148-H1148)*G1148*J1148</f>
        <v/>
      </c>
      <c r="M1148" s="26">
        <f>L1148/K1148</f>
        <v/>
      </c>
      <c r="N1148" s="14" t="inlineStr">
        <is>
          <t>将军撤退</t>
        </is>
      </c>
      <c r="O1148" s="14" t="inlineStr">
        <is>
          <t>是</t>
        </is>
      </c>
    </row>
    <row r="1149">
      <c r="A1149" s="2" t="inlineStr">
        <is>
          <t>2024-02-02</t>
        </is>
      </c>
      <c r="B1149" s="2" t="inlineStr">
        <is>
          <t>2024-03-04</t>
        </is>
      </c>
      <c r="C1149" s="2" t="inlineStr">
        <is>
          <t>沪金</t>
        </is>
      </c>
      <c r="D1149" s="2" t="inlineStr">
        <is>
          <t>AU</t>
        </is>
      </c>
      <c r="E1149" s="19" t="inlineStr">
        <is>
          <t>多</t>
        </is>
      </c>
      <c r="F1149" s="2" t="inlineStr">
        <is>
          <t>★★★</t>
        </is>
      </c>
      <c r="G1149" s="10" t="n">
        <v>2</v>
      </c>
      <c r="H1149" s="11" t="n">
        <v>485.32</v>
      </c>
      <c r="I1149" s="11" t="n">
        <v>490.8</v>
      </c>
      <c r="J1149" s="10" t="n">
        <v>1000</v>
      </c>
      <c r="K1149" s="10" t="n">
        <v>17400</v>
      </c>
      <c r="L1149" s="23">
        <f>IF(E1149="多",1,-1)*(I1149-H1149)*G1149*J1149</f>
        <v/>
      </c>
      <c r="M1149" s="24">
        <f>L1149/K1149</f>
        <v/>
      </c>
      <c r="N1149" s="2" t="inlineStr">
        <is>
          <t>大将军转向</t>
        </is>
      </c>
      <c r="O1149" s="2" t="inlineStr">
        <is>
          <t>否</t>
        </is>
      </c>
    </row>
    <row r="1150">
      <c r="A1150" s="2" t="inlineStr">
        <is>
          <t>2024-02-29</t>
        </is>
      </c>
      <c r="B1150" s="2" t="inlineStr">
        <is>
          <t>2024-03-01</t>
        </is>
      </c>
      <c r="C1150" s="2" t="inlineStr">
        <is>
          <t>豆油</t>
        </is>
      </c>
      <c r="D1150" s="2" t="inlineStr">
        <is>
          <t>Y</t>
        </is>
      </c>
      <c r="E1150" s="19" t="inlineStr">
        <is>
          <t>多</t>
        </is>
      </c>
      <c r="F1150" s="2" t="inlineStr">
        <is>
          <t>★★★</t>
        </is>
      </c>
      <c r="G1150" s="10" t="n">
        <v>4</v>
      </c>
      <c r="H1150" s="11" t="n">
        <v>7342</v>
      </c>
      <c r="I1150" s="11" t="n">
        <v>7438</v>
      </c>
      <c r="J1150" s="10" t="n">
        <v>10</v>
      </c>
      <c r="K1150" s="10" t="n">
        <v>14300</v>
      </c>
      <c r="L1150" s="23">
        <f>IF(E1150="多",1,-1)*(I1150-H1150)*G1150*J1150</f>
        <v/>
      </c>
      <c r="M1150" s="24">
        <f>L1150/K1150</f>
        <v/>
      </c>
      <c r="N1150" s="2" t="inlineStr">
        <is>
          <t>大将军转向</t>
        </is>
      </c>
      <c r="O1150" s="2" t="inlineStr">
        <is>
          <t>否</t>
        </is>
      </c>
    </row>
    <row r="1151">
      <c r="A1151" s="2" t="inlineStr">
        <is>
          <t>2024-02-29</t>
        </is>
      </c>
      <c r="B1151" s="2" t="inlineStr">
        <is>
          <t>2024-03-01</t>
        </is>
      </c>
      <c r="C1151" s="2" t="inlineStr">
        <is>
          <t>螺纹钢</t>
        </is>
      </c>
      <c r="D1151" s="2" t="inlineStr">
        <is>
          <t>RB</t>
        </is>
      </c>
      <c r="E1151" s="9" t="inlineStr">
        <is>
          <t>空</t>
        </is>
      </c>
      <c r="F1151" s="2" t="inlineStr">
        <is>
          <t>★★★</t>
        </is>
      </c>
      <c r="G1151" s="10" t="n">
        <v>8</v>
      </c>
      <c r="H1151" s="11" t="n">
        <v>3788</v>
      </c>
      <c r="I1151" s="11" t="n">
        <v>3763</v>
      </c>
      <c r="J1151" s="10" t="n">
        <v>10</v>
      </c>
      <c r="K1151" s="10" t="n">
        <v>14300</v>
      </c>
      <c r="L1151" s="23">
        <f>IF(E1151="多",1,-1)*(I1151-H1151)*G1151*J1151</f>
        <v/>
      </c>
      <c r="M1151" s="24">
        <f>L1151/K1151</f>
        <v/>
      </c>
      <c r="N1151" s="2" t="inlineStr">
        <is>
          <t>大将军转向</t>
        </is>
      </c>
      <c r="O1151" s="2" t="inlineStr">
        <is>
          <t>否</t>
        </is>
      </c>
    </row>
    <row r="1152">
      <c r="A1152" s="14" t="inlineStr">
        <is>
          <t>2024-02-07</t>
        </is>
      </c>
      <c r="B1152" s="14" t="inlineStr">
        <is>
          <t>2024-03-01</t>
        </is>
      </c>
      <c r="C1152" s="14" t="inlineStr">
        <is>
          <t>豆粕</t>
        </is>
      </c>
      <c r="D1152" s="14" t="inlineStr">
        <is>
          <t>M</t>
        </is>
      </c>
      <c r="E1152" s="14" t="inlineStr">
        <is>
          <t>空</t>
        </is>
      </c>
      <c r="F1152" s="14" t="inlineStr">
        <is>
          <t>★★</t>
        </is>
      </c>
      <c r="G1152" s="14" t="n">
        <v>6</v>
      </c>
      <c r="H1152" s="15" t="n">
        <v>2970</v>
      </c>
      <c r="I1152" s="15" t="n">
        <v>3088.29</v>
      </c>
      <c r="J1152" s="14" t="n">
        <v>10</v>
      </c>
      <c r="K1152" s="14" t="n">
        <v>10000</v>
      </c>
      <c r="L1152" s="25">
        <f>IF(E1152="多",1,-1)*(I1152-H1152)*G1152*J1152</f>
        <v/>
      </c>
      <c r="M1152" s="26">
        <f>L1152/K1152</f>
        <v/>
      </c>
      <c r="N1152" s="14" t="inlineStr">
        <is>
          <t>止损</t>
        </is>
      </c>
      <c r="O1152" s="14" t="inlineStr">
        <is>
          <t>是</t>
        </is>
      </c>
    </row>
    <row r="1153">
      <c r="A1153" s="2" t="inlineStr">
        <is>
          <t>2024-02-27</t>
        </is>
      </c>
      <c r="B1153" s="2" t="inlineStr">
        <is>
          <t>2024-02-28</t>
        </is>
      </c>
      <c r="C1153" s="2" t="inlineStr">
        <is>
          <t>甲醇</t>
        </is>
      </c>
      <c r="D1153" s="2" t="inlineStr">
        <is>
          <t>MA</t>
        </is>
      </c>
      <c r="E1153" s="19" t="inlineStr">
        <is>
          <t>多</t>
        </is>
      </c>
      <c r="F1153" s="2" t="inlineStr">
        <is>
          <t>★★★</t>
        </is>
      </c>
      <c r="G1153" s="10" t="n">
        <v>10</v>
      </c>
      <c r="H1153" s="11" t="n">
        <v>2538</v>
      </c>
      <c r="I1153" s="11" t="n">
        <v>2526</v>
      </c>
      <c r="J1153" s="10" t="n">
        <v>10</v>
      </c>
      <c r="K1153" s="10" t="n">
        <v>14400</v>
      </c>
      <c r="L1153" s="23">
        <f>IF(E1153="多",1,-1)*(I1153-H1153)*G1153*J1153</f>
        <v/>
      </c>
      <c r="M1153" s="24">
        <f>L1153/K1153</f>
        <v/>
      </c>
      <c r="N1153" s="2" t="inlineStr">
        <is>
          <t>大将军转向</t>
        </is>
      </c>
      <c r="O1153" s="2" t="inlineStr">
        <is>
          <t>否</t>
        </is>
      </c>
    </row>
    <row r="1154">
      <c r="A1154" s="2" t="inlineStr">
        <is>
          <t>2024-02-26</t>
        </is>
      </c>
      <c r="B1154" s="2" t="inlineStr">
        <is>
          <t>2024-02-27</t>
        </is>
      </c>
      <c r="C1154" s="2" t="inlineStr">
        <is>
          <t>沪锌</t>
        </is>
      </c>
      <c r="D1154" s="2" t="inlineStr">
        <is>
          <t>ZN</t>
        </is>
      </c>
      <c r="E1154" s="19" t="inlineStr">
        <is>
          <t>多</t>
        </is>
      </c>
      <c r="F1154" s="2" t="inlineStr">
        <is>
          <t>★★★</t>
        </is>
      </c>
      <c r="G1154" s="10" t="n">
        <v>4</v>
      </c>
      <c r="H1154" s="11" t="n">
        <v>20545</v>
      </c>
      <c r="I1154" s="11" t="n">
        <v>20670</v>
      </c>
      <c r="J1154" s="10" t="n">
        <v>5</v>
      </c>
      <c r="K1154" s="10" t="n">
        <v>14400</v>
      </c>
      <c r="L1154" s="23">
        <f>IF(E1154="多",1,-1)*(I1154-H1154)*G1154*J1154</f>
        <v/>
      </c>
      <c r="M1154" s="24">
        <f>L1154/K1154</f>
        <v/>
      </c>
      <c r="N1154" s="2" t="inlineStr">
        <is>
          <t>将军撤退</t>
        </is>
      </c>
      <c r="O1154" s="2" t="inlineStr">
        <is>
          <t>否</t>
        </is>
      </c>
    </row>
    <row r="1155">
      <c r="A1155" s="2" t="inlineStr">
        <is>
          <t>2024-02-26</t>
        </is>
      </c>
      <c r="B1155" s="2" t="inlineStr">
        <is>
          <t>2024-02-27</t>
        </is>
      </c>
      <c r="C1155" s="2" t="inlineStr">
        <is>
          <t>纯碱</t>
        </is>
      </c>
      <c r="D1155" s="2" t="inlineStr">
        <is>
          <t>SA</t>
        </is>
      </c>
      <c r="E1155" s="9" t="inlineStr">
        <is>
          <t>空</t>
        </is>
      </c>
      <c r="F1155" s="2" t="inlineStr">
        <is>
          <t>★★★</t>
        </is>
      </c>
      <c r="G1155" s="10" t="n">
        <v>3</v>
      </c>
      <c r="H1155" s="11" t="n">
        <v>1766</v>
      </c>
      <c r="I1155" s="11" t="n">
        <v>1789</v>
      </c>
      <c r="J1155" s="10" t="n">
        <v>20</v>
      </c>
      <c r="K1155" s="10" t="n">
        <v>14400</v>
      </c>
      <c r="L1155" s="23">
        <f>IF(E1155="多",1,-1)*(I1155-H1155)*G1155*J1155</f>
        <v/>
      </c>
      <c r="M1155" s="24">
        <f>L1155/K1155</f>
        <v/>
      </c>
      <c r="N1155" s="2" t="inlineStr">
        <is>
          <t>大将军转向</t>
        </is>
      </c>
      <c r="O1155" s="2" t="inlineStr">
        <is>
          <t>否</t>
        </is>
      </c>
    </row>
    <row r="1156">
      <c r="A1156" s="2" t="inlineStr">
        <is>
          <t>2024-02-23</t>
        </is>
      </c>
      <c r="B1156" s="2" t="inlineStr">
        <is>
          <t>2024-02-26</t>
        </is>
      </c>
      <c r="C1156" s="2" t="inlineStr">
        <is>
          <t>甲醇</t>
        </is>
      </c>
      <c r="D1156" s="2" t="inlineStr">
        <is>
          <t>MA</t>
        </is>
      </c>
      <c r="E1156" s="19" t="inlineStr">
        <is>
          <t>多</t>
        </is>
      </c>
      <c r="F1156" s="2" t="inlineStr">
        <is>
          <t>★★★</t>
        </is>
      </c>
      <c r="G1156" s="10" t="n">
        <v>11</v>
      </c>
      <c r="H1156" s="11" t="n">
        <v>2504</v>
      </c>
      <c r="I1156" s="11" t="n">
        <v>2502</v>
      </c>
      <c r="J1156" s="10" t="n">
        <v>10</v>
      </c>
      <c r="K1156" s="10" t="n">
        <v>14400</v>
      </c>
      <c r="L1156" s="23">
        <f>IF(E1156="多",1,-1)*(I1156-H1156)*G1156*J1156</f>
        <v/>
      </c>
      <c r="M1156" s="24">
        <f>L1156/K1156</f>
        <v/>
      </c>
      <c r="N1156" s="2" t="inlineStr">
        <is>
          <t>大将军转向</t>
        </is>
      </c>
      <c r="O1156" s="2" t="inlineStr">
        <is>
          <t>否</t>
        </is>
      </c>
    </row>
    <row r="1157">
      <c r="A1157" s="14" t="inlineStr">
        <is>
          <t>2024-02-23</t>
        </is>
      </c>
      <c r="B1157" s="14" t="inlineStr">
        <is>
          <t>2024-02-26</t>
        </is>
      </c>
      <c r="C1157" s="14" t="inlineStr">
        <is>
          <t>玉米</t>
        </is>
      </c>
      <c r="D1157" s="14" t="inlineStr">
        <is>
          <t>C</t>
        </is>
      </c>
      <c r="E1157" s="14" t="inlineStr">
        <is>
          <t>多</t>
        </is>
      </c>
      <c r="F1157" s="14" t="inlineStr">
        <is>
          <t>★★</t>
        </is>
      </c>
      <c r="G1157" s="14" t="n">
        <v>12</v>
      </c>
      <c r="H1157" s="15" t="n">
        <v>2459</v>
      </c>
      <c r="I1157" s="15" t="n">
        <v>2460</v>
      </c>
      <c r="J1157" s="14" t="n">
        <v>10</v>
      </c>
      <c r="K1157" s="14" t="n">
        <v>10000</v>
      </c>
      <c r="L1157" s="25">
        <f>IF(E1157="多",1,-1)*(I1157-H1157)*G1157*J1157</f>
        <v/>
      </c>
      <c r="M1157" s="26">
        <f>L1157/K1157</f>
        <v/>
      </c>
      <c r="N1157" s="14" t="inlineStr">
        <is>
          <t>将军撤退</t>
        </is>
      </c>
      <c r="O1157" s="14" t="inlineStr">
        <is>
          <t>是</t>
        </is>
      </c>
    </row>
    <row r="1158">
      <c r="A1158" s="14" t="inlineStr">
        <is>
          <t>2024-02-22</t>
        </is>
      </c>
      <c r="B1158" s="14" t="inlineStr">
        <is>
          <t>2024-02-23</t>
        </is>
      </c>
      <c r="C1158" s="14" t="inlineStr">
        <is>
          <t>沪锌</t>
        </is>
      </c>
      <c r="D1158" s="14" t="inlineStr">
        <is>
          <t>ZN</t>
        </is>
      </c>
      <c r="E1158" s="14" t="inlineStr">
        <is>
          <t>多</t>
        </is>
      </c>
      <c r="F1158" s="14" t="inlineStr">
        <is>
          <t>★★</t>
        </is>
      </c>
      <c r="G1158" s="14" t="n">
        <v>2</v>
      </c>
      <c r="H1158" s="15" t="n">
        <v>20385</v>
      </c>
      <c r="I1158" s="15" t="n">
        <v>20395</v>
      </c>
      <c r="J1158" s="14" t="n">
        <v>5</v>
      </c>
      <c r="K1158" s="14" t="n">
        <v>10000</v>
      </c>
      <c r="L1158" s="25">
        <f>IF(E1158="多",1,-1)*(I1158-H1158)*G1158*J1158</f>
        <v/>
      </c>
      <c r="M1158" s="26">
        <f>L1158/K1158</f>
        <v/>
      </c>
      <c r="N1158" s="14" t="inlineStr">
        <is>
          <t>将军撤退</t>
        </is>
      </c>
      <c r="O1158" s="14" t="inlineStr">
        <is>
          <t>是</t>
        </is>
      </c>
    </row>
    <row r="1159">
      <c r="A1159" s="14" t="inlineStr">
        <is>
          <t>2024-02-22</t>
        </is>
      </c>
      <c r="B1159" s="14" t="inlineStr">
        <is>
          <t>2024-02-23</t>
        </is>
      </c>
      <c r="C1159" s="14" t="inlineStr">
        <is>
          <t>沪镍</t>
        </is>
      </c>
      <c r="D1159" s="14" t="inlineStr">
        <is>
          <t>NI</t>
        </is>
      </c>
      <c r="E1159" s="14" t="inlineStr">
        <is>
          <t>多</t>
        </is>
      </c>
      <c r="F1159" s="14" t="inlineStr">
        <is>
          <t>★★</t>
        </is>
      </c>
      <c r="G1159" s="14" t="n">
        <v>1</v>
      </c>
      <c r="H1159" s="15" t="n">
        <v>132800</v>
      </c>
      <c r="I1159" s="15" t="n">
        <v>136030</v>
      </c>
      <c r="J1159" s="14" t="n">
        <v>1</v>
      </c>
      <c r="K1159" s="14" t="n">
        <v>10000</v>
      </c>
      <c r="L1159" s="25">
        <f>IF(E1159="多",1,-1)*(I1159-H1159)*G1159*J1159</f>
        <v/>
      </c>
      <c r="M1159" s="26">
        <f>L1159/K1159</f>
        <v/>
      </c>
      <c r="N1159" s="14" t="inlineStr">
        <is>
          <t>将军撤退</t>
        </is>
      </c>
      <c r="O1159" s="14" t="inlineStr">
        <is>
          <t>是</t>
        </is>
      </c>
    </row>
    <row r="1160">
      <c r="A1160" s="2" t="inlineStr">
        <is>
          <t>2024-02-20</t>
        </is>
      </c>
      <c r="B1160" s="2" t="inlineStr">
        <is>
          <t>2024-02-22</t>
        </is>
      </c>
      <c r="C1160" s="2" t="inlineStr">
        <is>
          <t>沪铝</t>
        </is>
      </c>
      <c r="D1160" s="2" t="inlineStr">
        <is>
          <t>AL</t>
        </is>
      </c>
      <c r="E1160" s="9" t="inlineStr">
        <is>
          <t>空</t>
        </is>
      </c>
      <c r="F1160" s="2" t="inlineStr">
        <is>
          <t>★★★</t>
        </is>
      </c>
      <c r="G1160" s="10" t="n">
        <v>5</v>
      </c>
      <c r="H1160" s="11" t="n">
        <v>18675</v>
      </c>
      <c r="I1160" s="11" t="n">
        <v>18800</v>
      </c>
      <c r="J1160" s="10" t="n">
        <v>5</v>
      </c>
      <c r="K1160" s="10" t="n">
        <v>16500</v>
      </c>
      <c r="L1160" s="23">
        <f>IF(E1160="多",1,-1)*(I1160-H1160)*G1160*J1160</f>
        <v/>
      </c>
      <c r="M1160" s="24">
        <f>L1160/K1160</f>
        <v/>
      </c>
      <c r="N1160" s="2" t="inlineStr">
        <is>
          <t>将军撤退</t>
        </is>
      </c>
      <c r="O1160" s="2" t="inlineStr">
        <is>
          <t>否</t>
        </is>
      </c>
    </row>
    <row r="1161">
      <c r="A1161" s="2" t="inlineStr">
        <is>
          <t>2024-02-07</t>
        </is>
      </c>
      <c r="B1161" s="2" t="inlineStr">
        <is>
          <t>2024-02-22</t>
        </is>
      </c>
      <c r="C1161" s="2" t="inlineStr">
        <is>
          <t>沪镍</t>
        </is>
      </c>
      <c r="D1161" s="2" t="inlineStr">
        <is>
          <t>NI</t>
        </is>
      </c>
      <c r="E1161" s="9" t="inlineStr">
        <is>
          <t>空</t>
        </is>
      </c>
      <c r="F1161" s="2" t="inlineStr">
        <is>
          <t>★★★</t>
        </is>
      </c>
      <c r="G1161" s="10" t="n">
        <v>2</v>
      </c>
      <c r="H1161" s="11" t="n">
        <v>126070</v>
      </c>
      <c r="I1161" s="11" t="n">
        <v>131374.29</v>
      </c>
      <c r="J1161" s="10" t="n">
        <v>1</v>
      </c>
      <c r="K1161" s="10" t="n">
        <v>17100</v>
      </c>
      <c r="L1161" s="23">
        <f>IF(E1161="多",1,-1)*(I1161-H1161)*G1161*J1161</f>
        <v/>
      </c>
      <c r="M1161" s="24">
        <f>L1161/K1161</f>
        <v/>
      </c>
      <c r="N1161" s="2" t="inlineStr">
        <is>
          <t>止损</t>
        </is>
      </c>
      <c r="O1161" s="2" t="inlineStr">
        <is>
          <t>否</t>
        </is>
      </c>
    </row>
    <row r="1162">
      <c r="A1162" s="14" t="inlineStr">
        <is>
          <t>2024-02-06</t>
        </is>
      </c>
      <c r="B1162" s="14" t="inlineStr">
        <is>
          <t>2024-02-22</t>
        </is>
      </c>
      <c r="C1162" s="14" t="inlineStr">
        <is>
          <t>玉米</t>
        </is>
      </c>
      <c r="D1162" s="14" t="inlineStr">
        <is>
          <t>C</t>
        </is>
      </c>
      <c r="E1162" s="14" t="inlineStr">
        <is>
          <t>多</t>
        </is>
      </c>
      <c r="F1162" s="14" t="inlineStr">
        <is>
          <t>★★</t>
        </is>
      </c>
      <c r="G1162" s="14" t="n">
        <v>13</v>
      </c>
      <c r="H1162" s="15" t="n">
        <v>2414</v>
      </c>
      <c r="I1162" s="15" t="n">
        <v>2464</v>
      </c>
      <c r="J1162" s="14" t="n">
        <v>10</v>
      </c>
      <c r="K1162" s="14" t="n">
        <v>10000</v>
      </c>
      <c r="L1162" s="25">
        <f>IF(E1162="多",1,-1)*(I1162-H1162)*G1162*J1162</f>
        <v/>
      </c>
      <c r="M1162" s="26">
        <f>L1162/K1162</f>
        <v/>
      </c>
      <c r="N1162" s="14" t="inlineStr">
        <is>
          <t>将军撤退</t>
        </is>
      </c>
      <c r="O1162" s="14" t="inlineStr">
        <is>
          <t>是</t>
        </is>
      </c>
    </row>
    <row r="1163">
      <c r="A1163" s="14" t="inlineStr">
        <is>
          <t>2024-02-20</t>
        </is>
      </c>
      <c r="B1163" s="14" t="inlineStr">
        <is>
          <t>2024-02-21</t>
        </is>
      </c>
      <c r="C1163" s="14" t="inlineStr">
        <is>
          <t>棕榈油</t>
        </is>
      </c>
      <c r="D1163" s="14" t="inlineStr">
        <is>
          <t>P</t>
        </is>
      </c>
      <c r="E1163" s="14" t="inlineStr">
        <is>
          <t>多</t>
        </is>
      </c>
      <c r="F1163" s="14" t="inlineStr">
        <is>
          <t>★★</t>
        </is>
      </c>
      <c r="G1163" s="14" t="n">
        <v>2</v>
      </c>
      <c r="H1163" s="15" t="n">
        <v>7320</v>
      </c>
      <c r="I1163" s="15" t="n">
        <v>7382</v>
      </c>
      <c r="J1163" s="14" t="n">
        <v>10</v>
      </c>
      <c r="K1163" s="14" t="n">
        <v>10000</v>
      </c>
      <c r="L1163" s="25">
        <f>IF(E1163="多",1,-1)*(I1163-H1163)*G1163*J1163</f>
        <v/>
      </c>
      <c r="M1163" s="26">
        <f>L1163/K1163</f>
        <v/>
      </c>
      <c r="N1163" s="14" t="inlineStr">
        <is>
          <t>将军撤退</t>
        </is>
      </c>
      <c r="O1163" s="14" t="inlineStr">
        <is>
          <t>是</t>
        </is>
      </c>
    </row>
    <row r="1164">
      <c r="A1164" s="14" t="inlineStr">
        <is>
          <t>2024-02-20</t>
        </is>
      </c>
      <c r="B1164" s="14" t="inlineStr">
        <is>
          <t>2024-02-21</t>
        </is>
      </c>
      <c r="C1164" s="14" t="inlineStr">
        <is>
          <t>玻璃</t>
        </is>
      </c>
      <c r="D1164" s="14" t="inlineStr">
        <is>
          <t>FG</t>
        </is>
      </c>
      <c r="E1164" s="14" t="inlineStr">
        <is>
          <t>空</t>
        </is>
      </c>
      <c r="F1164" s="14" t="inlineStr">
        <is>
          <t>★★</t>
        </is>
      </c>
      <c r="G1164" s="14" t="n">
        <v>3</v>
      </c>
      <c r="H1164" s="15" t="n">
        <v>1686</v>
      </c>
      <c r="I1164" s="15" t="n">
        <v>1669</v>
      </c>
      <c r="J1164" s="14" t="n">
        <v>20</v>
      </c>
      <c r="K1164" s="14" t="n">
        <v>10000</v>
      </c>
      <c r="L1164" s="25">
        <f>IF(E1164="多",1,-1)*(I1164-H1164)*G1164*J1164</f>
        <v/>
      </c>
      <c r="M1164" s="26">
        <f>L1164/K1164</f>
        <v/>
      </c>
      <c r="N1164" s="14" t="inlineStr">
        <is>
          <t>将军撤退</t>
        </is>
      </c>
      <c r="O1164" s="14" t="inlineStr">
        <is>
          <t>是</t>
        </is>
      </c>
    </row>
    <row r="1165">
      <c r="A1165" s="2" t="inlineStr">
        <is>
          <t>2024-02-19</t>
        </is>
      </c>
      <c r="B1165" s="2" t="inlineStr">
        <is>
          <t>2024-02-20</t>
        </is>
      </c>
      <c r="C1165" s="2" t="inlineStr">
        <is>
          <t>PTA</t>
        </is>
      </c>
      <c r="D1165" s="2" t="inlineStr">
        <is>
          <t>TA</t>
        </is>
      </c>
      <c r="E1165" s="19" t="inlineStr">
        <is>
          <t>多</t>
        </is>
      </c>
      <c r="F1165" s="2" t="inlineStr">
        <is>
          <t>★★★</t>
        </is>
      </c>
      <c r="G1165" s="10" t="n">
        <v>15</v>
      </c>
      <c r="H1165" s="11" t="n">
        <v>5972</v>
      </c>
      <c r="I1165" s="11" t="n">
        <v>5914</v>
      </c>
      <c r="J1165" s="10" t="n">
        <v>5</v>
      </c>
      <c r="K1165" s="10" t="n">
        <v>16500</v>
      </c>
      <c r="L1165" s="23">
        <f>IF(E1165="多",1,-1)*(I1165-H1165)*G1165*J1165</f>
        <v/>
      </c>
      <c r="M1165" s="24">
        <f>L1165/K1165</f>
        <v/>
      </c>
      <c r="N1165" s="2" t="inlineStr">
        <is>
          <t>大将军转向</t>
        </is>
      </c>
      <c r="O1165" s="2" t="inlineStr">
        <is>
          <t>否</t>
        </is>
      </c>
    </row>
    <row r="1166">
      <c r="A1166" s="14" t="inlineStr">
        <is>
          <t>2024-02-08</t>
        </is>
      </c>
      <c r="B1166" s="14" t="inlineStr">
        <is>
          <t>2024-02-20</t>
        </is>
      </c>
      <c r="C1166" s="14" t="inlineStr">
        <is>
          <t>沪锌</t>
        </is>
      </c>
      <c r="D1166" s="14" t="inlineStr">
        <is>
          <t>ZN</t>
        </is>
      </c>
      <c r="E1166" s="14" t="inlineStr">
        <is>
          <t>空</t>
        </is>
      </c>
      <c r="F1166" s="14" t="inlineStr">
        <is>
          <t>★★★</t>
        </is>
      </c>
      <c r="G1166" s="14" t="n">
        <v>3</v>
      </c>
      <c r="H1166" s="15" t="n">
        <v>20380</v>
      </c>
      <c r="I1166" s="15" t="n">
        <v>20200</v>
      </c>
      <c r="J1166" s="14" t="n">
        <v>5</v>
      </c>
      <c r="K1166" s="14" t="n">
        <v>10000</v>
      </c>
      <c r="L1166" s="25">
        <f>IF(E1166="多",1,-1)*(I1166-H1166)*G1166*J1166</f>
        <v/>
      </c>
      <c r="M1166" s="26">
        <f>L1166/K1166</f>
        <v/>
      </c>
      <c r="N1166" s="14" t="inlineStr">
        <is>
          <t>大将军转向</t>
        </is>
      </c>
      <c r="O1166" s="14" t="inlineStr">
        <is>
          <t>是</t>
        </is>
      </c>
    </row>
    <row r="1167">
      <c r="A1167" s="14" t="inlineStr">
        <is>
          <t>2024-02-02</t>
        </is>
      </c>
      <c r="B1167" s="14" t="inlineStr">
        <is>
          <t>2024-02-20</t>
        </is>
      </c>
      <c r="C1167" s="14" t="inlineStr">
        <is>
          <t>棕榈油</t>
        </is>
      </c>
      <c r="D1167" s="14" t="inlineStr">
        <is>
          <t>P</t>
        </is>
      </c>
      <c r="E1167" s="14" t="inlineStr">
        <is>
          <t>空</t>
        </is>
      </c>
      <c r="F1167" s="14" t="inlineStr">
        <is>
          <t>★★★</t>
        </is>
      </c>
      <c r="G1167" s="14" t="n">
        <v>2</v>
      </c>
      <c r="H1167" s="15" t="n">
        <v>7042</v>
      </c>
      <c r="I1167" s="15" t="n">
        <v>7320</v>
      </c>
      <c r="J1167" s="14" t="n">
        <v>10</v>
      </c>
      <c r="K1167" s="14" t="n">
        <v>10000</v>
      </c>
      <c r="L1167" s="25">
        <f>IF(E1167="多",1,-1)*(I1167-H1167)*G1167*J1167</f>
        <v/>
      </c>
      <c r="M1167" s="26">
        <f>L1167/K1167</f>
        <v/>
      </c>
      <c r="N1167" s="14" t="inlineStr">
        <is>
          <t>反向信号</t>
        </is>
      </c>
      <c r="O1167" s="14" t="inlineStr">
        <is>
          <t>是</t>
        </is>
      </c>
    </row>
    <row r="1168">
      <c r="A1168" s="14" t="inlineStr">
        <is>
          <t>2024-01-29</t>
        </is>
      </c>
      <c r="B1168" s="14" t="inlineStr">
        <is>
          <t>2024-02-20</t>
        </is>
      </c>
      <c r="C1168" s="14" t="inlineStr">
        <is>
          <t>玻璃</t>
        </is>
      </c>
      <c r="D1168" s="14" t="inlineStr">
        <is>
          <t>FG</t>
        </is>
      </c>
      <c r="E1168" s="14" t="inlineStr">
        <is>
          <t>多</t>
        </is>
      </c>
      <c r="F1168" s="14" t="inlineStr">
        <is>
          <t>★★</t>
        </is>
      </c>
      <c r="G1168" s="14" t="n">
        <v>2</v>
      </c>
      <c r="H1168" s="15" t="n">
        <v>1863</v>
      </c>
      <c r="I1168" s="15" t="n">
        <v>1729.43</v>
      </c>
      <c r="J1168" s="14" t="n">
        <v>20</v>
      </c>
      <c r="K1168" s="14" t="n">
        <v>10000</v>
      </c>
      <c r="L1168" s="25">
        <f>IF(E1168="多",1,-1)*(I1168-H1168)*G1168*J1168</f>
        <v/>
      </c>
      <c r="M1168" s="26">
        <f>L1168/K1168</f>
        <v/>
      </c>
      <c r="N1168" s="14" t="inlineStr">
        <is>
          <t>止损</t>
        </is>
      </c>
      <c r="O1168" s="14" t="inlineStr">
        <is>
          <t>是</t>
        </is>
      </c>
    </row>
    <row r="1169">
      <c r="A1169" s="2" t="inlineStr">
        <is>
          <t>2024-02-06</t>
        </is>
      </c>
      <c r="B1169" s="2" t="inlineStr">
        <is>
          <t>2024-02-19</t>
        </is>
      </c>
      <c r="C1169" s="2" t="inlineStr">
        <is>
          <t>白糖</t>
        </is>
      </c>
      <c r="D1169" s="2" t="inlineStr">
        <is>
          <t>SR</t>
        </is>
      </c>
      <c r="E1169" s="19" t="inlineStr">
        <is>
          <t>多</t>
        </is>
      </c>
      <c r="F1169" s="2" t="inlineStr">
        <is>
          <t>★★★</t>
        </is>
      </c>
      <c r="G1169" s="10" t="n">
        <v>8</v>
      </c>
      <c r="H1169" s="11" t="n">
        <v>6512</v>
      </c>
      <c r="I1169" s="11" t="n">
        <v>6497</v>
      </c>
      <c r="J1169" s="10" t="n">
        <v>10</v>
      </c>
      <c r="K1169" s="10" t="n">
        <v>16700</v>
      </c>
      <c r="L1169" s="23">
        <f>IF(E1169="多",1,-1)*(I1169-H1169)*G1169*J1169</f>
        <v/>
      </c>
      <c r="M1169" s="24">
        <f>L1169/K1169</f>
        <v/>
      </c>
      <c r="N1169" s="2" t="inlineStr">
        <is>
          <t>大将军转向</t>
        </is>
      </c>
      <c r="O1169" s="2" t="inlineStr">
        <is>
          <t>否</t>
        </is>
      </c>
    </row>
    <row r="1170">
      <c r="A1170" s="14" t="inlineStr">
        <is>
          <t>2024-02-07</t>
        </is>
      </c>
      <c r="B1170" s="14" t="inlineStr">
        <is>
          <t>2024-02-08</t>
        </is>
      </c>
      <c r="C1170" s="14" t="inlineStr">
        <is>
          <t>PTA</t>
        </is>
      </c>
      <c r="D1170" s="14" t="inlineStr">
        <is>
          <t>TA</t>
        </is>
      </c>
      <c r="E1170" s="14" t="inlineStr">
        <is>
          <t>多</t>
        </is>
      </c>
      <c r="F1170" s="14" t="inlineStr">
        <is>
          <t>★★</t>
        </is>
      </c>
      <c r="G1170" s="14" t="n">
        <v>9</v>
      </c>
      <c r="H1170" s="15" t="n">
        <v>5912</v>
      </c>
      <c r="I1170" s="15" t="n">
        <v>5912</v>
      </c>
      <c r="J1170" s="14" t="n">
        <v>5</v>
      </c>
      <c r="K1170" s="14" t="n">
        <v>10000</v>
      </c>
      <c r="L1170" s="25">
        <f>IF(E1170="多",1,-1)*(I1170-H1170)*G1170*J1170</f>
        <v/>
      </c>
      <c r="M1170" s="26">
        <f>L1170/K1170</f>
        <v/>
      </c>
      <c r="N1170" s="14" t="inlineStr">
        <is>
          <t>将军撤退</t>
        </is>
      </c>
      <c r="O1170" s="14" t="inlineStr">
        <is>
          <t>是</t>
        </is>
      </c>
    </row>
    <row r="1171">
      <c r="A1171" s="2" t="inlineStr">
        <is>
          <t>2024-02-07</t>
        </is>
      </c>
      <c r="B1171" s="2" t="inlineStr">
        <is>
          <t>2024-02-08</t>
        </is>
      </c>
      <c r="C1171" s="2" t="inlineStr">
        <is>
          <t>菜粕</t>
        </is>
      </c>
      <c r="D1171" s="2" t="inlineStr">
        <is>
          <t>RM</t>
        </is>
      </c>
      <c r="E1171" s="9" t="inlineStr">
        <is>
          <t>空</t>
        </is>
      </c>
      <c r="F1171" s="2" t="inlineStr">
        <is>
          <t>★★★</t>
        </is>
      </c>
      <c r="G1171" s="10" t="n">
        <v>11</v>
      </c>
      <c r="H1171" s="11" t="n">
        <v>2428</v>
      </c>
      <c r="I1171" s="11" t="n">
        <v>2470</v>
      </c>
      <c r="J1171" s="10" t="n">
        <v>10</v>
      </c>
      <c r="K1171" s="10" t="n">
        <v>17100</v>
      </c>
      <c r="L1171" s="23">
        <f>IF(E1171="多",1,-1)*(I1171-H1171)*G1171*J1171</f>
        <v/>
      </c>
      <c r="M1171" s="24">
        <f>L1171/K1171</f>
        <v/>
      </c>
      <c r="N1171" s="2" t="inlineStr">
        <is>
          <t>将军撤退+大将军转向</t>
        </is>
      </c>
      <c r="O1171" s="2" t="inlineStr">
        <is>
          <t>否</t>
        </is>
      </c>
    </row>
    <row r="1172">
      <c r="A1172" s="2" t="inlineStr">
        <is>
          <t>2024-02-06</t>
        </is>
      </c>
      <c r="B1172" s="2" t="inlineStr">
        <is>
          <t>2024-02-07</t>
        </is>
      </c>
      <c r="C1172" s="2" t="inlineStr">
        <is>
          <t>苯乙烯</t>
        </is>
      </c>
      <c r="D1172" s="2" t="inlineStr">
        <is>
          <t>EB</t>
        </is>
      </c>
      <c r="E1172" s="19" t="inlineStr">
        <is>
          <t>多</t>
        </is>
      </c>
      <c r="F1172" s="2" t="inlineStr">
        <is>
          <t>★★★</t>
        </is>
      </c>
      <c r="G1172" s="10" t="n">
        <v>6</v>
      </c>
      <c r="H1172" s="11" t="n">
        <v>8918</v>
      </c>
      <c r="I1172" s="11" t="n">
        <v>9091</v>
      </c>
      <c r="J1172" s="10" t="n">
        <v>5</v>
      </c>
      <c r="K1172" s="10" t="n">
        <v>16700</v>
      </c>
      <c r="L1172" s="23">
        <f>IF(E1172="多",1,-1)*(I1172-H1172)*G1172*J1172</f>
        <v/>
      </c>
      <c r="M1172" s="24">
        <f>L1172/K1172</f>
        <v/>
      </c>
      <c r="N1172" s="2" t="inlineStr">
        <is>
          <t>大将军转向</t>
        </is>
      </c>
      <c r="O1172" s="2" t="inlineStr">
        <is>
          <t>否</t>
        </is>
      </c>
    </row>
    <row r="1173">
      <c r="A1173" s="2" t="inlineStr">
        <is>
          <t>2024-02-06</t>
        </is>
      </c>
      <c r="B1173" s="2" t="inlineStr">
        <is>
          <t>2024-02-07</t>
        </is>
      </c>
      <c r="C1173" s="2" t="inlineStr">
        <is>
          <t>沪铝</t>
        </is>
      </c>
      <c r="D1173" s="2" t="inlineStr">
        <is>
          <t>AL</t>
        </is>
      </c>
      <c r="E1173" s="9" t="inlineStr">
        <is>
          <t>空</t>
        </is>
      </c>
      <c r="F1173" s="2" t="inlineStr">
        <is>
          <t>★★★</t>
        </is>
      </c>
      <c r="G1173" s="10" t="n">
        <v>5</v>
      </c>
      <c r="H1173" s="11" t="n">
        <v>18875</v>
      </c>
      <c r="I1173" s="11" t="n">
        <v>18885</v>
      </c>
      <c r="J1173" s="10" t="n">
        <v>5</v>
      </c>
      <c r="K1173" s="10" t="n">
        <v>16700</v>
      </c>
      <c r="L1173" s="23">
        <f>IF(E1173="多",1,-1)*(I1173-H1173)*G1173*J1173</f>
        <v/>
      </c>
      <c r="M1173" s="24">
        <f>L1173/K1173</f>
        <v/>
      </c>
      <c r="N1173" s="2" t="inlineStr">
        <is>
          <t>大将军转向</t>
        </is>
      </c>
      <c r="O1173" s="2" t="inlineStr">
        <is>
          <t>否</t>
        </is>
      </c>
    </row>
    <row r="1174">
      <c r="A1174" s="2" t="inlineStr">
        <is>
          <t>2024-02-01</t>
        </is>
      </c>
      <c r="B1174" s="2" t="inlineStr">
        <is>
          <t>2024-02-05</t>
        </is>
      </c>
      <c r="C1174" s="2" t="inlineStr">
        <is>
          <t>苯乙烯</t>
        </is>
      </c>
      <c r="D1174" s="2" t="inlineStr">
        <is>
          <t>EB</t>
        </is>
      </c>
      <c r="E1174" s="19" t="inlineStr">
        <is>
          <t>多</t>
        </is>
      </c>
      <c r="F1174" s="2" t="inlineStr">
        <is>
          <t>★★★</t>
        </is>
      </c>
      <c r="G1174" s="10" t="n">
        <v>6</v>
      </c>
      <c r="H1174" s="11" t="n">
        <v>8824</v>
      </c>
      <c r="I1174" s="11" t="n">
        <v>8795</v>
      </c>
      <c r="J1174" s="10" t="n">
        <v>5</v>
      </c>
      <c r="K1174" s="10" t="n">
        <v>17400</v>
      </c>
      <c r="L1174" s="23">
        <f>IF(E1174="多",1,-1)*(I1174-H1174)*G1174*J1174</f>
        <v/>
      </c>
      <c r="M1174" s="24">
        <f>L1174/K1174</f>
        <v/>
      </c>
      <c r="N1174" s="2" t="inlineStr">
        <is>
          <t>将军撤退</t>
        </is>
      </c>
      <c r="O1174" s="2" t="inlineStr">
        <is>
          <t>否</t>
        </is>
      </c>
    </row>
    <row r="1175">
      <c r="A1175" s="14" t="inlineStr">
        <is>
          <t>2024-01-31</t>
        </is>
      </c>
      <c r="B1175" s="14" t="inlineStr">
        <is>
          <t>2024-02-05</t>
        </is>
      </c>
      <c r="C1175" s="14" t="inlineStr">
        <is>
          <t>沪铜</t>
        </is>
      </c>
      <c r="D1175" s="14" t="inlineStr">
        <is>
          <t>CU</t>
        </is>
      </c>
      <c r="E1175" s="14" t="inlineStr">
        <is>
          <t>多</t>
        </is>
      </c>
      <c r="F1175" s="14" t="inlineStr">
        <is>
          <t>★★</t>
        </is>
      </c>
      <c r="G1175" s="14" t="n">
        <v>1</v>
      </c>
      <c r="H1175" s="15" t="n">
        <v>69440</v>
      </c>
      <c r="I1175" s="15" t="n">
        <v>68506.42999999999</v>
      </c>
      <c r="J1175" s="14" t="n">
        <v>5</v>
      </c>
      <c r="K1175" s="14" t="n">
        <v>10000</v>
      </c>
      <c r="L1175" s="25">
        <f>IF(E1175="多",1,-1)*(I1175-H1175)*G1175*J1175</f>
        <v/>
      </c>
      <c r="M1175" s="26">
        <f>L1175/K1175</f>
        <v/>
      </c>
      <c r="N1175" s="14" t="inlineStr">
        <is>
          <t>止损</t>
        </is>
      </c>
      <c r="O1175" s="14" t="inlineStr">
        <is>
          <t>是</t>
        </is>
      </c>
    </row>
    <row r="1176">
      <c r="A1176" s="14" t="inlineStr">
        <is>
          <t>2024-01-29</t>
        </is>
      </c>
      <c r="B1176" s="14" t="inlineStr">
        <is>
          <t>2024-02-05</t>
        </is>
      </c>
      <c r="C1176" s="14" t="inlineStr">
        <is>
          <t>沪银</t>
        </is>
      </c>
      <c r="D1176" s="14" t="inlineStr">
        <is>
          <t>AG</t>
        </is>
      </c>
      <c r="E1176" s="14" t="inlineStr">
        <is>
          <t>多</t>
        </is>
      </c>
      <c r="F1176" s="14" t="inlineStr">
        <is>
          <t>★★★</t>
        </is>
      </c>
      <c r="G1176" s="14" t="n">
        <v>3</v>
      </c>
      <c r="H1176" s="15" t="n">
        <v>5939</v>
      </c>
      <c r="I1176" s="15" t="n">
        <v>5856</v>
      </c>
      <c r="J1176" s="14" t="n">
        <v>15</v>
      </c>
      <c r="K1176" s="14" t="n">
        <v>10000</v>
      </c>
      <c r="L1176" s="25">
        <f>IF(E1176="多",1,-1)*(I1176-H1176)*G1176*J1176</f>
        <v/>
      </c>
      <c r="M1176" s="26">
        <f>L1176/K1176</f>
        <v/>
      </c>
      <c r="N1176" s="14" t="inlineStr">
        <is>
          <t>大将军转向</t>
        </is>
      </c>
      <c r="O1176" s="14" t="inlineStr">
        <is>
          <t>是</t>
        </is>
      </c>
    </row>
    <row r="1177">
      <c r="A1177" s="14" t="inlineStr">
        <is>
          <t>2024-01-26</t>
        </is>
      </c>
      <c r="B1177" s="14" t="inlineStr">
        <is>
          <t>2024-02-05</t>
        </is>
      </c>
      <c r="C1177" s="14" t="inlineStr">
        <is>
          <t>沪镍</t>
        </is>
      </c>
      <c r="D1177" s="14" t="inlineStr">
        <is>
          <t>NI</t>
        </is>
      </c>
      <c r="E1177" s="14" t="inlineStr">
        <is>
          <t>多</t>
        </is>
      </c>
      <c r="F1177" s="14" t="inlineStr">
        <is>
          <t>★★</t>
        </is>
      </c>
      <c r="G1177" s="14" t="n">
        <v>1</v>
      </c>
      <c r="H1177" s="15" t="n">
        <v>131200</v>
      </c>
      <c r="I1177" s="15" t="n">
        <v>124826.43</v>
      </c>
      <c r="J1177" s="14" t="n">
        <v>1</v>
      </c>
      <c r="K1177" s="14" t="n">
        <v>10000</v>
      </c>
      <c r="L1177" s="25">
        <f>IF(E1177="多",1,-1)*(I1177-H1177)*G1177*J1177</f>
        <v/>
      </c>
      <c r="M1177" s="26">
        <f>L1177/K1177</f>
        <v/>
      </c>
      <c r="N1177" s="14" t="inlineStr">
        <is>
          <t>止损</t>
        </is>
      </c>
      <c r="O1177" s="14" t="inlineStr">
        <is>
          <t>是</t>
        </is>
      </c>
    </row>
    <row r="1178">
      <c r="A1178" s="14" t="inlineStr">
        <is>
          <t>2024-01-31</t>
        </is>
      </c>
      <c r="B1178" s="14" t="inlineStr">
        <is>
          <t>2024-02-01</t>
        </is>
      </c>
      <c r="C1178" s="14" t="inlineStr">
        <is>
          <t>热卷</t>
        </is>
      </c>
      <c r="D1178" s="14" t="inlineStr">
        <is>
          <t>HC</t>
        </is>
      </c>
      <c r="E1178" s="14" t="inlineStr">
        <is>
          <t>空</t>
        </is>
      </c>
      <c r="F1178" s="14" t="inlineStr">
        <is>
          <t>★★</t>
        </is>
      </c>
      <c r="G1178" s="14" t="n">
        <v>7</v>
      </c>
      <c r="H1178" s="15" t="n">
        <v>4005</v>
      </c>
      <c r="I1178" s="15" t="n">
        <v>4004</v>
      </c>
      <c r="J1178" s="14" t="n">
        <v>10</v>
      </c>
      <c r="K1178" s="14" t="n">
        <v>10000</v>
      </c>
      <c r="L1178" s="25">
        <f>IF(E1178="多",1,-1)*(I1178-H1178)*G1178*J1178</f>
        <v/>
      </c>
      <c r="M1178" s="26">
        <f>L1178/K1178</f>
        <v/>
      </c>
      <c r="N1178" s="14" t="inlineStr">
        <is>
          <t>大将军转向</t>
        </is>
      </c>
      <c r="O1178" s="14" t="inlineStr">
        <is>
          <t>是</t>
        </is>
      </c>
    </row>
    <row r="1179">
      <c r="A1179" s="14" t="inlineStr">
        <is>
          <t>2024-01-30</t>
        </is>
      </c>
      <c r="B1179" s="14" t="inlineStr">
        <is>
          <t>2024-02-01</t>
        </is>
      </c>
      <c r="C1179" s="14" t="inlineStr">
        <is>
          <t>沪铝</t>
        </is>
      </c>
      <c r="D1179" s="14" t="inlineStr">
        <is>
          <t>AL</t>
        </is>
      </c>
      <c r="E1179" s="14" t="inlineStr">
        <is>
          <t>空</t>
        </is>
      </c>
      <c r="F1179" s="14" t="inlineStr">
        <is>
          <t>★★</t>
        </is>
      </c>
      <c r="G1179" s="14" t="n">
        <v>3</v>
      </c>
      <c r="H1179" s="15" t="n">
        <v>18990</v>
      </c>
      <c r="I1179" s="15" t="n">
        <v>18900</v>
      </c>
      <c r="J1179" s="14" t="n">
        <v>5</v>
      </c>
      <c r="K1179" s="14" t="n">
        <v>10000</v>
      </c>
      <c r="L1179" s="25">
        <f>IF(E1179="多",1,-1)*(I1179-H1179)*G1179*J1179</f>
        <v/>
      </c>
      <c r="M1179" s="26">
        <f>L1179/K1179</f>
        <v/>
      </c>
      <c r="N1179" s="14" t="inlineStr">
        <is>
          <t>将军撤退</t>
        </is>
      </c>
      <c r="O1179" s="14" t="inlineStr">
        <is>
          <t>是</t>
        </is>
      </c>
    </row>
    <row r="1180">
      <c r="A1180" s="2" t="inlineStr">
        <is>
          <t>2024-01-29</t>
        </is>
      </c>
      <c r="B1180" s="2" t="inlineStr">
        <is>
          <t>2024-02-01</t>
        </is>
      </c>
      <c r="C1180" s="2" t="inlineStr">
        <is>
          <t>白糖</t>
        </is>
      </c>
      <c r="D1180" s="2" t="inlineStr">
        <is>
          <t>SR</t>
        </is>
      </c>
      <c r="E1180" s="19" t="inlineStr">
        <is>
          <t>多</t>
        </is>
      </c>
      <c r="F1180" s="2" t="inlineStr">
        <is>
          <t>★★★</t>
        </is>
      </c>
      <c r="G1180" s="10" t="n">
        <v>8</v>
      </c>
      <c r="H1180" s="11" t="n">
        <v>6495</v>
      </c>
      <c r="I1180" s="11" t="n">
        <v>6471</v>
      </c>
      <c r="J1180" s="10" t="n">
        <v>10</v>
      </c>
      <c r="K1180" s="10" t="n">
        <v>17600</v>
      </c>
      <c r="L1180" s="23">
        <f>IF(E1180="多",1,-1)*(I1180-H1180)*G1180*J1180</f>
        <v/>
      </c>
      <c r="M1180" s="24">
        <f>L1180/K1180</f>
        <v/>
      </c>
      <c r="N1180" s="2" t="inlineStr">
        <is>
          <t>将军撤退</t>
        </is>
      </c>
      <c r="O1180" s="2" t="inlineStr">
        <is>
          <t>否</t>
        </is>
      </c>
    </row>
    <row r="1181">
      <c r="A1181" s="14" t="inlineStr">
        <is>
          <t>2024-01-22</t>
        </is>
      </c>
      <c r="B1181" s="14" t="inlineStr">
        <is>
          <t>2024-02-01</t>
        </is>
      </c>
      <c r="C1181" s="14" t="inlineStr">
        <is>
          <t>玉米</t>
        </is>
      </c>
      <c r="D1181" s="14" t="inlineStr">
        <is>
          <t>C</t>
        </is>
      </c>
      <c r="E1181" s="14" t="inlineStr">
        <is>
          <t>空</t>
        </is>
      </c>
      <c r="F1181" s="14" t="inlineStr">
        <is>
          <t>★★</t>
        </is>
      </c>
      <c r="G1181" s="14" t="n">
        <v>10</v>
      </c>
      <c r="H1181" s="15" t="n">
        <v>2322</v>
      </c>
      <c r="I1181" s="15" t="n">
        <v>2397.07</v>
      </c>
      <c r="J1181" s="14" t="n">
        <v>10</v>
      </c>
      <c r="K1181" s="14" t="n">
        <v>10000</v>
      </c>
      <c r="L1181" s="25">
        <f>IF(E1181="多",1,-1)*(I1181-H1181)*G1181*J1181</f>
        <v/>
      </c>
      <c r="M1181" s="26">
        <f>L1181/K1181</f>
        <v/>
      </c>
      <c r="N1181" s="14" t="inlineStr">
        <is>
          <t>止损</t>
        </is>
      </c>
      <c r="O1181" s="14" t="inlineStr">
        <is>
          <t>是</t>
        </is>
      </c>
    </row>
    <row r="1182">
      <c r="A1182" s="14" t="inlineStr">
        <is>
          <t>2024-01-30</t>
        </is>
      </c>
      <c r="B1182" s="14" t="inlineStr">
        <is>
          <t>2024-01-31</t>
        </is>
      </c>
      <c r="C1182" s="14" t="inlineStr">
        <is>
          <t>豆油</t>
        </is>
      </c>
      <c r="D1182" s="14" t="inlineStr">
        <is>
          <t>Y</t>
        </is>
      </c>
      <c r="E1182" s="14" t="inlineStr">
        <is>
          <t>空</t>
        </is>
      </c>
      <c r="F1182" s="14" t="inlineStr">
        <is>
          <t>★★</t>
        </is>
      </c>
      <c r="G1182" s="14" t="n">
        <v>2</v>
      </c>
      <c r="H1182" s="15" t="n">
        <v>7200</v>
      </c>
      <c r="I1182" s="15" t="n">
        <v>7212</v>
      </c>
      <c r="J1182" s="14" t="n">
        <v>10</v>
      </c>
      <c r="K1182" s="14" t="n">
        <v>10000</v>
      </c>
      <c r="L1182" s="25">
        <f>IF(E1182="多",1,-1)*(I1182-H1182)*G1182*J1182</f>
        <v/>
      </c>
      <c r="M1182" s="26">
        <f>L1182/K1182</f>
        <v/>
      </c>
      <c r="N1182" s="14" t="inlineStr">
        <is>
          <t>大将军转向</t>
        </is>
      </c>
      <c r="O1182" s="14" t="inlineStr">
        <is>
          <t>是</t>
        </is>
      </c>
    </row>
    <row r="1183">
      <c r="A1183" s="2" t="inlineStr">
        <is>
          <t>2024-01-30</t>
        </is>
      </c>
      <c r="B1183" s="2" t="inlineStr">
        <is>
          <t>2024-01-31</t>
        </is>
      </c>
      <c r="C1183" s="2" t="inlineStr">
        <is>
          <t>豆粕</t>
        </is>
      </c>
      <c r="D1183" s="2" t="inlineStr">
        <is>
          <t>M</t>
        </is>
      </c>
      <c r="E1183" s="9" t="inlineStr">
        <is>
          <t>空</t>
        </is>
      </c>
      <c r="F1183" s="2" t="inlineStr">
        <is>
          <t>★★★</t>
        </is>
      </c>
      <c r="G1183" s="10" t="n">
        <v>12</v>
      </c>
      <c r="H1183" s="11" t="n">
        <v>2955</v>
      </c>
      <c r="I1183" s="11" t="n">
        <v>2994</v>
      </c>
      <c r="J1183" s="10" t="n">
        <v>10</v>
      </c>
      <c r="K1183" s="10" t="n">
        <v>18000</v>
      </c>
      <c r="L1183" s="23">
        <f>IF(E1183="多",1,-1)*(I1183-H1183)*G1183*J1183</f>
        <v/>
      </c>
      <c r="M1183" s="24">
        <f>L1183/K1183</f>
        <v/>
      </c>
      <c r="N1183" s="2" t="inlineStr">
        <is>
          <t>大将军转向</t>
        </is>
      </c>
      <c r="O1183" s="2" t="inlineStr">
        <is>
          <t>否</t>
        </is>
      </c>
    </row>
    <row r="1184">
      <c r="A1184" s="2" t="inlineStr">
        <is>
          <t>2024-01-25</t>
        </is>
      </c>
      <c r="B1184" s="2" t="inlineStr">
        <is>
          <t>2024-01-30</t>
        </is>
      </c>
      <c r="C1184" s="2" t="inlineStr">
        <is>
          <t>菜粕</t>
        </is>
      </c>
      <c r="D1184" s="2" t="inlineStr">
        <is>
          <t>RM</t>
        </is>
      </c>
      <c r="E1184" s="9" t="inlineStr">
        <is>
          <t>空</t>
        </is>
      </c>
      <c r="F1184" s="2" t="inlineStr">
        <is>
          <t>★★★</t>
        </is>
      </c>
      <c r="G1184" s="10" t="n">
        <v>11</v>
      </c>
      <c r="H1184" s="11" t="n">
        <v>2525</v>
      </c>
      <c r="I1184" s="11" t="n">
        <v>2462</v>
      </c>
      <c r="J1184" s="10" t="n">
        <v>10</v>
      </c>
      <c r="K1184" s="10" t="n">
        <v>17700</v>
      </c>
      <c r="L1184" s="23">
        <f>IF(E1184="多",1,-1)*(I1184-H1184)*G1184*J1184</f>
        <v/>
      </c>
      <c r="M1184" s="24">
        <f>L1184/K1184</f>
        <v/>
      </c>
      <c r="N1184" s="2" t="inlineStr">
        <is>
          <t>大将军转向</t>
        </is>
      </c>
      <c r="O1184" s="2" t="inlineStr">
        <is>
          <t>否</t>
        </is>
      </c>
    </row>
    <row r="1185">
      <c r="A1185" s="14" t="inlineStr">
        <is>
          <t>2024-01-26</t>
        </is>
      </c>
      <c r="B1185" s="14" t="inlineStr">
        <is>
          <t>2024-01-29</t>
        </is>
      </c>
      <c r="C1185" s="14" t="inlineStr">
        <is>
          <t>PTA</t>
        </is>
      </c>
      <c r="D1185" s="14" t="inlineStr">
        <is>
          <t>TA</t>
        </is>
      </c>
      <c r="E1185" s="14" t="inlineStr">
        <is>
          <t>多</t>
        </is>
      </c>
      <c r="F1185" s="14" t="inlineStr">
        <is>
          <t>★★</t>
        </is>
      </c>
      <c r="G1185" s="14" t="n">
        <v>8</v>
      </c>
      <c r="H1185" s="15" t="n">
        <v>6030</v>
      </c>
      <c r="I1185" s="15" t="n">
        <v>6028</v>
      </c>
      <c r="J1185" s="14" t="n">
        <v>5</v>
      </c>
      <c r="K1185" s="14" t="n">
        <v>10000</v>
      </c>
      <c r="L1185" s="25">
        <f>IF(E1185="多",1,-1)*(I1185-H1185)*G1185*J1185</f>
        <v/>
      </c>
      <c r="M1185" s="26">
        <f>L1185/K1185</f>
        <v/>
      </c>
      <c r="N1185" s="14" t="inlineStr">
        <is>
          <t>大将军转向</t>
        </is>
      </c>
      <c r="O1185" s="14" t="inlineStr">
        <is>
          <t>是</t>
        </is>
      </c>
    </row>
    <row r="1186">
      <c r="A1186" s="2" t="inlineStr">
        <is>
          <t>2024-01-26</t>
        </is>
      </c>
      <c r="B1186" s="2" t="inlineStr">
        <is>
          <t>2024-01-29</t>
        </is>
      </c>
      <c r="C1186" s="2" t="inlineStr">
        <is>
          <t>豆粕</t>
        </is>
      </c>
      <c r="D1186" s="2" t="inlineStr">
        <is>
          <t>M</t>
        </is>
      </c>
      <c r="E1186" s="9" t="inlineStr">
        <is>
          <t>空</t>
        </is>
      </c>
      <c r="F1186" s="2" t="inlineStr">
        <is>
          <t>★★★</t>
        </is>
      </c>
      <c r="G1186" s="10" t="n">
        <v>8</v>
      </c>
      <c r="H1186" s="11" t="n">
        <v>2985</v>
      </c>
      <c r="I1186" s="11" t="n">
        <v>2952</v>
      </c>
      <c r="J1186" s="10" t="n">
        <v>10</v>
      </c>
      <c r="K1186" s="10" t="n">
        <v>12300</v>
      </c>
      <c r="L1186" s="23">
        <f>IF(E1186="多",1,-1)*(I1186-H1186)*G1186*J1186</f>
        <v/>
      </c>
      <c r="M1186" s="24">
        <f>L1186/K1186</f>
        <v/>
      </c>
      <c r="N1186" s="2" t="inlineStr">
        <is>
          <t>将军撤退</t>
        </is>
      </c>
      <c r="O1186" s="2" t="inlineStr">
        <is>
          <t>否</t>
        </is>
      </c>
    </row>
    <row r="1187">
      <c r="A1187" s="14" t="inlineStr">
        <is>
          <t>2024-01-19</t>
        </is>
      </c>
      <c r="B1187" s="14" t="inlineStr">
        <is>
          <t>2024-01-29</t>
        </is>
      </c>
      <c r="C1187" s="14" t="inlineStr">
        <is>
          <t>沪银</t>
        </is>
      </c>
      <c r="D1187" s="14" t="inlineStr">
        <is>
          <t>AG</t>
        </is>
      </c>
      <c r="E1187" s="14" t="inlineStr">
        <is>
          <t>空</t>
        </is>
      </c>
      <c r="F1187" s="14" t="inlineStr">
        <is>
          <t>★★★</t>
        </is>
      </c>
      <c r="G1187" s="14" t="n">
        <v>2</v>
      </c>
      <c r="H1187" s="15" t="n">
        <v>5921</v>
      </c>
      <c r="I1187" s="15" t="n">
        <v>5930</v>
      </c>
      <c r="J1187" s="14" t="n">
        <v>15</v>
      </c>
      <c r="K1187" s="14" t="n">
        <v>10000</v>
      </c>
      <c r="L1187" s="25">
        <f>IF(E1187="多",1,-1)*(I1187-H1187)*G1187*J1187</f>
        <v/>
      </c>
      <c r="M1187" s="26">
        <f>L1187/K1187</f>
        <v/>
      </c>
      <c r="N1187" s="14" t="inlineStr">
        <is>
          <t>反向信号</t>
        </is>
      </c>
      <c r="O1187" s="14" t="inlineStr">
        <is>
          <t>是</t>
        </is>
      </c>
    </row>
    <row r="1188">
      <c r="A1188" s="2" t="inlineStr">
        <is>
          <t>2024-01-24</t>
        </is>
      </c>
      <c r="B1188" s="2" t="inlineStr">
        <is>
          <t>2024-01-26</t>
        </is>
      </c>
      <c r="C1188" s="2" t="inlineStr">
        <is>
          <t>白糖</t>
        </is>
      </c>
      <c r="D1188" s="2" t="inlineStr">
        <is>
          <t>SR</t>
        </is>
      </c>
      <c r="E1188" s="19" t="inlineStr">
        <is>
          <t>多</t>
        </is>
      </c>
      <c r="F1188" s="2" t="inlineStr">
        <is>
          <t>★★★</t>
        </is>
      </c>
      <c r="G1188" s="10" t="n">
        <v>9</v>
      </c>
      <c r="H1188" s="11" t="n">
        <v>6490</v>
      </c>
      <c r="I1188" s="11" t="n">
        <v>6439</v>
      </c>
      <c r="J1188" s="10" t="n">
        <v>10</v>
      </c>
      <c r="K1188" s="10" t="n">
        <v>17900</v>
      </c>
      <c r="L1188" s="23">
        <f>IF(E1188="多",1,-1)*(I1188-H1188)*G1188*J1188</f>
        <v/>
      </c>
      <c r="M1188" s="24">
        <f>L1188/K1188</f>
        <v/>
      </c>
      <c r="N1188" s="2" t="inlineStr">
        <is>
          <t>将军撤退</t>
        </is>
      </c>
      <c r="O1188" s="2" t="inlineStr">
        <is>
          <t>否</t>
        </is>
      </c>
    </row>
    <row r="1189">
      <c r="A1189" s="2" t="inlineStr">
        <is>
          <t>2024-01-24</t>
        </is>
      </c>
      <c r="B1189" s="2" t="inlineStr">
        <is>
          <t>2024-01-25</t>
        </is>
      </c>
      <c r="C1189" s="2" t="inlineStr">
        <is>
          <t>PTA</t>
        </is>
      </c>
      <c r="D1189" s="2" t="inlineStr">
        <is>
          <t>TA</t>
        </is>
      </c>
      <c r="E1189" s="19" t="inlineStr">
        <is>
          <t>多</t>
        </is>
      </c>
      <c r="F1189" s="2" t="inlineStr">
        <is>
          <t>★★★</t>
        </is>
      </c>
      <c r="G1189" s="10" t="n">
        <v>13</v>
      </c>
      <c r="H1189" s="11" t="n">
        <v>6052</v>
      </c>
      <c r="I1189" s="11" t="n">
        <v>6014</v>
      </c>
      <c r="J1189" s="10" t="n">
        <v>5</v>
      </c>
      <c r="K1189" s="10" t="n">
        <v>17900</v>
      </c>
      <c r="L1189" s="23">
        <f>IF(E1189="多",1,-1)*(I1189-H1189)*G1189*J1189</f>
        <v/>
      </c>
      <c r="M1189" s="24">
        <f>L1189/K1189</f>
        <v/>
      </c>
      <c r="N1189" s="2" t="inlineStr">
        <is>
          <t>将军撤退</t>
        </is>
      </c>
      <c r="O1189" s="2" t="inlineStr">
        <is>
          <t>否</t>
        </is>
      </c>
    </row>
    <row r="1190">
      <c r="A1190" s="14" t="inlineStr">
        <is>
          <t>2024-01-19</t>
        </is>
      </c>
      <c r="B1190" s="14" t="inlineStr">
        <is>
          <t>2024-01-25</t>
        </is>
      </c>
      <c r="C1190" s="14" t="inlineStr">
        <is>
          <t>棕榈油</t>
        </is>
      </c>
      <c r="D1190" s="14" t="inlineStr">
        <is>
          <t>P</t>
        </is>
      </c>
      <c r="E1190" s="14" t="inlineStr">
        <is>
          <t>多</t>
        </is>
      </c>
      <c r="F1190" s="14" t="inlineStr">
        <is>
          <t>★★</t>
        </is>
      </c>
      <c r="G1190" s="14" t="n">
        <v>2</v>
      </c>
      <c r="H1190" s="15" t="n">
        <v>7532</v>
      </c>
      <c r="I1190" s="15" t="n">
        <v>7532</v>
      </c>
      <c r="J1190" s="14" t="n">
        <v>10</v>
      </c>
      <c r="K1190" s="14" t="n">
        <v>10000</v>
      </c>
      <c r="L1190" s="25">
        <f>IF(E1190="多",1,-1)*(I1190-H1190)*G1190*J1190</f>
        <v/>
      </c>
      <c r="M1190" s="26">
        <f>L1190/K1190</f>
        <v/>
      </c>
      <c r="N1190" s="14" t="inlineStr">
        <is>
          <t>大将军转向</t>
        </is>
      </c>
      <c r="O1190" s="14" t="inlineStr">
        <is>
          <t>是</t>
        </is>
      </c>
    </row>
    <row r="1191">
      <c r="A1191" s="14" t="inlineStr">
        <is>
          <t>2024-01-17</t>
        </is>
      </c>
      <c r="B1191" s="14" t="inlineStr">
        <is>
          <t>2024-01-25</t>
        </is>
      </c>
      <c r="C1191" s="14" t="inlineStr">
        <is>
          <t>螺纹钢</t>
        </is>
      </c>
      <c r="D1191" s="14" t="inlineStr">
        <is>
          <t>RB</t>
        </is>
      </c>
      <c r="E1191" s="14" t="inlineStr">
        <is>
          <t>空</t>
        </is>
      </c>
      <c r="F1191" s="14" t="inlineStr">
        <is>
          <t>★★</t>
        </is>
      </c>
      <c r="G1191" s="14" t="n">
        <v>6</v>
      </c>
      <c r="H1191" s="15" t="n">
        <v>3852</v>
      </c>
      <c r="I1191" s="15" t="n">
        <v>3987.57</v>
      </c>
      <c r="J1191" s="14" t="n">
        <v>10</v>
      </c>
      <c r="K1191" s="14" t="n">
        <v>10000</v>
      </c>
      <c r="L1191" s="25">
        <f>IF(E1191="多",1,-1)*(I1191-H1191)*G1191*J1191</f>
        <v/>
      </c>
      <c r="M1191" s="26">
        <f>L1191/K1191</f>
        <v/>
      </c>
      <c r="N1191" s="14" t="inlineStr">
        <is>
          <t>止损</t>
        </is>
      </c>
      <c r="O1191" s="14" t="inlineStr">
        <is>
          <t>是</t>
        </is>
      </c>
    </row>
    <row r="1192">
      <c r="A1192" s="14" t="inlineStr">
        <is>
          <t>2024-01-22</t>
        </is>
      </c>
      <c r="B1192" s="14" t="inlineStr">
        <is>
          <t>2024-01-24</t>
        </is>
      </c>
      <c r="C1192" s="14" t="inlineStr">
        <is>
          <t>苯乙烯</t>
        </is>
      </c>
      <c r="D1192" s="14" t="inlineStr">
        <is>
          <t>EB</t>
        </is>
      </c>
      <c r="E1192" s="14" t="inlineStr">
        <is>
          <t>多</t>
        </is>
      </c>
      <c r="F1192" s="14" t="inlineStr">
        <is>
          <t>★★</t>
        </is>
      </c>
      <c r="G1192" s="14" t="n">
        <v>3</v>
      </c>
      <c r="H1192" s="15" t="n">
        <v>8801</v>
      </c>
      <c r="I1192" s="15" t="n">
        <v>8916</v>
      </c>
      <c r="J1192" s="14" t="n">
        <v>5</v>
      </c>
      <c r="K1192" s="14" t="n">
        <v>10000</v>
      </c>
      <c r="L1192" s="25">
        <f>IF(E1192="多",1,-1)*(I1192-H1192)*G1192*J1192</f>
        <v/>
      </c>
      <c r="M1192" s="26">
        <f>L1192/K1192</f>
        <v/>
      </c>
      <c r="N1192" s="14" t="inlineStr">
        <is>
          <t>大将军转向</t>
        </is>
      </c>
      <c r="O1192" s="14" t="inlineStr">
        <is>
          <t>是</t>
        </is>
      </c>
    </row>
    <row r="1193">
      <c r="A1193" s="14" t="inlineStr">
        <is>
          <t>2024-01-22</t>
        </is>
      </c>
      <c r="B1193" s="14" t="inlineStr">
        <is>
          <t>2024-01-24</t>
        </is>
      </c>
      <c r="C1193" s="14" t="inlineStr">
        <is>
          <t>沪铝</t>
        </is>
      </c>
      <c r="D1193" s="14" t="inlineStr">
        <is>
          <t>AL</t>
        </is>
      </c>
      <c r="E1193" s="14" t="inlineStr">
        <is>
          <t>空</t>
        </is>
      </c>
      <c r="F1193" s="14" t="inlineStr">
        <is>
          <t>★★</t>
        </is>
      </c>
      <c r="G1193" s="14" t="n">
        <v>3</v>
      </c>
      <c r="H1193" s="15" t="n">
        <v>18655</v>
      </c>
      <c r="I1193" s="15" t="n">
        <v>19025</v>
      </c>
      <c r="J1193" s="14" t="n">
        <v>5</v>
      </c>
      <c r="K1193" s="14" t="n">
        <v>10000</v>
      </c>
      <c r="L1193" s="25">
        <f>IF(E1193="多",1,-1)*(I1193-H1193)*G1193*J1193</f>
        <v/>
      </c>
      <c r="M1193" s="26">
        <f>L1193/K1193</f>
        <v/>
      </c>
      <c r="N1193" s="14" t="inlineStr">
        <is>
          <t>大将军转向</t>
        </is>
      </c>
      <c r="O1193" s="14" t="inlineStr">
        <is>
          <t>是</t>
        </is>
      </c>
    </row>
    <row r="1194">
      <c r="A1194" s="2" t="inlineStr">
        <is>
          <t>2024-01-17</t>
        </is>
      </c>
      <c r="B1194" s="2" t="inlineStr">
        <is>
          <t>2024-01-24</t>
        </is>
      </c>
      <c r="C1194" s="2" t="inlineStr">
        <is>
          <t>菜粕</t>
        </is>
      </c>
      <c r="D1194" s="2" t="inlineStr">
        <is>
          <t>RM</t>
        </is>
      </c>
      <c r="E1194" s="9" t="inlineStr">
        <is>
          <t>空</t>
        </is>
      </c>
      <c r="F1194" s="2" t="inlineStr">
        <is>
          <t>★★★</t>
        </is>
      </c>
      <c r="G1194" s="10" t="n">
        <v>10</v>
      </c>
      <c r="H1194" s="11" t="n">
        <v>2576</v>
      </c>
      <c r="I1194" s="11" t="n">
        <v>2555</v>
      </c>
      <c r="J1194" s="10" t="n">
        <v>10</v>
      </c>
      <c r="K1194" s="10" t="n">
        <v>17300</v>
      </c>
      <c r="L1194" s="23">
        <f>IF(E1194="多",1,-1)*(I1194-H1194)*G1194*J1194</f>
        <v/>
      </c>
      <c r="M1194" s="24">
        <f>L1194/K1194</f>
        <v/>
      </c>
      <c r="N1194" s="2" t="inlineStr">
        <is>
          <t>大将军转向</t>
        </is>
      </c>
      <c r="O1194" s="2" t="inlineStr">
        <is>
          <t>否</t>
        </is>
      </c>
    </row>
    <row r="1195">
      <c r="A1195" s="14" t="inlineStr">
        <is>
          <t>2024-01-18</t>
        </is>
      </c>
      <c r="B1195" s="14" t="inlineStr">
        <is>
          <t>2024-01-19</t>
        </is>
      </c>
      <c r="C1195" s="14" t="inlineStr">
        <is>
          <t>沪锌</t>
        </is>
      </c>
      <c r="D1195" s="14" t="inlineStr">
        <is>
          <t>ZN</t>
        </is>
      </c>
      <c r="E1195" s="14" t="inlineStr">
        <is>
          <t>空</t>
        </is>
      </c>
      <c r="F1195" s="14" t="inlineStr">
        <is>
          <t>★★</t>
        </is>
      </c>
      <c r="G1195" s="14" t="n">
        <v>2</v>
      </c>
      <c r="H1195" s="15" t="n">
        <v>20720</v>
      </c>
      <c r="I1195" s="15" t="n">
        <v>20675</v>
      </c>
      <c r="J1195" s="14" t="n">
        <v>5</v>
      </c>
      <c r="K1195" s="14" t="n">
        <v>10000</v>
      </c>
      <c r="L1195" s="25">
        <f>IF(E1195="多",1,-1)*(I1195-H1195)*G1195*J1195</f>
        <v/>
      </c>
      <c r="M1195" s="26">
        <f>L1195/K1195</f>
        <v/>
      </c>
      <c r="N1195" s="14" t="inlineStr">
        <is>
          <t>将军撤退+大将军转向</t>
        </is>
      </c>
      <c r="O1195" s="14" t="inlineStr">
        <is>
          <t>是</t>
        </is>
      </c>
    </row>
    <row r="1196">
      <c r="A1196" s="14" t="inlineStr">
        <is>
          <t>2024-01-18</t>
        </is>
      </c>
      <c r="B1196" s="14" t="inlineStr">
        <is>
          <t>2024-01-19</t>
        </is>
      </c>
      <c r="C1196" s="14" t="inlineStr">
        <is>
          <t>PTA</t>
        </is>
      </c>
      <c r="D1196" s="14" t="inlineStr">
        <is>
          <t>TA</t>
        </is>
      </c>
      <c r="E1196" s="14" t="inlineStr">
        <is>
          <t>多</t>
        </is>
      </c>
      <c r="F1196" s="14" t="inlineStr">
        <is>
          <t>★★</t>
        </is>
      </c>
      <c r="G1196" s="14" t="n">
        <v>7</v>
      </c>
      <c r="H1196" s="15" t="n">
        <v>5846</v>
      </c>
      <c r="I1196" s="15" t="n">
        <v>5898</v>
      </c>
      <c r="J1196" s="14" t="n">
        <v>5</v>
      </c>
      <c r="K1196" s="14" t="n">
        <v>10000</v>
      </c>
      <c r="L1196" s="25">
        <f>IF(E1196="多",1,-1)*(I1196-H1196)*G1196*J1196</f>
        <v/>
      </c>
      <c r="M1196" s="26">
        <f>L1196/K1196</f>
        <v/>
      </c>
      <c r="N1196" s="14" t="inlineStr">
        <is>
          <t>将军撤退</t>
        </is>
      </c>
      <c r="O1196" s="14" t="inlineStr">
        <is>
          <t>是</t>
        </is>
      </c>
    </row>
    <row r="1197">
      <c r="A1197" s="14" t="inlineStr">
        <is>
          <t>2024-01-18</t>
        </is>
      </c>
      <c r="B1197" s="14" t="inlineStr">
        <is>
          <t>2024-01-19</t>
        </is>
      </c>
      <c r="C1197" s="14" t="inlineStr">
        <is>
          <t>白糖</t>
        </is>
      </c>
      <c r="D1197" s="14" t="inlineStr">
        <is>
          <t>SR</t>
        </is>
      </c>
      <c r="E1197" s="14" t="inlineStr">
        <is>
          <t>多</t>
        </is>
      </c>
      <c r="F1197" s="14" t="inlineStr">
        <is>
          <t>★★</t>
        </is>
      </c>
      <c r="G1197" s="14" t="n">
        <v>4</v>
      </c>
      <c r="H1197" s="15" t="n">
        <v>6351</v>
      </c>
      <c r="I1197" s="15" t="n">
        <v>6390</v>
      </c>
      <c r="J1197" s="14" t="n">
        <v>10</v>
      </c>
      <c r="K1197" s="14" t="n">
        <v>10000</v>
      </c>
      <c r="L1197" s="25">
        <f>IF(E1197="多",1,-1)*(I1197-H1197)*G1197*J1197</f>
        <v/>
      </c>
      <c r="M1197" s="26">
        <f>L1197/K1197</f>
        <v/>
      </c>
      <c r="N1197" s="14" t="inlineStr">
        <is>
          <t>将军撤退</t>
        </is>
      </c>
      <c r="O1197" s="14" t="inlineStr">
        <is>
          <t>是</t>
        </is>
      </c>
    </row>
    <row r="1198">
      <c r="A1198" s="14" t="inlineStr">
        <is>
          <t>2024-01-16</t>
        </is>
      </c>
      <c r="B1198" s="14" t="inlineStr">
        <is>
          <t>2024-01-19</t>
        </is>
      </c>
      <c r="C1198" s="14" t="inlineStr">
        <is>
          <t>聚丙烯</t>
        </is>
      </c>
      <c r="D1198" s="14" t="inlineStr">
        <is>
          <t>PP</t>
        </is>
      </c>
      <c r="E1198" s="14" t="inlineStr">
        <is>
          <t>多</t>
        </is>
      </c>
      <c r="F1198" s="14" t="inlineStr">
        <is>
          <t>★★</t>
        </is>
      </c>
      <c r="G1198" s="14" t="n">
        <v>8</v>
      </c>
      <c r="H1198" s="15" t="n">
        <v>7383</v>
      </c>
      <c r="I1198" s="15" t="n">
        <v>7356</v>
      </c>
      <c r="J1198" s="14" t="n">
        <v>5</v>
      </c>
      <c r="K1198" s="14" t="n">
        <v>10000</v>
      </c>
      <c r="L1198" s="25">
        <f>IF(E1198="多",1,-1)*(I1198-H1198)*G1198*J1198</f>
        <v/>
      </c>
      <c r="M1198" s="26">
        <f>L1198/K1198</f>
        <v/>
      </c>
      <c r="N1198" s="14" t="inlineStr">
        <is>
          <t>大将军转向</t>
        </is>
      </c>
      <c r="O1198" s="14" t="inlineStr">
        <is>
          <t>是</t>
        </is>
      </c>
    </row>
    <row r="1199">
      <c r="A1199" s="14" t="inlineStr">
        <is>
          <t>2024-01-15</t>
        </is>
      </c>
      <c r="B1199" s="14" t="inlineStr">
        <is>
          <t>2024-01-19</t>
        </is>
      </c>
      <c r="C1199" s="14" t="inlineStr">
        <is>
          <t>棉花</t>
        </is>
      </c>
      <c r="D1199" s="14" t="inlineStr">
        <is>
          <t>CF</t>
        </is>
      </c>
      <c r="E1199" s="14" t="inlineStr">
        <is>
          <t>空</t>
        </is>
      </c>
      <c r="F1199" s="14" t="inlineStr">
        <is>
          <t>★★</t>
        </is>
      </c>
      <c r="G1199" s="14" t="n">
        <v>3</v>
      </c>
      <c r="H1199" s="15" t="n">
        <v>15420</v>
      </c>
      <c r="I1199" s="15" t="n">
        <v>15933.21</v>
      </c>
      <c r="J1199" s="14" t="n">
        <v>5</v>
      </c>
      <c r="K1199" s="14" t="n">
        <v>10000</v>
      </c>
      <c r="L1199" s="25">
        <f>IF(E1199="多",1,-1)*(I1199-H1199)*G1199*J1199</f>
        <v/>
      </c>
      <c r="M1199" s="26">
        <f>L1199/K1199</f>
        <v/>
      </c>
      <c r="N1199" s="14" t="inlineStr">
        <is>
          <t>止损</t>
        </is>
      </c>
      <c r="O1199" s="14" t="inlineStr">
        <is>
          <t>是</t>
        </is>
      </c>
    </row>
    <row r="1200">
      <c r="A1200" s="14" t="inlineStr">
        <is>
          <t>2024-01-17</t>
        </is>
      </c>
      <c r="B1200" s="14" t="inlineStr">
        <is>
          <t>2024-01-18</t>
        </is>
      </c>
      <c r="C1200" s="14" t="inlineStr">
        <is>
          <t>乙二醇</t>
        </is>
      </c>
      <c r="D1200" s="14" t="inlineStr">
        <is>
          <t>EG</t>
        </is>
      </c>
      <c r="E1200" s="14" t="inlineStr">
        <is>
          <t>多</t>
        </is>
      </c>
      <c r="F1200" s="14" t="inlineStr">
        <is>
          <t>★★</t>
        </is>
      </c>
      <c r="G1200" s="14" t="n">
        <v>2</v>
      </c>
      <c r="H1200" s="15" t="n">
        <v>4672</v>
      </c>
      <c r="I1200" s="15" t="n">
        <v>4679</v>
      </c>
      <c r="J1200" s="14" t="n">
        <v>10</v>
      </c>
      <c r="K1200" s="14" t="n">
        <v>10000</v>
      </c>
      <c r="L1200" s="25">
        <f>IF(E1200="多",1,-1)*(I1200-H1200)*G1200*J1200</f>
        <v/>
      </c>
      <c r="M1200" s="26">
        <f>L1200/K1200</f>
        <v/>
      </c>
      <c r="N1200" s="14" t="inlineStr">
        <is>
          <t>将军撤退+大将军转向</t>
        </is>
      </c>
      <c r="O1200" s="14" t="inlineStr">
        <is>
          <t>是</t>
        </is>
      </c>
    </row>
    <row r="1201">
      <c r="A1201" s="14" t="inlineStr">
        <is>
          <t>2024-01-16</t>
        </is>
      </c>
      <c r="B1201" s="14" t="inlineStr">
        <is>
          <t>2024-01-18</t>
        </is>
      </c>
      <c r="C1201" s="14" t="inlineStr">
        <is>
          <t>豆粕</t>
        </is>
      </c>
      <c r="D1201" s="14" t="inlineStr">
        <is>
          <t>M</t>
        </is>
      </c>
      <c r="E1201" s="14" t="inlineStr">
        <is>
          <t>空</t>
        </is>
      </c>
      <c r="F1201" s="14" t="inlineStr">
        <is>
          <t>★★★</t>
        </is>
      </c>
      <c r="G1201" s="14" t="n">
        <v>6</v>
      </c>
      <c r="H1201" s="15" t="n">
        <v>3084</v>
      </c>
      <c r="I1201" s="15" t="n">
        <v>3028</v>
      </c>
      <c r="J1201" s="14" t="n">
        <v>10</v>
      </c>
      <c r="K1201" s="14" t="n">
        <v>10000</v>
      </c>
      <c r="L1201" s="25">
        <f>IF(E1201="多",1,-1)*(I1201-H1201)*G1201*J1201</f>
        <v/>
      </c>
      <c r="M1201" s="26">
        <f>L1201/K1201</f>
        <v/>
      </c>
      <c r="N1201" s="14" t="inlineStr">
        <is>
          <t>将军撤退+大将军转向</t>
        </is>
      </c>
      <c r="O1201" s="14" t="inlineStr">
        <is>
          <t>是</t>
        </is>
      </c>
    </row>
    <row r="1202">
      <c r="A1202" s="14" t="inlineStr">
        <is>
          <t>2024-01-16</t>
        </is>
      </c>
      <c r="B1202" s="14" t="inlineStr">
        <is>
          <t>2024-01-18</t>
        </is>
      </c>
      <c r="C1202" s="14" t="inlineStr">
        <is>
          <t>沪铜</t>
        </is>
      </c>
      <c r="D1202" s="14" t="inlineStr">
        <is>
          <t>CU</t>
        </is>
      </c>
      <c r="E1202" s="14" t="inlineStr">
        <is>
          <t>空</t>
        </is>
      </c>
      <c r="F1202" s="14" t="inlineStr">
        <is>
          <t>★★</t>
        </is>
      </c>
      <c r="G1202" s="14" t="n">
        <v>1</v>
      </c>
      <c r="H1202" s="15" t="n">
        <v>68020</v>
      </c>
      <c r="I1202" s="15" t="n">
        <v>67870</v>
      </c>
      <c r="J1202" s="14" t="n">
        <v>5</v>
      </c>
      <c r="K1202" s="14" t="n">
        <v>10000</v>
      </c>
      <c r="L1202" s="25">
        <f>IF(E1202="多",1,-1)*(I1202-H1202)*G1202*J1202</f>
        <v/>
      </c>
      <c r="M1202" s="26">
        <f>L1202/K1202</f>
        <v/>
      </c>
      <c r="N1202" s="14" t="inlineStr">
        <is>
          <t>大将军转向</t>
        </is>
      </c>
      <c r="O1202" s="14" t="inlineStr">
        <is>
          <t>是</t>
        </is>
      </c>
    </row>
    <row r="1203">
      <c r="A1203" s="14" t="inlineStr">
        <is>
          <t>2024-01-16</t>
        </is>
      </c>
      <c r="B1203" s="14" t="inlineStr">
        <is>
          <t>2024-01-17</t>
        </is>
      </c>
      <c r="C1203" s="14" t="inlineStr">
        <is>
          <t>白糖</t>
        </is>
      </c>
      <c r="D1203" s="14" t="inlineStr">
        <is>
          <t>SR</t>
        </is>
      </c>
      <c r="E1203" s="14" t="inlineStr">
        <is>
          <t>多</t>
        </is>
      </c>
      <c r="F1203" s="14" t="inlineStr">
        <is>
          <t>★★</t>
        </is>
      </c>
      <c r="G1203" s="14" t="n">
        <v>4</v>
      </c>
      <c r="H1203" s="15" t="n">
        <v>6315</v>
      </c>
      <c r="I1203" s="15" t="n">
        <v>6345</v>
      </c>
      <c r="J1203" s="14" t="n">
        <v>10</v>
      </c>
      <c r="K1203" s="14" t="n">
        <v>10000</v>
      </c>
      <c r="L1203" s="25">
        <f>IF(E1203="多",1,-1)*(I1203-H1203)*G1203*J1203</f>
        <v/>
      </c>
      <c r="M1203" s="26">
        <f>L1203/K1203</f>
        <v/>
      </c>
      <c r="N1203" s="14" t="inlineStr">
        <is>
          <t>将军撤退</t>
        </is>
      </c>
      <c r="O1203" s="14" t="inlineStr">
        <is>
          <t>是</t>
        </is>
      </c>
    </row>
    <row r="1204">
      <c r="A1204" s="2" t="inlineStr">
        <is>
          <t>2024-01-11</t>
        </is>
      </c>
      <c r="B1204" s="2" t="inlineStr">
        <is>
          <t>2024-01-17</t>
        </is>
      </c>
      <c r="C1204" s="2" t="inlineStr">
        <is>
          <t>沪锌</t>
        </is>
      </c>
      <c r="D1204" s="2" t="inlineStr">
        <is>
          <t>ZN</t>
        </is>
      </c>
      <c r="E1204" s="19" t="inlineStr">
        <is>
          <t>多</t>
        </is>
      </c>
      <c r="F1204" s="2" t="inlineStr">
        <is>
          <t>★★★</t>
        </is>
      </c>
      <c r="G1204" s="10" t="n">
        <v>5</v>
      </c>
      <c r="H1204" s="11" t="n">
        <v>21125</v>
      </c>
      <c r="I1204" s="11" t="n">
        <v>21100</v>
      </c>
      <c r="J1204" s="10" t="n">
        <v>5</v>
      </c>
      <c r="K1204" s="10" t="n">
        <v>16500</v>
      </c>
      <c r="L1204" s="23">
        <f>IF(E1204="多",1,-1)*(I1204-H1204)*G1204*J1204</f>
        <v/>
      </c>
      <c r="M1204" s="24">
        <f>L1204/K1204</f>
        <v/>
      </c>
      <c r="N1204" s="2" t="inlineStr">
        <is>
          <t>将军撤退</t>
        </is>
      </c>
      <c r="O1204" s="2" t="inlineStr">
        <is>
          <t>否</t>
        </is>
      </c>
    </row>
    <row r="1205">
      <c r="A1205" s="2" t="inlineStr">
        <is>
          <t>2024-01-12</t>
        </is>
      </c>
      <c r="B1205" s="2" t="inlineStr">
        <is>
          <t>2024-01-16</t>
        </is>
      </c>
      <c r="C1205" s="2" t="inlineStr">
        <is>
          <t>纯碱</t>
        </is>
      </c>
      <c r="D1205" s="2" t="inlineStr">
        <is>
          <t>SA</t>
        </is>
      </c>
      <c r="E1205" s="9" t="inlineStr">
        <is>
          <t>空</t>
        </is>
      </c>
      <c r="F1205" s="2" t="inlineStr">
        <is>
          <t>★★★</t>
        </is>
      </c>
      <c r="G1205" s="10" t="n">
        <v>4</v>
      </c>
      <c r="H1205" s="11" t="n">
        <v>1832</v>
      </c>
      <c r="I1205" s="11" t="n">
        <v>1912</v>
      </c>
      <c r="J1205" s="10" t="n">
        <v>20</v>
      </c>
      <c r="K1205" s="10" t="n">
        <v>16900</v>
      </c>
      <c r="L1205" s="23">
        <f>IF(E1205="多",1,-1)*(I1205-H1205)*G1205*J1205</f>
        <v/>
      </c>
      <c r="M1205" s="24">
        <f>L1205/K1205</f>
        <v/>
      </c>
      <c r="N1205" s="2" t="inlineStr">
        <is>
          <t>将军撤退+大将军转向</t>
        </is>
      </c>
      <c r="O1205" s="2" t="inlineStr">
        <is>
          <t>否</t>
        </is>
      </c>
    </row>
    <row r="1206">
      <c r="A1206" s="14" t="inlineStr">
        <is>
          <t>2024-01-08</t>
        </is>
      </c>
      <c r="B1206" s="14" t="inlineStr">
        <is>
          <t>2024-01-16</t>
        </is>
      </c>
      <c r="C1206" s="14" t="inlineStr">
        <is>
          <t>苯乙烯</t>
        </is>
      </c>
      <c r="D1206" s="14" t="inlineStr">
        <is>
          <t>EB</t>
        </is>
      </c>
      <c r="E1206" s="14" t="inlineStr">
        <is>
          <t>空</t>
        </is>
      </c>
      <c r="F1206" s="14" t="inlineStr">
        <is>
          <t>★★</t>
        </is>
      </c>
      <c r="G1206" s="14" t="n">
        <v>3</v>
      </c>
      <c r="H1206" s="15" t="n">
        <v>8330</v>
      </c>
      <c r="I1206" s="15" t="n">
        <v>8749.790000000001</v>
      </c>
      <c r="J1206" s="14" t="n">
        <v>5</v>
      </c>
      <c r="K1206" s="14" t="n">
        <v>10000</v>
      </c>
      <c r="L1206" s="25">
        <f>IF(E1206="多",1,-1)*(I1206-H1206)*G1206*J1206</f>
        <v/>
      </c>
      <c r="M1206" s="26">
        <f>L1206/K1206</f>
        <v/>
      </c>
      <c r="N1206" s="14" t="inlineStr">
        <is>
          <t>止损</t>
        </is>
      </c>
      <c r="O1206" s="14" t="inlineStr">
        <is>
          <t>是</t>
        </is>
      </c>
    </row>
    <row r="1207">
      <c r="A1207" s="14" t="inlineStr">
        <is>
          <t>2024-01-10</t>
        </is>
      </c>
      <c r="B1207" s="14" t="inlineStr">
        <is>
          <t>2024-01-15</t>
        </is>
      </c>
      <c r="C1207" s="14" t="inlineStr">
        <is>
          <t>硅铁</t>
        </is>
      </c>
      <c r="D1207" s="14" t="inlineStr">
        <is>
          <t>SF</t>
        </is>
      </c>
      <c r="E1207" s="14" t="inlineStr">
        <is>
          <t>空</t>
        </is>
      </c>
      <c r="F1207" s="14" t="inlineStr">
        <is>
          <t>★★</t>
        </is>
      </c>
      <c r="G1207" s="14" t="n">
        <v>7</v>
      </c>
      <c r="H1207" s="15" t="n">
        <v>6680</v>
      </c>
      <c r="I1207" s="15" t="n">
        <v>6694</v>
      </c>
      <c r="J1207" s="14" t="n">
        <v>5</v>
      </c>
      <c r="K1207" s="14" t="n">
        <v>10000</v>
      </c>
      <c r="L1207" s="25">
        <f>IF(E1207="多",1,-1)*(I1207-H1207)*G1207*J1207</f>
        <v/>
      </c>
      <c r="M1207" s="26">
        <f>L1207/K1207</f>
        <v/>
      </c>
      <c r="N1207" s="14" t="inlineStr">
        <is>
          <t>大将军转向</t>
        </is>
      </c>
      <c r="O1207" s="14" t="inlineStr">
        <is>
          <t>是</t>
        </is>
      </c>
    </row>
    <row r="1208">
      <c r="A1208" s="14" t="inlineStr">
        <is>
          <t>2024-01-05</t>
        </is>
      </c>
      <c r="B1208" s="14" t="inlineStr">
        <is>
          <t>2024-01-15</t>
        </is>
      </c>
      <c r="C1208" s="14" t="inlineStr">
        <is>
          <t>沪镍</t>
        </is>
      </c>
      <c r="D1208" s="14" t="inlineStr">
        <is>
          <t>NI</t>
        </is>
      </c>
      <c r="E1208" s="14" t="inlineStr">
        <is>
          <t>空</t>
        </is>
      </c>
      <c r="F1208" s="14" t="inlineStr">
        <is>
          <t>★★</t>
        </is>
      </c>
      <c r="G1208" s="14" t="n">
        <v>1</v>
      </c>
      <c r="H1208" s="15" t="n">
        <v>123300</v>
      </c>
      <c r="I1208" s="15" t="n">
        <v>127200</v>
      </c>
      <c r="J1208" s="14" t="n">
        <v>1</v>
      </c>
      <c r="K1208" s="14" t="n">
        <v>10000</v>
      </c>
      <c r="L1208" s="25">
        <f>IF(E1208="多",1,-1)*(I1208-H1208)*G1208*J1208</f>
        <v/>
      </c>
      <c r="M1208" s="26">
        <f>L1208/K1208</f>
        <v/>
      </c>
      <c r="N1208" s="14" t="inlineStr">
        <is>
          <t>将军撤退</t>
        </is>
      </c>
      <c r="O1208" s="14" t="inlineStr">
        <is>
          <t>是</t>
        </is>
      </c>
    </row>
    <row r="1209">
      <c r="A1209" s="2" t="inlineStr">
        <is>
          <t>2024-01-05</t>
        </is>
      </c>
      <c r="B1209" s="2" t="inlineStr">
        <is>
          <t>2024-01-15</t>
        </is>
      </c>
      <c r="C1209" s="2" t="inlineStr">
        <is>
          <t>豆粕</t>
        </is>
      </c>
      <c r="D1209" s="2" t="inlineStr">
        <is>
          <t>M</t>
        </is>
      </c>
      <c r="E1209" s="9" t="inlineStr">
        <is>
          <t>空</t>
        </is>
      </c>
      <c r="F1209" s="2" t="inlineStr">
        <is>
          <t>★★★</t>
        </is>
      </c>
      <c r="G1209" s="10" t="n">
        <v>12</v>
      </c>
      <c r="H1209" s="11" t="n">
        <v>3200</v>
      </c>
      <c r="I1209" s="11" t="n">
        <v>3072</v>
      </c>
      <c r="J1209" s="10" t="n">
        <v>10</v>
      </c>
      <c r="K1209" s="10" t="n">
        <v>18500</v>
      </c>
      <c r="L1209" s="23">
        <f>IF(E1209="多",1,-1)*(I1209-H1209)*G1209*J1209</f>
        <v/>
      </c>
      <c r="M1209" s="24">
        <f>L1209/K1209</f>
        <v/>
      </c>
      <c r="N1209" s="2" t="inlineStr">
        <is>
          <t>将军撤退</t>
        </is>
      </c>
      <c r="O1209" s="2" t="inlineStr">
        <is>
          <t>否</t>
        </is>
      </c>
    </row>
    <row r="1210">
      <c r="A1210" s="14" t="inlineStr">
        <is>
          <t>2024-01-03</t>
        </is>
      </c>
      <c r="B1210" s="14" t="inlineStr">
        <is>
          <t>2024-01-15</t>
        </is>
      </c>
      <c r="C1210" s="14" t="inlineStr">
        <is>
          <t>棉花</t>
        </is>
      </c>
      <c r="D1210" s="14" t="inlineStr">
        <is>
          <t>CF</t>
        </is>
      </c>
      <c r="E1210" s="14" t="inlineStr">
        <is>
          <t>多</t>
        </is>
      </c>
      <c r="F1210" s="14" t="inlineStr">
        <is>
          <t>★★</t>
        </is>
      </c>
      <c r="G1210" s="14" t="n">
        <v>3</v>
      </c>
      <c r="H1210" s="15" t="n">
        <v>15645</v>
      </c>
      <c r="I1210" s="15" t="n">
        <v>15435</v>
      </c>
      <c r="J1210" s="14" t="n">
        <v>5</v>
      </c>
      <c r="K1210" s="14" t="n">
        <v>10000</v>
      </c>
      <c r="L1210" s="25">
        <f>IF(E1210="多",1,-1)*(I1210-H1210)*G1210*J1210</f>
        <v/>
      </c>
      <c r="M1210" s="26">
        <f>L1210/K1210</f>
        <v/>
      </c>
      <c r="N1210" s="14" t="inlineStr">
        <is>
          <t>反向信号</t>
        </is>
      </c>
      <c r="O1210" s="14" t="inlineStr">
        <is>
          <t>是</t>
        </is>
      </c>
    </row>
    <row r="1211">
      <c r="A1211" s="2" t="inlineStr">
        <is>
          <t>2024-01-11</t>
        </is>
      </c>
      <c r="B1211" s="2" t="inlineStr">
        <is>
          <t>2024-01-12</t>
        </is>
      </c>
      <c r="C1211" s="2" t="inlineStr">
        <is>
          <t>菜粕</t>
        </is>
      </c>
      <c r="D1211" s="2" t="inlineStr">
        <is>
          <t>RM</t>
        </is>
      </c>
      <c r="E1211" s="9" t="inlineStr">
        <is>
          <t>空</t>
        </is>
      </c>
      <c r="F1211" s="2" t="inlineStr">
        <is>
          <t>★★★</t>
        </is>
      </c>
      <c r="G1211" s="10" t="n">
        <v>5</v>
      </c>
      <c r="H1211" s="11" t="n">
        <v>2590</v>
      </c>
      <c r="I1211" s="11" t="n">
        <v>2575</v>
      </c>
      <c r="J1211" s="10" t="n">
        <v>10</v>
      </c>
      <c r="K1211" s="10" t="n">
        <v>11500</v>
      </c>
      <c r="L1211" s="23">
        <f>IF(E1211="多",1,-1)*(I1211-H1211)*G1211*J1211</f>
        <v/>
      </c>
      <c r="M1211" s="24">
        <f>L1211/K1211</f>
        <v/>
      </c>
      <c r="N1211" s="2" t="inlineStr">
        <is>
          <t>将军撤退+大将军转向</t>
        </is>
      </c>
      <c r="O1211" s="2" t="inlineStr">
        <is>
          <t>否</t>
        </is>
      </c>
    </row>
    <row r="1212">
      <c r="A1212" s="2" t="inlineStr">
        <is>
          <t>2024-01-08</t>
        </is>
      </c>
      <c r="B1212" s="2" t="inlineStr">
        <is>
          <t>2024-01-12</t>
        </is>
      </c>
      <c r="C1212" s="2" t="inlineStr">
        <is>
          <t>聚丙烯</t>
        </is>
      </c>
      <c r="D1212" s="2" t="inlineStr">
        <is>
          <t>PP</t>
        </is>
      </c>
      <c r="E1212" s="9" t="inlineStr">
        <is>
          <t>空</t>
        </is>
      </c>
      <c r="F1212" s="2" t="inlineStr">
        <is>
          <t>★★★</t>
        </is>
      </c>
      <c r="G1212" s="10" t="n">
        <v>13</v>
      </c>
      <c r="H1212" s="11" t="n">
        <v>7312</v>
      </c>
      <c r="I1212" s="11" t="n">
        <v>7266</v>
      </c>
      <c r="J1212" s="10" t="n">
        <v>5</v>
      </c>
      <c r="K1212" s="10" t="n">
        <v>16900</v>
      </c>
      <c r="L1212" s="23">
        <f>IF(E1212="多",1,-1)*(I1212-H1212)*G1212*J1212</f>
        <v/>
      </c>
      <c r="M1212" s="24">
        <f>L1212/K1212</f>
        <v/>
      </c>
      <c r="N1212" s="2" t="inlineStr">
        <is>
          <t>将军撤退</t>
        </is>
      </c>
      <c r="O1212" s="2" t="inlineStr">
        <is>
          <t>否</t>
        </is>
      </c>
    </row>
    <row r="1213">
      <c r="A1213" s="2" t="inlineStr">
        <is>
          <t>2024-01-09</t>
        </is>
      </c>
      <c r="B1213" s="2" t="inlineStr">
        <is>
          <t>2024-01-11</t>
        </is>
      </c>
      <c r="C1213" s="2" t="inlineStr">
        <is>
          <t>纯碱</t>
        </is>
      </c>
      <c r="D1213" s="2" t="inlineStr">
        <is>
          <t>SA</t>
        </is>
      </c>
      <c r="E1213" s="9" t="inlineStr">
        <is>
          <t>空</t>
        </is>
      </c>
      <c r="F1213" s="2" t="inlineStr">
        <is>
          <t>★★★</t>
        </is>
      </c>
      <c r="G1213" s="10" t="n">
        <v>3</v>
      </c>
      <c r="H1213" s="11" t="n">
        <v>1910</v>
      </c>
      <c r="I1213" s="11" t="n">
        <v>1862</v>
      </c>
      <c r="J1213" s="10" t="n">
        <v>20</v>
      </c>
      <c r="K1213" s="10" t="n">
        <v>16200</v>
      </c>
      <c r="L1213" s="23">
        <f>IF(E1213="多",1,-1)*(I1213-H1213)*G1213*J1213</f>
        <v/>
      </c>
      <c r="M1213" s="24">
        <f>L1213/K1213</f>
        <v/>
      </c>
      <c r="N1213" s="2" t="inlineStr">
        <is>
          <t>将军撤退</t>
        </is>
      </c>
      <c r="O1213" s="2" t="inlineStr">
        <is>
          <t>否</t>
        </is>
      </c>
    </row>
    <row r="1214">
      <c r="A1214" s="14" t="inlineStr">
        <is>
          <t>2024-01-04</t>
        </is>
      </c>
      <c r="B1214" s="14" t="inlineStr">
        <is>
          <t>2024-01-10</t>
        </is>
      </c>
      <c r="C1214" s="14" t="inlineStr">
        <is>
          <t>棕榈油</t>
        </is>
      </c>
      <c r="D1214" s="14" t="inlineStr">
        <is>
          <t>P</t>
        </is>
      </c>
      <c r="E1214" s="14" t="inlineStr">
        <is>
          <t>空</t>
        </is>
      </c>
      <c r="F1214" s="14" t="inlineStr">
        <is>
          <t>★★</t>
        </is>
      </c>
      <c r="G1214" s="14" t="n">
        <v>2</v>
      </c>
      <c r="H1214" s="15" t="n">
        <v>6988</v>
      </c>
      <c r="I1214" s="15" t="n">
        <v>7226</v>
      </c>
      <c r="J1214" s="14" t="n">
        <v>10</v>
      </c>
      <c r="K1214" s="14" t="n">
        <v>10000</v>
      </c>
      <c r="L1214" s="25">
        <f>IF(E1214="多",1,-1)*(I1214-H1214)*G1214*J1214</f>
        <v/>
      </c>
      <c r="M1214" s="26">
        <f>L1214/K1214</f>
        <v/>
      </c>
      <c r="N1214" s="14" t="inlineStr">
        <is>
          <t>大将军转向</t>
        </is>
      </c>
      <c r="O1214" s="14" t="inlineStr">
        <is>
          <t>是</t>
        </is>
      </c>
    </row>
    <row r="1215">
      <c r="A1215" s="14" t="inlineStr">
        <is>
          <t>2024-01-08</t>
        </is>
      </c>
      <c r="B1215" s="14" t="inlineStr">
        <is>
          <t>2024-01-09</t>
        </is>
      </c>
      <c r="C1215" s="14" t="inlineStr">
        <is>
          <t>硅铁</t>
        </is>
      </c>
      <c r="D1215" s="14" t="inlineStr">
        <is>
          <t>SF</t>
        </is>
      </c>
      <c r="E1215" s="14" t="inlineStr">
        <is>
          <t>空</t>
        </is>
      </c>
      <c r="F1215" s="14" t="inlineStr">
        <is>
          <t>★★</t>
        </is>
      </c>
      <c r="G1215" s="14" t="n">
        <v>7</v>
      </c>
      <c r="H1215" s="15" t="n">
        <v>6702</v>
      </c>
      <c r="I1215" s="15" t="n">
        <v>6702</v>
      </c>
      <c r="J1215" s="14" t="n">
        <v>5</v>
      </c>
      <c r="K1215" s="14" t="n">
        <v>10000</v>
      </c>
      <c r="L1215" s="25">
        <f>IF(E1215="多",1,-1)*(I1215-H1215)*G1215*J1215</f>
        <v/>
      </c>
      <c r="M1215" s="26">
        <f>L1215/K1215</f>
        <v/>
      </c>
      <c r="N1215" s="14" t="inlineStr">
        <is>
          <t>大将军转向</t>
        </is>
      </c>
      <c r="O1215" s="14" t="inlineStr">
        <is>
          <t>是</t>
        </is>
      </c>
    </row>
    <row r="1216">
      <c r="A1216" s="2" t="inlineStr">
        <is>
          <t>2024-01-02</t>
        </is>
      </c>
      <c r="B1216" s="2" t="inlineStr">
        <is>
          <t>2024-01-09</t>
        </is>
      </c>
      <c r="C1216" s="2" t="inlineStr">
        <is>
          <t>沪锌</t>
        </is>
      </c>
      <c r="D1216" s="2" t="inlineStr">
        <is>
          <t>ZN</t>
        </is>
      </c>
      <c r="E1216" s="19" t="inlineStr">
        <is>
          <t>多</t>
        </is>
      </c>
      <c r="F1216" s="2" t="inlineStr">
        <is>
          <t>★★★</t>
        </is>
      </c>
      <c r="G1216" s="10" t="n">
        <v>5</v>
      </c>
      <c r="H1216" s="11" t="n">
        <v>21555</v>
      </c>
      <c r="I1216" s="11" t="n">
        <v>21220</v>
      </c>
      <c r="J1216" s="10" t="n">
        <v>5</v>
      </c>
      <c r="K1216" s="10" t="n">
        <v>20300</v>
      </c>
      <c r="L1216" s="23">
        <f>IF(E1216="多",1,-1)*(I1216-H1216)*G1216*J1216</f>
        <v/>
      </c>
      <c r="M1216" s="24">
        <f>L1216/K1216</f>
        <v/>
      </c>
      <c r="N1216" s="2" t="inlineStr">
        <is>
          <t>大将军转向</t>
        </is>
      </c>
      <c r="O1216" s="2" t="inlineStr">
        <is>
          <t>否</t>
        </is>
      </c>
    </row>
    <row r="1217">
      <c r="A1217" s="14" t="inlineStr">
        <is>
          <t>2023-12-13</t>
        </is>
      </c>
      <c r="B1217" s="14" t="inlineStr">
        <is>
          <t>2024-01-09</t>
        </is>
      </c>
      <c r="C1217" s="14" t="inlineStr">
        <is>
          <t>沥青</t>
        </is>
      </c>
      <c r="D1217" s="14" t="inlineStr">
        <is>
          <t>BU</t>
        </is>
      </c>
      <c r="E1217" s="14" t="inlineStr">
        <is>
          <t>空</t>
        </is>
      </c>
      <c r="F1217" s="14" t="inlineStr">
        <is>
          <t>★★</t>
        </is>
      </c>
      <c r="G1217" s="14" t="n">
        <v>5</v>
      </c>
      <c r="H1217" s="15" t="n">
        <v>3687</v>
      </c>
      <c r="I1217" s="15" t="n">
        <v>3626</v>
      </c>
      <c r="J1217" s="14" t="n">
        <v>10</v>
      </c>
      <c r="K1217" s="14" t="n">
        <v>10000</v>
      </c>
      <c r="L1217" s="25">
        <f>IF(E1217="多",1,-1)*(I1217-H1217)*G1217*J1217</f>
        <v/>
      </c>
      <c r="M1217" s="26">
        <f>L1217/K1217</f>
        <v/>
      </c>
      <c r="N1217" s="14" t="inlineStr">
        <is>
          <t>将军撤退</t>
        </is>
      </c>
      <c r="O1217" s="14" t="inlineStr">
        <is>
          <t>是</t>
        </is>
      </c>
    </row>
    <row r="1218">
      <c r="A1218" s="2" t="inlineStr">
        <is>
          <t>2024-01-04</t>
        </is>
      </c>
      <c r="B1218" s="2" t="inlineStr">
        <is>
          <t>2024-01-08</t>
        </is>
      </c>
      <c r="C1218" s="2" t="inlineStr">
        <is>
          <t>纯碱</t>
        </is>
      </c>
      <c r="D1218" s="2" t="inlineStr">
        <is>
          <t>SA</t>
        </is>
      </c>
      <c r="E1218" s="9" t="inlineStr">
        <is>
          <t>空</t>
        </is>
      </c>
      <c r="F1218" s="2" t="inlineStr">
        <is>
          <t>★★★</t>
        </is>
      </c>
      <c r="G1218" s="10" t="n">
        <v>3</v>
      </c>
      <c r="H1218" s="11" t="n">
        <v>1988</v>
      </c>
      <c r="I1218" s="11" t="n">
        <v>1948</v>
      </c>
      <c r="J1218" s="10" t="n">
        <v>20</v>
      </c>
      <c r="K1218" s="10" t="n">
        <v>18500</v>
      </c>
      <c r="L1218" s="23">
        <f>IF(E1218="多",1,-1)*(I1218-H1218)*G1218*J1218</f>
        <v/>
      </c>
      <c r="M1218" s="24">
        <f>L1218/K1218</f>
        <v/>
      </c>
      <c r="N1218" s="2" t="inlineStr">
        <is>
          <t>将军撤退</t>
        </is>
      </c>
      <c r="O1218" s="2" t="inlineStr">
        <is>
          <t>否</t>
        </is>
      </c>
    </row>
    <row r="1219">
      <c r="A1219" s="14" t="inlineStr">
        <is>
          <t>2024-01-04</t>
        </is>
      </c>
      <c r="B1219" s="14" t="inlineStr">
        <is>
          <t>2024-01-08</t>
        </is>
      </c>
      <c r="C1219" s="14" t="inlineStr">
        <is>
          <t>菜油</t>
        </is>
      </c>
      <c r="D1219" s="14" t="inlineStr">
        <is>
          <t>OI</t>
        </is>
      </c>
      <c r="E1219" s="14" t="inlineStr">
        <is>
          <t>空</t>
        </is>
      </c>
      <c r="F1219" s="14" t="inlineStr">
        <is>
          <t>★★</t>
        </is>
      </c>
      <c r="G1219" s="14" t="n">
        <v>2</v>
      </c>
      <c r="H1219" s="15" t="n">
        <v>7840</v>
      </c>
      <c r="I1219" s="15" t="n">
        <v>7769</v>
      </c>
      <c r="J1219" s="14" t="n">
        <v>10</v>
      </c>
      <c r="K1219" s="14" t="n">
        <v>10000</v>
      </c>
      <c r="L1219" s="25">
        <f>IF(E1219="多",1,-1)*(I1219-H1219)*G1219*J1219</f>
        <v/>
      </c>
      <c r="M1219" s="26">
        <f>L1219/K1219</f>
        <v/>
      </c>
      <c r="N1219" s="14" t="inlineStr">
        <is>
          <t>大将军转向</t>
        </is>
      </c>
      <c r="O1219" s="14" t="inlineStr">
        <is>
          <t>是</t>
        </is>
      </c>
    </row>
    <row r="1220">
      <c r="A1220" s="2" t="inlineStr">
        <is>
          <t>2024-01-02</t>
        </is>
      </c>
      <c r="B1220" s="2" t="inlineStr">
        <is>
          <t>2024-01-08</t>
        </is>
      </c>
      <c r="C1220" s="2" t="inlineStr">
        <is>
          <t>热卷</t>
        </is>
      </c>
      <c r="D1220" s="2" t="inlineStr">
        <is>
          <t>HC</t>
        </is>
      </c>
      <c r="E1220" s="19" t="inlineStr">
        <is>
          <t>多</t>
        </is>
      </c>
      <c r="F1220" s="2" t="inlineStr">
        <is>
          <t>★★★</t>
        </is>
      </c>
      <c r="G1220" s="10" t="n">
        <v>12</v>
      </c>
      <c r="H1220" s="11" t="n">
        <v>4145</v>
      </c>
      <c r="I1220" s="11" t="n">
        <v>4045.93</v>
      </c>
      <c r="J1220" s="10" t="n">
        <v>10</v>
      </c>
      <c r="K1220" s="10" t="n">
        <v>20300</v>
      </c>
      <c r="L1220" s="23">
        <f>IF(E1220="多",1,-1)*(I1220-H1220)*G1220*J1220</f>
        <v/>
      </c>
      <c r="M1220" s="24">
        <f>L1220/K1220</f>
        <v/>
      </c>
      <c r="N1220" s="2" t="inlineStr">
        <is>
          <t>止损</t>
        </is>
      </c>
      <c r="O1220" s="2" t="inlineStr">
        <is>
          <t>否</t>
        </is>
      </c>
    </row>
    <row r="1221">
      <c r="A1221" s="2" t="inlineStr">
        <is>
          <t>2023-12-27</t>
        </is>
      </c>
      <c r="B1221" s="2" t="inlineStr">
        <is>
          <t>2024-01-08</t>
        </is>
      </c>
      <c r="C1221" s="2" t="inlineStr">
        <is>
          <t>沪铝</t>
        </is>
      </c>
      <c r="D1221" s="2" t="inlineStr">
        <is>
          <t>AL</t>
        </is>
      </c>
      <c r="E1221" s="19" t="inlineStr">
        <is>
          <t>多</t>
        </is>
      </c>
      <c r="F1221" s="2" t="inlineStr">
        <is>
          <t>★★★</t>
        </is>
      </c>
      <c r="G1221" s="10" t="n">
        <v>6</v>
      </c>
      <c r="H1221" s="11" t="n">
        <v>19415</v>
      </c>
      <c r="I1221" s="11" t="n">
        <v>19043.57</v>
      </c>
      <c r="J1221" s="10" t="n">
        <v>5</v>
      </c>
      <c r="K1221" s="10" t="n">
        <v>19700</v>
      </c>
      <c r="L1221" s="23">
        <f>IF(E1221="多",1,-1)*(I1221-H1221)*G1221*J1221</f>
        <v/>
      </c>
      <c r="M1221" s="24">
        <f>L1221/K1221</f>
        <v/>
      </c>
      <c r="N1221" s="2" t="inlineStr">
        <is>
          <t>止损</t>
        </is>
      </c>
      <c r="O1221" s="2" t="inlineStr">
        <is>
          <t>否</t>
        </is>
      </c>
    </row>
    <row r="1222">
      <c r="A1222" s="14" t="inlineStr">
        <is>
          <t>2024-01-03</t>
        </is>
      </c>
      <c r="B1222" s="14" t="inlineStr">
        <is>
          <t>2024-01-05</t>
        </is>
      </c>
      <c r="C1222" s="14" t="inlineStr">
        <is>
          <t>乙二醇</t>
        </is>
      </c>
      <c r="D1222" s="14" t="inlineStr">
        <is>
          <t>EG</t>
        </is>
      </c>
      <c r="E1222" s="14" t="inlineStr">
        <is>
          <t>多</t>
        </is>
      </c>
      <c r="F1222" s="14" t="inlineStr">
        <is>
          <t>★★</t>
        </is>
      </c>
      <c r="G1222" s="14" t="n">
        <v>3</v>
      </c>
      <c r="H1222" s="15" t="n">
        <v>4581</v>
      </c>
      <c r="I1222" s="15" t="n">
        <v>4682</v>
      </c>
      <c r="J1222" s="14" t="n">
        <v>10</v>
      </c>
      <c r="K1222" s="14" t="n">
        <v>10000</v>
      </c>
      <c r="L1222" s="25">
        <f>IF(E1222="多",1,-1)*(I1222-H1222)*G1222*J1222</f>
        <v/>
      </c>
      <c r="M1222" s="26">
        <f>L1222/K1222</f>
        <v/>
      </c>
      <c r="N1222" s="14" t="inlineStr">
        <is>
          <t>将军撤退</t>
        </is>
      </c>
      <c r="O1222" s="14" t="inlineStr">
        <is>
          <t>是</t>
        </is>
      </c>
    </row>
    <row r="1223">
      <c r="A1223" s="14" t="inlineStr">
        <is>
          <t>2023-12-22</t>
        </is>
      </c>
      <c r="B1223" s="14" t="inlineStr">
        <is>
          <t>2024-01-05</t>
        </is>
      </c>
      <c r="C1223" s="14" t="inlineStr">
        <is>
          <t>聚丙烯</t>
        </is>
      </c>
      <c r="D1223" s="14" t="inlineStr">
        <is>
          <t>PP</t>
        </is>
      </c>
      <c r="E1223" s="14" t="inlineStr">
        <is>
          <t>多</t>
        </is>
      </c>
      <c r="F1223" s="14" t="inlineStr">
        <is>
          <t>★★</t>
        </is>
      </c>
      <c r="G1223" s="14" t="n">
        <v>7</v>
      </c>
      <c r="H1223" s="15" t="n">
        <v>7624</v>
      </c>
      <c r="I1223" s="15" t="n">
        <v>7412.43</v>
      </c>
      <c r="J1223" s="14" t="n">
        <v>5</v>
      </c>
      <c r="K1223" s="14" t="n">
        <v>10000</v>
      </c>
      <c r="L1223" s="25">
        <f>IF(E1223="多",1,-1)*(I1223-H1223)*G1223*J1223</f>
        <v/>
      </c>
      <c r="M1223" s="26">
        <f>L1223/K1223</f>
        <v/>
      </c>
      <c r="N1223" s="14" t="inlineStr">
        <is>
          <t>止损</t>
        </is>
      </c>
      <c r="O1223" s="14" t="inlineStr">
        <is>
          <t>是</t>
        </is>
      </c>
    </row>
    <row r="1224">
      <c r="A1224" s="2" t="inlineStr">
        <is>
          <t>2024-01-02</t>
        </is>
      </c>
      <c r="B1224" s="2" t="inlineStr">
        <is>
          <t>2024-01-03</t>
        </is>
      </c>
      <c r="C1224" s="2" t="inlineStr">
        <is>
          <t>纯碱</t>
        </is>
      </c>
      <c r="D1224" s="2" t="inlineStr">
        <is>
          <t>SA</t>
        </is>
      </c>
      <c r="E1224" s="9" t="inlineStr">
        <is>
          <t>空</t>
        </is>
      </c>
      <c r="F1224" s="2" t="inlineStr">
        <is>
          <t>★★★</t>
        </is>
      </c>
      <c r="G1224" s="10" t="n">
        <v>3</v>
      </c>
      <c r="H1224" s="11" t="n">
        <v>2010</v>
      </c>
      <c r="I1224" s="11" t="n">
        <v>2074</v>
      </c>
      <c r="J1224" s="10" t="n">
        <v>20</v>
      </c>
      <c r="K1224" s="10" t="n">
        <v>19400</v>
      </c>
      <c r="L1224" s="23">
        <f>IF(E1224="多",1,-1)*(I1224-H1224)*G1224*J1224</f>
        <v/>
      </c>
      <c r="M1224" s="24">
        <f>L1224/K1224</f>
        <v/>
      </c>
      <c r="N1224" s="2" t="inlineStr">
        <is>
          <t>大将军转向</t>
        </is>
      </c>
      <c r="O1224" s="2" t="inlineStr">
        <is>
          <t>否</t>
        </is>
      </c>
    </row>
    <row r="1225">
      <c r="A1225" s="14" t="inlineStr">
        <is>
          <t>2023-12-29</t>
        </is>
      </c>
      <c r="B1225" s="14" t="inlineStr">
        <is>
          <t>2024-01-03</t>
        </is>
      </c>
      <c r="C1225" s="14" t="inlineStr">
        <is>
          <t>菜油</t>
        </is>
      </c>
      <c r="D1225" s="14" t="inlineStr">
        <is>
          <t>OI</t>
        </is>
      </c>
      <c r="E1225" s="14" t="inlineStr">
        <is>
          <t>空</t>
        </is>
      </c>
      <c r="F1225" s="14" t="inlineStr">
        <is>
          <t>★★</t>
        </is>
      </c>
      <c r="G1225" s="14" t="n">
        <v>2</v>
      </c>
      <c r="H1225" s="15" t="n">
        <v>7970</v>
      </c>
      <c r="I1225" s="15" t="n">
        <v>7816</v>
      </c>
      <c r="J1225" s="14" t="n">
        <v>10</v>
      </c>
      <c r="K1225" s="14" t="n">
        <v>10000</v>
      </c>
      <c r="L1225" s="25">
        <f>IF(E1225="多",1,-1)*(I1225-H1225)*G1225*J1225</f>
        <v/>
      </c>
      <c r="M1225" s="26">
        <f>L1225/K1225</f>
        <v/>
      </c>
      <c r="N1225" s="14" t="inlineStr">
        <is>
          <t>大将军转向</t>
        </is>
      </c>
      <c r="O1225" s="14" t="inlineStr">
        <is>
          <t>是</t>
        </is>
      </c>
    </row>
    <row r="1226">
      <c r="A1226" s="2" t="inlineStr">
        <is>
          <t>2023-12-28</t>
        </is>
      </c>
      <c r="B1226" s="2" t="inlineStr">
        <is>
          <t>2024-01-03</t>
        </is>
      </c>
      <c r="C1226" s="2" t="inlineStr">
        <is>
          <t>菜粕</t>
        </is>
      </c>
      <c r="D1226" s="2" t="inlineStr">
        <is>
          <t>RM</t>
        </is>
      </c>
      <c r="E1226" s="19" t="inlineStr">
        <is>
          <t>多</t>
        </is>
      </c>
      <c r="F1226" s="2" t="inlineStr">
        <is>
          <t>★★★</t>
        </is>
      </c>
      <c r="G1226" s="10" t="n">
        <v>10</v>
      </c>
      <c r="H1226" s="11" t="n">
        <v>2928</v>
      </c>
      <c r="I1226" s="11" t="n">
        <v>2754.93</v>
      </c>
      <c r="J1226" s="10" t="n">
        <v>10</v>
      </c>
      <c r="K1226" s="10" t="n">
        <v>20300</v>
      </c>
      <c r="L1226" s="23">
        <f>IF(E1226="多",1,-1)*(I1226-H1226)*G1226*J1226</f>
        <v/>
      </c>
      <c r="M1226" s="24">
        <f>L1226/K1226</f>
        <v/>
      </c>
      <c r="N1226" s="2" t="inlineStr">
        <is>
          <t>止损</t>
        </is>
      </c>
      <c r="O1226" s="2" t="inlineStr">
        <is>
          <t>否</t>
        </is>
      </c>
    </row>
    <row r="1227">
      <c r="A1227" s="14" t="inlineStr">
        <is>
          <t>2023-12-27</t>
        </is>
      </c>
      <c r="B1227" s="14" t="inlineStr">
        <is>
          <t>2024-01-03</t>
        </is>
      </c>
      <c r="C1227" s="14" t="inlineStr">
        <is>
          <t>苯乙烯</t>
        </is>
      </c>
      <c r="D1227" s="14" t="inlineStr">
        <is>
          <t>EB</t>
        </is>
      </c>
      <c r="E1227" s="14" t="inlineStr">
        <is>
          <t>多</t>
        </is>
      </c>
      <c r="F1227" s="14" t="inlineStr">
        <is>
          <t>★★★</t>
        </is>
      </c>
      <c r="G1227" s="14" t="n">
        <v>3</v>
      </c>
      <c r="H1227" s="15" t="n">
        <v>8578</v>
      </c>
      <c r="I1227" s="15" t="n">
        <v>8543</v>
      </c>
      <c r="J1227" s="14" t="n">
        <v>5</v>
      </c>
      <c r="K1227" s="14" t="n">
        <v>10000</v>
      </c>
      <c r="L1227" s="25">
        <f>IF(E1227="多",1,-1)*(I1227-H1227)*G1227*J1227</f>
        <v/>
      </c>
      <c r="M1227" s="26">
        <f>L1227/K1227</f>
        <v/>
      </c>
      <c r="N1227" s="14" t="inlineStr">
        <is>
          <t>大将军转向</t>
        </is>
      </c>
      <c r="O1227" s="14" t="inlineStr">
        <is>
          <t>是</t>
        </is>
      </c>
    </row>
    <row r="1228">
      <c r="A1228" s="2" t="inlineStr">
        <is>
          <t>2023-12-28</t>
        </is>
      </c>
      <c r="B1228" s="2" t="inlineStr">
        <is>
          <t>2024-01-02</t>
        </is>
      </c>
      <c r="C1228" s="2" t="inlineStr">
        <is>
          <t>PTA</t>
        </is>
      </c>
      <c r="D1228" s="2" t="inlineStr">
        <is>
          <t>TA</t>
        </is>
      </c>
      <c r="E1228" s="19" t="inlineStr">
        <is>
          <t>多</t>
        </is>
      </c>
      <c r="F1228" s="2" t="inlineStr">
        <is>
          <t>★★★</t>
        </is>
      </c>
      <c r="G1228" s="10" t="n">
        <v>13</v>
      </c>
      <c r="H1228" s="11" t="n">
        <v>5978</v>
      </c>
      <c r="I1228" s="11" t="n">
        <v>5942</v>
      </c>
      <c r="J1228" s="10" t="n">
        <v>5</v>
      </c>
      <c r="K1228" s="10" t="n">
        <v>20300</v>
      </c>
      <c r="L1228" s="23">
        <f>IF(E1228="多",1,-1)*(I1228-H1228)*G1228*J1228</f>
        <v/>
      </c>
      <c r="M1228" s="24">
        <f>L1228/K1228</f>
        <v/>
      </c>
      <c r="N1228" s="2" t="inlineStr">
        <is>
          <t>大将军转向</t>
        </is>
      </c>
      <c r="O1228" s="2" t="inlineStr">
        <is>
          <t>否</t>
        </is>
      </c>
    </row>
    <row r="1229">
      <c r="A1229" s="14" t="inlineStr">
        <is>
          <t>2023-12-26</t>
        </is>
      </c>
      <c r="B1229" s="14" t="inlineStr">
        <is>
          <t>2024-01-02</t>
        </is>
      </c>
      <c r="C1229" s="14" t="inlineStr">
        <is>
          <t>燃料油</t>
        </is>
      </c>
      <c r="D1229" s="14" t="inlineStr">
        <is>
          <t>FU</t>
        </is>
      </c>
      <c r="E1229" s="14" t="inlineStr">
        <is>
          <t>多</t>
        </is>
      </c>
      <c r="F1229" s="14" t="inlineStr">
        <is>
          <t>★★</t>
        </is>
      </c>
      <c r="G1229" s="14" t="n">
        <v>4</v>
      </c>
      <c r="H1229" s="15" t="n">
        <v>3090</v>
      </c>
      <c r="I1229" s="15" t="n">
        <v>2999</v>
      </c>
      <c r="J1229" s="14" t="n">
        <v>10</v>
      </c>
      <c r="K1229" s="14" t="n">
        <v>10000</v>
      </c>
      <c r="L1229" s="25">
        <f>IF(E1229="多",1,-1)*(I1229-H1229)*G1229*J1229</f>
        <v/>
      </c>
      <c r="M1229" s="26">
        <f>L1229/K1229</f>
        <v/>
      </c>
      <c r="N1229" s="14" t="inlineStr">
        <is>
          <t>将军撤退</t>
        </is>
      </c>
      <c r="O1229" s="14" t="inlineStr">
        <is>
          <t>是</t>
        </is>
      </c>
    </row>
    <row r="1230">
      <c r="A1230" s="14" t="inlineStr">
        <is>
          <t>2023-12-21</t>
        </is>
      </c>
      <c r="B1230" s="14" t="inlineStr">
        <is>
          <t>2024-01-02</t>
        </is>
      </c>
      <c r="C1230" s="14" t="inlineStr">
        <is>
          <t>纯碱</t>
        </is>
      </c>
      <c r="D1230" s="14" t="inlineStr">
        <is>
          <t>SA</t>
        </is>
      </c>
      <c r="E1230" s="14" t="inlineStr">
        <is>
          <t>多</t>
        </is>
      </c>
      <c r="F1230" s="14" t="inlineStr">
        <is>
          <t>★★</t>
        </is>
      </c>
      <c r="G1230" s="14" t="n">
        <v>1</v>
      </c>
      <c r="H1230" s="15" t="n">
        <v>2155</v>
      </c>
      <c r="I1230" s="15" t="n">
        <v>2018</v>
      </c>
      <c r="J1230" s="14" t="n">
        <v>20</v>
      </c>
      <c r="K1230" s="14" t="n">
        <v>10000</v>
      </c>
      <c r="L1230" s="25">
        <f>IF(E1230="多",1,-1)*(I1230-H1230)*G1230*J1230</f>
        <v/>
      </c>
      <c r="M1230" s="26">
        <f>L1230/K1230</f>
        <v/>
      </c>
      <c r="N1230" s="14" t="inlineStr">
        <is>
          <t>反向信号</t>
        </is>
      </c>
      <c r="O1230" s="14" t="inlineStr">
        <is>
          <t>是</t>
        </is>
      </c>
    </row>
    <row r="1231">
      <c r="A1231" s="14" t="inlineStr">
        <is>
          <t>2023-12-28</t>
        </is>
      </c>
      <c r="B1231" s="14" t="inlineStr">
        <is>
          <t>2023-12-29</t>
        </is>
      </c>
      <c r="C1231" s="14" t="inlineStr">
        <is>
          <t>沪铜</t>
        </is>
      </c>
      <c r="D1231" s="14" t="inlineStr">
        <is>
          <t>CU</t>
        </is>
      </c>
      <c r="E1231" s="14" t="inlineStr">
        <is>
          <t>多</t>
        </is>
      </c>
      <c r="F1231" s="14" t="inlineStr">
        <is>
          <t>★★</t>
        </is>
      </c>
      <c r="G1231" s="14" t="n">
        <v>1</v>
      </c>
      <c r="H1231" s="15" t="n">
        <v>68970</v>
      </c>
      <c r="I1231" s="15" t="n">
        <v>68920</v>
      </c>
      <c r="J1231" s="14" t="n">
        <v>5</v>
      </c>
      <c r="K1231" s="14" t="n">
        <v>10000</v>
      </c>
      <c r="L1231" s="25">
        <f>IF(E1231="多",1,-1)*(I1231-H1231)*G1231*J1231</f>
        <v/>
      </c>
      <c r="M1231" s="26">
        <f>L1231/K1231</f>
        <v/>
      </c>
      <c r="N1231" s="14" t="inlineStr">
        <is>
          <t>将军撤退+大将军转向</t>
        </is>
      </c>
      <c r="O1231" s="14" t="inlineStr">
        <is>
          <t>是</t>
        </is>
      </c>
    </row>
    <row r="1232">
      <c r="A1232" s="14" t="inlineStr">
        <is>
          <t>2023-12-27</t>
        </is>
      </c>
      <c r="B1232" s="14" t="inlineStr">
        <is>
          <t>2023-12-29</t>
        </is>
      </c>
      <c r="C1232" s="14" t="inlineStr">
        <is>
          <t>沪锌</t>
        </is>
      </c>
      <c r="D1232" s="14" t="inlineStr">
        <is>
          <t>ZN</t>
        </is>
      </c>
      <c r="E1232" s="14" t="inlineStr">
        <is>
          <t>多</t>
        </is>
      </c>
      <c r="F1232" s="14" t="inlineStr">
        <is>
          <t>★★★</t>
        </is>
      </c>
      <c r="G1232" s="14" t="n">
        <v>2</v>
      </c>
      <c r="H1232" s="15" t="n">
        <v>21400</v>
      </c>
      <c r="I1232" s="15" t="n">
        <v>21545</v>
      </c>
      <c r="J1232" s="14" t="n">
        <v>5</v>
      </c>
      <c r="K1232" s="14" t="n">
        <v>10000</v>
      </c>
      <c r="L1232" s="25">
        <f>IF(E1232="多",1,-1)*(I1232-H1232)*G1232*J1232</f>
        <v/>
      </c>
      <c r="M1232" s="26">
        <f>L1232/K1232</f>
        <v/>
      </c>
      <c r="N1232" s="14" t="inlineStr">
        <is>
          <t>大将军转向</t>
        </is>
      </c>
      <c r="O1232" s="14" t="inlineStr">
        <is>
          <t>是</t>
        </is>
      </c>
    </row>
    <row r="1233">
      <c r="A1233" s="14" t="inlineStr">
        <is>
          <t>2023-12-21</t>
        </is>
      </c>
      <c r="B1233" s="14" t="inlineStr">
        <is>
          <t>2023-12-28</t>
        </is>
      </c>
      <c r="C1233" s="14" t="inlineStr">
        <is>
          <t>棉花</t>
        </is>
      </c>
      <c r="D1233" s="14" t="inlineStr">
        <is>
          <t>CF</t>
        </is>
      </c>
      <c r="E1233" s="14" t="inlineStr">
        <is>
          <t>多</t>
        </is>
      </c>
      <c r="F1233" s="14" t="inlineStr">
        <is>
          <t>★★★</t>
        </is>
      </c>
      <c r="G1233" s="14" t="n">
        <v>3</v>
      </c>
      <c r="H1233" s="15" t="n">
        <v>15230</v>
      </c>
      <c r="I1233" s="15" t="n">
        <v>15530</v>
      </c>
      <c r="J1233" s="14" t="n">
        <v>5</v>
      </c>
      <c r="K1233" s="14" t="n">
        <v>10000</v>
      </c>
      <c r="L1233" s="25">
        <f>IF(E1233="多",1,-1)*(I1233-H1233)*G1233*J1233</f>
        <v/>
      </c>
      <c r="M1233" s="26">
        <f>L1233/K1233</f>
        <v/>
      </c>
      <c r="N1233" s="14" t="inlineStr">
        <is>
          <t>将军撤退</t>
        </is>
      </c>
      <c r="O1233" s="14" t="inlineStr">
        <is>
          <t>是</t>
        </is>
      </c>
    </row>
    <row r="1234">
      <c r="A1234" s="2" t="inlineStr">
        <is>
          <t>2023-12-25</t>
        </is>
      </c>
      <c r="B1234" s="2" t="inlineStr">
        <is>
          <t>2023-12-27</t>
        </is>
      </c>
      <c r="C1234" s="2" t="inlineStr">
        <is>
          <t>塑料</t>
        </is>
      </c>
      <c r="D1234" s="2" t="inlineStr">
        <is>
          <t>L</t>
        </is>
      </c>
      <c r="E1234" s="19" t="inlineStr">
        <is>
          <t>多</t>
        </is>
      </c>
      <c r="F1234" s="2" t="inlineStr">
        <is>
          <t>★★★</t>
        </is>
      </c>
      <c r="G1234" s="10" t="n">
        <v>15</v>
      </c>
      <c r="H1234" s="11" t="n">
        <v>8277</v>
      </c>
      <c r="I1234" s="11" t="n">
        <v>8330</v>
      </c>
      <c r="J1234" s="10" t="n">
        <v>5</v>
      </c>
      <c r="K1234" s="10" t="n">
        <v>18900</v>
      </c>
      <c r="L1234" s="23">
        <f>IF(E1234="多",1,-1)*(I1234-H1234)*G1234*J1234</f>
        <v/>
      </c>
      <c r="M1234" s="24">
        <f>L1234/K1234</f>
        <v/>
      </c>
      <c r="N1234" s="2" t="inlineStr">
        <is>
          <t>将军撤退</t>
        </is>
      </c>
      <c r="O1234" s="2" t="inlineStr">
        <is>
          <t>否</t>
        </is>
      </c>
    </row>
    <row r="1235">
      <c r="A1235" s="2" t="inlineStr">
        <is>
          <t>2023-12-22</t>
        </is>
      </c>
      <c r="B1235" s="2" t="inlineStr">
        <is>
          <t>2023-12-27</t>
        </is>
      </c>
      <c r="C1235" s="2" t="inlineStr">
        <is>
          <t>菜油</t>
        </is>
      </c>
      <c r="D1235" s="2" t="inlineStr">
        <is>
          <t>OI</t>
        </is>
      </c>
      <c r="E1235" s="9" t="inlineStr">
        <is>
          <t>空</t>
        </is>
      </c>
      <c r="F1235" s="2" t="inlineStr">
        <is>
          <t>★★★</t>
        </is>
      </c>
      <c r="G1235" s="10" t="n">
        <v>4</v>
      </c>
      <c r="H1235" s="11" t="n">
        <v>8020</v>
      </c>
      <c r="I1235" s="11" t="n">
        <v>8145</v>
      </c>
      <c r="J1235" s="10" t="n">
        <v>10</v>
      </c>
      <c r="K1235" s="10" t="n">
        <v>18500</v>
      </c>
      <c r="L1235" s="23">
        <f>IF(E1235="多",1,-1)*(I1235-H1235)*G1235*J1235</f>
        <v/>
      </c>
      <c r="M1235" s="24">
        <f>L1235/K1235</f>
        <v/>
      </c>
      <c r="N1235" s="2" t="inlineStr">
        <is>
          <t>将军撤退</t>
        </is>
      </c>
      <c r="O1235" s="2" t="inlineStr">
        <is>
          <t>否</t>
        </is>
      </c>
    </row>
    <row r="1236">
      <c r="A1236" s="14" t="inlineStr">
        <is>
          <t>2023-12-11</t>
        </is>
      </c>
      <c r="B1236" s="14" t="inlineStr">
        <is>
          <t>2023-12-27</t>
        </is>
      </c>
      <c r="C1236" s="14" t="inlineStr">
        <is>
          <t>沪铜</t>
        </is>
      </c>
      <c r="D1236" s="14" t="inlineStr">
        <is>
          <t>CU</t>
        </is>
      </c>
      <c r="E1236" s="14" t="inlineStr">
        <is>
          <t>多</t>
        </is>
      </c>
      <c r="F1236" s="14" t="inlineStr">
        <is>
          <t>★★★</t>
        </is>
      </c>
      <c r="G1236" s="14" t="n">
        <v>1</v>
      </c>
      <c r="H1236" s="15" t="n">
        <v>67900</v>
      </c>
      <c r="I1236" s="15" t="n">
        <v>69260</v>
      </c>
      <c r="J1236" s="14" t="n">
        <v>5</v>
      </c>
      <c r="K1236" s="14" t="n">
        <v>10000</v>
      </c>
      <c r="L1236" s="25">
        <f>IF(E1236="多",1,-1)*(I1236-H1236)*G1236*J1236</f>
        <v/>
      </c>
      <c r="M1236" s="26">
        <f>L1236/K1236</f>
        <v/>
      </c>
      <c r="N1236" s="14" t="inlineStr">
        <is>
          <t>将军撤退</t>
        </is>
      </c>
      <c r="O1236" s="14" t="inlineStr">
        <is>
          <t>是</t>
        </is>
      </c>
    </row>
    <row r="1237">
      <c r="A1237" s="2" t="inlineStr">
        <is>
          <t>2023-12-08</t>
        </is>
      </c>
      <c r="B1237" s="2" t="inlineStr">
        <is>
          <t>2023-12-27</t>
        </is>
      </c>
      <c r="C1237" s="2" t="inlineStr">
        <is>
          <t>螺纹钢</t>
        </is>
      </c>
      <c r="D1237" s="2" t="inlineStr">
        <is>
          <t>RB</t>
        </is>
      </c>
      <c r="E1237" s="19" t="inlineStr">
        <is>
          <t>多</t>
        </is>
      </c>
      <c r="F1237" s="2" t="inlineStr">
        <is>
          <t>★★★</t>
        </is>
      </c>
      <c r="G1237" s="10" t="n">
        <v>9</v>
      </c>
      <c r="H1237" s="11" t="n">
        <v>4042</v>
      </c>
      <c r="I1237" s="11" t="n">
        <v>4023</v>
      </c>
      <c r="J1237" s="10" t="n">
        <v>10</v>
      </c>
      <c r="K1237" s="10" t="n">
        <v>19000</v>
      </c>
      <c r="L1237" s="23">
        <f>IF(E1237="多",1,-1)*(I1237-H1237)*G1237*J1237</f>
        <v/>
      </c>
      <c r="M1237" s="24">
        <f>L1237/K1237</f>
        <v/>
      </c>
      <c r="N1237" s="2" t="inlineStr">
        <is>
          <t>大将军转向</t>
        </is>
      </c>
      <c r="O1237" s="2" t="inlineStr">
        <is>
          <t>否</t>
        </is>
      </c>
    </row>
    <row r="1238">
      <c r="A1238" s="2" t="inlineStr">
        <is>
          <t>2023-12-25</t>
        </is>
      </c>
      <c r="B1238" s="2" t="inlineStr">
        <is>
          <t>2023-12-26</t>
        </is>
      </c>
      <c r="C1238" s="2" t="inlineStr">
        <is>
          <t>沪铝</t>
        </is>
      </c>
      <c r="D1238" s="2" t="inlineStr">
        <is>
          <t>AL</t>
        </is>
      </c>
      <c r="E1238" s="19" t="inlineStr">
        <is>
          <t>多</t>
        </is>
      </c>
      <c r="F1238" s="2" t="inlineStr">
        <is>
          <t>★★★</t>
        </is>
      </c>
      <c r="G1238" s="10" t="n">
        <v>6</v>
      </c>
      <c r="H1238" s="11" t="n">
        <v>19155</v>
      </c>
      <c r="I1238" s="11" t="n">
        <v>19235</v>
      </c>
      <c r="J1238" s="10" t="n">
        <v>5</v>
      </c>
      <c r="K1238" s="10" t="n">
        <v>18900</v>
      </c>
      <c r="L1238" s="23">
        <f>IF(E1238="多",1,-1)*(I1238-H1238)*G1238*J1238</f>
        <v/>
      </c>
      <c r="M1238" s="24">
        <f>L1238/K1238</f>
        <v/>
      </c>
      <c r="N1238" s="2" t="inlineStr">
        <is>
          <t>大将军转向</t>
        </is>
      </c>
      <c r="O1238" s="2" t="inlineStr">
        <is>
          <t>否</t>
        </is>
      </c>
    </row>
    <row r="1239">
      <c r="A1239" s="14" t="inlineStr">
        <is>
          <t>2023-12-14</t>
        </is>
      </c>
      <c r="B1239" s="14" t="inlineStr">
        <is>
          <t>2023-12-26</t>
        </is>
      </c>
      <c r="C1239" s="14" t="inlineStr">
        <is>
          <t>硅铁</t>
        </is>
      </c>
      <c r="D1239" s="14" t="inlineStr">
        <is>
          <t>SF</t>
        </is>
      </c>
      <c r="E1239" s="14" t="inlineStr">
        <is>
          <t>空</t>
        </is>
      </c>
      <c r="F1239" s="14" t="inlineStr">
        <is>
          <t>★★</t>
        </is>
      </c>
      <c r="G1239" s="14" t="n">
        <v>5</v>
      </c>
      <c r="H1239" s="15" t="n">
        <v>6912</v>
      </c>
      <c r="I1239" s="15" t="n">
        <v>6830</v>
      </c>
      <c r="J1239" s="14" t="n">
        <v>5</v>
      </c>
      <c r="K1239" s="14" t="n">
        <v>10000</v>
      </c>
      <c r="L1239" s="25">
        <f>IF(E1239="多",1,-1)*(I1239-H1239)*G1239*J1239</f>
        <v/>
      </c>
      <c r="M1239" s="26">
        <f>L1239/K1239</f>
        <v/>
      </c>
      <c r="N1239" s="14" t="inlineStr">
        <is>
          <t>将军撤退+大将军转向</t>
        </is>
      </c>
      <c r="O1239" s="14" t="inlineStr">
        <is>
          <t>是</t>
        </is>
      </c>
    </row>
    <row r="1240">
      <c r="A1240" s="14" t="inlineStr">
        <is>
          <t>2023-12-13</t>
        </is>
      </c>
      <c r="B1240" s="14" t="inlineStr">
        <is>
          <t>2023-12-26</t>
        </is>
      </c>
      <c r="C1240" s="14" t="inlineStr">
        <is>
          <t>锰硅</t>
        </is>
      </c>
      <c r="D1240" s="14" t="inlineStr">
        <is>
          <t>SM</t>
        </is>
      </c>
      <c r="E1240" s="14" t="inlineStr">
        <is>
          <t>空</t>
        </is>
      </c>
      <c r="F1240" s="14" t="inlineStr">
        <is>
          <t>★★</t>
        </is>
      </c>
      <c r="G1240" s="14" t="n">
        <v>7</v>
      </c>
      <c r="H1240" s="15" t="n">
        <v>6436</v>
      </c>
      <c r="I1240" s="15" t="n">
        <v>6462</v>
      </c>
      <c r="J1240" s="14" t="n">
        <v>5</v>
      </c>
      <c r="K1240" s="14" t="n">
        <v>10000</v>
      </c>
      <c r="L1240" s="25">
        <f>IF(E1240="多",1,-1)*(I1240-H1240)*G1240*J1240</f>
        <v/>
      </c>
      <c r="M1240" s="26">
        <f>L1240/K1240</f>
        <v/>
      </c>
      <c r="N1240" s="14" t="inlineStr">
        <is>
          <t>大将军转向</t>
        </is>
      </c>
      <c r="O1240" s="14" t="inlineStr">
        <is>
          <t>是</t>
        </is>
      </c>
    </row>
    <row r="1241">
      <c r="A1241" s="14" t="inlineStr">
        <is>
          <t>2023-12-12</t>
        </is>
      </c>
      <c r="B1241" s="14" t="inlineStr">
        <is>
          <t>2023-12-26</t>
        </is>
      </c>
      <c r="C1241" s="14" t="inlineStr">
        <is>
          <t>菜粕</t>
        </is>
      </c>
      <c r="D1241" s="14" t="inlineStr">
        <is>
          <t>RM</t>
        </is>
      </c>
      <c r="E1241" s="14" t="inlineStr">
        <is>
          <t>多</t>
        </is>
      </c>
      <c r="F1241" s="14" t="inlineStr">
        <is>
          <t>★★</t>
        </is>
      </c>
      <c r="G1241" s="14" t="n">
        <v>5</v>
      </c>
      <c r="H1241" s="15" t="n">
        <v>2927</v>
      </c>
      <c r="I1241" s="15" t="n">
        <v>2835</v>
      </c>
      <c r="J1241" s="14" t="n">
        <v>10</v>
      </c>
      <c r="K1241" s="14" t="n">
        <v>10000</v>
      </c>
      <c r="L1241" s="25">
        <f>IF(E1241="多",1,-1)*(I1241-H1241)*G1241*J1241</f>
        <v/>
      </c>
      <c r="M1241" s="26">
        <f>L1241/K1241</f>
        <v/>
      </c>
      <c r="N1241" s="14" t="inlineStr">
        <is>
          <t>大将军转向</t>
        </is>
      </c>
      <c r="O1241" s="14" t="inlineStr">
        <is>
          <t>是</t>
        </is>
      </c>
    </row>
    <row r="1242">
      <c r="A1242" s="14" t="inlineStr">
        <is>
          <t>2023-12-13</t>
        </is>
      </c>
      <c r="B1242" s="14" t="inlineStr">
        <is>
          <t>2023-12-25</t>
        </is>
      </c>
      <c r="C1242" s="14" t="inlineStr">
        <is>
          <t>白糖</t>
        </is>
      </c>
      <c r="D1242" s="14" t="inlineStr">
        <is>
          <t>SR</t>
        </is>
      </c>
      <c r="E1242" s="14" t="inlineStr">
        <is>
          <t>空</t>
        </is>
      </c>
      <c r="F1242" s="14" t="inlineStr">
        <is>
          <t>★★★</t>
        </is>
      </c>
      <c r="G1242" s="14" t="n">
        <v>3</v>
      </c>
      <c r="H1242" s="15" t="n">
        <v>6312</v>
      </c>
      <c r="I1242" s="15" t="n">
        <v>6237</v>
      </c>
      <c r="J1242" s="14" t="n">
        <v>10</v>
      </c>
      <c r="K1242" s="14" t="n">
        <v>10000</v>
      </c>
      <c r="L1242" s="25">
        <f>IF(E1242="多",1,-1)*(I1242-H1242)*G1242*J1242</f>
        <v/>
      </c>
      <c r="M1242" s="26">
        <f>L1242/K1242</f>
        <v/>
      </c>
      <c r="N1242" s="14" t="inlineStr">
        <is>
          <t>将军撤退</t>
        </is>
      </c>
      <c r="O1242" s="14" t="inlineStr">
        <is>
          <t>是</t>
        </is>
      </c>
    </row>
    <row r="1243">
      <c r="A1243" s="2" t="inlineStr">
        <is>
          <t>2023-12-20</t>
        </is>
      </c>
      <c r="B1243" s="2" t="inlineStr">
        <is>
          <t>2023-12-22</t>
        </is>
      </c>
      <c r="C1243" s="2" t="inlineStr">
        <is>
          <t>豆粕</t>
        </is>
      </c>
      <c r="D1243" s="2" t="inlineStr">
        <is>
          <t>M</t>
        </is>
      </c>
      <c r="E1243" s="9" t="inlineStr">
        <is>
          <t>空</t>
        </is>
      </c>
      <c r="F1243" s="2" t="inlineStr">
        <is>
          <t>★★★</t>
        </is>
      </c>
      <c r="G1243" s="10" t="n">
        <v>12</v>
      </c>
      <c r="H1243" s="11" t="n">
        <v>3355</v>
      </c>
      <c r="I1243" s="11" t="n">
        <v>3322</v>
      </c>
      <c r="J1243" s="10" t="n">
        <v>10</v>
      </c>
      <c r="K1243" s="10" t="n">
        <v>19500</v>
      </c>
      <c r="L1243" s="23">
        <f>IF(E1243="多",1,-1)*(I1243-H1243)*G1243*J1243</f>
        <v/>
      </c>
      <c r="M1243" s="24">
        <f>L1243/K1243</f>
        <v/>
      </c>
      <c r="N1243" s="2" t="inlineStr">
        <is>
          <t>将军撤退+大将军转向</t>
        </is>
      </c>
      <c r="O1243" s="2" t="inlineStr">
        <is>
          <t>否</t>
        </is>
      </c>
    </row>
    <row r="1244">
      <c r="A1244" s="14" t="inlineStr">
        <is>
          <t>2023-12-20</t>
        </is>
      </c>
      <c r="B1244" s="14" t="inlineStr">
        <is>
          <t>2023-12-21</t>
        </is>
      </c>
      <c r="C1244" s="14" t="inlineStr">
        <is>
          <t>玉米</t>
        </is>
      </c>
      <c r="D1244" s="14" t="inlineStr">
        <is>
          <t>C</t>
        </is>
      </c>
      <c r="E1244" s="14" t="inlineStr">
        <is>
          <t>空</t>
        </is>
      </c>
      <c r="F1244" s="14" t="inlineStr">
        <is>
          <t>★★</t>
        </is>
      </c>
      <c r="G1244" s="14" t="n">
        <v>12</v>
      </c>
      <c r="H1244" s="15" t="n">
        <v>2392</v>
      </c>
      <c r="I1244" s="15" t="n">
        <v>2396</v>
      </c>
      <c r="J1244" s="14" t="n">
        <v>10</v>
      </c>
      <c r="K1244" s="14" t="n">
        <v>10000</v>
      </c>
      <c r="L1244" s="25">
        <f>IF(E1244="多",1,-1)*(I1244-H1244)*G1244*J1244</f>
        <v/>
      </c>
      <c r="M1244" s="26">
        <f>L1244/K1244</f>
        <v/>
      </c>
      <c r="N1244" s="14" t="inlineStr">
        <is>
          <t>大将军转向</t>
        </is>
      </c>
      <c r="O1244" s="14" t="inlineStr">
        <is>
          <t>是</t>
        </is>
      </c>
    </row>
    <row r="1245">
      <c r="A1245" s="2" t="inlineStr">
        <is>
          <t>2023-12-14</t>
        </is>
      </c>
      <c r="B1245" s="2" t="inlineStr">
        <is>
          <t>2023-12-21</t>
        </is>
      </c>
      <c r="C1245" s="2" t="inlineStr">
        <is>
          <t>菜油</t>
        </is>
      </c>
      <c r="D1245" s="2" t="inlineStr">
        <is>
          <t>OI</t>
        </is>
      </c>
      <c r="E1245" s="9" t="inlineStr">
        <is>
          <t>空</t>
        </is>
      </c>
      <c r="F1245" s="2" t="inlineStr">
        <is>
          <t>★★★</t>
        </is>
      </c>
      <c r="G1245" s="10" t="n">
        <v>2</v>
      </c>
      <c r="H1245" s="11" t="n">
        <v>8111</v>
      </c>
      <c r="I1245" s="11" t="n">
        <v>8095</v>
      </c>
      <c r="J1245" s="10" t="n">
        <v>10</v>
      </c>
      <c r="K1245" s="10" t="n">
        <v>12200</v>
      </c>
      <c r="L1245" s="23">
        <f>IF(E1245="多",1,-1)*(I1245-H1245)*G1245*J1245</f>
        <v/>
      </c>
      <c r="M1245" s="24">
        <f>L1245/K1245</f>
        <v/>
      </c>
      <c r="N1245" s="2" t="inlineStr">
        <is>
          <t>将军撤退</t>
        </is>
      </c>
      <c r="O1245" s="2" t="inlineStr">
        <is>
          <t>否</t>
        </is>
      </c>
    </row>
    <row r="1246">
      <c r="A1246" s="2" t="inlineStr">
        <is>
          <t>2023-12-05</t>
        </is>
      </c>
      <c r="B1246" s="2" t="inlineStr">
        <is>
          <t>2023-12-21</t>
        </is>
      </c>
      <c r="C1246" s="2" t="inlineStr">
        <is>
          <t>PVC</t>
        </is>
      </c>
      <c r="D1246" s="2" t="inlineStr">
        <is>
          <t>V</t>
        </is>
      </c>
      <c r="E1246" s="9" t="inlineStr">
        <is>
          <t>空</t>
        </is>
      </c>
      <c r="F1246" s="2" t="inlineStr">
        <is>
          <t>★★★</t>
        </is>
      </c>
      <c r="G1246" s="10" t="n">
        <v>14</v>
      </c>
      <c r="H1246" s="11" t="n">
        <v>5833</v>
      </c>
      <c r="I1246" s="11" t="n">
        <v>6081.71</v>
      </c>
      <c r="J1246" s="10" t="n">
        <v>5</v>
      </c>
      <c r="K1246" s="10" t="n">
        <v>20700</v>
      </c>
      <c r="L1246" s="23">
        <f>IF(E1246="多",1,-1)*(I1246-H1246)*G1246*J1246</f>
        <v/>
      </c>
      <c r="M1246" s="24">
        <f>L1246/K1246</f>
        <v/>
      </c>
      <c r="N1246" s="2" t="inlineStr">
        <is>
          <t>止损</t>
        </is>
      </c>
      <c r="O1246" s="2" t="inlineStr">
        <is>
          <t>否</t>
        </is>
      </c>
    </row>
    <row r="1247">
      <c r="A1247" s="14" t="inlineStr">
        <is>
          <t>2023-12-19</t>
        </is>
      </c>
      <c r="B1247" s="14" t="inlineStr">
        <is>
          <t>2023-12-20</t>
        </is>
      </c>
      <c r="C1247" s="14" t="inlineStr">
        <is>
          <t>棕榈油</t>
        </is>
      </c>
      <c r="D1247" s="14" t="inlineStr">
        <is>
          <t>P</t>
        </is>
      </c>
      <c r="E1247" s="14" t="inlineStr">
        <is>
          <t>多</t>
        </is>
      </c>
      <c r="F1247" s="14" t="inlineStr">
        <is>
          <t>★★</t>
        </is>
      </c>
      <c r="G1247" s="14" t="n">
        <v>2</v>
      </c>
      <c r="H1247" s="15" t="n">
        <v>7134</v>
      </c>
      <c r="I1247" s="15" t="n">
        <v>7164</v>
      </c>
      <c r="J1247" s="14" t="n">
        <v>10</v>
      </c>
      <c r="K1247" s="14" t="n">
        <v>10000</v>
      </c>
      <c r="L1247" s="25">
        <f>IF(E1247="多",1,-1)*(I1247-H1247)*G1247*J1247</f>
        <v/>
      </c>
      <c r="M1247" s="26">
        <f>L1247/K1247</f>
        <v/>
      </c>
      <c r="N1247" s="14" t="inlineStr">
        <is>
          <t>大将军转向</t>
        </is>
      </c>
      <c r="O1247" s="14" t="inlineStr">
        <is>
          <t>是</t>
        </is>
      </c>
    </row>
    <row r="1248">
      <c r="A1248" s="14" t="inlineStr">
        <is>
          <t>2023-12-19</t>
        </is>
      </c>
      <c r="B1248" s="14" t="inlineStr">
        <is>
          <t>2023-12-20</t>
        </is>
      </c>
      <c r="C1248" s="14" t="inlineStr">
        <is>
          <t>乙二醇</t>
        </is>
      </c>
      <c r="D1248" s="14" t="inlineStr">
        <is>
          <t>EG</t>
        </is>
      </c>
      <c r="E1248" s="14" t="inlineStr">
        <is>
          <t>多</t>
        </is>
      </c>
      <c r="F1248" s="14" t="inlineStr">
        <is>
          <t>★★</t>
        </is>
      </c>
      <c r="G1248" s="14" t="n">
        <v>5</v>
      </c>
      <c r="H1248" s="15" t="n">
        <v>4351</v>
      </c>
      <c r="I1248" s="15" t="n">
        <v>4485</v>
      </c>
      <c r="J1248" s="14" t="n">
        <v>10</v>
      </c>
      <c r="K1248" s="14" t="n">
        <v>10000</v>
      </c>
      <c r="L1248" s="25">
        <f>IF(E1248="多",1,-1)*(I1248-H1248)*G1248*J1248</f>
        <v/>
      </c>
      <c r="M1248" s="26">
        <f>L1248/K1248</f>
        <v/>
      </c>
      <c r="N1248" s="14" t="inlineStr">
        <is>
          <t>将军撤退</t>
        </is>
      </c>
      <c r="O1248" s="14" t="inlineStr">
        <is>
          <t>是</t>
        </is>
      </c>
    </row>
    <row r="1249">
      <c r="A1249" s="14" t="inlineStr">
        <is>
          <t>2023-12-07</t>
        </is>
      </c>
      <c r="B1249" s="14" t="inlineStr">
        <is>
          <t>2023-12-19</t>
        </is>
      </c>
      <c r="C1249" s="14" t="inlineStr">
        <is>
          <t>甲醇</t>
        </is>
      </c>
      <c r="D1249" s="14" t="inlineStr">
        <is>
          <t>MA</t>
        </is>
      </c>
      <c r="E1249" s="14" t="inlineStr">
        <is>
          <t>多</t>
        </is>
      </c>
      <c r="F1249" s="14" t="inlineStr">
        <is>
          <t>★★</t>
        </is>
      </c>
      <c r="G1249" s="14" t="n">
        <v>6</v>
      </c>
      <c r="H1249" s="15" t="n">
        <v>2431</v>
      </c>
      <c r="I1249" s="15" t="n">
        <v>2382</v>
      </c>
      <c r="J1249" s="14" t="n">
        <v>10</v>
      </c>
      <c r="K1249" s="14" t="n">
        <v>10000</v>
      </c>
      <c r="L1249" s="25">
        <f>IF(E1249="多",1,-1)*(I1249-H1249)*G1249*J1249</f>
        <v/>
      </c>
      <c r="M1249" s="26">
        <f>L1249/K1249</f>
        <v/>
      </c>
      <c r="N1249" s="14" t="inlineStr">
        <is>
          <t>将军撤退</t>
        </is>
      </c>
      <c r="O1249" s="14" t="inlineStr">
        <is>
          <t>是</t>
        </is>
      </c>
    </row>
    <row r="1250">
      <c r="A1250" s="14" t="inlineStr">
        <is>
          <t>2023-12-12</t>
        </is>
      </c>
      <c r="B1250" s="14" t="inlineStr">
        <is>
          <t>2023-12-18</t>
        </is>
      </c>
      <c r="C1250" s="14" t="inlineStr">
        <is>
          <t>棕榈油</t>
        </is>
      </c>
      <c r="D1250" s="14" t="inlineStr">
        <is>
          <t>P</t>
        </is>
      </c>
      <c r="E1250" s="14" t="inlineStr">
        <is>
          <t>多</t>
        </is>
      </c>
      <c r="F1250" s="14" t="inlineStr">
        <is>
          <t>★★</t>
        </is>
      </c>
      <c r="G1250" s="14" t="n">
        <v>2</v>
      </c>
      <c r="H1250" s="15" t="n">
        <v>7180</v>
      </c>
      <c r="I1250" s="15" t="n">
        <v>7164</v>
      </c>
      <c r="J1250" s="14" t="n">
        <v>10</v>
      </c>
      <c r="K1250" s="14" t="n">
        <v>10000</v>
      </c>
      <c r="L1250" s="25">
        <f>IF(E1250="多",1,-1)*(I1250-H1250)*G1250*J1250</f>
        <v/>
      </c>
      <c r="M1250" s="26">
        <f>L1250/K1250</f>
        <v/>
      </c>
      <c r="N1250" s="14" t="inlineStr">
        <is>
          <t>将军撤退</t>
        </is>
      </c>
      <c r="O1250" s="14" t="inlineStr">
        <is>
          <t>是</t>
        </is>
      </c>
    </row>
    <row r="1251">
      <c r="A1251" s="2" t="inlineStr">
        <is>
          <t>2023-12-12</t>
        </is>
      </c>
      <c r="B1251" s="2" t="inlineStr">
        <is>
          <t>2023-12-18</t>
        </is>
      </c>
      <c r="C1251" s="2" t="inlineStr">
        <is>
          <t>玉米</t>
        </is>
      </c>
      <c r="D1251" s="2" t="inlineStr">
        <is>
          <t>C</t>
        </is>
      </c>
      <c r="E1251" s="9" t="inlineStr">
        <is>
          <t>空</t>
        </is>
      </c>
      <c r="F1251" s="2" t="inlineStr">
        <is>
          <t>★★★</t>
        </is>
      </c>
      <c r="G1251" s="10" t="n">
        <v>27</v>
      </c>
      <c r="H1251" s="11" t="n">
        <v>2477</v>
      </c>
      <c r="I1251" s="11" t="n">
        <v>2404</v>
      </c>
      <c r="J1251" s="10" t="n">
        <v>10</v>
      </c>
      <c r="K1251" s="10" t="n">
        <v>17600</v>
      </c>
      <c r="L1251" s="23">
        <f>IF(E1251="多",1,-1)*(I1251-H1251)*G1251*J1251</f>
        <v/>
      </c>
      <c r="M1251" s="24">
        <f>L1251/K1251</f>
        <v/>
      </c>
      <c r="N1251" s="2" t="inlineStr">
        <is>
          <t>大将军转向</t>
        </is>
      </c>
      <c r="O1251" s="2" t="inlineStr">
        <is>
          <t>否</t>
        </is>
      </c>
    </row>
    <row r="1252">
      <c r="A1252" s="14" t="inlineStr">
        <is>
          <t>2023-12-06</t>
        </is>
      </c>
      <c r="B1252" s="14" t="inlineStr">
        <is>
          <t>2023-12-18</t>
        </is>
      </c>
      <c r="C1252" s="14" t="inlineStr">
        <is>
          <t>沪铝</t>
        </is>
      </c>
      <c r="D1252" s="14" t="inlineStr">
        <is>
          <t>AL</t>
        </is>
      </c>
      <c r="E1252" s="14" t="inlineStr">
        <is>
          <t>空</t>
        </is>
      </c>
      <c r="F1252" s="14" t="inlineStr">
        <is>
          <t>★★</t>
        </is>
      </c>
      <c r="G1252" s="14" t="n">
        <v>3</v>
      </c>
      <c r="H1252" s="15" t="n">
        <v>18430</v>
      </c>
      <c r="I1252" s="15" t="n">
        <v>18860</v>
      </c>
      <c r="J1252" s="14" t="n">
        <v>5</v>
      </c>
      <c r="K1252" s="14" t="n">
        <v>10000</v>
      </c>
      <c r="L1252" s="25">
        <f>IF(E1252="多",1,-1)*(I1252-H1252)*G1252*J1252</f>
        <v/>
      </c>
      <c r="M1252" s="26">
        <f>L1252/K1252</f>
        <v/>
      </c>
      <c r="N1252" s="14" t="inlineStr">
        <is>
          <t>跳空止损</t>
        </is>
      </c>
      <c r="O1252" s="14" t="inlineStr">
        <is>
          <t>是</t>
        </is>
      </c>
    </row>
    <row r="1253">
      <c r="A1253" s="14" t="inlineStr">
        <is>
          <t>2023-12-04</t>
        </is>
      </c>
      <c r="B1253" s="14" t="inlineStr">
        <is>
          <t>2023-12-18</t>
        </is>
      </c>
      <c r="C1253" s="14" t="inlineStr">
        <is>
          <t>豆粕</t>
        </is>
      </c>
      <c r="D1253" s="14" t="inlineStr">
        <is>
          <t>M</t>
        </is>
      </c>
      <c r="E1253" s="14" t="inlineStr">
        <is>
          <t>空</t>
        </is>
      </c>
      <c r="F1253" s="14" t="inlineStr">
        <is>
          <t>★★</t>
        </is>
      </c>
      <c r="G1253" s="14" t="n">
        <v>5</v>
      </c>
      <c r="H1253" s="15" t="n">
        <v>3372</v>
      </c>
      <c r="I1253" s="15" t="n">
        <v>3376</v>
      </c>
      <c r="J1253" s="14" t="n">
        <v>10</v>
      </c>
      <c r="K1253" s="14" t="n">
        <v>10000</v>
      </c>
      <c r="L1253" s="25">
        <f>IF(E1253="多",1,-1)*(I1253-H1253)*G1253*J1253</f>
        <v/>
      </c>
      <c r="M1253" s="26">
        <f>L1253/K1253</f>
        <v/>
      </c>
      <c r="N1253" s="14" t="inlineStr">
        <is>
          <t>将军撤退</t>
        </is>
      </c>
      <c r="O1253" s="14" t="inlineStr">
        <is>
          <t>是</t>
        </is>
      </c>
    </row>
    <row r="1254">
      <c r="A1254" s="2" t="inlineStr">
        <is>
          <t>2023-12-14</t>
        </is>
      </c>
      <c r="B1254" s="2" t="inlineStr">
        <is>
          <t>2023-12-15</t>
        </is>
      </c>
      <c r="C1254" s="2" t="inlineStr">
        <is>
          <t>豆油</t>
        </is>
      </c>
      <c r="D1254" s="2" t="inlineStr">
        <is>
          <t>Y</t>
        </is>
      </c>
      <c r="E1254" s="9" t="inlineStr">
        <is>
          <t>空</t>
        </is>
      </c>
      <c r="F1254" s="2" t="inlineStr">
        <is>
          <t>★★★</t>
        </is>
      </c>
      <c r="G1254" s="10" t="n">
        <v>4</v>
      </c>
      <c r="H1254" s="11" t="n">
        <v>7616</v>
      </c>
      <c r="I1254" s="11" t="n">
        <v>7572</v>
      </c>
      <c r="J1254" s="10" t="n">
        <v>10</v>
      </c>
      <c r="K1254" s="10" t="n">
        <v>17800</v>
      </c>
      <c r="L1254" s="23">
        <f>IF(E1254="多",1,-1)*(I1254-H1254)*G1254*J1254</f>
        <v/>
      </c>
      <c r="M1254" s="24">
        <f>L1254/K1254</f>
        <v/>
      </c>
      <c r="N1254" s="2" t="inlineStr">
        <is>
          <t>大将军转向</t>
        </is>
      </c>
      <c r="O1254" s="2" t="inlineStr">
        <is>
          <t>否</t>
        </is>
      </c>
    </row>
    <row r="1255">
      <c r="A1255" s="2" t="inlineStr">
        <is>
          <t>2023-12-13</t>
        </is>
      </c>
      <c r="B1255" s="2" t="inlineStr">
        <is>
          <t>2023-12-14</t>
        </is>
      </c>
      <c r="C1255" s="2" t="inlineStr">
        <is>
          <t>PTA</t>
        </is>
      </c>
      <c r="D1255" s="2" t="inlineStr">
        <is>
          <t>TA</t>
        </is>
      </c>
      <c r="E1255" s="9" t="inlineStr">
        <is>
          <t>空</t>
        </is>
      </c>
      <c r="F1255" s="2" t="inlineStr">
        <is>
          <t>★★★</t>
        </is>
      </c>
      <c r="G1255" s="10" t="n">
        <v>10</v>
      </c>
      <c r="H1255" s="11" t="n">
        <v>5604</v>
      </c>
      <c r="I1255" s="11" t="n">
        <v>5560</v>
      </c>
      <c r="J1255" s="10" t="n">
        <v>5</v>
      </c>
      <c r="K1255" s="10" t="n">
        <v>17600</v>
      </c>
      <c r="L1255" s="23">
        <f>IF(E1255="多",1,-1)*(I1255-H1255)*G1255*J1255</f>
        <v/>
      </c>
      <c r="M1255" s="24">
        <f>L1255/K1255</f>
        <v/>
      </c>
      <c r="N1255" s="2" t="inlineStr">
        <is>
          <t>将军撤退</t>
        </is>
      </c>
      <c r="O1255" s="2" t="inlineStr">
        <is>
          <t>否</t>
        </is>
      </c>
    </row>
    <row r="1256">
      <c r="A1256" s="14" t="inlineStr">
        <is>
          <t>2023-12-12</t>
        </is>
      </c>
      <c r="B1256" s="14" t="inlineStr">
        <is>
          <t>2023-12-13</t>
        </is>
      </c>
      <c r="C1256" s="14" t="inlineStr">
        <is>
          <t>铁矿石</t>
        </is>
      </c>
      <c r="D1256" s="14" t="inlineStr">
        <is>
          <t>I</t>
        </is>
      </c>
      <c r="E1256" s="14" t="inlineStr">
        <is>
          <t>多</t>
        </is>
      </c>
      <c r="F1256" s="14" t="inlineStr">
        <is>
          <t>★★</t>
        </is>
      </c>
      <c r="G1256" s="14" t="n">
        <v>1</v>
      </c>
      <c r="H1256" s="15" t="n">
        <v>970</v>
      </c>
      <c r="I1256" s="15" t="n">
        <v>948</v>
      </c>
      <c r="J1256" s="14" t="n">
        <v>100</v>
      </c>
      <c r="K1256" s="14" t="n">
        <v>10000</v>
      </c>
      <c r="L1256" s="25">
        <f>IF(E1256="多",1,-1)*(I1256-H1256)*G1256*J1256</f>
        <v/>
      </c>
      <c r="M1256" s="26">
        <f>L1256/K1256</f>
        <v/>
      </c>
      <c r="N1256" s="14" t="inlineStr">
        <is>
          <t>大将军转向</t>
        </is>
      </c>
      <c r="O1256" s="14" t="inlineStr">
        <is>
          <t>是</t>
        </is>
      </c>
    </row>
    <row r="1257">
      <c r="A1257" s="14" t="inlineStr">
        <is>
          <t>2023-12-12</t>
        </is>
      </c>
      <c r="B1257" s="14" t="inlineStr">
        <is>
          <t>2023-12-13</t>
        </is>
      </c>
      <c r="C1257" s="14" t="inlineStr">
        <is>
          <t>玻璃</t>
        </is>
      </c>
      <c r="D1257" s="14" t="inlineStr">
        <is>
          <t>FG</t>
        </is>
      </c>
      <c r="E1257" s="14" t="inlineStr">
        <is>
          <t>空</t>
        </is>
      </c>
      <c r="F1257" s="14" t="inlineStr">
        <is>
          <t>★★</t>
        </is>
      </c>
      <c r="G1257" s="14" t="n">
        <v>2</v>
      </c>
      <c r="H1257" s="15" t="n">
        <v>1880</v>
      </c>
      <c r="I1257" s="15" t="n">
        <v>1832</v>
      </c>
      <c r="J1257" s="14" t="n">
        <v>20</v>
      </c>
      <c r="K1257" s="14" t="n">
        <v>10000</v>
      </c>
      <c r="L1257" s="25">
        <f>IF(E1257="多",1,-1)*(I1257-H1257)*G1257*J1257</f>
        <v/>
      </c>
      <c r="M1257" s="26">
        <f>L1257/K1257</f>
        <v/>
      </c>
      <c r="N1257" s="14" t="inlineStr">
        <is>
          <t>将军撤退</t>
        </is>
      </c>
      <c r="O1257" s="14" t="inlineStr">
        <is>
          <t>是</t>
        </is>
      </c>
    </row>
    <row r="1258">
      <c r="A1258" s="2" t="inlineStr">
        <is>
          <t>2023-12-04</t>
        </is>
      </c>
      <c r="B1258" s="2" t="inlineStr">
        <is>
          <t>2023-12-12</t>
        </is>
      </c>
      <c r="C1258" s="2" t="inlineStr">
        <is>
          <t>塑料</t>
        </is>
      </c>
      <c r="D1258" s="2" t="inlineStr">
        <is>
          <t>L</t>
        </is>
      </c>
      <c r="E1258" s="9" t="inlineStr">
        <is>
          <t>空</t>
        </is>
      </c>
      <c r="F1258" s="2" t="inlineStr">
        <is>
          <t>★★★</t>
        </is>
      </c>
      <c r="G1258" s="10" t="n">
        <v>12</v>
      </c>
      <c r="H1258" s="11" t="n">
        <v>7870</v>
      </c>
      <c r="I1258" s="11" t="n">
        <v>8084</v>
      </c>
      <c r="J1258" s="10" t="n">
        <v>5</v>
      </c>
      <c r="K1258" s="10" t="n">
        <v>18000</v>
      </c>
      <c r="L1258" s="23">
        <f>IF(E1258="多",1,-1)*(I1258-H1258)*G1258*J1258</f>
        <v/>
      </c>
      <c r="M1258" s="24">
        <f>L1258/K1258</f>
        <v/>
      </c>
      <c r="N1258" s="2" t="inlineStr">
        <is>
          <t>大将军转向</t>
        </is>
      </c>
      <c r="O1258" s="2" t="inlineStr">
        <is>
          <t>否</t>
        </is>
      </c>
    </row>
    <row r="1259">
      <c r="A1259" s="14" t="inlineStr">
        <is>
          <t>2023-12-04</t>
        </is>
      </c>
      <c r="B1259" s="14" t="inlineStr">
        <is>
          <t>2023-12-11</t>
        </is>
      </c>
      <c r="C1259" s="14" t="inlineStr">
        <is>
          <t>沪锌</t>
        </is>
      </c>
      <c r="D1259" s="14" t="inlineStr">
        <is>
          <t>ZN</t>
        </is>
      </c>
      <c r="E1259" s="14" t="inlineStr">
        <is>
          <t>空</t>
        </is>
      </c>
      <c r="F1259" s="14" t="inlineStr">
        <is>
          <t>★★★</t>
        </is>
      </c>
      <c r="G1259" s="14" t="n">
        <v>2</v>
      </c>
      <c r="H1259" s="15" t="n">
        <v>20680</v>
      </c>
      <c r="I1259" s="15" t="n">
        <v>20640</v>
      </c>
      <c r="J1259" s="14" t="n">
        <v>5</v>
      </c>
      <c r="K1259" s="14" t="n">
        <v>10000</v>
      </c>
      <c r="L1259" s="25">
        <f>IF(E1259="多",1,-1)*(I1259-H1259)*G1259*J1259</f>
        <v/>
      </c>
      <c r="M1259" s="26">
        <f>L1259/K1259</f>
        <v/>
      </c>
      <c r="N1259" s="14" t="inlineStr">
        <is>
          <t>大将军转向</t>
        </is>
      </c>
      <c r="O1259" s="14" t="inlineStr">
        <is>
          <t>是</t>
        </is>
      </c>
    </row>
    <row r="1260">
      <c r="A1260" s="14" t="inlineStr">
        <is>
          <t>2023-11-29</t>
        </is>
      </c>
      <c r="B1260" s="14" t="inlineStr">
        <is>
          <t>2023-12-11</t>
        </is>
      </c>
      <c r="C1260" s="14" t="inlineStr">
        <is>
          <t>锰硅</t>
        </is>
      </c>
      <c r="D1260" s="14" t="inlineStr">
        <is>
          <t>SM</t>
        </is>
      </c>
      <c r="E1260" s="14" t="inlineStr">
        <is>
          <t>空</t>
        </is>
      </c>
      <c r="F1260" s="14" t="inlineStr">
        <is>
          <t>★★★</t>
        </is>
      </c>
      <c r="G1260" s="14" t="n">
        <v>7</v>
      </c>
      <c r="H1260" s="15" t="n">
        <v>6410</v>
      </c>
      <c r="I1260" s="15" t="n">
        <v>6468</v>
      </c>
      <c r="J1260" s="14" t="n">
        <v>5</v>
      </c>
      <c r="K1260" s="14" t="n">
        <v>10000</v>
      </c>
      <c r="L1260" s="25">
        <f>IF(E1260="多",1,-1)*(I1260-H1260)*G1260*J1260</f>
        <v/>
      </c>
      <c r="M1260" s="26">
        <f>L1260/K1260</f>
        <v/>
      </c>
      <c r="N1260" s="14" t="inlineStr">
        <is>
          <t>将军撤退</t>
        </is>
      </c>
      <c r="O1260" s="14" t="inlineStr">
        <is>
          <t>是</t>
        </is>
      </c>
    </row>
    <row r="1261">
      <c r="A1261" s="14" t="inlineStr">
        <is>
          <t>2023-11-24</t>
        </is>
      </c>
      <c r="B1261" s="14" t="inlineStr">
        <is>
          <t>2023-12-11</t>
        </is>
      </c>
      <c r="C1261" s="14" t="inlineStr">
        <is>
          <t>菜粕</t>
        </is>
      </c>
      <c r="D1261" s="14" t="inlineStr">
        <is>
          <t>RM</t>
        </is>
      </c>
      <c r="E1261" s="14" t="inlineStr">
        <is>
          <t>多</t>
        </is>
      </c>
      <c r="F1261" s="14" t="inlineStr">
        <is>
          <t>★★</t>
        </is>
      </c>
      <c r="G1261" s="14" t="n">
        <v>5</v>
      </c>
      <c r="H1261" s="15" t="n">
        <v>2881</v>
      </c>
      <c r="I1261" s="15" t="n">
        <v>2890</v>
      </c>
      <c r="J1261" s="14" t="n">
        <v>10</v>
      </c>
      <c r="K1261" s="14" t="n">
        <v>10000</v>
      </c>
      <c r="L1261" s="25">
        <f>IF(E1261="多",1,-1)*(I1261-H1261)*G1261*J1261</f>
        <v/>
      </c>
      <c r="M1261" s="26">
        <f>L1261/K1261</f>
        <v/>
      </c>
      <c r="N1261" s="14" t="inlineStr">
        <is>
          <t>将军撤退</t>
        </is>
      </c>
      <c r="O1261" s="14" t="inlineStr">
        <is>
          <t>是</t>
        </is>
      </c>
    </row>
    <row r="1262">
      <c r="A1262" s="14" t="inlineStr">
        <is>
          <t>2023-12-06</t>
        </is>
      </c>
      <c r="B1262" s="14" t="inlineStr">
        <is>
          <t>2023-12-08</t>
        </is>
      </c>
      <c r="C1262" s="14" t="inlineStr">
        <is>
          <t>玉米</t>
        </is>
      </c>
      <c r="D1262" s="14" t="inlineStr">
        <is>
          <t>C</t>
        </is>
      </c>
      <c r="E1262" s="14" t="inlineStr">
        <is>
          <t>多</t>
        </is>
      </c>
      <c r="F1262" s="14" t="inlineStr">
        <is>
          <t>★★</t>
        </is>
      </c>
      <c r="G1262" s="14" t="n">
        <v>14</v>
      </c>
      <c r="H1262" s="15" t="n">
        <v>2499</v>
      </c>
      <c r="I1262" s="15" t="n">
        <v>2498</v>
      </c>
      <c r="J1262" s="14" t="n">
        <v>10</v>
      </c>
      <c r="K1262" s="14" t="n">
        <v>10000</v>
      </c>
      <c r="L1262" s="25">
        <f>IF(E1262="多",1,-1)*(I1262-H1262)*G1262*J1262</f>
        <v/>
      </c>
      <c r="M1262" s="26">
        <f>L1262/K1262</f>
        <v/>
      </c>
      <c r="N1262" s="14" t="inlineStr">
        <is>
          <t>大将军转向</t>
        </is>
      </c>
      <c r="O1262" s="14" t="inlineStr">
        <is>
          <t>是</t>
        </is>
      </c>
    </row>
    <row r="1263">
      <c r="A1263" s="14" t="inlineStr">
        <is>
          <t>2023-12-05</t>
        </is>
      </c>
      <c r="B1263" s="14" t="inlineStr">
        <is>
          <t>2023-12-08</t>
        </is>
      </c>
      <c r="C1263" s="14" t="inlineStr">
        <is>
          <t>硅铁</t>
        </is>
      </c>
      <c r="D1263" s="14" t="inlineStr">
        <is>
          <t>SF</t>
        </is>
      </c>
      <c r="E1263" s="14" t="inlineStr">
        <is>
          <t>空</t>
        </is>
      </c>
      <c r="F1263" s="14" t="inlineStr">
        <is>
          <t>★★</t>
        </is>
      </c>
      <c r="G1263" s="14" t="n">
        <v>6</v>
      </c>
      <c r="H1263" s="15" t="n">
        <v>6636</v>
      </c>
      <c r="I1263" s="15" t="n">
        <v>6946.43</v>
      </c>
      <c r="J1263" s="14" t="n">
        <v>5</v>
      </c>
      <c r="K1263" s="14" t="n">
        <v>10000</v>
      </c>
      <c r="L1263" s="25">
        <f>IF(E1263="多",1,-1)*(I1263-H1263)*G1263*J1263</f>
        <v/>
      </c>
      <c r="M1263" s="26">
        <f>L1263/K1263</f>
        <v/>
      </c>
      <c r="N1263" s="14" t="inlineStr">
        <is>
          <t>止损</t>
        </is>
      </c>
      <c r="O1263" s="14" t="inlineStr">
        <is>
          <t>是</t>
        </is>
      </c>
    </row>
    <row r="1264">
      <c r="A1264" s="2" t="inlineStr">
        <is>
          <t>2023-11-24</t>
        </is>
      </c>
      <c r="B1264" s="2" t="inlineStr">
        <is>
          <t>2023-12-08</t>
        </is>
      </c>
      <c r="C1264" s="2" t="inlineStr">
        <is>
          <t>铁矿石</t>
        </is>
      </c>
      <c r="D1264" s="2" t="inlineStr">
        <is>
          <t>I</t>
        </is>
      </c>
      <c r="E1264" s="19" t="inlineStr">
        <is>
          <t>多</t>
        </is>
      </c>
      <c r="F1264" s="2" t="inlineStr">
        <is>
          <t>★★★</t>
        </is>
      </c>
      <c r="G1264" s="10" t="n">
        <v>3</v>
      </c>
      <c r="H1264" s="11" t="n">
        <v>940</v>
      </c>
      <c r="I1264" s="11" t="n">
        <v>963.5</v>
      </c>
      <c r="J1264" s="10" t="n">
        <v>100</v>
      </c>
      <c r="K1264" s="10" t="n">
        <v>20500</v>
      </c>
      <c r="L1264" s="23">
        <f>IF(E1264="多",1,-1)*(I1264-H1264)*G1264*J1264</f>
        <v/>
      </c>
      <c r="M1264" s="24">
        <f>L1264/K1264</f>
        <v/>
      </c>
      <c r="N1264" s="2" t="inlineStr">
        <is>
          <t>将军撤退+大将军转向</t>
        </is>
      </c>
      <c r="O1264" s="2" t="inlineStr">
        <is>
          <t>否</t>
        </is>
      </c>
    </row>
    <row r="1265">
      <c r="A1265" s="14" t="inlineStr">
        <is>
          <t>2023-11-24</t>
        </is>
      </c>
      <c r="B1265" s="14" t="inlineStr">
        <is>
          <t>2023-12-08</t>
        </is>
      </c>
      <c r="C1265" s="14" t="inlineStr">
        <is>
          <t>棉花</t>
        </is>
      </c>
      <c r="D1265" s="14" t="inlineStr">
        <is>
          <t>CF</t>
        </is>
      </c>
      <c r="E1265" s="14" t="inlineStr">
        <is>
          <t>空</t>
        </is>
      </c>
      <c r="F1265" s="14" t="inlineStr">
        <is>
          <t>★★★</t>
        </is>
      </c>
      <c r="G1265" s="14" t="n">
        <v>2</v>
      </c>
      <c r="H1265" s="15" t="n">
        <v>14845</v>
      </c>
      <c r="I1265" s="15" t="n">
        <v>15227.86</v>
      </c>
      <c r="J1265" s="14" t="n">
        <v>5</v>
      </c>
      <c r="K1265" s="14" t="n">
        <v>10000</v>
      </c>
      <c r="L1265" s="25">
        <f>IF(E1265="多",1,-1)*(I1265-H1265)*G1265*J1265</f>
        <v/>
      </c>
      <c r="M1265" s="26">
        <f>L1265/K1265</f>
        <v/>
      </c>
      <c r="N1265" s="14" t="inlineStr">
        <is>
          <t>止损</t>
        </is>
      </c>
      <c r="O1265" s="14" t="inlineStr">
        <is>
          <t>是</t>
        </is>
      </c>
    </row>
    <row r="1266">
      <c r="A1266" s="14" t="inlineStr">
        <is>
          <t>2023-12-06</t>
        </is>
      </c>
      <c r="B1266" s="14" t="inlineStr">
        <is>
          <t>2023-12-07</t>
        </is>
      </c>
      <c r="C1266" s="14" t="inlineStr">
        <is>
          <t>白糖</t>
        </is>
      </c>
      <c r="D1266" s="14" t="inlineStr">
        <is>
          <t>SR</t>
        </is>
      </c>
      <c r="E1266" s="14" t="inlineStr">
        <is>
          <t>空</t>
        </is>
      </c>
      <c r="F1266" s="14" t="inlineStr">
        <is>
          <t>★★</t>
        </is>
      </c>
      <c r="G1266" s="14" t="n">
        <v>4</v>
      </c>
      <c r="H1266" s="15" t="n">
        <v>6314</v>
      </c>
      <c r="I1266" s="15" t="n">
        <v>6282</v>
      </c>
      <c r="J1266" s="14" t="n">
        <v>10</v>
      </c>
      <c r="K1266" s="14" t="n">
        <v>10000</v>
      </c>
      <c r="L1266" s="25">
        <f>IF(E1266="多",1,-1)*(I1266-H1266)*G1266*J1266</f>
        <v/>
      </c>
      <c r="M1266" s="26">
        <f>L1266/K1266</f>
        <v/>
      </c>
      <c r="N1266" s="14" t="inlineStr">
        <is>
          <t>将军撤退</t>
        </is>
      </c>
      <c r="O1266" s="14" t="inlineStr">
        <is>
          <t>是</t>
        </is>
      </c>
    </row>
    <row r="1267">
      <c r="A1267" s="14" t="inlineStr">
        <is>
          <t>2023-12-06</t>
        </is>
      </c>
      <c r="B1267" s="14" t="inlineStr">
        <is>
          <t>2023-12-07</t>
        </is>
      </c>
      <c r="C1267" s="14" t="inlineStr">
        <is>
          <t>棕榈油</t>
        </is>
      </c>
      <c r="D1267" s="14" t="inlineStr">
        <is>
          <t>P</t>
        </is>
      </c>
      <c r="E1267" s="14" t="inlineStr">
        <is>
          <t>空</t>
        </is>
      </c>
      <c r="F1267" s="14" t="inlineStr">
        <is>
          <t>★★</t>
        </is>
      </c>
      <c r="G1267" s="14" t="n">
        <v>2</v>
      </c>
      <c r="H1267" s="15" t="n">
        <v>6950</v>
      </c>
      <c r="I1267" s="15" t="n">
        <v>6916</v>
      </c>
      <c r="J1267" s="14" t="n">
        <v>10</v>
      </c>
      <c r="K1267" s="14" t="n">
        <v>10000</v>
      </c>
      <c r="L1267" s="25">
        <f>IF(E1267="多",1,-1)*(I1267-H1267)*G1267*J1267</f>
        <v/>
      </c>
      <c r="M1267" s="26">
        <f>L1267/K1267</f>
        <v/>
      </c>
      <c r="N1267" s="14" t="inlineStr">
        <is>
          <t>将军撤退</t>
        </is>
      </c>
      <c r="O1267" s="14" t="inlineStr">
        <is>
          <t>是</t>
        </is>
      </c>
    </row>
    <row r="1268">
      <c r="A1268" s="2" t="inlineStr">
        <is>
          <t>2023-11-22</t>
        </is>
      </c>
      <c r="B1268" s="2" t="inlineStr">
        <is>
          <t>2023-12-07</t>
        </is>
      </c>
      <c r="C1268" s="2" t="inlineStr">
        <is>
          <t>豆油</t>
        </is>
      </c>
      <c r="D1268" s="2" t="inlineStr">
        <is>
          <t>Y</t>
        </is>
      </c>
      <c r="E1268" s="19" t="inlineStr">
        <is>
          <t>多</t>
        </is>
      </c>
      <c r="F1268" s="2" t="inlineStr">
        <is>
          <t>★★★</t>
        </is>
      </c>
      <c r="G1268" s="10" t="n">
        <v>4</v>
      </c>
      <c r="H1268" s="11" t="n">
        <v>7938</v>
      </c>
      <c r="I1268" s="11" t="n">
        <v>7557.86</v>
      </c>
      <c r="J1268" s="10" t="n">
        <v>10</v>
      </c>
      <c r="K1268" s="10" t="n">
        <v>18700</v>
      </c>
      <c r="L1268" s="23">
        <f>IF(E1268="多",1,-1)*(I1268-H1268)*G1268*J1268</f>
        <v/>
      </c>
      <c r="M1268" s="24">
        <f>L1268/K1268</f>
        <v/>
      </c>
      <c r="N1268" s="2" t="inlineStr">
        <is>
          <t>止损</t>
        </is>
      </c>
      <c r="O1268" s="2" t="inlineStr">
        <is>
          <t>否</t>
        </is>
      </c>
    </row>
    <row r="1269">
      <c r="A1269" s="14" t="inlineStr">
        <is>
          <t>2023-11-22</t>
        </is>
      </c>
      <c r="B1269" s="14" t="inlineStr">
        <is>
          <t>2023-12-06</t>
        </is>
      </c>
      <c r="C1269" s="14" t="inlineStr">
        <is>
          <t>沪铜</t>
        </is>
      </c>
      <c r="D1269" s="14" t="inlineStr">
        <is>
          <t>CU</t>
        </is>
      </c>
      <c r="E1269" s="14" t="inlineStr">
        <is>
          <t>多</t>
        </is>
      </c>
      <c r="F1269" s="14" t="inlineStr">
        <is>
          <t>★★★</t>
        </is>
      </c>
      <c r="G1269" s="14" t="n">
        <v>1</v>
      </c>
      <c r="H1269" s="15" t="n">
        <v>67840</v>
      </c>
      <c r="I1269" s="15" t="n">
        <v>67600</v>
      </c>
      <c r="J1269" s="14" t="n">
        <v>5</v>
      </c>
      <c r="K1269" s="14" t="n">
        <v>10000</v>
      </c>
      <c r="L1269" s="25">
        <f>IF(E1269="多",1,-1)*(I1269-H1269)*G1269*J1269</f>
        <v/>
      </c>
      <c r="M1269" s="26">
        <f>L1269/K1269</f>
        <v/>
      </c>
      <c r="N1269" s="14" t="inlineStr">
        <is>
          <t>跳空止损</t>
        </is>
      </c>
      <c r="O1269" s="14" t="inlineStr">
        <is>
          <t>是</t>
        </is>
      </c>
    </row>
    <row r="1270">
      <c r="A1270" s="2" t="inlineStr">
        <is>
          <t>2023-12-04</t>
        </is>
      </c>
      <c r="B1270" s="2" t="inlineStr">
        <is>
          <t>2023-12-05</t>
        </is>
      </c>
      <c r="C1270" s="2" t="inlineStr">
        <is>
          <t>沪镍</t>
        </is>
      </c>
      <c r="D1270" s="2" t="inlineStr">
        <is>
          <t>NI</t>
        </is>
      </c>
      <c r="E1270" s="9" t="inlineStr">
        <is>
          <t>空</t>
        </is>
      </c>
      <c r="F1270" s="2" t="inlineStr">
        <is>
          <t>★★★</t>
        </is>
      </c>
      <c r="G1270" s="10" t="n">
        <v>1</v>
      </c>
      <c r="H1270" s="11" t="n">
        <v>128140</v>
      </c>
      <c r="I1270" s="11" t="n">
        <v>125120</v>
      </c>
      <c r="J1270" s="10" t="n">
        <v>1</v>
      </c>
      <c r="K1270" s="10" t="n">
        <v>21400</v>
      </c>
      <c r="L1270" s="23">
        <f>IF(E1270="多",1,-1)*(I1270-H1270)*G1270*J1270</f>
        <v/>
      </c>
      <c r="M1270" s="24">
        <f>L1270/K1270</f>
        <v/>
      </c>
      <c r="N1270" s="2" t="inlineStr">
        <is>
          <t>大将军转向</t>
        </is>
      </c>
      <c r="O1270" s="2" t="inlineStr">
        <is>
          <t>否</t>
        </is>
      </c>
    </row>
    <row r="1271">
      <c r="A1271" s="2" t="inlineStr">
        <is>
          <t>2023-12-04</t>
        </is>
      </c>
      <c r="B1271" s="2" t="inlineStr">
        <is>
          <t>2023-12-05</t>
        </is>
      </c>
      <c r="C1271" s="2" t="inlineStr">
        <is>
          <t>沪银</t>
        </is>
      </c>
      <c r="D1271" s="2" t="inlineStr">
        <is>
          <t>AG</t>
        </is>
      </c>
      <c r="E1271" s="19" t="inlineStr">
        <is>
          <t>多</t>
        </is>
      </c>
      <c r="F1271" s="2" t="inlineStr">
        <is>
          <t>★★★</t>
        </is>
      </c>
      <c r="G1271" s="10" t="n">
        <v>4</v>
      </c>
      <c r="H1271" s="11" t="n">
        <v>6183</v>
      </c>
      <c r="I1271" s="11" t="n">
        <v>6006</v>
      </c>
      <c r="J1271" s="10" t="n">
        <v>15</v>
      </c>
      <c r="K1271" s="10" t="n">
        <v>21400</v>
      </c>
      <c r="L1271" s="23">
        <f>IF(E1271="多",1,-1)*(I1271-H1271)*G1271*J1271</f>
        <v/>
      </c>
      <c r="M1271" s="24">
        <f>L1271/K1271</f>
        <v/>
      </c>
      <c r="N1271" s="2" t="inlineStr">
        <is>
          <t>大将军转向</t>
        </is>
      </c>
      <c r="O1271" s="2" t="inlineStr">
        <is>
          <t>否</t>
        </is>
      </c>
    </row>
    <row r="1272">
      <c r="A1272" s="14" t="inlineStr">
        <is>
          <t>2023-12-01</t>
        </is>
      </c>
      <c r="B1272" s="14" t="inlineStr">
        <is>
          <t>2023-12-04</t>
        </is>
      </c>
      <c r="C1272" s="14" t="inlineStr">
        <is>
          <t>甲醇</t>
        </is>
      </c>
      <c r="D1272" s="14" t="inlineStr">
        <is>
          <t>MA</t>
        </is>
      </c>
      <c r="E1272" s="14" t="inlineStr">
        <is>
          <t>多</t>
        </is>
      </c>
      <c r="F1272" s="14" t="inlineStr">
        <is>
          <t>★★</t>
        </is>
      </c>
      <c r="G1272" s="14" t="n">
        <v>6</v>
      </c>
      <c r="H1272" s="15" t="n">
        <v>2497</v>
      </c>
      <c r="I1272" s="15" t="n">
        <v>2430</v>
      </c>
      <c r="J1272" s="14" t="n">
        <v>10</v>
      </c>
      <c r="K1272" s="14" t="n">
        <v>10000</v>
      </c>
      <c r="L1272" s="25">
        <f>IF(E1272="多",1,-1)*(I1272-H1272)*G1272*J1272</f>
        <v/>
      </c>
      <c r="M1272" s="26">
        <f>L1272/K1272</f>
        <v/>
      </c>
      <c r="N1272" s="14" t="inlineStr">
        <is>
          <t>大将军转向</t>
        </is>
      </c>
      <c r="O1272" s="14" t="inlineStr">
        <is>
          <t>是</t>
        </is>
      </c>
    </row>
    <row r="1273">
      <c r="A1273" s="2" t="inlineStr">
        <is>
          <t>2023-11-30</t>
        </is>
      </c>
      <c r="B1273" s="2" t="inlineStr">
        <is>
          <t>2023-12-01</t>
        </is>
      </c>
      <c r="C1273" s="2" t="inlineStr">
        <is>
          <t>纯碱</t>
        </is>
      </c>
      <c r="D1273" s="2" t="inlineStr">
        <is>
          <t>SA</t>
        </is>
      </c>
      <c r="E1273" s="19" t="inlineStr">
        <is>
          <t>多</t>
        </is>
      </c>
      <c r="F1273" s="2" t="inlineStr">
        <is>
          <t>★★★</t>
        </is>
      </c>
      <c r="G1273" s="10" t="n">
        <v>2</v>
      </c>
      <c r="H1273" s="11" t="n">
        <v>2434</v>
      </c>
      <c r="I1273" s="11" t="n">
        <v>2554</v>
      </c>
      <c r="J1273" s="10" t="n">
        <v>20</v>
      </c>
      <c r="K1273" s="10" t="n">
        <v>21000</v>
      </c>
      <c r="L1273" s="23">
        <f>IF(E1273="多",1,-1)*(I1273-H1273)*G1273*J1273</f>
        <v/>
      </c>
      <c r="M1273" s="24">
        <f>L1273/K1273</f>
        <v/>
      </c>
      <c r="N1273" s="2" t="inlineStr">
        <is>
          <t>将军撤退</t>
        </is>
      </c>
      <c r="O1273" s="2" t="inlineStr">
        <is>
          <t>否</t>
        </is>
      </c>
    </row>
    <row r="1274">
      <c r="A1274" s="14" t="inlineStr">
        <is>
          <t>2023-11-29</t>
        </is>
      </c>
      <c r="B1274" s="14" t="inlineStr">
        <is>
          <t>2023-12-01</t>
        </is>
      </c>
      <c r="C1274" s="14" t="inlineStr">
        <is>
          <t>苯乙烯</t>
        </is>
      </c>
      <c r="D1274" s="14" t="inlineStr">
        <is>
          <t>EB</t>
        </is>
      </c>
      <c r="E1274" s="14" t="inlineStr">
        <is>
          <t>空</t>
        </is>
      </c>
      <c r="F1274" s="14" t="inlineStr">
        <is>
          <t>★★</t>
        </is>
      </c>
      <c r="G1274" s="14" t="n">
        <v>3</v>
      </c>
      <c r="H1274" s="15" t="n">
        <v>8088</v>
      </c>
      <c r="I1274" s="15" t="n">
        <v>7954</v>
      </c>
      <c r="J1274" s="14" t="n">
        <v>5</v>
      </c>
      <c r="K1274" s="14" t="n">
        <v>10000</v>
      </c>
      <c r="L1274" s="25">
        <f>IF(E1274="多",1,-1)*(I1274-H1274)*G1274*J1274</f>
        <v/>
      </c>
      <c r="M1274" s="26">
        <f>L1274/K1274</f>
        <v/>
      </c>
      <c r="N1274" s="14" t="inlineStr">
        <is>
          <t>将军撤退</t>
        </is>
      </c>
      <c r="O1274" s="14" t="inlineStr">
        <is>
          <t>是</t>
        </is>
      </c>
    </row>
    <row r="1275">
      <c r="A1275" s="14" t="inlineStr">
        <is>
          <t>2023-11-29</t>
        </is>
      </c>
      <c r="B1275" s="14" t="inlineStr">
        <is>
          <t>2023-11-30</t>
        </is>
      </c>
      <c r="C1275" s="14" t="inlineStr">
        <is>
          <t>聚丙烯</t>
        </is>
      </c>
      <c r="D1275" s="14" t="inlineStr">
        <is>
          <t>PP</t>
        </is>
      </c>
      <c r="E1275" s="14" t="inlineStr">
        <is>
          <t>空</t>
        </is>
      </c>
      <c r="F1275" s="14" t="inlineStr">
        <is>
          <t>★★</t>
        </is>
      </c>
      <c r="G1275" s="14" t="n">
        <v>7</v>
      </c>
      <c r="H1275" s="15" t="n">
        <v>7402</v>
      </c>
      <c r="I1275" s="15" t="n">
        <v>7476</v>
      </c>
      <c r="J1275" s="14" t="n">
        <v>5</v>
      </c>
      <c r="K1275" s="14" t="n">
        <v>10000</v>
      </c>
      <c r="L1275" s="25">
        <f>IF(E1275="多",1,-1)*(I1275-H1275)*G1275*J1275</f>
        <v/>
      </c>
      <c r="M1275" s="26">
        <f>L1275/K1275</f>
        <v/>
      </c>
      <c r="N1275" s="14" t="inlineStr">
        <is>
          <t>将军撤退</t>
        </is>
      </c>
      <c r="O1275" s="14" t="inlineStr">
        <is>
          <t>是</t>
        </is>
      </c>
    </row>
    <row r="1276">
      <c r="A1276" s="14" t="inlineStr">
        <is>
          <t>2023-11-29</t>
        </is>
      </c>
      <c r="B1276" s="14" t="inlineStr">
        <is>
          <t>2023-11-30</t>
        </is>
      </c>
      <c r="C1276" s="14" t="inlineStr">
        <is>
          <t>玻璃</t>
        </is>
      </c>
      <c r="D1276" s="14" t="inlineStr">
        <is>
          <t>FG</t>
        </is>
      </c>
      <c r="E1276" s="14" t="inlineStr">
        <is>
          <t>多</t>
        </is>
      </c>
      <c r="F1276" s="14" t="inlineStr">
        <is>
          <t>★★</t>
        </is>
      </c>
      <c r="G1276" s="14" t="n">
        <v>3</v>
      </c>
      <c r="H1276" s="15" t="n">
        <v>1814</v>
      </c>
      <c r="I1276" s="15" t="n">
        <v>1789</v>
      </c>
      <c r="J1276" s="14" t="n">
        <v>20</v>
      </c>
      <c r="K1276" s="14" t="n">
        <v>10000</v>
      </c>
      <c r="L1276" s="25">
        <f>IF(E1276="多",1,-1)*(I1276-H1276)*G1276*J1276</f>
        <v/>
      </c>
      <c r="M1276" s="26">
        <f>L1276/K1276</f>
        <v/>
      </c>
      <c r="N1276" s="14" t="inlineStr">
        <is>
          <t>大将军转向</t>
        </is>
      </c>
      <c r="O1276" s="14" t="inlineStr">
        <is>
          <t>是</t>
        </is>
      </c>
    </row>
    <row r="1277">
      <c r="A1277" s="2" t="inlineStr">
        <is>
          <t>2023-11-28</t>
        </is>
      </c>
      <c r="B1277" s="2" t="inlineStr">
        <is>
          <t>2023-11-29</t>
        </is>
      </c>
      <c r="C1277" s="2" t="inlineStr">
        <is>
          <t>塑料</t>
        </is>
      </c>
      <c r="D1277" s="2" t="inlineStr">
        <is>
          <t>L</t>
        </is>
      </c>
      <c r="E1277" s="9" t="inlineStr">
        <is>
          <t>空</t>
        </is>
      </c>
      <c r="F1277" s="2" t="inlineStr">
        <is>
          <t>★★★</t>
        </is>
      </c>
      <c r="G1277" s="10" t="n">
        <v>14</v>
      </c>
      <c r="H1277" s="11" t="n">
        <v>7887</v>
      </c>
      <c r="I1277" s="11" t="n">
        <v>7869</v>
      </c>
      <c r="J1277" s="10" t="n">
        <v>5</v>
      </c>
      <c r="K1277" s="10" t="n">
        <v>20900</v>
      </c>
      <c r="L1277" s="23">
        <f>IF(E1277="多",1,-1)*(I1277-H1277)*G1277*J1277</f>
        <v/>
      </c>
      <c r="M1277" s="24">
        <f>L1277/K1277</f>
        <v/>
      </c>
      <c r="N1277" s="2" t="inlineStr">
        <is>
          <t>将军撤退</t>
        </is>
      </c>
      <c r="O1277" s="2" t="inlineStr">
        <is>
          <t>否</t>
        </is>
      </c>
    </row>
    <row r="1278">
      <c r="A1278" s="14" t="inlineStr">
        <is>
          <t>2023-11-27</t>
        </is>
      </c>
      <c r="B1278" s="14" t="inlineStr">
        <is>
          <t>2023-11-29</t>
        </is>
      </c>
      <c r="C1278" s="14" t="inlineStr">
        <is>
          <t>PTA</t>
        </is>
      </c>
      <c r="D1278" s="14" t="inlineStr">
        <is>
          <t>TA</t>
        </is>
      </c>
      <c r="E1278" s="14" t="inlineStr">
        <is>
          <t>空</t>
        </is>
      </c>
      <c r="F1278" s="14" t="inlineStr">
        <is>
          <t>★★</t>
        </is>
      </c>
      <c r="G1278" s="14" t="n">
        <v>5</v>
      </c>
      <c r="H1278" s="15" t="n">
        <v>5670</v>
      </c>
      <c r="I1278" s="15" t="n">
        <v>5606</v>
      </c>
      <c r="J1278" s="14" t="n">
        <v>5</v>
      </c>
      <c r="K1278" s="14" t="n">
        <v>10000</v>
      </c>
      <c r="L1278" s="25">
        <f>IF(E1278="多",1,-1)*(I1278-H1278)*G1278*J1278</f>
        <v/>
      </c>
      <c r="M1278" s="26">
        <f>L1278/K1278</f>
        <v/>
      </c>
      <c r="N1278" s="14" t="inlineStr">
        <is>
          <t>将军撤退</t>
        </is>
      </c>
      <c r="O1278" s="14" t="inlineStr">
        <is>
          <t>是</t>
        </is>
      </c>
    </row>
    <row r="1279">
      <c r="A1279" s="2" t="inlineStr">
        <is>
          <t>2023-11-22</t>
        </is>
      </c>
      <c r="B1279" s="2" t="inlineStr">
        <is>
          <t>2023-11-28</t>
        </is>
      </c>
      <c r="C1279" s="2" t="inlineStr">
        <is>
          <t>螺纹钢</t>
        </is>
      </c>
      <c r="D1279" s="2" t="inlineStr">
        <is>
          <t>RB</t>
        </is>
      </c>
      <c r="E1279" s="19" t="inlineStr">
        <is>
          <t>多</t>
        </is>
      </c>
      <c r="F1279" s="2" t="inlineStr">
        <is>
          <t>★★★</t>
        </is>
      </c>
      <c r="G1279" s="10" t="n">
        <v>9</v>
      </c>
      <c r="H1279" s="11" t="n">
        <v>4003</v>
      </c>
      <c r="I1279" s="11" t="n">
        <v>3893</v>
      </c>
      <c r="J1279" s="10" t="n">
        <v>10</v>
      </c>
      <c r="K1279" s="10" t="n">
        <v>18700</v>
      </c>
      <c r="L1279" s="23">
        <f>IF(E1279="多",1,-1)*(I1279-H1279)*G1279*J1279</f>
        <v/>
      </c>
      <c r="M1279" s="24">
        <f>L1279/K1279</f>
        <v/>
      </c>
      <c r="N1279" s="2" t="inlineStr">
        <is>
          <t>大将军转向</t>
        </is>
      </c>
      <c r="O1279" s="2" t="inlineStr">
        <is>
          <t>否</t>
        </is>
      </c>
    </row>
    <row r="1280">
      <c r="A1280" s="14" t="inlineStr">
        <is>
          <t>2023-11-21</t>
        </is>
      </c>
      <c r="B1280" s="14" t="inlineStr">
        <is>
          <t>2023-11-28</t>
        </is>
      </c>
      <c r="C1280" s="14" t="inlineStr">
        <is>
          <t>玉米</t>
        </is>
      </c>
      <c r="D1280" s="14" t="inlineStr">
        <is>
          <t>C</t>
        </is>
      </c>
      <c r="E1280" s="14" t="inlineStr">
        <is>
          <t>多</t>
        </is>
      </c>
      <c r="F1280" s="14" t="inlineStr">
        <is>
          <t>★★</t>
        </is>
      </c>
      <c r="G1280" s="14" t="n">
        <v>14</v>
      </c>
      <c r="H1280" s="15" t="n">
        <v>2570</v>
      </c>
      <c r="I1280" s="15" t="n">
        <v>2501.64</v>
      </c>
      <c r="J1280" s="14" t="n">
        <v>10</v>
      </c>
      <c r="K1280" s="14" t="n">
        <v>10000</v>
      </c>
      <c r="L1280" s="25">
        <f>IF(E1280="多",1,-1)*(I1280-H1280)*G1280*J1280</f>
        <v/>
      </c>
      <c r="M1280" s="26">
        <f>L1280/K1280</f>
        <v/>
      </c>
      <c r="N1280" s="14" t="inlineStr">
        <is>
          <t>止损</t>
        </is>
      </c>
      <c r="O1280" s="14" t="inlineStr">
        <is>
          <t>是</t>
        </is>
      </c>
    </row>
    <row r="1281">
      <c r="A1281" s="14" t="inlineStr">
        <is>
          <t>2023-11-21</t>
        </is>
      </c>
      <c r="B1281" s="14" t="inlineStr">
        <is>
          <t>2023-11-27</t>
        </is>
      </c>
      <c r="C1281" s="14" t="inlineStr">
        <is>
          <t>沪银</t>
        </is>
      </c>
      <c r="D1281" s="14" t="inlineStr">
        <is>
          <t>AG</t>
        </is>
      </c>
      <c r="E1281" s="14" t="inlineStr">
        <is>
          <t>空</t>
        </is>
      </c>
      <c r="F1281" s="14" t="inlineStr">
        <is>
          <t>★★</t>
        </is>
      </c>
      <c r="G1281" s="14" t="n">
        <v>2</v>
      </c>
      <c r="H1281" s="15" t="n">
        <v>5855</v>
      </c>
      <c r="I1281" s="15" t="n">
        <v>6078.64</v>
      </c>
      <c r="J1281" s="14" t="n">
        <v>15</v>
      </c>
      <c r="K1281" s="14" t="n">
        <v>10000</v>
      </c>
      <c r="L1281" s="25">
        <f>IF(E1281="多",1,-1)*(I1281-H1281)*G1281*J1281</f>
        <v/>
      </c>
      <c r="M1281" s="26">
        <f>L1281/K1281</f>
        <v/>
      </c>
      <c r="N1281" s="14" t="inlineStr">
        <is>
          <t>止损</t>
        </is>
      </c>
      <c r="O1281" s="14" t="inlineStr">
        <is>
          <t>是</t>
        </is>
      </c>
    </row>
    <row r="1282">
      <c r="A1282" s="2" t="inlineStr">
        <is>
          <t>2023-11-20</t>
        </is>
      </c>
      <c r="B1282" s="2" t="inlineStr">
        <is>
          <t>2023-11-27</t>
        </is>
      </c>
      <c r="C1282" s="2" t="inlineStr">
        <is>
          <t>纯碱</t>
        </is>
      </c>
      <c r="D1282" s="2" t="inlineStr">
        <is>
          <t>SA</t>
        </is>
      </c>
      <c r="E1282" s="19" t="inlineStr">
        <is>
          <t>多</t>
        </is>
      </c>
      <c r="F1282" s="2" t="inlineStr">
        <is>
          <t>★★★</t>
        </is>
      </c>
      <c r="G1282" s="10" t="n">
        <v>4</v>
      </c>
      <c r="H1282" s="11" t="n">
        <v>2245</v>
      </c>
      <c r="I1282" s="11" t="n">
        <v>2484</v>
      </c>
      <c r="J1282" s="10" t="n">
        <v>20</v>
      </c>
      <c r="K1282" s="10" t="n">
        <v>20600</v>
      </c>
      <c r="L1282" s="23">
        <f>IF(E1282="多",1,-1)*(I1282-H1282)*G1282*J1282</f>
        <v/>
      </c>
      <c r="M1282" s="24">
        <f>L1282/K1282</f>
        <v/>
      </c>
      <c r="N1282" s="2" t="inlineStr">
        <is>
          <t>大将军转向</t>
        </is>
      </c>
      <c r="O1282" s="2" t="inlineStr">
        <is>
          <t>否</t>
        </is>
      </c>
    </row>
    <row r="1283">
      <c r="A1283" s="14" t="inlineStr">
        <is>
          <t>2023-11-23</t>
        </is>
      </c>
      <c r="B1283" s="14" t="inlineStr">
        <is>
          <t>2023-11-24</t>
        </is>
      </c>
      <c r="C1283" s="14" t="inlineStr">
        <is>
          <t>沥青</t>
        </is>
      </c>
      <c r="D1283" s="14" t="inlineStr">
        <is>
          <t>BU</t>
        </is>
      </c>
      <c r="E1283" s="14" t="inlineStr">
        <is>
          <t>空</t>
        </is>
      </c>
      <c r="F1283" s="14" t="inlineStr">
        <is>
          <t>★★</t>
        </is>
      </c>
      <c r="G1283" s="14" t="n">
        <v>4</v>
      </c>
      <c r="H1283" s="15" t="n">
        <v>3560</v>
      </c>
      <c r="I1283" s="15" t="n">
        <v>3573</v>
      </c>
      <c r="J1283" s="14" t="n">
        <v>10</v>
      </c>
      <c r="K1283" s="14" t="n">
        <v>10000</v>
      </c>
      <c r="L1283" s="25">
        <f>IF(E1283="多",1,-1)*(I1283-H1283)*G1283*J1283</f>
        <v/>
      </c>
      <c r="M1283" s="26">
        <f>L1283/K1283</f>
        <v/>
      </c>
      <c r="N1283" s="14" t="inlineStr">
        <is>
          <t>大将军转向</t>
        </is>
      </c>
      <c r="O1283" s="14" t="inlineStr">
        <is>
          <t>是</t>
        </is>
      </c>
    </row>
    <row r="1284">
      <c r="A1284" s="14" t="inlineStr">
        <is>
          <t>2023-11-21</t>
        </is>
      </c>
      <c r="B1284" s="14" t="inlineStr">
        <is>
          <t>2023-11-24</t>
        </is>
      </c>
      <c r="C1284" s="14" t="inlineStr">
        <is>
          <t>苯乙烯</t>
        </is>
      </c>
      <c r="D1284" s="14" t="inlineStr">
        <is>
          <t>EB</t>
        </is>
      </c>
      <c r="E1284" s="14" t="inlineStr">
        <is>
          <t>空</t>
        </is>
      </c>
      <c r="F1284" s="14" t="inlineStr">
        <is>
          <t>★★</t>
        </is>
      </c>
      <c r="G1284" s="14" t="n">
        <v>3</v>
      </c>
      <c r="H1284" s="15" t="n">
        <v>8469</v>
      </c>
      <c r="I1284" s="15" t="n">
        <v>8358</v>
      </c>
      <c r="J1284" s="14" t="n">
        <v>5</v>
      </c>
      <c r="K1284" s="14" t="n">
        <v>10000</v>
      </c>
      <c r="L1284" s="25">
        <f>IF(E1284="多",1,-1)*(I1284-H1284)*G1284*J1284</f>
        <v/>
      </c>
      <c r="M1284" s="26">
        <f>L1284/K1284</f>
        <v/>
      </c>
      <c r="N1284" s="14" t="inlineStr">
        <is>
          <t>将军撤退+大将军转向</t>
        </is>
      </c>
      <c r="O1284" s="14" t="inlineStr">
        <is>
          <t>是</t>
        </is>
      </c>
    </row>
    <row r="1285">
      <c r="A1285" s="14" t="inlineStr">
        <is>
          <t>2023-11-13</t>
        </is>
      </c>
      <c r="B1285" s="14" t="inlineStr">
        <is>
          <t>2023-11-23</t>
        </is>
      </c>
      <c r="C1285" s="14" t="inlineStr">
        <is>
          <t>PTA</t>
        </is>
      </c>
      <c r="D1285" s="14" t="inlineStr">
        <is>
          <t>TA</t>
        </is>
      </c>
      <c r="E1285" s="14" t="inlineStr">
        <is>
          <t>空</t>
        </is>
      </c>
      <c r="F1285" s="14" t="inlineStr">
        <is>
          <t>★★</t>
        </is>
      </c>
      <c r="G1285" s="14" t="n">
        <v>5</v>
      </c>
      <c r="H1285" s="15" t="n">
        <v>5808</v>
      </c>
      <c r="I1285" s="15" t="n">
        <v>5774</v>
      </c>
      <c r="J1285" s="14" t="n">
        <v>5</v>
      </c>
      <c r="K1285" s="14" t="n">
        <v>10000</v>
      </c>
      <c r="L1285" s="25">
        <f>IF(E1285="多",1,-1)*(I1285-H1285)*G1285*J1285</f>
        <v/>
      </c>
      <c r="M1285" s="26">
        <f>L1285/K1285</f>
        <v/>
      </c>
      <c r="N1285" s="14" t="inlineStr">
        <is>
          <t>大将军转向</t>
        </is>
      </c>
      <c r="O1285" s="14" t="inlineStr">
        <is>
          <t>是</t>
        </is>
      </c>
    </row>
    <row r="1286">
      <c r="A1286" s="14" t="inlineStr">
        <is>
          <t>2023-11-13</t>
        </is>
      </c>
      <c r="B1286" s="14" t="inlineStr">
        <is>
          <t>2023-11-23</t>
        </is>
      </c>
      <c r="C1286" s="14" t="inlineStr">
        <is>
          <t>棉花</t>
        </is>
      </c>
      <c r="D1286" s="14" t="inlineStr">
        <is>
          <t>CF</t>
        </is>
      </c>
      <c r="E1286" s="14" t="inlineStr">
        <is>
          <t>空</t>
        </is>
      </c>
      <c r="F1286" s="14" t="inlineStr">
        <is>
          <t>★★★</t>
        </is>
      </c>
      <c r="G1286" s="14" t="n">
        <v>2</v>
      </c>
      <c r="H1286" s="15" t="n">
        <v>15635</v>
      </c>
      <c r="I1286" s="15" t="n">
        <v>15325</v>
      </c>
      <c r="J1286" s="14" t="n">
        <v>5</v>
      </c>
      <c r="K1286" s="14" t="n">
        <v>10000</v>
      </c>
      <c r="L1286" s="25">
        <f>IF(E1286="多",1,-1)*(I1286-H1286)*G1286*J1286</f>
        <v/>
      </c>
      <c r="M1286" s="26">
        <f>L1286/K1286</f>
        <v/>
      </c>
      <c r="N1286" s="14" t="inlineStr">
        <is>
          <t>大将军转向</t>
        </is>
      </c>
      <c r="O1286" s="14" t="inlineStr">
        <is>
          <t>是</t>
        </is>
      </c>
    </row>
    <row r="1287">
      <c r="A1287" s="14" t="inlineStr">
        <is>
          <t>2023-11-07</t>
        </is>
      </c>
      <c r="B1287" s="14" t="inlineStr">
        <is>
          <t>2023-11-23</t>
        </is>
      </c>
      <c r="C1287" s="14" t="inlineStr">
        <is>
          <t>热卷</t>
        </is>
      </c>
      <c r="D1287" s="14" t="inlineStr">
        <is>
          <t>HC</t>
        </is>
      </c>
      <c r="E1287" s="14" t="inlineStr">
        <is>
          <t>多</t>
        </is>
      </c>
      <c r="F1287" s="14" t="inlineStr">
        <is>
          <t>★★★</t>
        </is>
      </c>
      <c r="G1287" s="14" t="n">
        <v>7</v>
      </c>
      <c r="H1287" s="15" t="n">
        <v>3883</v>
      </c>
      <c r="I1287" s="15" t="n">
        <v>4014</v>
      </c>
      <c r="J1287" s="14" t="n">
        <v>10</v>
      </c>
      <c r="K1287" s="14" t="n">
        <v>10000</v>
      </c>
      <c r="L1287" s="25">
        <f>IF(E1287="多",1,-1)*(I1287-H1287)*G1287*J1287</f>
        <v/>
      </c>
      <c r="M1287" s="26">
        <f>L1287/K1287</f>
        <v/>
      </c>
      <c r="N1287" s="14" t="inlineStr">
        <is>
          <t>将军撤退</t>
        </is>
      </c>
      <c r="O1287" s="14" t="inlineStr">
        <is>
          <t>是</t>
        </is>
      </c>
    </row>
    <row r="1288">
      <c r="A1288" s="2" t="inlineStr">
        <is>
          <t>2023-11-21</t>
        </is>
      </c>
      <c r="B1288" s="2" t="inlineStr">
        <is>
          <t>2023-11-22</t>
        </is>
      </c>
      <c r="C1288" s="2" t="inlineStr">
        <is>
          <t>沪镍</t>
        </is>
      </c>
      <c r="D1288" s="2" t="inlineStr">
        <is>
          <t>NI</t>
        </is>
      </c>
      <c r="E1288" s="9" t="inlineStr">
        <is>
          <t>空</t>
        </is>
      </c>
      <c r="F1288" s="2" t="inlineStr">
        <is>
          <t>★★★</t>
        </is>
      </c>
      <c r="G1288" s="10" t="n">
        <v>2</v>
      </c>
      <c r="H1288" s="11" t="n">
        <v>131790</v>
      </c>
      <c r="I1288" s="11" t="n">
        <v>128650</v>
      </c>
      <c r="J1288" s="10" t="n">
        <v>1</v>
      </c>
      <c r="K1288" s="10" t="n">
        <v>18900</v>
      </c>
      <c r="L1288" s="23">
        <f>IF(E1288="多",1,-1)*(I1288-H1288)*G1288*J1288</f>
        <v/>
      </c>
      <c r="M1288" s="24">
        <f>L1288/K1288</f>
        <v/>
      </c>
      <c r="N1288" s="2" t="inlineStr">
        <is>
          <t>将军撤退</t>
        </is>
      </c>
      <c r="O1288" s="2" t="inlineStr">
        <is>
          <t>否</t>
        </is>
      </c>
    </row>
    <row r="1289">
      <c r="A1289" s="14" t="inlineStr">
        <is>
          <t>2023-11-08</t>
        </is>
      </c>
      <c r="B1289" s="14" t="inlineStr">
        <is>
          <t>2023-11-22</t>
        </is>
      </c>
      <c r="C1289" s="14" t="inlineStr">
        <is>
          <t>白糖</t>
        </is>
      </c>
      <c r="D1289" s="14" t="inlineStr">
        <is>
          <t>SR</t>
        </is>
      </c>
      <c r="E1289" s="14" t="inlineStr">
        <is>
          <t>多</t>
        </is>
      </c>
      <c r="F1289" s="14" t="inlineStr">
        <is>
          <t>★★★</t>
        </is>
      </c>
      <c r="G1289" s="14" t="n">
        <v>4</v>
      </c>
      <c r="H1289" s="15" t="n">
        <v>6930</v>
      </c>
      <c r="I1289" s="15" t="n">
        <v>6833</v>
      </c>
      <c r="J1289" s="14" t="n">
        <v>10</v>
      </c>
      <c r="K1289" s="14" t="n">
        <v>10000</v>
      </c>
      <c r="L1289" s="25">
        <f>IF(E1289="多",1,-1)*(I1289-H1289)*G1289*J1289</f>
        <v/>
      </c>
      <c r="M1289" s="26">
        <f>L1289/K1289</f>
        <v/>
      </c>
      <c r="N1289" s="14" t="inlineStr">
        <is>
          <t>跳空止损</t>
        </is>
      </c>
      <c r="O1289" s="14" t="inlineStr">
        <is>
          <t>是</t>
        </is>
      </c>
    </row>
    <row r="1290">
      <c r="A1290" s="14" t="inlineStr">
        <is>
          <t>2023-11-16</t>
        </is>
      </c>
      <c r="B1290" s="14" t="inlineStr">
        <is>
          <t>2023-11-21</t>
        </is>
      </c>
      <c r="C1290" s="14" t="inlineStr">
        <is>
          <t>乙二醇</t>
        </is>
      </c>
      <c r="D1290" s="14" t="inlineStr">
        <is>
          <t>EG</t>
        </is>
      </c>
      <c r="E1290" s="14" t="inlineStr">
        <is>
          <t>多</t>
        </is>
      </c>
      <c r="F1290" s="14" t="inlineStr">
        <is>
          <t>★★</t>
        </is>
      </c>
      <c r="G1290" s="14" t="n">
        <v>5</v>
      </c>
      <c r="H1290" s="15" t="n">
        <v>4258</v>
      </c>
      <c r="I1290" s="15" t="n">
        <v>4096.86</v>
      </c>
      <c r="J1290" s="14" t="n">
        <v>10</v>
      </c>
      <c r="K1290" s="14" t="n">
        <v>10000</v>
      </c>
      <c r="L1290" s="25">
        <f>IF(E1290="多",1,-1)*(I1290-H1290)*G1290*J1290</f>
        <v/>
      </c>
      <c r="M1290" s="26">
        <f>L1290/K1290</f>
        <v/>
      </c>
      <c r="N1290" s="14" t="inlineStr">
        <is>
          <t>止损</t>
        </is>
      </c>
      <c r="O1290" s="14" t="inlineStr">
        <is>
          <t>是</t>
        </is>
      </c>
    </row>
    <row r="1291">
      <c r="A1291" s="2" t="inlineStr">
        <is>
          <t>2023-11-07</t>
        </is>
      </c>
      <c r="B1291" s="2" t="inlineStr">
        <is>
          <t>2023-11-21</t>
        </is>
      </c>
      <c r="C1291" s="2" t="inlineStr">
        <is>
          <t>菜油</t>
        </is>
      </c>
      <c r="D1291" s="2" t="inlineStr">
        <is>
          <t>OI</t>
        </is>
      </c>
      <c r="E1291" s="9" t="inlineStr">
        <is>
          <t>空</t>
        </is>
      </c>
      <c r="F1291" s="2" t="inlineStr">
        <is>
          <t>★★★</t>
        </is>
      </c>
      <c r="G1291" s="10" t="n">
        <v>4</v>
      </c>
      <c r="H1291" s="11" t="n">
        <v>8478</v>
      </c>
      <c r="I1291" s="11" t="n">
        <v>8525</v>
      </c>
      <c r="J1291" s="10" t="n">
        <v>10</v>
      </c>
      <c r="K1291" s="10" t="n">
        <v>21300</v>
      </c>
      <c r="L1291" s="23">
        <f>IF(E1291="多",1,-1)*(I1291-H1291)*G1291*J1291</f>
        <v/>
      </c>
      <c r="M1291" s="24">
        <f>L1291/K1291</f>
        <v/>
      </c>
      <c r="N1291" s="2" t="inlineStr">
        <is>
          <t>大将军转向</t>
        </is>
      </c>
      <c r="O1291" s="2" t="inlineStr">
        <is>
          <t>否</t>
        </is>
      </c>
    </row>
    <row r="1292">
      <c r="A1292" s="14" t="inlineStr">
        <is>
          <t>2023-11-06</t>
        </is>
      </c>
      <c r="B1292" s="14" t="inlineStr">
        <is>
          <t>2023-11-21</t>
        </is>
      </c>
      <c r="C1292" s="14" t="inlineStr">
        <is>
          <t>PVC</t>
        </is>
      </c>
      <c r="D1292" s="14" t="inlineStr">
        <is>
          <t>V</t>
        </is>
      </c>
      <c r="E1292" s="14" t="inlineStr">
        <is>
          <t>多</t>
        </is>
      </c>
      <c r="F1292" s="14" t="inlineStr">
        <is>
          <t>★★★</t>
        </is>
      </c>
      <c r="G1292" s="14" t="n">
        <v>8</v>
      </c>
      <c r="H1292" s="15" t="n">
        <v>6180</v>
      </c>
      <c r="I1292" s="15" t="n">
        <v>5949</v>
      </c>
      <c r="J1292" s="14" t="n">
        <v>5</v>
      </c>
      <c r="K1292" s="14" t="n">
        <v>10000</v>
      </c>
      <c r="L1292" s="25">
        <f>IF(E1292="多",1,-1)*(I1292-H1292)*G1292*J1292</f>
        <v/>
      </c>
      <c r="M1292" s="26">
        <f>L1292/K1292</f>
        <v/>
      </c>
      <c r="N1292" s="14" t="inlineStr">
        <is>
          <t>止损</t>
        </is>
      </c>
      <c r="O1292" s="14" t="inlineStr">
        <is>
          <t>是</t>
        </is>
      </c>
    </row>
    <row r="1293">
      <c r="A1293" s="14" t="inlineStr">
        <is>
          <t>2023-11-17</t>
        </is>
      </c>
      <c r="B1293" s="14" t="inlineStr">
        <is>
          <t>2023-11-20</t>
        </is>
      </c>
      <c r="C1293" s="14" t="inlineStr">
        <is>
          <t>玻璃</t>
        </is>
      </c>
      <c r="D1293" s="14" t="inlineStr">
        <is>
          <t>FG</t>
        </is>
      </c>
      <c r="E1293" s="14" t="inlineStr">
        <is>
          <t>多</t>
        </is>
      </c>
      <c r="F1293" s="14" t="inlineStr">
        <is>
          <t>★★</t>
        </is>
      </c>
      <c r="G1293" s="14" t="n">
        <v>3</v>
      </c>
      <c r="H1293" s="15" t="n">
        <v>1725</v>
      </c>
      <c r="I1293" s="15" t="n">
        <v>1762</v>
      </c>
      <c r="J1293" s="14" t="n">
        <v>20</v>
      </c>
      <c r="K1293" s="14" t="n">
        <v>10000</v>
      </c>
      <c r="L1293" s="25">
        <f>IF(E1293="多",1,-1)*(I1293-H1293)*G1293*J1293</f>
        <v/>
      </c>
      <c r="M1293" s="26">
        <f>L1293/K1293</f>
        <v/>
      </c>
      <c r="N1293" s="14" t="inlineStr">
        <is>
          <t>大将军转向</t>
        </is>
      </c>
      <c r="O1293" s="14" t="inlineStr">
        <is>
          <t>是</t>
        </is>
      </c>
    </row>
    <row r="1294">
      <c r="A1294" s="14" t="inlineStr">
        <is>
          <t>2023-11-14</t>
        </is>
      </c>
      <c r="B1294" s="14" t="inlineStr">
        <is>
          <t>2023-11-20</t>
        </is>
      </c>
      <c r="C1294" s="14" t="inlineStr">
        <is>
          <t>铁矿石</t>
        </is>
      </c>
      <c r="D1294" s="14" t="inlineStr">
        <is>
          <t>I</t>
        </is>
      </c>
      <c r="E1294" s="14" t="inlineStr">
        <is>
          <t>多</t>
        </is>
      </c>
      <c r="F1294" s="14" t="inlineStr">
        <is>
          <t>★★★</t>
        </is>
      </c>
      <c r="G1294" s="14" t="n">
        <v>1</v>
      </c>
      <c r="H1294" s="15" t="n">
        <v>973</v>
      </c>
      <c r="I1294" s="15" t="n">
        <v>968</v>
      </c>
      <c r="J1294" s="14" t="n">
        <v>100</v>
      </c>
      <c r="K1294" s="14" t="n">
        <v>10000</v>
      </c>
      <c r="L1294" s="25">
        <f>IF(E1294="多",1,-1)*(I1294-H1294)*G1294*J1294</f>
        <v/>
      </c>
      <c r="M1294" s="26">
        <f>L1294/K1294</f>
        <v/>
      </c>
      <c r="N1294" s="14" t="inlineStr">
        <is>
          <t>将军撤退</t>
        </is>
      </c>
      <c r="O1294" s="14" t="inlineStr">
        <is>
          <t>是</t>
        </is>
      </c>
    </row>
    <row r="1295">
      <c r="A1295" s="14" t="inlineStr">
        <is>
          <t>2023-11-15</t>
        </is>
      </c>
      <c r="B1295" s="14" t="inlineStr">
        <is>
          <t>2023-11-17</t>
        </is>
      </c>
      <c r="C1295" s="14" t="inlineStr">
        <is>
          <t>豆粕</t>
        </is>
      </c>
      <c r="D1295" s="14" t="inlineStr">
        <is>
          <t>M</t>
        </is>
      </c>
      <c r="E1295" s="14" t="inlineStr">
        <is>
          <t>多</t>
        </is>
      </c>
      <c r="F1295" s="14" t="inlineStr">
        <is>
          <t>★★</t>
        </is>
      </c>
      <c r="G1295" s="14" t="n">
        <v>5</v>
      </c>
      <c r="H1295" s="15" t="n">
        <v>4146</v>
      </c>
      <c r="I1295" s="15" t="n">
        <v>4036</v>
      </c>
      <c r="J1295" s="14" t="n">
        <v>10</v>
      </c>
      <c r="K1295" s="14" t="n">
        <v>10000</v>
      </c>
      <c r="L1295" s="25">
        <f>IF(E1295="多",1,-1)*(I1295-H1295)*G1295*J1295</f>
        <v/>
      </c>
      <c r="M1295" s="26">
        <f>L1295/K1295</f>
        <v/>
      </c>
      <c r="N1295" s="14" t="inlineStr">
        <is>
          <t>将军撤退</t>
        </is>
      </c>
      <c r="O1295" s="14" t="inlineStr">
        <is>
          <t>是</t>
        </is>
      </c>
    </row>
    <row r="1296">
      <c r="A1296" s="2" t="inlineStr">
        <is>
          <t>2023-11-15</t>
        </is>
      </c>
      <c r="B1296" s="2" t="inlineStr">
        <is>
          <t>2023-11-16</t>
        </is>
      </c>
      <c r="C1296" s="2" t="inlineStr">
        <is>
          <t>菜粕</t>
        </is>
      </c>
      <c r="D1296" s="2" t="inlineStr">
        <is>
          <t>RM</t>
        </is>
      </c>
      <c r="E1296" s="19" t="inlineStr">
        <is>
          <t>多</t>
        </is>
      </c>
      <c r="F1296" s="2" t="inlineStr">
        <is>
          <t>★★★</t>
        </is>
      </c>
      <c r="G1296" s="10" t="n">
        <v>10</v>
      </c>
      <c r="H1296" s="11" t="n">
        <v>2991</v>
      </c>
      <c r="I1296" s="11" t="n">
        <v>2980</v>
      </c>
      <c r="J1296" s="10" t="n">
        <v>10</v>
      </c>
      <c r="K1296" s="10" t="n">
        <v>21400</v>
      </c>
      <c r="L1296" s="23">
        <f>IF(E1296="多",1,-1)*(I1296-H1296)*G1296*J1296</f>
        <v/>
      </c>
      <c r="M1296" s="24">
        <f>L1296/K1296</f>
        <v/>
      </c>
      <c r="N1296" s="2" t="inlineStr">
        <is>
          <t>将军撤退</t>
        </is>
      </c>
      <c r="O1296" s="2" t="inlineStr">
        <is>
          <t>否</t>
        </is>
      </c>
    </row>
    <row r="1297">
      <c r="A1297" s="14" t="inlineStr">
        <is>
          <t>2023-10-24</t>
        </is>
      </c>
      <c r="B1297" s="14" t="inlineStr">
        <is>
          <t>2023-11-16</t>
        </is>
      </c>
      <c r="C1297" s="14" t="inlineStr">
        <is>
          <t>沪银</t>
        </is>
      </c>
      <c r="D1297" s="14" t="inlineStr">
        <is>
          <t>AG</t>
        </is>
      </c>
      <c r="E1297" s="14" t="inlineStr">
        <is>
          <t>空</t>
        </is>
      </c>
      <c r="F1297" s="14" t="inlineStr">
        <is>
          <t>★★★</t>
        </is>
      </c>
      <c r="G1297" s="14" t="n">
        <v>2</v>
      </c>
      <c r="H1297" s="15" t="n">
        <v>5819</v>
      </c>
      <c r="I1297" s="15" t="n">
        <v>5903</v>
      </c>
      <c r="J1297" s="14" t="n">
        <v>15</v>
      </c>
      <c r="K1297" s="14" t="n">
        <v>10000</v>
      </c>
      <c r="L1297" s="25">
        <f>IF(E1297="多",1,-1)*(I1297-H1297)*G1297*J1297</f>
        <v/>
      </c>
      <c r="M1297" s="26">
        <f>L1297/K1297</f>
        <v/>
      </c>
      <c r="N1297" s="14" t="inlineStr">
        <is>
          <t>跳空止损</t>
        </is>
      </c>
      <c r="O1297" s="14" t="inlineStr">
        <is>
          <t>是</t>
        </is>
      </c>
    </row>
    <row r="1298">
      <c r="A1298" s="14" t="inlineStr">
        <is>
          <t>2023-11-13</t>
        </is>
      </c>
      <c r="B1298" s="14" t="inlineStr">
        <is>
          <t>2023-11-15</t>
        </is>
      </c>
      <c r="C1298" s="14" t="inlineStr">
        <is>
          <t>纯碱</t>
        </is>
      </c>
      <c r="D1298" s="14" t="inlineStr">
        <is>
          <t>SA</t>
        </is>
      </c>
      <c r="E1298" s="14" t="inlineStr">
        <is>
          <t>多</t>
        </is>
      </c>
      <c r="F1298" s="14" t="inlineStr">
        <is>
          <t>★★</t>
        </is>
      </c>
      <c r="G1298" s="14" t="n">
        <v>2</v>
      </c>
      <c r="H1298" s="15" t="n">
        <v>2069</v>
      </c>
      <c r="I1298" s="15" t="n">
        <v>2056</v>
      </c>
      <c r="J1298" s="14" t="n">
        <v>20</v>
      </c>
      <c r="K1298" s="14" t="n">
        <v>10000</v>
      </c>
      <c r="L1298" s="25">
        <f>IF(E1298="多",1,-1)*(I1298-H1298)*G1298*J1298</f>
        <v/>
      </c>
      <c r="M1298" s="26">
        <f>L1298/K1298</f>
        <v/>
      </c>
      <c r="N1298" s="14" t="inlineStr">
        <is>
          <t>将军撤退</t>
        </is>
      </c>
      <c r="O1298" s="14" t="inlineStr">
        <is>
          <t>是</t>
        </is>
      </c>
    </row>
    <row r="1299">
      <c r="A1299" s="2" t="inlineStr">
        <is>
          <t>2023-11-13</t>
        </is>
      </c>
      <c r="B1299" s="2" t="inlineStr">
        <is>
          <t>2023-11-14</t>
        </is>
      </c>
      <c r="C1299" s="2" t="inlineStr">
        <is>
          <t>沪镍</t>
        </is>
      </c>
      <c r="D1299" s="2" t="inlineStr">
        <is>
          <t>NI</t>
        </is>
      </c>
      <c r="E1299" s="9" t="inlineStr">
        <is>
          <t>空</t>
        </is>
      </c>
      <c r="F1299" s="2" t="inlineStr">
        <is>
          <t>★★★</t>
        </is>
      </c>
      <c r="G1299" s="10" t="n">
        <v>2</v>
      </c>
      <c r="H1299" s="11" t="n">
        <v>138430</v>
      </c>
      <c r="I1299" s="11" t="n">
        <v>138270</v>
      </c>
      <c r="J1299" s="10" t="n">
        <v>1</v>
      </c>
      <c r="K1299" s="10" t="n">
        <v>21200</v>
      </c>
      <c r="L1299" s="23">
        <f>IF(E1299="多",1,-1)*(I1299-H1299)*G1299*J1299</f>
        <v/>
      </c>
      <c r="M1299" s="24">
        <f>L1299/K1299</f>
        <v/>
      </c>
      <c r="N1299" s="2" t="inlineStr">
        <is>
          <t>将军撤退</t>
        </is>
      </c>
      <c r="O1299" s="2" t="inlineStr">
        <is>
          <t>否</t>
        </is>
      </c>
    </row>
    <row r="1300">
      <c r="A1300" s="2" t="inlineStr">
        <is>
          <t>2023-11-10</t>
        </is>
      </c>
      <c r="B1300" s="2" t="inlineStr">
        <is>
          <t>2023-11-14</t>
        </is>
      </c>
      <c r="C1300" s="2" t="inlineStr">
        <is>
          <t>螺纹钢</t>
        </is>
      </c>
      <c r="D1300" s="2" t="inlineStr">
        <is>
          <t>RB</t>
        </is>
      </c>
      <c r="E1300" s="19" t="inlineStr">
        <is>
          <t>多</t>
        </is>
      </c>
      <c r="F1300" s="2" t="inlineStr">
        <is>
          <t>★★★</t>
        </is>
      </c>
      <c r="G1300" s="10" t="n">
        <v>15</v>
      </c>
      <c r="H1300" s="11" t="n">
        <v>3873</v>
      </c>
      <c r="I1300" s="11" t="n">
        <v>3856</v>
      </c>
      <c r="J1300" s="10" t="n">
        <v>10</v>
      </c>
      <c r="K1300" s="10" t="n">
        <v>21400</v>
      </c>
      <c r="L1300" s="23">
        <f>IF(E1300="多",1,-1)*(I1300-H1300)*G1300*J1300</f>
        <v/>
      </c>
      <c r="M1300" s="24">
        <f>L1300/K1300</f>
        <v/>
      </c>
      <c r="N1300" s="2" t="inlineStr">
        <is>
          <t>大将军转向</t>
        </is>
      </c>
      <c r="O1300" s="2" t="inlineStr">
        <is>
          <t>否</t>
        </is>
      </c>
    </row>
    <row r="1301">
      <c r="A1301" s="14" t="inlineStr">
        <is>
          <t>2023-11-10</t>
        </is>
      </c>
      <c r="B1301" s="14" t="inlineStr">
        <is>
          <t>2023-11-14</t>
        </is>
      </c>
      <c r="C1301" s="14" t="inlineStr">
        <is>
          <t>苯乙烯</t>
        </is>
      </c>
      <c r="D1301" s="14" t="inlineStr">
        <is>
          <t>EB</t>
        </is>
      </c>
      <c r="E1301" s="14" t="inlineStr">
        <is>
          <t>空</t>
        </is>
      </c>
      <c r="F1301" s="14" t="inlineStr">
        <is>
          <t>★★★</t>
        </is>
      </c>
      <c r="G1301" s="14" t="n">
        <v>3</v>
      </c>
      <c r="H1301" s="15" t="n">
        <v>8490</v>
      </c>
      <c r="I1301" s="15" t="n">
        <v>8417</v>
      </c>
      <c r="J1301" s="14" t="n">
        <v>5</v>
      </c>
      <c r="K1301" s="14" t="n">
        <v>10000</v>
      </c>
      <c r="L1301" s="25">
        <f>IF(E1301="多",1,-1)*(I1301-H1301)*G1301*J1301</f>
        <v/>
      </c>
      <c r="M1301" s="26">
        <f>L1301/K1301</f>
        <v/>
      </c>
      <c r="N1301" s="14" t="inlineStr">
        <is>
          <t>大将军转向</t>
        </is>
      </c>
      <c r="O1301" s="14" t="inlineStr">
        <is>
          <t>是</t>
        </is>
      </c>
    </row>
    <row r="1302">
      <c r="A1302" s="14" t="inlineStr">
        <is>
          <t>2023-10-30</t>
        </is>
      </c>
      <c r="B1302" s="14" t="inlineStr">
        <is>
          <t>2023-11-14</t>
        </is>
      </c>
      <c r="C1302" s="14" t="inlineStr">
        <is>
          <t>尿素</t>
        </is>
      </c>
      <c r="D1302" s="14" t="inlineStr">
        <is>
          <t>UR</t>
        </is>
      </c>
      <c r="E1302" s="14" t="inlineStr">
        <is>
          <t>多</t>
        </is>
      </c>
      <c r="F1302" s="14" t="inlineStr">
        <is>
          <t>★★★</t>
        </is>
      </c>
      <c r="G1302" s="14" t="n">
        <v>2</v>
      </c>
      <c r="H1302" s="15" t="n">
        <v>2325</v>
      </c>
      <c r="I1302" s="15" t="n">
        <v>2340</v>
      </c>
      <c r="J1302" s="14" t="n">
        <v>20</v>
      </c>
      <c r="K1302" s="14" t="n">
        <v>10000</v>
      </c>
      <c r="L1302" s="25">
        <f>IF(E1302="多",1,-1)*(I1302-H1302)*G1302*J1302</f>
        <v/>
      </c>
      <c r="M1302" s="26">
        <f>L1302/K1302</f>
        <v/>
      </c>
      <c r="N1302" s="14" t="inlineStr">
        <is>
          <t>大将军转向</t>
        </is>
      </c>
      <c r="O1302" s="14" t="inlineStr">
        <is>
          <t>是</t>
        </is>
      </c>
    </row>
    <row r="1303">
      <c r="A1303" s="2" t="inlineStr">
        <is>
          <t>2023-11-09</t>
        </is>
      </c>
      <c r="B1303" s="2" t="inlineStr">
        <is>
          <t>2023-11-13</t>
        </is>
      </c>
      <c r="C1303" s="2" t="inlineStr">
        <is>
          <t>菜粕</t>
        </is>
      </c>
      <c r="D1303" s="2" t="inlineStr">
        <is>
          <t>RM</t>
        </is>
      </c>
      <c r="E1303" s="19" t="inlineStr">
        <is>
          <t>多</t>
        </is>
      </c>
      <c r="F1303" s="2" t="inlineStr">
        <is>
          <t>★★★</t>
        </is>
      </c>
      <c r="G1303" s="10" t="n">
        <v>3</v>
      </c>
      <c r="H1303" s="11" t="n">
        <v>3022</v>
      </c>
      <c r="I1303" s="11" t="n">
        <v>2921</v>
      </c>
      <c r="J1303" s="10" t="n">
        <v>10</v>
      </c>
      <c r="K1303" s="10" t="n">
        <v>6500</v>
      </c>
      <c r="L1303" s="23">
        <f>IF(E1303="多",1,-1)*(I1303-H1303)*G1303*J1303</f>
        <v/>
      </c>
      <c r="M1303" s="24">
        <f>L1303/K1303</f>
        <v/>
      </c>
      <c r="N1303" s="2" t="inlineStr">
        <is>
          <t>将军撤退</t>
        </is>
      </c>
      <c r="O1303" s="2" t="inlineStr">
        <is>
          <t>否</t>
        </is>
      </c>
    </row>
    <row r="1304">
      <c r="A1304" s="14" t="inlineStr">
        <is>
          <t>2023-11-06</t>
        </is>
      </c>
      <c r="B1304" s="14" t="inlineStr">
        <is>
          <t>2023-11-13</t>
        </is>
      </c>
      <c r="C1304" s="14" t="inlineStr">
        <is>
          <t>铁矿石</t>
        </is>
      </c>
      <c r="D1304" s="14" t="inlineStr">
        <is>
          <t>I</t>
        </is>
      </c>
      <c r="E1304" s="14" t="inlineStr">
        <is>
          <t>多</t>
        </is>
      </c>
      <c r="F1304" s="14" t="inlineStr">
        <is>
          <t>★★★</t>
        </is>
      </c>
      <c r="G1304" s="14" t="n">
        <v>1</v>
      </c>
      <c r="H1304" s="15" t="n">
        <v>925</v>
      </c>
      <c r="I1304" s="15" t="n">
        <v>966.5</v>
      </c>
      <c r="J1304" s="14" t="n">
        <v>100</v>
      </c>
      <c r="K1304" s="14" t="n">
        <v>10000</v>
      </c>
      <c r="L1304" s="25">
        <f>IF(E1304="多",1,-1)*(I1304-H1304)*G1304*J1304</f>
        <v/>
      </c>
      <c r="M1304" s="26">
        <f>L1304/K1304</f>
        <v/>
      </c>
      <c r="N1304" s="14" t="inlineStr">
        <is>
          <t>将军撤退</t>
        </is>
      </c>
      <c r="O1304" s="14" t="inlineStr">
        <is>
          <t>是</t>
        </is>
      </c>
    </row>
    <row r="1305">
      <c r="A1305" s="2" t="inlineStr">
        <is>
          <t>2023-11-02</t>
        </is>
      </c>
      <c r="B1305" s="2" t="inlineStr">
        <is>
          <t>2023-11-10</t>
        </is>
      </c>
      <c r="C1305" s="2" t="inlineStr">
        <is>
          <t>豆粕</t>
        </is>
      </c>
      <c r="D1305" s="2" t="inlineStr">
        <is>
          <t>M</t>
        </is>
      </c>
      <c r="E1305" s="19" t="inlineStr">
        <is>
          <t>多</t>
        </is>
      </c>
      <c r="F1305" s="2" t="inlineStr">
        <is>
          <t>★★★</t>
        </is>
      </c>
      <c r="G1305" s="10" t="n">
        <v>12</v>
      </c>
      <c r="H1305" s="11" t="n">
        <v>3998</v>
      </c>
      <c r="I1305" s="11" t="n">
        <v>4028</v>
      </c>
      <c r="J1305" s="10" t="n">
        <v>10</v>
      </c>
      <c r="K1305" s="10" t="n">
        <v>23500</v>
      </c>
      <c r="L1305" s="23">
        <f>IF(E1305="多",1,-1)*(I1305-H1305)*G1305*J1305</f>
        <v/>
      </c>
      <c r="M1305" s="24">
        <f>L1305/K1305</f>
        <v/>
      </c>
      <c r="N1305" s="2" t="inlineStr">
        <is>
          <t>将军撤退+大将军转向</t>
        </is>
      </c>
      <c r="O1305" s="2" t="inlineStr">
        <is>
          <t>否</t>
        </is>
      </c>
    </row>
    <row r="1306">
      <c r="A1306" s="14" t="inlineStr">
        <is>
          <t>2023-11-08</t>
        </is>
      </c>
      <c r="B1306" s="14" t="inlineStr">
        <is>
          <t>2023-11-09</t>
        </is>
      </c>
      <c r="C1306" s="14" t="inlineStr">
        <is>
          <t>PTA</t>
        </is>
      </c>
      <c r="D1306" s="14" t="inlineStr">
        <is>
          <t>TA</t>
        </is>
      </c>
      <c r="E1306" s="14" t="inlineStr">
        <is>
          <t>空</t>
        </is>
      </c>
      <c r="F1306" s="14" t="inlineStr">
        <is>
          <t>★★</t>
        </is>
      </c>
      <c r="G1306" s="14" t="n">
        <v>5</v>
      </c>
      <c r="H1306" s="15" t="n">
        <v>5798</v>
      </c>
      <c r="I1306" s="15" t="n">
        <v>5802</v>
      </c>
      <c r="J1306" s="14" t="n">
        <v>5</v>
      </c>
      <c r="K1306" s="14" t="n">
        <v>10000</v>
      </c>
      <c r="L1306" s="25">
        <f>IF(E1306="多",1,-1)*(I1306-H1306)*G1306*J1306</f>
        <v/>
      </c>
      <c r="M1306" s="26">
        <f>L1306/K1306</f>
        <v/>
      </c>
      <c r="N1306" s="14" t="inlineStr">
        <is>
          <t>大将军转向</t>
        </is>
      </c>
      <c r="O1306" s="14" t="inlineStr">
        <is>
          <t>是</t>
        </is>
      </c>
    </row>
    <row r="1307">
      <c r="A1307" s="14" t="inlineStr">
        <is>
          <t>2023-11-08</t>
        </is>
      </c>
      <c r="B1307" s="14" t="inlineStr">
        <is>
          <t>2023-11-09</t>
        </is>
      </c>
      <c r="C1307" s="14" t="inlineStr">
        <is>
          <t>苯乙烯</t>
        </is>
      </c>
      <c r="D1307" s="14" t="inlineStr">
        <is>
          <t>EB</t>
        </is>
      </c>
      <c r="E1307" s="14" t="inlineStr">
        <is>
          <t>空</t>
        </is>
      </c>
      <c r="F1307" s="14" t="inlineStr">
        <is>
          <t>★★</t>
        </is>
      </c>
      <c r="G1307" s="14" t="n">
        <v>3</v>
      </c>
      <c r="H1307" s="15" t="n">
        <v>8370</v>
      </c>
      <c r="I1307" s="15" t="n">
        <v>8440</v>
      </c>
      <c r="J1307" s="14" t="n">
        <v>5</v>
      </c>
      <c r="K1307" s="14" t="n">
        <v>10000</v>
      </c>
      <c r="L1307" s="25">
        <f>IF(E1307="多",1,-1)*(I1307-H1307)*G1307*J1307</f>
        <v/>
      </c>
      <c r="M1307" s="26">
        <f>L1307/K1307</f>
        <v/>
      </c>
      <c r="N1307" s="14" t="inlineStr">
        <is>
          <t>将军撤退+大将军转向</t>
        </is>
      </c>
      <c r="O1307" s="14" t="inlineStr">
        <is>
          <t>是</t>
        </is>
      </c>
    </row>
    <row r="1308">
      <c r="A1308" s="2" t="inlineStr">
        <is>
          <t>2023-11-07</t>
        </is>
      </c>
      <c r="B1308" s="2" t="inlineStr">
        <is>
          <t>2023-11-08</t>
        </is>
      </c>
      <c r="C1308" s="2" t="inlineStr">
        <is>
          <t>沪镍</t>
        </is>
      </c>
      <c r="D1308" s="2" t="inlineStr">
        <is>
          <t>NI</t>
        </is>
      </c>
      <c r="E1308" s="9" t="inlineStr">
        <is>
          <t>空</t>
        </is>
      </c>
      <c r="F1308" s="2" t="inlineStr">
        <is>
          <t>★★★</t>
        </is>
      </c>
      <c r="G1308" s="10" t="n">
        <v>2</v>
      </c>
      <c r="H1308" s="11" t="n">
        <v>140470</v>
      </c>
      <c r="I1308" s="11" t="n">
        <v>141240</v>
      </c>
      <c r="J1308" s="10" t="n">
        <v>1</v>
      </c>
      <c r="K1308" s="10" t="n">
        <v>21300</v>
      </c>
      <c r="L1308" s="23">
        <f>IF(E1308="多",1,-1)*(I1308-H1308)*G1308*J1308</f>
        <v/>
      </c>
      <c r="M1308" s="24">
        <f>L1308/K1308</f>
        <v/>
      </c>
      <c r="N1308" s="2" t="inlineStr">
        <is>
          <t>将军撤退+大将军转向</t>
        </is>
      </c>
      <c r="O1308" s="2" t="inlineStr">
        <is>
          <t>否</t>
        </is>
      </c>
    </row>
    <row r="1309">
      <c r="A1309" s="14" t="inlineStr">
        <is>
          <t>2023-10-18</t>
        </is>
      </c>
      <c r="B1309" s="14" t="inlineStr">
        <is>
          <t>2023-11-07</t>
        </is>
      </c>
      <c r="C1309" s="14" t="inlineStr">
        <is>
          <t>硅铁</t>
        </is>
      </c>
      <c r="D1309" s="14" t="inlineStr">
        <is>
          <t>SF</t>
        </is>
      </c>
      <c r="E1309" s="14" t="inlineStr">
        <is>
          <t>空</t>
        </is>
      </c>
      <c r="F1309" s="14" t="inlineStr">
        <is>
          <t>★★</t>
        </is>
      </c>
      <c r="G1309" s="14" t="n">
        <v>5</v>
      </c>
      <c r="H1309" s="15" t="n">
        <v>6786</v>
      </c>
      <c r="I1309" s="15" t="n">
        <v>7035.43</v>
      </c>
      <c r="J1309" s="14" t="n">
        <v>5</v>
      </c>
      <c r="K1309" s="14" t="n">
        <v>10000</v>
      </c>
      <c r="L1309" s="25">
        <f>IF(E1309="多",1,-1)*(I1309-H1309)*G1309*J1309</f>
        <v/>
      </c>
      <c r="M1309" s="26">
        <f>L1309/K1309</f>
        <v/>
      </c>
      <c r="N1309" s="14" t="inlineStr">
        <is>
          <t>止损</t>
        </is>
      </c>
      <c r="O1309" s="14" t="inlineStr">
        <is>
          <t>是</t>
        </is>
      </c>
    </row>
    <row r="1310">
      <c r="A1310" s="14" t="inlineStr">
        <is>
          <t>2023-10-17</t>
        </is>
      </c>
      <c r="B1310" s="14" t="inlineStr">
        <is>
          <t>2023-11-07</t>
        </is>
      </c>
      <c r="C1310" s="14" t="inlineStr">
        <is>
          <t>白糖</t>
        </is>
      </c>
      <c r="D1310" s="14" t="inlineStr">
        <is>
          <t>SR</t>
        </is>
      </c>
      <c r="E1310" s="14" t="inlineStr">
        <is>
          <t>空</t>
        </is>
      </c>
      <c r="F1310" s="14" t="inlineStr">
        <is>
          <t>★★</t>
        </is>
      </c>
      <c r="G1310" s="14" t="n">
        <v>3</v>
      </c>
      <c r="H1310" s="15" t="n">
        <v>6820</v>
      </c>
      <c r="I1310" s="15" t="n">
        <v>6946.71</v>
      </c>
      <c r="J1310" s="14" t="n">
        <v>10</v>
      </c>
      <c r="K1310" s="14" t="n">
        <v>10000</v>
      </c>
      <c r="L1310" s="25">
        <f>IF(E1310="多",1,-1)*(I1310-H1310)*G1310*J1310</f>
        <v/>
      </c>
      <c r="M1310" s="26">
        <f>L1310/K1310</f>
        <v/>
      </c>
      <c r="N1310" s="14" t="inlineStr">
        <is>
          <t>止损</t>
        </is>
      </c>
      <c r="O1310" s="14" t="inlineStr">
        <is>
          <t>是</t>
        </is>
      </c>
    </row>
    <row r="1311">
      <c r="A1311" s="14" t="inlineStr">
        <is>
          <t>2023-11-03</t>
        </is>
      </c>
      <c r="B1311" s="14" t="inlineStr">
        <is>
          <t>2023-11-06</t>
        </is>
      </c>
      <c r="C1311" s="14" t="inlineStr">
        <is>
          <t>聚丙烯</t>
        </is>
      </c>
      <c r="D1311" s="14" t="inlineStr">
        <is>
          <t>PP</t>
        </is>
      </c>
      <c r="E1311" s="14" t="inlineStr">
        <is>
          <t>多</t>
        </is>
      </c>
      <c r="F1311" s="14" t="inlineStr">
        <is>
          <t>★★</t>
        </is>
      </c>
      <c r="G1311" s="14" t="n">
        <v>7</v>
      </c>
      <c r="H1311" s="15" t="n">
        <v>7700</v>
      </c>
      <c r="I1311" s="15" t="n">
        <v>7729</v>
      </c>
      <c r="J1311" s="14" t="n">
        <v>5</v>
      </c>
      <c r="K1311" s="14" t="n">
        <v>10000</v>
      </c>
      <c r="L1311" s="25">
        <f>IF(E1311="多",1,-1)*(I1311-H1311)*G1311*J1311</f>
        <v/>
      </c>
      <c r="M1311" s="26">
        <f>L1311/K1311</f>
        <v/>
      </c>
      <c r="N1311" s="14" t="inlineStr">
        <is>
          <t>大将军转向</t>
        </is>
      </c>
      <c r="O1311" s="14" t="inlineStr">
        <is>
          <t>是</t>
        </is>
      </c>
    </row>
    <row r="1312">
      <c r="A1312" s="14" t="inlineStr">
        <is>
          <t>2023-11-02</t>
        </is>
      </c>
      <c r="B1312" s="14" t="inlineStr">
        <is>
          <t>2023-11-06</t>
        </is>
      </c>
      <c r="C1312" s="14" t="inlineStr">
        <is>
          <t>热卷</t>
        </is>
      </c>
      <c r="D1312" s="14" t="inlineStr">
        <is>
          <t>HC</t>
        </is>
      </c>
      <c r="E1312" s="14" t="inlineStr">
        <is>
          <t>多</t>
        </is>
      </c>
      <c r="F1312" s="14" t="inlineStr">
        <is>
          <t>★★★</t>
        </is>
      </c>
      <c r="G1312" s="14" t="n">
        <v>7</v>
      </c>
      <c r="H1312" s="15" t="n">
        <v>3857</v>
      </c>
      <c r="I1312" s="15" t="n">
        <v>3895</v>
      </c>
      <c r="J1312" s="14" t="n">
        <v>10</v>
      </c>
      <c r="K1312" s="14" t="n">
        <v>10000</v>
      </c>
      <c r="L1312" s="25">
        <f>IF(E1312="多",1,-1)*(I1312-H1312)*G1312*J1312</f>
        <v/>
      </c>
      <c r="M1312" s="26">
        <f>L1312/K1312</f>
        <v/>
      </c>
      <c r="N1312" s="14" t="inlineStr">
        <is>
          <t>将军撤退</t>
        </is>
      </c>
      <c r="O1312" s="14" t="inlineStr">
        <is>
          <t>是</t>
        </is>
      </c>
    </row>
    <row r="1313">
      <c r="A1313" s="14" t="inlineStr">
        <is>
          <t>2023-10-19</t>
        </is>
      </c>
      <c r="B1313" s="14" t="inlineStr">
        <is>
          <t>2023-11-06</t>
        </is>
      </c>
      <c r="C1313" s="14" t="inlineStr">
        <is>
          <t>玉米</t>
        </is>
      </c>
      <c r="D1313" s="14" t="inlineStr">
        <is>
          <t>C</t>
        </is>
      </c>
      <c r="E1313" s="14" t="inlineStr">
        <is>
          <t>空</t>
        </is>
      </c>
      <c r="F1313" s="14" t="inlineStr">
        <is>
          <t>★★★</t>
        </is>
      </c>
      <c r="G1313" s="14" t="n">
        <v>13</v>
      </c>
      <c r="H1313" s="15" t="n">
        <v>2511</v>
      </c>
      <c r="I1313" s="15" t="n">
        <v>2559.29</v>
      </c>
      <c r="J1313" s="14" t="n">
        <v>10</v>
      </c>
      <c r="K1313" s="14" t="n">
        <v>10000</v>
      </c>
      <c r="L1313" s="25">
        <f>IF(E1313="多",1,-1)*(I1313-H1313)*G1313*J1313</f>
        <v/>
      </c>
      <c r="M1313" s="26">
        <f>L1313/K1313</f>
        <v/>
      </c>
      <c r="N1313" s="14" t="inlineStr">
        <is>
          <t>止损</t>
        </is>
      </c>
      <c r="O1313" s="14" t="inlineStr">
        <is>
          <t>是</t>
        </is>
      </c>
    </row>
    <row r="1314">
      <c r="A1314" s="2" t="inlineStr">
        <is>
          <t>2023-11-01</t>
        </is>
      </c>
      <c r="B1314" s="2" t="inlineStr">
        <is>
          <t>2023-11-03</t>
        </is>
      </c>
      <c r="C1314" s="2" t="inlineStr">
        <is>
          <t>沪镍</t>
        </is>
      </c>
      <c r="D1314" s="2" t="inlineStr">
        <is>
          <t>NI</t>
        </is>
      </c>
      <c r="E1314" s="9" t="inlineStr">
        <is>
          <t>空</t>
        </is>
      </c>
      <c r="F1314" s="2" t="inlineStr">
        <is>
          <t>★★★</t>
        </is>
      </c>
      <c r="G1314" s="10" t="n">
        <v>2</v>
      </c>
      <c r="H1314" s="11" t="n">
        <v>141370</v>
      </c>
      <c r="I1314" s="11" t="n">
        <v>142830</v>
      </c>
      <c r="J1314" s="10" t="n">
        <v>1</v>
      </c>
      <c r="K1314" s="10" t="n">
        <v>23500</v>
      </c>
      <c r="L1314" s="23">
        <f>IF(E1314="多",1,-1)*(I1314-H1314)*G1314*J1314</f>
        <v/>
      </c>
      <c r="M1314" s="24">
        <f>L1314/K1314</f>
        <v/>
      </c>
      <c r="N1314" s="2" t="inlineStr">
        <is>
          <t>将军撤退+大将军转向</t>
        </is>
      </c>
      <c r="O1314" s="2" t="inlineStr">
        <is>
          <t>否</t>
        </is>
      </c>
    </row>
    <row r="1315">
      <c r="A1315" s="14" t="inlineStr">
        <is>
          <t>2023-10-31</t>
        </is>
      </c>
      <c r="B1315" s="14" t="inlineStr">
        <is>
          <t>2023-11-03</t>
        </is>
      </c>
      <c r="C1315" s="14" t="inlineStr">
        <is>
          <t>铁矿石</t>
        </is>
      </c>
      <c r="D1315" s="14" t="inlineStr">
        <is>
          <t>I</t>
        </is>
      </c>
      <c r="E1315" s="14" t="inlineStr">
        <is>
          <t>多</t>
        </is>
      </c>
      <c r="F1315" s="14" t="inlineStr">
        <is>
          <t>★★★</t>
        </is>
      </c>
      <c r="G1315" s="14" t="n">
        <v>1</v>
      </c>
      <c r="H1315" s="15" t="n">
        <v>897.5</v>
      </c>
      <c r="I1315" s="15" t="n">
        <v>924.5</v>
      </c>
      <c r="J1315" s="14" t="n">
        <v>100</v>
      </c>
      <c r="K1315" s="14" t="n">
        <v>10000</v>
      </c>
      <c r="L1315" s="25">
        <f>IF(E1315="多",1,-1)*(I1315-H1315)*G1315*J1315</f>
        <v/>
      </c>
      <c r="M1315" s="26">
        <f>L1315/K1315</f>
        <v/>
      </c>
      <c r="N1315" s="14" t="inlineStr">
        <is>
          <t>大将军转向</t>
        </is>
      </c>
      <c r="O1315" s="14" t="inlineStr">
        <is>
          <t>是</t>
        </is>
      </c>
    </row>
    <row r="1316">
      <c r="A1316" s="2" t="inlineStr">
        <is>
          <t>2023-10-26</t>
        </is>
      </c>
      <c r="B1316" s="2" t="inlineStr">
        <is>
          <t>2023-11-03</t>
        </is>
      </c>
      <c r="C1316" s="2" t="inlineStr">
        <is>
          <t>纯碱</t>
        </is>
      </c>
      <c r="D1316" s="2" t="inlineStr">
        <is>
          <t>SA</t>
        </is>
      </c>
      <c r="E1316" s="9" t="inlineStr">
        <is>
          <t>空</t>
        </is>
      </c>
      <c r="F1316" s="2" t="inlineStr">
        <is>
          <t>★★★</t>
        </is>
      </c>
      <c r="G1316" s="10" t="n">
        <v>9</v>
      </c>
      <c r="H1316" s="11" t="n">
        <v>1663</v>
      </c>
      <c r="I1316" s="11" t="n">
        <v>1787.86</v>
      </c>
      <c r="J1316" s="10" t="n">
        <v>20</v>
      </c>
      <c r="K1316" s="10" t="n">
        <v>24400</v>
      </c>
      <c r="L1316" s="23">
        <f>IF(E1316="多",1,-1)*(I1316-H1316)*G1316*J1316</f>
        <v/>
      </c>
      <c r="M1316" s="24">
        <f>L1316/K1316</f>
        <v/>
      </c>
      <c r="N1316" s="2" t="inlineStr">
        <is>
          <t>止损</t>
        </is>
      </c>
      <c r="O1316" s="2" t="inlineStr">
        <is>
          <t>否</t>
        </is>
      </c>
    </row>
    <row r="1317">
      <c r="A1317" s="14" t="inlineStr">
        <is>
          <t>2023-10-31</t>
        </is>
      </c>
      <c r="B1317" s="14" t="inlineStr">
        <is>
          <t>2023-11-01</t>
        </is>
      </c>
      <c r="C1317" s="14" t="inlineStr">
        <is>
          <t>菜油</t>
        </is>
      </c>
      <c r="D1317" s="14" t="inlineStr">
        <is>
          <t>OI</t>
        </is>
      </c>
      <c r="E1317" s="14" t="inlineStr">
        <is>
          <t>空</t>
        </is>
      </c>
      <c r="F1317" s="14" t="inlineStr">
        <is>
          <t>★★</t>
        </is>
      </c>
      <c r="G1317" s="14" t="n">
        <v>1</v>
      </c>
      <c r="H1317" s="15" t="n">
        <v>8450</v>
      </c>
      <c r="I1317" s="15" t="n">
        <v>8452</v>
      </c>
      <c r="J1317" s="14" t="n">
        <v>10</v>
      </c>
      <c r="K1317" s="14" t="n">
        <v>10000</v>
      </c>
      <c r="L1317" s="25">
        <f>IF(E1317="多",1,-1)*(I1317-H1317)*G1317*J1317</f>
        <v/>
      </c>
      <c r="M1317" s="26">
        <f>L1317/K1317</f>
        <v/>
      </c>
      <c r="N1317" s="14" t="inlineStr">
        <is>
          <t>将军撤退</t>
        </is>
      </c>
      <c r="O1317" s="14" t="inlineStr">
        <is>
          <t>是</t>
        </is>
      </c>
    </row>
    <row r="1318">
      <c r="A1318" s="14" t="inlineStr">
        <is>
          <t>2023-10-31</t>
        </is>
      </c>
      <c r="B1318" s="14" t="inlineStr">
        <is>
          <t>2023-11-01</t>
        </is>
      </c>
      <c r="C1318" s="14" t="inlineStr">
        <is>
          <t>热卷</t>
        </is>
      </c>
      <c r="D1318" s="14" t="inlineStr">
        <is>
          <t>HC</t>
        </is>
      </c>
      <c r="E1318" s="14" t="inlineStr">
        <is>
          <t>多</t>
        </is>
      </c>
      <c r="F1318" s="14" t="inlineStr">
        <is>
          <t>★★</t>
        </is>
      </c>
      <c r="G1318" s="14" t="n">
        <v>6</v>
      </c>
      <c r="H1318" s="15" t="n">
        <v>3848</v>
      </c>
      <c r="I1318" s="15" t="n">
        <v>3865</v>
      </c>
      <c r="J1318" s="14" t="n">
        <v>10</v>
      </c>
      <c r="K1318" s="14" t="n">
        <v>10000</v>
      </c>
      <c r="L1318" s="25">
        <f>IF(E1318="多",1,-1)*(I1318-H1318)*G1318*J1318</f>
        <v/>
      </c>
      <c r="M1318" s="26">
        <f>L1318/K1318</f>
        <v/>
      </c>
      <c r="N1318" s="14" t="inlineStr">
        <is>
          <t>将军撤退</t>
        </is>
      </c>
      <c r="O1318" s="14" t="inlineStr">
        <is>
          <t>是</t>
        </is>
      </c>
    </row>
    <row r="1319">
      <c r="A1319" s="2" t="inlineStr">
        <is>
          <t>2023-10-23</t>
        </is>
      </c>
      <c r="B1319" s="2" t="inlineStr">
        <is>
          <t>2023-11-01</t>
        </is>
      </c>
      <c r="C1319" s="2" t="inlineStr">
        <is>
          <t>棉花</t>
        </is>
      </c>
      <c r="D1319" s="2" t="inlineStr">
        <is>
          <t>CF</t>
        </is>
      </c>
      <c r="E1319" s="9" t="inlineStr">
        <is>
          <t>空</t>
        </is>
      </c>
      <c r="F1319" s="2" t="inlineStr">
        <is>
          <t>★★★</t>
        </is>
      </c>
      <c r="G1319" s="10" t="n">
        <v>5</v>
      </c>
      <c r="H1319" s="11" t="n">
        <v>16000</v>
      </c>
      <c r="I1319" s="11" t="n">
        <v>15530</v>
      </c>
      <c r="J1319" s="10" t="n">
        <v>5</v>
      </c>
      <c r="K1319" s="10" t="n">
        <v>24400</v>
      </c>
      <c r="L1319" s="23">
        <f>IF(E1319="多",1,-1)*(I1319-H1319)*G1319*J1319</f>
        <v/>
      </c>
      <c r="M1319" s="24">
        <f>L1319/K1319</f>
        <v/>
      </c>
      <c r="N1319" s="2" t="inlineStr">
        <is>
          <t>将军撤退+大将军转向</t>
        </is>
      </c>
      <c r="O1319" s="2" t="inlineStr">
        <is>
          <t>否</t>
        </is>
      </c>
    </row>
    <row r="1320">
      <c r="A1320" s="14" t="inlineStr">
        <is>
          <t>2023-10-19</t>
        </is>
      </c>
      <c r="B1320" s="14" t="inlineStr">
        <is>
          <t>2023-11-01</t>
        </is>
      </c>
      <c r="C1320" s="14" t="inlineStr">
        <is>
          <t>豆粕</t>
        </is>
      </c>
      <c r="D1320" s="14" t="inlineStr">
        <is>
          <t>M</t>
        </is>
      </c>
      <c r="E1320" s="14" t="inlineStr">
        <is>
          <t>多</t>
        </is>
      </c>
      <c r="F1320" s="14" t="inlineStr">
        <is>
          <t>★★★</t>
        </is>
      </c>
      <c r="G1320" s="14" t="n">
        <v>4</v>
      </c>
      <c r="H1320" s="15" t="n">
        <v>3915</v>
      </c>
      <c r="I1320" s="15" t="n">
        <v>3957</v>
      </c>
      <c r="J1320" s="14" t="n">
        <v>10</v>
      </c>
      <c r="K1320" s="14" t="n">
        <v>10000</v>
      </c>
      <c r="L1320" s="25">
        <f>IF(E1320="多",1,-1)*(I1320-H1320)*G1320*J1320</f>
        <v/>
      </c>
      <c r="M1320" s="26">
        <f>L1320/K1320</f>
        <v/>
      </c>
      <c r="N1320" s="14" t="inlineStr">
        <is>
          <t>大将军转向</t>
        </is>
      </c>
      <c r="O1320" s="14" t="inlineStr">
        <is>
          <t>是</t>
        </is>
      </c>
    </row>
    <row r="1321">
      <c r="A1321" s="14" t="inlineStr">
        <is>
          <t>2023-10-18</t>
        </is>
      </c>
      <c r="B1321" s="14" t="inlineStr">
        <is>
          <t>2023-11-01</t>
        </is>
      </c>
      <c r="C1321" s="14" t="inlineStr">
        <is>
          <t>聚丙烯</t>
        </is>
      </c>
      <c r="D1321" s="14" t="inlineStr">
        <is>
          <t>PP</t>
        </is>
      </c>
      <c r="E1321" s="14" t="inlineStr">
        <is>
          <t>空</t>
        </is>
      </c>
      <c r="F1321" s="14" t="inlineStr">
        <is>
          <t>★★★</t>
        </is>
      </c>
      <c r="G1321" s="14" t="n">
        <v>6</v>
      </c>
      <c r="H1321" s="15" t="n">
        <v>7410</v>
      </c>
      <c r="I1321" s="15" t="n">
        <v>7633.93</v>
      </c>
      <c r="J1321" s="14" t="n">
        <v>5</v>
      </c>
      <c r="K1321" s="14" t="n">
        <v>10000</v>
      </c>
      <c r="L1321" s="25">
        <f>IF(E1321="多",1,-1)*(I1321-H1321)*G1321*J1321</f>
        <v/>
      </c>
      <c r="M1321" s="26">
        <f>L1321/K1321</f>
        <v/>
      </c>
      <c r="N1321" s="14" t="inlineStr">
        <is>
          <t>止损</t>
        </is>
      </c>
      <c r="O1321" s="14" t="inlineStr">
        <is>
          <t>是</t>
        </is>
      </c>
    </row>
    <row r="1322">
      <c r="A1322" s="14" t="inlineStr">
        <is>
          <t>2023-10-26</t>
        </is>
      </c>
      <c r="B1322" s="14" t="inlineStr">
        <is>
          <t>2023-10-31</t>
        </is>
      </c>
      <c r="C1322" s="14" t="inlineStr">
        <is>
          <t>PTA</t>
        </is>
      </c>
      <c r="D1322" s="14" t="inlineStr">
        <is>
          <t>TA</t>
        </is>
      </c>
      <c r="E1322" s="14" t="inlineStr">
        <is>
          <t>多</t>
        </is>
      </c>
      <c r="F1322" s="14" t="inlineStr">
        <is>
          <t>★★</t>
        </is>
      </c>
      <c r="G1322" s="14" t="n">
        <v>5</v>
      </c>
      <c r="H1322" s="15" t="n">
        <v>5798</v>
      </c>
      <c r="I1322" s="15" t="n">
        <v>5908</v>
      </c>
      <c r="J1322" s="14" t="n">
        <v>5</v>
      </c>
      <c r="K1322" s="14" t="n">
        <v>10000</v>
      </c>
      <c r="L1322" s="25">
        <f>IF(E1322="多",1,-1)*(I1322-H1322)*G1322*J1322</f>
        <v/>
      </c>
      <c r="M1322" s="26">
        <f>L1322/K1322</f>
        <v/>
      </c>
      <c r="N1322" s="14" t="inlineStr">
        <is>
          <t>大将军转向</t>
        </is>
      </c>
      <c r="O1322" s="14" t="inlineStr">
        <is>
          <t>是</t>
        </is>
      </c>
    </row>
    <row r="1323">
      <c r="A1323" s="2" t="inlineStr">
        <is>
          <t>2023-10-20</t>
        </is>
      </c>
      <c r="B1323" s="2" t="inlineStr">
        <is>
          <t>2023-10-31</t>
        </is>
      </c>
      <c r="C1323" s="2" t="inlineStr">
        <is>
          <t>沪金</t>
        </is>
      </c>
      <c r="D1323" s="2" t="inlineStr">
        <is>
          <t>AU</t>
        </is>
      </c>
      <c r="E1323" s="19" t="inlineStr">
        <is>
          <t>多</t>
        </is>
      </c>
      <c r="F1323" s="2" t="inlineStr">
        <is>
          <t>★★★</t>
        </is>
      </c>
      <c r="G1323" s="10" t="n">
        <v>1</v>
      </c>
      <c r="H1323" s="11" t="n">
        <v>476.96</v>
      </c>
      <c r="I1323" s="11" t="n">
        <v>479.72</v>
      </c>
      <c r="J1323" s="10" t="n">
        <v>1000</v>
      </c>
      <c r="K1323" s="10" t="n">
        <v>24000</v>
      </c>
      <c r="L1323" s="23">
        <f>IF(E1323="多",1,-1)*(I1323-H1323)*G1323*J1323</f>
        <v/>
      </c>
      <c r="M1323" s="24">
        <f>L1323/K1323</f>
        <v/>
      </c>
      <c r="N1323" s="2" t="inlineStr">
        <is>
          <t>大将军转向</t>
        </is>
      </c>
      <c r="O1323" s="2" t="inlineStr">
        <is>
          <t>否</t>
        </is>
      </c>
    </row>
    <row r="1324">
      <c r="A1324" s="2" t="inlineStr">
        <is>
          <t>2023-10-20</t>
        </is>
      </c>
      <c r="B1324" s="2" t="inlineStr">
        <is>
          <t>2023-10-27</t>
        </is>
      </c>
      <c r="C1324" s="2" t="inlineStr">
        <is>
          <t>乙二醇</t>
        </is>
      </c>
      <c r="D1324" s="2" t="inlineStr">
        <is>
          <t>EG</t>
        </is>
      </c>
      <c r="E1324" s="9" t="inlineStr">
        <is>
          <t>空</t>
        </is>
      </c>
      <c r="F1324" s="2" t="inlineStr">
        <is>
          <t>★★★</t>
        </is>
      </c>
      <c r="G1324" s="10" t="n">
        <v>13</v>
      </c>
      <c r="H1324" s="11" t="n">
        <v>4065</v>
      </c>
      <c r="I1324" s="11" t="n">
        <v>4159.86</v>
      </c>
      <c r="J1324" s="10" t="n">
        <v>10</v>
      </c>
      <c r="K1324" s="10" t="n">
        <v>24000</v>
      </c>
      <c r="L1324" s="23">
        <f>IF(E1324="多",1,-1)*(I1324-H1324)*G1324*J1324</f>
        <v/>
      </c>
      <c r="M1324" s="24">
        <f>L1324/K1324</f>
        <v/>
      </c>
      <c r="N1324" s="2" t="inlineStr">
        <is>
          <t>止损</t>
        </is>
      </c>
      <c r="O1324" s="2" t="inlineStr">
        <is>
          <t>否</t>
        </is>
      </c>
    </row>
    <row r="1325">
      <c r="A1325" s="14" t="inlineStr">
        <is>
          <t>2023-10-16</t>
        </is>
      </c>
      <c r="B1325" s="14" t="inlineStr">
        <is>
          <t>2023-10-26</t>
        </is>
      </c>
      <c r="C1325" s="14" t="inlineStr">
        <is>
          <t>纸浆</t>
        </is>
      </c>
      <c r="D1325" s="14" t="inlineStr">
        <is>
          <t>SP</t>
        </is>
      </c>
      <c r="E1325" s="14" t="inlineStr">
        <is>
          <t>多</t>
        </is>
      </c>
      <c r="F1325" s="14" t="inlineStr">
        <is>
          <t>★★</t>
        </is>
      </c>
      <c r="G1325" s="14" t="n">
        <v>2</v>
      </c>
      <c r="H1325" s="15" t="n">
        <v>6330</v>
      </c>
      <c r="I1325" s="15" t="n">
        <v>6017</v>
      </c>
      <c r="J1325" s="14" t="n">
        <v>10</v>
      </c>
      <c r="K1325" s="14" t="n">
        <v>10000</v>
      </c>
      <c r="L1325" s="25">
        <f>IF(E1325="多",1,-1)*(I1325-H1325)*G1325*J1325</f>
        <v/>
      </c>
      <c r="M1325" s="26">
        <f>L1325/K1325</f>
        <v/>
      </c>
      <c r="N1325" s="14" t="inlineStr">
        <is>
          <t>止损</t>
        </is>
      </c>
      <c r="O1325" s="14" t="inlineStr">
        <is>
          <t>是</t>
        </is>
      </c>
    </row>
    <row r="1326">
      <c r="A1326" s="2" t="inlineStr">
        <is>
          <t>2023-10-23</t>
        </is>
      </c>
      <c r="B1326" s="2" t="inlineStr">
        <is>
          <t>2023-10-24</t>
        </is>
      </c>
      <c r="C1326" s="2" t="inlineStr">
        <is>
          <t>纯碱</t>
        </is>
      </c>
      <c r="D1326" s="2" t="inlineStr">
        <is>
          <t>SA</t>
        </is>
      </c>
      <c r="E1326" s="9" t="inlineStr">
        <is>
          <t>空</t>
        </is>
      </c>
      <c r="F1326" s="2" t="inlineStr">
        <is>
          <t>★★★</t>
        </is>
      </c>
      <c r="G1326" s="10" t="n">
        <v>8</v>
      </c>
      <c r="H1326" s="11" t="n">
        <v>1689</v>
      </c>
      <c r="I1326" s="11" t="n">
        <v>1690</v>
      </c>
      <c r="J1326" s="10" t="n">
        <v>20</v>
      </c>
      <c r="K1326" s="10" t="n">
        <v>24400</v>
      </c>
      <c r="L1326" s="23">
        <f>IF(E1326="多",1,-1)*(I1326-H1326)*G1326*J1326</f>
        <v/>
      </c>
      <c r="M1326" s="24">
        <f>L1326/K1326</f>
        <v/>
      </c>
      <c r="N1326" s="2" t="inlineStr">
        <is>
          <t>大将军转向</t>
        </is>
      </c>
      <c r="O1326" s="2" t="inlineStr">
        <is>
          <t>否</t>
        </is>
      </c>
    </row>
    <row r="1327">
      <c r="A1327" s="14" t="inlineStr">
        <is>
          <t>2023-10-11</t>
        </is>
      </c>
      <c r="B1327" s="14" t="inlineStr">
        <is>
          <t>2023-10-24</t>
        </is>
      </c>
      <c r="C1327" s="14" t="inlineStr">
        <is>
          <t>棕榈油</t>
        </is>
      </c>
      <c r="D1327" s="14" t="inlineStr">
        <is>
          <t>P</t>
        </is>
      </c>
      <c r="E1327" s="14" t="inlineStr">
        <is>
          <t>空</t>
        </is>
      </c>
      <c r="F1327" s="14" t="inlineStr">
        <is>
          <t>★★</t>
        </is>
      </c>
      <c r="G1327" s="14" t="n">
        <v>2</v>
      </c>
      <c r="H1327" s="15" t="n">
        <v>7044</v>
      </c>
      <c r="I1327" s="15" t="n">
        <v>7080</v>
      </c>
      <c r="J1327" s="14" t="n">
        <v>10</v>
      </c>
      <c r="K1327" s="14" t="n">
        <v>10000</v>
      </c>
      <c r="L1327" s="25">
        <f>IF(E1327="多",1,-1)*(I1327-H1327)*G1327*J1327</f>
        <v/>
      </c>
      <c r="M1327" s="26">
        <f>L1327/K1327</f>
        <v/>
      </c>
      <c r="N1327" s="14" t="inlineStr">
        <is>
          <t>大将军转向</t>
        </is>
      </c>
      <c r="O1327" s="14" t="inlineStr">
        <is>
          <t>是</t>
        </is>
      </c>
    </row>
    <row r="1328">
      <c r="A1328" s="14" t="inlineStr">
        <is>
          <t>2023-10-19</t>
        </is>
      </c>
      <c r="B1328" s="14" t="inlineStr">
        <is>
          <t>2023-10-23</t>
        </is>
      </c>
      <c r="C1328" s="14" t="inlineStr">
        <is>
          <t>豆油</t>
        </is>
      </c>
      <c r="D1328" s="14" t="inlineStr">
        <is>
          <t>Y</t>
        </is>
      </c>
      <c r="E1328" s="14" t="inlineStr">
        <is>
          <t>多</t>
        </is>
      </c>
      <c r="F1328" s="14" t="inlineStr">
        <is>
          <t>★★</t>
        </is>
      </c>
      <c r="G1328" s="14" t="n">
        <v>2</v>
      </c>
      <c r="H1328" s="15" t="n">
        <v>8066</v>
      </c>
      <c r="I1328" s="15" t="n">
        <v>7892</v>
      </c>
      <c r="J1328" s="14" t="n">
        <v>10</v>
      </c>
      <c r="K1328" s="14" t="n">
        <v>10000</v>
      </c>
      <c r="L1328" s="25">
        <f>IF(E1328="多",1,-1)*(I1328-H1328)*G1328*J1328</f>
        <v/>
      </c>
      <c r="M1328" s="26">
        <f>L1328/K1328</f>
        <v/>
      </c>
      <c r="N1328" s="14" t="inlineStr">
        <is>
          <t>大将军转向</t>
        </is>
      </c>
      <c r="O1328" s="14" t="inlineStr">
        <is>
          <t>是</t>
        </is>
      </c>
    </row>
    <row r="1329">
      <c r="A1329" s="14" t="inlineStr">
        <is>
          <t>2023-10-16</t>
        </is>
      </c>
      <c r="B1329" s="14" t="inlineStr">
        <is>
          <t>2023-10-23</t>
        </is>
      </c>
      <c r="C1329" s="14" t="inlineStr">
        <is>
          <t>纯碱</t>
        </is>
      </c>
      <c r="D1329" s="14" t="inlineStr">
        <is>
          <t>SA</t>
        </is>
      </c>
      <c r="E1329" s="14" t="inlineStr">
        <is>
          <t>多</t>
        </is>
      </c>
      <c r="F1329" s="14" t="inlineStr">
        <is>
          <t>★★</t>
        </is>
      </c>
      <c r="G1329" s="14" t="n">
        <v>2</v>
      </c>
      <c r="H1329" s="15" t="n">
        <v>1742</v>
      </c>
      <c r="I1329" s="15" t="n">
        <v>1690</v>
      </c>
      <c r="J1329" s="14" t="n">
        <v>20</v>
      </c>
      <c r="K1329" s="14" t="n">
        <v>10000</v>
      </c>
      <c r="L1329" s="25">
        <f>IF(E1329="多",1,-1)*(I1329-H1329)*G1329*J1329</f>
        <v/>
      </c>
      <c r="M1329" s="26">
        <f>L1329/K1329</f>
        <v/>
      </c>
      <c r="N1329" s="14" t="inlineStr">
        <is>
          <t>反向信号</t>
        </is>
      </c>
      <c r="O1329" s="14" t="inlineStr">
        <is>
          <t>是</t>
        </is>
      </c>
    </row>
    <row r="1330">
      <c r="A1330" s="2" t="inlineStr">
        <is>
          <t>2023-10-13</t>
        </is>
      </c>
      <c r="B1330" s="2" t="inlineStr">
        <is>
          <t>2023-10-23</t>
        </is>
      </c>
      <c r="C1330" s="2" t="inlineStr">
        <is>
          <t>沪铜</t>
        </is>
      </c>
      <c r="D1330" s="2" t="inlineStr">
        <is>
          <t>CU</t>
        </is>
      </c>
      <c r="E1330" s="9" t="inlineStr">
        <is>
          <t>空</t>
        </is>
      </c>
      <c r="F1330" s="2" t="inlineStr">
        <is>
          <t>★★★</t>
        </is>
      </c>
      <c r="G1330" s="10" t="n">
        <v>2</v>
      </c>
      <c r="H1330" s="11" t="n">
        <v>66350</v>
      </c>
      <c r="I1330" s="11" t="n">
        <v>65640</v>
      </c>
      <c r="J1330" s="10" t="n">
        <v>5</v>
      </c>
      <c r="K1330" s="10" t="n">
        <v>24600</v>
      </c>
      <c r="L1330" s="23">
        <f>IF(E1330="多",1,-1)*(I1330-H1330)*G1330*J1330</f>
        <v/>
      </c>
      <c r="M1330" s="24">
        <f>L1330/K1330</f>
        <v/>
      </c>
      <c r="N1330" s="2" t="inlineStr">
        <is>
          <t>将军撤退</t>
        </is>
      </c>
      <c r="O1330" s="2" t="inlineStr">
        <is>
          <t>否</t>
        </is>
      </c>
    </row>
    <row r="1331">
      <c r="A1331" s="2" t="inlineStr">
        <is>
          <t>2023-10-18</t>
        </is>
      </c>
      <c r="B1331" s="2" t="inlineStr">
        <is>
          <t>2023-10-19</t>
        </is>
      </c>
      <c r="C1331" s="2" t="inlineStr">
        <is>
          <t>PVC</t>
        </is>
      </c>
      <c r="D1331" s="2" t="inlineStr">
        <is>
          <t>V</t>
        </is>
      </c>
      <c r="E1331" s="9" t="inlineStr">
        <is>
          <t>空</t>
        </is>
      </c>
      <c r="F1331" s="2" t="inlineStr">
        <is>
          <t>★★★</t>
        </is>
      </c>
      <c r="G1331" s="10" t="n">
        <v>17</v>
      </c>
      <c r="H1331" s="11" t="n">
        <v>5879</v>
      </c>
      <c r="I1331" s="11" t="n">
        <v>5938</v>
      </c>
      <c r="J1331" s="10" t="n">
        <v>5</v>
      </c>
      <c r="K1331" s="10" t="n">
        <v>24400</v>
      </c>
      <c r="L1331" s="23">
        <f>IF(E1331="多",1,-1)*(I1331-H1331)*G1331*J1331</f>
        <v/>
      </c>
      <c r="M1331" s="24">
        <f>L1331/K1331</f>
        <v/>
      </c>
      <c r="N1331" s="2" t="inlineStr">
        <is>
          <t>将军撤退+大将军转向</t>
        </is>
      </c>
      <c r="O1331" s="2" t="inlineStr">
        <is>
          <t>否</t>
        </is>
      </c>
    </row>
    <row r="1332">
      <c r="A1332" s="14" t="inlineStr">
        <is>
          <t>2023-10-18</t>
        </is>
      </c>
      <c r="B1332" s="14" t="inlineStr">
        <is>
          <t>2023-10-19</t>
        </is>
      </c>
      <c r="C1332" s="14" t="inlineStr">
        <is>
          <t>PTA</t>
        </is>
      </c>
      <c r="D1332" s="14" t="inlineStr">
        <is>
          <t>TA</t>
        </is>
      </c>
      <c r="E1332" s="14" t="inlineStr">
        <is>
          <t>空</t>
        </is>
      </c>
      <c r="F1332" s="14" t="inlineStr">
        <is>
          <t>★★</t>
        </is>
      </c>
      <c r="G1332" s="14" t="n">
        <v>5</v>
      </c>
      <c r="H1332" s="15" t="n">
        <v>5798</v>
      </c>
      <c r="I1332" s="15" t="n">
        <v>5778</v>
      </c>
      <c r="J1332" s="14" t="n">
        <v>5</v>
      </c>
      <c r="K1332" s="14" t="n">
        <v>10000</v>
      </c>
      <c r="L1332" s="25">
        <f>IF(E1332="多",1,-1)*(I1332-H1332)*G1332*J1332</f>
        <v/>
      </c>
      <c r="M1332" s="26">
        <f>L1332/K1332</f>
        <v/>
      </c>
      <c r="N1332" s="14" t="inlineStr">
        <is>
          <t>将军撤退</t>
        </is>
      </c>
      <c r="O1332" s="14" t="inlineStr">
        <is>
          <t>是</t>
        </is>
      </c>
    </row>
    <row r="1333">
      <c r="A1333" s="14" t="inlineStr">
        <is>
          <t>2023-10-18</t>
        </is>
      </c>
      <c r="B1333" s="14" t="inlineStr">
        <is>
          <t>2023-10-19</t>
        </is>
      </c>
      <c r="C1333" s="14" t="inlineStr">
        <is>
          <t>塑料</t>
        </is>
      </c>
      <c r="D1333" s="14" t="inlineStr">
        <is>
          <t>L</t>
        </is>
      </c>
      <c r="E1333" s="14" t="inlineStr">
        <is>
          <t>空</t>
        </is>
      </c>
      <c r="F1333" s="14" t="inlineStr">
        <is>
          <t>★★</t>
        </is>
      </c>
      <c r="G1333" s="14" t="n">
        <v>7</v>
      </c>
      <c r="H1333" s="15" t="n">
        <v>7931</v>
      </c>
      <c r="I1333" s="15" t="n">
        <v>7939</v>
      </c>
      <c r="J1333" s="14" t="n">
        <v>5</v>
      </c>
      <c r="K1333" s="14" t="n">
        <v>10000</v>
      </c>
      <c r="L1333" s="25">
        <f>IF(E1333="多",1,-1)*(I1333-H1333)*G1333*J1333</f>
        <v/>
      </c>
      <c r="M1333" s="26">
        <f>L1333/K1333</f>
        <v/>
      </c>
      <c r="N1333" s="14" t="inlineStr">
        <is>
          <t>将军撤退</t>
        </is>
      </c>
      <c r="O1333" s="14" t="inlineStr">
        <is>
          <t>是</t>
        </is>
      </c>
    </row>
    <row r="1334">
      <c r="A1334" s="14" t="inlineStr">
        <is>
          <t>2023-10-10</t>
        </is>
      </c>
      <c r="B1334" s="14" t="inlineStr">
        <is>
          <t>2023-10-19</t>
        </is>
      </c>
      <c r="C1334" s="14" t="inlineStr">
        <is>
          <t>锰硅</t>
        </is>
      </c>
      <c r="D1334" s="14" t="inlineStr">
        <is>
          <t>SM</t>
        </is>
      </c>
      <c r="E1334" s="14" t="inlineStr">
        <is>
          <t>空</t>
        </is>
      </c>
      <c r="F1334" s="14" t="inlineStr">
        <is>
          <t>★★</t>
        </is>
      </c>
      <c r="G1334" s="14" t="n">
        <v>4</v>
      </c>
      <c r="H1334" s="15" t="n">
        <v>6786</v>
      </c>
      <c r="I1334" s="15" t="n">
        <v>6650</v>
      </c>
      <c r="J1334" s="14" t="n">
        <v>5</v>
      </c>
      <c r="K1334" s="14" t="n">
        <v>10000</v>
      </c>
      <c r="L1334" s="25">
        <f>IF(E1334="多",1,-1)*(I1334-H1334)*G1334*J1334</f>
        <v/>
      </c>
      <c r="M1334" s="26">
        <f>L1334/K1334</f>
        <v/>
      </c>
      <c r="N1334" s="14" t="inlineStr">
        <is>
          <t>将军撤退</t>
        </is>
      </c>
      <c r="O1334" s="14" t="inlineStr">
        <is>
          <t>是</t>
        </is>
      </c>
    </row>
    <row r="1335">
      <c r="A1335" s="14" t="inlineStr">
        <is>
          <t>2023-10-13</t>
        </is>
      </c>
      <c r="B1335" s="14" t="inlineStr">
        <is>
          <t>2023-10-18</t>
        </is>
      </c>
      <c r="C1335" s="14" t="inlineStr">
        <is>
          <t>豆油</t>
        </is>
      </c>
      <c r="D1335" s="14" t="inlineStr">
        <is>
          <t>Y</t>
        </is>
      </c>
      <c r="E1335" s="14" t="inlineStr">
        <is>
          <t>多</t>
        </is>
      </c>
      <c r="F1335" s="14" t="inlineStr">
        <is>
          <t>★★</t>
        </is>
      </c>
      <c r="G1335" s="14" t="n">
        <v>2</v>
      </c>
      <c r="H1335" s="15" t="n">
        <v>8060</v>
      </c>
      <c r="I1335" s="15" t="n">
        <v>8066</v>
      </c>
      <c r="J1335" s="14" t="n">
        <v>10</v>
      </c>
      <c r="K1335" s="14" t="n">
        <v>10000</v>
      </c>
      <c r="L1335" s="25">
        <f>IF(E1335="多",1,-1)*(I1335-H1335)*G1335*J1335</f>
        <v/>
      </c>
      <c r="M1335" s="26">
        <f>L1335/K1335</f>
        <v/>
      </c>
      <c r="N1335" s="14" t="inlineStr">
        <is>
          <t>大将军转向</t>
        </is>
      </c>
      <c r="O1335" s="14" t="inlineStr">
        <is>
          <t>是</t>
        </is>
      </c>
    </row>
    <row r="1336">
      <c r="A1336" s="14" t="inlineStr">
        <is>
          <t>2023-09-20</t>
        </is>
      </c>
      <c r="B1336" s="14" t="inlineStr">
        <is>
          <t>2023-10-18</t>
        </is>
      </c>
      <c r="C1336" s="14" t="inlineStr">
        <is>
          <t>燃料油</t>
        </is>
      </c>
      <c r="D1336" s="14" t="inlineStr">
        <is>
          <t>FU</t>
        </is>
      </c>
      <c r="E1336" s="14" t="inlineStr">
        <is>
          <t>空</t>
        </is>
      </c>
      <c r="F1336" s="14" t="inlineStr">
        <is>
          <t>★★</t>
        </is>
      </c>
      <c r="G1336" s="14" t="n">
        <v>4</v>
      </c>
      <c r="H1336" s="15" t="n">
        <v>3584</v>
      </c>
      <c r="I1336" s="15" t="n">
        <v>3467</v>
      </c>
      <c r="J1336" s="14" t="n">
        <v>10</v>
      </c>
      <c r="K1336" s="14" t="n">
        <v>10000</v>
      </c>
      <c r="L1336" s="25">
        <f>IF(E1336="多",1,-1)*(I1336-H1336)*G1336*J1336</f>
        <v/>
      </c>
      <c r="M1336" s="26">
        <f>L1336/K1336</f>
        <v/>
      </c>
      <c r="N1336" s="14" t="inlineStr">
        <is>
          <t>大将军转向</t>
        </is>
      </c>
      <c r="O1336" s="14" t="inlineStr">
        <is>
          <t>是</t>
        </is>
      </c>
    </row>
    <row r="1337">
      <c r="A1337" s="14" t="inlineStr">
        <is>
          <t>2023-10-16</t>
        </is>
      </c>
      <c r="B1337" s="14" t="inlineStr">
        <is>
          <t>2023-10-17</t>
        </is>
      </c>
      <c r="C1337" s="14" t="inlineStr">
        <is>
          <t>玉米</t>
        </is>
      </c>
      <c r="D1337" s="14" t="inlineStr">
        <is>
          <t>C</t>
        </is>
      </c>
      <c r="E1337" s="14" t="inlineStr">
        <is>
          <t>空</t>
        </is>
      </c>
      <c r="F1337" s="14" t="inlineStr">
        <is>
          <t>★★</t>
        </is>
      </c>
      <c r="G1337" s="14" t="n">
        <v>14</v>
      </c>
      <c r="H1337" s="15" t="n">
        <v>2525</v>
      </c>
      <c r="I1337" s="15" t="n">
        <v>2507</v>
      </c>
      <c r="J1337" s="14" t="n">
        <v>10</v>
      </c>
      <c r="K1337" s="14" t="n">
        <v>10000</v>
      </c>
      <c r="L1337" s="25">
        <f>IF(E1337="多",1,-1)*(I1337-H1337)*G1337*J1337</f>
        <v/>
      </c>
      <c r="M1337" s="26">
        <f>L1337/K1337</f>
        <v/>
      </c>
      <c r="N1337" s="14" t="inlineStr">
        <is>
          <t>大将军转向</t>
        </is>
      </c>
      <c r="O1337" s="14" t="inlineStr">
        <is>
          <t>是</t>
        </is>
      </c>
    </row>
    <row r="1338">
      <c r="A1338" s="2" t="inlineStr">
        <is>
          <t>2023-10-09</t>
        </is>
      </c>
      <c r="B1338" s="2" t="inlineStr">
        <is>
          <t>2023-10-17</t>
        </is>
      </c>
      <c r="C1338" s="2" t="inlineStr">
        <is>
          <t>PVC</t>
        </is>
      </c>
      <c r="D1338" s="2" t="inlineStr">
        <is>
          <t>V</t>
        </is>
      </c>
      <c r="E1338" s="9" t="inlineStr">
        <is>
          <t>空</t>
        </is>
      </c>
      <c r="F1338" s="2" t="inlineStr">
        <is>
          <t>★★★</t>
        </is>
      </c>
      <c r="G1338" s="10" t="n">
        <v>15</v>
      </c>
      <c r="H1338" s="11" t="n">
        <v>6008</v>
      </c>
      <c r="I1338" s="11" t="n">
        <v>5918</v>
      </c>
      <c r="J1338" s="10" t="n">
        <v>5</v>
      </c>
      <c r="K1338" s="10" t="n">
        <v>25100</v>
      </c>
      <c r="L1338" s="23">
        <f>IF(E1338="多",1,-1)*(I1338-H1338)*G1338*J1338</f>
        <v/>
      </c>
      <c r="M1338" s="24">
        <f>L1338/K1338</f>
        <v/>
      </c>
      <c r="N1338" s="2" t="inlineStr">
        <is>
          <t>将军撤退</t>
        </is>
      </c>
      <c r="O1338" s="2" t="inlineStr">
        <is>
          <t>否</t>
        </is>
      </c>
    </row>
    <row r="1339">
      <c r="A1339" s="14" t="inlineStr">
        <is>
          <t>2023-10-12</t>
        </is>
      </c>
      <c r="B1339" s="14" t="inlineStr">
        <is>
          <t>2023-10-13</t>
        </is>
      </c>
      <c r="C1339" s="14" t="inlineStr">
        <is>
          <t>菜粕</t>
        </is>
      </c>
      <c r="D1339" s="14" t="inlineStr">
        <is>
          <t>RM</t>
        </is>
      </c>
      <c r="E1339" s="14" t="inlineStr">
        <is>
          <t>空</t>
        </is>
      </c>
      <c r="F1339" s="14" t="inlineStr">
        <is>
          <t>★★</t>
        </is>
      </c>
      <c r="G1339" s="14" t="n">
        <v>3</v>
      </c>
      <c r="H1339" s="15" t="n">
        <v>2890</v>
      </c>
      <c r="I1339" s="15" t="n">
        <v>2913</v>
      </c>
      <c r="J1339" s="14" t="n">
        <v>10</v>
      </c>
      <c r="K1339" s="14" t="n">
        <v>10000</v>
      </c>
      <c r="L1339" s="25">
        <f>IF(E1339="多",1,-1)*(I1339-H1339)*G1339*J1339</f>
        <v/>
      </c>
      <c r="M1339" s="26">
        <f>L1339/K1339</f>
        <v/>
      </c>
      <c r="N1339" s="14" t="inlineStr">
        <is>
          <t>将军撤退+大将军转向</t>
        </is>
      </c>
      <c r="O1339" s="14" t="inlineStr">
        <is>
          <t>是</t>
        </is>
      </c>
    </row>
    <row r="1340">
      <c r="A1340" s="2" t="inlineStr">
        <is>
          <t>2023-09-21</t>
        </is>
      </c>
      <c r="B1340" s="2" t="inlineStr">
        <is>
          <t>2023-10-13</t>
        </is>
      </c>
      <c r="C1340" s="2" t="inlineStr">
        <is>
          <t>豆油</t>
        </is>
      </c>
      <c r="D1340" s="2" t="inlineStr">
        <is>
          <t>Y</t>
        </is>
      </c>
      <c r="E1340" s="9" t="inlineStr">
        <is>
          <t>空</t>
        </is>
      </c>
      <c r="F1340" s="2" t="inlineStr">
        <is>
          <t>★★★</t>
        </is>
      </c>
      <c r="G1340" s="10" t="n">
        <v>5</v>
      </c>
      <c r="H1340" s="11" t="n">
        <v>7856</v>
      </c>
      <c r="I1340" s="11" t="n">
        <v>8022</v>
      </c>
      <c r="J1340" s="10" t="n">
        <v>10</v>
      </c>
      <c r="K1340" s="10" t="n">
        <v>26800</v>
      </c>
      <c r="L1340" s="23">
        <f>IF(E1340="多",1,-1)*(I1340-H1340)*G1340*J1340</f>
        <v/>
      </c>
      <c r="M1340" s="24">
        <f>L1340/K1340</f>
        <v/>
      </c>
      <c r="N1340" s="2" t="inlineStr">
        <is>
          <t>反向信号</t>
        </is>
      </c>
      <c r="O1340" s="2" t="inlineStr">
        <is>
          <t>否</t>
        </is>
      </c>
    </row>
    <row r="1341">
      <c r="A1341" s="2" t="inlineStr">
        <is>
          <t>2023-10-09</t>
        </is>
      </c>
      <c r="B1341" s="2" t="inlineStr">
        <is>
          <t>2023-10-10</t>
        </is>
      </c>
      <c r="C1341" s="2" t="inlineStr">
        <is>
          <t>沪镍</t>
        </is>
      </c>
      <c r="D1341" s="2" t="inlineStr">
        <is>
          <t>NI</t>
        </is>
      </c>
      <c r="E1341" s="9" t="inlineStr">
        <is>
          <t>空</t>
        </is>
      </c>
      <c r="F1341" s="2" t="inlineStr">
        <is>
          <t>★★★</t>
        </is>
      </c>
      <c r="G1341" s="10" t="n">
        <v>1</v>
      </c>
      <c r="H1341" s="11" t="n">
        <v>151970</v>
      </c>
      <c r="I1341" s="11" t="n">
        <v>151650</v>
      </c>
      <c r="J1341" s="10" t="n">
        <v>1</v>
      </c>
      <c r="K1341" s="10" t="n">
        <v>18100</v>
      </c>
      <c r="L1341" s="23">
        <f>IF(E1341="多",1,-1)*(I1341-H1341)*G1341*J1341</f>
        <v/>
      </c>
      <c r="M1341" s="24">
        <f>L1341/K1341</f>
        <v/>
      </c>
      <c r="N1341" s="2" t="inlineStr">
        <is>
          <t>大将军转向</t>
        </is>
      </c>
      <c r="O1341" s="2" t="inlineStr">
        <is>
          <t>否</t>
        </is>
      </c>
    </row>
    <row r="1342">
      <c r="A1342" s="14" t="inlineStr">
        <is>
          <t>2023-09-28</t>
        </is>
      </c>
      <c r="B1342" s="14" t="inlineStr">
        <is>
          <t>2023-10-10</t>
        </is>
      </c>
      <c r="C1342" s="14" t="inlineStr">
        <is>
          <t>沪锌</t>
        </is>
      </c>
      <c r="D1342" s="14" t="inlineStr">
        <is>
          <t>ZN</t>
        </is>
      </c>
      <c r="E1342" s="14" t="inlineStr">
        <is>
          <t>空</t>
        </is>
      </c>
      <c r="F1342" s="14" t="inlineStr">
        <is>
          <t>★★</t>
        </is>
      </c>
      <c r="G1342" s="14" t="n">
        <v>1</v>
      </c>
      <c r="H1342" s="15" t="n">
        <v>21580</v>
      </c>
      <c r="I1342" s="15" t="n">
        <v>21200</v>
      </c>
      <c r="J1342" s="14" t="n">
        <v>5</v>
      </c>
      <c r="K1342" s="14" t="n">
        <v>10000</v>
      </c>
      <c r="L1342" s="25">
        <f>IF(E1342="多",1,-1)*(I1342-H1342)*G1342*J1342</f>
        <v/>
      </c>
      <c r="M1342" s="26">
        <f>L1342/K1342</f>
        <v/>
      </c>
      <c r="N1342" s="14" t="inlineStr">
        <is>
          <t>将军撤退+大将军转向</t>
        </is>
      </c>
      <c r="O1342" s="14" t="inlineStr">
        <is>
          <t>是</t>
        </is>
      </c>
    </row>
    <row r="1343">
      <c r="A1343" s="14" t="inlineStr">
        <is>
          <t>2023-09-28</t>
        </is>
      </c>
      <c r="B1343" s="14" t="inlineStr">
        <is>
          <t>2023-10-10</t>
        </is>
      </c>
      <c r="C1343" s="14" t="inlineStr">
        <is>
          <t>纯碱</t>
        </is>
      </c>
      <c r="D1343" s="14" t="inlineStr">
        <is>
          <t>SA</t>
        </is>
      </c>
      <c r="E1343" s="14" t="inlineStr">
        <is>
          <t>空</t>
        </is>
      </c>
      <c r="F1343" s="14" t="inlineStr">
        <is>
          <t>★★</t>
        </is>
      </c>
      <c r="G1343" s="14" t="n">
        <v>2</v>
      </c>
      <c r="H1343" s="15" t="n">
        <v>1720</v>
      </c>
      <c r="I1343" s="15" t="n">
        <v>1703</v>
      </c>
      <c r="J1343" s="14" t="n">
        <v>20</v>
      </c>
      <c r="K1343" s="14" t="n">
        <v>10000</v>
      </c>
      <c r="L1343" s="25">
        <f>IF(E1343="多",1,-1)*(I1343-H1343)*G1343*J1343</f>
        <v/>
      </c>
      <c r="M1343" s="26">
        <f>L1343/K1343</f>
        <v/>
      </c>
      <c r="N1343" s="14" t="inlineStr">
        <is>
          <t>将军撤退</t>
        </is>
      </c>
      <c r="O1343" s="14" t="inlineStr">
        <is>
          <t>是</t>
        </is>
      </c>
    </row>
    <row r="1344">
      <c r="A1344" s="2" t="inlineStr">
        <is>
          <t>2023-09-05</t>
        </is>
      </c>
      <c r="B1344" s="2" t="inlineStr">
        <is>
          <t>2023-10-10</t>
        </is>
      </c>
      <c r="C1344" s="2" t="inlineStr">
        <is>
          <t>铁矿石</t>
        </is>
      </c>
      <c r="D1344" s="2" t="inlineStr">
        <is>
          <t>I</t>
        </is>
      </c>
      <c r="E1344" s="19" t="inlineStr">
        <is>
          <t>多</t>
        </is>
      </c>
      <c r="F1344" s="2" t="inlineStr">
        <is>
          <t>★★★</t>
        </is>
      </c>
      <c r="G1344" s="10" t="n">
        <v>4</v>
      </c>
      <c r="H1344" s="11" t="n">
        <v>847</v>
      </c>
      <c r="I1344" s="11" t="n">
        <v>822.25</v>
      </c>
      <c r="J1344" s="10" t="n">
        <v>100</v>
      </c>
      <c r="K1344" s="10" t="n">
        <v>30000</v>
      </c>
      <c r="L1344" s="23">
        <f>IF(E1344="多",1,-1)*(I1344-H1344)*G1344*J1344</f>
        <v/>
      </c>
      <c r="M1344" s="24">
        <f>L1344/K1344</f>
        <v/>
      </c>
      <c r="N1344" s="2" t="inlineStr">
        <is>
          <t>止损</t>
        </is>
      </c>
      <c r="O1344" s="2" t="inlineStr">
        <is>
          <t>否</t>
        </is>
      </c>
    </row>
    <row r="1345">
      <c r="A1345" s="14" t="inlineStr">
        <is>
          <t>2023-09-22</t>
        </is>
      </c>
      <c r="B1345" s="14" t="inlineStr">
        <is>
          <t>2023-10-09</t>
        </is>
      </c>
      <c r="C1345" s="14" t="inlineStr">
        <is>
          <t>玻璃</t>
        </is>
      </c>
      <c r="D1345" s="14" t="inlineStr">
        <is>
          <t>FG</t>
        </is>
      </c>
      <c r="E1345" s="14" t="inlineStr">
        <is>
          <t>多</t>
        </is>
      </c>
      <c r="F1345" s="14" t="inlineStr">
        <is>
          <t>★★</t>
        </is>
      </c>
      <c r="G1345" s="14" t="n">
        <v>2</v>
      </c>
      <c r="H1345" s="15" t="n">
        <v>1749</v>
      </c>
      <c r="I1345" s="15" t="n">
        <v>1724</v>
      </c>
      <c r="J1345" s="14" t="n">
        <v>20</v>
      </c>
      <c r="K1345" s="14" t="n">
        <v>10000</v>
      </c>
      <c r="L1345" s="25">
        <f>IF(E1345="多",1,-1)*(I1345-H1345)*G1345*J1345</f>
        <v/>
      </c>
      <c r="M1345" s="26">
        <f>L1345/K1345</f>
        <v/>
      </c>
      <c r="N1345" s="14" t="inlineStr">
        <is>
          <t>大将军转向</t>
        </is>
      </c>
      <c r="O1345" s="14" t="inlineStr">
        <is>
          <t>是</t>
        </is>
      </c>
    </row>
    <row r="1346">
      <c r="A1346" s="14" t="inlineStr">
        <is>
          <t>2023-09-27</t>
        </is>
      </c>
      <c r="B1346" s="14" t="inlineStr">
        <is>
          <t>2023-09-28</t>
        </is>
      </c>
      <c r="C1346" s="14" t="inlineStr">
        <is>
          <t>PVC</t>
        </is>
      </c>
      <c r="D1346" s="14" t="inlineStr">
        <is>
          <t>V</t>
        </is>
      </c>
      <c r="E1346" s="14" t="inlineStr">
        <is>
          <t>空</t>
        </is>
      </c>
      <c r="F1346" s="14" t="inlineStr">
        <is>
          <t>★★</t>
        </is>
      </c>
      <c r="G1346" s="14" t="n">
        <v>6</v>
      </c>
      <c r="H1346" s="15" t="n">
        <v>6130</v>
      </c>
      <c r="I1346" s="15" t="n">
        <v>6137</v>
      </c>
      <c r="J1346" s="14" t="n">
        <v>5</v>
      </c>
      <c r="K1346" s="14" t="n">
        <v>10000</v>
      </c>
      <c r="L1346" s="25">
        <f>IF(E1346="多",1,-1)*(I1346-H1346)*G1346*J1346</f>
        <v/>
      </c>
      <c r="M1346" s="26">
        <f>L1346/K1346</f>
        <v/>
      </c>
      <c r="N1346" s="14" t="inlineStr">
        <is>
          <t>大将军转向</t>
        </is>
      </c>
      <c r="O1346" s="14" t="inlineStr">
        <is>
          <t>是</t>
        </is>
      </c>
    </row>
    <row r="1347">
      <c r="A1347" s="14" t="inlineStr">
        <is>
          <t>2023-09-13</t>
        </is>
      </c>
      <c r="B1347" s="14" t="inlineStr">
        <is>
          <t>2023-09-28</t>
        </is>
      </c>
      <c r="C1347" s="14" t="inlineStr">
        <is>
          <t>菜油</t>
        </is>
      </c>
      <c r="D1347" s="14" t="inlineStr">
        <is>
          <t>OI</t>
        </is>
      </c>
      <c r="E1347" s="14" t="inlineStr">
        <is>
          <t>空</t>
        </is>
      </c>
      <c r="F1347" s="14" t="inlineStr">
        <is>
          <t>★★</t>
        </is>
      </c>
      <c r="G1347" s="14" t="n">
        <v>1</v>
      </c>
      <c r="H1347" s="15" t="n">
        <v>8801</v>
      </c>
      <c r="I1347" s="15" t="n">
        <v>8902</v>
      </c>
      <c r="J1347" s="14" t="n">
        <v>10</v>
      </c>
      <c r="K1347" s="14" t="n">
        <v>10000</v>
      </c>
      <c r="L1347" s="25">
        <f>IF(E1347="多",1,-1)*(I1347-H1347)*G1347*J1347</f>
        <v/>
      </c>
      <c r="M1347" s="26">
        <f>L1347/K1347</f>
        <v/>
      </c>
      <c r="N1347" s="14" t="inlineStr">
        <is>
          <t>大将军转向</t>
        </is>
      </c>
      <c r="O1347" s="14" t="inlineStr">
        <is>
          <t>是</t>
        </is>
      </c>
    </row>
    <row r="1348">
      <c r="A1348" s="2" t="inlineStr">
        <is>
          <t>2023-09-26</t>
        </is>
      </c>
      <c r="B1348" s="2" t="inlineStr">
        <is>
          <t>2023-09-27</t>
        </is>
      </c>
      <c r="C1348" s="2" t="inlineStr">
        <is>
          <t>沪铜</t>
        </is>
      </c>
      <c r="D1348" s="2" t="inlineStr">
        <is>
          <t>CU</t>
        </is>
      </c>
      <c r="E1348" s="9" t="inlineStr">
        <is>
          <t>空</t>
        </is>
      </c>
      <c r="F1348" s="2" t="inlineStr">
        <is>
          <t>★★★</t>
        </is>
      </c>
      <c r="G1348" s="10" t="n">
        <v>1</v>
      </c>
      <c r="H1348" s="11" t="n">
        <v>67190</v>
      </c>
      <c r="I1348" s="11" t="n">
        <v>67000</v>
      </c>
      <c r="J1348" s="10" t="n">
        <v>5</v>
      </c>
      <c r="K1348" s="10" t="n">
        <v>16400</v>
      </c>
      <c r="L1348" s="23">
        <f>IF(E1348="多",1,-1)*(I1348-H1348)*G1348*J1348</f>
        <v/>
      </c>
      <c r="M1348" s="24">
        <f>L1348/K1348</f>
        <v/>
      </c>
      <c r="N1348" s="2" t="inlineStr">
        <is>
          <t>将军撤退</t>
        </is>
      </c>
      <c r="O1348" s="2" t="inlineStr">
        <is>
          <t>否</t>
        </is>
      </c>
    </row>
    <row r="1349">
      <c r="A1349" s="2" t="inlineStr">
        <is>
          <t>2023-09-22</t>
        </is>
      </c>
      <c r="B1349" s="2" t="inlineStr">
        <is>
          <t>2023-09-27</t>
        </is>
      </c>
      <c r="C1349" s="2" t="inlineStr">
        <is>
          <t>沪铝</t>
        </is>
      </c>
      <c r="D1349" s="2" t="inlineStr">
        <is>
          <t>AL</t>
        </is>
      </c>
      <c r="E1349" s="19" t="inlineStr">
        <is>
          <t>多</t>
        </is>
      </c>
      <c r="F1349" s="2" t="inlineStr">
        <is>
          <t>★★★</t>
        </is>
      </c>
      <c r="G1349" s="10" t="n">
        <v>7</v>
      </c>
      <c r="H1349" s="11" t="n">
        <v>19505</v>
      </c>
      <c r="I1349" s="11" t="n">
        <v>19420</v>
      </c>
      <c r="J1349" s="10" t="n">
        <v>5</v>
      </c>
      <c r="K1349" s="10" t="n">
        <v>26800</v>
      </c>
      <c r="L1349" s="23">
        <f>IF(E1349="多",1,-1)*(I1349-H1349)*G1349*J1349</f>
        <v/>
      </c>
      <c r="M1349" s="24">
        <f>L1349/K1349</f>
        <v/>
      </c>
      <c r="N1349" s="2" t="inlineStr">
        <is>
          <t>将军撤退</t>
        </is>
      </c>
      <c r="O1349" s="2" t="inlineStr">
        <is>
          <t>否</t>
        </is>
      </c>
    </row>
    <row r="1350">
      <c r="A1350" s="2" t="inlineStr">
        <is>
          <t>2023-09-19</t>
        </is>
      </c>
      <c r="B1350" s="2" t="inlineStr">
        <is>
          <t>2023-09-26</t>
        </is>
      </c>
      <c r="C1350" s="2" t="inlineStr">
        <is>
          <t>聚丙烯</t>
        </is>
      </c>
      <c r="D1350" s="2" t="inlineStr">
        <is>
          <t>PP</t>
        </is>
      </c>
      <c r="E1350" s="19" t="inlineStr">
        <is>
          <t>多</t>
        </is>
      </c>
      <c r="F1350" s="2" t="inlineStr">
        <is>
          <t>★★★</t>
        </is>
      </c>
      <c r="G1350" s="10" t="n">
        <v>7</v>
      </c>
      <c r="H1350" s="11" t="n">
        <v>8089</v>
      </c>
      <c r="I1350" s="11" t="n">
        <v>7731.57</v>
      </c>
      <c r="J1350" s="10" t="n">
        <v>5</v>
      </c>
      <c r="K1350" s="10" t="n">
        <v>14100</v>
      </c>
      <c r="L1350" s="23">
        <f>IF(E1350="多",1,-1)*(I1350-H1350)*G1350*J1350</f>
        <v/>
      </c>
      <c r="M1350" s="24">
        <f>L1350/K1350</f>
        <v/>
      </c>
      <c r="N1350" s="2" t="inlineStr">
        <is>
          <t>止损</t>
        </is>
      </c>
      <c r="O1350" s="2" t="inlineStr">
        <is>
          <t>否</t>
        </is>
      </c>
    </row>
    <row r="1351">
      <c r="A1351" s="14" t="inlineStr">
        <is>
          <t>2023-09-15</t>
        </is>
      </c>
      <c r="B1351" s="14" t="inlineStr">
        <is>
          <t>2023-09-26</t>
        </is>
      </c>
      <c r="C1351" s="14" t="inlineStr">
        <is>
          <t>PVC</t>
        </is>
      </c>
      <c r="D1351" s="14" t="inlineStr">
        <is>
          <t>V</t>
        </is>
      </c>
      <c r="E1351" s="14" t="inlineStr">
        <is>
          <t>多</t>
        </is>
      </c>
      <c r="F1351" s="14" t="inlineStr">
        <is>
          <t>★★</t>
        </is>
      </c>
      <c r="G1351" s="14" t="n">
        <v>5</v>
      </c>
      <c r="H1351" s="15" t="n">
        <v>6430</v>
      </c>
      <c r="I1351" s="15" t="n">
        <v>6193.93</v>
      </c>
      <c r="J1351" s="14" t="n">
        <v>5</v>
      </c>
      <c r="K1351" s="14" t="n">
        <v>10000</v>
      </c>
      <c r="L1351" s="25">
        <f>IF(E1351="多",1,-1)*(I1351-H1351)*G1351*J1351</f>
        <v/>
      </c>
      <c r="M1351" s="26">
        <f>L1351/K1351</f>
        <v/>
      </c>
      <c r="N1351" s="14" t="inlineStr">
        <is>
          <t>止损</t>
        </is>
      </c>
      <c r="O1351" s="14" t="inlineStr">
        <is>
          <t>是</t>
        </is>
      </c>
    </row>
    <row r="1352">
      <c r="A1352" s="14" t="inlineStr">
        <is>
          <t>2023-09-18</t>
        </is>
      </c>
      <c r="B1352" s="14" t="inlineStr">
        <is>
          <t>2023-09-25</t>
        </is>
      </c>
      <c r="C1352" s="14" t="inlineStr">
        <is>
          <t>尿素</t>
        </is>
      </c>
      <c r="D1352" s="14" t="inlineStr">
        <is>
          <t>UR</t>
        </is>
      </c>
      <c r="E1352" s="14" t="inlineStr">
        <is>
          <t>多</t>
        </is>
      </c>
      <c r="F1352" s="14" t="inlineStr">
        <is>
          <t>★★</t>
        </is>
      </c>
      <c r="G1352" s="14" t="n">
        <v>1</v>
      </c>
      <c r="H1352" s="15" t="n">
        <v>2280</v>
      </c>
      <c r="I1352" s="15" t="n">
        <v>2154</v>
      </c>
      <c r="J1352" s="14" t="n">
        <v>20</v>
      </c>
      <c r="K1352" s="14" t="n">
        <v>10000</v>
      </c>
      <c r="L1352" s="25">
        <f>IF(E1352="多",1,-1)*(I1352-H1352)*G1352*J1352</f>
        <v/>
      </c>
      <c r="M1352" s="26">
        <f>L1352/K1352</f>
        <v/>
      </c>
      <c r="N1352" s="14" t="inlineStr">
        <is>
          <t>大将军转向</t>
        </is>
      </c>
      <c r="O1352" s="14" t="inlineStr">
        <is>
          <t>是</t>
        </is>
      </c>
    </row>
    <row r="1353">
      <c r="A1353" s="14" t="inlineStr">
        <is>
          <t>2023-09-20</t>
        </is>
      </c>
      <c r="B1353" s="14" t="inlineStr">
        <is>
          <t>2023-09-22</t>
        </is>
      </c>
      <c r="C1353" s="14" t="inlineStr">
        <is>
          <t>沪银</t>
        </is>
      </c>
      <c r="D1353" s="14" t="inlineStr">
        <is>
          <t>AG</t>
        </is>
      </c>
      <c r="E1353" s="14" t="inlineStr">
        <is>
          <t>多</t>
        </is>
      </c>
      <c r="F1353" s="14" t="inlineStr">
        <is>
          <t>★★</t>
        </is>
      </c>
      <c r="G1353" s="14" t="n">
        <v>2</v>
      </c>
      <c r="H1353" s="15" t="n">
        <v>5928</v>
      </c>
      <c r="I1353" s="15" t="n">
        <v>5963</v>
      </c>
      <c r="J1353" s="14" t="n">
        <v>15</v>
      </c>
      <c r="K1353" s="14" t="n">
        <v>10000</v>
      </c>
      <c r="L1353" s="25">
        <f>IF(E1353="多",1,-1)*(I1353-H1353)*G1353*J1353</f>
        <v/>
      </c>
      <c r="M1353" s="26">
        <f>L1353/K1353</f>
        <v/>
      </c>
      <c r="N1353" s="14" t="inlineStr">
        <is>
          <t>将军撤退</t>
        </is>
      </c>
      <c r="O1353" s="14" t="inlineStr">
        <is>
          <t>是</t>
        </is>
      </c>
    </row>
    <row r="1354">
      <c r="A1354" s="14" t="inlineStr">
        <is>
          <t>2023-09-18</t>
        </is>
      </c>
      <c r="B1354" s="14" t="inlineStr">
        <is>
          <t>2023-09-22</t>
        </is>
      </c>
      <c r="C1354" s="14" t="inlineStr">
        <is>
          <t>锰硅</t>
        </is>
      </c>
      <c r="D1354" s="14" t="inlineStr">
        <is>
          <t>SM</t>
        </is>
      </c>
      <c r="E1354" s="14" t="inlineStr">
        <is>
          <t>多</t>
        </is>
      </c>
      <c r="F1354" s="14" t="inlineStr">
        <is>
          <t>★★</t>
        </is>
      </c>
      <c r="G1354" s="14" t="n">
        <v>5</v>
      </c>
      <c r="H1354" s="15" t="n">
        <v>7182</v>
      </c>
      <c r="I1354" s="15" t="n">
        <v>7058</v>
      </c>
      <c r="J1354" s="14" t="n">
        <v>5</v>
      </c>
      <c r="K1354" s="14" t="n">
        <v>10000</v>
      </c>
      <c r="L1354" s="25">
        <f>IF(E1354="多",1,-1)*(I1354-H1354)*G1354*J1354</f>
        <v/>
      </c>
      <c r="M1354" s="26">
        <f>L1354/K1354</f>
        <v/>
      </c>
      <c r="N1354" s="14" t="inlineStr">
        <is>
          <t>将军撤退</t>
        </is>
      </c>
      <c r="O1354" s="14" t="inlineStr">
        <is>
          <t>是</t>
        </is>
      </c>
    </row>
    <row r="1355">
      <c r="A1355" s="2" t="inlineStr">
        <is>
          <t>2023-09-18</t>
        </is>
      </c>
      <c r="B1355" s="2" t="inlineStr">
        <is>
          <t>2023-09-21</t>
        </is>
      </c>
      <c r="C1355" s="2" t="inlineStr">
        <is>
          <t>乙二醇</t>
        </is>
      </c>
      <c r="D1355" s="2" t="inlineStr">
        <is>
          <t>EG</t>
        </is>
      </c>
      <c r="E1355" s="19" t="inlineStr">
        <is>
          <t>多</t>
        </is>
      </c>
      <c r="F1355" s="2" t="inlineStr">
        <is>
          <t>★★★</t>
        </is>
      </c>
      <c r="G1355" s="10" t="n">
        <v>11</v>
      </c>
      <c r="H1355" s="11" t="n">
        <v>4416</v>
      </c>
      <c r="I1355" s="11" t="n">
        <v>4322</v>
      </c>
      <c r="J1355" s="10" t="n">
        <v>10</v>
      </c>
      <c r="K1355" s="10" t="n">
        <v>28000</v>
      </c>
      <c r="L1355" s="23">
        <f>IF(E1355="多",1,-1)*(I1355-H1355)*G1355*J1355</f>
        <v/>
      </c>
      <c r="M1355" s="24">
        <f>L1355/K1355</f>
        <v/>
      </c>
      <c r="N1355" s="2" t="inlineStr">
        <is>
          <t>将军撤退</t>
        </is>
      </c>
      <c r="O1355" s="2" t="inlineStr">
        <is>
          <t>否</t>
        </is>
      </c>
    </row>
    <row r="1356">
      <c r="A1356" s="2" t="inlineStr">
        <is>
          <t>2023-09-13</t>
        </is>
      </c>
      <c r="B1356" s="2" t="inlineStr">
        <is>
          <t>2023-09-21</t>
        </is>
      </c>
      <c r="C1356" s="2" t="inlineStr">
        <is>
          <t>棕榈油</t>
        </is>
      </c>
      <c r="D1356" s="2" t="inlineStr">
        <is>
          <t>P</t>
        </is>
      </c>
      <c r="E1356" s="9" t="inlineStr">
        <is>
          <t>空</t>
        </is>
      </c>
      <c r="F1356" s="2" t="inlineStr">
        <is>
          <t>★★★</t>
        </is>
      </c>
      <c r="G1356" s="10" t="n">
        <v>5</v>
      </c>
      <c r="H1356" s="11" t="n">
        <v>7408</v>
      </c>
      <c r="I1356" s="11" t="n">
        <v>7156</v>
      </c>
      <c r="J1356" s="10" t="n">
        <v>10</v>
      </c>
      <c r="K1356" s="10" t="n">
        <v>27900</v>
      </c>
      <c r="L1356" s="23">
        <f>IF(E1356="多",1,-1)*(I1356-H1356)*G1356*J1356</f>
        <v/>
      </c>
      <c r="M1356" s="24">
        <f>L1356/K1356</f>
        <v/>
      </c>
      <c r="N1356" s="2" t="inlineStr">
        <is>
          <t>大将军转向</t>
        </is>
      </c>
      <c r="O1356" s="2" t="inlineStr">
        <is>
          <t>否</t>
        </is>
      </c>
    </row>
    <row r="1357">
      <c r="A1357" s="2" t="inlineStr">
        <is>
          <t>2023-09-15</t>
        </is>
      </c>
      <c r="B1357" s="2" t="inlineStr">
        <is>
          <t>2023-09-19</t>
        </is>
      </c>
      <c r="C1357" s="2" t="inlineStr">
        <is>
          <t>沪锌</t>
        </is>
      </c>
      <c r="D1357" s="2" t="inlineStr">
        <is>
          <t>ZN</t>
        </is>
      </c>
      <c r="E1357" s="19" t="inlineStr">
        <is>
          <t>多</t>
        </is>
      </c>
      <c r="F1357" s="2" t="inlineStr">
        <is>
          <t>★★★</t>
        </is>
      </c>
      <c r="G1357" s="10" t="n">
        <v>2</v>
      </c>
      <c r="H1357" s="11" t="n">
        <v>21875</v>
      </c>
      <c r="I1357" s="11" t="n">
        <v>21710</v>
      </c>
      <c r="J1357" s="10" t="n">
        <v>5</v>
      </c>
      <c r="K1357" s="10" t="n">
        <v>13600</v>
      </c>
      <c r="L1357" s="23">
        <f>IF(E1357="多",1,-1)*(I1357-H1357)*G1357*J1357</f>
        <v/>
      </c>
      <c r="M1357" s="24">
        <f>L1357/K1357</f>
        <v/>
      </c>
      <c r="N1357" s="2" t="inlineStr">
        <is>
          <t>大将军转向</t>
        </is>
      </c>
      <c r="O1357" s="2" t="inlineStr">
        <is>
          <t>否</t>
        </is>
      </c>
    </row>
    <row r="1358">
      <c r="A1358" s="14" t="inlineStr">
        <is>
          <t>2023-09-15</t>
        </is>
      </c>
      <c r="B1358" s="14" t="inlineStr">
        <is>
          <t>2023-09-19</t>
        </is>
      </c>
      <c r="C1358" s="14" t="inlineStr">
        <is>
          <t>棉花</t>
        </is>
      </c>
      <c r="D1358" s="14" t="inlineStr">
        <is>
          <t>CF</t>
        </is>
      </c>
      <c r="E1358" s="14" t="inlineStr">
        <is>
          <t>多</t>
        </is>
      </c>
      <c r="F1358" s="14" t="inlineStr">
        <is>
          <t>★★</t>
        </is>
      </c>
      <c r="G1358" s="14" t="n">
        <v>2</v>
      </c>
      <c r="H1358" s="15" t="n">
        <v>17220</v>
      </c>
      <c r="I1358" s="15" t="n">
        <v>17370</v>
      </c>
      <c r="J1358" s="14" t="n">
        <v>5</v>
      </c>
      <c r="K1358" s="14" t="n">
        <v>10000</v>
      </c>
      <c r="L1358" s="25">
        <f>IF(E1358="多",1,-1)*(I1358-H1358)*G1358*J1358</f>
        <v/>
      </c>
      <c r="M1358" s="26">
        <f>L1358/K1358</f>
        <v/>
      </c>
      <c r="N1358" s="14" t="inlineStr">
        <is>
          <t>将军撤退</t>
        </is>
      </c>
      <c r="O1358" s="14" t="inlineStr">
        <is>
          <t>是</t>
        </is>
      </c>
    </row>
    <row r="1359">
      <c r="A1359" s="14" t="inlineStr">
        <is>
          <t>2023-09-14</t>
        </is>
      </c>
      <c r="B1359" s="14" t="inlineStr">
        <is>
          <t>2023-09-19</t>
        </is>
      </c>
      <c r="C1359" s="14" t="inlineStr">
        <is>
          <t>燃料油</t>
        </is>
      </c>
      <c r="D1359" s="14" t="inlineStr">
        <is>
          <t>FU</t>
        </is>
      </c>
      <c r="E1359" s="14" t="inlineStr">
        <is>
          <t>多</t>
        </is>
      </c>
      <c r="F1359" s="14" t="inlineStr">
        <is>
          <t>★★★</t>
        </is>
      </c>
      <c r="G1359" s="14" t="n">
        <v>4</v>
      </c>
      <c r="H1359" s="15" t="n">
        <v>3746</v>
      </c>
      <c r="I1359" s="15" t="n">
        <v>3633</v>
      </c>
      <c r="J1359" s="14" t="n">
        <v>10</v>
      </c>
      <c r="K1359" s="14" t="n">
        <v>10000</v>
      </c>
      <c r="L1359" s="25">
        <f>IF(E1359="多",1,-1)*(I1359-H1359)*G1359*J1359</f>
        <v/>
      </c>
      <c r="M1359" s="26">
        <f>L1359/K1359</f>
        <v/>
      </c>
      <c r="N1359" s="14" t="inlineStr">
        <is>
          <t>大将军转向</t>
        </is>
      </c>
      <c r="O1359" s="14" t="inlineStr">
        <is>
          <t>是</t>
        </is>
      </c>
    </row>
    <row r="1360">
      <c r="A1360" s="2" t="inlineStr">
        <is>
          <t>2023-09-08</t>
        </is>
      </c>
      <c r="B1360" s="2" t="inlineStr">
        <is>
          <t>2023-09-18</t>
        </is>
      </c>
      <c r="C1360" s="2" t="inlineStr">
        <is>
          <t>白糖</t>
        </is>
      </c>
      <c r="D1360" s="2" t="inlineStr">
        <is>
          <t>SR</t>
        </is>
      </c>
      <c r="E1360" s="19" t="inlineStr">
        <is>
          <t>多</t>
        </is>
      </c>
      <c r="F1360" s="2" t="inlineStr">
        <is>
          <t>★★★</t>
        </is>
      </c>
      <c r="G1360" s="10" t="n">
        <v>10</v>
      </c>
      <c r="H1360" s="11" t="n">
        <v>7079</v>
      </c>
      <c r="I1360" s="11" t="n">
        <v>6869.5</v>
      </c>
      <c r="J1360" s="10" t="n">
        <v>10</v>
      </c>
      <c r="K1360" s="10" t="n">
        <v>28500</v>
      </c>
      <c r="L1360" s="23">
        <f>IF(E1360="多",1,-1)*(I1360-H1360)*G1360*J1360</f>
        <v/>
      </c>
      <c r="M1360" s="24">
        <f>L1360/K1360</f>
        <v/>
      </c>
      <c r="N1360" s="2" t="inlineStr">
        <is>
          <t>止损</t>
        </is>
      </c>
      <c r="O1360" s="2" t="inlineStr">
        <is>
          <t>否</t>
        </is>
      </c>
    </row>
    <row r="1361">
      <c r="A1361" s="14" t="inlineStr">
        <is>
          <t>2023-09-13</t>
        </is>
      </c>
      <c r="B1361" s="14" t="inlineStr">
        <is>
          <t>2023-09-15</t>
        </is>
      </c>
      <c r="C1361" s="14" t="inlineStr">
        <is>
          <t>沪金</t>
        </is>
      </c>
      <c r="D1361" s="14" t="inlineStr">
        <is>
          <t>AU</t>
        </is>
      </c>
      <c r="E1361" s="14" t="inlineStr">
        <is>
          <t>多</t>
        </is>
      </c>
      <c r="F1361" s="14" t="inlineStr">
        <is>
          <t>★★★</t>
        </is>
      </c>
      <c r="G1361" s="14" t="n">
        <v>1</v>
      </c>
      <c r="H1361" s="15" t="n">
        <v>468.02</v>
      </c>
      <c r="I1361" s="15" t="n">
        <v>469.72</v>
      </c>
      <c r="J1361" s="14" t="n">
        <v>1000</v>
      </c>
      <c r="K1361" s="14" t="n">
        <v>10000</v>
      </c>
      <c r="L1361" s="25">
        <f>IF(E1361="多",1,-1)*(I1361-H1361)*G1361*J1361</f>
        <v/>
      </c>
      <c r="M1361" s="26">
        <f>L1361/K1361</f>
        <v/>
      </c>
      <c r="N1361" s="14" t="inlineStr">
        <is>
          <t>将军撤退</t>
        </is>
      </c>
      <c r="O1361" s="14" t="inlineStr">
        <is>
          <t>是</t>
        </is>
      </c>
    </row>
    <row r="1362">
      <c r="A1362" s="14" t="inlineStr">
        <is>
          <t>2023-09-12</t>
        </is>
      </c>
      <c r="B1362" s="14" t="inlineStr">
        <is>
          <t>2023-09-15</t>
        </is>
      </c>
      <c r="C1362" s="14" t="inlineStr">
        <is>
          <t>豆粕</t>
        </is>
      </c>
      <c r="D1362" s="14" t="inlineStr">
        <is>
          <t>M</t>
        </is>
      </c>
      <c r="E1362" s="14" t="inlineStr">
        <is>
          <t>空</t>
        </is>
      </c>
      <c r="F1362" s="14" t="inlineStr">
        <is>
          <t>★★</t>
        </is>
      </c>
      <c r="G1362" s="14" t="n">
        <v>4</v>
      </c>
      <c r="H1362" s="15" t="n">
        <v>4059</v>
      </c>
      <c r="I1362" s="15" t="n">
        <v>4062</v>
      </c>
      <c r="J1362" s="14" t="n">
        <v>10</v>
      </c>
      <c r="K1362" s="14" t="n">
        <v>10000</v>
      </c>
      <c r="L1362" s="25">
        <f>IF(E1362="多",1,-1)*(I1362-H1362)*G1362*J1362</f>
        <v/>
      </c>
      <c r="M1362" s="26">
        <f>L1362/K1362</f>
        <v/>
      </c>
      <c r="N1362" s="14" t="inlineStr">
        <is>
          <t>将军撤退</t>
        </is>
      </c>
      <c r="O1362" s="14" t="inlineStr">
        <is>
          <t>是</t>
        </is>
      </c>
    </row>
    <row r="1363">
      <c r="A1363" s="2" t="inlineStr">
        <is>
          <t>2023-09-07</t>
        </is>
      </c>
      <c r="B1363" s="2" t="inlineStr">
        <is>
          <t>2023-09-14</t>
        </is>
      </c>
      <c r="C1363" s="2" t="inlineStr">
        <is>
          <t>苯乙烯</t>
        </is>
      </c>
      <c r="D1363" s="2" t="inlineStr">
        <is>
          <t>EB</t>
        </is>
      </c>
      <c r="E1363" s="19" t="inlineStr">
        <is>
          <t>多</t>
        </is>
      </c>
      <c r="F1363" s="2" t="inlineStr">
        <is>
          <t>★★★</t>
        </is>
      </c>
      <c r="G1363" s="10" t="n">
        <v>3</v>
      </c>
      <c r="H1363" s="11" t="n">
        <v>9292</v>
      </c>
      <c r="I1363" s="11" t="n">
        <v>9817</v>
      </c>
      <c r="J1363" s="10" t="n">
        <v>5</v>
      </c>
      <c r="K1363" s="10" t="n">
        <v>10000</v>
      </c>
      <c r="L1363" s="23">
        <f>IF(E1363="多",1,-1)*(I1363-H1363)*G1363*J1363</f>
        <v/>
      </c>
      <c r="M1363" s="24">
        <f>L1363/K1363</f>
        <v/>
      </c>
      <c r="N1363" s="2" t="inlineStr">
        <is>
          <t>大将军转向</t>
        </is>
      </c>
      <c r="O1363" s="2" t="inlineStr">
        <is>
          <t>否</t>
        </is>
      </c>
    </row>
    <row r="1364">
      <c r="A1364" s="2" t="inlineStr">
        <is>
          <t>2023-09-12</t>
        </is>
      </c>
      <c r="B1364" s="2" t="inlineStr">
        <is>
          <t>2023-09-13</t>
        </is>
      </c>
      <c r="C1364" s="2" t="inlineStr">
        <is>
          <t>聚丙烯</t>
        </is>
      </c>
      <c r="D1364" s="2" t="inlineStr">
        <is>
          <t>PP</t>
        </is>
      </c>
      <c r="E1364" s="19" t="inlineStr">
        <is>
          <t>多</t>
        </is>
      </c>
      <c r="F1364" s="2" t="inlineStr">
        <is>
          <t>★★★</t>
        </is>
      </c>
      <c r="G1364" s="10" t="n">
        <v>16</v>
      </c>
      <c r="H1364" s="11" t="n">
        <v>8003</v>
      </c>
      <c r="I1364" s="11" t="n">
        <v>7966</v>
      </c>
      <c r="J1364" s="10" t="n">
        <v>5</v>
      </c>
      <c r="K1364" s="10" t="n">
        <v>28200</v>
      </c>
      <c r="L1364" s="23">
        <f>IF(E1364="多",1,-1)*(I1364-H1364)*G1364*J1364</f>
        <v/>
      </c>
      <c r="M1364" s="24">
        <f>L1364/K1364</f>
        <v/>
      </c>
      <c r="N1364" s="2" t="inlineStr">
        <is>
          <t>将军撤退</t>
        </is>
      </c>
      <c r="O1364" s="2" t="inlineStr">
        <is>
          <t>否</t>
        </is>
      </c>
    </row>
    <row r="1365">
      <c r="A1365" s="2" t="inlineStr">
        <is>
          <t>2023-09-11</t>
        </is>
      </c>
      <c r="B1365" s="2" t="inlineStr">
        <is>
          <t>2023-09-12</t>
        </is>
      </c>
      <c r="C1365" s="2" t="inlineStr">
        <is>
          <t>棕榈油</t>
        </is>
      </c>
      <c r="D1365" s="2" t="inlineStr">
        <is>
          <t>P</t>
        </is>
      </c>
      <c r="E1365" s="9" t="inlineStr">
        <is>
          <t>空</t>
        </is>
      </c>
      <c r="F1365" s="2" t="inlineStr">
        <is>
          <t>★★★</t>
        </is>
      </c>
      <c r="G1365" s="10" t="n">
        <v>5</v>
      </c>
      <c r="H1365" s="11" t="n">
        <v>7420</v>
      </c>
      <c r="I1365" s="11" t="n">
        <v>7436</v>
      </c>
      <c r="J1365" s="10" t="n">
        <v>10</v>
      </c>
      <c r="K1365" s="10" t="n">
        <v>28300</v>
      </c>
      <c r="L1365" s="23">
        <f>IF(E1365="多",1,-1)*(I1365-H1365)*G1365*J1365</f>
        <v/>
      </c>
      <c r="M1365" s="24">
        <f>L1365/K1365</f>
        <v/>
      </c>
      <c r="N1365" s="2" t="inlineStr">
        <is>
          <t>大将军转向</t>
        </is>
      </c>
      <c r="O1365" s="2" t="inlineStr">
        <is>
          <t>否</t>
        </is>
      </c>
    </row>
    <row r="1366">
      <c r="A1366" s="14" t="inlineStr">
        <is>
          <t>2023-09-07</t>
        </is>
      </c>
      <c r="B1366" s="14" t="inlineStr">
        <is>
          <t>2023-09-11</t>
        </is>
      </c>
      <c r="C1366" s="14" t="inlineStr">
        <is>
          <t>豆粕</t>
        </is>
      </c>
      <c r="D1366" s="14" t="inlineStr">
        <is>
          <t>M</t>
        </is>
      </c>
      <c r="E1366" s="14" t="inlineStr">
        <is>
          <t>多</t>
        </is>
      </c>
      <c r="F1366" s="14" t="inlineStr">
        <is>
          <t>★★</t>
        </is>
      </c>
      <c r="G1366" s="14" t="n">
        <v>4</v>
      </c>
      <c r="H1366" s="15" t="n">
        <v>4140</v>
      </c>
      <c r="I1366" s="15" t="n">
        <v>4103</v>
      </c>
      <c r="J1366" s="14" t="n">
        <v>10</v>
      </c>
      <c r="K1366" s="14" t="n">
        <v>10000</v>
      </c>
      <c r="L1366" s="25">
        <f>IF(E1366="多",1,-1)*(I1366-H1366)*G1366*J1366</f>
        <v/>
      </c>
      <c r="M1366" s="26">
        <f>L1366/K1366</f>
        <v/>
      </c>
      <c r="N1366" s="14" t="inlineStr">
        <is>
          <t>将军撤退+大将军转向</t>
        </is>
      </c>
      <c r="O1366" s="14" t="inlineStr">
        <is>
          <t>是</t>
        </is>
      </c>
    </row>
    <row r="1367">
      <c r="A1367" s="2" t="inlineStr">
        <is>
          <t>2023-09-05</t>
        </is>
      </c>
      <c r="B1367" s="2" t="inlineStr">
        <is>
          <t>2023-09-11</t>
        </is>
      </c>
      <c r="C1367" s="2" t="inlineStr">
        <is>
          <t>沪金</t>
        </is>
      </c>
      <c r="D1367" s="2" t="inlineStr">
        <is>
          <t>AU</t>
        </is>
      </c>
      <c r="E1367" s="19" t="inlineStr">
        <is>
          <t>多</t>
        </is>
      </c>
      <c r="F1367" s="2" t="inlineStr">
        <is>
          <t>★★★</t>
        </is>
      </c>
      <c r="G1367" s="10" t="n">
        <v>4</v>
      </c>
      <c r="H1367" s="11" t="n">
        <v>464.8</v>
      </c>
      <c r="I1367" s="11" t="n">
        <v>466.54</v>
      </c>
      <c r="J1367" s="10" t="n">
        <v>1000</v>
      </c>
      <c r="K1367" s="10" t="n">
        <v>30000</v>
      </c>
      <c r="L1367" s="23">
        <f>IF(E1367="多",1,-1)*(I1367-H1367)*G1367*J1367</f>
        <v/>
      </c>
      <c r="M1367" s="24">
        <f>L1367/K1367</f>
        <v/>
      </c>
      <c r="N1367" s="2" t="inlineStr">
        <is>
          <t>将军撤退</t>
        </is>
      </c>
      <c r="O1367" s="2" t="inlineStr">
        <is>
          <t>否</t>
        </is>
      </c>
    </row>
    <row r="1368">
      <c r="A1368" s="14" t="inlineStr">
        <is>
          <t>2023-08-29</t>
        </is>
      </c>
      <c r="B1368" s="14" t="inlineStr">
        <is>
          <t>2023-09-11</t>
        </is>
      </c>
      <c r="C1368" s="14" t="inlineStr">
        <is>
          <t>沪铜</t>
        </is>
      </c>
      <c r="D1368" s="14" t="inlineStr">
        <is>
          <t>CU</t>
        </is>
      </c>
      <c r="E1368" s="14" t="inlineStr">
        <is>
          <t>多</t>
        </is>
      </c>
      <c r="F1368" s="14" t="inlineStr">
        <is>
          <t>★★★</t>
        </is>
      </c>
      <c r="G1368" s="14" t="n">
        <v>1</v>
      </c>
      <c r="H1368" s="15" t="n">
        <v>69100</v>
      </c>
      <c r="I1368" s="15" t="n">
        <v>68517.14</v>
      </c>
      <c r="J1368" s="14" t="n">
        <v>5</v>
      </c>
      <c r="K1368" s="14" t="n">
        <v>10000</v>
      </c>
      <c r="L1368" s="25">
        <f>IF(E1368="多",1,-1)*(I1368-H1368)*G1368*J1368</f>
        <v/>
      </c>
      <c r="M1368" s="26">
        <f>L1368/K1368</f>
        <v/>
      </c>
      <c r="N1368" s="14" t="inlineStr">
        <is>
          <t>止损</t>
        </is>
      </c>
      <c r="O1368" s="14" t="inlineStr">
        <is>
          <t>是</t>
        </is>
      </c>
    </row>
    <row r="1369">
      <c r="A1369" s="2" t="inlineStr">
        <is>
          <t>2023-09-07</t>
        </is>
      </c>
      <c r="B1369" s="2" t="inlineStr">
        <is>
          <t>2023-09-08</t>
        </is>
      </c>
      <c r="C1369" s="2" t="inlineStr">
        <is>
          <t>菜粕</t>
        </is>
      </c>
      <c r="D1369" s="2" t="inlineStr">
        <is>
          <t>RM</t>
        </is>
      </c>
      <c r="E1369" s="19" t="inlineStr">
        <is>
          <t>多</t>
        </is>
      </c>
      <c r="F1369" s="2" t="inlineStr">
        <is>
          <t>★★★</t>
        </is>
      </c>
      <c r="G1369" s="10" t="n">
        <v>10</v>
      </c>
      <c r="H1369" s="11" t="n">
        <v>3390</v>
      </c>
      <c r="I1369" s="11" t="n">
        <v>3234</v>
      </c>
      <c r="J1369" s="10" t="n">
        <v>10</v>
      </c>
      <c r="K1369" s="10" t="n">
        <v>30000</v>
      </c>
      <c r="L1369" s="23">
        <f>IF(E1369="多",1,-1)*(I1369-H1369)*G1369*J1369</f>
        <v/>
      </c>
      <c r="M1369" s="24">
        <f>L1369/K1369</f>
        <v/>
      </c>
      <c r="N1369" s="2" t="inlineStr">
        <is>
          <t>将军撤退</t>
        </is>
      </c>
      <c r="O1369" s="2" t="inlineStr">
        <is>
          <t>否</t>
        </is>
      </c>
    </row>
    <row r="1370">
      <c r="A1370" s="14" t="inlineStr">
        <is>
          <t>2023-09-07</t>
        </is>
      </c>
      <c r="B1370" s="14" t="inlineStr">
        <is>
          <t>2023-09-08</t>
        </is>
      </c>
      <c r="C1370" s="14" t="inlineStr">
        <is>
          <t>沪铝</t>
        </is>
      </c>
      <c r="D1370" s="14" t="inlineStr">
        <is>
          <t>AL</t>
        </is>
      </c>
      <c r="E1370" s="14" t="inlineStr">
        <is>
          <t>多</t>
        </is>
      </c>
      <c r="F1370" s="14" t="inlineStr">
        <is>
          <t>★★</t>
        </is>
      </c>
      <c r="G1370" s="14" t="n">
        <v>2</v>
      </c>
      <c r="H1370" s="15" t="n">
        <v>19175</v>
      </c>
      <c r="I1370" s="15" t="n">
        <v>18965</v>
      </c>
      <c r="J1370" s="14" t="n">
        <v>5</v>
      </c>
      <c r="K1370" s="14" t="n">
        <v>10000</v>
      </c>
      <c r="L1370" s="25">
        <f>IF(E1370="多",1,-1)*(I1370-H1370)*G1370*J1370</f>
        <v/>
      </c>
      <c r="M1370" s="26">
        <f>L1370/K1370</f>
        <v/>
      </c>
      <c r="N1370" s="14" t="inlineStr">
        <is>
          <t>大将军转向</t>
        </is>
      </c>
      <c r="O1370" s="14" t="inlineStr">
        <is>
          <t>是</t>
        </is>
      </c>
    </row>
    <row r="1371">
      <c r="A1371" s="14" t="inlineStr">
        <is>
          <t>2023-08-30</t>
        </is>
      </c>
      <c r="B1371" s="14" t="inlineStr">
        <is>
          <t>2023-09-08</t>
        </is>
      </c>
      <c r="C1371" s="14" t="inlineStr">
        <is>
          <t>菜油</t>
        </is>
      </c>
      <c r="D1371" s="14" t="inlineStr">
        <is>
          <t>OI</t>
        </is>
      </c>
      <c r="E1371" s="14" t="inlineStr">
        <is>
          <t>多</t>
        </is>
      </c>
      <c r="F1371" s="14" t="inlineStr">
        <is>
          <t>★★★</t>
        </is>
      </c>
      <c r="G1371" s="14" t="n">
        <v>1</v>
      </c>
      <c r="H1371" s="15" t="n">
        <v>9520</v>
      </c>
      <c r="I1371" s="15" t="n">
        <v>8967.790000000001</v>
      </c>
      <c r="J1371" s="14" t="n">
        <v>10</v>
      </c>
      <c r="K1371" s="14" t="n">
        <v>10000</v>
      </c>
      <c r="L1371" s="25">
        <f>IF(E1371="多",1,-1)*(I1371-H1371)*G1371*J1371</f>
        <v/>
      </c>
      <c r="M1371" s="26">
        <f>L1371/K1371</f>
        <v/>
      </c>
      <c r="N1371" s="14" t="inlineStr">
        <is>
          <t>止损</t>
        </is>
      </c>
      <c r="O1371" s="14" t="inlineStr">
        <is>
          <t>是</t>
        </is>
      </c>
    </row>
    <row r="1372">
      <c r="A1372" s="2" t="inlineStr">
        <is>
          <t>2023-09-06</t>
        </is>
      </c>
      <c r="B1372" s="2" t="inlineStr">
        <is>
          <t>2023-09-07</t>
        </is>
      </c>
      <c r="C1372" s="2" t="inlineStr">
        <is>
          <t>沥青</t>
        </is>
      </c>
      <c r="D1372" s="2" t="inlineStr">
        <is>
          <t>BU</t>
        </is>
      </c>
      <c r="E1372" s="19" t="inlineStr">
        <is>
          <t>多</t>
        </is>
      </c>
      <c r="F1372" s="2" t="inlineStr">
        <is>
          <t>★★★</t>
        </is>
      </c>
      <c r="G1372" s="10" t="n">
        <v>17</v>
      </c>
      <c r="H1372" s="11" t="n">
        <v>3903</v>
      </c>
      <c r="I1372" s="11" t="n">
        <v>3881</v>
      </c>
      <c r="J1372" s="10" t="n">
        <v>10</v>
      </c>
      <c r="K1372" s="10" t="n">
        <v>28700</v>
      </c>
      <c r="L1372" s="23">
        <f>IF(E1372="多",1,-1)*(I1372-H1372)*G1372*J1372</f>
        <v/>
      </c>
      <c r="M1372" s="24">
        <f>L1372/K1372</f>
        <v/>
      </c>
      <c r="N1372" s="2" t="inlineStr">
        <is>
          <t>大将军转向</t>
        </is>
      </c>
      <c r="O1372" s="2" t="inlineStr">
        <is>
          <t>否</t>
        </is>
      </c>
    </row>
    <row r="1373">
      <c r="A1373" s="2" t="inlineStr">
        <is>
          <t>2023-09-01</t>
        </is>
      </c>
      <c r="B1373" s="2" t="inlineStr">
        <is>
          <t>2023-09-07</t>
        </is>
      </c>
      <c r="C1373" s="2" t="inlineStr">
        <is>
          <t>聚丙烯</t>
        </is>
      </c>
      <c r="D1373" s="2" t="inlineStr">
        <is>
          <t>PP</t>
        </is>
      </c>
      <c r="E1373" s="19" t="inlineStr">
        <is>
          <t>多</t>
        </is>
      </c>
      <c r="F1373" s="2" t="inlineStr">
        <is>
          <t>★★★</t>
        </is>
      </c>
      <c r="G1373" s="10" t="n">
        <v>7</v>
      </c>
      <c r="H1373" s="11" t="n">
        <v>7873</v>
      </c>
      <c r="I1373" s="11" t="n">
        <v>7894</v>
      </c>
      <c r="J1373" s="10" t="n">
        <v>5</v>
      </c>
      <c r="K1373" s="10" t="n">
        <v>11300</v>
      </c>
      <c r="L1373" s="23">
        <f>IF(E1373="多",1,-1)*(I1373-H1373)*G1373*J1373</f>
        <v/>
      </c>
      <c r="M1373" s="24">
        <f>L1373/K1373</f>
        <v/>
      </c>
      <c r="N1373" s="2" t="inlineStr">
        <is>
          <t>将军撤退</t>
        </is>
      </c>
      <c r="O1373" s="2" t="inlineStr">
        <is>
          <t>否</t>
        </is>
      </c>
    </row>
    <row r="1374">
      <c r="A1374" s="14" t="inlineStr">
        <is>
          <t>2023-08-31</t>
        </is>
      </c>
      <c r="B1374" s="14" t="inlineStr">
        <is>
          <t>2023-09-07</t>
        </is>
      </c>
      <c r="C1374" s="14" t="inlineStr">
        <is>
          <t>沪锌</t>
        </is>
      </c>
      <c r="D1374" s="14" t="inlineStr">
        <is>
          <t>ZN</t>
        </is>
      </c>
      <c r="E1374" s="14" t="inlineStr">
        <is>
          <t>多</t>
        </is>
      </c>
      <c r="F1374" s="14" t="inlineStr">
        <is>
          <t>★★★</t>
        </is>
      </c>
      <c r="G1374" s="14" t="n">
        <v>2</v>
      </c>
      <c r="H1374" s="15" t="n">
        <v>21000</v>
      </c>
      <c r="I1374" s="15" t="n">
        <v>21370</v>
      </c>
      <c r="J1374" s="14" t="n">
        <v>5</v>
      </c>
      <c r="K1374" s="14" t="n">
        <v>10000</v>
      </c>
      <c r="L1374" s="25">
        <f>IF(E1374="多",1,-1)*(I1374-H1374)*G1374*J1374</f>
        <v/>
      </c>
      <c r="M1374" s="26">
        <f>L1374/K1374</f>
        <v/>
      </c>
      <c r="N1374" s="14" t="inlineStr">
        <is>
          <t>将军撤退</t>
        </is>
      </c>
      <c r="O1374" s="14" t="inlineStr">
        <is>
          <t>是</t>
        </is>
      </c>
    </row>
    <row r="1375">
      <c r="A1375" s="2" t="inlineStr">
        <is>
          <t>2023-08-01</t>
        </is>
      </c>
      <c r="B1375" s="2" t="inlineStr">
        <is>
          <t>2023-09-05</t>
        </is>
      </c>
      <c r="C1375" s="2" t="inlineStr">
        <is>
          <t>沥青</t>
        </is>
      </c>
      <c r="D1375" s="2" t="inlineStr">
        <is>
          <t>BU</t>
        </is>
      </c>
      <c r="E1375" s="19" t="inlineStr">
        <is>
          <t>多</t>
        </is>
      </c>
      <c r="F1375" s="2" t="inlineStr">
        <is>
          <t>★★★</t>
        </is>
      </c>
      <c r="G1375" s="10" t="n">
        <v>14</v>
      </c>
      <c r="H1375" s="11" t="n">
        <v>3750</v>
      </c>
      <c r="I1375" s="11" t="n">
        <v>3881</v>
      </c>
      <c r="J1375" s="10" t="n">
        <v>10</v>
      </c>
      <c r="K1375" s="10" t="n">
        <v>26300</v>
      </c>
      <c r="L1375" s="23">
        <f>IF(E1375="多",1,-1)*(I1375-H1375)*G1375*J1375</f>
        <v/>
      </c>
      <c r="M1375" s="24">
        <f>L1375/K1375</f>
        <v/>
      </c>
      <c r="N1375" s="2" t="inlineStr">
        <is>
          <t>将军撤退</t>
        </is>
      </c>
      <c r="O1375" s="2" t="inlineStr">
        <is>
          <t>否</t>
        </is>
      </c>
    </row>
    <row r="1376">
      <c r="A1376" s="14" t="inlineStr">
        <is>
          <t>2023-08-29</t>
        </is>
      </c>
      <c r="B1376" s="14" t="inlineStr">
        <is>
          <t>2023-09-04</t>
        </is>
      </c>
      <c r="C1376" s="14" t="inlineStr">
        <is>
          <t>菜粕</t>
        </is>
      </c>
      <c r="D1376" s="14" t="inlineStr">
        <is>
          <t>RM</t>
        </is>
      </c>
      <c r="E1376" s="14" t="inlineStr">
        <is>
          <t>多</t>
        </is>
      </c>
      <c r="F1376" s="14" t="inlineStr">
        <is>
          <t>★★★</t>
        </is>
      </c>
      <c r="G1376" s="14" t="n">
        <v>3</v>
      </c>
      <c r="H1376" s="15" t="n">
        <v>3370</v>
      </c>
      <c r="I1376" s="15" t="n">
        <v>3262</v>
      </c>
      <c r="J1376" s="14" t="n">
        <v>10</v>
      </c>
      <c r="K1376" s="14" t="n">
        <v>10000</v>
      </c>
      <c r="L1376" s="25">
        <f>IF(E1376="多",1,-1)*(I1376-H1376)*G1376*J1376</f>
        <v/>
      </c>
      <c r="M1376" s="26">
        <f>L1376/K1376</f>
        <v/>
      </c>
      <c r="N1376" s="14" t="inlineStr">
        <is>
          <t>将军撤退+大将军转向</t>
        </is>
      </c>
      <c r="O1376" s="14" t="inlineStr">
        <is>
          <t>是</t>
        </is>
      </c>
    </row>
    <row r="1377">
      <c r="A1377" s="14" t="inlineStr">
        <is>
          <t>2023-08-21</t>
        </is>
      </c>
      <c r="B1377" s="14" t="inlineStr">
        <is>
          <t>2023-09-04</t>
        </is>
      </c>
      <c r="C1377" s="14" t="inlineStr">
        <is>
          <t>热卷</t>
        </is>
      </c>
      <c r="D1377" s="14" t="inlineStr">
        <is>
          <t>HC</t>
        </is>
      </c>
      <c r="E1377" s="14" t="inlineStr">
        <is>
          <t>空</t>
        </is>
      </c>
      <c r="F1377" s="14" t="inlineStr">
        <is>
          <t>★★</t>
        </is>
      </c>
      <c r="G1377" s="14" t="n">
        <v>5</v>
      </c>
      <c r="H1377" s="15" t="n">
        <v>3817</v>
      </c>
      <c r="I1377" s="15" t="n">
        <v>3945.29</v>
      </c>
      <c r="J1377" s="14" t="n">
        <v>10</v>
      </c>
      <c r="K1377" s="14" t="n">
        <v>10000</v>
      </c>
      <c r="L1377" s="25">
        <f>IF(E1377="多",1,-1)*(I1377-H1377)*G1377*J1377</f>
        <v/>
      </c>
      <c r="M1377" s="26">
        <f>L1377/K1377</f>
        <v/>
      </c>
      <c r="N1377" s="14" t="inlineStr">
        <is>
          <t>止损</t>
        </is>
      </c>
      <c r="O1377" s="14" t="inlineStr">
        <is>
          <t>是</t>
        </is>
      </c>
    </row>
    <row r="1378">
      <c r="A1378" s="2" t="inlineStr">
        <is>
          <t>2023-08-04</t>
        </is>
      </c>
      <c r="B1378" s="2" t="inlineStr">
        <is>
          <t>2023-09-04</t>
        </is>
      </c>
      <c r="C1378" s="2" t="inlineStr">
        <is>
          <t>塑料</t>
        </is>
      </c>
      <c r="D1378" s="2" t="inlineStr">
        <is>
          <t>L</t>
        </is>
      </c>
      <c r="E1378" s="19" t="inlineStr">
        <is>
          <t>多</t>
        </is>
      </c>
      <c r="F1378" s="2" t="inlineStr">
        <is>
          <t>★★★</t>
        </is>
      </c>
      <c r="G1378" s="10" t="n">
        <v>14</v>
      </c>
      <c r="H1378" s="11" t="n">
        <v>8195</v>
      </c>
      <c r="I1378" s="11" t="n">
        <v>8385</v>
      </c>
      <c r="J1378" s="10" t="n">
        <v>5</v>
      </c>
      <c r="K1378" s="10" t="n">
        <v>18700</v>
      </c>
      <c r="L1378" s="23">
        <f>IF(E1378="多",1,-1)*(I1378-H1378)*G1378*J1378</f>
        <v/>
      </c>
      <c r="M1378" s="24">
        <f>L1378/K1378</f>
        <v/>
      </c>
      <c r="N1378" s="2" t="inlineStr">
        <is>
          <t>大将军转向</t>
        </is>
      </c>
      <c r="O1378" s="2" t="inlineStr">
        <is>
          <t>否</t>
        </is>
      </c>
    </row>
    <row r="1379">
      <c r="A1379" s="14" t="inlineStr">
        <is>
          <t>2023-08-31</t>
        </is>
      </c>
      <c r="B1379" s="14" t="inlineStr">
        <is>
          <t>2023-09-01</t>
        </is>
      </c>
      <c r="C1379" s="14" t="inlineStr">
        <is>
          <t>纯碱</t>
        </is>
      </c>
      <c r="D1379" s="14" t="inlineStr">
        <is>
          <t>SA</t>
        </is>
      </c>
      <c r="E1379" s="14" t="inlineStr">
        <is>
          <t>多</t>
        </is>
      </c>
      <c r="F1379" s="14" t="inlineStr">
        <is>
          <t>★★</t>
        </is>
      </c>
      <c r="G1379" s="14" t="n">
        <v>1</v>
      </c>
      <c r="H1379" s="15" t="n">
        <v>1895</v>
      </c>
      <c r="I1379" s="15" t="n">
        <v>2053</v>
      </c>
      <c r="J1379" s="14" t="n">
        <v>20</v>
      </c>
      <c r="K1379" s="14" t="n">
        <v>10000</v>
      </c>
      <c r="L1379" s="25">
        <f>IF(E1379="多",1,-1)*(I1379-H1379)*G1379*J1379</f>
        <v/>
      </c>
      <c r="M1379" s="26">
        <f>L1379/K1379</f>
        <v/>
      </c>
      <c r="N1379" s="14" t="inlineStr">
        <is>
          <t>将军撤退+大将军转向</t>
        </is>
      </c>
      <c r="O1379" s="14" t="inlineStr">
        <is>
          <t>是</t>
        </is>
      </c>
    </row>
    <row r="1380">
      <c r="A1380" s="2" t="inlineStr">
        <is>
          <t>2023-08-30</t>
        </is>
      </c>
      <c r="B1380" s="2" t="inlineStr">
        <is>
          <t>2023-09-01</t>
        </is>
      </c>
      <c r="C1380" s="2" t="inlineStr">
        <is>
          <t>沪银</t>
        </is>
      </c>
      <c r="D1380" s="2" t="inlineStr">
        <is>
          <t>AG</t>
        </is>
      </c>
      <c r="E1380" s="19" t="inlineStr">
        <is>
          <t>多</t>
        </is>
      </c>
      <c r="F1380" s="2" t="inlineStr">
        <is>
          <t>★★★</t>
        </is>
      </c>
      <c r="G1380" s="10" t="n">
        <v>8</v>
      </c>
      <c r="H1380" s="11" t="n">
        <v>5984</v>
      </c>
      <c r="I1380" s="11" t="n">
        <v>5945</v>
      </c>
      <c r="J1380" s="10" t="n">
        <v>15</v>
      </c>
      <c r="K1380" s="10" t="n">
        <v>27100</v>
      </c>
      <c r="L1380" s="23">
        <f>IF(E1380="多",1,-1)*(I1380-H1380)*G1380*J1380</f>
        <v/>
      </c>
      <c r="M1380" s="24">
        <f>L1380/K1380</f>
        <v/>
      </c>
      <c r="N1380" s="2" t="inlineStr">
        <is>
          <t>大将军转向</t>
        </is>
      </c>
      <c r="O1380" s="2" t="inlineStr">
        <is>
          <t>否</t>
        </is>
      </c>
    </row>
    <row r="1381">
      <c r="A1381" s="14" t="inlineStr">
        <is>
          <t>2023-08-25</t>
        </is>
      </c>
      <c r="B1381" s="14" t="inlineStr">
        <is>
          <t>2023-09-01</t>
        </is>
      </c>
      <c r="C1381" s="14" t="inlineStr">
        <is>
          <t>白糖</t>
        </is>
      </c>
      <c r="D1381" s="14" t="inlineStr">
        <is>
          <t>SR</t>
        </is>
      </c>
      <c r="E1381" s="14" t="inlineStr">
        <is>
          <t>多</t>
        </is>
      </c>
      <c r="F1381" s="14" t="inlineStr">
        <is>
          <t>★★★</t>
        </is>
      </c>
      <c r="G1381" s="14" t="n">
        <v>3</v>
      </c>
      <c r="H1381" s="15" t="n">
        <v>6899</v>
      </c>
      <c r="I1381" s="15" t="n">
        <v>7025</v>
      </c>
      <c r="J1381" s="14" t="n">
        <v>10</v>
      </c>
      <c r="K1381" s="14" t="n">
        <v>10000</v>
      </c>
      <c r="L1381" s="25">
        <f>IF(E1381="多",1,-1)*(I1381-H1381)*G1381*J1381</f>
        <v/>
      </c>
      <c r="M1381" s="26">
        <f>L1381/K1381</f>
        <v/>
      </c>
      <c r="N1381" s="14" t="inlineStr">
        <is>
          <t>大将军转向</t>
        </is>
      </c>
      <c r="O1381" s="14" t="inlineStr">
        <is>
          <t>是</t>
        </is>
      </c>
    </row>
    <row r="1382">
      <c r="A1382" s="2" t="inlineStr">
        <is>
          <t>2023-08-23</t>
        </is>
      </c>
      <c r="B1382" s="2" t="inlineStr">
        <is>
          <t>2023-09-01</t>
        </is>
      </c>
      <c r="C1382" s="2" t="inlineStr">
        <is>
          <t>苯乙烯</t>
        </is>
      </c>
      <c r="D1382" s="2" t="inlineStr">
        <is>
          <t>EB</t>
        </is>
      </c>
      <c r="E1382" s="19" t="inlineStr">
        <is>
          <t>多</t>
        </is>
      </c>
      <c r="F1382" s="2" t="inlineStr">
        <is>
          <t>★★★</t>
        </is>
      </c>
      <c r="G1382" s="10" t="n">
        <v>9</v>
      </c>
      <c r="H1382" s="11" t="n">
        <v>8512</v>
      </c>
      <c r="I1382" s="11" t="n">
        <v>8722</v>
      </c>
      <c r="J1382" s="10" t="n">
        <v>5</v>
      </c>
      <c r="K1382" s="10" t="n">
        <v>27900</v>
      </c>
      <c r="L1382" s="23">
        <f>IF(E1382="多",1,-1)*(I1382-H1382)*G1382*J1382</f>
        <v/>
      </c>
      <c r="M1382" s="24">
        <f>L1382/K1382</f>
        <v/>
      </c>
      <c r="N1382" s="2" t="inlineStr">
        <is>
          <t>将军撤退</t>
        </is>
      </c>
      <c r="O1382" s="2" t="inlineStr">
        <is>
          <t>否</t>
        </is>
      </c>
    </row>
    <row r="1383">
      <c r="A1383" s="2" t="inlineStr">
        <is>
          <t>2023-08-29</t>
        </is>
      </c>
      <c r="B1383" s="2" t="inlineStr">
        <is>
          <t>2023-08-30</t>
        </is>
      </c>
      <c r="C1383" s="2" t="inlineStr">
        <is>
          <t>豆粕</t>
        </is>
      </c>
      <c r="D1383" s="2" t="inlineStr">
        <is>
          <t>M</t>
        </is>
      </c>
      <c r="E1383" s="19" t="inlineStr">
        <is>
          <t>多</t>
        </is>
      </c>
      <c r="F1383" s="2" t="inlineStr">
        <is>
          <t>★★★</t>
        </is>
      </c>
      <c r="G1383" s="10" t="n">
        <v>11</v>
      </c>
      <c r="H1383" s="11" t="n">
        <v>4140</v>
      </c>
      <c r="I1383" s="11" t="n">
        <v>4136</v>
      </c>
      <c r="J1383" s="10" t="n">
        <v>10</v>
      </c>
      <c r="K1383" s="10" t="n">
        <v>27100</v>
      </c>
      <c r="L1383" s="23">
        <f>IF(E1383="多",1,-1)*(I1383-H1383)*G1383*J1383</f>
        <v/>
      </c>
      <c r="M1383" s="24">
        <f>L1383/K1383</f>
        <v/>
      </c>
      <c r="N1383" s="2" t="inlineStr">
        <is>
          <t>大将军转向</t>
        </is>
      </c>
      <c r="O1383" s="2" t="inlineStr">
        <is>
          <t>否</t>
        </is>
      </c>
    </row>
    <row r="1384">
      <c r="A1384" s="14" t="inlineStr">
        <is>
          <t>2023-08-28</t>
        </is>
      </c>
      <c r="B1384" s="14" t="inlineStr">
        <is>
          <t>2023-08-29</t>
        </is>
      </c>
      <c r="C1384" s="14" t="inlineStr">
        <is>
          <t>沪锌</t>
        </is>
      </c>
      <c r="D1384" s="14" t="inlineStr">
        <is>
          <t>ZN</t>
        </is>
      </c>
      <c r="E1384" s="14" t="inlineStr">
        <is>
          <t>多</t>
        </is>
      </c>
      <c r="F1384" s="14" t="inlineStr">
        <is>
          <t>★★</t>
        </is>
      </c>
      <c r="G1384" s="14" t="n">
        <v>2</v>
      </c>
      <c r="H1384" s="15" t="n">
        <v>20655</v>
      </c>
      <c r="I1384" s="15" t="n">
        <v>20745</v>
      </c>
      <c r="J1384" s="14" t="n">
        <v>5</v>
      </c>
      <c r="K1384" s="14" t="n">
        <v>10000</v>
      </c>
      <c r="L1384" s="25">
        <f>IF(E1384="多",1,-1)*(I1384-H1384)*G1384*J1384</f>
        <v/>
      </c>
      <c r="M1384" s="26">
        <f>L1384/K1384</f>
        <v/>
      </c>
      <c r="N1384" s="14" t="inlineStr">
        <is>
          <t>将军撤退</t>
        </is>
      </c>
      <c r="O1384" s="14" t="inlineStr">
        <is>
          <t>是</t>
        </is>
      </c>
    </row>
    <row r="1385">
      <c r="A1385" s="14" t="inlineStr">
        <is>
          <t>2023-08-23</t>
        </is>
      </c>
      <c r="B1385" s="14" t="inlineStr">
        <is>
          <t>2023-08-29</t>
        </is>
      </c>
      <c r="C1385" s="14" t="inlineStr">
        <is>
          <t>甲醇</t>
        </is>
      </c>
      <c r="D1385" s="14" t="inlineStr">
        <is>
          <t>MA</t>
        </is>
      </c>
      <c r="E1385" s="14" t="inlineStr">
        <is>
          <t>多</t>
        </is>
      </c>
      <c r="F1385" s="14" t="inlineStr">
        <is>
          <t>★★</t>
        </is>
      </c>
      <c r="G1385" s="14" t="n">
        <v>5</v>
      </c>
      <c r="H1385" s="15" t="n">
        <v>2508</v>
      </c>
      <c r="I1385" s="15" t="n">
        <v>2512</v>
      </c>
      <c r="J1385" s="14" t="n">
        <v>10</v>
      </c>
      <c r="K1385" s="14" t="n">
        <v>10000</v>
      </c>
      <c r="L1385" s="25">
        <f>IF(E1385="多",1,-1)*(I1385-H1385)*G1385*J1385</f>
        <v/>
      </c>
      <c r="M1385" s="26">
        <f>L1385/K1385</f>
        <v/>
      </c>
      <c r="N1385" s="14" t="inlineStr">
        <is>
          <t>大将军转向</t>
        </is>
      </c>
      <c r="O1385" s="14" t="inlineStr">
        <is>
          <t>是</t>
        </is>
      </c>
    </row>
    <row r="1386">
      <c r="A1386" s="14" t="inlineStr">
        <is>
          <t>2023-08-15</t>
        </is>
      </c>
      <c r="B1386" s="14" t="inlineStr">
        <is>
          <t>2023-08-29</t>
        </is>
      </c>
      <c r="C1386" s="14" t="inlineStr">
        <is>
          <t>尿素</t>
        </is>
      </c>
      <c r="D1386" s="14" t="inlineStr">
        <is>
          <t>UR</t>
        </is>
      </c>
      <c r="E1386" s="14" t="inlineStr">
        <is>
          <t>多</t>
        </is>
      </c>
      <c r="F1386" s="14" t="inlineStr">
        <is>
          <t>★★</t>
        </is>
      </c>
      <c r="G1386" s="14" t="n">
        <v>2</v>
      </c>
      <c r="H1386" s="15" t="n">
        <v>2137</v>
      </c>
      <c r="I1386" s="15" t="n">
        <v>2145</v>
      </c>
      <c r="J1386" s="14" t="n">
        <v>20</v>
      </c>
      <c r="K1386" s="14" t="n">
        <v>10000</v>
      </c>
      <c r="L1386" s="25">
        <f>IF(E1386="多",1,-1)*(I1386-H1386)*G1386*J1386</f>
        <v/>
      </c>
      <c r="M1386" s="26">
        <f>L1386/K1386</f>
        <v/>
      </c>
      <c r="N1386" s="14" t="inlineStr">
        <is>
          <t>大将军转向</t>
        </is>
      </c>
      <c r="O1386" s="14" t="inlineStr">
        <is>
          <t>是</t>
        </is>
      </c>
    </row>
    <row r="1387">
      <c r="A1387" s="2" t="inlineStr">
        <is>
          <t>2023-08-25</t>
        </is>
      </c>
      <c r="B1387" s="2" t="inlineStr">
        <is>
          <t>2023-08-28</t>
        </is>
      </c>
      <c r="C1387" s="2" t="inlineStr">
        <is>
          <t>菜粕</t>
        </is>
      </c>
      <c r="D1387" s="2" t="inlineStr">
        <is>
          <t>RM</t>
        </is>
      </c>
      <c r="E1387" s="19" t="inlineStr">
        <is>
          <t>多</t>
        </is>
      </c>
      <c r="F1387" s="2" t="inlineStr">
        <is>
          <t>★★★</t>
        </is>
      </c>
      <c r="G1387" s="10" t="n">
        <v>8</v>
      </c>
      <c r="H1387" s="11" t="n">
        <v>3390</v>
      </c>
      <c r="I1387" s="11" t="n">
        <v>3392</v>
      </c>
      <c r="J1387" s="10" t="n">
        <v>10</v>
      </c>
      <c r="K1387" s="10" t="n">
        <v>27100</v>
      </c>
      <c r="L1387" s="23">
        <f>IF(E1387="多",1,-1)*(I1387-H1387)*G1387*J1387</f>
        <v/>
      </c>
      <c r="M1387" s="24">
        <f>L1387/K1387</f>
        <v/>
      </c>
      <c r="N1387" s="2" t="inlineStr">
        <is>
          <t>将军撤退</t>
        </is>
      </c>
      <c r="O1387" s="2" t="inlineStr">
        <is>
          <t>否</t>
        </is>
      </c>
    </row>
    <row r="1388">
      <c r="A1388" s="14" t="inlineStr">
        <is>
          <t>2023-08-24</t>
        </is>
      </c>
      <c r="B1388" s="14" t="inlineStr">
        <is>
          <t>2023-08-25</t>
        </is>
      </c>
      <c r="C1388" s="14" t="inlineStr">
        <is>
          <t>沪银</t>
        </is>
      </c>
      <c r="D1388" s="14" t="inlineStr">
        <is>
          <t>AG</t>
        </is>
      </c>
      <c r="E1388" s="14" t="inlineStr">
        <is>
          <t>多</t>
        </is>
      </c>
      <c r="F1388" s="14" t="inlineStr">
        <is>
          <t>★★</t>
        </is>
      </c>
      <c r="G1388" s="14" t="n">
        <v>2</v>
      </c>
      <c r="H1388" s="15" t="n">
        <v>5858</v>
      </c>
      <c r="I1388" s="15" t="n">
        <v>5837</v>
      </c>
      <c r="J1388" s="14" t="n">
        <v>15</v>
      </c>
      <c r="K1388" s="14" t="n">
        <v>10000</v>
      </c>
      <c r="L1388" s="25">
        <f>IF(E1388="多",1,-1)*(I1388-H1388)*G1388*J1388</f>
        <v/>
      </c>
      <c r="M1388" s="26">
        <f>L1388/K1388</f>
        <v/>
      </c>
      <c r="N1388" s="14" t="inlineStr">
        <is>
          <t>将军撤退</t>
        </is>
      </c>
      <c r="O1388" s="14" t="inlineStr">
        <is>
          <t>是</t>
        </is>
      </c>
    </row>
    <row r="1389">
      <c r="A1389" s="14" t="inlineStr">
        <is>
          <t>2023-08-18</t>
        </is>
      </c>
      <c r="B1389" s="14" t="inlineStr">
        <is>
          <t>2023-08-25</t>
        </is>
      </c>
      <c r="C1389" s="14" t="inlineStr">
        <is>
          <t>纯碱</t>
        </is>
      </c>
      <c r="D1389" s="14" t="inlineStr">
        <is>
          <t>SA</t>
        </is>
      </c>
      <c r="E1389" s="14" t="inlineStr">
        <is>
          <t>多</t>
        </is>
      </c>
      <c r="F1389" s="14" t="inlineStr">
        <is>
          <t>★★</t>
        </is>
      </c>
      <c r="G1389" s="14" t="n">
        <v>2</v>
      </c>
      <c r="H1389" s="15" t="n">
        <v>1702</v>
      </c>
      <c r="I1389" s="15" t="n">
        <v>1980</v>
      </c>
      <c r="J1389" s="14" t="n">
        <v>20</v>
      </c>
      <c r="K1389" s="14" t="n">
        <v>10000</v>
      </c>
      <c r="L1389" s="25">
        <f>IF(E1389="多",1,-1)*(I1389-H1389)*G1389*J1389</f>
        <v/>
      </c>
      <c r="M1389" s="26">
        <f>L1389/K1389</f>
        <v/>
      </c>
      <c r="N1389" s="14" t="inlineStr">
        <is>
          <t>将军撤退</t>
        </is>
      </c>
      <c r="O1389" s="14" t="inlineStr">
        <is>
          <t>是</t>
        </is>
      </c>
    </row>
    <row r="1390">
      <c r="A1390" s="14" t="inlineStr">
        <is>
          <t>2023-08-23</t>
        </is>
      </c>
      <c r="B1390" s="14" t="inlineStr">
        <is>
          <t>2023-08-24</t>
        </is>
      </c>
      <c r="C1390" s="14" t="inlineStr">
        <is>
          <t>沪锌</t>
        </is>
      </c>
      <c r="D1390" s="14" t="inlineStr">
        <is>
          <t>ZN</t>
        </is>
      </c>
      <c r="E1390" s="14" t="inlineStr">
        <is>
          <t>多</t>
        </is>
      </c>
      <c r="F1390" s="14" t="inlineStr">
        <is>
          <t>★★</t>
        </is>
      </c>
      <c r="G1390" s="14" t="n">
        <v>2</v>
      </c>
      <c r="H1390" s="15" t="n">
        <v>20250</v>
      </c>
      <c r="I1390" s="15" t="n">
        <v>20410</v>
      </c>
      <c r="J1390" s="14" t="n">
        <v>5</v>
      </c>
      <c r="K1390" s="14" t="n">
        <v>10000</v>
      </c>
      <c r="L1390" s="25">
        <f>IF(E1390="多",1,-1)*(I1390-H1390)*G1390*J1390</f>
        <v/>
      </c>
      <c r="M1390" s="26">
        <f>L1390/K1390</f>
        <v/>
      </c>
      <c r="N1390" s="14" t="inlineStr">
        <is>
          <t>将军撤退</t>
        </is>
      </c>
      <c r="O1390" s="14" t="inlineStr">
        <is>
          <t>是</t>
        </is>
      </c>
    </row>
    <row r="1391">
      <c r="A1391" s="2" t="inlineStr">
        <is>
          <t>2023-08-17</t>
        </is>
      </c>
      <c r="B1391" s="2" t="inlineStr">
        <is>
          <t>2023-08-22</t>
        </is>
      </c>
      <c r="C1391" s="2" t="inlineStr">
        <is>
          <t>菜粕</t>
        </is>
      </c>
      <c r="D1391" s="2" t="inlineStr">
        <is>
          <t>RM</t>
        </is>
      </c>
      <c r="E1391" s="19" t="inlineStr">
        <is>
          <t>多</t>
        </is>
      </c>
      <c r="F1391" s="2" t="inlineStr">
        <is>
          <t>★★★</t>
        </is>
      </c>
      <c r="G1391" s="10" t="n">
        <v>8</v>
      </c>
      <c r="H1391" s="11" t="n">
        <v>3311</v>
      </c>
      <c r="I1391" s="11" t="n">
        <v>3332</v>
      </c>
      <c r="J1391" s="10" t="n">
        <v>10</v>
      </c>
      <c r="K1391" s="10" t="n">
        <v>25500</v>
      </c>
      <c r="L1391" s="23">
        <f>IF(E1391="多",1,-1)*(I1391-H1391)*G1391*J1391</f>
        <v/>
      </c>
      <c r="M1391" s="24">
        <f>L1391/K1391</f>
        <v/>
      </c>
      <c r="N1391" s="2" t="inlineStr">
        <is>
          <t>将军撤退</t>
        </is>
      </c>
      <c r="O1391" s="2" t="inlineStr">
        <is>
          <t>否</t>
        </is>
      </c>
    </row>
    <row r="1392">
      <c r="A1392" s="2" t="inlineStr">
        <is>
          <t>2023-08-17</t>
        </is>
      </c>
      <c r="B1392" s="2" t="inlineStr">
        <is>
          <t>2023-08-21</t>
        </is>
      </c>
      <c r="C1392" s="2" t="inlineStr">
        <is>
          <t>燃料油</t>
        </is>
      </c>
      <c r="D1392" s="2" t="inlineStr">
        <is>
          <t>FU</t>
        </is>
      </c>
      <c r="E1392" s="19" t="inlineStr">
        <is>
          <t>多</t>
        </is>
      </c>
      <c r="F1392" s="2" t="inlineStr">
        <is>
          <t>★★★</t>
        </is>
      </c>
      <c r="G1392" s="10" t="n">
        <v>9</v>
      </c>
      <c r="H1392" s="11" t="n">
        <v>3504</v>
      </c>
      <c r="I1392" s="11" t="n">
        <v>3634</v>
      </c>
      <c r="J1392" s="10" t="n">
        <v>10</v>
      </c>
      <c r="K1392" s="10" t="n">
        <v>25500</v>
      </c>
      <c r="L1392" s="23">
        <f>IF(E1392="多",1,-1)*(I1392-H1392)*G1392*J1392</f>
        <v/>
      </c>
      <c r="M1392" s="24">
        <f>L1392/K1392</f>
        <v/>
      </c>
      <c r="N1392" s="2" t="inlineStr">
        <is>
          <t>大将军转向</t>
        </is>
      </c>
      <c r="O1392" s="2" t="inlineStr">
        <is>
          <t>否</t>
        </is>
      </c>
    </row>
    <row r="1393">
      <c r="A1393" s="14" t="inlineStr">
        <is>
          <t>2023-08-17</t>
        </is>
      </c>
      <c r="B1393" s="14" t="inlineStr">
        <is>
          <t>2023-08-21</t>
        </is>
      </c>
      <c r="C1393" s="14" t="inlineStr">
        <is>
          <t>玉米</t>
        </is>
      </c>
      <c r="D1393" s="14" t="inlineStr">
        <is>
          <t>C</t>
        </is>
      </c>
      <c r="E1393" s="14" t="inlineStr">
        <is>
          <t>空</t>
        </is>
      </c>
      <c r="F1393" s="14" t="inlineStr">
        <is>
          <t>★★</t>
        </is>
      </c>
      <c r="G1393" s="14" t="n">
        <v>9</v>
      </c>
      <c r="H1393" s="15" t="n">
        <v>2625</v>
      </c>
      <c r="I1393" s="15" t="n">
        <v>2653</v>
      </c>
      <c r="J1393" s="14" t="n">
        <v>10</v>
      </c>
      <c r="K1393" s="14" t="n">
        <v>10000</v>
      </c>
      <c r="L1393" s="25">
        <f>IF(E1393="多",1,-1)*(I1393-H1393)*G1393*J1393</f>
        <v/>
      </c>
      <c r="M1393" s="26">
        <f>L1393/K1393</f>
        <v/>
      </c>
      <c r="N1393" s="14" t="inlineStr">
        <is>
          <t>将军撤退</t>
        </is>
      </c>
      <c r="O1393" s="14" t="inlineStr">
        <is>
          <t>是</t>
        </is>
      </c>
    </row>
    <row r="1394">
      <c r="A1394" s="14" t="inlineStr">
        <is>
          <t>2023-08-14</t>
        </is>
      </c>
      <c r="B1394" s="14" t="inlineStr">
        <is>
          <t>2023-08-21</t>
        </is>
      </c>
      <c r="C1394" s="14" t="inlineStr">
        <is>
          <t>豆粕</t>
        </is>
      </c>
      <c r="D1394" s="14" t="inlineStr">
        <is>
          <t>M</t>
        </is>
      </c>
      <c r="E1394" s="14" t="inlineStr">
        <is>
          <t>多</t>
        </is>
      </c>
      <c r="F1394" s="14" t="inlineStr">
        <is>
          <t>★★★</t>
        </is>
      </c>
      <c r="G1394" s="14" t="n">
        <v>4</v>
      </c>
      <c r="H1394" s="15" t="n">
        <v>3890</v>
      </c>
      <c r="I1394" s="15" t="n">
        <v>4088</v>
      </c>
      <c r="J1394" s="14" t="n">
        <v>10</v>
      </c>
      <c r="K1394" s="14" t="n">
        <v>10000</v>
      </c>
      <c r="L1394" s="25">
        <f>IF(E1394="多",1,-1)*(I1394-H1394)*G1394*J1394</f>
        <v/>
      </c>
      <c r="M1394" s="26">
        <f>L1394/K1394</f>
        <v/>
      </c>
      <c r="N1394" s="14" t="inlineStr">
        <is>
          <t>将军撤退+大将军转向</t>
        </is>
      </c>
      <c r="O1394" s="14" t="inlineStr">
        <is>
          <t>是</t>
        </is>
      </c>
    </row>
    <row r="1395">
      <c r="A1395" s="14" t="inlineStr">
        <is>
          <t>2023-08-07</t>
        </is>
      </c>
      <c r="B1395" s="14" t="inlineStr">
        <is>
          <t>2023-08-21</t>
        </is>
      </c>
      <c r="C1395" s="14" t="inlineStr">
        <is>
          <t>甲醇</t>
        </is>
      </c>
      <c r="D1395" s="14" t="inlineStr">
        <is>
          <t>MA</t>
        </is>
      </c>
      <c r="E1395" s="14" t="inlineStr">
        <is>
          <t>空</t>
        </is>
      </c>
      <c r="F1395" s="14" t="inlineStr">
        <is>
          <t>★★</t>
        </is>
      </c>
      <c r="G1395" s="14" t="n">
        <v>6</v>
      </c>
      <c r="H1395" s="15" t="n">
        <v>2392</v>
      </c>
      <c r="I1395" s="15" t="n">
        <v>2504.5</v>
      </c>
      <c r="J1395" s="14" t="n">
        <v>10</v>
      </c>
      <c r="K1395" s="14" t="n">
        <v>10000</v>
      </c>
      <c r="L1395" s="25">
        <f>IF(E1395="多",1,-1)*(I1395-H1395)*G1395*J1395</f>
        <v/>
      </c>
      <c r="M1395" s="26">
        <f>L1395/K1395</f>
        <v/>
      </c>
      <c r="N1395" s="14" t="inlineStr">
        <is>
          <t>止损</t>
        </is>
      </c>
      <c r="O1395" s="14" t="inlineStr">
        <is>
          <t>是</t>
        </is>
      </c>
    </row>
    <row r="1396">
      <c r="A1396" s="2" t="inlineStr">
        <is>
          <t>2023-08-17</t>
        </is>
      </c>
      <c r="B1396" s="2" t="inlineStr">
        <is>
          <t>2023-08-18</t>
        </is>
      </c>
      <c r="C1396" s="2" t="inlineStr">
        <is>
          <t>苯乙烯</t>
        </is>
      </c>
      <c r="D1396" s="2" t="inlineStr">
        <is>
          <t>EB</t>
        </is>
      </c>
      <c r="E1396" s="19" t="inlineStr">
        <is>
          <t>多</t>
        </is>
      </c>
      <c r="F1396" s="2" t="inlineStr">
        <is>
          <t>★★★</t>
        </is>
      </c>
      <c r="G1396" s="10" t="n">
        <v>1</v>
      </c>
      <c r="H1396" s="11" t="n">
        <v>8266</v>
      </c>
      <c r="I1396" s="11" t="n">
        <v>8363</v>
      </c>
      <c r="J1396" s="10" t="n">
        <v>5</v>
      </c>
      <c r="K1396" s="10" t="n">
        <v>4000</v>
      </c>
      <c r="L1396" s="23">
        <f>IF(E1396="多",1,-1)*(I1396-H1396)*G1396*J1396</f>
        <v/>
      </c>
      <c r="M1396" s="24">
        <f>L1396/K1396</f>
        <v/>
      </c>
      <c r="N1396" s="2" t="inlineStr">
        <is>
          <t>大将军转向</t>
        </is>
      </c>
      <c r="O1396" s="2" t="inlineStr">
        <is>
          <t>否</t>
        </is>
      </c>
    </row>
    <row r="1397">
      <c r="A1397" s="14" t="inlineStr">
        <is>
          <t>2023-08-14</t>
        </is>
      </c>
      <c r="B1397" s="14" t="inlineStr">
        <is>
          <t>2023-08-16</t>
        </is>
      </c>
      <c r="C1397" s="14" t="inlineStr">
        <is>
          <t>玉米</t>
        </is>
      </c>
      <c r="D1397" s="14" t="inlineStr">
        <is>
          <t>C</t>
        </is>
      </c>
      <c r="E1397" s="14" t="inlineStr">
        <is>
          <t>空</t>
        </is>
      </c>
      <c r="F1397" s="14" t="inlineStr">
        <is>
          <t>★★</t>
        </is>
      </c>
      <c r="G1397" s="14" t="n">
        <v>9</v>
      </c>
      <c r="H1397" s="15" t="n">
        <v>2701</v>
      </c>
      <c r="I1397" s="15" t="n">
        <v>2637</v>
      </c>
      <c r="J1397" s="14" t="n">
        <v>10</v>
      </c>
      <c r="K1397" s="14" t="n">
        <v>10000</v>
      </c>
      <c r="L1397" s="25">
        <f>IF(E1397="多",1,-1)*(I1397-H1397)*G1397*J1397</f>
        <v/>
      </c>
      <c r="M1397" s="26">
        <f>L1397/K1397</f>
        <v/>
      </c>
      <c r="N1397" s="14" t="inlineStr">
        <is>
          <t>将军撤退</t>
        </is>
      </c>
      <c r="O1397" s="14" t="inlineStr">
        <is>
          <t>是</t>
        </is>
      </c>
    </row>
    <row r="1398">
      <c r="A1398" s="2" t="inlineStr">
        <is>
          <t>2023-08-11</t>
        </is>
      </c>
      <c r="B1398" s="2" t="inlineStr">
        <is>
          <t>2023-08-16</t>
        </is>
      </c>
      <c r="C1398" s="2" t="inlineStr">
        <is>
          <t>燃料油</t>
        </is>
      </c>
      <c r="D1398" s="2" t="inlineStr">
        <is>
          <t>FU</t>
        </is>
      </c>
      <c r="E1398" s="19" t="inlineStr">
        <is>
          <t>多</t>
        </is>
      </c>
      <c r="F1398" s="2" t="inlineStr">
        <is>
          <t>★★★</t>
        </is>
      </c>
      <c r="G1398" s="10" t="n">
        <v>11</v>
      </c>
      <c r="H1398" s="11" t="n">
        <v>3531</v>
      </c>
      <c r="I1398" s="11" t="n">
        <v>3413</v>
      </c>
      <c r="J1398" s="10" t="n">
        <v>10</v>
      </c>
      <c r="K1398" s="10" t="n">
        <v>27800</v>
      </c>
      <c r="L1398" s="23">
        <f>IF(E1398="多",1,-1)*(I1398-H1398)*G1398*J1398</f>
        <v/>
      </c>
      <c r="M1398" s="24">
        <f>L1398/K1398</f>
        <v/>
      </c>
      <c r="N1398" s="2" t="inlineStr">
        <is>
          <t>将军撤退+大将军转向</t>
        </is>
      </c>
      <c r="O1398" s="2" t="inlineStr">
        <is>
          <t>否</t>
        </is>
      </c>
    </row>
    <row r="1399">
      <c r="A1399" s="14" t="inlineStr">
        <is>
          <t>2023-08-09</t>
        </is>
      </c>
      <c r="B1399" s="14" t="inlineStr">
        <is>
          <t>2023-08-16</t>
        </is>
      </c>
      <c r="C1399" s="14" t="inlineStr">
        <is>
          <t>热卷</t>
        </is>
      </c>
      <c r="D1399" s="14" t="inlineStr">
        <is>
          <t>HC</t>
        </is>
      </c>
      <c r="E1399" s="14" t="inlineStr">
        <is>
          <t>空</t>
        </is>
      </c>
      <c r="F1399" s="14" t="inlineStr">
        <is>
          <t>★★★</t>
        </is>
      </c>
      <c r="G1399" s="14" t="n">
        <v>5</v>
      </c>
      <c r="H1399" s="15" t="n">
        <v>3960</v>
      </c>
      <c r="I1399" s="15" t="n">
        <v>3926</v>
      </c>
      <c r="J1399" s="14" t="n">
        <v>10</v>
      </c>
      <c r="K1399" s="14" t="n">
        <v>10000</v>
      </c>
      <c r="L1399" s="25">
        <f>IF(E1399="多",1,-1)*(I1399-H1399)*G1399*J1399</f>
        <v/>
      </c>
      <c r="M1399" s="26">
        <f>L1399/K1399</f>
        <v/>
      </c>
      <c r="N1399" s="14" t="inlineStr">
        <is>
          <t>大将军转向</t>
        </is>
      </c>
      <c r="O1399" s="14" t="inlineStr">
        <is>
          <t>是</t>
        </is>
      </c>
    </row>
    <row r="1400">
      <c r="A1400" s="2" t="inlineStr">
        <is>
          <t>2023-08-02</t>
        </is>
      </c>
      <c r="B1400" s="2" t="inlineStr">
        <is>
          <t>2023-08-16</t>
        </is>
      </c>
      <c r="C1400" s="2" t="inlineStr">
        <is>
          <t>纸浆</t>
        </is>
      </c>
      <c r="D1400" s="2" t="inlineStr">
        <is>
          <t>SP</t>
        </is>
      </c>
      <c r="E1400" s="19" t="inlineStr">
        <is>
          <t>多</t>
        </is>
      </c>
      <c r="F1400" s="2" t="inlineStr">
        <is>
          <t>★★★</t>
        </is>
      </c>
      <c r="G1400" s="10" t="n">
        <v>8</v>
      </c>
      <c r="H1400" s="11" t="n">
        <v>5726</v>
      </c>
      <c r="I1400" s="11" t="n">
        <v>5435.71</v>
      </c>
      <c r="J1400" s="10" t="n">
        <v>10</v>
      </c>
      <c r="K1400" s="10" t="n">
        <v>26800</v>
      </c>
      <c r="L1400" s="23">
        <f>IF(E1400="多",1,-1)*(I1400-H1400)*G1400*J1400</f>
        <v/>
      </c>
      <c r="M1400" s="24">
        <f>L1400/K1400</f>
        <v/>
      </c>
      <c r="N1400" s="2" t="inlineStr">
        <is>
          <t>止损</t>
        </is>
      </c>
      <c r="O1400" s="2" t="inlineStr">
        <is>
          <t>否</t>
        </is>
      </c>
    </row>
    <row r="1401">
      <c r="A1401" s="14" t="inlineStr">
        <is>
          <t>2023-08-11</t>
        </is>
      </c>
      <c r="B1401" s="14" t="inlineStr">
        <is>
          <t>2023-08-15</t>
        </is>
      </c>
      <c r="C1401" s="14" t="inlineStr">
        <is>
          <t>棉花</t>
        </is>
      </c>
      <c r="D1401" s="14" t="inlineStr">
        <is>
          <t>CF</t>
        </is>
      </c>
      <c r="E1401" s="14" t="inlineStr">
        <is>
          <t>多</t>
        </is>
      </c>
      <c r="F1401" s="14" t="inlineStr">
        <is>
          <t>★★</t>
        </is>
      </c>
      <c r="G1401" s="14" t="n">
        <v>2</v>
      </c>
      <c r="H1401" s="15" t="n">
        <v>17230</v>
      </c>
      <c r="I1401" s="15" t="n">
        <v>17165</v>
      </c>
      <c r="J1401" s="14" t="n">
        <v>5</v>
      </c>
      <c r="K1401" s="14" t="n">
        <v>10000</v>
      </c>
      <c r="L1401" s="25">
        <f>IF(E1401="多",1,-1)*(I1401-H1401)*G1401*J1401</f>
        <v/>
      </c>
      <c r="M1401" s="26">
        <f>L1401/K1401</f>
        <v/>
      </c>
      <c r="N1401" s="14" t="inlineStr">
        <is>
          <t>将军撤退</t>
        </is>
      </c>
      <c r="O1401" s="14" t="inlineStr">
        <is>
          <t>是</t>
        </is>
      </c>
    </row>
    <row r="1402">
      <c r="A1402" s="14" t="inlineStr">
        <is>
          <t>2023-08-03</t>
        </is>
      </c>
      <c r="B1402" s="14" t="inlineStr">
        <is>
          <t>2023-08-14</t>
        </is>
      </c>
      <c r="C1402" s="14" t="inlineStr">
        <is>
          <t>沪锌</t>
        </is>
      </c>
      <c r="D1402" s="14" t="inlineStr">
        <is>
          <t>ZN</t>
        </is>
      </c>
      <c r="E1402" s="14" t="inlineStr">
        <is>
          <t>空</t>
        </is>
      </c>
      <c r="F1402" s="14" t="inlineStr">
        <is>
          <t>★★</t>
        </is>
      </c>
      <c r="G1402" s="14" t="n">
        <v>2</v>
      </c>
      <c r="H1402" s="15" t="n">
        <v>20785</v>
      </c>
      <c r="I1402" s="15" t="n">
        <v>20330</v>
      </c>
      <c r="J1402" s="14" t="n">
        <v>5</v>
      </c>
      <c r="K1402" s="14" t="n">
        <v>10000</v>
      </c>
      <c r="L1402" s="25">
        <f>IF(E1402="多",1,-1)*(I1402-H1402)*G1402*J1402</f>
        <v/>
      </c>
      <c r="M1402" s="26">
        <f>L1402/K1402</f>
        <v/>
      </c>
      <c r="N1402" s="14" t="inlineStr">
        <is>
          <t>将军撤退</t>
        </is>
      </c>
      <c r="O1402" s="14" t="inlineStr">
        <is>
          <t>是</t>
        </is>
      </c>
    </row>
    <row r="1403">
      <c r="A1403" s="14" t="inlineStr">
        <is>
          <t>2023-08-10</t>
        </is>
      </c>
      <c r="B1403" s="14" t="inlineStr">
        <is>
          <t>2023-08-11</t>
        </is>
      </c>
      <c r="C1403" s="14" t="inlineStr">
        <is>
          <t>玉米</t>
        </is>
      </c>
      <c r="D1403" s="14" t="inlineStr">
        <is>
          <t>C</t>
        </is>
      </c>
      <c r="E1403" s="14" t="inlineStr">
        <is>
          <t>多</t>
        </is>
      </c>
      <c r="F1403" s="14" t="inlineStr">
        <is>
          <t>★★</t>
        </is>
      </c>
      <c r="G1403" s="14" t="n">
        <v>11</v>
      </c>
      <c r="H1403" s="15" t="n">
        <v>2744</v>
      </c>
      <c r="I1403" s="15" t="n">
        <v>2713</v>
      </c>
      <c r="J1403" s="14" t="n">
        <v>10</v>
      </c>
      <c r="K1403" s="14" t="n">
        <v>10000</v>
      </c>
      <c r="L1403" s="25">
        <f>IF(E1403="多",1,-1)*(I1403-H1403)*G1403*J1403</f>
        <v/>
      </c>
      <c r="M1403" s="26">
        <f>L1403/K1403</f>
        <v/>
      </c>
      <c r="N1403" s="14" t="inlineStr">
        <is>
          <t>将军撤退</t>
        </is>
      </c>
      <c r="O1403" s="14" t="inlineStr">
        <is>
          <t>是</t>
        </is>
      </c>
    </row>
    <row r="1404">
      <c r="A1404" s="2" t="inlineStr">
        <is>
          <t>2023-08-04</t>
        </is>
      </c>
      <c r="B1404" s="2" t="inlineStr">
        <is>
          <t>2023-08-11</t>
        </is>
      </c>
      <c r="C1404" s="2" t="inlineStr">
        <is>
          <t>苯乙烯</t>
        </is>
      </c>
      <c r="D1404" s="2" t="inlineStr">
        <is>
          <t>EB</t>
        </is>
      </c>
      <c r="E1404" s="19" t="inlineStr">
        <is>
          <t>多</t>
        </is>
      </c>
      <c r="F1404" s="2" t="inlineStr">
        <is>
          <t>★★★</t>
        </is>
      </c>
      <c r="G1404" s="10" t="n">
        <v>9</v>
      </c>
      <c r="H1404" s="11" t="n">
        <v>8376</v>
      </c>
      <c r="I1404" s="11" t="n">
        <v>8442</v>
      </c>
      <c r="J1404" s="10" t="n">
        <v>5</v>
      </c>
      <c r="K1404" s="10" t="n">
        <v>28200</v>
      </c>
      <c r="L1404" s="23">
        <f>IF(E1404="多",1,-1)*(I1404-H1404)*G1404*J1404</f>
        <v/>
      </c>
      <c r="M1404" s="24">
        <f>L1404/K1404</f>
        <v/>
      </c>
      <c r="N1404" s="2" t="inlineStr">
        <is>
          <t>大将军转向</t>
        </is>
      </c>
      <c r="O1404" s="2" t="inlineStr">
        <is>
          <t>否</t>
        </is>
      </c>
    </row>
    <row r="1405">
      <c r="A1405" s="14" t="inlineStr">
        <is>
          <t>2023-08-03</t>
        </is>
      </c>
      <c r="B1405" s="14" t="inlineStr">
        <is>
          <t>2023-08-09</t>
        </is>
      </c>
      <c r="C1405" s="14" t="inlineStr">
        <is>
          <t>菜粕</t>
        </is>
      </c>
      <c r="D1405" s="14" t="inlineStr">
        <is>
          <t>RM</t>
        </is>
      </c>
      <c r="E1405" s="14" t="inlineStr">
        <is>
          <t>多</t>
        </is>
      </c>
      <c r="F1405" s="14" t="inlineStr">
        <is>
          <t>★★</t>
        </is>
      </c>
      <c r="G1405" s="14" t="n">
        <v>3</v>
      </c>
      <c r="H1405" s="15" t="n">
        <v>3490</v>
      </c>
      <c r="I1405" s="15" t="n">
        <v>3504</v>
      </c>
      <c r="J1405" s="14" t="n">
        <v>10</v>
      </c>
      <c r="K1405" s="14" t="n">
        <v>10000</v>
      </c>
      <c r="L1405" s="25">
        <f>IF(E1405="多",1,-1)*(I1405-H1405)*G1405*J1405</f>
        <v/>
      </c>
      <c r="M1405" s="26">
        <f>L1405/K1405</f>
        <v/>
      </c>
      <c r="N1405" s="14" t="inlineStr">
        <is>
          <t>将军撤退</t>
        </is>
      </c>
      <c r="O1405" s="14" t="inlineStr">
        <is>
          <t>是</t>
        </is>
      </c>
    </row>
    <row r="1406">
      <c r="A1406" s="14" t="inlineStr">
        <is>
          <t>2023-07-17</t>
        </is>
      </c>
      <c r="B1406" s="14" t="inlineStr">
        <is>
          <t>2023-08-08</t>
        </is>
      </c>
      <c r="C1406" s="14" t="inlineStr">
        <is>
          <t>棕榈油</t>
        </is>
      </c>
      <c r="D1406" s="14" t="inlineStr">
        <is>
          <t>P</t>
        </is>
      </c>
      <c r="E1406" s="14" t="inlineStr">
        <is>
          <t>多</t>
        </is>
      </c>
      <c r="F1406" s="14" t="inlineStr">
        <is>
          <t>★★★</t>
        </is>
      </c>
      <c r="G1406" s="14" t="n">
        <v>1</v>
      </c>
      <c r="H1406" s="15" t="n">
        <v>7584</v>
      </c>
      <c r="I1406" s="15" t="n">
        <v>7316.29</v>
      </c>
      <c r="J1406" s="14" t="n">
        <v>10</v>
      </c>
      <c r="K1406" s="14" t="n">
        <v>10000</v>
      </c>
      <c r="L1406" s="25">
        <f>IF(E1406="多",1,-1)*(I1406-H1406)*G1406*J1406</f>
        <v/>
      </c>
      <c r="M1406" s="26">
        <f>L1406/K1406</f>
        <v/>
      </c>
      <c r="N1406" s="14" t="inlineStr">
        <is>
          <t>止损</t>
        </is>
      </c>
      <c r="O1406" s="14" t="inlineStr">
        <is>
          <t>是</t>
        </is>
      </c>
    </row>
    <row r="1407">
      <c r="A1407" s="14" t="inlineStr">
        <is>
          <t>2023-08-04</t>
        </is>
      </c>
      <c r="B1407" s="14" t="inlineStr">
        <is>
          <t>2023-08-07</t>
        </is>
      </c>
      <c r="C1407" s="14" t="inlineStr">
        <is>
          <t>玉米</t>
        </is>
      </c>
      <c r="D1407" s="14" t="inlineStr">
        <is>
          <t>C</t>
        </is>
      </c>
      <c r="E1407" s="14" t="inlineStr">
        <is>
          <t>多</t>
        </is>
      </c>
      <c r="F1407" s="14" t="inlineStr">
        <is>
          <t>★★</t>
        </is>
      </c>
      <c r="G1407" s="14" t="n">
        <v>10</v>
      </c>
      <c r="H1407" s="15" t="n">
        <v>2767</v>
      </c>
      <c r="I1407" s="15" t="n">
        <v>2767</v>
      </c>
      <c r="J1407" s="14" t="n">
        <v>10</v>
      </c>
      <c r="K1407" s="14" t="n">
        <v>10000</v>
      </c>
      <c r="L1407" s="25">
        <f>IF(E1407="多",1,-1)*(I1407-H1407)*G1407*J1407</f>
        <v/>
      </c>
      <c r="M1407" s="26">
        <f>L1407/K1407</f>
        <v/>
      </c>
      <c r="N1407" s="14" t="inlineStr">
        <is>
          <t>将军撤退+大将军转向</t>
        </is>
      </c>
      <c r="O1407" s="14" t="inlineStr">
        <is>
          <t>是</t>
        </is>
      </c>
    </row>
    <row r="1408">
      <c r="A1408" s="14" t="inlineStr">
        <is>
          <t>2023-08-01</t>
        </is>
      </c>
      <c r="B1408" s="14" t="inlineStr">
        <is>
          <t>2023-08-04</t>
        </is>
      </c>
      <c r="C1408" s="14" t="inlineStr">
        <is>
          <t>玉米</t>
        </is>
      </c>
      <c r="D1408" s="14" t="inlineStr">
        <is>
          <t>C</t>
        </is>
      </c>
      <c r="E1408" s="14" t="inlineStr">
        <is>
          <t>空</t>
        </is>
      </c>
      <c r="F1408" s="14" t="inlineStr">
        <is>
          <t>★★</t>
        </is>
      </c>
      <c r="G1408" s="14" t="n">
        <v>11</v>
      </c>
      <c r="H1408" s="15" t="n">
        <v>2701</v>
      </c>
      <c r="I1408" s="15" t="n">
        <v>2767</v>
      </c>
      <c r="J1408" s="14" t="n">
        <v>10</v>
      </c>
      <c r="K1408" s="14" t="n">
        <v>10000</v>
      </c>
      <c r="L1408" s="25">
        <f>IF(E1408="多",1,-1)*(I1408-H1408)*G1408*J1408</f>
        <v/>
      </c>
      <c r="M1408" s="26">
        <f>L1408/K1408</f>
        <v/>
      </c>
      <c r="N1408" s="14" t="inlineStr">
        <is>
          <t>反向信号</t>
        </is>
      </c>
      <c r="O1408" s="14" t="inlineStr">
        <is>
          <t>是</t>
        </is>
      </c>
    </row>
    <row r="1409">
      <c r="A1409" s="14" t="inlineStr">
        <is>
          <t>2023-08-02</t>
        </is>
      </c>
      <c r="B1409" s="14" t="inlineStr">
        <is>
          <t>2023-08-03</t>
        </is>
      </c>
      <c r="C1409" s="14" t="inlineStr">
        <is>
          <t>塑料</t>
        </is>
      </c>
      <c r="D1409" s="14" t="inlineStr">
        <is>
          <t>L</t>
        </is>
      </c>
      <c r="E1409" s="14" t="inlineStr">
        <is>
          <t>多</t>
        </is>
      </c>
      <c r="F1409" s="14" t="inlineStr">
        <is>
          <t>★★</t>
        </is>
      </c>
      <c r="G1409" s="14" t="n">
        <v>7</v>
      </c>
      <c r="H1409" s="15" t="n">
        <v>8255</v>
      </c>
      <c r="I1409" s="15" t="n">
        <v>8138</v>
      </c>
      <c r="J1409" s="14" t="n">
        <v>5</v>
      </c>
      <c r="K1409" s="14" t="n">
        <v>10000</v>
      </c>
      <c r="L1409" s="25">
        <f>IF(E1409="多",1,-1)*(I1409-H1409)*G1409*J1409</f>
        <v/>
      </c>
      <c r="M1409" s="26">
        <f>L1409/K1409</f>
        <v/>
      </c>
      <c r="N1409" s="14" t="inlineStr">
        <is>
          <t>将军撤退</t>
        </is>
      </c>
      <c r="O1409" s="14" t="inlineStr">
        <is>
          <t>是</t>
        </is>
      </c>
    </row>
    <row r="1410">
      <c r="A1410" s="2" t="inlineStr">
        <is>
          <t>2023-07-27</t>
        </is>
      </c>
      <c r="B1410" s="2" t="inlineStr">
        <is>
          <t>2023-08-03</t>
        </is>
      </c>
      <c r="C1410" s="2" t="inlineStr">
        <is>
          <t>燃料油</t>
        </is>
      </c>
      <c r="D1410" s="2" t="inlineStr">
        <is>
          <t>FU</t>
        </is>
      </c>
      <c r="E1410" s="19" t="inlineStr">
        <is>
          <t>多</t>
        </is>
      </c>
      <c r="F1410" s="2" t="inlineStr">
        <is>
          <t>★★★</t>
        </is>
      </c>
      <c r="G1410" s="10" t="n">
        <v>13</v>
      </c>
      <c r="H1410" s="11" t="n">
        <v>3386</v>
      </c>
      <c r="I1410" s="11" t="n">
        <v>3563</v>
      </c>
      <c r="J1410" s="10" t="n">
        <v>10</v>
      </c>
      <c r="K1410" s="10" t="n">
        <v>25400</v>
      </c>
      <c r="L1410" s="23">
        <f>IF(E1410="多",1,-1)*(I1410-H1410)*G1410*J1410</f>
        <v/>
      </c>
      <c r="M1410" s="24">
        <f>L1410/K1410</f>
        <v/>
      </c>
      <c r="N1410" s="2" t="inlineStr">
        <is>
          <t>将军撤退</t>
        </is>
      </c>
      <c r="O1410" s="2" t="inlineStr">
        <is>
          <t>否</t>
        </is>
      </c>
    </row>
    <row r="1411">
      <c r="A1411" s="14" t="inlineStr">
        <is>
          <t>2023-07-06</t>
        </is>
      </c>
      <c r="B1411" s="14" t="inlineStr">
        <is>
          <t>2023-08-03</t>
        </is>
      </c>
      <c r="C1411" s="14" t="inlineStr">
        <is>
          <t>短纤</t>
        </is>
      </c>
      <c r="D1411" s="14" t="inlineStr">
        <is>
          <t>PF</t>
        </is>
      </c>
      <c r="E1411" s="14" t="inlineStr">
        <is>
          <t>多</t>
        </is>
      </c>
      <c r="F1411" s="14" t="inlineStr">
        <is>
          <t>★★</t>
        </is>
      </c>
      <c r="G1411" s="14" t="n">
        <v>6</v>
      </c>
      <c r="H1411" s="15" t="n">
        <v>7102</v>
      </c>
      <c r="I1411" s="15" t="n">
        <v>7245.86</v>
      </c>
      <c r="J1411" s="14" t="n">
        <v>5</v>
      </c>
      <c r="K1411" s="14" t="n">
        <v>10000</v>
      </c>
      <c r="L1411" s="25">
        <f>IF(E1411="多",1,-1)*(I1411-H1411)*G1411*J1411</f>
        <v/>
      </c>
      <c r="M1411" s="26">
        <f>L1411/K1411</f>
        <v/>
      </c>
      <c r="N1411" s="14" t="inlineStr">
        <is>
          <t>止损</t>
        </is>
      </c>
      <c r="O1411" s="14" t="inlineStr">
        <is>
          <t>是</t>
        </is>
      </c>
    </row>
    <row r="1412">
      <c r="A1412" s="2" t="inlineStr">
        <is>
          <t>2023-08-01</t>
        </is>
      </c>
      <c r="B1412" s="2" t="inlineStr">
        <is>
          <t>2023-08-02</t>
        </is>
      </c>
      <c r="C1412" s="2" t="inlineStr">
        <is>
          <t>PVC</t>
        </is>
      </c>
      <c r="D1412" s="2" t="inlineStr">
        <is>
          <t>V</t>
        </is>
      </c>
      <c r="E1412" s="19" t="inlineStr">
        <is>
          <t>多</t>
        </is>
      </c>
      <c r="F1412" s="2" t="inlineStr">
        <is>
          <t>★★★</t>
        </is>
      </c>
      <c r="G1412" s="10" t="n">
        <v>13</v>
      </c>
      <c r="H1412" s="11" t="n">
        <v>6218</v>
      </c>
      <c r="I1412" s="11" t="n">
        <v>6286</v>
      </c>
      <c r="J1412" s="10" t="n">
        <v>5</v>
      </c>
      <c r="K1412" s="10" t="n">
        <v>22000</v>
      </c>
      <c r="L1412" s="23">
        <f>IF(E1412="多",1,-1)*(I1412-H1412)*G1412*J1412</f>
        <v/>
      </c>
      <c r="M1412" s="24">
        <f>L1412/K1412</f>
        <v/>
      </c>
      <c r="N1412" s="2" t="inlineStr">
        <is>
          <t>将军撤退</t>
        </is>
      </c>
      <c r="O1412" s="2" t="inlineStr">
        <is>
          <t>否</t>
        </is>
      </c>
    </row>
    <row r="1413">
      <c r="A1413" s="2" t="inlineStr">
        <is>
          <t>2023-08-01</t>
        </is>
      </c>
      <c r="B1413" s="2" t="inlineStr">
        <is>
          <t>2023-08-02</t>
        </is>
      </c>
      <c r="C1413" s="2" t="inlineStr">
        <is>
          <t>沪银</t>
        </is>
      </c>
      <c r="D1413" s="2" t="inlineStr">
        <is>
          <t>AG</t>
        </is>
      </c>
      <c r="E1413" s="19" t="inlineStr">
        <is>
          <t>多</t>
        </is>
      </c>
      <c r="F1413" s="2" t="inlineStr">
        <is>
          <t>★★★</t>
        </is>
      </c>
      <c r="G1413" s="10" t="n">
        <v>6</v>
      </c>
      <c r="H1413" s="11" t="n">
        <v>5782</v>
      </c>
      <c r="I1413" s="11" t="n">
        <v>5787</v>
      </c>
      <c r="J1413" s="10" t="n">
        <v>15</v>
      </c>
      <c r="K1413" s="10" t="n">
        <v>26300</v>
      </c>
      <c r="L1413" s="23">
        <f>IF(E1413="多",1,-1)*(I1413-H1413)*G1413*J1413</f>
        <v/>
      </c>
      <c r="M1413" s="24">
        <f>L1413/K1413</f>
        <v/>
      </c>
      <c r="N1413" s="2" t="inlineStr">
        <is>
          <t>大将军转向</t>
        </is>
      </c>
      <c r="O1413" s="2" t="inlineStr">
        <is>
          <t>否</t>
        </is>
      </c>
    </row>
    <row r="1414">
      <c r="A1414" s="14" t="inlineStr">
        <is>
          <t>2023-07-26</t>
        </is>
      </c>
      <c r="B1414" s="14" t="inlineStr">
        <is>
          <t>2023-08-02</t>
        </is>
      </c>
      <c r="C1414" s="14" t="inlineStr">
        <is>
          <t>棉花</t>
        </is>
      </c>
      <c r="D1414" s="14" t="inlineStr">
        <is>
          <t>CF</t>
        </is>
      </c>
      <c r="E1414" s="14" t="inlineStr">
        <is>
          <t>多</t>
        </is>
      </c>
      <c r="F1414" s="14" t="inlineStr">
        <is>
          <t>★★</t>
        </is>
      </c>
      <c r="G1414" s="14" t="n">
        <v>2</v>
      </c>
      <c r="H1414" s="15" t="n">
        <v>17240</v>
      </c>
      <c r="I1414" s="15" t="n">
        <v>17465</v>
      </c>
      <c r="J1414" s="14" t="n">
        <v>5</v>
      </c>
      <c r="K1414" s="14" t="n">
        <v>10000</v>
      </c>
      <c r="L1414" s="25">
        <f>IF(E1414="多",1,-1)*(I1414-H1414)*G1414*J1414</f>
        <v/>
      </c>
      <c r="M1414" s="26">
        <f>L1414/K1414</f>
        <v/>
      </c>
      <c r="N1414" s="14" t="inlineStr">
        <is>
          <t>大将军转向</t>
        </is>
      </c>
      <c r="O1414" s="14" t="inlineStr">
        <is>
          <t>是</t>
        </is>
      </c>
    </row>
    <row r="1415">
      <c r="A1415" s="14" t="inlineStr">
        <is>
          <t>2023-07-31</t>
        </is>
      </c>
      <c r="B1415" s="14" t="inlineStr">
        <is>
          <t>2023-08-01</t>
        </is>
      </c>
      <c r="C1415" s="14" t="inlineStr">
        <is>
          <t>聚丙烯</t>
        </is>
      </c>
      <c r="D1415" s="14" t="inlineStr">
        <is>
          <t>PP</t>
        </is>
      </c>
      <c r="E1415" s="14" t="inlineStr">
        <is>
          <t>多</t>
        </is>
      </c>
      <c r="F1415" s="14" t="inlineStr">
        <is>
          <t>★★</t>
        </is>
      </c>
      <c r="G1415" s="14" t="n">
        <v>7</v>
      </c>
      <c r="H1415" s="15" t="n">
        <v>7465</v>
      </c>
      <c r="I1415" s="15" t="n">
        <v>7461</v>
      </c>
      <c r="J1415" s="14" t="n">
        <v>5</v>
      </c>
      <c r="K1415" s="14" t="n">
        <v>10000</v>
      </c>
      <c r="L1415" s="25">
        <f>IF(E1415="多",1,-1)*(I1415-H1415)*G1415*J1415</f>
        <v/>
      </c>
      <c r="M1415" s="26">
        <f>L1415/K1415</f>
        <v/>
      </c>
      <c r="N1415" s="14" t="inlineStr">
        <is>
          <t>将军撤退+大将军转向</t>
        </is>
      </c>
      <c r="O1415" s="14" t="inlineStr">
        <is>
          <t>是</t>
        </is>
      </c>
    </row>
    <row r="1416">
      <c r="A1416" s="2" t="inlineStr">
        <is>
          <t>2023-07-31</t>
        </is>
      </c>
      <c r="B1416" s="2" t="inlineStr">
        <is>
          <t>2023-08-01</t>
        </is>
      </c>
      <c r="C1416" s="2" t="inlineStr">
        <is>
          <t>苯乙烯</t>
        </is>
      </c>
      <c r="D1416" s="2" t="inlineStr">
        <is>
          <t>EB</t>
        </is>
      </c>
      <c r="E1416" s="19" t="inlineStr">
        <is>
          <t>多</t>
        </is>
      </c>
      <c r="F1416" s="2" t="inlineStr">
        <is>
          <t>★★★</t>
        </is>
      </c>
      <c r="G1416" s="10" t="n">
        <v>9</v>
      </c>
      <c r="H1416" s="11" t="n">
        <v>8388</v>
      </c>
      <c r="I1416" s="11" t="n">
        <v>8326</v>
      </c>
      <c r="J1416" s="10" t="n">
        <v>5</v>
      </c>
      <c r="K1416" s="10" t="n">
        <v>25100</v>
      </c>
      <c r="L1416" s="23">
        <f>IF(E1416="多",1,-1)*(I1416-H1416)*G1416*J1416</f>
        <v/>
      </c>
      <c r="M1416" s="24">
        <f>L1416/K1416</f>
        <v/>
      </c>
      <c r="N1416" s="2" t="inlineStr">
        <is>
          <t>大将军转向</t>
        </is>
      </c>
      <c r="O1416" s="2" t="inlineStr">
        <is>
          <t>否</t>
        </is>
      </c>
    </row>
    <row r="1417">
      <c r="A1417" s="2" t="inlineStr">
        <is>
          <t>2023-07-27</t>
        </is>
      </c>
      <c r="B1417" s="2" t="inlineStr">
        <is>
          <t>2023-08-01</t>
        </is>
      </c>
      <c r="C1417" s="2" t="inlineStr">
        <is>
          <t>豆粕</t>
        </is>
      </c>
      <c r="D1417" s="2" t="inlineStr">
        <is>
          <t>M</t>
        </is>
      </c>
      <c r="E1417" s="19" t="inlineStr">
        <is>
          <t>多</t>
        </is>
      </c>
      <c r="F1417" s="2" t="inlineStr">
        <is>
          <t>★★★</t>
        </is>
      </c>
      <c r="G1417" s="10" t="n">
        <v>10</v>
      </c>
      <c r="H1417" s="11" t="n">
        <v>4314</v>
      </c>
      <c r="I1417" s="11" t="n">
        <v>4311</v>
      </c>
      <c r="J1417" s="10" t="n">
        <v>10</v>
      </c>
      <c r="K1417" s="10" t="n">
        <v>25400</v>
      </c>
      <c r="L1417" s="23">
        <f>IF(E1417="多",1,-1)*(I1417-H1417)*G1417*J1417</f>
        <v/>
      </c>
      <c r="M1417" s="24">
        <f>L1417/K1417</f>
        <v/>
      </c>
      <c r="N1417" s="2" t="inlineStr">
        <is>
          <t>大将军转向</t>
        </is>
      </c>
      <c r="O1417" s="2" t="inlineStr">
        <is>
          <t>否</t>
        </is>
      </c>
    </row>
    <row r="1418">
      <c r="A1418" s="2" t="inlineStr">
        <is>
          <t>2023-07-25</t>
        </is>
      </c>
      <c r="B1418" s="2" t="inlineStr">
        <is>
          <t>2023-08-01</t>
        </is>
      </c>
      <c r="C1418" s="2" t="inlineStr">
        <is>
          <t>PTA</t>
        </is>
      </c>
      <c r="D1418" s="2" t="inlineStr">
        <is>
          <t>TA</t>
        </is>
      </c>
      <c r="E1418" s="19" t="inlineStr">
        <is>
          <t>多</t>
        </is>
      </c>
      <c r="F1418" s="2" t="inlineStr">
        <is>
          <t>★★★</t>
        </is>
      </c>
      <c r="G1418" s="10" t="n">
        <v>15</v>
      </c>
      <c r="H1418" s="11" t="n">
        <v>5880</v>
      </c>
      <c r="I1418" s="11" t="n">
        <v>6026</v>
      </c>
      <c r="J1418" s="10" t="n">
        <v>5</v>
      </c>
      <c r="K1418" s="10" t="n">
        <v>24100</v>
      </c>
      <c r="L1418" s="23">
        <f>IF(E1418="多",1,-1)*(I1418-H1418)*G1418*J1418</f>
        <v/>
      </c>
      <c r="M1418" s="24">
        <f>L1418/K1418</f>
        <v/>
      </c>
      <c r="N1418" s="2" t="inlineStr">
        <is>
          <t>将军撤退+大将军转向</t>
        </is>
      </c>
      <c r="O1418" s="2" t="inlineStr">
        <is>
          <t>否</t>
        </is>
      </c>
    </row>
    <row r="1419">
      <c r="A1419" s="2" t="inlineStr">
        <is>
          <t>2023-07-28</t>
        </is>
      </c>
      <c r="B1419" s="2" t="inlineStr">
        <is>
          <t>2023-07-31</t>
        </is>
      </c>
      <c r="C1419" s="2" t="inlineStr">
        <is>
          <t>尿素</t>
        </is>
      </c>
      <c r="D1419" s="2" t="inlineStr">
        <is>
          <t>UR</t>
        </is>
      </c>
      <c r="E1419" s="19" t="inlineStr">
        <is>
          <t>多</t>
        </is>
      </c>
      <c r="F1419" s="2" t="inlineStr">
        <is>
          <t>★★★</t>
        </is>
      </c>
      <c r="G1419" s="10" t="n">
        <v>3</v>
      </c>
      <c r="H1419" s="11" t="n">
        <v>2349</v>
      </c>
      <c r="I1419" s="11" t="n">
        <v>2322</v>
      </c>
      <c r="J1419" s="10" t="n">
        <v>20</v>
      </c>
      <c r="K1419" s="10" t="n">
        <v>18500</v>
      </c>
      <c r="L1419" s="23">
        <f>IF(E1419="多",1,-1)*(I1419-H1419)*G1419*J1419</f>
        <v/>
      </c>
      <c r="M1419" s="24">
        <f>L1419/K1419</f>
        <v/>
      </c>
      <c r="N1419" s="2" t="inlineStr">
        <is>
          <t>将军撤退+大将军转向</t>
        </is>
      </c>
      <c r="O1419" s="2" t="inlineStr">
        <is>
          <t>否</t>
        </is>
      </c>
    </row>
    <row r="1420">
      <c r="A1420" s="2" t="inlineStr">
        <is>
          <t>2023-07-25</t>
        </is>
      </c>
      <c r="B1420" s="2" t="inlineStr">
        <is>
          <t>2023-07-31</t>
        </is>
      </c>
      <c r="C1420" s="2" t="inlineStr">
        <is>
          <t>塑料</t>
        </is>
      </c>
      <c r="D1420" s="2" t="inlineStr">
        <is>
          <t>L</t>
        </is>
      </c>
      <c r="E1420" s="19" t="inlineStr">
        <is>
          <t>多</t>
        </is>
      </c>
      <c r="F1420" s="2" t="inlineStr">
        <is>
          <t>★★★</t>
        </is>
      </c>
      <c r="G1420" s="10" t="n">
        <v>5</v>
      </c>
      <c r="H1420" s="11" t="n">
        <v>8104</v>
      </c>
      <c r="I1420" s="11" t="n">
        <v>8222</v>
      </c>
      <c r="J1420" s="10" t="n">
        <v>5</v>
      </c>
      <c r="K1420" s="10" t="n">
        <v>6600</v>
      </c>
      <c r="L1420" s="23">
        <f>IF(E1420="多",1,-1)*(I1420-H1420)*G1420*J1420</f>
        <v/>
      </c>
      <c r="M1420" s="24">
        <f>L1420/K1420</f>
        <v/>
      </c>
      <c r="N1420" s="2" t="inlineStr">
        <is>
          <t>将军撤退</t>
        </is>
      </c>
      <c r="O1420" s="2" t="inlineStr">
        <is>
          <t>否</t>
        </is>
      </c>
    </row>
    <row r="1421">
      <c r="A1421" s="14" t="inlineStr">
        <is>
          <t>2023-07-27</t>
        </is>
      </c>
      <c r="B1421" s="14" t="inlineStr">
        <is>
          <t>2023-07-28</t>
        </is>
      </c>
      <c r="C1421" s="14" t="inlineStr">
        <is>
          <t>沥青</t>
        </is>
      </c>
      <c r="D1421" s="14" t="inlineStr">
        <is>
          <t>BU</t>
        </is>
      </c>
      <c r="E1421" s="14" t="inlineStr">
        <is>
          <t>多</t>
        </is>
      </c>
      <c r="F1421" s="14" t="inlineStr">
        <is>
          <t>★★</t>
        </is>
      </c>
      <c r="G1421" s="14" t="n">
        <v>5</v>
      </c>
      <c r="H1421" s="15" t="n">
        <v>3790</v>
      </c>
      <c r="I1421" s="15" t="n">
        <v>3806</v>
      </c>
      <c r="J1421" s="14" t="n">
        <v>10</v>
      </c>
      <c r="K1421" s="14" t="n">
        <v>10000</v>
      </c>
      <c r="L1421" s="25">
        <f>IF(E1421="多",1,-1)*(I1421-H1421)*G1421*J1421</f>
        <v/>
      </c>
      <c r="M1421" s="26">
        <f>L1421/K1421</f>
        <v/>
      </c>
      <c r="N1421" s="14" t="inlineStr">
        <is>
          <t>大将军转向</t>
        </is>
      </c>
      <c r="O1421" s="14" t="inlineStr">
        <is>
          <t>是</t>
        </is>
      </c>
    </row>
    <row r="1422">
      <c r="A1422" s="14" t="inlineStr">
        <is>
          <t>2023-07-26</t>
        </is>
      </c>
      <c r="B1422" s="14" t="inlineStr">
        <is>
          <t>2023-07-27</t>
        </is>
      </c>
      <c r="C1422" s="14" t="inlineStr">
        <is>
          <t>纯碱</t>
        </is>
      </c>
      <c r="D1422" s="14" t="inlineStr">
        <is>
          <t>SA</t>
        </is>
      </c>
      <c r="E1422" s="14" t="inlineStr">
        <is>
          <t>多</t>
        </is>
      </c>
      <c r="F1422" s="14" t="inlineStr">
        <is>
          <t>★★</t>
        </is>
      </c>
      <c r="G1422" s="14" t="n">
        <v>2</v>
      </c>
      <c r="H1422" s="15" t="n">
        <v>2150</v>
      </c>
      <c r="I1422" s="15" t="n">
        <v>2147</v>
      </c>
      <c r="J1422" s="14" t="n">
        <v>20</v>
      </c>
      <c r="K1422" s="14" t="n">
        <v>10000</v>
      </c>
      <c r="L1422" s="25">
        <f>IF(E1422="多",1,-1)*(I1422-H1422)*G1422*J1422</f>
        <v/>
      </c>
      <c r="M1422" s="26">
        <f>L1422/K1422</f>
        <v/>
      </c>
      <c r="N1422" s="14" t="inlineStr">
        <is>
          <t>将军撤退+大将军转向</t>
        </is>
      </c>
      <c r="O1422" s="14" t="inlineStr">
        <is>
          <t>是</t>
        </is>
      </c>
    </row>
    <row r="1423">
      <c r="A1423" s="2" t="inlineStr">
        <is>
          <t>2023-07-25</t>
        </is>
      </c>
      <c r="B1423" s="2" t="inlineStr">
        <is>
          <t>2023-07-26</t>
        </is>
      </c>
      <c r="C1423" s="2" t="inlineStr">
        <is>
          <t>纸浆</t>
        </is>
      </c>
      <c r="D1423" s="2" t="inlineStr">
        <is>
          <t>SP</t>
        </is>
      </c>
      <c r="E1423" s="19" t="inlineStr">
        <is>
          <t>多</t>
        </is>
      </c>
      <c r="F1423" s="2" t="inlineStr">
        <is>
          <t>★★★</t>
        </is>
      </c>
      <c r="G1423" s="10" t="n">
        <v>8</v>
      </c>
      <c r="H1423" s="11" t="n">
        <v>5344</v>
      </c>
      <c r="I1423" s="11" t="n">
        <v>5396</v>
      </c>
      <c r="J1423" s="10" t="n">
        <v>10</v>
      </c>
      <c r="K1423" s="10" t="n">
        <v>24100</v>
      </c>
      <c r="L1423" s="23">
        <f>IF(E1423="多",1,-1)*(I1423-H1423)*G1423*J1423</f>
        <v/>
      </c>
      <c r="M1423" s="24">
        <f>L1423/K1423</f>
        <v/>
      </c>
      <c r="N1423" s="2" t="inlineStr">
        <is>
          <t>将军撤退</t>
        </is>
      </c>
      <c r="O1423" s="2" t="inlineStr">
        <is>
          <t>否</t>
        </is>
      </c>
    </row>
    <row r="1424">
      <c r="A1424" s="14" t="inlineStr">
        <is>
          <t>2023-07-24</t>
        </is>
      </c>
      <c r="B1424" s="14" t="inlineStr">
        <is>
          <t>2023-07-26</t>
        </is>
      </c>
      <c r="C1424" s="14" t="inlineStr">
        <is>
          <t>燃料油</t>
        </is>
      </c>
      <c r="D1424" s="14" t="inlineStr">
        <is>
          <t>FU</t>
        </is>
      </c>
      <c r="E1424" s="14" t="inlineStr">
        <is>
          <t>多</t>
        </is>
      </c>
      <c r="F1424" s="14" t="inlineStr">
        <is>
          <t>★★★</t>
        </is>
      </c>
      <c r="G1424" s="14" t="n">
        <v>5</v>
      </c>
      <c r="H1424" s="15" t="n">
        <v>3330</v>
      </c>
      <c r="I1424" s="15" t="n">
        <v>3355</v>
      </c>
      <c r="J1424" s="14" t="n">
        <v>10</v>
      </c>
      <c r="K1424" s="14" t="n">
        <v>10000</v>
      </c>
      <c r="L1424" s="25">
        <f>IF(E1424="多",1,-1)*(I1424-H1424)*G1424*J1424</f>
        <v/>
      </c>
      <c r="M1424" s="26">
        <f>L1424/K1424</f>
        <v/>
      </c>
      <c r="N1424" s="14" t="inlineStr">
        <is>
          <t>将军撤退</t>
        </is>
      </c>
      <c r="O1424" s="14" t="inlineStr">
        <is>
          <t>是</t>
        </is>
      </c>
    </row>
    <row r="1425">
      <c r="A1425" s="2" t="inlineStr">
        <is>
          <t>2023-07-18</t>
        </is>
      </c>
      <c r="B1425" s="2" t="inlineStr">
        <is>
          <t>2023-07-26</t>
        </is>
      </c>
      <c r="C1425" s="2" t="inlineStr">
        <is>
          <t>PVC</t>
        </is>
      </c>
      <c r="D1425" s="2" t="inlineStr">
        <is>
          <t>V</t>
        </is>
      </c>
      <c r="E1425" s="19" t="inlineStr">
        <is>
          <t>多</t>
        </is>
      </c>
      <c r="F1425" s="2" t="inlineStr">
        <is>
          <t>★★★</t>
        </is>
      </c>
      <c r="G1425" s="10" t="n">
        <v>18</v>
      </c>
      <c r="H1425" s="11" t="n">
        <v>5990</v>
      </c>
      <c r="I1425" s="11" t="n">
        <v>6098</v>
      </c>
      <c r="J1425" s="10" t="n">
        <v>5</v>
      </c>
      <c r="K1425" s="10" t="n">
        <v>23400</v>
      </c>
      <c r="L1425" s="23">
        <f>IF(E1425="多",1,-1)*(I1425-H1425)*G1425*J1425</f>
        <v/>
      </c>
      <c r="M1425" s="24">
        <f>L1425/K1425</f>
        <v/>
      </c>
      <c r="N1425" s="2" t="inlineStr">
        <is>
          <t>将军撤退</t>
        </is>
      </c>
      <c r="O1425" s="2" t="inlineStr">
        <is>
          <t>否</t>
        </is>
      </c>
    </row>
    <row r="1426">
      <c r="A1426" s="2" t="inlineStr">
        <is>
          <t>2023-07-19</t>
        </is>
      </c>
      <c r="B1426" s="2" t="inlineStr">
        <is>
          <t>2023-07-25</t>
        </is>
      </c>
      <c r="C1426" s="2" t="inlineStr">
        <is>
          <t>乙二醇</t>
        </is>
      </c>
      <c r="D1426" s="2" t="inlineStr">
        <is>
          <t>EG</t>
        </is>
      </c>
      <c r="E1426" s="19" t="inlineStr">
        <is>
          <t>多</t>
        </is>
      </c>
      <c r="F1426" s="2" t="inlineStr">
        <is>
          <t>★★★</t>
        </is>
      </c>
      <c r="G1426" s="10" t="n">
        <v>13</v>
      </c>
      <c r="H1426" s="11" t="n">
        <v>4147</v>
      </c>
      <c r="I1426" s="11" t="n">
        <v>4147</v>
      </c>
      <c r="J1426" s="10" t="n">
        <v>10</v>
      </c>
      <c r="K1426" s="10" t="n">
        <v>24000</v>
      </c>
      <c r="L1426" s="23">
        <f>IF(E1426="多",1,-1)*(I1426-H1426)*G1426*J1426</f>
        <v/>
      </c>
      <c r="M1426" s="24">
        <f>L1426/K1426</f>
        <v/>
      </c>
      <c r="N1426" s="2" t="inlineStr">
        <is>
          <t>大将军转向</t>
        </is>
      </c>
      <c r="O1426" s="2" t="inlineStr">
        <is>
          <t>否</t>
        </is>
      </c>
    </row>
    <row r="1427">
      <c r="A1427" s="2" t="inlineStr">
        <is>
          <t>2023-07-19</t>
        </is>
      </c>
      <c r="B1427" s="2" t="inlineStr">
        <is>
          <t>2023-07-24</t>
        </is>
      </c>
      <c r="C1427" s="2" t="inlineStr">
        <is>
          <t>沪银</t>
        </is>
      </c>
      <c r="D1427" s="2" t="inlineStr">
        <is>
          <t>AG</t>
        </is>
      </c>
      <c r="E1427" s="19" t="inlineStr">
        <is>
          <t>多</t>
        </is>
      </c>
      <c r="F1427" s="2" t="inlineStr">
        <is>
          <t>★★★</t>
        </is>
      </c>
      <c r="G1427" s="10" t="n">
        <v>6</v>
      </c>
      <c r="H1427" s="11" t="n">
        <v>5970</v>
      </c>
      <c r="I1427" s="11" t="n">
        <v>5863</v>
      </c>
      <c r="J1427" s="10" t="n">
        <v>15</v>
      </c>
      <c r="K1427" s="10" t="n">
        <v>24000</v>
      </c>
      <c r="L1427" s="23">
        <f>IF(E1427="多",1,-1)*(I1427-H1427)*G1427*J1427</f>
        <v/>
      </c>
      <c r="M1427" s="24">
        <f>L1427/K1427</f>
        <v/>
      </c>
      <c r="N1427" s="2" t="inlineStr">
        <is>
          <t>将军撤退+大将军转向</t>
        </is>
      </c>
      <c r="O1427" s="2" t="inlineStr">
        <is>
          <t>否</t>
        </is>
      </c>
    </row>
    <row r="1428">
      <c r="A1428" s="2" t="inlineStr">
        <is>
          <t>2023-07-13</t>
        </is>
      </c>
      <c r="B1428" s="2" t="inlineStr">
        <is>
          <t>2023-07-24</t>
        </is>
      </c>
      <c r="C1428" s="2" t="inlineStr">
        <is>
          <t>豆粕</t>
        </is>
      </c>
      <c r="D1428" s="2" t="inlineStr">
        <is>
          <t>M</t>
        </is>
      </c>
      <c r="E1428" s="19" t="inlineStr">
        <is>
          <t>多</t>
        </is>
      </c>
      <c r="F1428" s="2" t="inlineStr">
        <is>
          <t>★★★</t>
        </is>
      </c>
      <c r="G1428" s="10" t="n">
        <v>10</v>
      </c>
      <c r="H1428" s="11" t="n">
        <v>4035</v>
      </c>
      <c r="I1428" s="11" t="n">
        <v>4164</v>
      </c>
      <c r="J1428" s="10" t="n">
        <v>10</v>
      </c>
      <c r="K1428" s="10" t="n">
        <v>26100</v>
      </c>
      <c r="L1428" s="23">
        <f>IF(E1428="多",1,-1)*(I1428-H1428)*G1428*J1428</f>
        <v/>
      </c>
      <c r="M1428" s="24">
        <f>L1428/K1428</f>
        <v/>
      </c>
      <c r="N1428" s="2" t="inlineStr">
        <is>
          <t>将军撤退</t>
        </is>
      </c>
      <c r="O1428" s="2" t="inlineStr">
        <is>
          <t>否</t>
        </is>
      </c>
    </row>
    <row r="1429">
      <c r="A1429" s="14" t="inlineStr">
        <is>
          <t>2023-07-18</t>
        </is>
      </c>
      <c r="B1429" s="14" t="inlineStr">
        <is>
          <t>2023-07-21</t>
        </is>
      </c>
      <c r="C1429" s="14" t="inlineStr">
        <is>
          <t>沥青</t>
        </is>
      </c>
      <c r="D1429" s="14" t="inlineStr">
        <is>
          <t>BU</t>
        </is>
      </c>
      <c r="E1429" s="14" t="inlineStr">
        <is>
          <t>多</t>
        </is>
      </c>
      <c r="F1429" s="14" t="inlineStr">
        <is>
          <t>★★★</t>
        </is>
      </c>
      <c r="G1429" s="14" t="n">
        <v>5</v>
      </c>
      <c r="H1429" s="15" t="n">
        <v>3742</v>
      </c>
      <c r="I1429" s="15" t="n">
        <v>3759</v>
      </c>
      <c r="J1429" s="14" t="n">
        <v>10</v>
      </c>
      <c r="K1429" s="14" t="n">
        <v>10000</v>
      </c>
      <c r="L1429" s="25">
        <f>IF(E1429="多",1,-1)*(I1429-H1429)*G1429*J1429</f>
        <v/>
      </c>
      <c r="M1429" s="26">
        <f>L1429/K1429</f>
        <v/>
      </c>
      <c r="N1429" s="14" t="inlineStr">
        <is>
          <t>大将军转向</t>
        </is>
      </c>
      <c r="O1429" s="14" t="inlineStr">
        <is>
          <t>是</t>
        </is>
      </c>
    </row>
    <row r="1430">
      <c r="A1430" s="14" t="inlineStr">
        <is>
          <t>2023-07-17</t>
        </is>
      </c>
      <c r="B1430" s="14" t="inlineStr">
        <is>
          <t>2023-07-20</t>
        </is>
      </c>
      <c r="C1430" s="14" t="inlineStr">
        <is>
          <t>菜粕</t>
        </is>
      </c>
      <c r="D1430" s="14" t="inlineStr">
        <is>
          <t>RM</t>
        </is>
      </c>
      <c r="E1430" s="14" t="inlineStr">
        <is>
          <t>多</t>
        </is>
      </c>
      <c r="F1430" s="14" t="inlineStr">
        <is>
          <t>★★</t>
        </is>
      </c>
      <c r="G1430" s="14" t="n">
        <v>3</v>
      </c>
      <c r="H1430" s="15" t="n">
        <v>3743</v>
      </c>
      <c r="I1430" s="15" t="n">
        <v>3767</v>
      </c>
      <c r="J1430" s="14" t="n">
        <v>10</v>
      </c>
      <c r="K1430" s="14" t="n">
        <v>10000</v>
      </c>
      <c r="L1430" s="25">
        <f>IF(E1430="多",1,-1)*(I1430-H1430)*G1430*J1430</f>
        <v/>
      </c>
      <c r="M1430" s="26">
        <f>L1430/K1430</f>
        <v/>
      </c>
      <c r="N1430" s="14" t="inlineStr">
        <is>
          <t>大将军转向</t>
        </is>
      </c>
      <c r="O1430" s="14" t="inlineStr">
        <is>
          <t>是</t>
        </is>
      </c>
    </row>
    <row r="1431">
      <c r="A1431" s="2" t="inlineStr">
        <is>
          <t>2023-07-14</t>
        </is>
      </c>
      <c r="B1431" s="2" t="inlineStr">
        <is>
          <t>2023-07-19</t>
        </is>
      </c>
      <c r="C1431" s="2" t="inlineStr">
        <is>
          <t>纯碱</t>
        </is>
      </c>
      <c r="D1431" s="2" t="inlineStr">
        <is>
          <t>SA</t>
        </is>
      </c>
      <c r="E1431" s="19" t="inlineStr">
        <is>
          <t>多</t>
        </is>
      </c>
      <c r="F1431" s="2" t="inlineStr">
        <is>
          <t>★★★</t>
        </is>
      </c>
      <c r="G1431" s="10" t="n">
        <v>9</v>
      </c>
      <c r="H1431" s="11" t="n">
        <v>1855</v>
      </c>
      <c r="I1431" s="11" t="n">
        <v>1897</v>
      </c>
      <c r="J1431" s="10" t="n">
        <v>20</v>
      </c>
      <c r="K1431" s="10" t="n">
        <v>25900</v>
      </c>
      <c r="L1431" s="23">
        <f>IF(E1431="多",1,-1)*(I1431-H1431)*G1431*J1431</f>
        <v/>
      </c>
      <c r="M1431" s="24">
        <f>L1431/K1431</f>
        <v/>
      </c>
      <c r="N1431" s="2" t="inlineStr">
        <is>
          <t>将军撤退+大将军转向</t>
        </is>
      </c>
      <c r="O1431" s="2" t="inlineStr">
        <is>
          <t>否</t>
        </is>
      </c>
    </row>
    <row r="1432">
      <c r="A1432" s="2" t="inlineStr">
        <is>
          <t>2023-07-17</t>
        </is>
      </c>
      <c r="B1432" s="2" t="inlineStr">
        <is>
          <t>2023-07-18</t>
        </is>
      </c>
      <c r="C1432" s="2" t="inlineStr">
        <is>
          <t>沪锌</t>
        </is>
      </c>
      <c r="D1432" s="2" t="inlineStr">
        <is>
          <t>ZN</t>
        </is>
      </c>
      <c r="E1432" s="9" t="inlineStr">
        <is>
          <t>空</t>
        </is>
      </c>
      <c r="F1432" s="2" t="inlineStr">
        <is>
          <t>★★★</t>
        </is>
      </c>
      <c r="G1432" s="10" t="n">
        <v>5</v>
      </c>
      <c r="H1432" s="11" t="n">
        <v>20015</v>
      </c>
      <c r="I1432" s="11" t="n">
        <v>20120</v>
      </c>
      <c r="J1432" s="10" t="n">
        <v>5</v>
      </c>
      <c r="K1432" s="10" t="n">
        <v>23700</v>
      </c>
      <c r="L1432" s="23">
        <f>IF(E1432="多",1,-1)*(I1432-H1432)*G1432*J1432</f>
        <v/>
      </c>
      <c r="M1432" s="24">
        <f>L1432/K1432</f>
        <v/>
      </c>
      <c r="N1432" s="2" t="inlineStr">
        <is>
          <t>将军撤退+大将军转向</t>
        </is>
      </c>
      <c r="O1432" s="2" t="inlineStr">
        <is>
          <t>否</t>
        </is>
      </c>
    </row>
    <row r="1433">
      <c r="A1433" s="14" t="inlineStr">
        <is>
          <t>2023-07-17</t>
        </is>
      </c>
      <c r="B1433" s="14" t="inlineStr">
        <is>
          <t>2023-07-18</t>
        </is>
      </c>
      <c r="C1433" s="14" t="inlineStr">
        <is>
          <t>苯乙烯</t>
        </is>
      </c>
      <c r="D1433" s="14" t="inlineStr">
        <is>
          <t>EB</t>
        </is>
      </c>
      <c r="E1433" s="14" t="inlineStr">
        <is>
          <t>多</t>
        </is>
      </c>
      <c r="F1433" s="14" t="inlineStr">
        <is>
          <t>★★</t>
        </is>
      </c>
      <c r="G1433" s="14" t="n">
        <v>4</v>
      </c>
      <c r="H1433" s="15" t="n">
        <v>7755</v>
      </c>
      <c r="I1433" s="15" t="n">
        <v>7833</v>
      </c>
      <c r="J1433" s="14" t="n">
        <v>5</v>
      </c>
      <c r="K1433" s="14" t="n">
        <v>10000</v>
      </c>
      <c r="L1433" s="25">
        <f>IF(E1433="多",1,-1)*(I1433-H1433)*G1433*J1433</f>
        <v/>
      </c>
      <c r="M1433" s="26">
        <f>L1433/K1433</f>
        <v/>
      </c>
      <c r="N1433" s="14" t="inlineStr">
        <is>
          <t>将军撤退</t>
        </is>
      </c>
      <c r="O1433" s="14" t="inlineStr">
        <is>
          <t>是</t>
        </is>
      </c>
    </row>
    <row r="1434">
      <c r="A1434" s="14" t="inlineStr">
        <is>
          <t>2023-07-13</t>
        </is>
      </c>
      <c r="B1434" s="14" t="inlineStr">
        <is>
          <t>2023-07-18</t>
        </is>
      </c>
      <c r="C1434" s="14" t="inlineStr">
        <is>
          <t>玉米</t>
        </is>
      </c>
      <c r="D1434" s="14" t="inlineStr">
        <is>
          <t>C</t>
        </is>
      </c>
      <c r="E1434" s="14" t="inlineStr">
        <is>
          <t>空</t>
        </is>
      </c>
      <c r="F1434" s="14" t="inlineStr">
        <is>
          <t>★★</t>
        </is>
      </c>
      <c r="G1434" s="14" t="n">
        <v>11</v>
      </c>
      <c r="H1434" s="15" t="n">
        <v>2734</v>
      </c>
      <c r="I1434" s="15" t="n">
        <v>2705</v>
      </c>
      <c r="J1434" s="14" t="n">
        <v>10</v>
      </c>
      <c r="K1434" s="14" t="n">
        <v>10000</v>
      </c>
      <c r="L1434" s="25">
        <f>IF(E1434="多",1,-1)*(I1434-H1434)*G1434*J1434</f>
        <v/>
      </c>
      <c r="M1434" s="26">
        <f>L1434/K1434</f>
        <v/>
      </c>
      <c r="N1434" s="14" t="inlineStr">
        <is>
          <t>将军撤退</t>
        </is>
      </c>
      <c r="O1434" s="14" t="inlineStr">
        <is>
          <t>是</t>
        </is>
      </c>
    </row>
    <row r="1435">
      <c r="A1435" s="14" t="inlineStr">
        <is>
          <t>2023-07-05</t>
        </is>
      </c>
      <c r="B1435" s="14" t="inlineStr">
        <is>
          <t>2023-07-18</t>
        </is>
      </c>
      <c r="C1435" s="14" t="inlineStr">
        <is>
          <t>纸浆</t>
        </is>
      </c>
      <c r="D1435" s="14" t="inlineStr">
        <is>
          <t>SP</t>
        </is>
      </c>
      <c r="E1435" s="14" t="inlineStr">
        <is>
          <t>多</t>
        </is>
      </c>
      <c r="F1435" s="14" t="inlineStr">
        <is>
          <t>★★</t>
        </is>
      </c>
      <c r="G1435" s="14" t="n">
        <v>3</v>
      </c>
      <c r="H1435" s="15" t="n">
        <v>5380</v>
      </c>
      <c r="I1435" s="15" t="n">
        <v>5214</v>
      </c>
      <c r="J1435" s="14" t="n">
        <v>10</v>
      </c>
      <c r="K1435" s="14" t="n">
        <v>10000</v>
      </c>
      <c r="L1435" s="25">
        <f>IF(E1435="多",1,-1)*(I1435-H1435)*G1435*J1435</f>
        <v/>
      </c>
      <c r="M1435" s="26">
        <f>L1435/K1435</f>
        <v/>
      </c>
      <c r="N1435" s="14" t="inlineStr">
        <is>
          <t>将军撤退</t>
        </is>
      </c>
      <c r="O1435" s="14" t="inlineStr">
        <is>
          <t>是</t>
        </is>
      </c>
    </row>
    <row r="1436">
      <c r="A1436" s="2" t="inlineStr">
        <is>
          <t>2023-07-14</t>
        </is>
      </c>
      <c r="B1436" s="2" t="inlineStr">
        <is>
          <t>2023-07-17</t>
        </is>
      </c>
      <c r="C1436" s="2" t="inlineStr">
        <is>
          <t>塑料</t>
        </is>
      </c>
      <c r="D1436" s="2" t="inlineStr">
        <is>
          <t>L</t>
        </is>
      </c>
      <c r="E1436" s="19" t="inlineStr">
        <is>
          <t>多</t>
        </is>
      </c>
      <c r="F1436" s="2" t="inlineStr">
        <is>
          <t>★★★</t>
        </is>
      </c>
      <c r="G1436" s="10" t="n">
        <v>23</v>
      </c>
      <c r="H1436" s="11" t="n">
        <v>8171</v>
      </c>
      <c r="I1436" s="11" t="n">
        <v>8018</v>
      </c>
      <c r="J1436" s="10" t="n">
        <v>5</v>
      </c>
      <c r="K1436" s="10" t="n">
        <v>25900</v>
      </c>
      <c r="L1436" s="23">
        <f>IF(E1436="多",1,-1)*(I1436-H1436)*G1436*J1436</f>
        <v/>
      </c>
      <c r="M1436" s="24">
        <f>L1436/K1436</f>
        <v/>
      </c>
      <c r="N1436" s="2" t="inlineStr">
        <is>
          <t>将军撤退</t>
        </is>
      </c>
      <c r="O1436" s="2" t="inlineStr">
        <is>
          <t>否</t>
        </is>
      </c>
    </row>
    <row r="1437">
      <c r="A1437" s="2" t="inlineStr">
        <is>
          <t>2023-07-12</t>
        </is>
      </c>
      <c r="B1437" s="2" t="inlineStr">
        <is>
          <t>2023-07-17</t>
        </is>
      </c>
      <c r="C1437" s="2" t="inlineStr">
        <is>
          <t>PTA</t>
        </is>
      </c>
      <c r="D1437" s="2" t="inlineStr">
        <is>
          <t>TA</t>
        </is>
      </c>
      <c r="E1437" s="19" t="inlineStr">
        <is>
          <t>多</t>
        </is>
      </c>
      <c r="F1437" s="2" t="inlineStr">
        <is>
          <t>★★★</t>
        </is>
      </c>
      <c r="G1437" s="10" t="n">
        <v>13</v>
      </c>
      <c r="H1437" s="11" t="n">
        <v>5920</v>
      </c>
      <c r="I1437" s="11" t="n">
        <v>5804</v>
      </c>
      <c r="J1437" s="10" t="n">
        <v>5</v>
      </c>
      <c r="K1437" s="10" t="n">
        <v>21000</v>
      </c>
      <c r="L1437" s="23">
        <f>IF(E1437="多",1,-1)*(I1437-H1437)*G1437*J1437</f>
        <v/>
      </c>
      <c r="M1437" s="24">
        <f>L1437/K1437</f>
        <v/>
      </c>
      <c r="N1437" s="2" t="inlineStr">
        <is>
          <t>将军撤退</t>
        </is>
      </c>
      <c r="O1437" s="2" t="inlineStr">
        <is>
          <t>否</t>
        </is>
      </c>
    </row>
    <row r="1438">
      <c r="A1438" s="14" t="inlineStr">
        <is>
          <t>2023-07-13</t>
        </is>
      </c>
      <c r="B1438" s="14" t="inlineStr">
        <is>
          <t>2023-07-14</t>
        </is>
      </c>
      <c r="C1438" s="14" t="inlineStr">
        <is>
          <t>聚丙烯</t>
        </is>
      </c>
      <c r="D1438" s="14" t="inlineStr">
        <is>
          <t>PP</t>
        </is>
      </c>
      <c r="E1438" s="14" t="inlineStr">
        <is>
          <t>多</t>
        </is>
      </c>
      <c r="F1438" s="14" t="inlineStr">
        <is>
          <t>★★</t>
        </is>
      </c>
      <c r="G1438" s="14" t="n">
        <v>9</v>
      </c>
      <c r="H1438" s="15" t="n">
        <v>7300</v>
      </c>
      <c r="I1438" s="15" t="n">
        <v>7383</v>
      </c>
      <c r="J1438" s="14" t="n">
        <v>5</v>
      </c>
      <c r="K1438" s="14" t="n">
        <v>10000</v>
      </c>
      <c r="L1438" s="25">
        <f>IF(E1438="多",1,-1)*(I1438-H1438)*G1438*J1438</f>
        <v/>
      </c>
      <c r="M1438" s="26">
        <f>L1438/K1438</f>
        <v/>
      </c>
      <c r="N1438" s="14" t="inlineStr">
        <is>
          <t>将军撤退</t>
        </is>
      </c>
      <c r="O1438" s="14" t="inlineStr">
        <is>
          <t>是</t>
        </is>
      </c>
    </row>
    <row r="1439">
      <c r="A1439" s="2" t="inlineStr">
        <is>
          <t>2023-07-13</t>
        </is>
      </c>
      <c r="B1439" s="2" t="inlineStr">
        <is>
          <t>2023-07-14</t>
        </is>
      </c>
      <c r="C1439" s="2" t="inlineStr">
        <is>
          <t>沥青</t>
        </is>
      </c>
      <c r="D1439" s="2" t="inlineStr">
        <is>
          <t>BU</t>
        </is>
      </c>
      <c r="E1439" s="19" t="inlineStr">
        <is>
          <t>多</t>
        </is>
      </c>
      <c r="F1439" s="2" t="inlineStr">
        <is>
          <t>★★★</t>
        </is>
      </c>
      <c r="G1439" s="10" t="n">
        <v>12</v>
      </c>
      <c r="H1439" s="11" t="n">
        <v>3747</v>
      </c>
      <c r="I1439" s="11" t="n">
        <v>3774</v>
      </c>
      <c r="J1439" s="10" t="n">
        <v>10</v>
      </c>
      <c r="K1439" s="10" t="n">
        <v>26100</v>
      </c>
      <c r="L1439" s="23">
        <f>IF(E1439="多",1,-1)*(I1439-H1439)*G1439*J1439</f>
        <v/>
      </c>
      <c r="M1439" s="24">
        <f>L1439/K1439</f>
        <v/>
      </c>
      <c r="N1439" s="2" t="inlineStr">
        <is>
          <t>将军撤退+大将军转向</t>
        </is>
      </c>
      <c r="O1439" s="2" t="inlineStr">
        <is>
          <t>否</t>
        </is>
      </c>
    </row>
    <row r="1440">
      <c r="A1440" s="14" t="inlineStr">
        <is>
          <t>2023-07-07</t>
        </is>
      </c>
      <c r="B1440" s="14" t="inlineStr">
        <is>
          <t>2023-07-14</t>
        </is>
      </c>
      <c r="C1440" s="14" t="inlineStr">
        <is>
          <t>菜粕</t>
        </is>
      </c>
      <c r="D1440" s="14" t="inlineStr">
        <is>
          <t>RM</t>
        </is>
      </c>
      <c r="E1440" s="14" t="inlineStr">
        <is>
          <t>多</t>
        </is>
      </c>
      <c r="F1440" s="14" t="inlineStr">
        <is>
          <t>★★★</t>
        </is>
      </c>
      <c r="G1440" s="14" t="n">
        <v>3</v>
      </c>
      <c r="H1440" s="15" t="n">
        <v>3611</v>
      </c>
      <c r="I1440" s="15" t="n">
        <v>3757</v>
      </c>
      <c r="J1440" s="14" t="n">
        <v>10</v>
      </c>
      <c r="K1440" s="14" t="n">
        <v>10000</v>
      </c>
      <c r="L1440" s="25">
        <f>IF(E1440="多",1,-1)*(I1440-H1440)*G1440*J1440</f>
        <v/>
      </c>
      <c r="M1440" s="26">
        <f>L1440/K1440</f>
        <v/>
      </c>
      <c r="N1440" s="14" t="inlineStr">
        <is>
          <t>将军撤退</t>
        </is>
      </c>
      <c r="O1440" s="14" t="inlineStr">
        <is>
          <t>是</t>
        </is>
      </c>
    </row>
    <row r="1441">
      <c r="A1441" s="14" t="inlineStr">
        <is>
          <t>2023-07-03</t>
        </is>
      </c>
      <c r="B1441" s="14" t="inlineStr">
        <is>
          <t>2023-07-14</t>
        </is>
      </c>
      <c r="C1441" s="14" t="inlineStr">
        <is>
          <t>铁矿石</t>
        </is>
      </c>
      <c r="D1441" s="14" t="inlineStr">
        <is>
          <t>I</t>
        </is>
      </c>
      <c r="E1441" s="14" t="inlineStr">
        <is>
          <t>空</t>
        </is>
      </c>
      <c r="F1441" s="14" t="inlineStr">
        <is>
          <t>★★</t>
        </is>
      </c>
      <c r="G1441" s="14" t="n">
        <v>1</v>
      </c>
      <c r="H1441" s="15" t="n">
        <v>822</v>
      </c>
      <c r="I1441" s="15" t="n">
        <v>844.29</v>
      </c>
      <c r="J1441" s="14" t="n">
        <v>100</v>
      </c>
      <c r="K1441" s="14" t="n">
        <v>10000</v>
      </c>
      <c r="L1441" s="25">
        <f>IF(E1441="多",1,-1)*(I1441-H1441)*G1441*J1441</f>
        <v/>
      </c>
      <c r="M1441" s="26">
        <f>L1441/K1441</f>
        <v/>
      </c>
      <c r="N1441" s="14" t="inlineStr">
        <is>
          <t>止损</t>
        </is>
      </c>
      <c r="O1441" s="14" t="inlineStr">
        <is>
          <t>是</t>
        </is>
      </c>
    </row>
    <row r="1442">
      <c r="A1442" s="2" t="inlineStr">
        <is>
          <t>2023-07-11</t>
        </is>
      </c>
      <c r="B1442" s="2" t="inlineStr">
        <is>
          <t>2023-07-13</t>
        </is>
      </c>
      <c r="C1442" s="2" t="inlineStr">
        <is>
          <t>菜油</t>
        </is>
      </c>
      <c r="D1442" s="2" t="inlineStr">
        <is>
          <t>OI</t>
        </is>
      </c>
      <c r="E1442" s="19" t="inlineStr">
        <is>
          <t>多</t>
        </is>
      </c>
      <c r="F1442" s="2" t="inlineStr">
        <is>
          <t>★★★</t>
        </is>
      </c>
      <c r="G1442" s="10" t="n">
        <v>3</v>
      </c>
      <c r="H1442" s="11" t="n">
        <v>9476</v>
      </c>
      <c r="I1442" s="11" t="n">
        <v>9734</v>
      </c>
      <c r="J1442" s="10" t="n">
        <v>10</v>
      </c>
      <c r="K1442" s="10" t="n">
        <v>27000</v>
      </c>
      <c r="L1442" s="23">
        <f>IF(E1442="多",1,-1)*(I1442-H1442)*G1442*J1442</f>
        <v/>
      </c>
      <c r="M1442" s="24">
        <f>L1442/K1442</f>
        <v/>
      </c>
      <c r="N1442" s="2" t="inlineStr">
        <is>
          <t>将军撤退</t>
        </is>
      </c>
      <c r="O1442" s="2" t="inlineStr">
        <is>
          <t>否</t>
        </is>
      </c>
    </row>
    <row r="1443">
      <c r="A1443" s="2" t="inlineStr">
        <is>
          <t>2023-07-07</t>
        </is>
      </c>
      <c r="B1443" s="2" t="inlineStr">
        <is>
          <t>2023-07-13</t>
        </is>
      </c>
      <c r="C1443" s="2" t="inlineStr">
        <is>
          <t>玉米</t>
        </is>
      </c>
      <c r="D1443" s="2" t="inlineStr">
        <is>
          <t>C</t>
        </is>
      </c>
      <c r="E1443" s="19" t="inlineStr">
        <is>
          <t>多</t>
        </is>
      </c>
      <c r="F1443" s="2" t="inlineStr">
        <is>
          <t>★★★</t>
        </is>
      </c>
      <c r="G1443" s="10" t="n">
        <v>27</v>
      </c>
      <c r="H1443" s="11" t="n">
        <v>2788</v>
      </c>
      <c r="I1443" s="11" t="n">
        <v>2736</v>
      </c>
      <c r="J1443" s="10" t="n">
        <v>10</v>
      </c>
      <c r="K1443" s="10" t="n">
        <v>25100</v>
      </c>
      <c r="L1443" s="23">
        <f>IF(E1443="多",1,-1)*(I1443-H1443)*G1443*J1443</f>
        <v/>
      </c>
      <c r="M1443" s="24">
        <f>L1443/K1443</f>
        <v/>
      </c>
      <c r="N1443" s="2" t="inlineStr">
        <is>
          <t>反向信号</t>
        </is>
      </c>
      <c r="O1443" s="2" t="inlineStr">
        <is>
          <t>否</t>
        </is>
      </c>
    </row>
    <row r="1444">
      <c r="A1444" s="14" t="inlineStr">
        <is>
          <t>2023-06-29</t>
        </is>
      </c>
      <c r="B1444" s="14" t="inlineStr">
        <is>
          <t>2023-07-13</t>
        </is>
      </c>
      <c r="C1444" s="14" t="inlineStr">
        <is>
          <t>沪金</t>
        </is>
      </c>
      <c r="D1444" s="14" t="inlineStr">
        <is>
          <t>AU</t>
        </is>
      </c>
      <c r="E1444" s="14" t="inlineStr">
        <is>
          <t>空</t>
        </is>
      </c>
      <c r="F1444" s="14" t="inlineStr">
        <is>
          <t>★★</t>
        </is>
      </c>
      <c r="G1444" s="14" t="n">
        <v>1</v>
      </c>
      <c r="H1444" s="15" t="n">
        <v>447.3</v>
      </c>
      <c r="I1444" s="15" t="n">
        <v>454.36</v>
      </c>
      <c r="J1444" s="14" t="n">
        <v>1000</v>
      </c>
      <c r="K1444" s="14" t="n">
        <v>10000</v>
      </c>
      <c r="L1444" s="25">
        <f>IF(E1444="多",1,-1)*(I1444-H1444)*G1444*J1444</f>
        <v/>
      </c>
      <c r="M1444" s="26">
        <f>L1444/K1444</f>
        <v/>
      </c>
      <c r="N1444" s="14" t="inlineStr">
        <is>
          <t>止损</t>
        </is>
      </c>
      <c r="O1444" s="14" t="inlineStr">
        <is>
          <t>是</t>
        </is>
      </c>
    </row>
    <row r="1445">
      <c r="A1445" s="2" t="inlineStr">
        <is>
          <t>2023-06-07</t>
        </is>
      </c>
      <c r="B1445" s="2" t="inlineStr">
        <is>
          <t>2023-07-13</t>
        </is>
      </c>
      <c r="C1445" s="2" t="inlineStr">
        <is>
          <t>锰硅</t>
        </is>
      </c>
      <c r="D1445" s="2" t="inlineStr">
        <is>
          <t>SM</t>
        </is>
      </c>
      <c r="E1445" s="9" t="inlineStr">
        <is>
          <t>空</t>
        </is>
      </c>
      <c r="F1445" s="2" t="inlineStr">
        <is>
          <t>★★★</t>
        </is>
      </c>
      <c r="G1445" s="10" t="n">
        <v>18</v>
      </c>
      <c r="H1445" s="11" t="n">
        <v>6500</v>
      </c>
      <c r="I1445" s="11" t="n">
        <v>6677.86</v>
      </c>
      <c r="J1445" s="10" t="n">
        <v>5</v>
      </c>
      <c r="K1445" s="10" t="n">
        <v>26900</v>
      </c>
      <c r="L1445" s="23">
        <f>IF(E1445="多",1,-1)*(I1445-H1445)*G1445*J1445</f>
        <v/>
      </c>
      <c r="M1445" s="24">
        <f>L1445/K1445</f>
        <v/>
      </c>
      <c r="N1445" s="2" t="inlineStr">
        <is>
          <t>止损</t>
        </is>
      </c>
      <c r="O1445" s="2" t="inlineStr">
        <is>
          <t>否</t>
        </is>
      </c>
    </row>
    <row r="1446">
      <c r="A1446" s="2" t="inlineStr">
        <is>
          <t>2023-07-11</t>
        </is>
      </c>
      <c r="B1446" s="2" t="inlineStr">
        <is>
          <t>2023-07-12</t>
        </is>
      </c>
      <c r="C1446" s="2" t="inlineStr">
        <is>
          <t>燃料油</t>
        </is>
      </c>
      <c r="D1446" s="2" t="inlineStr">
        <is>
          <t>FU</t>
        </is>
      </c>
      <c r="E1446" s="19" t="inlineStr">
        <is>
          <t>多</t>
        </is>
      </c>
      <c r="F1446" s="2" t="inlineStr">
        <is>
          <t>★★★</t>
        </is>
      </c>
      <c r="G1446" s="10" t="n">
        <v>10</v>
      </c>
      <c r="H1446" s="11" t="n">
        <v>3232</v>
      </c>
      <c r="I1446" s="11" t="n">
        <v>3222</v>
      </c>
      <c r="J1446" s="10" t="n">
        <v>10</v>
      </c>
      <c r="K1446" s="10" t="n">
        <v>21000</v>
      </c>
      <c r="L1446" s="23">
        <f>IF(E1446="多",1,-1)*(I1446-H1446)*G1446*J1446</f>
        <v/>
      </c>
      <c r="M1446" s="24">
        <f>L1446/K1446</f>
        <v/>
      </c>
      <c r="N1446" s="2" t="inlineStr">
        <is>
          <t>将军撤退</t>
        </is>
      </c>
      <c r="O1446" s="2" t="inlineStr">
        <is>
          <t>否</t>
        </is>
      </c>
    </row>
    <row r="1447">
      <c r="A1447" s="2" t="inlineStr">
        <is>
          <t>2023-07-10</t>
        </is>
      </c>
      <c r="B1447" s="2" t="inlineStr">
        <is>
          <t>2023-07-11</t>
        </is>
      </c>
      <c r="C1447" s="2" t="inlineStr">
        <is>
          <t>纯碱</t>
        </is>
      </c>
      <c r="D1447" s="2" t="inlineStr">
        <is>
          <t>SA</t>
        </is>
      </c>
      <c r="E1447" s="19" t="inlineStr">
        <is>
          <t>多</t>
        </is>
      </c>
      <c r="F1447" s="2" t="inlineStr">
        <is>
          <t>★★★</t>
        </is>
      </c>
      <c r="G1447" s="10" t="n">
        <v>8</v>
      </c>
      <c r="H1447" s="11" t="n">
        <v>1732</v>
      </c>
      <c r="I1447" s="11" t="n">
        <v>1794</v>
      </c>
      <c r="J1447" s="10" t="n">
        <v>20</v>
      </c>
      <c r="K1447" s="10" t="n">
        <v>22900</v>
      </c>
      <c r="L1447" s="23">
        <f>IF(E1447="多",1,-1)*(I1447-H1447)*G1447*J1447</f>
        <v/>
      </c>
      <c r="M1447" s="24">
        <f>L1447/K1447</f>
        <v/>
      </c>
      <c r="N1447" s="2" t="inlineStr">
        <is>
          <t>将军撤退</t>
        </is>
      </c>
      <c r="O1447" s="2" t="inlineStr">
        <is>
          <t>否</t>
        </is>
      </c>
    </row>
    <row r="1448">
      <c r="A1448" s="14" t="inlineStr">
        <is>
          <t>2023-07-07</t>
        </is>
      </c>
      <c r="B1448" s="14" t="inlineStr">
        <is>
          <t>2023-07-11</t>
        </is>
      </c>
      <c r="C1448" s="14" t="inlineStr">
        <is>
          <t>白糖</t>
        </is>
      </c>
      <c r="D1448" s="14" t="inlineStr">
        <is>
          <t>SR</t>
        </is>
      </c>
      <c r="E1448" s="14" t="inlineStr">
        <is>
          <t>空</t>
        </is>
      </c>
      <c r="F1448" s="14" t="inlineStr">
        <is>
          <t>★★</t>
        </is>
      </c>
      <c r="G1448" s="14" t="n">
        <v>3</v>
      </c>
      <c r="H1448" s="15" t="n">
        <v>6759</v>
      </c>
      <c r="I1448" s="15" t="n">
        <v>6768</v>
      </c>
      <c r="J1448" s="14" t="n">
        <v>10</v>
      </c>
      <c r="K1448" s="14" t="n">
        <v>10000</v>
      </c>
      <c r="L1448" s="25">
        <f>IF(E1448="多",1,-1)*(I1448-H1448)*G1448*J1448</f>
        <v/>
      </c>
      <c r="M1448" s="26">
        <f>L1448/K1448</f>
        <v/>
      </c>
      <c r="N1448" s="14" t="inlineStr">
        <is>
          <t>大将军转向</t>
        </is>
      </c>
      <c r="O1448" s="14" t="inlineStr">
        <is>
          <t>是</t>
        </is>
      </c>
    </row>
    <row r="1449">
      <c r="A1449" s="2" t="inlineStr">
        <is>
          <t>2023-07-07</t>
        </is>
      </c>
      <c r="B1449" s="2" t="inlineStr">
        <is>
          <t>2023-07-11</t>
        </is>
      </c>
      <c r="C1449" s="2" t="inlineStr">
        <is>
          <t>塑料</t>
        </is>
      </c>
      <c r="D1449" s="2" t="inlineStr">
        <is>
          <t>L</t>
        </is>
      </c>
      <c r="E1449" s="19" t="inlineStr">
        <is>
          <t>多</t>
        </is>
      </c>
      <c r="F1449" s="2" t="inlineStr">
        <is>
          <t>★★★</t>
        </is>
      </c>
      <c r="G1449" s="10" t="n">
        <v>22</v>
      </c>
      <c r="H1449" s="11" t="n">
        <v>7972</v>
      </c>
      <c r="I1449" s="11" t="n">
        <v>8010</v>
      </c>
      <c r="J1449" s="10" t="n">
        <v>5</v>
      </c>
      <c r="K1449" s="10" t="n">
        <v>25100</v>
      </c>
      <c r="L1449" s="23">
        <f>IF(E1449="多",1,-1)*(I1449-H1449)*G1449*J1449</f>
        <v/>
      </c>
      <c r="M1449" s="24">
        <f>L1449/K1449</f>
        <v/>
      </c>
      <c r="N1449" s="2" t="inlineStr">
        <is>
          <t>将军撤退</t>
        </is>
      </c>
      <c r="O1449" s="2" t="inlineStr">
        <is>
          <t>否</t>
        </is>
      </c>
    </row>
    <row r="1450">
      <c r="A1450" s="14" t="inlineStr">
        <is>
          <t>2023-06-28</t>
        </is>
      </c>
      <c r="B1450" s="14" t="inlineStr">
        <is>
          <t>2023-07-11</t>
        </is>
      </c>
      <c r="C1450" s="14" t="inlineStr">
        <is>
          <t>棉花</t>
        </is>
      </c>
      <c r="D1450" s="14" t="inlineStr">
        <is>
          <t>CF</t>
        </is>
      </c>
      <c r="E1450" s="14" t="inlineStr">
        <is>
          <t>空</t>
        </is>
      </c>
      <c r="F1450" s="14" t="inlineStr">
        <is>
          <t>★★</t>
        </is>
      </c>
      <c r="G1450" s="14" t="n">
        <v>2</v>
      </c>
      <c r="H1450" s="15" t="n">
        <v>16290</v>
      </c>
      <c r="I1450" s="15" t="n">
        <v>17080.71</v>
      </c>
      <c r="J1450" s="14" t="n">
        <v>5</v>
      </c>
      <c r="K1450" s="14" t="n">
        <v>10000</v>
      </c>
      <c r="L1450" s="25">
        <f>IF(E1450="多",1,-1)*(I1450-H1450)*G1450*J1450</f>
        <v/>
      </c>
      <c r="M1450" s="26">
        <f>L1450/K1450</f>
        <v/>
      </c>
      <c r="N1450" s="14" t="inlineStr">
        <is>
          <t>止损</t>
        </is>
      </c>
      <c r="O1450" s="14" t="inlineStr">
        <is>
          <t>是</t>
        </is>
      </c>
    </row>
    <row r="1451">
      <c r="A1451" s="14" t="inlineStr">
        <is>
          <t>2023-07-07</t>
        </is>
      </c>
      <c r="B1451" s="14" t="inlineStr">
        <is>
          <t>2023-07-10</t>
        </is>
      </c>
      <c r="C1451" s="14" t="inlineStr">
        <is>
          <t>沪锌</t>
        </is>
      </c>
      <c r="D1451" s="14" t="inlineStr">
        <is>
          <t>ZN</t>
        </is>
      </c>
      <c r="E1451" s="14" t="inlineStr">
        <is>
          <t>空</t>
        </is>
      </c>
      <c r="F1451" s="14" t="inlineStr">
        <is>
          <t>★★</t>
        </is>
      </c>
      <c r="G1451" s="14" t="n">
        <v>2</v>
      </c>
      <c r="H1451" s="15" t="n">
        <v>19955</v>
      </c>
      <c r="I1451" s="15" t="n">
        <v>19935</v>
      </c>
      <c r="J1451" s="14" t="n">
        <v>5</v>
      </c>
      <c r="K1451" s="14" t="n">
        <v>10000</v>
      </c>
      <c r="L1451" s="25">
        <f>IF(E1451="多",1,-1)*(I1451-H1451)*G1451*J1451</f>
        <v/>
      </c>
      <c r="M1451" s="26">
        <f>L1451/K1451</f>
        <v/>
      </c>
      <c r="N1451" s="14" t="inlineStr">
        <is>
          <t>将军撤退+大将军转向</t>
        </is>
      </c>
      <c r="O1451" s="14" t="inlineStr">
        <is>
          <t>是</t>
        </is>
      </c>
    </row>
    <row r="1452">
      <c r="A1452" s="14" t="inlineStr">
        <is>
          <t>2023-07-05</t>
        </is>
      </c>
      <c r="B1452" s="14" t="inlineStr">
        <is>
          <t>2023-07-10</t>
        </is>
      </c>
      <c r="C1452" s="14" t="inlineStr">
        <is>
          <t>苯乙烯</t>
        </is>
      </c>
      <c r="D1452" s="14" t="inlineStr">
        <is>
          <t>EB</t>
        </is>
      </c>
      <c r="E1452" s="14" t="inlineStr">
        <is>
          <t>多</t>
        </is>
      </c>
      <c r="F1452" s="14" t="inlineStr">
        <is>
          <t>★★★</t>
        </is>
      </c>
      <c r="G1452" s="14" t="n">
        <v>4</v>
      </c>
      <c r="H1452" s="15" t="n">
        <v>7350</v>
      </c>
      <c r="I1452" s="15" t="n">
        <v>7499</v>
      </c>
      <c r="J1452" s="14" t="n">
        <v>5</v>
      </c>
      <c r="K1452" s="14" t="n">
        <v>10000</v>
      </c>
      <c r="L1452" s="25">
        <f>IF(E1452="多",1,-1)*(I1452-H1452)*G1452*J1452</f>
        <v/>
      </c>
      <c r="M1452" s="26">
        <f>L1452/K1452</f>
        <v/>
      </c>
      <c r="N1452" s="14" t="inlineStr">
        <is>
          <t>大将军转向</t>
        </is>
      </c>
      <c r="O1452" s="14" t="inlineStr">
        <is>
          <t>是</t>
        </is>
      </c>
    </row>
    <row r="1453">
      <c r="A1453" s="2" t="inlineStr">
        <is>
          <t>2023-06-30</t>
        </is>
      </c>
      <c r="B1453" s="2" t="inlineStr">
        <is>
          <t>2023-07-10</t>
        </is>
      </c>
      <c r="C1453" s="2" t="inlineStr">
        <is>
          <t>甲醇</t>
        </is>
      </c>
      <c r="D1453" s="2" t="inlineStr">
        <is>
          <t>MA</t>
        </is>
      </c>
      <c r="E1453" s="19" t="inlineStr">
        <is>
          <t>多</t>
        </is>
      </c>
      <c r="F1453" s="2" t="inlineStr">
        <is>
          <t>★★★</t>
        </is>
      </c>
      <c r="G1453" s="10" t="n">
        <v>15</v>
      </c>
      <c r="H1453" s="11" t="n">
        <v>2162</v>
      </c>
      <c r="I1453" s="11" t="n">
        <v>2176</v>
      </c>
      <c r="J1453" s="10" t="n">
        <v>10</v>
      </c>
      <c r="K1453" s="10" t="n">
        <v>22400</v>
      </c>
      <c r="L1453" s="23">
        <f>IF(E1453="多",1,-1)*(I1453-H1453)*G1453*J1453</f>
        <v/>
      </c>
      <c r="M1453" s="24">
        <f>L1453/K1453</f>
        <v/>
      </c>
      <c r="N1453" s="2" t="inlineStr">
        <is>
          <t>将军撤退</t>
        </is>
      </c>
      <c r="O1453" s="2" t="inlineStr">
        <is>
          <t>否</t>
        </is>
      </c>
    </row>
    <row r="1454">
      <c r="A1454" s="14" t="inlineStr">
        <is>
          <t>2023-06-27</t>
        </is>
      </c>
      <c r="B1454" s="14" t="inlineStr">
        <is>
          <t>2023-07-10</t>
        </is>
      </c>
      <c r="C1454" s="14" t="inlineStr">
        <is>
          <t>硅铁</t>
        </is>
      </c>
      <c r="D1454" s="14" t="inlineStr">
        <is>
          <t>SF</t>
        </is>
      </c>
      <c r="E1454" s="14" t="inlineStr">
        <is>
          <t>多</t>
        </is>
      </c>
      <c r="F1454" s="14" t="inlineStr">
        <is>
          <t>★★</t>
        </is>
      </c>
      <c r="G1454" s="14" t="n">
        <v>4</v>
      </c>
      <c r="H1454" s="15" t="n">
        <v>6950</v>
      </c>
      <c r="I1454" s="15" t="n">
        <v>6762.71</v>
      </c>
      <c r="J1454" s="14" t="n">
        <v>5</v>
      </c>
      <c r="K1454" s="14" t="n">
        <v>10000</v>
      </c>
      <c r="L1454" s="25">
        <f>IF(E1454="多",1,-1)*(I1454-H1454)*G1454*J1454</f>
        <v/>
      </c>
      <c r="M1454" s="26">
        <f>L1454/K1454</f>
        <v/>
      </c>
      <c r="N1454" s="14" t="inlineStr">
        <is>
          <t>止损</t>
        </is>
      </c>
      <c r="O1454" s="14" t="inlineStr">
        <is>
          <t>是</t>
        </is>
      </c>
    </row>
    <row r="1455">
      <c r="A1455" s="2" t="inlineStr">
        <is>
          <t>2023-07-06</t>
        </is>
      </c>
      <c r="B1455" s="2" t="inlineStr">
        <is>
          <t>2023-07-07</t>
        </is>
      </c>
      <c r="C1455" s="2" t="inlineStr">
        <is>
          <t>PTA</t>
        </is>
      </c>
      <c r="D1455" s="2" t="inlineStr">
        <is>
          <t>TA</t>
        </is>
      </c>
      <c r="E1455" s="19" t="inlineStr">
        <is>
          <t>多</t>
        </is>
      </c>
      <c r="F1455" s="2" t="inlineStr">
        <is>
          <t>★★★</t>
        </is>
      </c>
      <c r="G1455" s="10" t="n">
        <v>18</v>
      </c>
      <c r="H1455" s="11" t="n">
        <v>5604</v>
      </c>
      <c r="I1455" s="11" t="n">
        <v>5744</v>
      </c>
      <c r="J1455" s="10" t="n">
        <v>5</v>
      </c>
      <c r="K1455" s="10" t="n">
        <v>25000</v>
      </c>
      <c r="L1455" s="23">
        <f>IF(E1455="多",1,-1)*(I1455-H1455)*G1455*J1455</f>
        <v/>
      </c>
      <c r="M1455" s="24">
        <f>L1455/K1455</f>
        <v/>
      </c>
      <c r="N1455" s="2" t="inlineStr">
        <is>
          <t>将军撤退+大将军转向</t>
        </is>
      </c>
      <c r="O1455" s="2" t="inlineStr">
        <is>
          <t>否</t>
        </is>
      </c>
    </row>
    <row r="1456">
      <c r="A1456" s="14" t="inlineStr">
        <is>
          <t>2023-07-06</t>
        </is>
      </c>
      <c r="B1456" s="14" t="inlineStr">
        <is>
          <t>2023-07-07</t>
        </is>
      </c>
      <c r="C1456" s="14" t="inlineStr">
        <is>
          <t>菜油</t>
        </is>
      </c>
      <c r="D1456" s="14" t="inlineStr">
        <is>
          <t>OI</t>
        </is>
      </c>
      <c r="E1456" s="14" t="inlineStr">
        <is>
          <t>多</t>
        </is>
      </c>
      <c r="F1456" s="14" t="inlineStr">
        <is>
          <t>★★</t>
        </is>
      </c>
      <c r="G1456" s="14" t="n">
        <v>1</v>
      </c>
      <c r="H1456" s="15" t="n">
        <v>9355</v>
      </c>
      <c r="I1456" s="15" t="n">
        <v>9265</v>
      </c>
      <c r="J1456" s="14" t="n">
        <v>10</v>
      </c>
      <c r="K1456" s="14" t="n">
        <v>10000</v>
      </c>
      <c r="L1456" s="25">
        <f>IF(E1456="多",1,-1)*(I1456-H1456)*G1456*J1456</f>
        <v/>
      </c>
      <c r="M1456" s="26">
        <f>L1456/K1456</f>
        <v/>
      </c>
      <c r="N1456" s="14" t="inlineStr">
        <is>
          <t>大将军转向</t>
        </is>
      </c>
      <c r="O1456" s="14" t="inlineStr">
        <is>
          <t>是</t>
        </is>
      </c>
    </row>
    <row r="1457">
      <c r="A1457" s="14" t="inlineStr">
        <is>
          <t>2023-06-26</t>
        </is>
      </c>
      <c r="B1457" s="14" t="inlineStr">
        <is>
          <t>2023-07-07</t>
        </is>
      </c>
      <c r="C1457" s="14" t="inlineStr">
        <is>
          <t>玻璃</t>
        </is>
      </c>
      <c r="D1457" s="14" t="inlineStr">
        <is>
          <t>FG</t>
        </is>
      </c>
      <c r="E1457" s="14" t="inlineStr">
        <is>
          <t>空</t>
        </is>
      </c>
      <c r="F1457" s="14" t="inlineStr">
        <is>
          <t>★★</t>
        </is>
      </c>
      <c r="G1457" s="14" t="n">
        <v>3</v>
      </c>
      <c r="H1457" s="15" t="n">
        <v>1492</v>
      </c>
      <c r="I1457" s="15" t="n">
        <v>1606.86</v>
      </c>
      <c r="J1457" s="14" t="n">
        <v>20</v>
      </c>
      <c r="K1457" s="14" t="n">
        <v>10000</v>
      </c>
      <c r="L1457" s="25">
        <f>IF(E1457="多",1,-1)*(I1457-H1457)*G1457*J1457</f>
        <v/>
      </c>
      <c r="M1457" s="26">
        <f>L1457/K1457</f>
        <v/>
      </c>
      <c r="N1457" s="14" t="inlineStr">
        <is>
          <t>止损</t>
        </is>
      </c>
      <c r="O1457" s="14" t="inlineStr">
        <is>
          <t>是</t>
        </is>
      </c>
    </row>
    <row r="1458">
      <c r="A1458" s="2" t="inlineStr">
        <is>
          <t>2023-06-09</t>
        </is>
      </c>
      <c r="B1458" s="2" t="inlineStr">
        <is>
          <t>2023-07-07</t>
        </is>
      </c>
      <c r="C1458" s="2" t="inlineStr">
        <is>
          <t>乙二醇</t>
        </is>
      </c>
      <c r="D1458" s="2" t="inlineStr">
        <is>
          <t>EG</t>
        </is>
      </c>
      <c r="E1458" s="9" t="inlineStr">
        <is>
          <t>空</t>
        </is>
      </c>
      <c r="F1458" s="2" t="inlineStr">
        <is>
          <t>★★★</t>
        </is>
      </c>
      <c r="G1458" s="10" t="n">
        <v>11</v>
      </c>
      <c r="H1458" s="11" t="n">
        <v>3962</v>
      </c>
      <c r="I1458" s="11" t="n">
        <v>4019.29</v>
      </c>
      <c r="J1458" s="10" t="n">
        <v>10</v>
      </c>
      <c r="K1458" s="10" t="n">
        <v>25700</v>
      </c>
      <c r="L1458" s="23">
        <f>IF(E1458="多",1,-1)*(I1458-H1458)*G1458*J1458</f>
        <v/>
      </c>
      <c r="M1458" s="24">
        <f>L1458/K1458</f>
        <v/>
      </c>
      <c r="N1458" s="2" t="inlineStr">
        <is>
          <t>止损</t>
        </is>
      </c>
      <c r="O1458" s="2" t="inlineStr">
        <is>
          <t>否</t>
        </is>
      </c>
    </row>
    <row r="1459">
      <c r="A1459" s="14" t="inlineStr">
        <is>
          <t>2023-06-06</t>
        </is>
      </c>
      <c r="B1459" s="14" t="inlineStr">
        <is>
          <t>2023-07-07</t>
        </is>
      </c>
      <c r="C1459" s="14" t="inlineStr">
        <is>
          <t>纯碱</t>
        </is>
      </c>
      <c r="D1459" s="14" t="inlineStr">
        <is>
          <t>SA</t>
        </is>
      </c>
      <c r="E1459" s="14" t="inlineStr">
        <is>
          <t>空</t>
        </is>
      </c>
      <c r="F1459" s="14" t="inlineStr">
        <is>
          <t>★★★</t>
        </is>
      </c>
      <c r="G1459" s="14" t="n">
        <v>2</v>
      </c>
      <c r="H1459" s="15" t="n">
        <v>1651</v>
      </c>
      <c r="I1459" s="15" t="n">
        <v>1719.29</v>
      </c>
      <c r="J1459" s="14" t="n">
        <v>20</v>
      </c>
      <c r="K1459" s="14" t="n">
        <v>10000</v>
      </c>
      <c r="L1459" s="25">
        <f>IF(E1459="多",1,-1)*(I1459-H1459)*G1459*J1459</f>
        <v/>
      </c>
      <c r="M1459" s="26">
        <f>L1459/K1459</f>
        <v/>
      </c>
      <c r="N1459" s="14" t="inlineStr">
        <is>
          <t>止损</t>
        </is>
      </c>
      <c r="O1459" s="14" t="inlineStr">
        <is>
          <t>是</t>
        </is>
      </c>
    </row>
    <row r="1460">
      <c r="A1460" s="2" t="inlineStr">
        <is>
          <t>2023-07-05</t>
        </is>
      </c>
      <c r="B1460" s="2" t="inlineStr">
        <is>
          <t>2023-07-06</t>
        </is>
      </c>
      <c r="C1460" s="2" t="inlineStr">
        <is>
          <t>塑料</t>
        </is>
      </c>
      <c r="D1460" s="2" t="inlineStr">
        <is>
          <t>L</t>
        </is>
      </c>
      <c r="E1460" s="19" t="inlineStr">
        <is>
          <t>多</t>
        </is>
      </c>
      <c r="F1460" s="2" t="inlineStr">
        <is>
          <t>★★★</t>
        </is>
      </c>
      <c r="G1460" s="10" t="n">
        <v>21</v>
      </c>
      <c r="H1460" s="11" t="n">
        <v>7900</v>
      </c>
      <c r="I1460" s="11" t="n">
        <v>7912</v>
      </c>
      <c r="J1460" s="10" t="n">
        <v>5</v>
      </c>
      <c r="K1460" s="10" t="n">
        <v>24700</v>
      </c>
      <c r="L1460" s="23">
        <f>IF(E1460="多",1,-1)*(I1460-H1460)*G1460*J1460</f>
        <v/>
      </c>
      <c r="M1460" s="24">
        <f>L1460/K1460</f>
        <v/>
      </c>
      <c r="N1460" s="2" t="inlineStr">
        <is>
          <t>将军撤退</t>
        </is>
      </c>
      <c r="O1460" s="2" t="inlineStr">
        <is>
          <t>否</t>
        </is>
      </c>
    </row>
    <row r="1461">
      <c r="A1461" s="14" t="inlineStr">
        <is>
          <t>2023-07-04</t>
        </is>
      </c>
      <c r="B1461" s="14" t="inlineStr">
        <is>
          <t>2023-07-06</t>
        </is>
      </c>
      <c r="C1461" s="14" t="inlineStr">
        <is>
          <t>玉米</t>
        </is>
      </c>
      <c r="D1461" s="14" t="inlineStr">
        <is>
          <t>C</t>
        </is>
      </c>
      <c r="E1461" s="14" t="inlineStr">
        <is>
          <t>多</t>
        </is>
      </c>
      <c r="F1461" s="14" t="inlineStr">
        <is>
          <t>★★★</t>
        </is>
      </c>
      <c r="G1461" s="14" t="n">
        <v>10</v>
      </c>
      <c r="H1461" s="15" t="n">
        <v>2755</v>
      </c>
      <c r="I1461" s="15" t="n">
        <v>2789</v>
      </c>
      <c r="J1461" s="14" t="n">
        <v>10</v>
      </c>
      <c r="K1461" s="14" t="n">
        <v>10000</v>
      </c>
      <c r="L1461" s="25">
        <f>IF(E1461="多",1,-1)*(I1461-H1461)*G1461*J1461</f>
        <v/>
      </c>
      <c r="M1461" s="26">
        <f>L1461/K1461</f>
        <v/>
      </c>
      <c r="N1461" s="14" t="inlineStr">
        <is>
          <t>将军撤退</t>
        </is>
      </c>
      <c r="O1461" s="14" t="inlineStr">
        <is>
          <t>是</t>
        </is>
      </c>
    </row>
    <row r="1462">
      <c r="A1462" s="14" t="inlineStr">
        <is>
          <t>2023-06-28</t>
        </is>
      </c>
      <c r="B1462" s="14" t="inlineStr">
        <is>
          <t>2023-07-06</t>
        </is>
      </c>
      <c r="C1462" s="14" t="inlineStr">
        <is>
          <t>白糖</t>
        </is>
      </c>
      <c r="D1462" s="14" t="inlineStr">
        <is>
          <t>SR</t>
        </is>
      </c>
      <c r="E1462" s="14" t="inlineStr">
        <is>
          <t>空</t>
        </is>
      </c>
      <c r="F1462" s="14" t="inlineStr">
        <is>
          <t>★★</t>
        </is>
      </c>
      <c r="G1462" s="14" t="n">
        <v>3</v>
      </c>
      <c r="H1462" s="15" t="n">
        <v>6636</v>
      </c>
      <c r="I1462" s="15" t="n">
        <v>6770</v>
      </c>
      <c r="J1462" s="14" t="n">
        <v>10</v>
      </c>
      <c r="K1462" s="14" t="n">
        <v>10000</v>
      </c>
      <c r="L1462" s="25">
        <f>IF(E1462="多",1,-1)*(I1462-H1462)*G1462*J1462</f>
        <v/>
      </c>
      <c r="M1462" s="26">
        <f>L1462/K1462</f>
        <v/>
      </c>
      <c r="N1462" s="14" t="inlineStr">
        <is>
          <t>大将军转向</t>
        </is>
      </c>
      <c r="O1462" s="14" t="inlineStr">
        <is>
          <t>是</t>
        </is>
      </c>
    </row>
    <row r="1463">
      <c r="A1463" s="14" t="inlineStr">
        <is>
          <t>2023-07-04</t>
        </is>
      </c>
      <c r="B1463" s="14" t="inlineStr">
        <is>
          <t>2023-07-05</t>
        </is>
      </c>
      <c r="C1463" s="14" t="inlineStr">
        <is>
          <t>棕榈油</t>
        </is>
      </c>
      <c r="D1463" s="14" t="inlineStr">
        <is>
          <t>P</t>
        </is>
      </c>
      <c r="E1463" s="14" t="inlineStr">
        <is>
          <t>多</t>
        </is>
      </c>
      <c r="F1463" s="14" t="inlineStr">
        <is>
          <t>★★</t>
        </is>
      </c>
      <c r="G1463" s="14" t="n">
        <v>1</v>
      </c>
      <c r="H1463" s="15" t="n">
        <v>7576</v>
      </c>
      <c r="I1463" s="15" t="n">
        <v>7578</v>
      </c>
      <c r="J1463" s="14" t="n">
        <v>10</v>
      </c>
      <c r="K1463" s="14" t="n">
        <v>10000</v>
      </c>
      <c r="L1463" s="25">
        <f>IF(E1463="多",1,-1)*(I1463-H1463)*G1463*J1463</f>
        <v/>
      </c>
      <c r="M1463" s="26">
        <f>L1463/K1463</f>
        <v/>
      </c>
      <c r="N1463" s="14" t="inlineStr">
        <is>
          <t>将军撤退</t>
        </is>
      </c>
      <c r="O1463" s="14" t="inlineStr">
        <is>
          <t>是</t>
        </is>
      </c>
    </row>
    <row r="1464">
      <c r="A1464" s="2" t="inlineStr">
        <is>
          <t>2023-07-03</t>
        </is>
      </c>
      <c r="B1464" s="2" t="inlineStr">
        <is>
          <t>2023-07-04</t>
        </is>
      </c>
      <c r="C1464" s="2" t="inlineStr">
        <is>
          <t>豆油</t>
        </is>
      </c>
      <c r="D1464" s="2" t="inlineStr">
        <is>
          <t>Y</t>
        </is>
      </c>
      <c r="E1464" s="19" t="inlineStr">
        <is>
          <t>多</t>
        </is>
      </c>
      <c r="F1464" s="2" t="inlineStr">
        <is>
          <t>★★★</t>
        </is>
      </c>
      <c r="G1464" s="10" t="n">
        <v>4</v>
      </c>
      <c r="H1464" s="11" t="n">
        <v>8204</v>
      </c>
      <c r="I1464" s="11" t="n">
        <v>8094</v>
      </c>
      <c r="J1464" s="10" t="n">
        <v>10</v>
      </c>
      <c r="K1464" s="10" t="n">
        <v>24900</v>
      </c>
      <c r="L1464" s="23">
        <f>IF(E1464="多",1,-1)*(I1464-H1464)*G1464*J1464</f>
        <v/>
      </c>
      <c r="M1464" s="24">
        <f>L1464/K1464</f>
        <v/>
      </c>
      <c r="N1464" s="2" t="inlineStr">
        <is>
          <t>大将军转向</t>
        </is>
      </c>
      <c r="O1464" s="2" t="inlineStr">
        <is>
          <t>否</t>
        </is>
      </c>
    </row>
    <row r="1465">
      <c r="A1465" s="14" t="inlineStr">
        <is>
          <t>2023-07-03</t>
        </is>
      </c>
      <c r="B1465" s="14" t="inlineStr">
        <is>
          <t>2023-07-04</t>
        </is>
      </c>
      <c r="C1465" s="14" t="inlineStr">
        <is>
          <t>苯乙烯</t>
        </is>
      </c>
      <c r="D1465" s="14" t="inlineStr">
        <is>
          <t>EB</t>
        </is>
      </c>
      <c r="E1465" s="14" t="inlineStr">
        <is>
          <t>多</t>
        </is>
      </c>
      <c r="F1465" s="14" t="inlineStr">
        <is>
          <t>★★</t>
        </is>
      </c>
      <c r="G1465" s="14" t="n">
        <v>3</v>
      </c>
      <c r="H1465" s="15" t="n">
        <v>7296</v>
      </c>
      <c r="I1465" s="15" t="n">
        <v>7317</v>
      </c>
      <c r="J1465" s="14" t="n">
        <v>5</v>
      </c>
      <c r="K1465" s="14" t="n">
        <v>10000</v>
      </c>
      <c r="L1465" s="25">
        <f>IF(E1465="多",1,-1)*(I1465-H1465)*G1465*J1465</f>
        <v/>
      </c>
      <c r="M1465" s="26">
        <f>L1465/K1465</f>
        <v/>
      </c>
      <c r="N1465" s="14" t="inlineStr">
        <is>
          <t>将军撤退+大将军转向</t>
        </is>
      </c>
      <c r="O1465" s="14" t="inlineStr">
        <is>
          <t>是</t>
        </is>
      </c>
    </row>
    <row r="1466">
      <c r="A1466" s="14" t="inlineStr">
        <is>
          <t>2023-06-28</t>
        </is>
      </c>
      <c r="B1466" s="14" t="inlineStr">
        <is>
          <t>2023-07-04</t>
        </is>
      </c>
      <c r="C1466" s="14" t="inlineStr">
        <is>
          <t>沪锌</t>
        </is>
      </c>
      <c r="D1466" s="14" t="inlineStr">
        <is>
          <t>ZN</t>
        </is>
      </c>
      <c r="E1466" s="14" t="inlineStr">
        <is>
          <t>空</t>
        </is>
      </c>
      <c r="F1466" s="14" t="inlineStr">
        <is>
          <t>★★</t>
        </is>
      </c>
      <c r="G1466" s="14" t="n">
        <v>2</v>
      </c>
      <c r="H1466" s="15" t="n">
        <v>19925</v>
      </c>
      <c r="I1466" s="15" t="n">
        <v>20085</v>
      </c>
      <c r="J1466" s="14" t="n">
        <v>5</v>
      </c>
      <c r="K1466" s="14" t="n">
        <v>10000</v>
      </c>
      <c r="L1466" s="25">
        <f>IF(E1466="多",1,-1)*(I1466-H1466)*G1466*J1466</f>
        <v/>
      </c>
      <c r="M1466" s="26">
        <f>L1466/K1466</f>
        <v/>
      </c>
      <c r="N1466" s="14" t="inlineStr">
        <is>
          <t>大将军转向</t>
        </is>
      </c>
      <c r="O1466" s="14" t="inlineStr">
        <is>
          <t>是</t>
        </is>
      </c>
    </row>
    <row r="1467">
      <c r="A1467" s="2" t="inlineStr">
        <is>
          <t>2023-06-30</t>
        </is>
      </c>
      <c r="B1467" s="2" t="inlineStr">
        <is>
          <t>2023-07-03</t>
        </is>
      </c>
      <c r="C1467" s="2" t="inlineStr">
        <is>
          <t>菜粕</t>
        </is>
      </c>
      <c r="D1467" s="2" t="inlineStr">
        <is>
          <t>RM</t>
        </is>
      </c>
      <c r="E1467" s="19" t="inlineStr">
        <is>
          <t>多</t>
        </is>
      </c>
      <c r="F1467" s="2" t="inlineStr">
        <is>
          <t>★★★</t>
        </is>
      </c>
      <c r="G1467" s="10" t="n">
        <v>9</v>
      </c>
      <c r="H1467" s="11" t="n">
        <v>3338</v>
      </c>
      <c r="I1467" s="11" t="n">
        <v>3584</v>
      </c>
      <c r="J1467" s="10" t="n">
        <v>10</v>
      </c>
      <c r="K1467" s="10" t="n">
        <v>22400</v>
      </c>
      <c r="L1467" s="23">
        <f>IF(E1467="多",1,-1)*(I1467-H1467)*G1467*J1467</f>
        <v/>
      </c>
      <c r="M1467" s="24">
        <f>L1467/K1467</f>
        <v/>
      </c>
      <c r="N1467" s="2" t="inlineStr">
        <is>
          <t>将军撤退</t>
        </is>
      </c>
      <c r="O1467" s="2" t="inlineStr">
        <is>
          <t>否</t>
        </is>
      </c>
    </row>
    <row r="1468">
      <c r="A1468" s="14" t="inlineStr">
        <is>
          <t>2023-06-29</t>
        </is>
      </c>
      <c r="B1468" s="14" t="inlineStr">
        <is>
          <t>2023-07-03</t>
        </is>
      </c>
      <c r="C1468" s="14" t="inlineStr">
        <is>
          <t>棕榈油</t>
        </is>
      </c>
      <c r="D1468" s="14" t="inlineStr">
        <is>
          <t>P</t>
        </is>
      </c>
      <c r="E1468" s="14" t="inlineStr">
        <is>
          <t>多</t>
        </is>
      </c>
      <c r="F1468" s="14" t="inlineStr">
        <is>
          <t>★★★</t>
        </is>
      </c>
      <c r="G1468" s="14" t="n">
        <v>1</v>
      </c>
      <c r="H1468" s="15" t="n">
        <v>7280</v>
      </c>
      <c r="I1468" s="15" t="n">
        <v>7720</v>
      </c>
      <c r="J1468" s="14" t="n">
        <v>10</v>
      </c>
      <c r="K1468" s="14" t="n">
        <v>10000</v>
      </c>
      <c r="L1468" s="25">
        <f>IF(E1468="多",1,-1)*(I1468-H1468)*G1468*J1468</f>
        <v/>
      </c>
      <c r="M1468" s="26">
        <f>L1468/K1468</f>
        <v/>
      </c>
      <c r="N1468" s="14" t="inlineStr">
        <is>
          <t>将军撤退</t>
        </is>
      </c>
      <c r="O1468" s="14" t="inlineStr">
        <is>
          <t>是</t>
        </is>
      </c>
    </row>
    <row r="1469">
      <c r="A1469" s="14" t="inlineStr">
        <is>
          <t>2023-06-19</t>
        </is>
      </c>
      <c r="B1469" s="14" t="inlineStr">
        <is>
          <t>2023-07-03</t>
        </is>
      </c>
      <c r="C1469" s="14" t="inlineStr">
        <is>
          <t>铁矿石</t>
        </is>
      </c>
      <c r="D1469" s="14" t="inlineStr">
        <is>
          <t>I</t>
        </is>
      </c>
      <c r="E1469" s="14" t="inlineStr">
        <is>
          <t>多</t>
        </is>
      </c>
      <c r="F1469" s="14" t="inlineStr">
        <is>
          <t>★★★</t>
        </is>
      </c>
      <c r="G1469" s="14" t="n">
        <v>1</v>
      </c>
      <c r="H1469" s="15" t="n">
        <v>810</v>
      </c>
      <c r="I1469" s="15" t="n">
        <v>819</v>
      </c>
      <c r="J1469" s="14" t="n">
        <v>100</v>
      </c>
      <c r="K1469" s="14" t="n">
        <v>10000</v>
      </c>
      <c r="L1469" s="25">
        <f>IF(E1469="多",1,-1)*(I1469-H1469)*G1469*J1469</f>
        <v/>
      </c>
      <c r="M1469" s="26">
        <f>L1469/K1469</f>
        <v/>
      </c>
      <c r="N1469" s="14" t="inlineStr">
        <is>
          <t>反向信号</t>
        </is>
      </c>
      <c r="O1469" s="14" t="inlineStr">
        <is>
          <t>是</t>
        </is>
      </c>
    </row>
    <row r="1470">
      <c r="A1470" s="14" t="inlineStr">
        <is>
          <t>2023-06-16</t>
        </is>
      </c>
      <c r="B1470" s="14" t="inlineStr">
        <is>
          <t>2023-07-03</t>
        </is>
      </c>
      <c r="C1470" s="14" t="inlineStr">
        <is>
          <t>菜油</t>
        </is>
      </c>
      <c r="D1470" s="14" t="inlineStr">
        <is>
          <t>OI</t>
        </is>
      </c>
      <c r="E1470" s="14" t="inlineStr">
        <is>
          <t>多</t>
        </is>
      </c>
      <c r="F1470" s="14" t="inlineStr">
        <is>
          <t>★★</t>
        </is>
      </c>
      <c r="G1470" s="14" t="n">
        <v>1</v>
      </c>
      <c r="H1470" s="15" t="n">
        <v>8500</v>
      </c>
      <c r="I1470" s="15" t="n">
        <v>9310</v>
      </c>
      <c r="J1470" s="14" t="n">
        <v>10</v>
      </c>
      <c r="K1470" s="14" t="n">
        <v>10000</v>
      </c>
      <c r="L1470" s="25">
        <f>IF(E1470="多",1,-1)*(I1470-H1470)*G1470*J1470</f>
        <v/>
      </c>
      <c r="M1470" s="26">
        <f>L1470/K1470</f>
        <v/>
      </c>
      <c r="N1470" s="14" t="inlineStr">
        <is>
          <t>大将军转向</t>
        </is>
      </c>
      <c r="O1470" s="14" t="inlineStr">
        <is>
          <t>是</t>
        </is>
      </c>
    </row>
    <row r="1471">
      <c r="A1471" s="2" t="inlineStr">
        <is>
          <t>2023-06-16</t>
        </is>
      </c>
      <c r="B1471" s="2" t="inlineStr">
        <is>
          <t>2023-06-30</t>
        </is>
      </c>
      <c r="C1471" s="2" t="inlineStr">
        <is>
          <t>沪铜</t>
        </is>
      </c>
      <c r="D1471" s="2" t="inlineStr">
        <is>
          <t>CU</t>
        </is>
      </c>
      <c r="E1471" s="19" t="inlineStr">
        <is>
          <t>多</t>
        </is>
      </c>
      <c r="F1471" s="2" t="inlineStr">
        <is>
          <t>★★★</t>
        </is>
      </c>
      <c r="G1471" s="10" t="n">
        <v>1</v>
      </c>
      <c r="H1471" s="11" t="n">
        <v>68290</v>
      </c>
      <c r="I1471" s="11" t="n">
        <v>66800</v>
      </c>
      <c r="J1471" s="10" t="n">
        <v>5</v>
      </c>
      <c r="K1471" s="10" t="n">
        <v>20500</v>
      </c>
      <c r="L1471" s="23">
        <f>IF(E1471="多",1,-1)*(I1471-H1471)*G1471*J1471</f>
        <v/>
      </c>
      <c r="M1471" s="24">
        <f>L1471/K1471</f>
        <v/>
      </c>
      <c r="N1471" s="2" t="inlineStr">
        <is>
          <t>跳空止损</t>
        </is>
      </c>
      <c r="O1471" s="2" t="inlineStr">
        <is>
          <t>否</t>
        </is>
      </c>
    </row>
    <row r="1472">
      <c r="A1472" s="2" t="inlineStr">
        <is>
          <t>2023-06-06</t>
        </is>
      </c>
      <c r="B1472" s="2" t="inlineStr">
        <is>
          <t>2023-06-30</t>
        </is>
      </c>
      <c r="C1472" s="2" t="inlineStr">
        <is>
          <t>聚丙烯</t>
        </is>
      </c>
      <c r="D1472" s="2" t="inlineStr">
        <is>
          <t>PP</t>
        </is>
      </c>
      <c r="E1472" s="9" t="inlineStr">
        <is>
          <t>空</t>
        </is>
      </c>
      <c r="F1472" s="2" t="inlineStr">
        <is>
          <t>★★★</t>
        </is>
      </c>
      <c r="G1472" s="10" t="n">
        <v>15</v>
      </c>
      <c r="H1472" s="11" t="n">
        <v>6927</v>
      </c>
      <c r="I1472" s="11" t="n">
        <v>7074.29</v>
      </c>
      <c r="J1472" s="10" t="n">
        <v>5</v>
      </c>
      <c r="K1472" s="10" t="n">
        <v>26900</v>
      </c>
      <c r="L1472" s="23">
        <f>IF(E1472="多",1,-1)*(I1472-H1472)*G1472*J1472</f>
        <v/>
      </c>
      <c r="M1472" s="24">
        <f>L1472/K1472</f>
        <v/>
      </c>
      <c r="N1472" s="2" t="inlineStr">
        <is>
          <t>止损</t>
        </is>
      </c>
      <c r="O1472" s="2" t="inlineStr">
        <is>
          <t>否</t>
        </is>
      </c>
    </row>
    <row r="1473">
      <c r="A1473" s="14" t="inlineStr">
        <is>
          <t>2023-06-27</t>
        </is>
      </c>
      <c r="B1473" s="14" t="inlineStr">
        <is>
          <t>2023-06-28</t>
        </is>
      </c>
      <c r="C1473" s="14" t="inlineStr">
        <is>
          <t>沥青</t>
        </is>
      </c>
      <c r="D1473" s="14" t="inlineStr">
        <is>
          <t>BU</t>
        </is>
      </c>
      <c r="E1473" s="14" t="inlineStr">
        <is>
          <t>空</t>
        </is>
      </c>
      <c r="F1473" s="14" t="inlineStr">
        <is>
          <t>★★</t>
        </is>
      </c>
      <c r="G1473" s="14" t="n">
        <v>3</v>
      </c>
      <c r="H1473" s="15" t="n">
        <v>3562</v>
      </c>
      <c r="I1473" s="15" t="n">
        <v>3562</v>
      </c>
      <c r="J1473" s="14" t="n">
        <v>10</v>
      </c>
      <c r="K1473" s="14" t="n">
        <v>10000</v>
      </c>
      <c r="L1473" s="25">
        <f>IF(E1473="多",1,-1)*(I1473-H1473)*G1473*J1473</f>
        <v/>
      </c>
      <c r="M1473" s="26">
        <f>L1473/K1473</f>
        <v/>
      </c>
      <c r="N1473" s="14" t="inlineStr">
        <is>
          <t>大将军转向</t>
        </is>
      </c>
      <c r="O1473" s="14" t="inlineStr">
        <is>
          <t>是</t>
        </is>
      </c>
    </row>
    <row r="1474">
      <c r="A1474" s="14" t="inlineStr">
        <is>
          <t>2023-06-05</t>
        </is>
      </c>
      <c r="B1474" s="14" t="inlineStr">
        <is>
          <t>2023-06-28</t>
        </is>
      </c>
      <c r="C1474" s="14" t="inlineStr">
        <is>
          <t>尿素</t>
        </is>
      </c>
      <c r="D1474" s="14" t="inlineStr">
        <is>
          <t>UR</t>
        </is>
      </c>
      <c r="E1474" s="14" t="inlineStr">
        <is>
          <t>空</t>
        </is>
      </c>
      <c r="F1474" s="14" t="inlineStr">
        <is>
          <t>★★★</t>
        </is>
      </c>
      <c r="G1474" s="14" t="n">
        <v>2</v>
      </c>
      <c r="H1474" s="15" t="n">
        <v>1721</v>
      </c>
      <c r="I1474" s="15" t="n">
        <v>1764</v>
      </c>
      <c r="J1474" s="14" t="n">
        <v>20</v>
      </c>
      <c r="K1474" s="14" t="n">
        <v>10000</v>
      </c>
      <c r="L1474" s="25">
        <f>IF(E1474="多",1,-1)*(I1474-H1474)*G1474*J1474</f>
        <v/>
      </c>
      <c r="M1474" s="26">
        <f>L1474/K1474</f>
        <v/>
      </c>
      <c r="N1474" s="14" t="inlineStr">
        <is>
          <t>跳空止损</t>
        </is>
      </c>
      <c r="O1474" s="14" t="inlineStr">
        <is>
          <t>是</t>
        </is>
      </c>
    </row>
    <row r="1475">
      <c r="A1475" s="14" t="inlineStr">
        <is>
          <t>2023-06-26</t>
        </is>
      </c>
      <c r="B1475" s="14" t="inlineStr">
        <is>
          <t>2023-06-27</t>
        </is>
      </c>
      <c r="C1475" s="14" t="inlineStr">
        <is>
          <t>棉花</t>
        </is>
      </c>
      <c r="D1475" s="14" t="inlineStr">
        <is>
          <t>CF</t>
        </is>
      </c>
      <c r="E1475" s="14" t="inlineStr">
        <is>
          <t>空</t>
        </is>
      </c>
      <c r="F1475" s="14" t="inlineStr">
        <is>
          <t>★★</t>
        </is>
      </c>
      <c r="G1475" s="14" t="n">
        <v>1</v>
      </c>
      <c r="H1475" s="15" t="n">
        <v>16245</v>
      </c>
      <c r="I1475" s="15" t="n">
        <v>16315</v>
      </c>
      <c r="J1475" s="14" t="n">
        <v>5</v>
      </c>
      <c r="K1475" s="14" t="n">
        <v>10000</v>
      </c>
      <c r="L1475" s="25">
        <f>IF(E1475="多",1,-1)*(I1475-H1475)*G1475*J1475</f>
        <v/>
      </c>
      <c r="M1475" s="26">
        <f>L1475/K1475</f>
        <v/>
      </c>
      <c r="N1475" s="14" t="inlineStr">
        <is>
          <t>将军撤退</t>
        </is>
      </c>
      <c r="O1475" s="14" t="inlineStr">
        <is>
          <t>是</t>
        </is>
      </c>
    </row>
    <row r="1476">
      <c r="A1476" s="14" t="inlineStr">
        <is>
          <t>2023-06-19</t>
        </is>
      </c>
      <c r="B1476" s="14" t="inlineStr">
        <is>
          <t>2023-06-27</t>
        </is>
      </c>
      <c r="C1476" s="14" t="inlineStr">
        <is>
          <t>玉米</t>
        </is>
      </c>
      <c r="D1476" s="14" t="inlineStr">
        <is>
          <t>C</t>
        </is>
      </c>
      <c r="E1476" s="14" t="inlineStr">
        <is>
          <t>多</t>
        </is>
      </c>
      <c r="F1476" s="14" t="inlineStr">
        <is>
          <t>★★★</t>
        </is>
      </c>
      <c r="G1476" s="14" t="n">
        <v>11</v>
      </c>
      <c r="H1476" s="15" t="n">
        <v>2676</v>
      </c>
      <c r="I1476" s="15" t="n">
        <v>2715</v>
      </c>
      <c r="J1476" s="14" t="n">
        <v>10</v>
      </c>
      <c r="K1476" s="14" t="n">
        <v>10000</v>
      </c>
      <c r="L1476" s="25">
        <f>IF(E1476="多",1,-1)*(I1476-H1476)*G1476*J1476</f>
        <v/>
      </c>
      <c r="M1476" s="26">
        <f>L1476/K1476</f>
        <v/>
      </c>
      <c r="N1476" s="14" t="inlineStr">
        <is>
          <t>将军撤退</t>
        </is>
      </c>
      <c r="O1476" s="14" t="inlineStr">
        <is>
          <t>是</t>
        </is>
      </c>
    </row>
    <row r="1477">
      <c r="A1477" s="14" t="inlineStr">
        <is>
          <t>2023-06-15</t>
        </is>
      </c>
      <c r="B1477" s="14" t="inlineStr">
        <is>
          <t>2023-06-21</t>
        </is>
      </c>
      <c r="C1477" s="14" t="inlineStr">
        <is>
          <t>苯乙烯</t>
        </is>
      </c>
      <c r="D1477" s="14" t="inlineStr">
        <is>
          <t>EB</t>
        </is>
      </c>
      <c r="E1477" s="14" t="inlineStr">
        <is>
          <t>空</t>
        </is>
      </c>
      <c r="F1477" s="14" t="inlineStr">
        <is>
          <t>★★</t>
        </is>
      </c>
      <c r="G1477" s="14" t="n">
        <v>3</v>
      </c>
      <c r="H1477" s="15" t="n">
        <v>7080</v>
      </c>
      <c r="I1477" s="15" t="n">
        <v>7260</v>
      </c>
      <c r="J1477" s="14" t="n">
        <v>5</v>
      </c>
      <c r="K1477" s="14" t="n">
        <v>10000</v>
      </c>
      <c r="L1477" s="25">
        <f>IF(E1477="多",1,-1)*(I1477-H1477)*G1477*J1477</f>
        <v/>
      </c>
      <c r="M1477" s="26">
        <f>L1477/K1477</f>
        <v/>
      </c>
      <c r="N1477" s="14" t="inlineStr">
        <is>
          <t>大将军转向</t>
        </is>
      </c>
      <c r="O1477" s="14" t="inlineStr">
        <is>
          <t>是</t>
        </is>
      </c>
    </row>
    <row r="1478">
      <c r="A1478" s="14" t="inlineStr">
        <is>
          <t>2023-06-15</t>
        </is>
      </c>
      <c r="B1478" s="14" t="inlineStr">
        <is>
          <t>2023-06-16</t>
        </is>
      </c>
      <c r="C1478" s="14" t="inlineStr">
        <is>
          <t>热卷</t>
        </is>
      </c>
      <c r="D1478" s="14" t="inlineStr">
        <is>
          <t>HC</t>
        </is>
      </c>
      <c r="E1478" s="14" t="inlineStr">
        <is>
          <t>多</t>
        </is>
      </c>
      <c r="F1478" s="14" t="inlineStr">
        <is>
          <t>★★</t>
        </is>
      </c>
      <c r="G1478" s="14" t="n">
        <v>4</v>
      </c>
      <c r="H1478" s="15" t="n">
        <v>3865</v>
      </c>
      <c r="I1478" s="15" t="n">
        <v>3899</v>
      </c>
      <c r="J1478" s="14" t="n">
        <v>10</v>
      </c>
      <c r="K1478" s="14" t="n">
        <v>10000</v>
      </c>
      <c r="L1478" s="25">
        <f>IF(E1478="多",1,-1)*(I1478-H1478)*G1478*J1478</f>
        <v/>
      </c>
      <c r="M1478" s="26">
        <f>L1478/K1478</f>
        <v/>
      </c>
      <c r="N1478" s="14" t="inlineStr">
        <is>
          <t>将军撤退</t>
        </is>
      </c>
      <c r="O1478" s="14" t="inlineStr">
        <is>
          <t>是</t>
        </is>
      </c>
    </row>
    <row r="1479">
      <c r="A1479" s="2" t="inlineStr">
        <is>
          <t>2023-06-08</t>
        </is>
      </c>
      <c r="B1479" s="2" t="inlineStr">
        <is>
          <t>2023-06-16</t>
        </is>
      </c>
      <c r="C1479" s="2" t="inlineStr">
        <is>
          <t>菜油</t>
        </is>
      </c>
      <c r="D1479" s="2" t="inlineStr">
        <is>
          <t>OI</t>
        </is>
      </c>
      <c r="E1479" s="9" t="inlineStr">
        <is>
          <t>空</t>
        </is>
      </c>
      <c r="F1479" s="2" t="inlineStr">
        <is>
          <t>★★★</t>
        </is>
      </c>
      <c r="G1479" s="10" t="n">
        <v>3</v>
      </c>
      <c r="H1479" s="11" t="n">
        <v>7670</v>
      </c>
      <c r="I1479" s="11" t="n">
        <v>8210.709999999999</v>
      </c>
      <c r="J1479" s="10" t="n">
        <v>10</v>
      </c>
      <c r="K1479" s="10" t="n">
        <v>18200</v>
      </c>
      <c r="L1479" s="23">
        <f>IF(E1479="多",1,-1)*(I1479-H1479)*G1479*J1479</f>
        <v/>
      </c>
      <c r="M1479" s="24">
        <f>L1479/K1479</f>
        <v/>
      </c>
      <c r="N1479" s="2" t="inlineStr">
        <is>
          <t>止损</t>
        </is>
      </c>
      <c r="O1479" s="2" t="inlineStr">
        <is>
          <t>否</t>
        </is>
      </c>
    </row>
    <row r="1480">
      <c r="A1480" s="14" t="inlineStr">
        <is>
          <t>2023-06-02</t>
        </is>
      </c>
      <c r="B1480" s="14" t="inlineStr">
        <is>
          <t>2023-06-15</t>
        </is>
      </c>
      <c r="C1480" s="14" t="inlineStr">
        <is>
          <t>玉米</t>
        </is>
      </c>
      <c r="D1480" s="14" t="inlineStr">
        <is>
          <t>C</t>
        </is>
      </c>
      <c r="E1480" s="14" t="inlineStr">
        <is>
          <t>多</t>
        </is>
      </c>
      <c r="F1480" s="14" t="inlineStr">
        <is>
          <t>★★</t>
        </is>
      </c>
      <c r="G1480" s="14" t="n">
        <v>10</v>
      </c>
      <c r="H1480" s="15" t="n">
        <v>2598</v>
      </c>
      <c r="I1480" s="15" t="n">
        <v>2648</v>
      </c>
      <c r="J1480" s="14" t="n">
        <v>10</v>
      </c>
      <c r="K1480" s="14" t="n">
        <v>10000</v>
      </c>
      <c r="L1480" s="25">
        <f>IF(E1480="多",1,-1)*(I1480-H1480)*G1480*J1480</f>
        <v/>
      </c>
      <c r="M1480" s="26">
        <f>L1480/K1480</f>
        <v/>
      </c>
      <c r="N1480" s="14" t="inlineStr">
        <is>
          <t>将军撤退+大将军转向</t>
        </is>
      </c>
      <c r="O1480" s="14" t="inlineStr">
        <is>
          <t>是</t>
        </is>
      </c>
    </row>
    <row r="1481">
      <c r="A1481" s="14" t="inlineStr">
        <is>
          <t>2023-06-13</t>
        </is>
      </c>
      <c r="B1481" s="14" t="inlineStr">
        <is>
          <t>2023-06-14</t>
        </is>
      </c>
      <c r="C1481" s="14" t="inlineStr">
        <is>
          <t>沪锌</t>
        </is>
      </c>
      <c r="D1481" s="14" t="inlineStr">
        <is>
          <t>ZN</t>
        </is>
      </c>
      <c r="E1481" s="14" t="inlineStr">
        <is>
          <t>多</t>
        </is>
      </c>
      <c r="F1481" s="14" t="inlineStr">
        <is>
          <t>★★</t>
        </is>
      </c>
      <c r="G1481" s="14" t="n">
        <v>1</v>
      </c>
      <c r="H1481" s="15" t="n">
        <v>19910</v>
      </c>
      <c r="I1481" s="15" t="n">
        <v>20100</v>
      </c>
      <c r="J1481" s="14" t="n">
        <v>5</v>
      </c>
      <c r="K1481" s="14" t="n">
        <v>10000</v>
      </c>
      <c r="L1481" s="25">
        <f>IF(E1481="多",1,-1)*(I1481-H1481)*G1481*J1481</f>
        <v/>
      </c>
      <c r="M1481" s="26">
        <f>L1481/K1481</f>
        <v/>
      </c>
      <c r="N1481" s="14" t="inlineStr">
        <is>
          <t>大将军转向</t>
        </is>
      </c>
      <c r="O1481" s="14" t="inlineStr">
        <is>
          <t>是</t>
        </is>
      </c>
    </row>
    <row r="1482">
      <c r="A1482" s="14" t="inlineStr">
        <is>
          <t>2023-06-08</t>
        </is>
      </c>
      <c r="B1482" s="14" t="inlineStr">
        <is>
          <t>2023-06-09</t>
        </is>
      </c>
      <c r="C1482" s="14" t="inlineStr">
        <is>
          <t>玻璃</t>
        </is>
      </c>
      <c r="D1482" s="14" t="inlineStr">
        <is>
          <t>FG</t>
        </is>
      </c>
      <c r="E1482" s="14" t="inlineStr">
        <is>
          <t>多</t>
        </is>
      </c>
      <c r="F1482" s="14" t="inlineStr">
        <is>
          <t>★★</t>
        </is>
      </c>
      <c r="G1482" s="14" t="n">
        <v>2</v>
      </c>
      <c r="H1482" s="15" t="n">
        <v>1560</v>
      </c>
      <c r="I1482" s="15" t="n">
        <v>1573</v>
      </c>
      <c r="J1482" s="14" t="n">
        <v>20</v>
      </c>
      <c r="K1482" s="14" t="n">
        <v>10000</v>
      </c>
      <c r="L1482" s="25">
        <f>IF(E1482="多",1,-1)*(I1482-H1482)*G1482*J1482</f>
        <v/>
      </c>
      <c r="M1482" s="26">
        <f>L1482/K1482</f>
        <v/>
      </c>
      <c r="N1482" s="14" t="inlineStr">
        <is>
          <t>将军撤退+大将军转向</t>
        </is>
      </c>
      <c r="O1482" s="14" t="inlineStr">
        <is>
          <t>是</t>
        </is>
      </c>
    </row>
    <row r="1483">
      <c r="A1483" s="14" t="inlineStr">
        <is>
          <t>2023-06-08</t>
        </is>
      </c>
      <c r="B1483" s="14" t="inlineStr">
        <is>
          <t>2023-06-09</t>
        </is>
      </c>
      <c r="C1483" s="14" t="inlineStr">
        <is>
          <t>沪铝</t>
        </is>
      </c>
      <c r="D1483" s="14" t="inlineStr">
        <is>
          <t>AL</t>
        </is>
      </c>
      <c r="E1483" s="14" t="inlineStr">
        <is>
          <t>多</t>
        </is>
      </c>
      <c r="F1483" s="14" t="inlineStr">
        <is>
          <t>★★</t>
        </is>
      </c>
      <c r="G1483" s="14" t="n">
        <v>2</v>
      </c>
      <c r="H1483" s="15" t="n">
        <v>18220</v>
      </c>
      <c r="I1483" s="15" t="n">
        <v>18425</v>
      </c>
      <c r="J1483" s="14" t="n">
        <v>5</v>
      </c>
      <c r="K1483" s="14" t="n">
        <v>10000</v>
      </c>
      <c r="L1483" s="25">
        <f>IF(E1483="多",1,-1)*(I1483-H1483)*G1483*J1483</f>
        <v/>
      </c>
      <c r="M1483" s="26">
        <f>L1483/K1483</f>
        <v/>
      </c>
      <c r="N1483" s="14" t="inlineStr">
        <is>
          <t>将军撤退+大将军转向</t>
        </is>
      </c>
      <c r="O1483" s="14" t="inlineStr">
        <is>
          <t>是</t>
        </is>
      </c>
    </row>
    <row r="1484">
      <c r="A1484" s="14" t="inlineStr">
        <is>
          <t>2023-06-08</t>
        </is>
      </c>
      <c r="B1484" s="14" t="inlineStr">
        <is>
          <t>2023-06-09</t>
        </is>
      </c>
      <c r="C1484" s="14" t="inlineStr">
        <is>
          <t>沪银</t>
        </is>
      </c>
      <c r="D1484" s="14" t="inlineStr">
        <is>
          <t>AG</t>
        </is>
      </c>
      <c r="E1484" s="14" t="inlineStr">
        <is>
          <t>多</t>
        </is>
      </c>
      <c r="F1484" s="14" t="inlineStr">
        <is>
          <t>★★</t>
        </is>
      </c>
      <c r="G1484" s="14" t="n">
        <v>2</v>
      </c>
      <c r="H1484" s="15" t="n">
        <v>5586</v>
      </c>
      <c r="I1484" s="15" t="n">
        <v>5708</v>
      </c>
      <c r="J1484" s="14" t="n">
        <v>15</v>
      </c>
      <c r="K1484" s="14" t="n">
        <v>10000</v>
      </c>
      <c r="L1484" s="25">
        <f>IF(E1484="多",1,-1)*(I1484-H1484)*G1484*J1484</f>
        <v/>
      </c>
      <c r="M1484" s="26">
        <f>L1484/K1484</f>
        <v/>
      </c>
      <c r="N1484" s="14" t="inlineStr">
        <is>
          <t>大将军转向</t>
        </is>
      </c>
      <c r="O1484" s="14" t="inlineStr">
        <is>
          <t>是</t>
        </is>
      </c>
    </row>
    <row r="1485">
      <c r="A1485" s="14" t="inlineStr">
        <is>
          <t>2023-06-06</t>
        </is>
      </c>
      <c r="B1485" s="14" t="inlineStr">
        <is>
          <t>2023-06-08</t>
        </is>
      </c>
      <c r="C1485" s="14" t="inlineStr">
        <is>
          <t>铁矿石</t>
        </is>
      </c>
      <c r="D1485" s="14" t="inlineStr">
        <is>
          <t>I</t>
        </is>
      </c>
      <c r="E1485" s="14" t="inlineStr">
        <is>
          <t>多</t>
        </is>
      </c>
      <c r="F1485" s="14" t="inlineStr">
        <is>
          <t>★★</t>
        </is>
      </c>
      <c r="G1485" s="14" t="n">
        <v>1</v>
      </c>
      <c r="H1485" s="15" t="n">
        <v>769</v>
      </c>
      <c r="I1485" s="15" t="n">
        <v>791</v>
      </c>
      <c r="J1485" s="14" t="n">
        <v>100</v>
      </c>
      <c r="K1485" s="14" t="n">
        <v>10000</v>
      </c>
      <c r="L1485" s="25">
        <f>IF(E1485="多",1,-1)*(I1485-H1485)*G1485*J1485</f>
        <v/>
      </c>
      <c r="M1485" s="26">
        <f>L1485/K1485</f>
        <v/>
      </c>
      <c r="N1485" s="14" t="inlineStr">
        <is>
          <t>将军撤退+大将军转向</t>
        </is>
      </c>
      <c r="O1485" s="14" t="inlineStr">
        <is>
          <t>是</t>
        </is>
      </c>
    </row>
    <row r="1486">
      <c r="A1486" s="2" t="inlineStr">
        <is>
          <t>2023-05-30</t>
        </is>
      </c>
      <c r="B1486" s="2" t="inlineStr">
        <is>
          <t>2023-06-08</t>
        </is>
      </c>
      <c r="C1486" s="2" t="inlineStr">
        <is>
          <t>沪银</t>
        </is>
      </c>
      <c r="D1486" s="2" t="inlineStr">
        <is>
          <t>AG</t>
        </is>
      </c>
      <c r="E1486" s="9" t="inlineStr">
        <is>
          <t>空</t>
        </is>
      </c>
      <c r="F1486" s="2" t="inlineStr">
        <is>
          <t>★★★</t>
        </is>
      </c>
      <c r="G1486" s="10" t="n">
        <v>6</v>
      </c>
      <c r="H1486" s="11" t="n">
        <v>5375</v>
      </c>
      <c r="I1486" s="11" t="n">
        <v>5538</v>
      </c>
      <c r="J1486" s="10" t="n">
        <v>15</v>
      </c>
      <c r="K1486" s="10" t="n">
        <v>28000</v>
      </c>
      <c r="L1486" s="23">
        <f>IF(E1486="多",1,-1)*(I1486-H1486)*G1486*J1486</f>
        <v/>
      </c>
      <c r="M1486" s="24">
        <f>L1486/K1486</f>
        <v/>
      </c>
      <c r="N1486" s="2" t="inlineStr">
        <is>
          <t>反向信号</t>
        </is>
      </c>
      <c r="O1486" s="2" t="inlineStr">
        <is>
          <t>否</t>
        </is>
      </c>
    </row>
    <row r="1487">
      <c r="A1487" s="14" t="inlineStr">
        <is>
          <t>2023-06-05</t>
        </is>
      </c>
      <c r="B1487" s="14" t="inlineStr">
        <is>
          <t>2023-06-06</t>
        </is>
      </c>
      <c r="C1487" s="14" t="inlineStr">
        <is>
          <t>沥青</t>
        </is>
      </c>
      <c r="D1487" s="14" t="inlineStr">
        <is>
          <t>BU</t>
        </is>
      </c>
      <c r="E1487" s="14" t="inlineStr">
        <is>
          <t>多</t>
        </is>
      </c>
      <c r="F1487" s="14" t="inlineStr">
        <is>
          <t>★★</t>
        </is>
      </c>
      <c r="G1487" s="14" t="n">
        <v>3</v>
      </c>
      <c r="H1487" s="15" t="n">
        <v>3719</v>
      </c>
      <c r="I1487" s="15" t="n">
        <v>3696</v>
      </c>
      <c r="J1487" s="14" t="n">
        <v>10</v>
      </c>
      <c r="K1487" s="14" t="n">
        <v>10000</v>
      </c>
      <c r="L1487" s="25">
        <f>IF(E1487="多",1,-1)*(I1487-H1487)*G1487*J1487</f>
        <v/>
      </c>
      <c r="M1487" s="26">
        <f>L1487/K1487</f>
        <v/>
      </c>
      <c r="N1487" s="14" t="inlineStr">
        <is>
          <t>大将军转向</t>
        </is>
      </c>
      <c r="O1487" s="14" t="inlineStr">
        <is>
          <t>是</t>
        </is>
      </c>
    </row>
    <row r="1488">
      <c r="A1488" s="14" t="inlineStr">
        <is>
          <t>2023-05-26</t>
        </is>
      </c>
      <c r="B1488" s="14" t="inlineStr">
        <is>
          <t>2023-06-06</t>
        </is>
      </c>
      <c r="C1488" s="14" t="inlineStr">
        <is>
          <t>锰硅</t>
        </is>
      </c>
      <c r="D1488" s="14" t="inlineStr">
        <is>
          <t>SM</t>
        </is>
      </c>
      <c r="E1488" s="14" t="inlineStr">
        <is>
          <t>空</t>
        </is>
      </c>
      <c r="F1488" s="14" t="inlineStr">
        <is>
          <t>★★</t>
        </is>
      </c>
      <c r="G1488" s="14" t="n">
        <v>7</v>
      </c>
      <c r="H1488" s="15" t="n">
        <v>6680</v>
      </c>
      <c r="I1488" s="15" t="n">
        <v>6628</v>
      </c>
      <c r="J1488" s="14" t="n">
        <v>5</v>
      </c>
      <c r="K1488" s="14" t="n">
        <v>10000</v>
      </c>
      <c r="L1488" s="25">
        <f>IF(E1488="多",1,-1)*(I1488-H1488)*G1488*J1488</f>
        <v/>
      </c>
      <c r="M1488" s="26">
        <f>L1488/K1488</f>
        <v/>
      </c>
      <c r="N1488" s="14" t="inlineStr">
        <is>
          <t>将军撤退</t>
        </is>
      </c>
      <c r="O1488" s="14" t="inlineStr">
        <is>
          <t>是</t>
        </is>
      </c>
    </row>
    <row r="1489">
      <c r="A1489" s="14" t="inlineStr">
        <is>
          <t>2023-05-18</t>
        </is>
      </c>
      <c r="B1489" s="14" t="inlineStr">
        <is>
          <t>2023-06-06</t>
        </is>
      </c>
      <c r="C1489" s="14" t="inlineStr">
        <is>
          <t>PTA</t>
        </is>
      </c>
      <c r="D1489" s="14" t="inlineStr">
        <is>
          <t>TA</t>
        </is>
      </c>
      <c r="E1489" s="14" t="inlineStr">
        <is>
          <t>多</t>
        </is>
      </c>
      <c r="F1489" s="14" t="inlineStr">
        <is>
          <t>★★</t>
        </is>
      </c>
      <c r="G1489" s="14" t="n">
        <v>5</v>
      </c>
      <c r="H1489" s="15" t="n">
        <v>5348</v>
      </c>
      <c r="I1489" s="15" t="n">
        <v>5478</v>
      </c>
      <c r="J1489" s="14" t="n">
        <v>5</v>
      </c>
      <c r="K1489" s="14" t="n">
        <v>10000</v>
      </c>
      <c r="L1489" s="25">
        <f>IF(E1489="多",1,-1)*(I1489-H1489)*G1489*J1489</f>
        <v/>
      </c>
      <c r="M1489" s="26">
        <f>L1489/K1489</f>
        <v/>
      </c>
      <c r="N1489" s="14" t="inlineStr">
        <is>
          <t>将军撤退</t>
        </is>
      </c>
      <c r="O1489" s="14" t="inlineStr">
        <is>
          <t>是</t>
        </is>
      </c>
    </row>
    <row r="1490">
      <c r="A1490" s="14" t="inlineStr">
        <is>
          <t>2023-06-01</t>
        </is>
      </c>
      <c r="B1490" s="14" t="inlineStr">
        <is>
          <t>2023-06-05</t>
        </is>
      </c>
      <c r="C1490" s="14" t="inlineStr">
        <is>
          <t>沪锌</t>
        </is>
      </c>
      <c r="D1490" s="14" t="inlineStr">
        <is>
          <t>ZN</t>
        </is>
      </c>
      <c r="E1490" s="14" t="inlineStr">
        <is>
          <t>空</t>
        </is>
      </c>
      <c r="F1490" s="14" t="inlineStr">
        <is>
          <t>★★</t>
        </is>
      </c>
      <c r="G1490" s="14" t="n">
        <v>1</v>
      </c>
      <c r="H1490" s="15" t="n">
        <v>19285</v>
      </c>
      <c r="I1490" s="15" t="n">
        <v>19045</v>
      </c>
      <c r="J1490" s="14" t="n">
        <v>5</v>
      </c>
      <c r="K1490" s="14" t="n">
        <v>10000</v>
      </c>
      <c r="L1490" s="25">
        <f>IF(E1490="多",1,-1)*(I1490-H1490)*G1490*J1490</f>
        <v/>
      </c>
      <c r="M1490" s="26">
        <f>L1490/K1490</f>
        <v/>
      </c>
      <c r="N1490" s="14" t="inlineStr">
        <is>
          <t>大将军转向</t>
        </is>
      </c>
      <c r="O1490" s="14" t="inlineStr">
        <is>
          <t>是</t>
        </is>
      </c>
    </row>
    <row r="1491">
      <c r="A1491" s="2" t="inlineStr">
        <is>
          <t>2023-05-29</t>
        </is>
      </c>
      <c r="B1491" s="2" t="inlineStr">
        <is>
          <t>2023-06-05</t>
        </is>
      </c>
      <c r="C1491" s="2" t="inlineStr">
        <is>
          <t>玻璃</t>
        </is>
      </c>
      <c r="D1491" s="2" t="inlineStr">
        <is>
          <t>FG</t>
        </is>
      </c>
      <c r="E1491" s="9" t="inlineStr">
        <is>
          <t>空</t>
        </is>
      </c>
      <c r="F1491" s="2" t="inlineStr">
        <is>
          <t>★★★</t>
        </is>
      </c>
      <c r="G1491" s="10" t="n">
        <v>8</v>
      </c>
      <c r="H1491" s="11" t="n">
        <v>1459</v>
      </c>
      <c r="I1491" s="11" t="n">
        <v>1569.29</v>
      </c>
      <c r="J1491" s="10" t="n">
        <v>20</v>
      </c>
      <c r="K1491" s="10" t="n">
        <v>28800</v>
      </c>
      <c r="L1491" s="23">
        <f>IF(E1491="多",1,-1)*(I1491-H1491)*G1491*J1491</f>
        <v/>
      </c>
      <c r="M1491" s="24">
        <f>L1491/K1491</f>
        <v/>
      </c>
      <c r="N1491" s="2" t="inlineStr">
        <is>
          <t>止损</t>
        </is>
      </c>
      <c r="O1491" s="2" t="inlineStr">
        <is>
          <t>否</t>
        </is>
      </c>
    </row>
    <row r="1492">
      <c r="A1492" s="2" t="inlineStr">
        <is>
          <t>2023-05-31</t>
        </is>
      </c>
      <c r="B1492" s="2" t="inlineStr">
        <is>
          <t>2023-06-02</t>
        </is>
      </c>
      <c r="C1492" s="2" t="inlineStr">
        <is>
          <t>乙二醇</t>
        </is>
      </c>
      <c r="D1492" s="2" t="inlineStr">
        <is>
          <t>EG</t>
        </is>
      </c>
      <c r="E1492" s="9" t="inlineStr">
        <is>
          <t>空</t>
        </is>
      </c>
      <c r="F1492" s="2" t="inlineStr">
        <is>
          <t>★★★</t>
        </is>
      </c>
      <c r="G1492" s="10" t="n">
        <v>10</v>
      </c>
      <c r="H1492" s="11" t="n">
        <v>3966</v>
      </c>
      <c r="I1492" s="11" t="n">
        <v>4071</v>
      </c>
      <c r="J1492" s="10" t="n">
        <v>10</v>
      </c>
      <c r="K1492" s="10" t="n">
        <v>28500</v>
      </c>
      <c r="L1492" s="23">
        <f>IF(E1492="多",1,-1)*(I1492-H1492)*G1492*J1492</f>
        <v/>
      </c>
      <c r="M1492" s="24">
        <f>L1492/K1492</f>
        <v/>
      </c>
      <c r="N1492" s="2" t="inlineStr">
        <is>
          <t>大将军转向</t>
        </is>
      </c>
      <c r="O1492" s="2" t="inlineStr">
        <is>
          <t>否</t>
        </is>
      </c>
    </row>
    <row r="1493">
      <c r="A1493" s="14" t="inlineStr">
        <is>
          <t>2023-05-31</t>
        </is>
      </c>
      <c r="B1493" s="14" t="inlineStr">
        <is>
          <t>2023-06-01</t>
        </is>
      </c>
      <c r="C1493" s="14" t="inlineStr">
        <is>
          <t>玉米</t>
        </is>
      </c>
      <c r="D1493" s="14" t="inlineStr">
        <is>
          <t>C</t>
        </is>
      </c>
      <c r="E1493" s="14" t="inlineStr">
        <is>
          <t>多</t>
        </is>
      </c>
      <c r="F1493" s="14" t="inlineStr">
        <is>
          <t>★★</t>
        </is>
      </c>
      <c r="G1493" s="14" t="n">
        <v>9</v>
      </c>
      <c r="H1493" s="15" t="n">
        <v>2625</v>
      </c>
      <c r="I1493" s="15" t="n">
        <v>2651</v>
      </c>
      <c r="J1493" s="14" t="n">
        <v>10</v>
      </c>
      <c r="K1493" s="14" t="n">
        <v>10000</v>
      </c>
      <c r="L1493" s="25">
        <f>IF(E1493="多",1,-1)*(I1493-H1493)*G1493*J1493</f>
        <v/>
      </c>
      <c r="M1493" s="26">
        <f>L1493/K1493</f>
        <v/>
      </c>
      <c r="N1493" s="14" t="inlineStr">
        <is>
          <t>将军撤退</t>
        </is>
      </c>
      <c r="O1493" s="14" t="inlineStr">
        <is>
          <t>是</t>
        </is>
      </c>
    </row>
    <row r="1494">
      <c r="A1494" s="2" t="inlineStr">
        <is>
          <t>2023-05-17</t>
        </is>
      </c>
      <c r="B1494" s="2" t="inlineStr">
        <is>
          <t>2023-06-01</t>
        </is>
      </c>
      <c r="C1494" s="2" t="inlineStr">
        <is>
          <t>豆油</t>
        </is>
      </c>
      <c r="D1494" s="2" t="inlineStr">
        <is>
          <t>Y</t>
        </is>
      </c>
      <c r="E1494" s="9" t="inlineStr">
        <is>
          <t>空</t>
        </is>
      </c>
      <c r="F1494" s="2" t="inlineStr">
        <is>
          <t>★★★</t>
        </is>
      </c>
      <c r="G1494" s="10" t="n">
        <v>2</v>
      </c>
      <c r="H1494" s="11" t="n">
        <v>7156</v>
      </c>
      <c r="I1494" s="11" t="n">
        <v>6926</v>
      </c>
      <c r="J1494" s="10" t="n">
        <v>10</v>
      </c>
      <c r="K1494" s="10" t="n">
        <v>14400</v>
      </c>
      <c r="L1494" s="23">
        <f>IF(E1494="多",1,-1)*(I1494-H1494)*G1494*J1494</f>
        <v/>
      </c>
      <c r="M1494" s="24">
        <f>L1494/K1494</f>
        <v/>
      </c>
      <c r="N1494" s="2" t="inlineStr">
        <is>
          <t>将军撤退+大将军转向</t>
        </is>
      </c>
      <c r="O1494" s="2" t="inlineStr">
        <is>
          <t>否</t>
        </is>
      </c>
    </row>
    <row r="1495">
      <c r="A1495" s="2" t="inlineStr">
        <is>
          <t>2023-05-30</t>
        </is>
      </c>
      <c r="B1495" s="2" t="inlineStr">
        <is>
          <t>2023-05-31</t>
        </is>
      </c>
      <c r="C1495" s="2" t="inlineStr">
        <is>
          <t>纯碱</t>
        </is>
      </c>
      <c r="D1495" s="2" t="inlineStr">
        <is>
          <t>SA</t>
        </is>
      </c>
      <c r="E1495" s="9" t="inlineStr">
        <is>
          <t>空</t>
        </is>
      </c>
      <c r="F1495" s="2" t="inlineStr">
        <is>
          <t>★★★</t>
        </is>
      </c>
      <c r="G1495" s="10" t="n">
        <v>6</v>
      </c>
      <c r="H1495" s="11" t="n">
        <v>1595</v>
      </c>
      <c r="I1495" s="11" t="n">
        <v>1617</v>
      </c>
      <c r="J1495" s="10" t="n">
        <v>20</v>
      </c>
      <c r="K1495" s="10" t="n">
        <v>28800</v>
      </c>
      <c r="L1495" s="23">
        <f>IF(E1495="多",1,-1)*(I1495-H1495)*G1495*J1495</f>
        <v/>
      </c>
      <c r="M1495" s="24">
        <f>L1495/K1495</f>
        <v/>
      </c>
      <c r="N1495" s="2" t="inlineStr">
        <is>
          <t>将军撤退+大将军转向</t>
        </is>
      </c>
      <c r="O1495" s="2" t="inlineStr">
        <is>
          <t>否</t>
        </is>
      </c>
    </row>
    <row r="1496">
      <c r="A1496" s="14" t="inlineStr">
        <is>
          <t>2023-05-29</t>
        </is>
      </c>
      <c r="B1496" s="14" t="inlineStr">
        <is>
          <t>2023-05-30</t>
        </is>
      </c>
      <c r="C1496" s="14" t="inlineStr">
        <is>
          <t>豆粕</t>
        </is>
      </c>
      <c r="D1496" s="14" t="inlineStr">
        <is>
          <t>M</t>
        </is>
      </c>
      <c r="E1496" s="14" t="inlineStr">
        <is>
          <t>空</t>
        </is>
      </c>
      <c r="F1496" s="14" t="inlineStr">
        <is>
          <t>★★</t>
        </is>
      </c>
      <c r="G1496" s="14" t="n">
        <v>4</v>
      </c>
      <c r="H1496" s="15" t="n">
        <v>3426</v>
      </c>
      <c r="I1496" s="15" t="n">
        <v>3416</v>
      </c>
      <c r="J1496" s="14" t="n">
        <v>10</v>
      </c>
      <c r="K1496" s="14" t="n">
        <v>10000</v>
      </c>
      <c r="L1496" s="25">
        <f>IF(E1496="多",1,-1)*(I1496-H1496)*G1496*J1496</f>
        <v/>
      </c>
      <c r="M1496" s="26">
        <f>L1496/K1496</f>
        <v/>
      </c>
      <c r="N1496" s="14" t="inlineStr">
        <is>
          <t>将军撤退</t>
        </is>
      </c>
      <c r="O1496" s="14" t="inlineStr">
        <is>
          <t>是</t>
        </is>
      </c>
    </row>
    <row r="1497">
      <c r="A1497" s="2" t="inlineStr">
        <is>
          <t>2023-05-26</t>
        </is>
      </c>
      <c r="B1497" s="2" t="inlineStr">
        <is>
          <t>2023-05-29</t>
        </is>
      </c>
      <c r="C1497" s="2" t="inlineStr">
        <is>
          <t>尿素</t>
        </is>
      </c>
      <c r="D1497" s="2" t="inlineStr">
        <is>
          <t>UR</t>
        </is>
      </c>
      <c r="E1497" s="9" t="inlineStr">
        <is>
          <t>空</t>
        </is>
      </c>
      <c r="F1497" s="2" t="inlineStr">
        <is>
          <t>★★★</t>
        </is>
      </c>
      <c r="G1497" s="10" t="n">
        <v>9</v>
      </c>
      <c r="H1497" s="11" t="n">
        <v>1682</v>
      </c>
      <c r="I1497" s="11" t="n">
        <v>1673</v>
      </c>
      <c r="J1497" s="10" t="n">
        <v>20</v>
      </c>
      <c r="K1497" s="10" t="n">
        <v>29300</v>
      </c>
      <c r="L1497" s="23">
        <f>IF(E1497="多",1,-1)*(I1497-H1497)*G1497*J1497</f>
        <v/>
      </c>
      <c r="M1497" s="24">
        <f>L1497/K1497</f>
        <v/>
      </c>
      <c r="N1497" s="2" t="inlineStr">
        <is>
          <t>将军撤退+大将军转向</t>
        </is>
      </c>
      <c r="O1497" s="2" t="inlineStr">
        <is>
          <t>否</t>
        </is>
      </c>
    </row>
    <row r="1498">
      <c r="A1498" s="14" t="inlineStr">
        <is>
          <t>2023-05-26</t>
        </is>
      </c>
      <c r="B1498" s="14" t="inlineStr">
        <is>
          <t>2023-05-29</t>
        </is>
      </c>
      <c r="C1498" s="14" t="inlineStr">
        <is>
          <t>沪铝</t>
        </is>
      </c>
      <c r="D1498" s="14" t="inlineStr">
        <is>
          <t>AL</t>
        </is>
      </c>
      <c r="E1498" s="14" t="inlineStr">
        <is>
          <t>多</t>
        </is>
      </c>
      <c r="F1498" s="14" t="inlineStr">
        <is>
          <t>★★</t>
        </is>
      </c>
      <c r="G1498" s="14" t="n">
        <v>2</v>
      </c>
      <c r="H1498" s="15" t="n">
        <v>18110</v>
      </c>
      <c r="I1498" s="15" t="n">
        <v>18025</v>
      </c>
      <c r="J1498" s="14" t="n">
        <v>5</v>
      </c>
      <c r="K1498" s="14" t="n">
        <v>10000</v>
      </c>
      <c r="L1498" s="25">
        <f>IF(E1498="多",1,-1)*(I1498-H1498)*G1498*J1498</f>
        <v/>
      </c>
      <c r="M1498" s="26">
        <f>L1498/K1498</f>
        <v/>
      </c>
      <c r="N1498" s="14" t="inlineStr">
        <is>
          <t>大将军转向</t>
        </is>
      </c>
      <c r="O1498" s="14" t="inlineStr">
        <is>
          <t>是</t>
        </is>
      </c>
    </row>
    <row r="1499">
      <c r="A1499" s="2" t="inlineStr">
        <is>
          <t>2023-05-25</t>
        </is>
      </c>
      <c r="B1499" s="2" t="inlineStr">
        <is>
          <t>2023-05-26</t>
        </is>
      </c>
      <c r="C1499" s="2" t="inlineStr">
        <is>
          <t>纯碱</t>
        </is>
      </c>
      <c r="D1499" s="2" t="inlineStr">
        <is>
          <t>SA</t>
        </is>
      </c>
      <c r="E1499" s="9" t="inlineStr">
        <is>
          <t>空</t>
        </is>
      </c>
      <c r="F1499" s="2" t="inlineStr">
        <is>
          <t>★★★</t>
        </is>
      </c>
      <c r="G1499" s="10" t="n">
        <v>6</v>
      </c>
      <c r="H1499" s="11" t="n">
        <v>1568</v>
      </c>
      <c r="I1499" s="11" t="n">
        <v>1610</v>
      </c>
      <c r="J1499" s="10" t="n">
        <v>20</v>
      </c>
      <c r="K1499" s="10" t="n">
        <v>30000</v>
      </c>
      <c r="L1499" s="23">
        <f>IF(E1499="多",1,-1)*(I1499-H1499)*G1499*J1499</f>
        <v/>
      </c>
      <c r="M1499" s="24">
        <f>L1499/K1499</f>
        <v/>
      </c>
      <c r="N1499" s="2" t="inlineStr">
        <is>
          <t>将军撤退</t>
        </is>
      </c>
      <c r="O1499" s="2" t="inlineStr">
        <is>
          <t>否</t>
        </is>
      </c>
    </row>
    <row r="1500">
      <c r="A1500" s="14" t="inlineStr">
        <is>
          <t>2023-05-23</t>
        </is>
      </c>
      <c r="B1500" s="14" t="inlineStr">
        <is>
          <t>2023-05-26</t>
        </is>
      </c>
      <c r="C1500" s="14" t="inlineStr">
        <is>
          <t>沪铝</t>
        </is>
      </c>
      <c r="D1500" s="14" t="inlineStr">
        <is>
          <t>AL</t>
        </is>
      </c>
      <c r="E1500" s="14" t="inlineStr">
        <is>
          <t>空</t>
        </is>
      </c>
      <c r="F1500" s="14" t="inlineStr">
        <is>
          <t>★★★</t>
        </is>
      </c>
      <c r="G1500" s="14" t="n">
        <v>2</v>
      </c>
      <c r="H1500" s="15" t="n">
        <v>17900</v>
      </c>
      <c r="I1500" s="15" t="n">
        <v>18185</v>
      </c>
      <c r="J1500" s="14" t="n">
        <v>5</v>
      </c>
      <c r="K1500" s="14" t="n">
        <v>10000</v>
      </c>
      <c r="L1500" s="25">
        <f>IF(E1500="多",1,-1)*(I1500-H1500)*G1500*J1500</f>
        <v/>
      </c>
      <c r="M1500" s="26">
        <f>L1500/K1500</f>
        <v/>
      </c>
      <c r="N1500" s="14" t="inlineStr">
        <is>
          <t>反向信号</t>
        </is>
      </c>
      <c r="O1500" s="14" t="inlineStr">
        <is>
          <t>是</t>
        </is>
      </c>
    </row>
    <row r="1501">
      <c r="A1501" s="2" t="inlineStr">
        <is>
          <t>2023-05-10</t>
        </is>
      </c>
      <c r="B1501" s="2" t="inlineStr">
        <is>
          <t>2023-05-26</t>
        </is>
      </c>
      <c r="C1501" s="2" t="inlineStr">
        <is>
          <t>玉米</t>
        </is>
      </c>
      <c r="D1501" s="2" t="inlineStr">
        <is>
          <t>C</t>
        </is>
      </c>
      <c r="E1501" s="9" t="inlineStr">
        <is>
          <t>空</t>
        </is>
      </c>
      <c r="F1501" s="2" t="inlineStr">
        <is>
          <t>★★★</t>
        </is>
      </c>
      <c r="G1501" s="10" t="n">
        <v>27</v>
      </c>
      <c r="H1501" s="11" t="n">
        <v>2568</v>
      </c>
      <c r="I1501" s="11" t="n">
        <v>2606.21</v>
      </c>
      <c r="J1501" s="10" t="n">
        <v>10</v>
      </c>
      <c r="K1501" s="10" t="n">
        <v>27600</v>
      </c>
      <c r="L1501" s="23">
        <f>IF(E1501="多",1,-1)*(I1501-H1501)*G1501*J1501</f>
        <v/>
      </c>
      <c r="M1501" s="24">
        <f>L1501/K1501</f>
        <v/>
      </c>
      <c r="N1501" s="2" t="inlineStr">
        <is>
          <t>止损</t>
        </is>
      </c>
      <c r="O1501" s="2" t="inlineStr">
        <is>
          <t>否</t>
        </is>
      </c>
    </row>
    <row r="1502">
      <c r="A1502" s="14" t="inlineStr">
        <is>
          <t>2023-05-08</t>
        </is>
      </c>
      <c r="B1502" s="14" t="inlineStr">
        <is>
          <t>2023-05-26</t>
        </is>
      </c>
      <c r="C1502" s="14" t="inlineStr">
        <is>
          <t>白糖</t>
        </is>
      </c>
      <c r="D1502" s="14" t="inlineStr">
        <is>
          <t>SR</t>
        </is>
      </c>
      <c r="E1502" s="14" t="inlineStr">
        <is>
          <t>多</t>
        </is>
      </c>
      <c r="F1502" s="14" t="inlineStr">
        <is>
          <t>★★★</t>
        </is>
      </c>
      <c r="G1502" s="14" t="n">
        <v>2</v>
      </c>
      <c r="H1502" s="15" t="n">
        <v>6918</v>
      </c>
      <c r="I1502" s="15" t="n">
        <v>6847.64</v>
      </c>
      <c r="J1502" s="14" t="n">
        <v>10</v>
      </c>
      <c r="K1502" s="14" t="n">
        <v>10000</v>
      </c>
      <c r="L1502" s="25">
        <f>IF(E1502="多",1,-1)*(I1502-H1502)*G1502*J1502</f>
        <v/>
      </c>
      <c r="M1502" s="26">
        <f>L1502/K1502</f>
        <v/>
      </c>
      <c r="N1502" s="14" t="inlineStr">
        <is>
          <t>止损</t>
        </is>
      </c>
      <c r="O1502" s="14" t="inlineStr">
        <is>
          <t>是</t>
        </is>
      </c>
    </row>
    <row r="1503">
      <c r="A1503" s="2" t="inlineStr">
        <is>
          <t>2023-05-24</t>
        </is>
      </c>
      <c r="B1503" s="2" t="inlineStr">
        <is>
          <t>2023-05-25</t>
        </is>
      </c>
      <c r="C1503" s="2" t="inlineStr">
        <is>
          <t>PVC</t>
        </is>
      </c>
      <c r="D1503" s="2" t="inlineStr">
        <is>
          <t>V</t>
        </is>
      </c>
      <c r="E1503" s="9" t="inlineStr">
        <is>
          <t>空</t>
        </is>
      </c>
      <c r="F1503" s="2" t="inlineStr">
        <is>
          <t>★★★</t>
        </is>
      </c>
      <c r="G1503" s="10" t="n">
        <v>23</v>
      </c>
      <c r="H1503" s="11" t="n">
        <v>5638</v>
      </c>
      <c r="I1503" s="11" t="n">
        <v>5699</v>
      </c>
      <c r="J1503" s="10" t="n">
        <v>5</v>
      </c>
      <c r="K1503" s="10" t="n">
        <v>30000</v>
      </c>
      <c r="L1503" s="23">
        <f>IF(E1503="多",1,-1)*(I1503-H1503)*G1503*J1503</f>
        <v/>
      </c>
      <c r="M1503" s="24">
        <f>L1503/K1503</f>
        <v/>
      </c>
      <c r="N1503" s="2" t="inlineStr">
        <is>
          <t>将军撤退+大将军转向</t>
        </is>
      </c>
      <c r="O1503" s="2" t="inlineStr">
        <is>
          <t>否</t>
        </is>
      </c>
    </row>
    <row r="1504">
      <c r="A1504" s="2" t="inlineStr">
        <is>
          <t>2023-05-24</t>
        </is>
      </c>
      <c r="B1504" s="2" t="inlineStr">
        <is>
          <t>2023-05-25</t>
        </is>
      </c>
      <c r="C1504" s="2" t="inlineStr">
        <is>
          <t>尿素</t>
        </is>
      </c>
      <c r="D1504" s="2" t="inlineStr">
        <is>
          <t>UR</t>
        </is>
      </c>
      <c r="E1504" s="9" t="inlineStr">
        <is>
          <t>空</t>
        </is>
      </c>
      <c r="F1504" s="2" t="inlineStr">
        <is>
          <t>★★★</t>
        </is>
      </c>
      <c r="G1504" s="10" t="n">
        <v>9</v>
      </c>
      <c r="H1504" s="11" t="n">
        <v>1655</v>
      </c>
      <c r="I1504" s="11" t="n">
        <v>1673</v>
      </c>
      <c r="J1504" s="10" t="n">
        <v>20</v>
      </c>
      <c r="K1504" s="10" t="n">
        <v>28000</v>
      </c>
      <c r="L1504" s="23">
        <f>IF(E1504="多",1,-1)*(I1504-H1504)*G1504*J1504</f>
        <v/>
      </c>
      <c r="M1504" s="24">
        <f>L1504/K1504</f>
        <v/>
      </c>
      <c r="N1504" s="2" t="inlineStr">
        <is>
          <t>将军撤退</t>
        </is>
      </c>
      <c r="O1504" s="2" t="inlineStr">
        <is>
          <t>否</t>
        </is>
      </c>
    </row>
    <row r="1505">
      <c r="A1505" s="2" t="inlineStr">
        <is>
          <t>2023-05-23</t>
        </is>
      </c>
      <c r="B1505" s="2" t="inlineStr">
        <is>
          <t>2023-05-24</t>
        </is>
      </c>
      <c r="C1505" s="2" t="inlineStr">
        <is>
          <t>乙二醇</t>
        </is>
      </c>
      <c r="D1505" s="2" t="inlineStr">
        <is>
          <t>EG</t>
        </is>
      </c>
      <c r="E1505" s="9" t="inlineStr">
        <is>
          <t>空</t>
        </is>
      </c>
      <c r="F1505" s="2" t="inlineStr">
        <is>
          <t>★★★</t>
        </is>
      </c>
      <c r="G1505" s="10" t="n">
        <v>10</v>
      </c>
      <c r="H1505" s="11" t="n">
        <v>4125</v>
      </c>
      <c r="I1505" s="11" t="n">
        <v>4069</v>
      </c>
      <c r="J1505" s="10" t="n">
        <v>10</v>
      </c>
      <c r="K1505" s="10" t="n">
        <v>29500</v>
      </c>
      <c r="L1505" s="23">
        <f>IF(E1505="多",1,-1)*(I1505-H1505)*G1505*J1505</f>
        <v/>
      </c>
      <c r="M1505" s="24">
        <f>L1505/K1505</f>
        <v/>
      </c>
      <c r="N1505" s="2" t="inlineStr">
        <is>
          <t>将军撤退+大将军转向</t>
        </is>
      </c>
      <c r="O1505" s="2" t="inlineStr">
        <is>
          <t>否</t>
        </is>
      </c>
    </row>
    <row r="1506">
      <c r="A1506" s="2" t="inlineStr">
        <is>
          <t>2023-05-15</t>
        </is>
      </c>
      <c r="B1506" s="2" t="inlineStr">
        <is>
          <t>2023-05-24</t>
        </is>
      </c>
      <c r="C1506" s="2" t="inlineStr">
        <is>
          <t>聚丙烯</t>
        </is>
      </c>
      <c r="D1506" s="2" t="inlineStr">
        <is>
          <t>PP</t>
        </is>
      </c>
      <c r="E1506" s="9" t="inlineStr">
        <is>
          <t>空</t>
        </is>
      </c>
      <c r="F1506" s="2" t="inlineStr">
        <is>
          <t>★★★</t>
        </is>
      </c>
      <c r="G1506" s="10" t="n">
        <v>20</v>
      </c>
      <c r="H1506" s="11" t="n">
        <v>7141</v>
      </c>
      <c r="I1506" s="11" t="n">
        <v>6973</v>
      </c>
      <c r="J1506" s="10" t="n">
        <v>5</v>
      </c>
      <c r="K1506" s="10" t="n">
        <v>28500</v>
      </c>
      <c r="L1506" s="23">
        <f>IF(E1506="多",1,-1)*(I1506-H1506)*G1506*J1506</f>
        <v/>
      </c>
      <c r="M1506" s="24">
        <f>L1506/K1506</f>
        <v/>
      </c>
      <c r="N1506" s="2" t="inlineStr">
        <is>
          <t>将军撤退+大将军转向</t>
        </is>
      </c>
      <c r="O1506" s="2" t="inlineStr">
        <is>
          <t>否</t>
        </is>
      </c>
    </row>
    <row r="1507">
      <c r="A1507" s="2" t="inlineStr">
        <is>
          <t>2023-05-16</t>
        </is>
      </c>
      <c r="B1507" s="2" t="inlineStr">
        <is>
          <t>2023-05-23</t>
        </is>
      </c>
      <c r="C1507" s="2" t="inlineStr">
        <is>
          <t>沪锌</t>
        </is>
      </c>
      <c r="D1507" s="2" t="inlineStr">
        <is>
          <t>ZN</t>
        </is>
      </c>
      <c r="E1507" s="9" t="inlineStr">
        <is>
          <t>空</t>
        </is>
      </c>
      <c r="F1507" s="2" t="inlineStr">
        <is>
          <t>★★★</t>
        </is>
      </c>
      <c r="G1507" s="10" t="n">
        <v>5</v>
      </c>
      <c r="H1507" s="11" t="n">
        <v>20415</v>
      </c>
      <c r="I1507" s="11" t="n">
        <v>19695</v>
      </c>
      <c r="J1507" s="10" t="n">
        <v>5</v>
      </c>
      <c r="K1507" s="10" t="n">
        <v>29500</v>
      </c>
      <c r="L1507" s="23">
        <f>IF(E1507="多",1,-1)*(I1507-H1507)*G1507*J1507</f>
        <v/>
      </c>
      <c r="M1507" s="24">
        <f>L1507/K1507</f>
        <v/>
      </c>
      <c r="N1507" s="2" t="inlineStr">
        <is>
          <t>将军撤退</t>
        </is>
      </c>
      <c r="O1507" s="2" t="inlineStr">
        <is>
          <t>否</t>
        </is>
      </c>
    </row>
    <row r="1508">
      <c r="A1508" s="2" t="inlineStr">
        <is>
          <t>2023-05-16</t>
        </is>
      </c>
      <c r="B1508" s="2" t="inlineStr">
        <is>
          <t>2023-05-17</t>
        </is>
      </c>
      <c r="C1508" s="2" t="inlineStr">
        <is>
          <t>硅铁</t>
        </is>
      </c>
      <c r="D1508" s="2" t="inlineStr">
        <is>
          <t>SF</t>
        </is>
      </c>
      <c r="E1508" s="9" t="inlineStr">
        <is>
          <t>空</t>
        </is>
      </c>
      <c r="F1508" s="2" t="inlineStr">
        <is>
          <t>★★★</t>
        </is>
      </c>
      <c r="G1508" s="10" t="n">
        <v>7</v>
      </c>
      <c r="H1508" s="11" t="n">
        <v>7436</v>
      </c>
      <c r="I1508" s="11" t="n">
        <v>7448</v>
      </c>
      <c r="J1508" s="10" t="n">
        <v>5</v>
      </c>
      <c r="K1508" s="10" t="n">
        <v>14400</v>
      </c>
      <c r="L1508" s="23">
        <f>IF(E1508="多",1,-1)*(I1508-H1508)*G1508*J1508</f>
        <v/>
      </c>
      <c r="M1508" s="24">
        <f>L1508/K1508</f>
        <v/>
      </c>
      <c r="N1508" s="2" t="inlineStr">
        <is>
          <t>将军撤退+大将军转向</t>
        </is>
      </c>
      <c r="O1508" s="2" t="inlineStr">
        <is>
          <t>否</t>
        </is>
      </c>
    </row>
    <row r="1509">
      <c r="A1509" s="2" t="inlineStr">
        <is>
          <t>2023-05-10</t>
        </is>
      </c>
      <c r="B1509" s="2" t="inlineStr">
        <is>
          <t>2023-05-16</t>
        </is>
      </c>
      <c r="C1509" s="2" t="inlineStr">
        <is>
          <t>PTA</t>
        </is>
      </c>
      <c r="D1509" s="2" t="inlineStr">
        <is>
          <t>TA</t>
        </is>
      </c>
      <c r="E1509" s="9" t="inlineStr">
        <is>
          <t>空</t>
        </is>
      </c>
      <c r="F1509" s="2" t="inlineStr">
        <is>
          <t>★★★</t>
        </is>
      </c>
      <c r="G1509" s="10" t="n">
        <v>15</v>
      </c>
      <c r="H1509" s="11" t="n">
        <v>5402</v>
      </c>
      <c r="I1509" s="11" t="n">
        <v>5208</v>
      </c>
      <c r="J1509" s="10" t="n">
        <v>5</v>
      </c>
      <c r="K1509" s="10" t="n">
        <v>27600</v>
      </c>
      <c r="L1509" s="23">
        <f>IF(E1509="多",1,-1)*(I1509-H1509)*G1509*J1509</f>
        <v/>
      </c>
      <c r="M1509" s="24">
        <f>L1509/K1509</f>
        <v/>
      </c>
      <c r="N1509" s="2" t="inlineStr">
        <is>
          <t>将军撤退</t>
        </is>
      </c>
      <c r="O1509" s="2" t="inlineStr">
        <is>
          <t>否</t>
        </is>
      </c>
    </row>
    <row r="1510">
      <c r="A1510" s="2" t="inlineStr">
        <is>
          <t>2023-05-12</t>
        </is>
      </c>
      <c r="B1510" s="2" t="inlineStr">
        <is>
          <t>2023-05-15</t>
        </is>
      </c>
      <c r="C1510" s="2" t="inlineStr">
        <is>
          <t>沪锌</t>
        </is>
      </c>
      <c r="D1510" s="2" t="inlineStr">
        <is>
          <t>ZN</t>
        </is>
      </c>
      <c r="E1510" s="9" t="inlineStr">
        <is>
          <t>空</t>
        </is>
      </c>
      <c r="F1510" s="2" t="inlineStr">
        <is>
          <t>★★★</t>
        </is>
      </c>
      <c r="G1510" s="10" t="n">
        <v>5</v>
      </c>
      <c r="H1510" s="11" t="n">
        <v>20750</v>
      </c>
      <c r="I1510" s="11" t="n">
        <v>20880</v>
      </c>
      <c r="J1510" s="10" t="n">
        <v>5</v>
      </c>
      <c r="K1510" s="10" t="n">
        <v>28800</v>
      </c>
      <c r="L1510" s="23">
        <f>IF(E1510="多",1,-1)*(I1510-H1510)*G1510*J1510</f>
        <v/>
      </c>
      <c r="M1510" s="24">
        <f>L1510/K1510</f>
        <v/>
      </c>
      <c r="N1510" s="2" t="inlineStr">
        <is>
          <t>将军撤退</t>
        </is>
      </c>
      <c r="O1510" s="2" t="inlineStr">
        <is>
          <t>否</t>
        </is>
      </c>
    </row>
    <row r="1511">
      <c r="A1511" s="2" t="inlineStr">
        <is>
          <t>2023-05-12</t>
        </is>
      </c>
      <c r="B1511" s="2" t="inlineStr">
        <is>
          <t>2023-05-15</t>
        </is>
      </c>
      <c r="C1511" s="2" t="inlineStr">
        <is>
          <t>沪铝</t>
        </is>
      </c>
      <c r="D1511" s="2" t="inlineStr">
        <is>
          <t>AL</t>
        </is>
      </c>
      <c r="E1511" s="9" t="inlineStr">
        <is>
          <t>空</t>
        </is>
      </c>
      <c r="F1511" s="2" t="inlineStr">
        <is>
          <t>★★★</t>
        </is>
      </c>
      <c r="G1511" s="10" t="n">
        <v>4</v>
      </c>
      <c r="H1511" s="11" t="n">
        <v>17990</v>
      </c>
      <c r="I1511" s="11" t="n">
        <v>18115</v>
      </c>
      <c r="J1511" s="10" t="n">
        <v>5</v>
      </c>
      <c r="K1511" s="10" t="n">
        <v>16000</v>
      </c>
      <c r="L1511" s="23">
        <f>IF(E1511="多",1,-1)*(I1511-H1511)*G1511*J1511</f>
        <v/>
      </c>
      <c r="M1511" s="24">
        <f>L1511/K1511</f>
        <v/>
      </c>
      <c r="N1511" s="2" t="inlineStr">
        <is>
          <t>大将军转向</t>
        </is>
      </c>
      <c r="O1511" s="2" t="inlineStr">
        <is>
          <t>否</t>
        </is>
      </c>
    </row>
    <row r="1512">
      <c r="A1512" s="14" t="inlineStr">
        <is>
          <t>2023-05-09</t>
        </is>
      </c>
      <c r="B1512" s="14" t="inlineStr">
        <is>
          <t>2023-05-15</t>
        </is>
      </c>
      <c r="C1512" s="14" t="inlineStr">
        <is>
          <t>玻璃</t>
        </is>
      </c>
      <c r="D1512" s="14" t="inlineStr">
        <is>
          <t>FG</t>
        </is>
      </c>
      <c r="E1512" s="14" t="inlineStr">
        <is>
          <t>空</t>
        </is>
      </c>
      <c r="F1512" s="14" t="inlineStr">
        <is>
          <t>★★</t>
        </is>
      </c>
      <c r="G1512" s="14" t="n">
        <v>2</v>
      </c>
      <c r="H1512" s="15" t="n">
        <v>1677</v>
      </c>
      <c r="I1512" s="15" t="n">
        <v>1609</v>
      </c>
      <c r="J1512" s="14" t="n">
        <v>20</v>
      </c>
      <c r="K1512" s="14" t="n">
        <v>10000</v>
      </c>
      <c r="L1512" s="25">
        <f>IF(E1512="多",1,-1)*(I1512-H1512)*G1512*J1512</f>
        <v/>
      </c>
      <c r="M1512" s="26">
        <f>L1512/K1512</f>
        <v/>
      </c>
      <c r="N1512" s="14" t="inlineStr">
        <is>
          <t>大将军转向</t>
        </is>
      </c>
      <c r="O1512" s="14" t="inlineStr">
        <is>
          <t>是</t>
        </is>
      </c>
    </row>
    <row r="1513">
      <c r="A1513" s="14" t="inlineStr">
        <is>
          <t>2023-04-28</t>
        </is>
      </c>
      <c r="B1513" s="14" t="inlineStr">
        <is>
          <t>2023-05-15</t>
        </is>
      </c>
      <c r="C1513" s="14" t="inlineStr">
        <is>
          <t>豆油</t>
        </is>
      </c>
      <c r="D1513" s="14" t="inlineStr">
        <is>
          <t>Y</t>
        </is>
      </c>
      <c r="E1513" s="14" t="inlineStr">
        <is>
          <t>空</t>
        </is>
      </c>
      <c r="F1513" s="14" t="inlineStr">
        <is>
          <t>★★★</t>
        </is>
      </c>
      <c r="G1513" s="14" t="n">
        <v>2</v>
      </c>
      <c r="H1513" s="15" t="n">
        <v>7470</v>
      </c>
      <c r="I1513" s="15" t="n">
        <v>7346</v>
      </c>
      <c r="J1513" s="14" t="n">
        <v>10</v>
      </c>
      <c r="K1513" s="14" t="n">
        <v>10000</v>
      </c>
      <c r="L1513" s="25">
        <f>IF(E1513="多",1,-1)*(I1513-H1513)*G1513*J1513</f>
        <v/>
      </c>
      <c r="M1513" s="26">
        <f>L1513/K1513</f>
        <v/>
      </c>
      <c r="N1513" s="14" t="inlineStr">
        <is>
          <t>将军撤退+大将军转向</t>
        </is>
      </c>
      <c r="O1513" s="14" t="inlineStr">
        <is>
          <t>是</t>
        </is>
      </c>
    </row>
    <row r="1514">
      <c r="A1514" s="2" t="inlineStr">
        <is>
          <t>2023-05-11</t>
        </is>
      </c>
      <c r="B1514" s="2" t="inlineStr">
        <is>
          <t>2023-05-12</t>
        </is>
      </c>
      <c r="C1514" s="2" t="inlineStr">
        <is>
          <t>沪铜</t>
        </is>
      </c>
      <c r="D1514" s="2" t="inlineStr">
        <is>
          <t>CU</t>
        </is>
      </c>
      <c r="E1514" s="9" t="inlineStr">
        <is>
          <t>空</t>
        </is>
      </c>
      <c r="F1514" s="2" t="inlineStr">
        <is>
          <t>★★★</t>
        </is>
      </c>
      <c r="G1514" s="10" t="n">
        <v>1</v>
      </c>
      <c r="H1514" s="11" t="n">
        <v>64860</v>
      </c>
      <c r="I1514" s="11" t="n">
        <v>64610</v>
      </c>
      <c r="J1514" s="10" t="n">
        <v>5</v>
      </c>
      <c r="K1514" s="10" t="n">
        <v>17200</v>
      </c>
      <c r="L1514" s="23">
        <f>IF(E1514="多",1,-1)*(I1514-H1514)*G1514*J1514</f>
        <v/>
      </c>
      <c r="M1514" s="24">
        <f>L1514/K1514</f>
        <v/>
      </c>
      <c r="N1514" s="2" t="inlineStr">
        <is>
          <t>大将军转向</t>
        </is>
      </c>
      <c r="O1514" s="2" t="inlineStr">
        <is>
          <t>否</t>
        </is>
      </c>
    </row>
    <row r="1515">
      <c r="A1515" s="2" t="inlineStr">
        <is>
          <t>2023-05-09</t>
        </is>
      </c>
      <c r="B1515" s="2" t="inlineStr">
        <is>
          <t>2023-05-12</t>
        </is>
      </c>
      <c r="C1515" s="2" t="inlineStr">
        <is>
          <t>纯碱</t>
        </is>
      </c>
      <c r="D1515" s="2" t="inlineStr">
        <is>
          <t>SA</t>
        </is>
      </c>
      <c r="E1515" s="9" t="inlineStr">
        <is>
          <t>空</t>
        </is>
      </c>
      <c r="F1515" s="2" t="inlineStr">
        <is>
          <t>★★★</t>
        </is>
      </c>
      <c r="G1515" s="10" t="n">
        <v>6</v>
      </c>
      <c r="H1515" s="11" t="n">
        <v>1989</v>
      </c>
      <c r="I1515" s="11" t="n">
        <v>1874</v>
      </c>
      <c r="J1515" s="10" t="n">
        <v>20</v>
      </c>
      <c r="K1515" s="10" t="n">
        <v>27600</v>
      </c>
      <c r="L1515" s="23">
        <f>IF(E1515="多",1,-1)*(I1515-H1515)*G1515*J1515</f>
        <v/>
      </c>
      <c r="M1515" s="24">
        <f>L1515/K1515</f>
        <v/>
      </c>
      <c r="N1515" s="2" t="inlineStr">
        <is>
          <t>大将军转向</t>
        </is>
      </c>
      <c r="O1515" s="2" t="inlineStr">
        <is>
          <t>否</t>
        </is>
      </c>
    </row>
    <row r="1516">
      <c r="A1516" s="14" t="inlineStr">
        <is>
          <t>2023-05-09</t>
        </is>
      </c>
      <c r="B1516" s="14" t="inlineStr">
        <is>
          <t>2023-05-11</t>
        </is>
      </c>
      <c r="C1516" s="14" t="inlineStr">
        <is>
          <t>硅铁</t>
        </is>
      </c>
      <c r="D1516" s="14" t="inlineStr">
        <is>
          <t>SF</t>
        </is>
      </c>
      <c r="E1516" s="14" t="inlineStr">
        <is>
          <t>空</t>
        </is>
      </c>
      <c r="F1516" s="14" t="inlineStr">
        <is>
          <t>★★</t>
        </is>
      </c>
      <c r="G1516" s="14" t="n">
        <v>4</v>
      </c>
      <c r="H1516" s="15" t="n">
        <v>7448</v>
      </c>
      <c r="I1516" s="15" t="n">
        <v>7400</v>
      </c>
      <c r="J1516" s="14" t="n">
        <v>5</v>
      </c>
      <c r="K1516" s="14" t="n">
        <v>10000</v>
      </c>
      <c r="L1516" s="25">
        <f>IF(E1516="多",1,-1)*(I1516-H1516)*G1516*J1516</f>
        <v/>
      </c>
      <c r="M1516" s="26">
        <f>L1516/K1516</f>
        <v/>
      </c>
      <c r="N1516" s="14" t="inlineStr">
        <is>
          <t>将军撤退</t>
        </is>
      </c>
      <c r="O1516" s="14" t="inlineStr">
        <is>
          <t>是</t>
        </is>
      </c>
    </row>
    <row r="1517">
      <c r="A1517" s="14" t="inlineStr">
        <is>
          <t>2023-04-27</t>
        </is>
      </c>
      <c r="B1517" s="14" t="inlineStr">
        <is>
          <t>2023-05-11</t>
        </is>
      </c>
      <c r="C1517" s="14" t="inlineStr">
        <is>
          <t>PVC</t>
        </is>
      </c>
      <c r="D1517" s="14" t="inlineStr">
        <is>
          <t>V</t>
        </is>
      </c>
      <c r="E1517" s="14" t="inlineStr">
        <is>
          <t>空</t>
        </is>
      </c>
      <c r="F1517" s="14" t="inlineStr">
        <is>
          <t>★★</t>
        </is>
      </c>
      <c r="G1517" s="14" t="n">
        <v>7</v>
      </c>
      <c r="H1517" s="15" t="n">
        <v>5994</v>
      </c>
      <c r="I1517" s="15" t="n">
        <v>5836</v>
      </c>
      <c r="J1517" s="14" t="n">
        <v>5</v>
      </c>
      <c r="K1517" s="14" t="n">
        <v>10000</v>
      </c>
      <c r="L1517" s="25">
        <f>IF(E1517="多",1,-1)*(I1517-H1517)*G1517*J1517</f>
        <v/>
      </c>
      <c r="M1517" s="26">
        <f>L1517/K1517</f>
        <v/>
      </c>
      <c r="N1517" s="14" t="inlineStr">
        <is>
          <t>将军撤退</t>
        </is>
      </c>
      <c r="O1517" s="14" t="inlineStr">
        <is>
          <t>是</t>
        </is>
      </c>
    </row>
    <row r="1518">
      <c r="A1518" s="14" t="inlineStr">
        <is>
          <t>2023-05-05</t>
        </is>
      </c>
      <c r="B1518" s="14" t="inlineStr">
        <is>
          <t>2023-05-08</t>
        </is>
      </c>
      <c r="C1518" s="14" t="inlineStr">
        <is>
          <t>玉米</t>
        </is>
      </c>
      <c r="D1518" s="14" t="inlineStr">
        <is>
          <t>C</t>
        </is>
      </c>
      <c r="E1518" s="14" t="inlineStr">
        <is>
          <t>空</t>
        </is>
      </c>
      <c r="F1518" s="14" t="inlineStr">
        <is>
          <t>★★</t>
        </is>
      </c>
      <c r="G1518" s="14" t="n">
        <v>11</v>
      </c>
      <c r="H1518" s="15" t="n">
        <v>2600</v>
      </c>
      <c r="I1518" s="15" t="n">
        <v>2629</v>
      </c>
      <c r="J1518" s="14" t="n">
        <v>10</v>
      </c>
      <c r="K1518" s="14" t="n">
        <v>10000</v>
      </c>
      <c r="L1518" s="25">
        <f>IF(E1518="多",1,-1)*(I1518-H1518)*G1518*J1518</f>
        <v/>
      </c>
      <c r="M1518" s="26">
        <f>L1518/K1518</f>
        <v/>
      </c>
      <c r="N1518" s="14" t="inlineStr">
        <is>
          <t>大将军转向</t>
        </is>
      </c>
      <c r="O1518" s="14" t="inlineStr">
        <is>
          <t>是</t>
        </is>
      </c>
    </row>
    <row r="1519">
      <c r="A1519" s="14" t="inlineStr">
        <is>
          <t>2023-04-28</t>
        </is>
      </c>
      <c r="B1519" s="14" t="inlineStr">
        <is>
          <t>2023-05-08</t>
        </is>
      </c>
      <c r="C1519" s="14" t="inlineStr">
        <is>
          <t>沪锌</t>
        </is>
      </c>
      <c r="D1519" s="14" t="inlineStr">
        <is>
          <t>ZN</t>
        </is>
      </c>
      <c r="E1519" s="14" t="inlineStr">
        <is>
          <t>空</t>
        </is>
      </c>
      <c r="F1519" s="14" t="inlineStr">
        <is>
          <t>★★★</t>
        </is>
      </c>
      <c r="G1519" s="14" t="n">
        <v>1</v>
      </c>
      <c r="H1519" s="15" t="n">
        <v>21195</v>
      </c>
      <c r="I1519" s="15" t="n">
        <v>21535</v>
      </c>
      <c r="J1519" s="14" t="n">
        <v>5</v>
      </c>
      <c r="K1519" s="14" t="n">
        <v>10000</v>
      </c>
      <c r="L1519" s="25">
        <f>IF(E1519="多",1,-1)*(I1519-H1519)*G1519*J1519</f>
        <v/>
      </c>
      <c r="M1519" s="26">
        <f>L1519/K1519</f>
        <v/>
      </c>
      <c r="N1519" s="14" t="inlineStr">
        <is>
          <t>大将军转向</t>
        </is>
      </c>
      <c r="O1519" s="14" t="inlineStr">
        <is>
          <t>是</t>
        </is>
      </c>
    </row>
    <row r="1520">
      <c r="A1520" s="2" t="inlineStr">
        <is>
          <t>2023-04-28</t>
        </is>
      </c>
      <c r="B1520" s="2" t="inlineStr">
        <is>
          <t>2023-05-08</t>
        </is>
      </c>
      <c r="C1520" s="2" t="inlineStr">
        <is>
          <t>棕榈油</t>
        </is>
      </c>
      <c r="D1520" s="2" t="inlineStr">
        <is>
          <t>P</t>
        </is>
      </c>
      <c r="E1520" s="9" t="inlineStr">
        <is>
          <t>空</t>
        </is>
      </c>
      <c r="F1520" s="2" t="inlineStr">
        <is>
          <t>★★★</t>
        </is>
      </c>
      <c r="G1520" s="10" t="n">
        <v>6</v>
      </c>
      <c r="H1520" s="11" t="n">
        <v>6842</v>
      </c>
      <c r="I1520" s="11" t="n">
        <v>7175.57</v>
      </c>
      <c r="J1520" s="10" t="n">
        <v>10</v>
      </c>
      <c r="K1520" s="10" t="n">
        <v>30000</v>
      </c>
      <c r="L1520" s="23">
        <f>IF(E1520="多",1,-1)*(I1520-H1520)*G1520*J1520</f>
        <v/>
      </c>
      <c r="M1520" s="24">
        <f>L1520/K1520</f>
        <v/>
      </c>
      <c r="N1520" s="2" t="inlineStr">
        <is>
          <t>止损</t>
        </is>
      </c>
      <c r="O1520" s="2" t="inlineStr">
        <is>
          <t>否</t>
        </is>
      </c>
    </row>
    <row r="1521">
      <c r="A1521" s="2" t="inlineStr">
        <is>
          <t>2023-04-28</t>
        </is>
      </c>
      <c r="B1521" s="2" t="inlineStr">
        <is>
          <t>2023-05-08</t>
        </is>
      </c>
      <c r="C1521" s="2" t="inlineStr">
        <is>
          <t>热卷</t>
        </is>
      </c>
      <c r="D1521" s="2" t="inlineStr">
        <is>
          <t>HC</t>
        </is>
      </c>
      <c r="E1521" s="9" t="inlineStr">
        <is>
          <t>空</t>
        </is>
      </c>
      <c r="F1521" s="2" t="inlineStr">
        <is>
          <t>★★★</t>
        </is>
      </c>
      <c r="G1521" s="10" t="n">
        <v>14</v>
      </c>
      <c r="H1521" s="11" t="n">
        <v>3690</v>
      </c>
      <c r="I1521" s="11" t="n">
        <v>3797.93</v>
      </c>
      <c r="J1521" s="10" t="n">
        <v>10</v>
      </c>
      <c r="K1521" s="10" t="n">
        <v>30000</v>
      </c>
      <c r="L1521" s="23">
        <f>IF(E1521="多",1,-1)*(I1521-H1521)*G1521*J1521</f>
        <v/>
      </c>
      <c r="M1521" s="24">
        <f>L1521/K1521</f>
        <v/>
      </c>
      <c r="N1521" s="2" t="inlineStr">
        <is>
          <t>止损</t>
        </is>
      </c>
      <c r="O1521" s="2" t="inlineStr">
        <is>
          <t>否</t>
        </is>
      </c>
    </row>
    <row r="1522">
      <c r="A1522" s="2" t="inlineStr">
        <is>
          <t>2023-04-10</t>
        </is>
      </c>
      <c r="B1522" s="2" t="inlineStr">
        <is>
          <t>2023-05-08</t>
        </is>
      </c>
      <c r="C1522" s="2" t="inlineStr">
        <is>
          <t>豆粕</t>
        </is>
      </c>
      <c r="D1522" s="2" t="inlineStr">
        <is>
          <t>M</t>
        </is>
      </c>
      <c r="E1522" s="9" t="inlineStr">
        <is>
          <t>空</t>
        </is>
      </c>
      <c r="F1522" s="2" t="inlineStr">
        <is>
          <t>★★★</t>
        </is>
      </c>
      <c r="G1522" s="10" t="n">
        <v>2</v>
      </c>
      <c r="H1522" s="11" t="n">
        <v>3585</v>
      </c>
      <c r="I1522" s="11" t="n">
        <v>3546.5</v>
      </c>
      <c r="J1522" s="10" t="n">
        <v>10</v>
      </c>
      <c r="K1522" s="10" t="n">
        <v>4600</v>
      </c>
      <c r="L1522" s="23">
        <f>IF(E1522="多",1,-1)*(I1522-H1522)*G1522*J1522</f>
        <v/>
      </c>
      <c r="M1522" s="24">
        <f>L1522/K1522</f>
        <v/>
      </c>
      <c r="N1522" s="2" t="inlineStr">
        <is>
          <t>止损</t>
        </is>
      </c>
      <c r="O1522" s="2" t="inlineStr">
        <is>
          <t>否</t>
        </is>
      </c>
    </row>
    <row r="1523">
      <c r="A1523" s="14" t="inlineStr">
        <is>
          <t>2023-05-04</t>
        </is>
      </c>
      <c r="B1523" s="14" t="inlineStr">
        <is>
          <t>2023-05-05</t>
        </is>
      </c>
      <c r="C1523" s="14" t="inlineStr">
        <is>
          <t>棉花</t>
        </is>
      </c>
      <c r="D1523" s="14" t="inlineStr">
        <is>
          <t>CF</t>
        </is>
      </c>
      <c r="E1523" s="14" t="inlineStr">
        <is>
          <t>多</t>
        </is>
      </c>
      <c r="F1523" s="14" t="inlineStr">
        <is>
          <t>★★</t>
        </is>
      </c>
      <c r="G1523" s="14" t="n">
        <v>2</v>
      </c>
      <c r="H1523" s="15" t="n">
        <v>15750</v>
      </c>
      <c r="I1523" s="15" t="n">
        <v>15995</v>
      </c>
      <c r="J1523" s="14" t="n">
        <v>5</v>
      </c>
      <c r="K1523" s="14" t="n">
        <v>10000</v>
      </c>
      <c r="L1523" s="25">
        <f>IF(E1523="多",1,-1)*(I1523-H1523)*G1523*J1523</f>
        <v/>
      </c>
      <c r="M1523" s="26">
        <f>L1523/K1523</f>
        <v/>
      </c>
      <c r="N1523" s="14" t="inlineStr">
        <is>
          <t>大将军转向</t>
        </is>
      </c>
      <c r="O1523" s="14" t="inlineStr">
        <is>
          <t>是</t>
        </is>
      </c>
    </row>
    <row r="1524">
      <c r="A1524" s="2" t="inlineStr">
        <is>
          <t>2023-04-27</t>
        </is>
      </c>
      <c r="B1524" s="2" t="inlineStr">
        <is>
          <t>2023-05-05</t>
        </is>
      </c>
      <c r="C1524" s="2" t="inlineStr">
        <is>
          <t>铁矿石</t>
        </is>
      </c>
      <c r="D1524" s="2" t="inlineStr">
        <is>
          <t>I</t>
        </is>
      </c>
      <c r="E1524" s="9" t="inlineStr">
        <is>
          <t>空</t>
        </is>
      </c>
      <c r="F1524" s="2" t="inlineStr">
        <is>
          <t>★★★</t>
        </is>
      </c>
      <c r="G1524" s="10" t="n">
        <v>4</v>
      </c>
      <c r="H1524" s="11" t="n">
        <v>712</v>
      </c>
      <c r="I1524" s="11" t="n">
        <v>697.5</v>
      </c>
      <c r="J1524" s="10" t="n">
        <v>100</v>
      </c>
      <c r="K1524" s="10" t="n">
        <v>30000</v>
      </c>
      <c r="L1524" s="23">
        <f>IF(E1524="多",1,-1)*(I1524-H1524)*G1524*J1524</f>
        <v/>
      </c>
      <c r="M1524" s="24">
        <f>L1524/K1524</f>
        <v/>
      </c>
      <c r="N1524" s="2" t="inlineStr">
        <is>
          <t>将军撤退</t>
        </is>
      </c>
      <c r="O1524" s="2" t="inlineStr">
        <is>
          <t>否</t>
        </is>
      </c>
    </row>
    <row r="1525">
      <c r="A1525" s="14" t="inlineStr">
        <is>
          <t>2023-04-26</t>
        </is>
      </c>
      <c r="B1525" s="14" t="inlineStr">
        <is>
          <t>2023-04-28</t>
        </is>
      </c>
      <c r="C1525" s="14" t="inlineStr">
        <is>
          <t>短纤</t>
        </is>
      </c>
      <c r="D1525" s="14" t="inlineStr">
        <is>
          <t>PF</t>
        </is>
      </c>
      <c r="E1525" s="14" t="inlineStr">
        <is>
          <t>空</t>
        </is>
      </c>
      <c r="F1525" s="14" t="inlineStr">
        <is>
          <t>★★</t>
        </is>
      </c>
      <c r="G1525" s="14" t="n">
        <v>4</v>
      </c>
      <c r="H1525" s="15" t="n">
        <v>7308</v>
      </c>
      <c r="I1525" s="15" t="n">
        <v>7270</v>
      </c>
      <c r="J1525" s="14" t="n">
        <v>5</v>
      </c>
      <c r="K1525" s="14" t="n">
        <v>10000</v>
      </c>
      <c r="L1525" s="25">
        <f>IF(E1525="多",1,-1)*(I1525-H1525)*G1525*J1525</f>
        <v/>
      </c>
      <c r="M1525" s="26">
        <f>L1525/K1525</f>
        <v/>
      </c>
      <c r="N1525" s="14" t="inlineStr">
        <is>
          <t>将军撤退+大将军转向</t>
        </is>
      </c>
      <c r="O1525" s="14" t="inlineStr">
        <is>
          <t>是</t>
        </is>
      </c>
    </row>
    <row r="1526">
      <c r="A1526" s="2" t="inlineStr">
        <is>
          <t>2023-04-25</t>
        </is>
      </c>
      <c r="B1526" s="2" t="inlineStr">
        <is>
          <t>2023-04-28</t>
        </is>
      </c>
      <c r="C1526" s="2" t="inlineStr">
        <is>
          <t>玻璃</t>
        </is>
      </c>
      <c r="D1526" s="2" t="inlineStr">
        <is>
          <t>FG</t>
        </is>
      </c>
      <c r="E1526" s="19" t="inlineStr">
        <is>
          <t>多</t>
        </is>
      </c>
      <c r="F1526" s="2" t="inlineStr">
        <is>
          <t>★★★</t>
        </is>
      </c>
      <c r="G1526" s="10" t="n">
        <v>8</v>
      </c>
      <c r="H1526" s="11" t="n">
        <v>1839</v>
      </c>
      <c r="I1526" s="11" t="n">
        <v>1793</v>
      </c>
      <c r="J1526" s="10" t="n">
        <v>20</v>
      </c>
      <c r="K1526" s="10" t="n">
        <v>28600</v>
      </c>
      <c r="L1526" s="23">
        <f>IF(E1526="多",1,-1)*(I1526-H1526)*G1526*J1526</f>
        <v/>
      </c>
      <c r="M1526" s="24">
        <f>L1526/K1526</f>
        <v/>
      </c>
      <c r="N1526" s="2" t="inlineStr">
        <is>
          <t>大将军转向</t>
        </is>
      </c>
      <c r="O1526" s="2" t="inlineStr">
        <is>
          <t>否</t>
        </is>
      </c>
    </row>
    <row r="1527">
      <c r="A1527" s="14" t="inlineStr">
        <is>
          <t>2023-04-20</t>
        </is>
      </c>
      <c r="B1527" s="14" t="inlineStr">
        <is>
          <t>2023-04-28</t>
        </is>
      </c>
      <c r="C1527" s="14" t="inlineStr">
        <is>
          <t>纯碱</t>
        </is>
      </c>
      <c r="D1527" s="14" t="inlineStr">
        <is>
          <t>SA</t>
        </is>
      </c>
      <c r="E1527" s="14" t="inlineStr">
        <is>
          <t>空</t>
        </is>
      </c>
      <c r="F1527" s="14" t="inlineStr">
        <is>
          <t>★★</t>
        </is>
      </c>
      <c r="G1527" s="14" t="n">
        <v>2</v>
      </c>
      <c r="H1527" s="15" t="n">
        <v>2222</v>
      </c>
      <c r="I1527" s="15" t="n">
        <v>2094</v>
      </c>
      <c r="J1527" s="14" t="n">
        <v>20</v>
      </c>
      <c r="K1527" s="14" t="n">
        <v>10000</v>
      </c>
      <c r="L1527" s="25">
        <f>IF(E1527="多",1,-1)*(I1527-H1527)*G1527*J1527</f>
        <v/>
      </c>
      <c r="M1527" s="26">
        <f>L1527/K1527</f>
        <v/>
      </c>
      <c r="N1527" s="14" t="inlineStr">
        <is>
          <t>将军撤退+大将军转向</t>
        </is>
      </c>
      <c r="O1527" s="14" t="inlineStr">
        <is>
          <t>是</t>
        </is>
      </c>
    </row>
    <row r="1528">
      <c r="A1528" s="2" t="inlineStr">
        <is>
          <t>2023-04-25</t>
        </is>
      </c>
      <c r="B1528" s="2" t="inlineStr">
        <is>
          <t>2023-04-27</t>
        </is>
      </c>
      <c r="C1528" s="2" t="inlineStr">
        <is>
          <t>沪锌</t>
        </is>
      </c>
      <c r="D1528" s="2" t="inlineStr">
        <is>
          <t>ZN</t>
        </is>
      </c>
      <c r="E1528" s="9" t="inlineStr">
        <is>
          <t>空</t>
        </is>
      </c>
      <c r="F1528" s="2" t="inlineStr">
        <is>
          <t>★★★</t>
        </is>
      </c>
      <c r="G1528" s="10" t="n">
        <v>6</v>
      </c>
      <c r="H1528" s="11" t="n">
        <v>21250</v>
      </c>
      <c r="I1528" s="11" t="n">
        <v>21110</v>
      </c>
      <c r="J1528" s="10" t="n">
        <v>5</v>
      </c>
      <c r="K1528" s="10" t="n">
        <v>28600</v>
      </c>
      <c r="L1528" s="23">
        <f>IF(E1528="多",1,-1)*(I1528-H1528)*G1528*J1528</f>
        <v/>
      </c>
      <c r="M1528" s="24">
        <f>L1528/K1528</f>
        <v/>
      </c>
      <c r="N1528" s="2" t="inlineStr">
        <is>
          <t>大将军转向</t>
        </is>
      </c>
      <c r="O1528" s="2" t="inlineStr">
        <is>
          <t>否</t>
        </is>
      </c>
    </row>
    <row r="1529">
      <c r="A1529" s="2" t="inlineStr">
        <is>
          <t>2023-04-25</t>
        </is>
      </c>
      <c r="B1529" s="2" t="inlineStr">
        <is>
          <t>2023-04-27</t>
        </is>
      </c>
      <c r="C1529" s="2" t="inlineStr">
        <is>
          <t>热卷</t>
        </is>
      </c>
      <c r="D1529" s="2" t="inlineStr">
        <is>
          <t>HC</t>
        </is>
      </c>
      <c r="E1529" s="9" t="inlineStr">
        <is>
          <t>空</t>
        </is>
      </c>
      <c r="F1529" s="2" t="inlineStr">
        <is>
          <t>★★★</t>
        </is>
      </c>
      <c r="G1529" s="10" t="n">
        <v>12</v>
      </c>
      <c r="H1529" s="11" t="n">
        <v>3740</v>
      </c>
      <c r="I1529" s="11" t="n">
        <v>3740</v>
      </c>
      <c r="J1529" s="10" t="n">
        <v>10</v>
      </c>
      <c r="K1529" s="10" t="n">
        <v>28600</v>
      </c>
      <c r="L1529" s="23">
        <f>IF(E1529="多",1,-1)*(I1529-H1529)*G1529*J1529</f>
        <v/>
      </c>
      <c r="M1529" s="24">
        <f>L1529/K1529</f>
        <v/>
      </c>
      <c r="N1529" s="2" t="inlineStr">
        <is>
          <t>将军撤退</t>
        </is>
      </c>
      <c r="O1529" s="2" t="inlineStr">
        <is>
          <t>否</t>
        </is>
      </c>
    </row>
    <row r="1530">
      <c r="A1530" s="14" t="inlineStr">
        <is>
          <t>2023-04-21</t>
        </is>
      </c>
      <c r="B1530" s="14" t="inlineStr">
        <is>
          <t>2023-04-26</t>
        </is>
      </c>
      <c r="C1530" s="14" t="inlineStr">
        <is>
          <t>螺纹钢</t>
        </is>
      </c>
      <c r="D1530" s="14" t="inlineStr">
        <is>
          <t>RB</t>
        </is>
      </c>
      <c r="E1530" s="14" t="inlineStr">
        <is>
          <t>空</t>
        </is>
      </c>
      <c r="F1530" s="14" t="inlineStr">
        <is>
          <t>★★★</t>
        </is>
      </c>
      <c r="G1530" s="14" t="n">
        <v>4</v>
      </c>
      <c r="H1530" s="15" t="n">
        <v>3810</v>
      </c>
      <c r="I1530" s="15" t="n">
        <v>3719</v>
      </c>
      <c r="J1530" s="14" t="n">
        <v>10</v>
      </c>
      <c r="K1530" s="14" t="n">
        <v>10000</v>
      </c>
      <c r="L1530" s="25">
        <f>IF(E1530="多",1,-1)*(I1530-H1530)*G1530*J1530</f>
        <v/>
      </c>
      <c r="M1530" s="26">
        <f>L1530/K1530</f>
        <v/>
      </c>
      <c r="N1530" s="14" t="inlineStr">
        <is>
          <t>将军撤退</t>
        </is>
      </c>
      <c r="O1530" s="14" t="inlineStr">
        <is>
          <t>是</t>
        </is>
      </c>
    </row>
    <row r="1531">
      <c r="A1531" s="14" t="inlineStr">
        <is>
          <t>2023-04-19</t>
        </is>
      </c>
      <c r="B1531" s="14" t="inlineStr">
        <is>
          <t>2023-04-26</t>
        </is>
      </c>
      <c r="C1531" s="14" t="inlineStr">
        <is>
          <t>白糖</t>
        </is>
      </c>
      <c r="D1531" s="14" t="inlineStr">
        <is>
          <t>SR</t>
        </is>
      </c>
      <c r="E1531" s="14" t="inlineStr">
        <is>
          <t>多</t>
        </is>
      </c>
      <c r="F1531" s="14" t="inlineStr">
        <is>
          <t>★★★</t>
        </is>
      </c>
      <c r="G1531" s="14" t="n">
        <v>2</v>
      </c>
      <c r="H1531" s="15" t="n">
        <v>6820</v>
      </c>
      <c r="I1531" s="15" t="n">
        <v>6910</v>
      </c>
      <c r="J1531" s="14" t="n">
        <v>10</v>
      </c>
      <c r="K1531" s="14" t="n">
        <v>10000</v>
      </c>
      <c r="L1531" s="25">
        <f>IF(E1531="多",1,-1)*(I1531-H1531)*G1531*J1531</f>
        <v/>
      </c>
      <c r="M1531" s="26">
        <f>L1531/K1531</f>
        <v/>
      </c>
      <c r="N1531" s="14" t="inlineStr">
        <is>
          <t>大将军转向</t>
        </is>
      </c>
      <c r="O1531" s="14" t="inlineStr">
        <is>
          <t>是</t>
        </is>
      </c>
    </row>
    <row r="1532">
      <c r="A1532" s="14" t="inlineStr">
        <is>
          <t>2023-04-14</t>
        </is>
      </c>
      <c r="B1532" s="14" t="inlineStr">
        <is>
          <t>2023-04-26</t>
        </is>
      </c>
      <c r="C1532" s="14" t="inlineStr">
        <is>
          <t>塑料</t>
        </is>
      </c>
      <c r="D1532" s="14" t="inlineStr">
        <is>
          <t>L</t>
        </is>
      </c>
      <c r="E1532" s="14" t="inlineStr">
        <is>
          <t>多</t>
        </is>
      </c>
      <c r="F1532" s="14" t="inlineStr">
        <is>
          <t>★★★</t>
        </is>
      </c>
      <c r="G1532" s="14" t="n">
        <v>7</v>
      </c>
      <c r="H1532" s="15" t="n">
        <v>8078</v>
      </c>
      <c r="I1532" s="15" t="n">
        <v>8205</v>
      </c>
      <c r="J1532" s="14" t="n">
        <v>5</v>
      </c>
      <c r="K1532" s="14" t="n">
        <v>10000</v>
      </c>
      <c r="L1532" s="25">
        <f>IF(E1532="多",1,-1)*(I1532-H1532)*G1532*J1532</f>
        <v/>
      </c>
      <c r="M1532" s="26">
        <f>L1532/K1532</f>
        <v/>
      </c>
      <c r="N1532" s="14" t="inlineStr">
        <is>
          <t>大将军转向</t>
        </is>
      </c>
      <c r="O1532" s="14" t="inlineStr">
        <is>
          <t>是</t>
        </is>
      </c>
    </row>
    <row r="1533">
      <c r="A1533" s="14" t="inlineStr">
        <is>
          <t>2023-04-04</t>
        </is>
      </c>
      <c r="B1533" s="14" t="inlineStr">
        <is>
          <t>2023-04-26</t>
        </is>
      </c>
      <c r="C1533" s="14" t="inlineStr">
        <is>
          <t>PVC</t>
        </is>
      </c>
      <c r="D1533" s="14" t="inlineStr">
        <is>
          <t>V</t>
        </is>
      </c>
      <c r="E1533" s="14" t="inlineStr">
        <is>
          <t>空</t>
        </is>
      </c>
      <c r="F1533" s="14" t="inlineStr">
        <is>
          <t>★★</t>
        </is>
      </c>
      <c r="G1533" s="14" t="n">
        <v>6</v>
      </c>
      <c r="H1533" s="15" t="n">
        <v>6191</v>
      </c>
      <c r="I1533" s="15" t="n">
        <v>6048</v>
      </c>
      <c r="J1533" s="14" t="n">
        <v>5</v>
      </c>
      <c r="K1533" s="14" t="n">
        <v>10000</v>
      </c>
      <c r="L1533" s="25">
        <f>IF(E1533="多",1,-1)*(I1533-H1533)*G1533*J1533</f>
        <v/>
      </c>
      <c r="M1533" s="26">
        <f>L1533/K1533</f>
        <v/>
      </c>
      <c r="N1533" s="14" t="inlineStr">
        <is>
          <t>大将军转向</t>
        </is>
      </c>
      <c r="O1533" s="14" t="inlineStr">
        <is>
          <t>是</t>
        </is>
      </c>
    </row>
    <row r="1534">
      <c r="A1534" s="14" t="inlineStr">
        <is>
          <t>2023-04-19</t>
        </is>
      </c>
      <c r="B1534" s="14" t="inlineStr">
        <is>
          <t>2023-04-25</t>
        </is>
      </c>
      <c r="C1534" s="14" t="inlineStr">
        <is>
          <t>聚丙烯</t>
        </is>
      </c>
      <c r="D1534" s="14" t="inlineStr">
        <is>
          <t>PP</t>
        </is>
      </c>
      <c r="E1534" s="14" t="inlineStr">
        <is>
          <t>多</t>
        </is>
      </c>
      <c r="F1534" s="14" t="inlineStr">
        <is>
          <t>★★</t>
        </is>
      </c>
      <c r="G1534" s="14" t="n">
        <v>7</v>
      </c>
      <c r="H1534" s="15" t="n">
        <v>7570</v>
      </c>
      <c r="I1534" s="15" t="n">
        <v>7556</v>
      </c>
      <c r="J1534" s="14" t="n">
        <v>5</v>
      </c>
      <c r="K1534" s="14" t="n">
        <v>10000</v>
      </c>
      <c r="L1534" s="25">
        <f>IF(E1534="多",1,-1)*(I1534-H1534)*G1534*J1534</f>
        <v/>
      </c>
      <c r="M1534" s="26">
        <f>L1534/K1534</f>
        <v/>
      </c>
      <c r="N1534" s="14" t="inlineStr">
        <is>
          <t>将军撤退</t>
        </is>
      </c>
      <c r="O1534" s="14" t="inlineStr">
        <is>
          <t>是</t>
        </is>
      </c>
    </row>
    <row r="1535">
      <c r="A1535" s="14" t="inlineStr">
        <is>
          <t>2023-04-20</t>
        </is>
      </c>
      <c r="B1535" s="14" t="inlineStr">
        <is>
          <t>2023-04-21</t>
        </is>
      </c>
      <c r="C1535" s="14" t="inlineStr">
        <is>
          <t>甲醇</t>
        </is>
      </c>
      <c r="D1535" s="14" t="inlineStr">
        <is>
          <t>MA</t>
        </is>
      </c>
      <c r="E1535" s="14" t="inlineStr">
        <is>
          <t>多</t>
        </is>
      </c>
      <c r="F1535" s="14" t="inlineStr">
        <is>
          <t>★★</t>
        </is>
      </c>
      <c r="G1535" s="14" t="n">
        <v>7</v>
      </c>
      <c r="H1535" s="15" t="n">
        <v>2468</v>
      </c>
      <c r="I1535" s="15" t="n">
        <v>2472</v>
      </c>
      <c r="J1535" s="14" t="n">
        <v>10</v>
      </c>
      <c r="K1535" s="14" t="n">
        <v>10000</v>
      </c>
      <c r="L1535" s="25">
        <f>IF(E1535="多",1,-1)*(I1535-H1535)*G1535*J1535</f>
        <v/>
      </c>
      <c r="M1535" s="26">
        <f>L1535/K1535</f>
        <v/>
      </c>
      <c r="N1535" s="14" t="inlineStr">
        <is>
          <t>将军撤退+大将军转向</t>
        </is>
      </c>
      <c r="O1535" s="14" t="inlineStr">
        <is>
          <t>是</t>
        </is>
      </c>
    </row>
    <row r="1536">
      <c r="A1536" s="2" t="inlineStr">
        <is>
          <t>2023-04-20</t>
        </is>
      </c>
      <c r="B1536" s="2" t="inlineStr">
        <is>
          <t>2023-04-21</t>
        </is>
      </c>
      <c r="C1536" s="2" t="inlineStr">
        <is>
          <t>玻璃</t>
        </is>
      </c>
      <c r="D1536" s="2" t="inlineStr">
        <is>
          <t>FG</t>
        </is>
      </c>
      <c r="E1536" s="19" t="inlineStr">
        <is>
          <t>多</t>
        </is>
      </c>
      <c r="F1536" s="2" t="inlineStr">
        <is>
          <t>★★★</t>
        </is>
      </c>
      <c r="G1536" s="10" t="n">
        <v>11</v>
      </c>
      <c r="H1536" s="11" t="n">
        <v>1860</v>
      </c>
      <c r="I1536" s="11" t="n">
        <v>1807</v>
      </c>
      <c r="J1536" s="10" t="n">
        <v>20</v>
      </c>
      <c r="K1536" s="10" t="n">
        <v>29600</v>
      </c>
      <c r="L1536" s="23">
        <f>IF(E1536="多",1,-1)*(I1536-H1536)*G1536*J1536</f>
        <v/>
      </c>
      <c r="M1536" s="24">
        <f>L1536/K1536</f>
        <v/>
      </c>
      <c r="N1536" s="2" t="inlineStr">
        <is>
          <t>大将军转向</t>
        </is>
      </c>
      <c r="O1536" s="2" t="inlineStr">
        <is>
          <t>否</t>
        </is>
      </c>
    </row>
    <row r="1537">
      <c r="A1537" s="14" t="inlineStr">
        <is>
          <t>2023-04-18</t>
        </is>
      </c>
      <c r="B1537" s="14" t="inlineStr">
        <is>
          <t>2023-04-21</t>
        </is>
      </c>
      <c r="C1537" s="14" t="inlineStr">
        <is>
          <t>螺纹钢</t>
        </is>
      </c>
      <c r="D1537" s="14" t="inlineStr">
        <is>
          <t>RB</t>
        </is>
      </c>
      <c r="E1537" s="14" t="inlineStr">
        <is>
          <t>多</t>
        </is>
      </c>
      <c r="F1537" s="14" t="inlineStr">
        <is>
          <t>★★</t>
        </is>
      </c>
      <c r="G1537" s="14" t="n">
        <v>4</v>
      </c>
      <c r="H1537" s="15" t="n">
        <v>3950</v>
      </c>
      <c r="I1537" s="15" t="n">
        <v>3810</v>
      </c>
      <c r="J1537" s="14" t="n">
        <v>10</v>
      </c>
      <c r="K1537" s="14" t="n">
        <v>10000</v>
      </c>
      <c r="L1537" s="25">
        <f>IF(E1537="多",1,-1)*(I1537-H1537)*G1537*J1537</f>
        <v/>
      </c>
      <c r="M1537" s="26">
        <f>L1537/K1537</f>
        <v/>
      </c>
      <c r="N1537" s="14" t="inlineStr">
        <is>
          <t>反向信号</t>
        </is>
      </c>
      <c r="O1537" s="14" t="inlineStr">
        <is>
          <t>是</t>
        </is>
      </c>
    </row>
    <row r="1538">
      <c r="A1538" s="14" t="inlineStr">
        <is>
          <t>2023-04-14</t>
        </is>
      </c>
      <c r="B1538" s="14" t="inlineStr">
        <is>
          <t>2023-04-21</t>
        </is>
      </c>
      <c r="C1538" s="14" t="inlineStr">
        <is>
          <t>沥青</t>
        </is>
      </c>
      <c r="D1538" s="14" t="inlineStr">
        <is>
          <t>BU</t>
        </is>
      </c>
      <c r="E1538" s="14" t="inlineStr">
        <is>
          <t>多</t>
        </is>
      </c>
      <c r="F1538" s="14" t="inlineStr">
        <is>
          <t>★★</t>
        </is>
      </c>
      <c r="G1538" s="14" t="n">
        <v>5</v>
      </c>
      <c r="H1538" s="15" t="n">
        <v>3960</v>
      </c>
      <c r="I1538" s="15" t="n">
        <v>3797.79</v>
      </c>
      <c r="J1538" s="14" t="n">
        <v>10</v>
      </c>
      <c r="K1538" s="14" t="n">
        <v>10000</v>
      </c>
      <c r="L1538" s="25">
        <f>IF(E1538="多",1,-1)*(I1538-H1538)*G1538*J1538</f>
        <v/>
      </c>
      <c r="M1538" s="26">
        <f>L1538/K1538</f>
        <v/>
      </c>
      <c r="N1538" s="14" t="inlineStr">
        <is>
          <t>止损</t>
        </is>
      </c>
      <c r="O1538" s="14" t="inlineStr">
        <is>
          <t>是</t>
        </is>
      </c>
    </row>
    <row r="1539">
      <c r="A1539" s="2" t="inlineStr">
        <is>
          <t>2023-04-18</t>
        </is>
      </c>
      <c r="B1539" s="2" t="inlineStr">
        <is>
          <t>2023-04-19</t>
        </is>
      </c>
      <c r="C1539" s="2" t="inlineStr">
        <is>
          <t>玻璃</t>
        </is>
      </c>
      <c r="D1539" s="2" t="inlineStr">
        <is>
          <t>FG</t>
        </is>
      </c>
      <c r="E1539" s="19" t="inlineStr">
        <is>
          <t>多</t>
        </is>
      </c>
      <c r="F1539" s="2" t="inlineStr">
        <is>
          <t>★★★</t>
        </is>
      </c>
      <c r="G1539" s="10" t="n">
        <v>12</v>
      </c>
      <c r="H1539" s="11" t="n">
        <v>1775</v>
      </c>
      <c r="I1539" s="11" t="n">
        <v>1778</v>
      </c>
      <c r="J1539" s="10" t="n">
        <v>20</v>
      </c>
      <c r="K1539" s="10" t="n">
        <v>29500</v>
      </c>
      <c r="L1539" s="23">
        <f>IF(E1539="多",1,-1)*(I1539-H1539)*G1539*J1539</f>
        <v/>
      </c>
      <c r="M1539" s="24">
        <f>L1539/K1539</f>
        <v/>
      </c>
      <c r="N1539" s="2" t="inlineStr">
        <is>
          <t>大将军转向</t>
        </is>
      </c>
      <c r="O1539" s="2" t="inlineStr">
        <is>
          <t>否</t>
        </is>
      </c>
    </row>
    <row r="1540">
      <c r="A1540" s="14" t="inlineStr">
        <is>
          <t>2023-04-14</t>
        </is>
      </c>
      <c r="B1540" s="14" t="inlineStr">
        <is>
          <t>2023-04-19</t>
        </is>
      </c>
      <c r="C1540" s="14" t="inlineStr">
        <is>
          <t>棕榈油</t>
        </is>
      </c>
      <c r="D1540" s="14" t="inlineStr">
        <is>
          <t>P</t>
        </is>
      </c>
      <c r="E1540" s="14" t="inlineStr">
        <is>
          <t>空</t>
        </is>
      </c>
      <c r="F1540" s="14" t="inlineStr">
        <is>
          <t>★★</t>
        </is>
      </c>
      <c r="G1540" s="14" t="n">
        <v>1</v>
      </c>
      <c r="H1540" s="15" t="n">
        <v>7088</v>
      </c>
      <c r="I1540" s="15" t="n">
        <v>7386</v>
      </c>
      <c r="J1540" s="14" t="n">
        <v>10</v>
      </c>
      <c r="K1540" s="14" t="n">
        <v>10000</v>
      </c>
      <c r="L1540" s="25">
        <f>IF(E1540="多",1,-1)*(I1540-H1540)*G1540*J1540</f>
        <v/>
      </c>
      <c r="M1540" s="26">
        <f>L1540/K1540</f>
        <v/>
      </c>
      <c r="N1540" s="14" t="inlineStr">
        <is>
          <t>大将军转向</t>
        </is>
      </c>
      <c r="O1540" s="14" t="inlineStr">
        <is>
          <t>是</t>
        </is>
      </c>
    </row>
    <row r="1541">
      <c r="A1541" s="14" t="inlineStr">
        <is>
          <t>2023-04-14</t>
        </is>
      </c>
      <c r="B1541" s="14" t="inlineStr">
        <is>
          <t>2023-04-18</t>
        </is>
      </c>
      <c r="C1541" s="14" t="inlineStr">
        <is>
          <t>螺纹钢</t>
        </is>
      </c>
      <c r="D1541" s="14" t="inlineStr">
        <is>
          <t>RB</t>
        </is>
      </c>
      <c r="E1541" s="14" t="inlineStr">
        <is>
          <t>空</t>
        </is>
      </c>
      <c r="F1541" s="14" t="inlineStr">
        <is>
          <t>★★</t>
        </is>
      </c>
      <c r="G1541" s="14" t="n">
        <v>4</v>
      </c>
      <c r="H1541" s="15" t="n">
        <v>3900</v>
      </c>
      <c r="I1541" s="15" t="n">
        <v>3950</v>
      </c>
      <c r="J1541" s="14" t="n">
        <v>10</v>
      </c>
      <c r="K1541" s="14" t="n">
        <v>10000</v>
      </c>
      <c r="L1541" s="25">
        <f>IF(E1541="多",1,-1)*(I1541-H1541)*G1541*J1541</f>
        <v/>
      </c>
      <c r="M1541" s="26">
        <f>L1541/K1541</f>
        <v/>
      </c>
      <c r="N1541" s="14" t="inlineStr">
        <is>
          <t>反向信号</t>
        </is>
      </c>
      <c r="O1541" s="14" t="inlineStr">
        <is>
          <t>是</t>
        </is>
      </c>
    </row>
    <row r="1542">
      <c r="A1542" s="2" t="inlineStr">
        <is>
          <t>2023-04-13</t>
        </is>
      </c>
      <c r="B1542" s="2" t="inlineStr">
        <is>
          <t>2023-04-17</t>
        </is>
      </c>
      <c r="C1542" s="2" t="inlineStr">
        <is>
          <t>尿素</t>
        </is>
      </c>
      <c r="D1542" s="2" t="inlineStr">
        <is>
          <t>UR</t>
        </is>
      </c>
      <c r="E1542" s="9" t="inlineStr">
        <is>
          <t>空</t>
        </is>
      </c>
      <c r="F1542" s="2" t="inlineStr">
        <is>
          <t>★★★</t>
        </is>
      </c>
      <c r="G1542" s="10" t="n">
        <v>7</v>
      </c>
      <c r="H1542" s="11" t="n">
        <v>2077</v>
      </c>
      <c r="I1542" s="11" t="n">
        <v>2052</v>
      </c>
      <c r="J1542" s="10" t="n">
        <v>20</v>
      </c>
      <c r="K1542" s="10" t="n">
        <v>25200</v>
      </c>
      <c r="L1542" s="23">
        <f>IF(E1542="多",1,-1)*(I1542-H1542)*G1542*J1542</f>
        <v/>
      </c>
      <c r="M1542" s="24">
        <f>L1542/K1542</f>
        <v/>
      </c>
      <c r="N1542" s="2" t="inlineStr">
        <is>
          <t>大将军转向</t>
        </is>
      </c>
      <c r="O1542" s="2" t="inlineStr">
        <is>
          <t>否</t>
        </is>
      </c>
    </row>
    <row r="1543">
      <c r="A1543" s="2" t="inlineStr">
        <is>
          <t>2023-04-06</t>
        </is>
      </c>
      <c r="B1543" s="2" t="inlineStr">
        <is>
          <t>2023-04-14</t>
        </is>
      </c>
      <c r="C1543" s="2" t="inlineStr">
        <is>
          <t>玻璃</t>
        </is>
      </c>
      <c r="D1543" s="2" t="inlineStr">
        <is>
          <t>FG</t>
        </is>
      </c>
      <c r="E1543" s="19" t="inlineStr">
        <is>
          <t>多</t>
        </is>
      </c>
      <c r="F1543" s="2" t="inlineStr">
        <is>
          <t>★★★</t>
        </is>
      </c>
      <c r="G1543" s="10" t="n">
        <v>9</v>
      </c>
      <c r="H1543" s="11" t="n">
        <v>1652</v>
      </c>
      <c r="I1543" s="11" t="n">
        <v>1704</v>
      </c>
      <c r="J1543" s="10" t="n">
        <v>20</v>
      </c>
      <c r="K1543" s="10" t="n">
        <v>19600</v>
      </c>
      <c r="L1543" s="23">
        <f>IF(E1543="多",1,-1)*(I1543-H1543)*G1543*J1543</f>
        <v/>
      </c>
      <c r="M1543" s="24">
        <f>L1543/K1543</f>
        <v/>
      </c>
      <c r="N1543" s="2" t="inlineStr">
        <is>
          <t>将军撤退</t>
        </is>
      </c>
      <c r="O1543" s="2" t="inlineStr">
        <is>
          <t>否</t>
        </is>
      </c>
    </row>
    <row r="1544">
      <c r="A1544" s="2" t="inlineStr">
        <is>
          <t>2023-04-06</t>
        </is>
      </c>
      <c r="B1544" s="2" t="inlineStr">
        <is>
          <t>2023-04-14</t>
        </is>
      </c>
      <c r="C1544" s="2" t="inlineStr">
        <is>
          <t>沪银</t>
        </is>
      </c>
      <c r="D1544" s="2" t="inlineStr">
        <is>
          <t>AG</t>
        </is>
      </c>
      <c r="E1544" s="19" t="inlineStr">
        <is>
          <t>多</t>
        </is>
      </c>
      <c r="F1544" s="2" t="inlineStr">
        <is>
          <t>★★★</t>
        </is>
      </c>
      <c r="G1544" s="10" t="n">
        <v>5</v>
      </c>
      <c r="H1544" s="11" t="n">
        <v>5549</v>
      </c>
      <c r="I1544" s="11" t="n">
        <v>5786</v>
      </c>
      <c r="J1544" s="10" t="n">
        <v>15</v>
      </c>
      <c r="K1544" s="10" t="n">
        <v>25200</v>
      </c>
      <c r="L1544" s="23">
        <f>IF(E1544="多",1,-1)*(I1544-H1544)*G1544*J1544</f>
        <v/>
      </c>
      <c r="M1544" s="24">
        <f>L1544/K1544</f>
        <v/>
      </c>
      <c r="N1544" s="2" t="inlineStr">
        <is>
          <t>大将军转向</t>
        </is>
      </c>
      <c r="O1544" s="2" t="inlineStr">
        <is>
          <t>否</t>
        </is>
      </c>
    </row>
    <row r="1545">
      <c r="A1545" s="2" t="inlineStr">
        <is>
          <t>2023-04-03</t>
        </is>
      </c>
      <c r="B1545" s="2" t="inlineStr">
        <is>
          <t>2023-04-14</t>
        </is>
      </c>
      <c r="C1545" s="2" t="inlineStr">
        <is>
          <t>白糖</t>
        </is>
      </c>
      <c r="D1545" s="2" t="inlineStr">
        <is>
          <t>SR</t>
        </is>
      </c>
      <c r="E1545" s="19" t="inlineStr">
        <is>
          <t>多</t>
        </is>
      </c>
      <c r="F1545" s="2" t="inlineStr">
        <is>
          <t>★★★</t>
        </is>
      </c>
      <c r="G1545" s="10" t="n">
        <v>9</v>
      </c>
      <c r="H1545" s="11" t="n">
        <v>6490</v>
      </c>
      <c r="I1545" s="11" t="n">
        <v>6707</v>
      </c>
      <c r="J1545" s="10" t="n">
        <v>10</v>
      </c>
      <c r="K1545" s="10" t="n">
        <v>25200</v>
      </c>
      <c r="L1545" s="23">
        <f>IF(E1545="多",1,-1)*(I1545-H1545)*G1545*J1545</f>
        <v/>
      </c>
      <c r="M1545" s="24">
        <f>L1545/K1545</f>
        <v/>
      </c>
      <c r="N1545" s="2" t="inlineStr">
        <is>
          <t>将军撤退+大将军转向</t>
        </is>
      </c>
      <c r="O1545" s="2" t="inlineStr">
        <is>
          <t>否</t>
        </is>
      </c>
    </row>
    <row r="1546">
      <c r="A1546" s="2" t="inlineStr">
        <is>
          <t>2023-04-12</t>
        </is>
      </c>
      <c r="B1546" s="2" t="inlineStr">
        <is>
          <t>2023-04-13</t>
        </is>
      </c>
      <c r="C1546" s="2" t="inlineStr">
        <is>
          <t>菜粕</t>
        </is>
      </c>
      <c r="D1546" s="2" t="inlineStr">
        <is>
          <t>RM</t>
        </is>
      </c>
      <c r="E1546" s="9" t="inlineStr">
        <is>
          <t>空</t>
        </is>
      </c>
      <c r="F1546" s="2" t="inlineStr">
        <is>
          <t>★★★</t>
        </is>
      </c>
      <c r="G1546" s="10" t="n">
        <v>13</v>
      </c>
      <c r="H1546" s="11" t="n">
        <v>2859</v>
      </c>
      <c r="I1546" s="11" t="n">
        <v>2906</v>
      </c>
      <c r="J1546" s="10" t="n">
        <v>10</v>
      </c>
      <c r="K1546" s="10" t="n">
        <v>25400</v>
      </c>
      <c r="L1546" s="23">
        <f>IF(E1546="多",1,-1)*(I1546-H1546)*G1546*J1546</f>
        <v/>
      </c>
      <c r="M1546" s="24">
        <f>L1546/K1546</f>
        <v/>
      </c>
      <c r="N1546" s="2" t="inlineStr">
        <is>
          <t>大将军转向</t>
        </is>
      </c>
      <c r="O1546" s="2" t="inlineStr">
        <is>
          <t>否</t>
        </is>
      </c>
    </row>
    <row r="1547">
      <c r="A1547" s="14" t="inlineStr">
        <is>
          <t>2023-04-11</t>
        </is>
      </c>
      <c r="B1547" s="14" t="inlineStr">
        <is>
          <t>2023-04-13</t>
        </is>
      </c>
      <c r="C1547" s="14" t="inlineStr">
        <is>
          <t>沥青</t>
        </is>
      </c>
      <c r="D1547" s="14" t="inlineStr">
        <is>
          <t>BU</t>
        </is>
      </c>
      <c r="E1547" s="14" t="inlineStr">
        <is>
          <t>多</t>
        </is>
      </c>
      <c r="F1547" s="14" t="inlineStr">
        <is>
          <t>★★</t>
        </is>
      </c>
      <c r="G1547" s="14" t="n">
        <v>4</v>
      </c>
      <c r="H1547" s="15" t="n">
        <v>3836</v>
      </c>
      <c r="I1547" s="15" t="n">
        <v>3923</v>
      </c>
      <c r="J1547" s="14" t="n">
        <v>10</v>
      </c>
      <c r="K1547" s="14" t="n">
        <v>10000</v>
      </c>
      <c r="L1547" s="25">
        <f>IF(E1547="多",1,-1)*(I1547-H1547)*G1547*J1547</f>
        <v/>
      </c>
      <c r="M1547" s="26">
        <f>L1547/K1547</f>
        <v/>
      </c>
      <c r="N1547" s="14" t="inlineStr">
        <is>
          <t>将军撤退</t>
        </is>
      </c>
      <c r="O1547" s="14" t="inlineStr">
        <is>
          <t>是</t>
        </is>
      </c>
    </row>
    <row r="1548">
      <c r="A1548" s="14" t="inlineStr">
        <is>
          <t>2023-04-11</t>
        </is>
      </c>
      <c r="B1548" s="14" t="inlineStr">
        <is>
          <t>2023-04-12</t>
        </is>
      </c>
      <c r="C1548" s="14" t="inlineStr">
        <is>
          <t>燃料油</t>
        </is>
      </c>
      <c r="D1548" s="14" t="inlineStr">
        <is>
          <t>FU</t>
        </is>
      </c>
      <c r="E1548" s="14" t="inlineStr">
        <is>
          <t>多</t>
        </is>
      </c>
      <c r="F1548" s="14" t="inlineStr">
        <is>
          <t>★★</t>
        </is>
      </c>
      <c r="G1548" s="14" t="n">
        <v>4</v>
      </c>
      <c r="H1548" s="15" t="n">
        <v>3097</v>
      </c>
      <c r="I1548" s="15" t="n">
        <v>3168</v>
      </c>
      <c r="J1548" s="14" t="n">
        <v>10</v>
      </c>
      <c r="K1548" s="14" t="n">
        <v>10000</v>
      </c>
      <c r="L1548" s="25">
        <f>IF(E1548="多",1,-1)*(I1548-H1548)*G1548*J1548</f>
        <v/>
      </c>
      <c r="M1548" s="26">
        <f>L1548/K1548</f>
        <v/>
      </c>
      <c r="N1548" s="14" t="inlineStr">
        <is>
          <t>将军撤退</t>
        </is>
      </c>
      <c r="O1548" s="14" t="inlineStr">
        <is>
          <t>是</t>
        </is>
      </c>
    </row>
    <row r="1549">
      <c r="A1549" s="2" t="inlineStr">
        <is>
          <t>2023-04-10</t>
        </is>
      </c>
      <c r="B1549" s="2" t="inlineStr">
        <is>
          <t>2023-04-11</t>
        </is>
      </c>
      <c r="C1549" s="2" t="inlineStr">
        <is>
          <t>沪铝</t>
        </is>
      </c>
      <c r="D1549" s="2" t="inlineStr">
        <is>
          <t>AL</t>
        </is>
      </c>
      <c r="E1549" s="9" t="inlineStr">
        <is>
          <t>空</t>
        </is>
      </c>
      <c r="F1549" s="2" t="inlineStr">
        <is>
          <t>★★★</t>
        </is>
      </c>
      <c r="G1549" s="10" t="n">
        <v>9</v>
      </c>
      <c r="H1549" s="11" t="n">
        <v>18605</v>
      </c>
      <c r="I1549" s="11" t="n">
        <v>18485</v>
      </c>
      <c r="J1549" s="10" t="n">
        <v>5</v>
      </c>
      <c r="K1549" s="10" t="n">
        <v>25400</v>
      </c>
      <c r="L1549" s="23">
        <f>IF(E1549="多",1,-1)*(I1549-H1549)*G1549*J1549</f>
        <v/>
      </c>
      <c r="M1549" s="24">
        <f>L1549/K1549</f>
        <v/>
      </c>
      <c r="N1549" s="2" t="inlineStr">
        <is>
          <t>将军撤退+大将军转向</t>
        </is>
      </c>
      <c r="O1549" s="2" t="inlineStr">
        <is>
          <t>否</t>
        </is>
      </c>
    </row>
    <row r="1550">
      <c r="A1550" s="14" t="inlineStr">
        <is>
          <t>2023-04-04</t>
        </is>
      </c>
      <c r="B1550" s="14" t="inlineStr">
        <is>
          <t>2023-04-11</t>
        </is>
      </c>
      <c r="C1550" s="14" t="inlineStr">
        <is>
          <t>短纤</t>
        </is>
      </c>
      <c r="D1550" s="14" t="inlineStr">
        <is>
          <t>PF</t>
        </is>
      </c>
      <c r="E1550" s="14" t="inlineStr">
        <is>
          <t>多</t>
        </is>
      </c>
      <c r="F1550" s="14" t="inlineStr">
        <is>
          <t>★★</t>
        </is>
      </c>
      <c r="G1550" s="14" t="n">
        <v>4</v>
      </c>
      <c r="H1550" s="15" t="n">
        <v>7698</v>
      </c>
      <c r="I1550" s="15" t="n">
        <v>7540</v>
      </c>
      <c r="J1550" s="14" t="n">
        <v>5</v>
      </c>
      <c r="K1550" s="14" t="n">
        <v>10000</v>
      </c>
      <c r="L1550" s="25">
        <f>IF(E1550="多",1,-1)*(I1550-H1550)*G1550*J1550</f>
        <v/>
      </c>
      <c r="M1550" s="26">
        <f>L1550/K1550</f>
        <v/>
      </c>
      <c r="N1550" s="14" t="inlineStr">
        <is>
          <t>大将军转向</t>
        </is>
      </c>
      <c r="O1550" s="14" t="inlineStr">
        <is>
          <t>是</t>
        </is>
      </c>
    </row>
    <row r="1551">
      <c r="A1551" s="2" t="inlineStr">
        <is>
          <t>2023-03-31</t>
        </is>
      </c>
      <c r="B1551" s="2" t="inlineStr">
        <is>
          <t>2023-04-10</t>
        </is>
      </c>
      <c r="C1551" s="2" t="inlineStr">
        <is>
          <t>沪金</t>
        </is>
      </c>
      <c r="D1551" s="2" t="inlineStr">
        <is>
          <t>AU</t>
        </is>
      </c>
      <c r="E1551" s="19" t="inlineStr">
        <is>
          <t>多</t>
        </is>
      </c>
      <c r="F1551" s="2" t="inlineStr">
        <is>
          <t>★★★</t>
        </is>
      </c>
      <c r="G1551" s="10" t="n">
        <v>1</v>
      </c>
      <c r="H1551" s="11" t="n">
        <v>440.8</v>
      </c>
      <c r="I1551" s="11" t="n">
        <v>442.8</v>
      </c>
      <c r="J1551" s="10" t="n">
        <v>1000</v>
      </c>
      <c r="K1551" s="10" t="n">
        <v>30000</v>
      </c>
      <c r="L1551" s="23">
        <f>IF(E1551="多",1,-1)*(I1551-H1551)*G1551*J1551</f>
        <v/>
      </c>
      <c r="M1551" s="24">
        <f>L1551/K1551</f>
        <v/>
      </c>
      <c r="N1551" s="2" t="inlineStr">
        <is>
          <t>将军撤退</t>
        </is>
      </c>
      <c r="O1551" s="2" t="inlineStr">
        <is>
          <t>否</t>
        </is>
      </c>
    </row>
    <row r="1552">
      <c r="A1552" s="14" t="inlineStr">
        <is>
          <t>2023-03-30</t>
        </is>
      </c>
      <c r="B1552" s="14" t="inlineStr">
        <is>
          <t>2023-04-10</t>
        </is>
      </c>
      <c r="C1552" s="14" t="inlineStr">
        <is>
          <t>棕榈油</t>
        </is>
      </c>
      <c r="D1552" s="14" t="inlineStr">
        <is>
          <t>P</t>
        </is>
      </c>
      <c r="E1552" s="14" t="inlineStr">
        <is>
          <t>多</t>
        </is>
      </c>
      <c r="F1552" s="14" t="inlineStr">
        <is>
          <t>★★</t>
        </is>
      </c>
      <c r="G1552" s="14" t="n">
        <v>1</v>
      </c>
      <c r="H1552" s="15" t="n">
        <v>7676</v>
      </c>
      <c r="I1552" s="15" t="n">
        <v>7658</v>
      </c>
      <c r="J1552" s="14" t="n">
        <v>10</v>
      </c>
      <c r="K1552" s="14" t="n">
        <v>10000</v>
      </c>
      <c r="L1552" s="25">
        <f>IF(E1552="多",1,-1)*(I1552-H1552)*G1552*J1552</f>
        <v/>
      </c>
      <c r="M1552" s="26">
        <f>L1552/K1552</f>
        <v/>
      </c>
      <c r="N1552" s="14" t="inlineStr">
        <is>
          <t>大将军转向</t>
        </is>
      </c>
      <c r="O1552" s="14" t="inlineStr">
        <is>
          <t>是</t>
        </is>
      </c>
    </row>
    <row r="1553">
      <c r="A1553" s="14" t="inlineStr">
        <is>
          <t>2023-02-28</t>
        </is>
      </c>
      <c r="B1553" s="14" t="inlineStr">
        <is>
          <t>2023-04-10</t>
        </is>
      </c>
      <c r="C1553" s="14" t="inlineStr">
        <is>
          <t>甲醇</t>
        </is>
      </c>
      <c r="D1553" s="14" t="inlineStr">
        <is>
          <t>MA</t>
        </is>
      </c>
      <c r="E1553" s="14" t="inlineStr">
        <is>
          <t>空</t>
        </is>
      </c>
      <c r="F1553" s="14" t="inlineStr">
        <is>
          <t>★★</t>
        </is>
      </c>
      <c r="G1553" s="14" t="n">
        <v>7</v>
      </c>
      <c r="H1553" s="15" t="n">
        <v>2632</v>
      </c>
      <c r="I1553" s="15" t="n">
        <v>2383</v>
      </c>
      <c r="J1553" s="14" t="n">
        <v>10</v>
      </c>
      <c r="K1553" s="14" t="n">
        <v>10000</v>
      </c>
      <c r="L1553" s="25">
        <f>IF(E1553="多",1,-1)*(I1553-H1553)*G1553*J1553</f>
        <v/>
      </c>
      <c r="M1553" s="26">
        <f>L1553/K1553</f>
        <v/>
      </c>
      <c r="N1553" s="14" t="inlineStr">
        <is>
          <t>大将军转向</t>
        </is>
      </c>
      <c r="O1553" s="14" t="inlineStr">
        <is>
          <t>是</t>
        </is>
      </c>
    </row>
    <row r="1554">
      <c r="A1554" s="14" t="inlineStr">
        <is>
          <t>2023-04-03</t>
        </is>
      </c>
      <c r="B1554" s="14" t="inlineStr">
        <is>
          <t>2023-04-06</t>
        </is>
      </c>
      <c r="C1554" s="14" t="inlineStr">
        <is>
          <t>硅铁</t>
        </is>
      </c>
      <c r="D1554" s="14" t="inlineStr">
        <is>
          <t>SF</t>
        </is>
      </c>
      <c r="E1554" s="14" t="inlineStr">
        <is>
          <t>空</t>
        </is>
      </c>
      <c r="F1554" s="14" t="inlineStr">
        <is>
          <t>★★</t>
        </is>
      </c>
      <c r="G1554" s="14" t="n">
        <v>4</v>
      </c>
      <c r="H1554" s="15" t="n">
        <v>7800</v>
      </c>
      <c r="I1554" s="15" t="n">
        <v>7682</v>
      </c>
      <c r="J1554" s="14" t="n">
        <v>5</v>
      </c>
      <c r="K1554" s="14" t="n">
        <v>10000</v>
      </c>
      <c r="L1554" s="25">
        <f>IF(E1554="多",1,-1)*(I1554-H1554)*G1554*J1554</f>
        <v/>
      </c>
      <c r="M1554" s="26">
        <f>L1554/K1554</f>
        <v/>
      </c>
      <c r="N1554" s="14" t="inlineStr">
        <is>
          <t>将军撤退+大将军转向</t>
        </is>
      </c>
      <c r="O1554" s="14" t="inlineStr">
        <is>
          <t>是</t>
        </is>
      </c>
    </row>
    <row r="1555">
      <c r="A1555" s="14" t="inlineStr">
        <is>
          <t>2023-04-03</t>
        </is>
      </c>
      <c r="B1555" s="14" t="inlineStr">
        <is>
          <t>2023-04-06</t>
        </is>
      </c>
      <c r="C1555" s="14" t="inlineStr">
        <is>
          <t>玉米</t>
        </is>
      </c>
      <c r="D1555" s="14" t="inlineStr">
        <is>
          <t>C</t>
        </is>
      </c>
      <c r="E1555" s="14" t="inlineStr">
        <is>
          <t>空</t>
        </is>
      </c>
      <c r="F1555" s="14" t="inlineStr">
        <is>
          <t>★★</t>
        </is>
      </c>
      <c r="G1555" s="14" t="n">
        <v>10</v>
      </c>
      <c r="H1555" s="15" t="n">
        <v>2719</v>
      </c>
      <c r="I1555" s="15" t="n">
        <v>2711</v>
      </c>
      <c r="J1555" s="14" t="n">
        <v>10</v>
      </c>
      <c r="K1555" s="14" t="n">
        <v>10000</v>
      </c>
      <c r="L1555" s="25">
        <f>IF(E1555="多",1,-1)*(I1555-H1555)*G1555*J1555</f>
        <v/>
      </c>
      <c r="M1555" s="26">
        <f>L1555/K1555</f>
        <v/>
      </c>
      <c r="N1555" s="14" t="inlineStr">
        <is>
          <t>大将军转向</t>
        </is>
      </c>
      <c r="O1555" s="14" t="inlineStr">
        <is>
          <t>是</t>
        </is>
      </c>
    </row>
    <row r="1556">
      <c r="A1556" s="2" t="inlineStr">
        <is>
          <t>2023-03-31</t>
        </is>
      </c>
      <c r="B1556" s="2" t="inlineStr">
        <is>
          <t>2023-04-03</t>
        </is>
      </c>
      <c r="C1556" s="2" t="inlineStr">
        <is>
          <t>菜粕</t>
        </is>
      </c>
      <c r="D1556" s="2" t="inlineStr">
        <is>
          <t>RM</t>
        </is>
      </c>
      <c r="E1556" s="9" t="inlineStr">
        <is>
          <t>空</t>
        </is>
      </c>
      <c r="F1556" s="2" t="inlineStr">
        <is>
          <t>★★★</t>
        </is>
      </c>
      <c r="G1556" s="10" t="n">
        <v>17</v>
      </c>
      <c r="H1556" s="11" t="n">
        <v>2755</v>
      </c>
      <c r="I1556" s="11" t="n">
        <v>2885</v>
      </c>
      <c r="J1556" s="10" t="n">
        <v>10</v>
      </c>
      <c r="K1556" s="10" t="n">
        <v>30000</v>
      </c>
      <c r="L1556" s="23">
        <f>IF(E1556="多",1,-1)*(I1556-H1556)*G1556*J1556</f>
        <v/>
      </c>
      <c r="M1556" s="24">
        <f>L1556/K1556</f>
        <v/>
      </c>
      <c r="N1556" s="2" t="inlineStr">
        <is>
          <t>将军撤退+大将军转向</t>
        </is>
      </c>
      <c r="O1556" s="2" t="inlineStr">
        <is>
          <t>否</t>
        </is>
      </c>
    </row>
    <row r="1557">
      <c r="A1557" s="14" t="inlineStr">
        <is>
          <t>2023-03-31</t>
        </is>
      </c>
      <c r="B1557" s="14" t="inlineStr">
        <is>
          <t>2023-04-03</t>
        </is>
      </c>
      <c r="C1557" s="14" t="inlineStr">
        <is>
          <t>沥青</t>
        </is>
      </c>
      <c r="D1557" s="14" t="inlineStr">
        <is>
          <t>BU</t>
        </is>
      </c>
      <c r="E1557" s="14" t="inlineStr">
        <is>
          <t>多</t>
        </is>
      </c>
      <c r="F1557" s="14" t="inlineStr">
        <is>
          <t>★★</t>
        </is>
      </c>
      <c r="G1557" s="14" t="n">
        <v>4</v>
      </c>
      <c r="H1557" s="15" t="n">
        <v>3672</v>
      </c>
      <c r="I1557" s="15" t="n">
        <v>3835</v>
      </c>
      <c r="J1557" s="14" t="n">
        <v>10</v>
      </c>
      <c r="K1557" s="14" t="n">
        <v>10000</v>
      </c>
      <c r="L1557" s="25">
        <f>IF(E1557="多",1,-1)*(I1557-H1557)*G1557*J1557</f>
        <v/>
      </c>
      <c r="M1557" s="26">
        <f>L1557/K1557</f>
        <v/>
      </c>
      <c r="N1557" s="14" t="inlineStr">
        <is>
          <t>将军撤退</t>
        </is>
      </c>
      <c r="O1557" s="14" t="inlineStr">
        <is>
          <t>是</t>
        </is>
      </c>
    </row>
    <row r="1558">
      <c r="A1558" s="14" t="inlineStr">
        <is>
          <t>2023-03-24</t>
        </is>
      </c>
      <c r="B1558" s="14" t="inlineStr">
        <is>
          <t>2023-04-03</t>
        </is>
      </c>
      <c r="C1558" s="14" t="inlineStr">
        <is>
          <t>豆粕</t>
        </is>
      </c>
      <c r="D1558" s="14" t="inlineStr">
        <is>
          <t>M</t>
        </is>
      </c>
      <c r="E1558" s="14" t="inlineStr">
        <is>
          <t>空</t>
        </is>
      </c>
      <c r="F1558" s="14" t="inlineStr">
        <is>
          <t>★★★</t>
        </is>
      </c>
      <c r="G1558" s="14" t="n">
        <v>5</v>
      </c>
      <c r="H1558" s="15" t="n">
        <v>3489</v>
      </c>
      <c r="I1558" s="15" t="n">
        <v>3651.86</v>
      </c>
      <c r="J1558" s="14" t="n">
        <v>10</v>
      </c>
      <c r="K1558" s="14" t="n">
        <v>10000</v>
      </c>
      <c r="L1558" s="25">
        <f>IF(E1558="多",1,-1)*(I1558-H1558)*G1558*J1558</f>
        <v/>
      </c>
      <c r="M1558" s="26">
        <f>L1558/K1558</f>
        <v/>
      </c>
      <c r="N1558" s="14" t="inlineStr">
        <is>
          <t>止损</t>
        </is>
      </c>
      <c r="O1558" s="14" t="inlineStr">
        <is>
          <t>是</t>
        </is>
      </c>
    </row>
    <row r="1559">
      <c r="A1559" s="2" t="inlineStr">
        <is>
          <t>2023-03-24</t>
        </is>
      </c>
      <c r="B1559" s="2" t="inlineStr">
        <is>
          <t>2023-04-03</t>
        </is>
      </c>
      <c r="C1559" s="2" t="inlineStr">
        <is>
          <t>乙二醇</t>
        </is>
      </c>
      <c r="D1559" s="2" t="inlineStr">
        <is>
          <t>EG</t>
        </is>
      </c>
      <c r="E1559" s="9" t="inlineStr">
        <is>
          <t>空</t>
        </is>
      </c>
      <c r="F1559" s="2" t="inlineStr">
        <is>
          <t>★★★</t>
        </is>
      </c>
      <c r="G1559" s="10" t="n">
        <v>12</v>
      </c>
      <c r="H1559" s="11" t="n">
        <v>4010</v>
      </c>
      <c r="I1559" s="11" t="n">
        <v>4221.79</v>
      </c>
      <c r="J1559" s="10" t="n">
        <v>10</v>
      </c>
      <c r="K1559" s="10" t="n">
        <v>30000</v>
      </c>
      <c r="L1559" s="23">
        <f>IF(E1559="多",1,-1)*(I1559-H1559)*G1559*J1559</f>
        <v/>
      </c>
      <c r="M1559" s="24">
        <f>L1559/K1559</f>
        <v/>
      </c>
      <c r="N1559" s="2" t="inlineStr">
        <is>
          <t>止损</t>
        </is>
      </c>
      <c r="O1559" s="2" t="inlineStr">
        <is>
          <t>否</t>
        </is>
      </c>
    </row>
    <row r="1560">
      <c r="A1560" s="14" t="inlineStr">
        <is>
          <t>2023-03-30</t>
        </is>
      </c>
      <c r="B1560" s="14" t="inlineStr">
        <is>
          <t>2023-03-31</t>
        </is>
      </c>
      <c r="C1560" s="14" t="inlineStr">
        <is>
          <t>燃料油</t>
        </is>
      </c>
      <c r="D1560" s="14" t="inlineStr">
        <is>
          <t>FU</t>
        </is>
      </c>
      <c r="E1560" s="14" t="inlineStr">
        <is>
          <t>多</t>
        </is>
      </c>
      <c r="F1560" s="14" t="inlineStr">
        <is>
          <t>★★</t>
        </is>
      </c>
      <c r="G1560" s="14" t="n">
        <v>4</v>
      </c>
      <c r="H1560" s="15" t="n">
        <v>2745</v>
      </c>
      <c r="I1560" s="15" t="n">
        <v>2750</v>
      </c>
      <c r="J1560" s="14" t="n">
        <v>10</v>
      </c>
      <c r="K1560" s="14" t="n">
        <v>10000</v>
      </c>
      <c r="L1560" s="25">
        <f>IF(E1560="多",1,-1)*(I1560-H1560)*G1560*J1560</f>
        <v/>
      </c>
      <c r="M1560" s="26">
        <f>L1560/K1560</f>
        <v/>
      </c>
      <c r="N1560" s="14" t="inlineStr">
        <is>
          <t>将军撤退</t>
        </is>
      </c>
      <c r="O1560" s="14" t="inlineStr">
        <is>
          <t>是</t>
        </is>
      </c>
    </row>
    <row r="1561">
      <c r="A1561" s="2" t="inlineStr">
        <is>
          <t>2023-03-29</t>
        </is>
      </c>
      <c r="B1561" s="2" t="inlineStr">
        <is>
          <t>2023-03-31</t>
        </is>
      </c>
      <c r="C1561" s="2" t="inlineStr">
        <is>
          <t>沪银</t>
        </is>
      </c>
      <c r="D1561" s="2" t="inlineStr">
        <is>
          <t>AG</t>
        </is>
      </c>
      <c r="E1561" s="19" t="inlineStr">
        <is>
          <t>多</t>
        </is>
      </c>
      <c r="F1561" s="2" t="inlineStr">
        <is>
          <t>★★★</t>
        </is>
      </c>
      <c r="G1561" s="10" t="n">
        <v>6</v>
      </c>
      <c r="H1561" s="11" t="n">
        <v>5230</v>
      </c>
      <c r="I1561" s="11" t="n">
        <v>5344</v>
      </c>
      <c r="J1561" s="10" t="n">
        <v>15</v>
      </c>
      <c r="K1561" s="10" t="n">
        <v>29900</v>
      </c>
      <c r="L1561" s="23">
        <f>IF(E1561="多",1,-1)*(I1561-H1561)*G1561*J1561</f>
        <v/>
      </c>
      <c r="M1561" s="24">
        <f>L1561/K1561</f>
        <v/>
      </c>
      <c r="N1561" s="2" t="inlineStr">
        <is>
          <t>将军撤退+大将军转向</t>
        </is>
      </c>
      <c r="O1561" s="2" t="inlineStr">
        <is>
          <t>否</t>
        </is>
      </c>
    </row>
    <row r="1562">
      <c r="A1562" s="14" t="inlineStr">
        <is>
          <t>2023-03-28</t>
        </is>
      </c>
      <c r="B1562" s="14" t="inlineStr">
        <is>
          <t>2023-03-31</t>
        </is>
      </c>
      <c r="C1562" s="14" t="inlineStr">
        <is>
          <t>玻璃</t>
        </is>
      </c>
      <c r="D1562" s="14" t="inlineStr">
        <is>
          <t>FG</t>
        </is>
      </c>
      <c r="E1562" s="14" t="inlineStr">
        <is>
          <t>多</t>
        </is>
      </c>
      <c r="F1562" s="14" t="inlineStr">
        <is>
          <t>★★★</t>
        </is>
      </c>
      <c r="G1562" s="14" t="n">
        <v>4</v>
      </c>
      <c r="H1562" s="15" t="n">
        <v>1673</v>
      </c>
      <c r="I1562" s="15" t="n">
        <v>1643</v>
      </c>
      <c r="J1562" s="14" t="n">
        <v>20</v>
      </c>
      <c r="K1562" s="14" t="n">
        <v>10000</v>
      </c>
      <c r="L1562" s="25">
        <f>IF(E1562="多",1,-1)*(I1562-H1562)*G1562*J1562</f>
        <v/>
      </c>
      <c r="M1562" s="26">
        <f>L1562/K1562</f>
        <v/>
      </c>
      <c r="N1562" s="14" t="inlineStr">
        <is>
          <t>大将军转向</t>
        </is>
      </c>
      <c r="O1562" s="14" t="inlineStr">
        <is>
          <t>是</t>
        </is>
      </c>
    </row>
    <row r="1563">
      <c r="A1563" s="2" t="inlineStr">
        <is>
          <t>2023-03-28</t>
        </is>
      </c>
      <c r="B1563" s="2" t="inlineStr">
        <is>
          <t>2023-03-30</t>
        </is>
      </c>
      <c r="C1563" s="2" t="inlineStr">
        <is>
          <t>白糖</t>
        </is>
      </c>
      <c r="D1563" s="2" t="inlineStr">
        <is>
          <t>SR</t>
        </is>
      </c>
      <c r="E1563" s="19" t="inlineStr">
        <is>
          <t>多</t>
        </is>
      </c>
      <c r="F1563" s="2" t="inlineStr">
        <is>
          <t>★★★</t>
        </is>
      </c>
      <c r="G1563" s="10" t="n">
        <v>12</v>
      </c>
      <c r="H1563" s="11" t="n">
        <v>6220</v>
      </c>
      <c r="I1563" s="11" t="n">
        <v>6381</v>
      </c>
      <c r="J1563" s="10" t="n">
        <v>10</v>
      </c>
      <c r="K1563" s="10" t="n">
        <v>30000</v>
      </c>
      <c r="L1563" s="23">
        <f>IF(E1563="多",1,-1)*(I1563-H1563)*G1563*J1563</f>
        <v/>
      </c>
      <c r="M1563" s="24">
        <f>L1563/K1563</f>
        <v/>
      </c>
      <c r="N1563" s="2" t="inlineStr">
        <is>
          <t>大将军转向</t>
        </is>
      </c>
      <c r="O1563" s="2" t="inlineStr">
        <is>
          <t>否</t>
        </is>
      </c>
    </row>
    <row r="1564">
      <c r="A1564" s="2" t="inlineStr">
        <is>
          <t>2023-03-24</t>
        </is>
      </c>
      <c r="B1564" s="2" t="inlineStr">
        <is>
          <t>2023-03-29</t>
        </is>
      </c>
      <c r="C1564" s="2" t="inlineStr">
        <is>
          <t>菜粕</t>
        </is>
      </c>
      <c r="D1564" s="2" t="inlineStr">
        <is>
          <t>RM</t>
        </is>
      </c>
      <c r="E1564" s="9" t="inlineStr">
        <is>
          <t>空</t>
        </is>
      </c>
      <c r="F1564" s="2" t="inlineStr">
        <is>
          <t>★★★</t>
        </is>
      </c>
      <c r="G1564" s="10" t="n">
        <v>5</v>
      </c>
      <c r="H1564" s="11" t="n">
        <v>2759</v>
      </c>
      <c r="I1564" s="11" t="n">
        <v>2786</v>
      </c>
      <c r="J1564" s="10" t="n">
        <v>10</v>
      </c>
      <c r="K1564" s="10" t="n">
        <v>10000</v>
      </c>
      <c r="L1564" s="23">
        <f>IF(E1564="多",1,-1)*(I1564-H1564)*G1564*J1564</f>
        <v/>
      </c>
      <c r="M1564" s="24">
        <f>L1564/K1564</f>
        <v/>
      </c>
      <c r="N1564" s="2" t="inlineStr">
        <is>
          <t>将军撤退</t>
        </is>
      </c>
      <c r="O1564" s="2" t="inlineStr">
        <is>
          <t>否</t>
        </is>
      </c>
    </row>
    <row r="1565">
      <c r="A1565" s="2" t="inlineStr">
        <is>
          <t>2023-03-24</t>
        </is>
      </c>
      <c r="B1565" s="2" t="inlineStr">
        <is>
          <t>2023-03-29</t>
        </is>
      </c>
      <c r="C1565" s="2" t="inlineStr">
        <is>
          <t>沪金</t>
        </is>
      </c>
      <c r="D1565" s="2" t="inlineStr">
        <is>
          <t>AU</t>
        </is>
      </c>
      <c r="E1565" s="19" t="inlineStr">
        <is>
          <t>多</t>
        </is>
      </c>
      <c r="F1565" s="2" t="inlineStr">
        <is>
          <t>★★★</t>
        </is>
      </c>
      <c r="G1565" s="10" t="n">
        <v>1</v>
      </c>
      <c r="H1565" s="11" t="n">
        <v>443.7</v>
      </c>
      <c r="I1565" s="11" t="n">
        <v>437.76</v>
      </c>
      <c r="J1565" s="10" t="n">
        <v>1000</v>
      </c>
      <c r="K1565" s="10" t="n">
        <v>30000</v>
      </c>
      <c r="L1565" s="23">
        <f>IF(E1565="多",1,-1)*(I1565-H1565)*G1565*J1565</f>
        <v/>
      </c>
      <c r="M1565" s="24">
        <f>L1565/K1565</f>
        <v/>
      </c>
      <c r="N1565" s="2" t="inlineStr">
        <is>
          <t>大将军转向</t>
        </is>
      </c>
      <c r="O1565" s="2" t="inlineStr">
        <is>
          <t>否</t>
        </is>
      </c>
    </row>
    <row r="1566">
      <c r="A1566" s="14" t="inlineStr">
        <is>
          <t>2023-03-24</t>
        </is>
      </c>
      <c r="B1566" s="14" t="inlineStr">
        <is>
          <t>2023-03-28</t>
        </is>
      </c>
      <c r="C1566" s="14" t="inlineStr">
        <is>
          <t>豆油</t>
        </is>
      </c>
      <c r="D1566" s="14" t="inlineStr">
        <is>
          <t>Y</t>
        </is>
      </c>
      <c r="E1566" s="14" t="inlineStr">
        <is>
          <t>空</t>
        </is>
      </c>
      <c r="F1566" s="14" t="inlineStr">
        <is>
          <t>★★★</t>
        </is>
      </c>
      <c r="G1566" s="14" t="n">
        <v>1</v>
      </c>
      <c r="H1566" s="15" t="n">
        <v>7792</v>
      </c>
      <c r="I1566" s="15" t="n">
        <v>8000</v>
      </c>
      <c r="J1566" s="14" t="n">
        <v>10</v>
      </c>
      <c r="K1566" s="14" t="n">
        <v>10000</v>
      </c>
      <c r="L1566" s="25">
        <f>IF(E1566="多",1,-1)*(I1566-H1566)*G1566*J1566</f>
        <v/>
      </c>
      <c r="M1566" s="26">
        <f>L1566/K1566</f>
        <v/>
      </c>
      <c r="N1566" s="14" t="inlineStr">
        <is>
          <t>大将军转向</t>
        </is>
      </c>
      <c r="O1566" s="14" t="inlineStr">
        <is>
          <t>是</t>
        </is>
      </c>
    </row>
    <row r="1567">
      <c r="A1567" s="2" t="inlineStr">
        <is>
          <t>2023-03-23</t>
        </is>
      </c>
      <c r="B1567" s="2" t="inlineStr">
        <is>
          <t>2023-03-27</t>
        </is>
      </c>
      <c r="C1567" s="2" t="inlineStr">
        <is>
          <t>沪银</t>
        </is>
      </c>
      <c r="D1567" s="2" t="inlineStr">
        <is>
          <t>AG</t>
        </is>
      </c>
      <c r="E1567" s="19" t="inlineStr">
        <is>
          <t>多</t>
        </is>
      </c>
      <c r="F1567" s="2" t="inlineStr">
        <is>
          <t>★★★</t>
        </is>
      </c>
      <c r="G1567" s="10" t="n">
        <v>6</v>
      </c>
      <c r="H1567" s="11" t="n">
        <v>5180</v>
      </c>
      <c r="I1567" s="11" t="n">
        <v>5201</v>
      </c>
      <c r="J1567" s="10" t="n">
        <v>15</v>
      </c>
      <c r="K1567" s="10" t="n">
        <v>30000</v>
      </c>
      <c r="L1567" s="23">
        <f>IF(E1567="多",1,-1)*(I1567-H1567)*G1567*J1567</f>
        <v/>
      </c>
      <c r="M1567" s="24">
        <f>L1567/K1567</f>
        <v/>
      </c>
      <c r="N1567" s="2" t="inlineStr">
        <is>
          <t>将军撤退</t>
        </is>
      </c>
      <c r="O1567" s="2" t="inlineStr">
        <is>
          <t>否</t>
        </is>
      </c>
    </row>
    <row r="1568">
      <c r="A1568" s="14" t="inlineStr">
        <is>
          <t>2023-03-16</t>
        </is>
      </c>
      <c r="B1568" s="14" t="inlineStr">
        <is>
          <t>2023-03-27</t>
        </is>
      </c>
      <c r="C1568" s="14" t="inlineStr">
        <is>
          <t>玉米</t>
        </is>
      </c>
      <c r="D1568" s="14" t="inlineStr">
        <is>
          <t>C</t>
        </is>
      </c>
      <c r="E1568" s="14" t="inlineStr">
        <is>
          <t>空</t>
        </is>
      </c>
      <c r="F1568" s="14" t="inlineStr">
        <is>
          <t>★★</t>
        </is>
      </c>
      <c r="G1568" s="14" t="n">
        <v>15</v>
      </c>
      <c r="H1568" s="15" t="n">
        <v>2818</v>
      </c>
      <c r="I1568" s="15" t="n">
        <v>2700</v>
      </c>
      <c r="J1568" s="14" t="n">
        <v>10</v>
      </c>
      <c r="K1568" s="14" t="n">
        <v>10000</v>
      </c>
      <c r="L1568" s="25">
        <f>IF(E1568="多",1,-1)*(I1568-H1568)*G1568*J1568</f>
        <v/>
      </c>
      <c r="M1568" s="26">
        <f>L1568/K1568</f>
        <v/>
      </c>
      <c r="N1568" s="14" t="inlineStr">
        <is>
          <t>将军撤退+大将军转向</t>
        </is>
      </c>
      <c r="O1568" s="14" t="inlineStr">
        <is>
          <t>是</t>
        </is>
      </c>
    </row>
    <row r="1569">
      <c r="A1569" s="2" t="inlineStr">
        <is>
          <t>2023-03-23</t>
        </is>
      </c>
      <c r="B1569" s="2" t="inlineStr">
        <is>
          <t>2023-03-24</t>
        </is>
      </c>
      <c r="C1569" s="2" t="inlineStr">
        <is>
          <t>棕榈油</t>
        </is>
      </c>
      <c r="D1569" s="2" t="inlineStr">
        <is>
          <t>P</t>
        </is>
      </c>
      <c r="E1569" s="9" t="inlineStr">
        <is>
          <t>空</t>
        </is>
      </c>
      <c r="F1569" s="2" t="inlineStr">
        <is>
          <t>★★★</t>
        </is>
      </c>
      <c r="G1569" s="10" t="n">
        <v>2</v>
      </c>
      <c r="H1569" s="11" t="n">
        <v>7206</v>
      </c>
      <c r="I1569" s="11" t="n">
        <v>7330</v>
      </c>
      <c r="J1569" s="10" t="n">
        <v>10</v>
      </c>
      <c r="K1569" s="10" t="n">
        <v>12600</v>
      </c>
      <c r="L1569" s="23">
        <f>IF(E1569="多",1,-1)*(I1569-H1569)*G1569*J1569</f>
        <v/>
      </c>
      <c r="M1569" s="24">
        <f>L1569/K1569</f>
        <v/>
      </c>
      <c r="N1569" s="2" t="inlineStr">
        <is>
          <t>将军撤退</t>
        </is>
      </c>
      <c r="O1569" s="2" t="inlineStr">
        <is>
          <t>否</t>
        </is>
      </c>
    </row>
    <row r="1570">
      <c r="A1570" s="2" t="inlineStr">
        <is>
          <t>2023-03-20</t>
        </is>
      </c>
      <c r="B1570" s="2" t="inlineStr">
        <is>
          <t>2023-03-24</t>
        </is>
      </c>
      <c r="C1570" s="2" t="inlineStr">
        <is>
          <t>沪锌</t>
        </is>
      </c>
      <c r="D1570" s="2" t="inlineStr">
        <is>
          <t>ZN</t>
        </is>
      </c>
      <c r="E1570" s="9" t="inlineStr">
        <is>
          <t>空</t>
        </is>
      </c>
      <c r="F1570" s="2" t="inlineStr">
        <is>
          <t>★★★</t>
        </is>
      </c>
      <c r="G1570" s="10" t="n">
        <v>4</v>
      </c>
      <c r="H1570" s="11" t="n">
        <v>22410</v>
      </c>
      <c r="I1570" s="11" t="n">
        <v>22680</v>
      </c>
      <c r="J1570" s="10" t="n">
        <v>5</v>
      </c>
      <c r="K1570" s="10" t="n">
        <v>28700</v>
      </c>
      <c r="L1570" s="23">
        <f>IF(E1570="多",1,-1)*(I1570-H1570)*G1570*J1570</f>
        <v/>
      </c>
      <c r="M1570" s="24">
        <f>L1570/K1570</f>
        <v/>
      </c>
      <c r="N1570" s="2" t="inlineStr">
        <is>
          <t>大将军转向</t>
        </is>
      </c>
      <c r="O1570" s="2" t="inlineStr">
        <is>
          <t>否</t>
        </is>
      </c>
    </row>
    <row r="1571">
      <c r="A1571" s="2" t="inlineStr">
        <is>
          <t>2023-03-20</t>
        </is>
      </c>
      <c r="B1571" s="2" t="inlineStr">
        <is>
          <t>2023-03-24</t>
        </is>
      </c>
      <c r="C1571" s="2" t="inlineStr">
        <is>
          <t>燃料油</t>
        </is>
      </c>
      <c r="D1571" s="2" t="inlineStr">
        <is>
          <t>FU</t>
        </is>
      </c>
      <c r="E1571" s="9" t="inlineStr">
        <is>
          <t>空</t>
        </is>
      </c>
      <c r="F1571" s="2" t="inlineStr">
        <is>
          <t>★★★</t>
        </is>
      </c>
      <c r="G1571" s="10" t="n">
        <v>10</v>
      </c>
      <c r="H1571" s="11" t="n">
        <v>2613</v>
      </c>
      <c r="I1571" s="11" t="n">
        <v>2631</v>
      </c>
      <c r="J1571" s="10" t="n">
        <v>10</v>
      </c>
      <c r="K1571" s="10" t="n">
        <v>28700</v>
      </c>
      <c r="L1571" s="23">
        <f>IF(E1571="多",1,-1)*(I1571-H1571)*G1571*J1571</f>
        <v/>
      </c>
      <c r="M1571" s="24">
        <f>L1571/K1571</f>
        <v/>
      </c>
      <c r="N1571" s="2" t="inlineStr">
        <is>
          <t>大将军转向</t>
        </is>
      </c>
      <c r="O1571" s="2" t="inlineStr">
        <is>
          <t>否</t>
        </is>
      </c>
    </row>
    <row r="1572">
      <c r="A1572" s="2" t="inlineStr">
        <is>
          <t>2023-03-20</t>
        </is>
      </c>
      <c r="B1572" s="2" t="inlineStr">
        <is>
          <t>2023-03-23</t>
        </is>
      </c>
      <c r="C1572" s="2" t="inlineStr">
        <is>
          <t>豆油</t>
        </is>
      </c>
      <c r="D1572" s="2" t="inlineStr">
        <is>
          <t>Y</t>
        </is>
      </c>
      <c r="E1572" s="9" t="inlineStr">
        <is>
          <t>空</t>
        </is>
      </c>
      <c r="F1572" s="2" t="inlineStr">
        <is>
          <t>★★★</t>
        </is>
      </c>
      <c r="G1572" s="10" t="n">
        <v>3</v>
      </c>
      <c r="H1572" s="11" t="n">
        <v>8184</v>
      </c>
      <c r="I1572" s="11" t="n">
        <v>7852</v>
      </c>
      <c r="J1572" s="10" t="n">
        <v>10</v>
      </c>
      <c r="K1572" s="10" t="n">
        <v>17000</v>
      </c>
      <c r="L1572" s="23">
        <f>IF(E1572="多",1,-1)*(I1572-H1572)*G1572*J1572</f>
        <v/>
      </c>
      <c r="M1572" s="24">
        <f>L1572/K1572</f>
        <v/>
      </c>
      <c r="N1572" s="2" t="inlineStr">
        <is>
          <t>将军撤退+大将军转向</t>
        </is>
      </c>
      <c r="O1572" s="2" t="inlineStr">
        <is>
          <t>否</t>
        </is>
      </c>
    </row>
    <row r="1573">
      <c r="A1573" s="2" t="inlineStr">
        <is>
          <t>2023-03-15</t>
        </is>
      </c>
      <c r="B1573" s="2" t="inlineStr">
        <is>
          <t>2023-03-23</t>
        </is>
      </c>
      <c r="C1573" s="2" t="inlineStr">
        <is>
          <t>聚丙烯</t>
        </is>
      </c>
      <c r="D1573" s="2" t="inlineStr">
        <is>
          <t>PP</t>
        </is>
      </c>
      <c r="E1573" s="9" t="inlineStr">
        <is>
          <t>空</t>
        </is>
      </c>
      <c r="F1573" s="2" t="inlineStr">
        <is>
          <t>★★★</t>
        </is>
      </c>
      <c r="G1573" s="10" t="n">
        <v>20</v>
      </c>
      <c r="H1573" s="11" t="n">
        <v>7588</v>
      </c>
      <c r="I1573" s="11" t="n">
        <v>7510</v>
      </c>
      <c r="J1573" s="10" t="n">
        <v>5</v>
      </c>
      <c r="K1573" s="10" t="n">
        <v>25600</v>
      </c>
      <c r="L1573" s="23">
        <f>IF(E1573="多",1,-1)*(I1573-H1573)*G1573*J1573</f>
        <v/>
      </c>
      <c r="M1573" s="24">
        <f>L1573/K1573</f>
        <v/>
      </c>
      <c r="N1573" s="2" t="inlineStr">
        <is>
          <t>大将军转向</t>
        </is>
      </c>
      <c r="O1573" s="2" t="inlineStr">
        <is>
          <t>否</t>
        </is>
      </c>
    </row>
    <row r="1574">
      <c r="A1574" s="14" t="inlineStr">
        <is>
          <t>2023-03-15</t>
        </is>
      </c>
      <c r="B1574" s="14" t="inlineStr">
        <is>
          <t>2023-03-23</t>
        </is>
      </c>
      <c r="C1574" s="14" t="inlineStr">
        <is>
          <t>塑料</t>
        </is>
      </c>
      <c r="D1574" s="14" t="inlineStr">
        <is>
          <t>L</t>
        </is>
      </c>
      <c r="E1574" s="14" t="inlineStr">
        <is>
          <t>空</t>
        </is>
      </c>
      <c r="F1574" s="14" t="inlineStr">
        <is>
          <t>★★</t>
        </is>
      </c>
      <c r="G1574" s="14" t="n">
        <v>7</v>
      </c>
      <c r="H1574" s="15" t="n">
        <v>8080</v>
      </c>
      <c r="I1574" s="15" t="n">
        <v>8003</v>
      </c>
      <c r="J1574" s="14" t="n">
        <v>5</v>
      </c>
      <c r="K1574" s="14" t="n">
        <v>10000</v>
      </c>
      <c r="L1574" s="25">
        <f>IF(E1574="多",1,-1)*(I1574-H1574)*G1574*J1574</f>
        <v/>
      </c>
      <c r="M1574" s="26">
        <f>L1574/K1574</f>
        <v/>
      </c>
      <c r="N1574" s="14" t="inlineStr">
        <is>
          <t>大将军转向</t>
        </is>
      </c>
      <c r="O1574" s="14" t="inlineStr">
        <is>
          <t>是</t>
        </is>
      </c>
    </row>
    <row r="1575">
      <c r="A1575" s="14" t="inlineStr">
        <is>
          <t>2023-03-17</t>
        </is>
      </c>
      <c r="B1575" s="14" t="inlineStr">
        <is>
          <t>2023-03-21</t>
        </is>
      </c>
      <c r="C1575" s="14" t="inlineStr">
        <is>
          <t>菜粕</t>
        </is>
      </c>
      <c r="D1575" s="14" t="inlineStr">
        <is>
          <t>RM</t>
        </is>
      </c>
      <c r="E1575" s="14" t="inlineStr">
        <is>
          <t>空</t>
        </is>
      </c>
      <c r="F1575" s="14" t="inlineStr">
        <is>
          <t>★★★</t>
        </is>
      </c>
      <c r="G1575" s="14" t="n">
        <v>7</v>
      </c>
      <c r="H1575" s="15" t="n">
        <v>2975</v>
      </c>
      <c r="I1575" s="15" t="n">
        <v>2903</v>
      </c>
      <c r="J1575" s="14" t="n">
        <v>10</v>
      </c>
      <c r="K1575" s="14" t="n">
        <v>10000</v>
      </c>
      <c r="L1575" s="25">
        <f>IF(E1575="多",1,-1)*(I1575-H1575)*G1575*J1575</f>
        <v/>
      </c>
      <c r="M1575" s="26">
        <f>L1575/K1575</f>
        <v/>
      </c>
      <c r="N1575" s="14" t="inlineStr">
        <is>
          <t>将军撤退</t>
        </is>
      </c>
      <c r="O1575" s="14" t="inlineStr">
        <is>
          <t>是</t>
        </is>
      </c>
    </row>
    <row r="1576">
      <c r="A1576" s="14" t="inlineStr">
        <is>
          <t>2023-03-09</t>
        </is>
      </c>
      <c r="B1576" s="14" t="inlineStr">
        <is>
          <t>2023-03-21</t>
        </is>
      </c>
      <c r="C1576" s="14" t="inlineStr">
        <is>
          <t>乙二醇</t>
        </is>
      </c>
      <c r="D1576" s="14" t="inlineStr">
        <is>
          <t>EG</t>
        </is>
      </c>
      <c r="E1576" s="14" t="inlineStr">
        <is>
          <t>空</t>
        </is>
      </c>
      <c r="F1576" s="14" t="inlineStr">
        <is>
          <t>★★★</t>
        </is>
      </c>
      <c r="G1576" s="14" t="n">
        <v>4</v>
      </c>
      <c r="H1576" s="15" t="n">
        <v>4158</v>
      </c>
      <c r="I1576" s="15" t="n">
        <v>4022</v>
      </c>
      <c r="J1576" s="14" t="n">
        <v>10</v>
      </c>
      <c r="K1576" s="14" t="n">
        <v>10000</v>
      </c>
      <c r="L1576" s="25">
        <f>IF(E1576="多",1,-1)*(I1576-H1576)*G1576*J1576</f>
        <v/>
      </c>
      <c r="M1576" s="26">
        <f>L1576/K1576</f>
        <v/>
      </c>
      <c r="N1576" s="14" t="inlineStr">
        <is>
          <t>大将军转向</t>
        </is>
      </c>
      <c r="O1576" s="14" t="inlineStr">
        <is>
          <t>是</t>
        </is>
      </c>
    </row>
    <row r="1577">
      <c r="A1577" s="2" t="inlineStr">
        <is>
          <t>2023-03-16</t>
        </is>
      </c>
      <c r="B1577" s="2" t="inlineStr">
        <is>
          <t>2023-03-20</t>
        </is>
      </c>
      <c r="C1577" s="2" t="inlineStr">
        <is>
          <t>沪金</t>
        </is>
      </c>
      <c r="D1577" s="2" t="inlineStr">
        <is>
          <t>AU</t>
        </is>
      </c>
      <c r="E1577" s="19" t="inlineStr">
        <is>
          <t>多</t>
        </is>
      </c>
      <c r="F1577" s="2" t="inlineStr">
        <is>
          <t>★★★</t>
        </is>
      </c>
      <c r="G1577" s="10" t="n">
        <v>2</v>
      </c>
      <c r="H1577" s="11" t="n">
        <v>432.58</v>
      </c>
      <c r="I1577" s="11" t="n">
        <v>445.02</v>
      </c>
      <c r="J1577" s="10" t="n">
        <v>1000</v>
      </c>
      <c r="K1577" s="10" t="n">
        <v>25600</v>
      </c>
      <c r="L1577" s="23">
        <f>IF(E1577="多",1,-1)*(I1577-H1577)*G1577*J1577</f>
        <v/>
      </c>
      <c r="M1577" s="24">
        <f>L1577/K1577</f>
        <v/>
      </c>
      <c r="N1577" s="2" t="inlineStr">
        <is>
          <t>将军撤退</t>
        </is>
      </c>
      <c r="O1577" s="2" t="inlineStr">
        <is>
          <t>否</t>
        </is>
      </c>
    </row>
    <row r="1578">
      <c r="A1578" s="2" t="inlineStr">
        <is>
          <t>2023-03-16</t>
        </is>
      </c>
      <c r="B1578" s="2" t="inlineStr">
        <is>
          <t>2023-03-17</t>
        </is>
      </c>
      <c r="C1578" s="2" t="inlineStr">
        <is>
          <t>燃料油</t>
        </is>
      </c>
      <c r="D1578" s="2" t="inlineStr">
        <is>
          <t>FU</t>
        </is>
      </c>
      <c r="E1578" s="9" t="inlineStr">
        <is>
          <t>空</t>
        </is>
      </c>
      <c r="F1578" s="2" t="inlineStr">
        <is>
          <t>★★★</t>
        </is>
      </c>
      <c r="G1578" s="10" t="n">
        <v>8</v>
      </c>
      <c r="H1578" s="11" t="n">
        <v>2651</v>
      </c>
      <c r="I1578" s="11" t="n">
        <v>2635</v>
      </c>
      <c r="J1578" s="10" t="n">
        <v>10</v>
      </c>
      <c r="K1578" s="10" t="n">
        <v>23200</v>
      </c>
      <c r="L1578" s="23">
        <f>IF(E1578="多",1,-1)*(I1578-H1578)*G1578*J1578</f>
        <v/>
      </c>
      <c r="M1578" s="24">
        <f>L1578/K1578</f>
        <v/>
      </c>
      <c r="N1578" s="2" t="inlineStr">
        <is>
          <t>将军撤退+大将军转向</t>
        </is>
      </c>
      <c r="O1578" s="2" t="inlineStr">
        <is>
          <t>否</t>
        </is>
      </c>
    </row>
    <row r="1579">
      <c r="A1579" s="14" t="inlineStr">
        <is>
          <t>2023-03-15</t>
        </is>
      </c>
      <c r="B1579" s="14" t="inlineStr">
        <is>
          <t>2023-03-17</t>
        </is>
      </c>
      <c r="C1579" s="14" t="inlineStr">
        <is>
          <t>豆油</t>
        </is>
      </c>
      <c r="D1579" s="14" t="inlineStr">
        <is>
          <t>Y</t>
        </is>
      </c>
      <c r="E1579" s="14" t="inlineStr">
        <is>
          <t>空</t>
        </is>
      </c>
      <c r="F1579" s="14" t="inlineStr">
        <is>
          <t>★★★</t>
        </is>
      </c>
      <c r="G1579" s="14" t="n">
        <v>2</v>
      </c>
      <c r="H1579" s="15" t="n">
        <v>8302</v>
      </c>
      <c r="I1579" s="15" t="n">
        <v>8182</v>
      </c>
      <c r="J1579" s="14" t="n">
        <v>10</v>
      </c>
      <c r="K1579" s="14" t="n">
        <v>10000</v>
      </c>
      <c r="L1579" s="25">
        <f>IF(E1579="多",1,-1)*(I1579-H1579)*G1579*J1579</f>
        <v/>
      </c>
      <c r="M1579" s="26">
        <f>L1579/K1579</f>
        <v/>
      </c>
      <c r="N1579" s="14" t="inlineStr">
        <is>
          <t>将军撤退</t>
        </is>
      </c>
      <c r="O1579" s="14" t="inlineStr">
        <is>
          <t>是</t>
        </is>
      </c>
    </row>
    <row r="1580">
      <c r="A1580" s="2" t="inlineStr">
        <is>
          <t>2023-03-15</t>
        </is>
      </c>
      <c r="B1580" s="2" t="inlineStr">
        <is>
          <t>2023-03-17</t>
        </is>
      </c>
      <c r="C1580" s="2" t="inlineStr">
        <is>
          <t>铁矿石</t>
        </is>
      </c>
      <c r="D1580" s="2" t="inlineStr">
        <is>
          <t>I</t>
        </is>
      </c>
      <c r="E1580" s="19" t="inlineStr">
        <is>
          <t>多</t>
        </is>
      </c>
      <c r="F1580" s="2" t="inlineStr">
        <is>
          <t>★★★</t>
        </is>
      </c>
      <c r="G1580" s="10" t="n">
        <v>4</v>
      </c>
      <c r="H1580" s="11" t="n">
        <v>911.5</v>
      </c>
      <c r="I1580" s="11" t="n">
        <v>915</v>
      </c>
      <c r="J1580" s="10" t="n">
        <v>100</v>
      </c>
      <c r="K1580" s="10" t="n">
        <v>25600</v>
      </c>
      <c r="L1580" s="23">
        <f>IF(E1580="多",1,-1)*(I1580-H1580)*G1580*J1580</f>
        <v/>
      </c>
      <c r="M1580" s="24">
        <f>L1580/K1580</f>
        <v/>
      </c>
      <c r="N1580" s="2" t="inlineStr">
        <is>
          <t>将军撤退</t>
        </is>
      </c>
      <c r="O1580" s="2" t="inlineStr">
        <is>
          <t>否</t>
        </is>
      </c>
    </row>
    <row r="1581">
      <c r="A1581" s="14" t="inlineStr">
        <is>
          <t>2023-03-07</t>
        </is>
      </c>
      <c r="B1581" s="14" t="inlineStr">
        <is>
          <t>2023-03-17</t>
        </is>
      </c>
      <c r="C1581" s="14" t="inlineStr">
        <is>
          <t>菜粕</t>
        </is>
      </c>
      <c r="D1581" s="14" t="inlineStr">
        <is>
          <t>RM</t>
        </is>
      </c>
      <c r="E1581" s="14" t="inlineStr">
        <is>
          <t>多</t>
        </is>
      </c>
      <c r="F1581" s="14" t="inlineStr">
        <is>
          <t>★★</t>
        </is>
      </c>
      <c r="G1581" s="14" t="n">
        <v>7</v>
      </c>
      <c r="H1581" s="15" t="n">
        <v>3060</v>
      </c>
      <c r="I1581" s="15" t="n">
        <v>2969</v>
      </c>
      <c r="J1581" s="14" t="n">
        <v>10</v>
      </c>
      <c r="K1581" s="14" t="n">
        <v>10000</v>
      </c>
      <c r="L1581" s="25">
        <f>IF(E1581="多",1,-1)*(I1581-H1581)*G1581*J1581</f>
        <v/>
      </c>
      <c r="M1581" s="26">
        <f>L1581/K1581</f>
        <v/>
      </c>
      <c r="N1581" s="14" t="inlineStr">
        <is>
          <t>反向信号</t>
        </is>
      </c>
      <c r="O1581" s="14" t="inlineStr">
        <is>
          <t>是</t>
        </is>
      </c>
    </row>
    <row r="1582">
      <c r="A1582" s="14" t="inlineStr">
        <is>
          <t>2023-03-13</t>
        </is>
      </c>
      <c r="B1582" s="14" t="inlineStr">
        <is>
          <t>2023-03-16</t>
        </is>
      </c>
      <c r="C1582" s="14" t="inlineStr">
        <is>
          <t>白糖</t>
        </is>
      </c>
      <c r="D1582" s="14" t="inlineStr">
        <is>
          <t>SR</t>
        </is>
      </c>
      <c r="E1582" s="14" t="inlineStr">
        <is>
          <t>多</t>
        </is>
      </c>
      <c r="F1582" s="14" t="inlineStr">
        <is>
          <t>★★</t>
        </is>
      </c>
      <c r="G1582" s="14" t="n">
        <v>5</v>
      </c>
      <c r="H1582" s="15" t="n">
        <v>6248</v>
      </c>
      <c r="I1582" s="15" t="n">
        <v>6110.93</v>
      </c>
      <c r="J1582" s="14" t="n">
        <v>10</v>
      </c>
      <c r="K1582" s="14" t="n">
        <v>10000</v>
      </c>
      <c r="L1582" s="25">
        <f>IF(E1582="多",1,-1)*(I1582-H1582)*G1582*J1582</f>
        <v/>
      </c>
      <c r="M1582" s="26">
        <f>L1582/K1582</f>
        <v/>
      </c>
      <c r="N1582" s="14" t="inlineStr">
        <is>
          <t>止损</t>
        </is>
      </c>
      <c r="O1582" s="14" t="inlineStr">
        <is>
          <t>是</t>
        </is>
      </c>
    </row>
    <row r="1583">
      <c r="A1583" s="14" t="inlineStr">
        <is>
          <t>2023-03-10</t>
        </is>
      </c>
      <c r="B1583" s="14" t="inlineStr">
        <is>
          <t>2023-03-14</t>
        </is>
      </c>
      <c r="C1583" s="14" t="inlineStr">
        <is>
          <t>螺纹钢</t>
        </is>
      </c>
      <c r="D1583" s="14" t="inlineStr">
        <is>
          <t>RB</t>
        </is>
      </c>
      <c r="E1583" s="14" t="inlineStr">
        <is>
          <t>多</t>
        </is>
      </c>
      <c r="F1583" s="14" t="inlineStr">
        <is>
          <t>★★★</t>
        </is>
      </c>
      <c r="G1583" s="14" t="n">
        <v>5</v>
      </c>
      <c r="H1583" s="15" t="n">
        <v>4327</v>
      </c>
      <c r="I1583" s="15" t="n">
        <v>4373</v>
      </c>
      <c r="J1583" s="14" t="n">
        <v>10</v>
      </c>
      <c r="K1583" s="14" t="n">
        <v>10000</v>
      </c>
      <c r="L1583" s="25">
        <f>IF(E1583="多",1,-1)*(I1583-H1583)*G1583*J1583</f>
        <v/>
      </c>
      <c r="M1583" s="26">
        <f>L1583/K1583</f>
        <v/>
      </c>
      <c r="N1583" s="14" t="inlineStr">
        <is>
          <t>将军撤退+大将军转向</t>
        </is>
      </c>
      <c r="O1583" s="14" t="inlineStr">
        <is>
          <t>是</t>
        </is>
      </c>
    </row>
    <row r="1584">
      <c r="A1584" s="14" t="inlineStr">
        <is>
          <t>2023-03-10</t>
        </is>
      </c>
      <c r="B1584" s="14" t="inlineStr">
        <is>
          <t>2023-03-14</t>
        </is>
      </c>
      <c r="C1584" s="14" t="inlineStr">
        <is>
          <t>沥青</t>
        </is>
      </c>
      <c r="D1584" s="14" t="inlineStr">
        <is>
          <t>BU</t>
        </is>
      </c>
      <c r="E1584" s="14" t="inlineStr">
        <is>
          <t>空</t>
        </is>
      </c>
      <c r="F1584" s="14" t="inlineStr">
        <is>
          <t>★★</t>
        </is>
      </c>
      <c r="G1584" s="14" t="n">
        <v>4</v>
      </c>
      <c r="H1584" s="15" t="n">
        <v>3898</v>
      </c>
      <c r="I1584" s="15" t="n">
        <v>3839</v>
      </c>
      <c r="J1584" s="14" t="n">
        <v>10</v>
      </c>
      <c r="K1584" s="14" t="n">
        <v>10000</v>
      </c>
      <c r="L1584" s="25">
        <f>IF(E1584="多",1,-1)*(I1584-H1584)*G1584*J1584</f>
        <v/>
      </c>
      <c r="M1584" s="26">
        <f>L1584/K1584</f>
        <v/>
      </c>
      <c r="N1584" s="14" t="inlineStr">
        <is>
          <t>大将军转向</t>
        </is>
      </c>
      <c r="O1584" s="14" t="inlineStr">
        <is>
          <t>是</t>
        </is>
      </c>
    </row>
    <row r="1585">
      <c r="A1585" s="2" t="inlineStr">
        <is>
          <t>2023-03-08</t>
        </is>
      </c>
      <c r="B1585" s="2" t="inlineStr">
        <is>
          <t>2023-03-14</t>
        </is>
      </c>
      <c r="C1585" s="2" t="inlineStr">
        <is>
          <t>沪镍</t>
        </is>
      </c>
      <c r="D1585" s="2" t="inlineStr">
        <is>
          <t>NI</t>
        </is>
      </c>
      <c r="E1585" s="9" t="inlineStr">
        <is>
          <t>空</t>
        </is>
      </c>
      <c r="F1585" s="2" t="inlineStr">
        <is>
          <t>★★★</t>
        </is>
      </c>
      <c r="G1585" s="10" t="n">
        <v>1</v>
      </c>
      <c r="H1585" s="11" t="n">
        <v>186500</v>
      </c>
      <c r="I1585" s="11" t="n">
        <v>177570</v>
      </c>
      <c r="J1585" s="10" t="n">
        <v>1</v>
      </c>
      <c r="K1585" s="10" t="n">
        <v>20000</v>
      </c>
      <c r="L1585" s="23">
        <f>IF(E1585="多",1,-1)*(I1585-H1585)*G1585*J1585</f>
        <v/>
      </c>
      <c r="M1585" s="24">
        <f>L1585/K1585</f>
        <v/>
      </c>
      <c r="N1585" s="2" t="inlineStr">
        <is>
          <t>将军撤退</t>
        </is>
      </c>
      <c r="O1585" s="2" t="inlineStr">
        <is>
          <t>否</t>
        </is>
      </c>
    </row>
    <row r="1586">
      <c r="A1586" s="14" t="inlineStr">
        <is>
          <t>2023-03-06</t>
        </is>
      </c>
      <c r="B1586" s="14" t="inlineStr">
        <is>
          <t>2023-03-14</t>
        </is>
      </c>
      <c r="C1586" s="14" t="inlineStr">
        <is>
          <t>沪金</t>
        </is>
      </c>
      <c r="D1586" s="14" t="inlineStr">
        <is>
          <t>AU</t>
        </is>
      </c>
      <c r="E1586" s="14" t="inlineStr">
        <is>
          <t>多</t>
        </is>
      </c>
      <c r="F1586" s="14" t="inlineStr">
        <is>
          <t>★★★</t>
        </is>
      </c>
      <c r="G1586" s="14" t="n">
        <v>1</v>
      </c>
      <c r="H1586" s="15" t="n">
        <v>419.74</v>
      </c>
      <c r="I1586" s="15" t="n">
        <v>426.36</v>
      </c>
      <c r="J1586" s="14" t="n">
        <v>1000</v>
      </c>
      <c r="K1586" s="14" t="n">
        <v>10000</v>
      </c>
      <c r="L1586" s="25">
        <f>IF(E1586="多",1,-1)*(I1586-H1586)*G1586*J1586</f>
        <v/>
      </c>
      <c r="M1586" s="26">
        <f>L1586/K1586</f>
        <v/>
      </c>
      <c r="N1586" s="14" t="inlineStr">
        <is>
          <t>大将军转向</t>
        </is>
      </c>
      <c r="O1586" s="14" t="inlineStr">
        <is>
          <t>是</t>
        </is>
      </c>
    </row>
    <row r="1587">
      <c r="A1587" s="14" t="inlineStr">
        <is>
          <t>2023-03-02</t>
        </is>
      </c>
      <c r="B1587" s="14" t="inlineStr">
        <is>
          <t>2023-03-14</t>
        </is>
      </c>
      <c r="C1587" s="14" t="inlineStr">
        <is>
          <t>沪银</t>
        </is>
      </c>
      <c r="D1587" s="14" t="inlineStr">
        <is>
          <t>AG</t>
        </is>
      </c>
      <c r="E1587" s="14" t="inlineStr">
        <is>
          <t>空</t>
        </is>
      </c>
      <c r="F1587" s="14" t="inlineStr">
        <is>
          <t>★★</t>
        </is>
      </c>
      <c r="G1587" s="14" t="n">
        <v>3</v>
      </c>
      <c r="H1587" s="15" t="n">
        <v>4890</v>
      </c>
      <c r="I1587" s="15" t="n">
        <v>5054</v>
      </c>
      <c r="J1587" s="14" t="n">
        <v>15</v>
      </c>
      <c r="K1587" s="14" t="n">
        <v>10000</v>
      </c>
      <c r="L1587" s="25">
        <f>IF(E1587="多",1,-1)*(I1587-H1587)*G1587*J1587</f>
        <v/>
      </c>
      <c r="M1587" s="26">
        <f>L1587/K1587</f>
        <v/>
      </c>
      <c r="N1587" s="14" t="inlineStr">
        <is>
          <t>跳空止损</t>
        </is>
      </c>
      <c r="O1587" s="14" t="inlineStr">
        <is>
          <t>是</t>
        </is>
      </c>
    </row>
    <row r="1588">
      <c r="A1588" s="14" t="inlineStr">
        <is>
          <t>2023-03-08</t>
        </is>
      </c>
      <c r="B1588" s="14" t="inlineStr">
        <is>
          <t>2023-03-13</t>
        </is>
      </c>
      <c r="C1588" s="14" t="inlineStr">
        <is>
          <t>PTA</t>
        </is>
      </c>
      <c r="D1588" s="14" t="inlineStr">
        <is>
          <t>TA</t>
        </is>
      </c>
      <c r="E1588" s="14" t="inlineStr">
        <is>
          <t>多</t>
        </is>
      </c>
      <c r="F1588" s="14" t="inlineStr">
        <is>
          <t>★★</t>
        </is>
      </c>
      <c r="G1588" s="14" t="n">
        <v>6</v>
      </c>
      <c r="H1588" s="15" t="n">
        <v>5806</v>
      </c>
      <c r="I1588" s="15" t="n">
        <v>5806</v>
      </c>
      <c r="J1588" s="14" t="n">
        <v>5</v>
      </c>
      <c r="K1588" s="14" t="n">
        <v>10000</v>
      </c>
      <c r="L1588" s="25">
        <f>IF(E1588="多",1,-1)*(I1588-H1588)*G1588*J1588</f>
        <v/>
      </c>
      <c r="M1588" s="26">
        <f>L1588/K1588</f>
        <v/>
      </c>
      <c r="N1588" s="14" t="inlineStr">
        <is>
          <t>将军撤退</t>
        </is>
      </c>
      <c r="O1588" s="14" t="inlineStr">
        <is>
          <t>是</t>
        </is>
      </c>
    </row>
    <row r="1589">
      <c r="A1589" s="2" t="inlineStr">
        <is>
          <t>2023-03-07</t>
        </is>
      </c>
      <c r="B1589" s="2" t="inlineStr">
        <is>
          <t>2023-03-13</t>
        </is>
      </c>
      <c r="C1589" s="2" t="inlineStr">
        <is>
          <t>铁矿石</t>
        </is>
      </c>
      <c r="D1589" s="2" t="inlineStr">
        <is>
          <t>I</t>
        </is>
      </c>
      <c r="E1589" s="19" t="inlineStr">
        <is>
          <t>多</t>
        </is>
      </c>
      <c r="F1589" s="2" t="inlineStr">
        <is>
          <t>★★★</t>
        </is>
      </c>
      <c r="G1589" s="10" t="n">
        <v>3</v>
      </c>
      <c r="H1589" s="11" t="n">
        <v>911</v>
      </c>
      <c r="I1589" s="11" t="n">
        <v>929</v>
      </c>
      <c r="J1589" s="10" t="n">
        <v>100</v>
      </c>
      <c r="K1589" s="10" t="n">
        <v>20000</v>
      </c>
      <c r="L1589" s="23">
        <f>IF(E1589="多",1,-1)*(I1589-H1589)*G1589*J1589</f>
        <v/>
      </c>
      <c r="M1589" s="24">
        <f>L1589/K1589</f>
        <v/>
      </c>
      <c r="N1589" s="2" t="inlineStr">
        <is>
          <t>大将军转向</t>
        </is>
      </c>
      <c r="O1589" s="2" t="inlineStr">
        <is>
          <t>否</t>
        </is>
      </c>
    </row>
    <row r="1590">
      <c r="A1590" s="2" t="inlineStr">
        <is>
          <t>2023-02-17</t>
        </is>
      </c>
      <c r="B1590" s="2" t="inlineStr">
        <is>
          <t>2023-03-13</t>
        </is>
      </c>
      <c r="C1590" s="2" t="inlineStr">
        <is>
          <t>塑料</t>
        </is>
      </c>
      <c r="D1590" s="2" t="inlineStr">
        <is>
          <t>L</t>
        </is>
      </c>
      <c r="E1590" s="19" t="inlineStr">
        <is>
          <t>多</t>
        </is>
      </c>
      <c r="F1590" s="2" t="inlineStr">
        <is>
          <t>★★★</t>
        </is>
      </c>
      <c r="G1590" s="10" t="n">
        <v>14</v>
      </c>
      <c r="H1590" s="11" t="n">
        <v>8206</v>
      </c>
      <c r="I1590" s="11" t="n">
        <v>8180.07</v>
      </c>
      <c r="J1590" s="10" t="n">
        <v>5</v>
      </c>
      <c r="K1590" s="10" t="n">
        <v>21800</v>
      </c>
      <c r="L1590" s="23">
        <f>IF(E1590="多",1,-1)*(I1590-H1590)*G1590*J1590</f>
        <v/>
      </c>
      <c r="M1590" s="24">
        <f>L1590/K1590</f>
        <v/>
      </c>
      <c r="N1590" s="2" t="inlineStr">
        <is>
          <t>止损</t>
        </is>
      </c>
      <c r="O1590" s="2" t="inlineStr">
        <is>
          <t>否</t>
        </is>
      </c>
    </row>
    <row r="1591">
      <c r="A1591" s="14" t="inlineStr">
        <is>
          <t>2023-03-08</t>
        </is>
      </c>
      <c r="B1591" s="14" t="inlineStr">
        <is>
          <t>2023-03-10</t>
        </is>
      </c>
      <c r="C1591" s="14" t="inlineStr">
        <is>
          <t>白糖</t>
        </is>
      </c>
      <c r="D1591" s="14" t="inlineStr">
        <is>
          <t>SR</t>
        </is>
      </c>
      <c r="E1591" s="14" t="inlineStr">
        <is>
          <t>多</t>
        </is>
      </c>
      <c r="F1591" s="14" t="inlineStr">
        <is>
          <t>★★</t>
        </is>
      </c>
      <c r="G1591" s="14" t="n">
        <v>5</v>
      </c>
      <c r="H1591" s="15" t="n">
        <v>6180</v>
      </c>
      <c r="I1591" s="15" t="n">
        <v>6315</v>
      </c>
      <c r="J1591" s="14" t="n">
        <v>10</v>
      </c>
      <c r="K1591" s="14" t="n">
        <v>10000</v>
      </c>
      <c r="L1591" s="25">
        <f>IF(E1591="多",1,-1)*(I1591-H1591)*G1591*J1591</f>
        <v/>
      </c>
      <c r="M1591" s="26">
        <f>L1591/K1591</f>
        <v/>
      </c>
      <c r="N1591" s="14" t="inlineStr">
        <is>
          <t>将军撤退</t>
        </is>
      </c>
      <c r="O1591" s="14" t="inlineStr">
        <is>
          <t>是</t>
        </is>
      </c>
    </row>
    <row r="1592">
      <c r="A1592" s="2" t="inlineStr">
        <is>
          <t>2023-03-03</t>
        </is>
      </c>
      <c r="B1592" s="2" t="inlineStr">
        <is>
          <t>2023-03-10</t>
        </is>
      </c>
      <c r="C1592" s="2" t="inlineStr">
        <is>
          <t>热卷</t>
        </is>
      </c>
      <c r="D1592" s="2" t="inlineStr">
        <is>
          <t>HC</t>
        </is>
      </c>
      <c r="E1592" s="19" t="inlineStr">
        <is>
          <t>多</t>
        </is>
      </c>
      <c r="F1592" s="2" t="inlineStr">
        <is>
          <t>★★★</t>
        </is>
      </c>
      <c r="G1592" s="10" t="n">
        <v>13</v>
      </c>
      <c r="H1592" s="11" t="n">
        <v>4358</v>
      </c>
      <c r="I1592" s="11" t="n">
        <v>4396</v>
      </c>
      <c r="J1592" s="10" t="n">
        <v>10</v>
      </c>
      <c r="K1592" s="10" t="n">
        <v>22600</v>
      </c>
      <c r="L1592" s="23">
        <f>IF(E1592="多",1,-1)*(I1592-H1592)*G1592*J1592</f>
        <v/>
      </c>
      <c r="M1592" s="24">
        <f>L1592/K1592</f>
        <v/>
      </c>
      <c r="N1592" s="2" t="inlineStr">
        <is>
          <t>大将军转向</t>
        </is>
      </c>
      <c r="O1592" s="2" t="inlineStr">
        <is>
          <t>否</t>
        </is>
      </c>
    </row>
    <row r="1593">
      <c r="A1593" s="14" t="inlineStr">
        <is>
          <t>2023-02-23</t>
        </is>
      </c>
      <c r="B1593" s="14" t="inlineStr">
        <is>
          <t>2023-03-10</t>
        </is>
      </c>
      <c r="C1593" s="14" t="inlineStr">
        <is>
          <t>沪铝</t>
        </is>
      </c>
      <c r="D1593" s="14" t="inlineStr">
        <is>
          <t>AL</t>
        </is>
      </c>
      <c r="E1593" s="14" t="inlineStr">
        <is>
          <t>空</t>
        </is>
      </c>
      <c r="F1593" s="14" t="inlineStr">
        <is>
          <t>★★★</t>
        </is>
      </c>
      <c r="G1593" s="14" t="n">
        <v>2</v>
      </c>
      <c r="H1593" s="15" t="n">
        <v>18710</v>
      </c>
      <c r="I1593" s="15" t="n">
        <v>18265</v>
      </c>
      <c r="J1593" s="14" t="n">
        <v>5</v>
      </c>
      <c r="K1593" s="14" t="n">
        <v>10000</v>
      </c>
      <c r="L1593" s="25">
        <f>IF(E1593="多",1,-1)*(I1593-H1593)*G1593*J1593</f>
        <v/>
      </c>
      <c r="M1593" s="26">
        <f>L1593/K1593</f>
        <v/>
      </c>
      <c r="N1593" s="14" t="inlineStr">
        <is>
          <t>将军撤退+大将军转向</t>
        </is>
      </c>
      <c r="O1593" s="14" t="inlineStr">
        <is>
          <t>是</t>
        </is>
      </c>
    </row>
    <row r="1594">
      <c r="A1594" s="14" t="inlineStr">
        <is>
          <t>2023-03-06</t>
        </is>
      </c>
      <c r="B1594" s="14" t="inlineStr">
        <is>
          <t>2023-03-09</t>
        </is>
      </c>
      <c r="C1594" s="14" t="inlineStr">
        <is>
          <t>沪锌</t>
        </is>
      </c>
      <c r="D1594" s="14" t="inlineStr">
        <is>
          <t>ZN</t>
        </is>
      </c>
      <c r="E1594" s="14" t="inlineStr">
        <is>
          <t>空</t>
        </is>
      </c>
      <c r="F1594" s="14" t="inlineStr">
        <is>
          <t>★★</t>
        </is>
      </c>
      <c r="G1594" s="14" t="n">
        <v>1</v>
      </c>
      <c r="H1594" s="15" t="n">
        <v>23230</v>
      </c>
      <c r="I1594" s="15" t="n">
        <v>23185</v>
      </c>
      <c r="J1594" s="14" t="n">
        <v>5</v>
      </c>
      <c r="K1594" s="14" t="n">
        <v>10000</v>
      </c>
      <c r="L1594" s="25">
        <f>IF(E1594="多",1,-1)*(I1594-H1594)*G1594*J1594</f>
        <v/>
      </c>
      <c r="M1594" s="26">
        <f>L1594/K1594</f>
        <v/>
      </c>
      <c r="N1594" s="14" t="inlineStr">
        <is>
          <t>大将军转向</t>
        </is>
      </c>
      <c r="O1594" s="14" t="inlineStr">
        <is>
          <t>是</t>
        </is>
      </c>
    </row>
    <row r="1595">
      <c r="A1595" s="2" t="inlineStr">
        <is>
          <t>2023-03-03</t>
        </is>
      </c>
      <c r="B1595" s="2" t="inlineStr">
        <is>
          <t>2023-03-09</t>
        </is>
      </c>
      <c r="C1595" s="2" t="inlineStr">
        <is>
          <t>螺纹钢</t>
        </is>
      </c>
      <c r="D1595" s="2" t="inlineStr">
        <is>
          <t>RB</t>
        </is>
      </c>
      <c r="E1595" s="19" t="inlineStr">
        <is>
          <t>多</t>
        </is>
      </c>
      <c r="F1595" s="2" t="inlineStr">
        <is>
          <t>★★★</t>
        </is>
      </c>
      <c r="G1595" s="10" t="n">
        <v>3</v>
      </c>
      <c r="H1595" s="11" t="n">
        <v>4260</v>
      </c>
      <c r="I1595" s="11" t="n">
        <v>4313</v>
      </c>
      <c r="J1595" s="10" t="n">
        <v>10</v>
      </c>
      <c r="K1595" s="10" t="n">
        <v>7400</v>
      </c>
      <c r="L1595" s="23">
        <f>IF(E1595="多",1,-1)*(I1595-H1595)*G1595*J1595</f>
        <v/>
      </c>
      <c r="M1595" s="24">
        <f>L1595/K1595</f>
        <v/>
      </c>
      <c r="N1595" s="2" t="inlineStr">
        <is>
          <t>将军撤退+大将军转向</t>
        </is>
      </c>
      <c r="O1595" s="2" t="inlineStr">
        <is>
          <t>否</t>
        </is>
      </c>
    </row>
    <row r="1596">
      <c r="A1596" s="14" t="inlineStr">
        <is>
          <t>2023-03-03</t>
        </is>
      </c>
      <c r="B1596" s="14" t="inlineStr">
        <is>
          <t>2023-03-08</t>
        </is>
      </c>
      <c r="C1596" s="14" t="inlineStr">
        <is>
          <t>PVC</t>
        </is>
      </c>
      <c r="D1596" s="14" t="inlineStr">
        <is>
          <t>V</t>
        </is>
      </c>
      <c r="E1596" s="14" t="inlineStr">
        <is>
          <t>多</t>
        </is>
      </c>
      <c r="F1596" s="14" t="inlineStr">
        <is>
          <t>★★</t>
        </is>
      </c>
      <c r="G1596" s="14" t="n">
        <v>7</v>
      </c>
      <c r="H1596" s="15" t="n">
        <v>6418</v>
      </c>
      <c r="I1596" s="15" t="n">
        <v>6458</v>
      </c>
      <c r="J1596" s="14" t="n">
        <v>5</v>
      </c>
      <c r="K1596" s="14" t="n">
        <v>10000</v>
      </c>
      <c r="L1596" s="25">
        <f>IF(E1596="多",1,-1)*(I1596-H1596)*G1596*J1596</f>
        <v/>
      </c>
      <c r="M1596" s="26">
        <f>L1596/K1596</f>
        <v/>
      </c>
      <c r="N1596" s="14" t="inlineStr">
        <is>
          <t>大将军转向</t>
        </is>
      </c>
      <c r="O1596" s="14" t="inlineStr">
        <is>
          <t>是</t>
        </is>
      </c>
    </row>
    <row r="1597">
      <c r="A1597" s="14" t="inlineStr">
        <is>
          <t>2023-03-02</t>
        </is>
      </c>
      <c r="B1597" s="14" t="inlineStr">
        <is>
          <t>2023-03-06</t>
        </is>
      </c>
      <c r="C1597" s="14" t="inlineStr">
        <is>
          <t>燃料油</t>
        </is>
      </c>
      <c r="D1597" s="14" t="inlineStr">
        <is>
          <t>FU</t>
        </is>
      </c>
      <c r="E1597" s="14" t="inlineStr">
        <is>
          <t>多</t>
        </is>
      </c>
      <c r="F1597" s="14" t="inlineStr">
        <is>
          <t>★★</t>
        </is>
      </c>
      <c r="G1597" s="14" t="n">
        <v>4</v>
      </c>
      <c r="H1597" s="15" t="n">
        <v>2999</v>
      </c>
      <c r="I1597" s="15" t="n">
        <v>3039</v>
      </c>
      <c r="J1597" s="14" t="n">
        <v>10</v>
      </c>
      <c r="K1597" s="14" t="n">
        <v>10000</v>
      </c>
      <c r="L1597" s="25">
        <f>IF(E1597="多",1,-1)*(I1597-H1597)*G1597*J1597</f>
        <v/>
      </c>
      <c r="M1597" s="26">
        <f>L1597/K1597</f>
        <v/>
      </c>
      <c r="N1597" s="14" t="inlineStr">
        <is>
          <t>大将军转向</t>
        </is>
      </c>
      <c r="O1597" s="14" t="inlineStr">
        <is>
          <t>是</t>
        </is>
      </c>
    </row>
    <row r="1598">
      <c r="A1598" s="2" t="inlineStr">
        <is>
          <t>2023-03-01</t>
        </is>
      </c>
      <c r="B1598" s="2" t="inlineStr">
        <is>
          <t>2023-03-06</t>
        </is>
      </c>
      <c r="C1598" s="2" t="inlineStr">
        <is>
          <t>铁矿石</t>
        </is>
      </c>
      <c r="D1598" s="2" t="inlineStr">
        <is>
          <t>I</t>
        </is>
      </c>
      <c r="E1598" s="19" t="inlineStr">
        <is>
          <t>多</t>
        </is>
      </c>
      <c r="F1598" s="2" t="inlineStr">
        <is>
          <t>★★★</t>
        </is>
      </c>
      <c r="G1598" s="10" t="n">
        <v>3</v>
      </c>
      <c r="H1598" s="11" t="n">
        <v>910</v>
      </c>
      <c r="I1598" s="11" t="n">
        <v>897</v>
      </c>
      <c r="J1598" s="10" t="n">
        <v>100</v>
      </c>
      <c r="K1598" s="10" t="n">
        <v>21600</v>
      </c>
      <c r="L1598" s="23">
        <f>IF(E1598="多",1,-1)*(I1598-H1598)*G1598*J1598</f>
        <v/>
      </c>
      <c r="M1598" s="24">
        <f>L1598/K1598</f>
        <v/>
      </c>
      <c r="N1598" s="2" t="inlineStr">
        <is>
          <t>将军撤退</t>
        </is>
      </c>
      <c r="O1598" s="2" t="inlineStr">
        <is>
          <t>否</t>
        </is>
      </c>
    </row>
    <row r="1599">
      <c r="A1599" s="2" t="inlineStr">
        <is>
          <t>2023-02-24</t>
        </is>
      </c>
      <c r="B1599" s="2" t="inlineStr">
        <is>
          <t>2023-03-06</t>
        </is>
      </c>
      <c r="C1599" s="2" t="inlineStr">
        <is>
          <t>棉花</t>
        </is>
      </c>
      <c r="D1599" s="2" t="inlineStr">
        <is>
          <t>CF</t>
        </is>
      </c>
      <c r="E1599" s="9" t="inlineStr">
        <is>
          <t>空</t>
        </is>
      </c>
      <c r="F1599" s="2" t="inlineStr">
        <is>
          <t>★★★</t>
        </is>
      </c>
      <c r="G1599" s="10" t="n">
        <v>7</v>
      </c>
      <c r="H1599" s="11" t="n">
        <v>14280</v>
      </c>
      <c r="I1599" s="11" t="n">
        <v>14762.5</v>
      </c>
      <c r="J1599" s="10" t="n">
        <v>5</v>
      </c>
      <c r="K1599" s="10" t="n">
        <v>22900</v>
      </c>
      <c r="L1599" s="23">
        <f>IF(E1599="多",1,-1)*(I1599-H1599)*G1599*J1599</f>
        <v/>
      </c>
      <c r="M1599" s="24">
        <f>L1599/K1599</f>
        <v/>
      </c>
      <c r="N1599" s="2" t="inlineStr">
        <is>
          <t>止损</t>
        </is>
      </c>
      <c r="O1599" s="2" t="inlineStr">
        <is>
          <t>否</t>
        </is>
      </c>
    </row>
    <row r="1600">
      <c r="A1600" s="14" t="inlineStr">
        <is>
          <t>2023-02-21</t>
        </is>
      </c>
      <c r="B1600" s="14" t="inlineStr">
        <is>
          <t>2023-03-06</t>
        </is>
      </c>
      <c r="C1600" s="14" t="inlineStr">
        <is>
          <t>玻璃</t>
        </is>
      </c>
      <c r="D1600" s="14" t="inlineStr">
        <is>
          <t>FG</t>
        </is>
      </c>
      <c r="E1600" s="14" t="inlineStr">
        <is>
          <t>多</t>
        </is>
      </c>
      <c r="F1600" s="14" t="inlineStr">
        <is>
          <t>★★</t>
        </is>
      </c>
      <c r="G1600" s="14" t="n">
        <v>5</v>
      </c>
      <c r="H1600" s="15" t="n">
        <v>1552</v>
      </c>
      <c r="I1600" s="15" t="n">
        <v>1578</v>
      </c>
      <c r="J1600" s="14" t="n">
        <v>20</v>
      </c>
      <c r="K1600" s="14" t="n">
        <v>10000</v>
      </c>
      <c r="L1600" s="25">
        <f>IF(E1600="多",1,-1)*(I1600-H1600)*G1600*J1600</f>
        <v/>
      </c>
      <c r="M1600" s="26">
        <f>L1600/K1600</f>
        <v/>
      </c>
      <c r="N1600" s="14" t="inlineStr">
        <is>
          <t>将军撤退</t>
        </is>
      </c>
      <c r="O1600" s="14" t="inlineStr">
        <is>
          <t>是</t>
        </is>
      </c>
    </row>
    <row r="1601">
      <c r="A1601" s="2" t="inlineStr">
        <is>
          <t>2023-02-24</t>
        </is>
      </c>
      <c r="B1601" s="2" t="inlineStr">
        <is>
          <t>2023-03-03</t>
        </is>
      </c>
      <c r="C1601" s="2" t="inlineStr">
        <is>
          <t>沪镍</t>
        </is>
      </c>
      <c r="D1601" s="2" t="inlineStr">
        <is>
          <t>NI</t>
        </is>
      </c>
      <c r="E1601" s="9" t="inlineStr">
        <is>
          <t>空</t>
        </is>
      </c>
      <c r="F1601" s="2" t="inlineStr">
        <is>
          <t>★★★</t>
        </is>
      </c>
      <c r="G1601" s="10" t="n">
        <v>1</v>
      </c>
      <c r="H1601" s="11" t="n">
        <v>197410</v>
      </c>
      <c r="I1601" s="11" t="n">
        <v>187090</v>
      </c>
      <c r="J1601" s="10" t="n">
        <v>1</v>
      </c>
      <c r="K1601" s="10" t="n">
        <v>22900</v>
      </c>
      <c r="L1601" s="23">
        <f>IF(E1601="多",1,-1)*(I1601-H1601)*G1601*J1601</f>
        <v/>
      </c>
      <c r="M1601" s="24">
        <f>L1601/K1601</f>
        <v/>
      </c>
      <c r="N1601" s="2" t="inlineStr">
        <is>
          <t>将军撤退+大将军转向</t>
        </is>
      </c>
      <c r="O1601" s="2" t="inlineStr">
        <is>
          <t>否</t>
        </is>
      </c>
    </row>
    <row r="1602">
      <c r="A1602" s="14" t="inlineStr">
        <is>
          <t>2023-02-28</t>
        </is>
      </c>
      <c r="B1602" s="14" t="inlineStr">
        <is>
          <t>2023-03-01</t>
        </is>
      </c>
      <c r="C1602" s="14" t="inlineStr">
        <is>
          <t>PTA</t>
        </is>
      </c>
      <c r="D1602" s="14" t="inlineStr">
        <is>
          <t>TA</t>
        </is>
      </c>
      <c r="E1602" s="14" t="inlineStr">
        <is>
          <t>多</t>
        </is>
      </c>
      <c r="F1602" s="14" t="inlineStr">
        <is>
          <t>★★</t>
        </is>
      </c>
      <c r="G1602" s="14" t="n">
        <v>6</v>
      </c>
      <c r="H1602" s="15" t="n">
        <v>5632</v>
      </c>
      <c r="I1602" s="15" t="n">
        <v>5746</v>
      </c>
      <c r="J1602" s="14" t="n">
        <v>5</v>
      </c>
      <c r="K1602" s="14" t="n">
        <v>10000</v>
      </c>
      <c r="L1602" s="25">
        <f>IF(E1602="多",1,-1)*(I1602-H1602)*G1602*J1602</f>
        <v/>
      </c>
      <c r="M1602" s="26">
        <f>L1602/K1602</f>
        <v/>
      </c>
      <c r="N1602" s="14" t="inlineStr">
        <is>
          <t>将军撤退</t>
        </is>
      </c>
      <c r="O1602" s="14" t="inlineStr">
        <is>
          <t>是</t>
        </is>
      </c>
    </row>
    <row r="1603">
      <c r="A1603" s="14" t="inlineStr">
        <is>
          <t>2023-02-20</t>
        </is>
      </c>
      <c r="B1603" s="14" t="inlineStr">
        <is>
          <t>2023-03-01</t>
        </is>
      </c>
      <c r="C1603" s="14" t="inlineStr">
        <is>
          <t>玉米</t>
        </is>
      </c>
      <c r="D1603" s="14" t="inlineStr">
        <is>
          <t>C</t>
        </is>
      </c>
      <c r="E1603" s="14" t="inlineStr">
        <is>
          <t>多</t>
        </is>
      </c>
      <c r="F1603" s="14" t="inlineStr">
        <is>
          <t>★★★</t>
        </is>
      </c>
      <c r="G1603" s="14" t="n">
        <v>14</v>
      </c>
      <c r="H1603" s="15" t="n">
        <v>2875</v>
      </c>
      <c r="I1603" s="15" t="n">
        <v>2854</v>
      </c>
      <c r="J1603" s="14" t="n">
        <v>10</v>
      </c>
      <c r="K1603" s="14" t="n">
        <v>10000</v>
      </c>
      <c r="L1603" s="25">
        <f>IF(E1603="多",1,-1)*(I1603-H1603)*G1603*J1603</f>
        <v/>
      </c>
      <c r="M1603" s="26">
        <f>L1603/K1603</f>
        <v/>
      </c>
      <c r="N1603" s="14" t="inlineStr">
        <is>
          <t>将军撤退</t>
        </is>
      </c>
      <c r="O1603" s="14" t="inlineStr">
        <is>
          <t>是</t>
        </is>
      </c>
    </row>
    <row r="1604">
      <c r="A1604" s="2" t="inlineStr">
        <is>
          <t>2023-02-27</t>
        </is>
      </c>
      <c r="B1604" s="2" t="inlineStr">
        <is>
          <t>2023-02-28</t>
        </is>
      </c>
      <c r="C1604" s="2" t="inlineStr">
        <is>
          <t>沪银</t>
        </is>
      </c>
      <c r="D1604" s="2" t="inlineStr">
        <is>
          <t>AG</t>
        </is>
      </c>
      <c r="E1604" s="9" t="inlineStr">
        <is>
          <t>空</t>
        </is>
      </c>
      <c r="F1604" s="2" t="inlineStr">
        <is>
          <t>★★★</t>
        </is>
      </c>
      <c r="G1604" s="10" t="n">
        <v>7</v>
      </c>
      <c r="H1604" s="11" t="n">
        <v>4878</v>
      </c>
      <c r="I1604" s="11" t="n">
        <v>4875</v>
      </c>
      <c r="J1604" s="10" t="n">
        <v>15</v>
      </c>
      <c r="K1604" s="10" t="n">
        <v>22300</v>
      </c>
      <c r="L1604" s="23">
        <f>IF(E1604="多",1,-1)*(I1604-H1604)*G1604*J1604</f>
        <v/>
      </c>
      <c r="M1604" s="24">
        <f>L1604/K1604</f>
        <v/>
      </c>
      <c r="N1604" s="2" t="inlineStr">
        <is>
          <t>大将军转向</t>
        </is>
      </c>
      <c r="O1604" s="2" t="inlineStr">
        <is>
          <t>否</t>
        </is>
      </c>
    </row>
    <row r="1605">
      <c r="A1605" s="2" t="inlineStr">
        <is>
          <t>2023-02-20</t>
        </is>
      </c>
      <c r="B1605" s="2" t="inlineStr">
        <is>
          <t>2023-02-27</t>
        </is>
      </c>
      <c r="C1605" s="2" t="inlineStr">
        <is>
          <t>铁矿石</t>
        </is>
      </c>
      <c r="D1605" s="2" t="inlineStr">
        <is>
          <t>I</t>
        </is>
      </c>
      <c r="E1605" s="19" t="inlineStr">
        <is>
          <t>多</t>
        </is>
      </c>
      <c r="F1605" s="2" t="inlineStr">
        <is>
          <t>★★★</t>
        </is>
      </c>
      <c r="G1605" s="10" t="n">
        <v>3</v>
      </c>
      <c r="H1605" s="11" t="n">
        <v>899</v>
      </c>
      <c r="I1605" s="11" t="n">
        <v>885.5</v>
      </c>
      <c r="J1605" s="10" t="n">
        <v>100</v>
      </c>
      <c r="K1605" s="10" t="n">
        <v>22800</v>
      </c>
      <c r="L1605" s="23">
        <f>IF(E1605="多",1,-1)*(I1605-H1605)*G1605*J1605</f>
        <v/>
      </c>
      <c r="M1605" s="24">
        <f>L1605/K1605</f>
        <v/>
      </c>
      <c r="N1605" s="2" t="inlineStr">
        <is>
          <t>大将军转向</t>
        </is>
      </c>
      <c r="O1605" s="2" t="inlineStr">
        <is>
          <t>否</t>
        </is>
      </c>
    </row>
    <row r="1606">
      <c r="A1606" s="14" t="inlineStr">
        <is>
          <t>2023-02-23</t>
        </is>
      </c>
      <c r="B1606" s="14" t="inlineStr">
        <is>
          <t>2023-02-24</t>
        </is>
      </c>
      <c r="C1606" s="14" t="inlineStr">
        <is>
          <t>PVC</t>
        </is>
      </c>
      <c r="D1606" s="14" t="inlineStr">
        <is>
          <t>V</t>
        </is>
      </c>
      <c r="E1606" s="14" t="inlineStr">
        <is>
          <t>多</t>
        </is>
      </c>
      <c r="F1606" s="14" t="inlineStr">
        <is>
          <t>★★</t>
        </is>
      </c>
      <c r="G1606" s="14" t="n">
        <v>6</v>
      </c>
      <c r="H1606" s="15" t="n">
        <v>6485</v>
      </c>
      <c r="I1606" s="15" t="n">
        <v>6517</v>
      </c>
      <c r="J1606" s="14" t="n">
        <v>5</v>
      </c>
      <c r="K1606" s="14" t="n">
        <v>10000</v>
      </c>
      <c r="L1606" s="25">
        <f>IF(E1606="多",1,-1)*(I1606-H1606)*G1606*J1606</f>
        <v/>
      </c>
      <c r="M1606" s="26">
        <f>L1606/K1606</f>
        <v/>
      </c>
      <c r="N1606" s="14" t="inlineStr">
        <is>
          <t>将军撤退</t>
        </is>
      </c>
      <c r="O1606" s="14" t="inlineStr">
        <is>
          <t>是</t>
        </is>
      </c>
    </row>
    <row r="1607">
      <c r="A1607" s="2" t="inlineStr">
        <is>
          <t>2023-02-16</t>
        </is>
      </c>
      <c r="B1607" s="2" t="inlineStr">
        <is>
          <t>2023-02-24</t>
        </is>
      </c>
      <c r="C1607" s="2" t="inlineStr">
        <is>
          <t>豆油</t>
        </is>
      </c>
      <c r="D1607" s="2" t="inlineStr">
        <is>
          <t>Y</t>
        </is>
      </c>
      <c r="E1607" s="19" t="inlineStr">
        <is>
          <t>多</t>
        </is>
      </c>
      <c r="F1607" s="2" t="inlineStr">
        <is>
          <t>★★★</t>
        </is>
      </c>
      <c r="G1607" s="10" t="n">
        <v>4</v>
      </c>
      <c r="H1607" s="11" t="n">
        <v>8758</v>
      </c>
      <c r="I1607" s="11" t="n">
        <v>8950</v>
      </c>
      <c r="J1607" s="10" t="n">
        <v>10</v>
      </c>
      <c r="K1607" s="10" t="n">
        <v>20500</v>
      </c>
      <c r="L1607" s="23">
        <f>IF(E1607="多",1,-1)*(I1607-H1607)*G1607*J1607</f>
        <v/>
      </c>
      <c r="M1607" s="24">
        <f>L1607/K1607</f>
        <v/>
      </c>
      <c r="N1607" s="2" t="inlineStr">
        <is>
          <t>将军撤退</t>
        </is>
      </c>
      <c r="O1607" s="2" t="inlineStr">
        <is>
          <t>否</t>
        </is>
      </c>
    </row>
    <row r="1608">
      <c r="A1608" s="14" t="inlineStr">
        <is>
          <t>2023-02-20</t>
        </is>
      </c>
      <c r="B1608" s="14" t="inlineStr">
        <is>
          <t>2023-02-23</t>
        </is>
      </c>
      <c r="C1608" s="14" t="inlineStr">
        <is>
          <t>沪铝</t>
        </is>
      </c>
      <c r="D1608" s="14" t="inlineStr">
        <is>
          <t>AL</t>
        </is>
      </c>
      <c r="E1608" s="14" t="inlineStr">
        <is>
          <t>多</t>
        </is>
      </c>
      <c r="F1608" s="14" t="inlineStr">
        <is>
          <t>★★</t>
        </is>
      </c>
      <c r="G1608" s="14" t="n">
        <v>2</v>
      </c>
      <c r="H1608" s="15" t="n">
        <v>18825</v>
      </c>
      <c r="I1608" s="15" t="n">
        <v>18680</v>
      </c>
      <c r="J1608" s="14" t="n">
        <v>5</v>
      </c>
      <c r="K1608" s="14" t="n">
        <v>10000</v>
      </c>
      <c r="L1608" s="25">
        <f>IF(E1608="多",1,-1)*(I1608-H1608)*G1608*J1608</f>
        <v/>
      </c>
      <c r="M1608" s="26">
        <f>L1608/K1608</f>
        <v/>
      </c>
      <c r="N1608" s="14" t="inlineStr">
        <is>
          <t>反向信号</t>
        </is>
      </c>
      <c r="O1608" s="14" t="inlineStr">
        <is>
          <t>是</t>
        </is>
      </c>
    </row>
    <row r="1609">
      <c r="A1609" s="14" t="inlineStr">
        <is>
          <t>2023-02-13</t>
        </is>
      </c>
      <c r="B1609" s="14" t="inlineStr">
        <is>
          <t>2023-02-22</t>
        </is>
      </c>
      <c r="C1609" s="14" t="inlineStr">
        <is>
          <t>沪银</t>
        </is>
      </c>
      <c r="D1609" s="14" t="inlineStr">
        <is>
          <t>AG</t>
        </is>
      </c>
      <c r="E1609" s="14" t="inlineStr">
        <is>
          <t>空</t>
        </is>
      </c>
      <c r="F1609" s="14" t="inlineStr">
        <is>
          <t>★★★</t>
        </is>
      </c>
      <c r="G1609" s="14" t="n">
        <v>1</v>
      </c>
      <c r="H1609" s="15" t="n">
        <v>4950</v>
      </c>
      <c r="I1609" s="15" t="n">
        <v>4989</v>
      </c>
      <c r="J1609" s="14" t="n">
        <v>15</v>
      </c>
      <c r="K1609" s="14" t="n">
        <v>10000</v>
      </c>
      <c r="L1609" s="25">
        <f>IF(E1609="多",1,-1)*(I1609-H1609)*G1609*J1609</f>
        <v/>
      </c>
      <c r="M1609" s="26">
        <f>L1609/K1609</f>
        <v/>
      </c>
      <c r="N1609" s="14" t="inlineStr">
        <is>
          <t>将军撤退</t>
        </is>
      </c>
      <c r="O1609" s="14" t="inlineStr">
        <is>
          <t>是</t>
        </is>
      </c>
    </row>
    <row r="1610">
      <c r="A1610" s="2" t="inlineStr">
        <is>
          <t>2023-02-09</t>
        </is>
      </c>
      <c r="B1610" s="2" t="inlineStr">
        <is>
          <t>2023-02-22</t>
        </is>
      </c>
      <c r="C1610" s="2" t="inlineStr">
        <is>
          <t>沪锌</t>
        </is>
      </c>
      <c r="D1610" s="2" t="inlineStr">
        <is>
          <t>ZN</t>
        </is>
      </c>
      <c r="E1610" s="9" t="inlineStr">
        <is>
          <t>空</t>
        </is>
      </c>
      <c r="F1610" s="2" t="inlineStr">
        <is>
          <t>★★★</t>
        </is>
      </c>
      <c r="G1610" s="10" t="n">
        <v>3</v>
      </c>
      <c r="H1610" s="11" t="n">
        <v>23315</v>
      </c>
      <c r="I1610" s="11" t="n">
        <v>23555</v>
      </c>
      <c r="J1610" s="10" t="n">
        <v>5</v>
      </c>
      <c r="K1610" s="10" t="n">
        <v>20500</v>
      </c>
      <c r="L1610" s="23">
        <f>IF(E1610="多",1,-1)*(I1610-H1610)*G1610*J1610</f>
        <v/>
      </c>
      <c r="M1610" s="24">
        <f>L1610/K1610</f>
        <v/>
      </c>
      <c r="N1610" s="2" t="inlineStr">
        <is>
          <t>大将军转向</t>
        </is>
      </c>
      <c r="O1610" s="2" t="inlineStr">
        <is>
          <t>否</t>
        </is>
      </c>
    </row>
    <row r="1611">
      <c r="A1611" s="14" t="inlineStr">
        <is>
          <t>2023-02-17</t>
        </is>
      </c>
      <c r="B1611" s="14" t="inlineStr">
        <is>
          <t>2023-02-21</t>
        </is>
      </c>
      <c r="C1611" s="14" t="inlineStr">
        <is>
          <t>玻璃</t>
        </is>
      </c>
      <c r="D1611" s="14" t="inlineStr">
        <is>
          <t>FG</t>
        </is>
      </c>
      <c r="E1611" s="14" t="inlineStr">
        <is>
          <t>空</t>
        </is>
      </c>
      <c r="F1611" s="14" t="inlineStr">
        <is>
          <t>★★</t>
        </is>
      </c>
      <c r="G1611" s="14" t="n">
        <v>4</v>
      </c>
      <c r="H1611" s="15" t="n">
        <v>1520</v>
      </c>
      <c r="I1611" s="15" t="n">
        <v>1556</v>
      </c>
      <c r="J1611" s="14" t="n">
        <v>20</v>
      </c>
      <c r="K1611" s="14" t="n">
        <v>10000</v>
      </c>
      <c r="L1611" s="25">
        <f>IF(E1611="多",1,-1)*(I1611-H1611)*G1611*J1611</f>
        <v/>
      </c>
      <c r="M1611" s="26">
        <f>L1611/K1611</f>
        <v/>
      </c>
      <c r="N1611" s="14" t="inlineStr">
        <is>
          <t>反向信号</t>
        </is>
      </c>
      <c r="O1611" s="14" t="inlineStr">
        <is>
          <t>是</t>
        </is>
      </c>
    </row>
    <row r="1612">
      <c r="A1612" s="14" t="inlineStr">
        <is>
          <t>2023-02-15</t>
        </is>
      </c>
      <c r="B1612" s="14" t="inlineStr">
        <is>
          <t>2023-02-20</t>
        </is>
      </c>
      <c r="C1612" s="14" t="inlineStr">
        <is>
          <t>沪铝</t>
        </is>
      </c>
      <c r="D1612" s="14" t="inlineStr">
        <is>
          <t>AL</t>
        </is>
      </c>
      <c r="E1612" s="14" t="inlineStr">
        <is>
          <t>空</t>
        </is>
      </c>
      <c r="F1612" s="14" t="inlineStr">
        <is>
          <t>★★</t>
        </is>
      </c>
      <c r="G1612" s="14" t="n">
        <v>2</v>
      </c>
      <c r="H1612" s="15" t="n">
        <v>18365</v>
      </c>
      <c r="I1612" s="15" t="n">
        <v>18780</v>
      </c>
      <c r="J1612" s="14" t="n">
        <v>5</v>
      </c>
      <c r="K1612" s="14" t="n">
        <v>10000</v>
      </c>
      <c r="L1612" s="25">
        <f>IF(E1612="多",1,-1)*(I1612-H1612)*G1612*J1612</f>
        <v/>
      </c>
      <c r="M1612" s="26">
        <f>L1612/K1612</f>
        <v/>
      </c>
      <c r="N1612" s="14" t="inlineStr">
        <is>
          <t>反向信号</t>
        </is>
      </c>
      <c r="O1612" s="14" t="inlineStr">
        <is>
          <t>是</t>
        </is>
      </c>
    </row>
    <row r="1613">
      <c r="A1613" s="14" t="inlineStr">
        <is>
          <t>2023-02-08</t>
        </is>
      </c>
      <c r="B1613" s="14" t="inlineStr">
        <is>
          <t>2023-02-20</t>
        </is>
      </c>
      <c r="C1613" s="14" t="inlineStr">
        <is>
          <t>甲醇</t>
        </is>
      </c>
      <c r="D1613" s="14" t="inlineStr">
        <is>
          <t>MA</t>
        </is>
      </c>
      <c r="E1613" s="14" t="inlineStr">
        <is>
          <t>空</t>
        </is>
      </c>
      <c r="F1613" s="14" t="inlineStr">
        <is>
          <t>★★★</t>
        </is>
      </c>
      <c r="G1613" s="14" t="n">
        <v>5</v>
      </c>
      <c r="H1613" s="15" t="n">
        <v>2648</v>
      </c>
      <c r="I1613" s="15" t="n">
        <v>2569</v>
      </c>
      <c r="J1613" s="14" t="n">
        <v>10</v>
      </c>
      <c r="K1613" s="14" t="n">
        <v>10000</v>
      </c>
      <c r="L1613" s="25">
        <f>IF(E1613="多",1,-1)*(I1613-H1613)*G1613*J1613</f>
        <v/>
      </c>
      <c r="M1613" s="26">
        <f>L1613/K1613</f>
        <v/>
      </c>
      <c r="N1613" s="14" t="inlineStr">
        <is>
          <t>将军撤退</t>
        </is>
      </c>
      <c r="O1613" s="14" t="inlineStr">
        <is>
          <t>是</t>
        </is>
      </c>
    </row>
    <row r="1614">
      <c r="A1614" s="14" t="inlineStr">
        <is>
          <t>2022-12-28</t>
        </is>
      </c>
      <c r="B1614" s="14" t="inlineStr">
        <is>
          <t>2023-02-17</t>
        </is>
      </c>
      <c r="C1614" s="14" t="inlineStr">
        <is>
          <t>铁矿石</t>
        </is>
      </c>
      <c r="D1614" s="14" t="inlineStr">
        <is>
          <t>I</t>
        </is>
      </c>
      <c r="E1614" s="14" t="inlineStr">
        <is>
          <t>多</t>
        </is>
      </c>
      <c r="F1614" s="14" t="inlineStr">
        <is>
          <t>★★★</t>
        </is>
      </c>
      <c r="G1614" s="14" t="n">
        <v>1</v>
      </c>
      <c r="H1614" s="15" t="n">
        <v>838</v>
      </c>
      <c r="I1614" s="15" t="n">
        <v>889.5</v>
      </c>
      <c r="J1614" s="14" t="n">
        <v>100</v>
      </c>
      <c r="K1614" s="14" t="n">
        <v>10000</v>
      </c>
      <c r="L1614" s="25">
        <f>IF(E1614="多",1,-1)*(I1614-H1614)*G1614*J1614</f>
        <v/>
      </c>
      <c r="M1614" s="26">
        <f>L1614/K1614</f>
        <v/>
      </c>
      <c r="N1614" s="14" t="inlineStr">
        <is>
          <t>将军撤退</t>
        </is>
      </c>
      <c r="O1614" s="14" t="inlineStr">
        <is>
          <t>是</t>
        </is>
      </c>
    </row>
    <row r="1615">
      <c r="A1615" s="14" t="inlineStr">
        <is>
          <t>2023-02-07</t>
        </is>
      </c>
      <c r="B1615" s="14" t="inlineStr">
        <is>
          <t>2023-02-15</t>
        </is>
      </c>
      <c r="C1615" s="14" t="inlineStr">
        <is>
          <t>白糖</t>
        </is>
      </c>
      <c r="D1615" s="14" t="inlineStr">
        <is>
          <t>SR</t>
        </is>
      </c>
      <c r="E1615" s="14" t="inlineStr">
        <is>
          <t>空</t>
        </is>
      </c>
      <c r="F1615" s="14" t="inlineStr">
        <is>
          <t>★★</t>
        </is>
      </c>
      <c r="G1615" s="14" t="n">
        <v>5</v>
      </c>
      <c r="H1615" s="15" t="n">
        <v>5889</v>
      </c>
      <c r="I1615" s="15" t="n">
        <v>5907</v>
      </c>
      <c r="J1615" s="14" t="n">
        <v>10</v>
      </c>
      <c r="K1615" s="14" t="n">
        <v>10000</v>
      </c>
      <c r="L1615" s="25">
        <f>IF(E1615="多",1,-1)*(I1615-H1615)*G1615*J1615</f>
        <v/>
      </c>
      <c r="M1615" s="26">
        <f>L1615/K1615</f>
        <v/>
      </c>
      <c r="N1615" s="14" t="inlineStr">
        <is>
          <t>将军撤退</t>
        </is>
      </c>
      <c r="O1615" s="14" t="inlineStr">
        <is>
          <t>是</t>
        </is>
      </c>
    </row>
    <row r="1616">
      <c r="A1616" s="14" t="inlineStr">
        <is>
          <t>2023-02-07</t>
        </is>
      </c>
      <c r="B1616" s="14" t="inlineStr">
        <is>
          <t>2023-02-13</t>
        </is>
      </c>
      <c r="C1616" s="14" t="inlineStr">
        <is>
          <t>玻璃</t>
        </is>
      </c>
      <c r="D1616" s="14" t="inlineStr">
        <is>
          <t>FG</t>
        </is>
      </c>
      <c r="E1616" s="14" t="inlineStr">
        <is>
          <t>空</t>
        </is>
      </c>
      <c r="F1616" s="14" t="inlineStr">
        <is>
          <t>★★</t>
        </is>
      </c>
      <c r="G1616" s="14" t="n">
        <v>3</v>
      </c>
      <c r="H1616" s="15" t="n">
        <v>1535</v>
      </c>
      <c r="I1616" s="15" t="n">
        <v>1525</v>
      </c>
      <c r="J1616" s="14" t="n">
        <v>20</v>
      </c>
      <c r="K1616" s="14" t="n">
        <v>10000</v>
      </c>
      <c r="L1616" s="25">
        <f>IF(E1616="多",1,-1)*(I1616-H1616)*G1616*J1616</f>
        <v/>
      </c>
      <c r="M1616" s="26">
        <f>L1616/K1616</f>
        <v/>
      </c>
      <c r="N1616" s="14" t="inlineStr">
        <is>
          <t>将军撤退+大将军转向</t>
        </is>
      </c>
      <c r="O1616" s="14" t="inlineStr">
        <is>
          <t>是</t>
        </is>
      </c>
    </row>
    <row r="1617">
      <c r="A1617" s="2" t="inlineStr">
        <is>
          <t>2023-02-03</t>
        </is>
      </c>
      <c r="B1617" s="2" t="inlineStr">
        <is>
          <t>2023-02-08</t>
        </is>
      </c>
      <c r="C1617" s="2" t="inlineStr">
        <is>
          <t>纯碱</t>
        </is>
      </c>
      <c r="D1617" s="2" t="inlineStr">
        <is>
          <t>SA</t>
        </is>
      </c>
      <c r="E1617" s="19" t="inlineStr">
        <is>
          <t>多</t>
        </is>
      </c>
      <c r="F1617" s="2" t="inlineStr">
        <is>
          <t>★★★</t>
        </is>
      </c>
      <c r="G1617" s="10" t="n">
        <v>5</v>
      </c>
      <c r="H1617" s="11" t="n">
        <v>2995</v>
      </c>
      <c r="I1617" s="11" t="n">
        <v>2957</v>
      </c>
      <c r="J1617" s="10" t="n">
        <v>20</v>
      </c>
      <c r="K1617" s="10" t="n">
        <v>20900</v>
      </c>
      <c r="L1617" s="23">
        <f>IF(E1617="多",1,-1)*(I1617-H1617)*G1617*J1617</f>
        <v/>
      </c>
      <c r="M1617" s="24">
        <f>L1617/K1617</f>
        <v/>
      </c>
      <c r="N1617" s="2" t="inlineStr">
        <is>
          <t>将军撤退+大将军转向</t>
        </is>
      </c>
      <c r="O1617" s="2" t="inlineStr">
        <is>
          <t>否</t>
        </is>
      </c>
    </row>
    <row r="1618">
      <c r="A1618" s="14" t="inlineStr">
        <is>
          <t>2023-01-19</t>
        </is>
      </c>
      <c r="B1618" s="14" t="inlineStr">
        <is>
          <t>2023-02-06</t>
        </is>
      </c>
      <c r="C1618" s="14" t="inlineStr">
        <is>
          <t>沪铝</t>
        </is>
      </c>
      <c r="D1618" s="14" t="inlineStr">
        <is>
          <t>AL</t>
        </is>
      </c>
      <c r="E1618" s="14" t="inlineStr">
        <is>
          <t>多</t>
        </is>
      </c>
      <c r="F1618" s="14" t="inlineStr">
        <is>
          <t>★★★</t>
        </is>
      </c>
      <c r="G1618" s="14" t="n">
        <v>2</v>
      </c>
      <c r="H1618" s="15" t="n">
        <v>19000</v>
      </c>
      <c r="I1618" s="15" t="n">
        <v>19060</v>
      </c>
      <c r="J1618" s="14" t="n">
        <v>5</v>
      </c>
      <c r="K1618" s="14" t="n">
        <v>10000</v>
      </c>
      <c r="L1618" s="25">
        <f>IF(E1618="多",1,-1)*(I1618-H1618)*G1618*J1618</f>
        <v/>
      </c>
      <c r="M1618" s="26">
        <f>L1618/K1618</f>
        <v/>
      </c>
      <c r="N1618" s="14" t="inlineStr">
        <is>
          <t>将军撤退</t>
        </is>
      </c>
      <c r="O1618" s="14" t="inlineStr">
        <is>
          <t>是</t>
        </is>
      </c>
    </row>
    <row r="1619">
      <c r="A1619" s="2" t="inlineStr">
        <is>
          <t>2023-02-01</t>
        </is>
      </c>
      <c r="B1619" s="2" t="inlineStr">
        <is>
          <t>2023-02-03</t>
        </is>
      </c>
      <c r="C1619" s="2" t="inlineStr">
        <is>
          <t>沪金</t>
        </is>
      </c>
      <c r="D1619" s="2" t="inlineStr">
        <is>
          <t>AU</t>
        </is>
      </c>
      <c r="E1619" s="19" t="inlineStr">
        <is>
          <t>多</t>
        </is>
      </c>
      <c r="F1619" s="2" t="inlineStr">
        <is>
          <t>★★★</t>
        </is>
      </c>
      <c r="G1619" s="10" t="n">
        <v>2</v>
      </c>
      <c r="H1619" s="11" t="n">
        <v>421.7</v>
      </c>
      <c r="I1619" s="11" t="n">
        <v>419.34</v>
      </c>
      <c r="J1619" s="10" t="n">
        <v>1000</v>
      </c>
      <c r="K1619" s="10" t="n">
        <v>22600</v>
      </c>
      <c r="L1619" s="23">
        <f>IF(E1619="多",1,-1)*(I1619-H1619)*G1619*J1619</f>
        <v/>
      </c>
      <c r="M1619" s="24">
        <f>L1619/K1619</f>
        <v/>
      </c>
      <c r="N1619" s="2" t="inlineStr">
        <is>
          <t>将军撤退</t>
        </is>
      </c>
      <c r="O1619" s="2" t="inlineStr">
        <is>
          <t>否</t>
        </is>
      </c>
    </row>
    <row r="1620">
      <c r="A1620" s="14" t="inlineStr">
        <is>
          <t>2023-01-30</t>
        </is>
      </c>
      <c r="B1620" s="14" t="inlineStr">
        <is>
          <t>2023-02-03</t>
        </is>
      </c>
      <c r="C1620" s="14" t="inlineStr">
        <is>
          <t>螺纹钢</t>
        </is>
      </c>
      <c r="D1620" s="14" t="inlineStr">
        <is>
          <t>RB</t>
        </is>
      </c>
      <c r="E1620" s="14" t="inlineStr">
        <is>
          <t>多</t>
        </is>
      </c>
      <c r="F1620" s="14" t="inlineStr">
        <is>
          <t>★★</t>
        </is>
      </c>
      <c r="G1620" s="14" t="n">
        <v>4</v>
      </c>
      <c r="H1620" s="15" t="n">
        <v>4200</v>
      </c>
      <c r="I1620" s="15" t="n">
        <v>4008.86</v>
      </c>
      <c r="J1620" s="14" t="n">
        <v>10</v>
      </c>
      <c r="K1620" s="14" t="n">
        <v>10000</v>
      </c>
      <c r="L1620" s="25">
        <f>IF(E1620="多",1,-1)*(I1620-H1620)*G1620*J1620</f>
        <v/>
      </c>
      <c r="M1620" s="26">
        <f>L1620/K1620</f>
        <v/>
      </c>
      <c r="N1620" s="14" t="inlineStr">
        <is>
          <t>止损</t>
        </is>
      </c>
      <c r="O1620" s="14" t="inlineStr">
        <is>
          <t>是</t>
        </is>
      </c>
    </row>
    <row r="1621">
      <c r="A1621" s="2" t="inlineStr">
        <is>
          <t>2023-01-30</t>
        </is>
      </c>
      <c r="B1621" s="2" t="inlineStr">
        <is>
          <t>2023-02-03</t>
        </is>
      </c>
      <c r="C1621" s="2" t="inlineStr">
        <is>
          <t>热卷</t>
        </is>
      </c>
      <c r="D1621" s="2" t="inlineStr">
        <is>
          <t>HC</t>
        </is>
      </c>
      <c r="E1621" s="19" t="inlineStr">
        <is>
          <t>多</t>
        </is>
      </c>
      <c r="F1621" s="2" t="inlineStr">
        <is>
          <t>★★★</t>
        </is>
      </c>
      <c r="G1621" s="10" t="n">
        <v>11</v>
      </c>
      <c r="H1621" s="11" t="n">
        <v>4232</v>
      </c>
      <c r="I1621" s="11" t="n">
        <v>4043.79</v>
      </c>
      <c r="J1621" s="10" t="n">
        <v>10</v>
      </c>
      <c r="K1621" s="10" t="n">
        <v>21600</v>
      </c>
      <c r="L1621" s="23">
        <f>IF(E1621="多",1,-1)*(I1621-H1621)*G1621*J1621</f>
        <v/>
      </c>
      <c r="M1621" s="24">
        <f>L1621/K1621</f>
        <v/>
      </c>
      <c r="N1621" s="2" t="inlineStr">
        <is>
          <t>止损</t>
        </is>
      </c>
      <c r="O1621" s="2" t="inlineStr">
        <is>
          <t>否</t>
        </is>
      </c>
    </row>
    <row r="1622">
      <c r="A1622" s="14" t="inlineStr">
        <is>
          <t>2023-01-20</t>
        </is>
      </c>
      <c r="B1622" s="14" t="inlineStr">
        <is>
          <t>2023-02-03</t>
        </is>
      </c>
      <c r="C1622" s="14" t="inlineStr">
        <is>
          <t>甲醇</t>
        </is>
      </c>
      <c r="D1622" s="14" t="inlineStr">
        <is>
          <t>MA</t>
        </is>
      </c>
      <c r="E1622" s="14" t="inlineStr">
        <is>
          <t>多</t>
        </is>
      </c>
      <c r="F1622" s="14" t="inlineStr">
        <is>
          <t>★★</t>
        </is>
      </c>
      <c r="G1622" s="14" t="n">
        <v>6</v>
      </c>
      <c r="H1622" s="15" t="n">
        <v>2800</v>
      </c>
      <c r="I1622" s="15" t="n">
        <v>2664.36</v>
      </c>
      <c r="J1622" s="14" t="n">
        <v>10</v>
      </c>
      <c r="K1622" s="14" t="n">
        <v>10000</v>
      </c>
      <c r="L1622" s="25">
        <f>IF(E1622="多",1,-1)*(I1622-H1622)*G1622*J1622</f>
        <v/>
      </c>
      <c r="M1622" s="26">
        <f>L1622/K1622</f>
        <v/>
      </c>
      <c r="N1622" s="14" t="inlineStr">
        <is>
          <t>止损</t>
        </is>
      </c>
      <c r="O1622" s="14" t="inlineStr">
        <is>
          <t>是</t>
        </is>
      </c>
    </row>
    <row r="1623">
      <c r="A1623" s="2" t="inlineStr">
        <is>
          <t>2023-02-01</t>
        </is>
      </c>
      <c r="B1623" s="2" t="inlineStr">
        <is>
          <t>2023-02-02</t>
        </is>
      </c>
      <c r="C1623" s="2" t="inlineStr">
        <is>
          <t>纯碱</t>
        </is>
      </c>
      <c r="D1623" s="2" t="inlineStr">
        <is>
          <t>SA</t>
        </is>
      </c>
      <c r="E1623" s="19" t="inlineStr">
        <is>
          <t>多</t>
        </is>
      </c>
      <c r="F1623" s="2" t="inlineStr">
        <is>
          <t>★★★</t>
        </is>
      </c>
      <c r="G1623" s="10" t="n">
        <v>6</v>
      </c>
      <c r="H1623" s="11" t="n">
        <v>3009</v>
      </c>
      <c r="I1623" s="11" t="n">
        <v>2974</v>
      </c>
      <c r="J1623" s="10" t="n">
        <v>20</v>
      </c>
      <c r="K1623" s="10" t="n">
        <v>22600</v>
      </c>
      <c r="L1623" s="23">
        <f>IF(E1623="多",1,-1)*(I1623-H1623)*G1623*J1623</f>
        <v/>
      </c>
      <c r="M1623" s="24">
        <f>L1623/K1623</f>
        <v/>
      </c>
      <c r="N1623" s="2" t="inlineStr">
        <is>
          <t>将军撤退</t>
        </is>
      </c>
      <c r="O1623" s="2" t="inlineStr">
        <is>
          <t>否</t>
        </is>
      </c>
    </row>
    <row r="1624">
      <c r="A1624" s="2" t="inlineStr">
        <is>
          <t>2023-01-06</t>
        </is>
      </c>
      <c r="B1624" s="2" t="inlineStr">
        <is>
          <t>2023-02-02</t>
        </is>
      </c>
      <c r="C1624" s="2" t="inlineStr">
        <is>
          <t>棉花</t>
        </is>
      </c>
      <c r="D1624" s="2" t="inlineStr">
        <is>
          <t>CF</t>
        </is>
      </c>
      <c r="E1624" s="19" t="inlineStr">
        <is>
          <t>多</t>
        </is>
      </c>
      <c r="F1624" s="2" t="inlineStr">
        <is>
          <t>★★★</t>
        </is>
      </c>
      <c r="G1624" s="10" t="n">
        <v>7</v>
      </c>
      <c r="H1624" s="11" t="n">
        <v>14360</v>
      </c>
      <c r="I1624" s="11" t="n">
        <v>15105</v>
      </c>
      <c r="J1624" s="10" t="n">
        <v>5</v>
      </c>
      <c r="K1624" s="10" t="n">
        <v>27000</v>
      </c>
      <c r="L1624" s="23">
        <f>IF(E1624="多",1,-1)*(I1624-H1624)*G1624*J1624</f>
        <v/>
      </c>
      <c r="M1624" s="24">
        <f>L1624/K1624</f>
        <v/>
      </c>
      <c r="N1624" s="2" t="inlineStr">
        <is>
          <t>将军撤退</t>
        </is>
      </c>
      <c r="O1624" s="2" t="inlineStr">
        <is>
          <t>否</t>
        </is>
      </c>
    </row>
    <row r="1625">
      <c r="A1625" s="14" t="inlineStr">
        <is>
          <t>2023-01-12</t>
        </is>
      </c>
      <c r="B1625" s="14" t="inlineStr">
        <is>
          <t>2023-01-31</t>
        </is>
      </c>
      <c r="C1625" s="14" t="inlineStr">
        <is>
          <t>沪金</t>
        </is>
      </c>
      <c r="D1625" s="14" t="inlineStr">
        <is>
          <t>AU</t>
        </is>
      </c>
      <c r="E1625" s="14" t="inlineStr">
        <is>
          <t>多</t>
        </is>
      </c>
      <c r="F1625" s="14" t="inlineStr">
        <is>
          <t>★★★</t>
        </is>
      </c>
      <c r="G1625" s="14" t="n">
        <v>1</v>
      </c>
      <c r="H1625" s="15" t="n">
        <v>415.28</v>
      </c>
      <c r="I1625" s="15" t="n">
        <v>419.48</v>
      </c>
      <c r="J1625" s="14" t="n">
        <v>1000</v>
      </c>
      <c r="K1625" s="14" t="n">
        <v>10000</v>
      </c>
      <c r="L1625" s="25">
        <f>IF(E1625="多",1,-1)*(I1625-H1625)*G1625*J1625</f>
        <v/>
      </c>
      <c r="M1625" s="26">
        <f>L1625/K1625</f>
        <v/>
      </c>
      <c r="N1625" s="14" t="inlineStr">
        <is>
          <t>将军撤退</t>
        </is>
      </c>
      <c r="O1625" s="14" t="inlineStr">
        <is>
          <t>是</t>
        </is>
      </c>
    </row>
    <row r="1626">
      <c r="A1626" s="2" t="inlineStr">
        <is>
          <t>2023-01-20</t>
        </is>
      </c>
      <c r="B1626" s="2" t="inlineStr">
        <is>
          <t>2023-01-30</t>
        </is>
      </c>
      <c r="C1626" s="2" t="inlineStr">
        <is>
          <t>玻璃</t>
        </is>
      </c>
      <c r="D1626" s="2" t="inlineStr">
        <is>
          <t>FG</t>
        </is>
      </c>
      <c r="E1626" s="19" t="inlineStr">
        <is>
          <t>多</t>
        </is>
      </c>
      <c r="F1626" s="2" t="inlineStr">
        <is>
          <t>★★★</t>
        </is>
      </c>
      <c r="G1626" s="10" t="n">
        <v>10</v>
      </c>
      <c r="H1626" s="11" t="n">
        <v>1760</v>
      </c>
      <c r="I1626" s="11" t="n">
        <v>1649.43</v>
      </c>
      <c r="J1626" s="10" t="n">
        <v>20</v>
      </c>
      <c r="K1626" s="10" t="n">
        <v>24300</v>
      </c>
      <c r="L1626" s="23">
        <f>IF(E1626="多",1,-1)*(I1626-H1626)*G1626*J1626</f>
        <v/>
      </c>
      <c r="M1626" s="24">
        <f>L1626/K1626</f>
        <v/>
      </c>
      <c r="N1626" s="2" t="inlineStr">
        <is>
          <t>止损</t>
        </is>
      </c>
      <c r="O1626" s="2" t="inlineStr">
        <is>
          <t>否</t>
        </is>
      </c>
    </row>
    <row r="1627">
      <c r="A1627" s="14" t="inlineStr">
        <is>
          <t>2023-01-19</t>
        </is>
      </c>
      <c r="B1627" s="14" t="inlineStr">
        <is>
          <t>2023-01-20</t>
        </is>
      </c>
      <c r="C1627" s="14" t="inlineStr">
        <is>
          <t>PTA</t>
        </is>
      </c>
      <c r="D1627" s="14" t="inlineStr">
        <is>
          <t>TA</t>
        </is>
      </c>
      <c r="E1627" s="14" t="inlineStr">
        <is>
          <t>多</t>
        </is>
      </c>
      <c r="F1627" s="14" t="inlineStr">
        <is>
          <t>★★</t>
        </is>
      </c>
      <c r="G1627" s="14" t="n">
        <v>5</v>
      </c>
      <c r="H1627" s="15" t="n">
        <v>5732</v>
      </c>
      <c r="I1627" s="15" t="n">
        <v>5850</v>
      </c>
      <c r="J1627" s="14" t="n">
        <v>5</v>
      </c>
      <c r="K1627" s="14" t="n">
        <v>10000</v>
      </c>
      <c r="L1627" s="25">
        <f>IF(E1627="多",1,-1)*(I1627-H1627)*G1627*J1627</f>
        <v/>
      </c>
      <c r="M1627" s="26">
        <f>L1627/K1627</f>
        <v/>
      </c>
      <c r="N1627" s="14" t="inlineStr">
        <is>
          <t>将军撤退</t>
        </is>
      </c>
      <c r="O1627" s="14" t="inlineStr">
        <is>
          <t>是</t>
        </is>
      </c>
    </row>
    <row r="1628">
      <c r="A1628" s="2" t="inlineStr">
        <is>
          <t>2023-01-19</t>
        </is>
      </c>
      <c r="B1628" s="2" t="inlineStr">
        <is>
          <t>2023-01-20</t>
        </is>
      </c>
      <c r="C1628" s="2" t="inlineStr">
        <is>
          <t>纯碱</t>
        </is>
      </c>
      <c r="D1628" s="2" t="inlineStr">
        <is>
          <t>SA</t>
        </is>
      </c>
      <c r="E1628" s="19" t="inlineStr">
        <is>
          <t>多</t>
        </is>
      </c>
      <c r="F1628" s="2" t="inlineStr">
        <is>
          <t>★★★</t>
        </is>
      </c>
      <c r="G1628" s="10" t="n">
        <v>6</v>
      </c>
      <c r="H1628" s="11" t="n">
        <v>2996</v>
      </c>
      <c r="I1628" s="11" t="n">
        <v>3022</v>
      </c>
      <c r="J1628" s="10" t="n">
        <v>20</v>
      </c>
      <c r="K1628" s="10" t="n">
        <v>23900</v>
      </c>
      <c r="L1628" s="23">
        <f>IF(E1628="多",1,-1)*(I1628-H1628)*G1628*J1628</f>
        <v/>
      </c>
      <c r="M1628" s="24">
        <f>L1628/K1628</f>
        <v/>
      </c>
      <c r="N1628" s="2" t="inlineStr">
        <is>
          <t>将军撤退</t>
        </is>
      </c>
      <c r="O1628" s="2" t="inlineStr">
        <is>
          <t>否</t>
        </is>
      </c>
    </row>
    <row r="1629">
      <c r="A1629" s="2" t="inlineStr">
        <is>
          <t>2023-01-18</t>
        </is>
      </c>
      <c r="B1629" s="2" t="inlineStr">
        <is>
          <t>2023-01-19</t>
        </is>
      </c>
      <c r="C1629" s="2" t="inlineStr">
        <is>
          <t>玻璃</t>
        </is>
      </c>
      <c r="D1629" s="2" t="inlineStr">
        <is>
          <t>FG</t>
        </is>
      </c>
      <c r="E1629" s="19" t="inlineStr">
        <is>
          <t>多</t>
        </is>
      </c>
      <c r="F1629" s="2" t="inlineStr">
        <is>
          <t>★★★</t>
        </is>
      </c>
      <c r="G1629" s="10" t="n">
        <v>10</v>
      </c>
      <c r="H1629" s="11" t="n">
        <v>1723</v>
      </c>
      <c r="I1629" s="11" t="n">
        <v>1731</v>
      </c>
      <c r="J1629" s="10" t="n">
        <v>20</v>
      </c>
      <c r="K1629" s="10" t="n">
        <v>23100</v>
      </c>
      <c r="L1629" s="23">
        <f>IF(E1629="多",1,-1)*(I1629-H1629)*G1629*J1629</f>
        <v/>
      </c>
      <c r="M1629" s="24">
        <f>L1629/K1629</f>
        <v/>
      </c>
      <c r="N1629" s="2" t="inlineStr">
        <is>
          <t>将军撤退</t>
        </is>
      </c>
      <c r="O1629" s="2" t="inlineStr">
        <is>
          <t>否</t>
        </is>
      </c>
    </row>
    <row r="1630">
      <c r="A1630" s="2" t="inlineStr">
        <is>
          <t>2023-01-13</t>
        </is>
      </c>
      <c r="B1630" s="2" t="inlineStr">
        <is>
          <t>2023-01-19</t>
        </is>
      </c>
      <c r="C1630" s="2" t="inlineStr">
        <is>
          <t>热卷</t>
        </is>
      </c>
      <c r="D1630" s="2" t="inlineStr">
        <is>
          <t>HC</t>
        </is>
      </c>
      <c r="E1630" s="19" t="inlineStr">
        <is>
          <t>多</t>
        </is>
      </c>
      <c r="F1630" s="2" t="inlineStr">
        <is>
          <t>★★★</t>
        </is>
      </c>
      <c r="G1630" s="10" t="n">
        <v>11</v>
      </c>
      <c r="H1630" s="11" t="n">
        <v>4180</v>
      </c>
      <c r="I1630" s="11" t="n">
        <v>4224</v>
      </c>
      <c r="J1630" s="10" t="n">
        <v>10</v>
      </c>
      <c r="K1630" s="10" t="n">
        <v>23700</v>
      </c>
      <c r="L1630" s="23">
        <f>IF(E1630="多",1,-1)*(I1630-H1630)*G1630*J1630</f>
        <v/>
      </c>
      <c r="M1630" s="24">
        <f>L1630/K1630</f>
        <v/>
      </c>
      <c r="N1630" s="2" t="inlineStr">
        <is>
          <t>将军撤退+大将军转向</t>
        </is>
      </c>
      <c r="O1630" s="2" t="inlineStr">
        <is>
          <t>否</t>
        </is>
      </c>
    </row>
    <row r="1631">
      <c r="A1631" s="14" t="inlineStr">
        <is>
          <t>2023-01-09</t>
        </is>
      </c>
      <c r="B1631" s="14" t="inlineStr">
        <is>
          <t>2023-01-19</t>
        </is>
      </c>
      <c r="C1631" s="14" t="inlineStr">
        <is>
          <t>甲醇</t>
        </is>
      </c>
      <c r="D1631" s="14" t="inlineStr">
        <is>
          <t>MA</t>
        </is>
      </c>
      <c r="E1631" s="14" t="inlineStr">
        <is>
          <t>空</t>
        </is>
      </c>
      <c r="F1631" s="14" t="inlineStr">
        <is>
          <t>★★</t>
        </is>
      </c>
      <c r="G1631" s="14" t="n">
        <v>6</v>
      </c>
      <c r="H1631" s="15" t="n">
        <v>2605</v>
      </c>
      <c r="I1631" s="15" t="n">
        <v>2727.14</v>
      </c>
      <c r="J1631" s="14" t="n">
        <v>10</v>
      </c>
      <c r="K1631" s="14" t="n">
        <v>10000</v>
      </c>
      <c r="L1631" s="25">
        <f>IF(E1631="多",1,-1)*(I1631-H1631)*G1631*J1631</f>
        <v/>
      </c>
      <c r="M1631" s="26">
        <f>L1631/K1631</f>
        <v/>
      </c>
      <c r="N1631" s="14" t="inlineStr">
        <is>
          <t>止损</t>
        </is>
      </c>
      <c r="O1631" s="14" t="inlineStr">
        <is>
          <t>是</t>
        </is>
      </c>
    </row>
    <row r="1632">
      <c r="A1632" s="14" t="inlineStr">
        <is>
          <t>2023-01-12</t>
        </is>
      </c>
      <c r="B1632" s="14" t="inlineStr">
        <is>
          <t>2023-01-18</t>
        </is>
      </c>
      <c r="C1632" s="14" t="inlineStr">
        <is>
          <t>沪铝</t>
        </is>
      </c>
      <c r="D1632" s="14" t="inlineStr">
        <is>
          <t>AL</t>
        </is>
      </c>
      <c r="E1632" s="14" t="inlineStr">
        <is>
          <t>多</t>
        </is>
      </c>
      <c r="F1632" s="14" t="inlineStr">
        <is>
          <t>★★</t>
        </is>
      </c>
      <c r="G1632" s="14" t="n">
        <v>2</v>
      </c>
      <c r="H1632" s="15" t="n">
        <v>18345</v>
      </c>
      <c r="I1632" s="15" t="n">
        <v>19010</v>
      </c>
      <c r="J1632" s="14" t="n">
        <v>5</v>
      </c>
      <c r="K1632" s="14" t="n">
        <v>10000</v>
      </c>
      <c r="L1632" s="25">
        <f>IF(E1632="多",1,-1)*(I1632-H1632)*G1632*J1632</f>
        <v/>
      </c>
      <c r="M1632" s="26">
        <f>L1632/K1632</f>
        <v/>
      </c>
      <c r="N1632" s="14" t="inlineStr">
        <is>
          <t>大将军转向</t>
        </is>
      </c>
      <c r="O1632" s="14" t="inlineStr">
        <is>
          <t>是</t>
        </is>
      </c>
    </row>
    <row r="1633">
      <c r="A1633" s="2" t="inlineStr">
        <is>
          <t>2023-01-13</t>
        </is>
      </c>
      <c r="B1633" s="2" t="inlineStr">
        <is>
          <t>2023-01-16</t>
        </is>
      </c>
      <c r="C1633" s="2" t="inlineStr">
        <is>
          <t>菜粕</t>
        </is>
      </c>
      <c r="D1633" s="2" t="inlineStr">
        <is>
          <t>RM</t>
        </is>
      </c>
      <c r="E1633" s="19" t="inlineStr">
        <is>
          <t>多</t>
        </is>
      </c>
      <c r="F1633" s="2" t="inlineStr">
        <is>
          <t>★★★</t>
        </is>
      </c>
      <c r="G1633" s="10" t="n">
        <v>12</v>
      </c>
      <c r="H1633" s="11" t="n">
        <v>3227</v>
      </c>
      <c r="I1633" s="11" t="n">
        <v>3210</v>
      </c>
      <c r="J1633" s="10" t="n">
        <v>10</v>
      </c>
      <c r="K1633" s="10" t="n">
        <v>23700</v>
      </c>
      <c r="L1633" s="23">
        <f>IF(E1633="多",1,-1)*(I1633-H1633)*G1633*J1633</f>
        <v/>
      </c>
      <c r="M1633" s="24">
        <f>L1633/K1633</f>
        <v/>
      </c>
      <c r="N1633" s="2" t="inlineStr">
        <is>
          <t>大将军转向</t>
        </is>
      </c>
      <c r="O1633" s="2" t="inlineStr">
        <is>
          <t>否</t>
        </is>
      </c>
    </row>
    <row r="1634">
      <c r="A1634" s="2" t="inlineStr">
        <is>
          <t>2023-01-13</t>
        </is>
      </c>
      <c r="B1634" s="2" t="inlineStr">
        <is>
          <t>2023-01-16</t>
        </is>
      </c>
      <c r="C1634" s="2" t="inlineStr">
        <is>
          <t>沥青</t>
        </is>
      </c>
      <c r="D1634" s="2" t="inlineStr">
        <is>
          <t>BU</t>
        </is>
      </c>
      <c r="E1634" s="19" t="inlineStr">
        <is>
          <t>多</t>
        </is>
      </c>
      <c r="F1634" s="2" t="inlineStr">
        <is>
          <t>★★★</t>
        </is>
      </c>
      <c r="G1634" s="10" t="n">
        <v>9</v>
      </c>
      <c r="H1634" s="11" t="n">
        <v>3807</v>
      </c>
      <c r="I1634" s="11" t="n">
        <v>3789</v>
      </c>
      <c r="J1634" s="10" t="n">
        <v>10</v>
      </c>
      <c r="K1634" s="10" t="n">
        <v>23700</v>
      </c>
      <c r="L1634" s="23">
        <f>IF(E1634="多",1,-1)*(I1634-H1634)*G1634*J1634</f>
        <v/>
      </c>
      <c r="M1634" s="24">
        <f>L1634/K1634</f>
        <v/>
      </c>
      <c r="N1634" s="2" t="inlineStr">
        <is>
          <t>将军撤退+大将军转向</t>
        </is>
      </c>
      <c r="O1634" s="2" t="inlineStr">
        <is>
          <t>否</t>
        </is>
      </c>
    </row>
    <row r="1635">
      <c r="A1635" s="2" t="inlineStr">
        <is>
          <t>2023-01-12</t>
        </is>
      </c>
      <c r="B1635" s="2" t="inlineStr">
        <is>
          <t>2023-01-13</t>
        </is>
      </c>
      <c r="C1635" s="2" t="inlineStr">
        <is>
          <t>沪铜</t>
        </is>
      </c>
      <c r="D1635" s="2" t="inlineStr">
        <is>
          <t>CU</t>
        </is>
      </c>
      <c r="E1635" s="19" t="inlineStr">
        <is>
          <t>多</t>
        </is>
      </c>
      <c r="F1635" s="2" t="inlineStr">
        <is>
          <t>★★★</t>
        </is>
      </c>
      <c r="G1635" s="10" t="n">
        <v>1</v>
      </c>
      <c r="H1635" s="11" t="n">
        <v>68680</v>
      </c>
      <c r="I1635" s="11" t="n">
        <v>68630</v>
      </c>
      <c r="J1635" s="10" t="n">
        <v>5</v>
      </c>
      <c r="K1635" s="10" t="n">
        <v>23900</v>
      </c>
      <c r="L1635" s="23">
        <f>IF(E1635="多",1,-1)*(I1635-H1635)*G1635*J1635</f>
        <v/>
      </c>
      <c r="M1635" s="24">
        <f>L1635/K1635</f>
        <v/>
      </c>
      <c r="N1635" s="2" t="inlineStr">
        <is>
          <t>将军撤退</t>
        </is>
      </c>
      <c r="O1635" s="2" t="inlineStr">
        <is>
          <t>否</t>
        </is>
      </c>
    </row>
    <row r="1636">
      <c r="A1636" s="14" t="inlineStr">
        <is>
          <t>2023-01-03</t>
        </is>
      </c>
      <c r="B1636" s="14" t="inlineStr">
        <is>
          <t>2023-01-13</t>
        </is>
      </c>
      <c r="C1636" s="14" t="inlineStr">
        <is>
          <t>白糖</t>
        </is>
      </c>
      <c r="D1636" s="14" t="inlineStr">
        <is>
          <t>SR</t>
        </is>
      </c>
      <c r="E1636" s="14" t="inlineStr">
        <is>
          <t>多</t>
        </is>
      </c>
      <c r="F1636" s="14" t="inlineStr">
        <is>
          <t>★★</t>
        </is>
      </c>
      <c r="G1636" s="14" t="n">
        <v>5</v>
      </c>
      <c r="H1636" s="15" t="n">
        <v>5768</v>
      </c>
      <c r="I1636" s="15" t="n">
        <v>5594.71</v>
      </c>
      <c r="J1636" s="14" t="n">
        <v>10</v>
      </c>
      <c r="K1636" s="14" t="n">
        <v>10000</v>
      </c>
      <c r="L1636" s="25">
        <f>IF(E1636="多",1,-1)*(I1636-H1636)*G1636*J1636</f>
        <v/>
      </c>
      <c r="M1636" s="26">
        <f>L1636/K1636</f>
        <v/>
      </c>
      <c r="N1636" s="14" t="inlineStr">
        <is>
          <t>止损</t>
        </is>
      </c>
      <c r="O1636" s="14" t="inlineStr">
        <is>
          <t>是</t>
        </is>
      </c>
    </row>
    <row r="1637">
      <c r="A1637" s="14" t="inlineStr">
        <is>
          <t>2022-12-22</t>
        </is>
      </c>
      <c r="B1637" s="14" t="inlineStr">
        <is>
          <t>2023-01-13</t>
        </is>
      </c>
      <c r="C1637" s="14" t="inlineStr">
        <is>
          <t>沪锌</t>
        </is>
      </c>
      <c r="D1637" s="14" t="inlineStr">
        <is>
          <t>ZN</t>
        </is>
      </c>
      <c r="E1637" s="14" t="inlineStr">
        <is>
          <t>空</t>
        </is>
      </c>
      <c r="F1637" s="14" t="inlineStr">
        <is>
          <t>★★</t>
        </is>
      </c>
      <c r="G1637" s="14" t="n">
        <v>1</v>
      </c>
      <c r="H1637" s="15" t="n">
        <v>23255</v>
      </c>
      <c r="I1637" s="15" t="n">
        <v>24000.36</v>
      </c>
      <c r="J1637" s="14" t="n">
        <v>5</v>
      </c>
      <c r="K1637" s="14" t="n">
        <v>10000</v>
      </c>
      <c r="L1637" s="25">
        <f>IF(E1637="多",1,-1)*(I1637-H1637)*G1637*J1637</f>
        <v/>
      </c>
      <c r="M1637" s="26">
        <f>L1637/K1637</f>
        <v/>
      </c>
      <c r="N1637" s="14" t="inlineStr">
        <is>
          <t>止损</t>
        </is>
      </c>
      <c r="O1637" s="14" t="inlineStr">
        <is>
          <t>是</t>
        </is>
      </c>
    </row>
    <row r="1638">
      <c r="A1638" s="2" t="inlineStr">
        <is>
          <t>2023-01-09</t>
        </is>
      </c>
      <c r="B1638" s="2" t="inlineStr">
        <is>
          <t>2023-01-10</t>
        </is>
      </c>
      <c r="C1638" s="2" t="inlineStr">
        <is>
          <t>玻璃</t>
        </is>
      </c>
      <c r="D1638" s="2" t="inlineStr">
        <is>
          <t>FG</t>
        </is>
      </c>
      <c r="E1638" s="19" t="inlineStr">
        <is>
          <t>多</t>
        </is>
      </c>
      <c r="F1638" s="2" t="inlineStr">
        <is>
          <t>★★★</t>
        </is>
      </c>
      <c r="G1638" s="10" t="n">
        <v>12</v>
      </c>
      <c r="H1638" s="11" t="n">
        <v>1680</v>
      </c>
      <c r="I1638" s="11" t="n">
        <v>1654</v>
      </c>
      <c r="J1638" s="10" t="n">
        <v>20</v>
      </c>
      <c r="K1638" s="10" t="n">
        <v>27400</v>
      </c>
      <c r="L1638" s="23">
        <f>IF(E1638="多",1,-1)*(I1638-H1638)*G1638*J1638</f>
        <v/>
      </c>
      <c r="M1638" s="24">
        <f>L1638/K1638</f>
        <v/>
      </c>
      <c r="N1638" s="2" t="inlineStr">
        <is>
          <t>将军撤退+大将军转向</t>
        </is>
      </c>
      <c r="O1638" s="2" t="inlineStr">
        <is>
          <t>否</t>
        </is>
      </c>
    </row>
    <row r="1639">
      <c r="A1639" s="2" t="inlineStr">
        <is>
          <t>2022-12-15</t>
        </is>
      </c>
      <c r="B1639" s="2" t="inlineStr">
        <is>
          <t>2023-01-10</t>
        </is>
      </c>
      <c r="C1639" s="2" t="inlineStr">
        <is>
          <t>塑料</t>
        </is>
      </c>
      <c r="D1639" s="2" t="inlineStr">
        <is>
          <t>L</t>
        </is>
      </c>
      <c r="E1639" s="19" t="inlineStr">
        <is>
          <t>多</t>
        </is>
      </c>
      <c r="F1639" s="2" t="inlineStr">
        <is>
          <t>★★★</t>
        </is>
      </c>
      <c r="G1639" s="10" t="n">
        <v>16</v>
      </c>
      <c r="H1639" s="11" t="n">
        <v>8270</v>
      </c>
      <c r="I1639" s="11" t="n">
        <v>7931</v>
      </c>
      <c r="J1639" s="10" t="n">
        <v>5</v>
      </c>
      <c r="K1639" s="10" t="n">
        <v>30000</v>
      </c>
      <c r="L1639" s="23">
        <f>IF(E1639="多",1,-1)*(I1639-H1639)*G1639*J1639</f>
        <v/>
      </c>
      <c r="M1639" s="24">
        <f>L1639/K1639</f>
        <v/>
      </c>
      <c r="N1639" s="2" t="inlineStr">
        <is>
          <t>止损</t>
        </is>
      </c>
      <c r="O1639" s="2" t="inlineStr">
        <is>
          <t>否</t>
        </is>
      </c>
    </row>
    <row r="1640">
      <c r="A1640" s="14" t="inlineStr">
        <is>
          <t>2023-01-04</t>
        </is>
      </c>
      <c r="B1640" s="14" t="inlineStr">
        <is>
          <t>2023-01-09</t>
        </is>
      </c>
      <c r="C1640" s="14" t="inlineStr">
        <is>
          <t>纯碱</t>
        </is>
      </c>
      <c r="D1640" s="14" t="inlineStr">
        <is>
          <t>SA</t>
        </is>
      </c>
      <c r="E1640" s="14" t="inlineStr">
        <is>
          <t>多</t>
        </is>
      </c>
      <c r="F1640" s="14" t="inlineStr">
        <is>
          <t>★★★</t>
        </is>
      </c>
      <c r="G1640" s="14" t="n">
        <v>2</v>
      </c>
      <c r="H1640" s="15" t="n">
        <v>2764</v>
      </c>
      <c r="I1640" s="15" t="n">
        <v>2793</v>
      </c>
      <c r="J1640" s="14" t="n">
        <v>20</v>
      </c>
      <c r="K1640" s="14" t="n">
        <v>10000</v>
      </c>
      <c r="L1640" s="25">
        <f>IF(E1640="多",1,-1)*(I1640-H1640)*G1640*J1640</f>
        <v/>
      </c>
      <c r="M1640" s="26">
        <f>L1640/K1640</f>
        <v/>
      </c>
      <c r="N1640" s="14" t="inlineStr">
        <is>
          <t>将军撤退+大将军转向</t>
        </is>
      </c>
      <c r="O1640" s="14" t="inlineStr">
        <is>
          <t>是</t>
        </is>
      </c>
    </row>
    <row r="1641">
      <c r="A1641" s="2" t="inlineStr">
        <is>
          <t>2022-12-30</t>
        </is>
      </c>
      <c r="B1641" s="2" t="inlineStr">
        <is>
          <t>2023-01-06</t>
        </is>
      </c>
      <c r="C1641" s="2" t="inlineStr">
        <is>
          <t>沪镍</t>
        </is>
      </c>
      <c r="D1641" s="2" t="inlineStr">
        <is>
          <t>NI</t>
        </is>
      </c>
      <c r="E1641" s="19" t="inlineStr">
        <is>
          <t>多</t>
        </is>
      </c>
      <c r="F1641" s="2" t="inlineStr">
        <is>
          <t>★★★</t>
        </is>
      </c>
      <c r="G1641" s="10" t="n">
        <v>1</v>
      </c>
      <c r="H1641" s="11" t="n">
        <v>229800</v>
      </c>
      <c r="I1641" s="11" t="n">
        <v>215569.29</v>
      </c>
      <c r="J1641" s="10" t="n">
        <v>1</v>
      </c>
      <c r="K1641" s="10" t="n">
        <v>29700</v>
      </c>
      <c r="L1641" s="23">
        <f>IF(E1641="多",1,-1)*(I1641-H1641)*G1641*J1641</f>
        <v/>
      </c>
      <c r="M1641" s="24">
        <f>L1641/K1641</f>
        <v/>
      </c>
      <c r="N1641" s="2" t="inlineStr">
        <is>
          <t>止损</t>
        </is>
      </c>
      <c r="O1641" s="2" t="inlineStr">
        <is>
          <t>否</t>
        </is>
      </c>
    </row>
    <row r="1642">
      <c r="A1642" s="2" t="inlineStr">
        <is>
          <t>2022-12-30</t>
        </is>
      </c>
      <c r="B1642" s="2" t="inlineStr">
        <is>
          <t>2023-01-06</t>
        </is>
      </c>
      <c r="C1642" s="2" t="inlineStr">
        <is>
          <t>玻璃</t>
        </is>
      </c>
      <c r="D1642" s="2" t="inlineStr">
        <is>
          <t>FG</t>
        </is>
      </c>
      <c r="E1642" s="19" t="inlineStr">
        <is>
          <t>多</t>
        </is>
      </c>
      <c r="F1642" s="2" t="inlineStr">
        <is>
          <t>★★★</t>
        </is>
      </c>
      <c r="G1642" s="10" t="n">
        <v>4</v>
      </c>
      <c r="H1642" s="11" t="n">
        <v>1654</v>
      </c>
      <c r="I1642" s="11" t="n">
        <v>1692</v>
      </c>
      <c r="J1642" s="10" t="n">
        <v>20</v>
      </c>
      <c r="K1642" s="10" t="n">
        <v>10600</v>
      </c>
      <c r="L1642" s="23">
        <f>IF(E1642="多",1,-1)*(I1642-H1642)*G1642*J1642</f>
        <v/>
      </c>
      <c r="M1642" s="24">
        <f>L1642/K1642</f>
        <v/>
      </c>
      <c r="N1642" s="2" t="inlineStr">
        <is>
          <t>大将军转向</t>
        </is>
      </c>
      <c r="O1642" s="2" t="inlineStr">
        <is>
          <t>否</t>
        </is>
      </c>
    </row>
    <row r="1643">
      <c r="A1643" s="14" t="inlineStr">
        <is>
          <t>2022-12-29</t>
        </is>
      </c>
      <c r="B1643" s="14" t="inlineStr">
        <is>
          <t>2023-01-06</t>
        </is>
      </c>
      <c r="C1643" s="14" t="inlineStr">
        <is>
          <t>豆粕</t>
        </is>
      </c>
      <c r="D1643" s="14" t="inlineStr">
        <is>
          <t>M</t>
        </is>
      </c>
      <c r="E1643" s="14" t="inlineStr">
        <is>
          <t>多</t>
        </is>
      </c>
      <c r="F1643" s="14" t="inlineStr">
        <is>
          <t>★★</t>
        </is>
      </c>
      <c r="G1643" s="14" t="n">
        <v>5</v>
      </c>
      <c r="H1643" s="15" t="n">
        <v>3870</v>
      </c>
      <c r="I1643" s="15" t="n">
        <v>3785.07</v>
      </c>
      <c r="J1643" s="14" t="n">
        <v>10</v>
      </c>
      <c r="K1643" s="14" t="n">
        <v>10000</v>
      </c>
      <c r="L1643" s="25">
        <f>IF(E1643="多",1,-1)*(I1643-H1643)*G1643*J1643</f>
        <v/>
      </c>
      <c r="M1643" s="26">
        <f>L1643/K1643</f>
        <v/>
      </c>
      <c r="N1643" s="14" t="inlineStr">
        <is>
          <t>止损</t>
        </is>
      </c>
      <c r="O1643" s="14" t="inlineStr">
        <is>
          <t>是</t>
        </is>
      </c>
    </row>
    <row r="1644">
      <c r="A1644" s="2" t="inlineStr">
        <is>
          <t>2022-12-30</t>
        </is>
      </c>
      <c r="B1644" s="2" t="inlineStr">
        <is>
          <t>2023-01-05</t>
        </is>
      </c>
      <c r="C1644" s="2" t="inlineStr">
        <is>
          <t>菜粕</t>
        </is>
      </c>
      <c r="D1644" s="2" t="inlineStr">
        <is>
          <t>RM</t>
        </is>
      </c>
      <c r="E1644" s="19" t="inlineStr">
        <is>
          <t>多</t>
        </is>
      </c>
      <c r="F1644" s="2" t="inlineStr">
        <is>
          <t>★★★</t>
        </is>
      </c>
      <c r="G1644" s="10" t="n">
        <v>16</v>
      </c>
      <c r="H1644" s="11" t="n">
        <v>3231</v>
      </c>
      <c r="I1644" s="11" t="n">
        <v>3158</v>
      </c>
      <c r="J1644" s="10" t="n">
        <v>10</v>
      </c>
      <c r="K1644" s="10" t="n">
        <v>29700</v>
      </c>
      <c r="L1644" s="23">
        <f>IF(E1644="多",1,-1)*(I1644-H1644)*G1644*J1644</f>
        <v/>
      </c>
      <c r="M1644" s="24">
        <f>L1644/K1644</f>
        <v/>
      </c>
      <c r="N1644" s="2" t="inlineStr">
        <is>
          <t>将军撤退</t>
        </is>
      </c>
      <c r="O1644" s="2" t="inlineStr">
        <is>
          <t>否</t>
        </is>
      </c>
    </row>
    <row r="1645">
      <c r="A1645" s="14" t="inlineStr">
        <is>
          <t>2022-12-29</t>
        </is>
      </c>
      <c r="B1645" s="14" t="inlineStr">
        <is>
          <t>2023-01-05</t>
        </is>
      </c>
      <c r="C1645" s="14" t="inlineStr">
        <is>
          <t>沥青</t>
        </is>
      </c>
      <c r="D1645" s="14" t="inlineStr">
        <is>
          <t>BU</t>
        </is>
      </c>
      <c r="E1645" s="14" t="inlineStr">
        <is>
          <t>多</t>
        </is>
      </c>
      <c r="F1645" s="14" t="inlineStr">
        <is>
          <t>★★★</t>
        </is>
      </c>
      <c r="G1645" s="14" t="n">
        <v>4</v>
      </c>
      <c r="H1645" s="15" t="n">
        <v>3830</v>
      </c>
      <c r="I1645" s="15" t="n">
        <v>3758</v>
      </c>
      <c r="J1645" s="14" t="n">
        <v>10</v>
      </c>
      <c r="K1645" s="14" t="n">
        <v>10000</v>
      </c>
      <c r="L1645" s="25">
        <f>IF(E1645="多",1,-1)*(I1645-H1645)*G1645*J1645</f>
        <v/>
      </c>
      <c r="M1645" s="26">
        <f>L1645/K1645</f>
        <v/>
      </c>
      <c r="N1645" s="14" t="inlineStr">
        <is>
          <t>将军撤退+大将军转向</t>
        </is>
      </c>
      <c r="O1645" s="14" t="inlineStr">
        <is>
          <t>是</t>
        </is>
      </c>
    </row>
    <row r="1646">
      <c r="A1646" s="14" t="inlineStr">
        <is>
          <t>2022-12-21</t>
        </is>
      </c>
      <c r="B1646" s="14" t="inlineStr">
        <is>
          <t>2023-01-05</t>
        </is>
      </c>
      <c r="C1646" s="14" t="inlineStr">
        <is>
          <t>PTA</t>
        </is>
      </c>
      <c r="D1646" s="14" t="inlineStr">
        <is>
          <t>TA</t>
        </is>
      </c>
      <c r="E1646" s="14" t="inlineStr">
        <is>
          <t>多</t>
        </is>
      </c>
      <c r="F1646" s="14" t="inlineStr">
        <is>
          <t>★★</t>
        </is>
      </c>
      <c r="G1646" s="14" t="n">
        <v>5</v>
      </c>
      <c r="H1646" s="15" t="n">
        <v>5450</v>
      </c>
      <c r="I1646" s="15" t="n">
        <v>5296</v>
      </c>
      <c r="J1646" s="14" t="n">
        <v>5</v>
      </c>
      <c r="K1646" s="14" t="n">
        <v>10000</v>
      </c>
      <c r="L1646" s="25">
        <f>IF(E1646="多",1,-1)*(I1646-H1646)*G1646*J1646</f>
        <v/>
      </c>
      <c r="M1646" s="26">
        <f>L1646/K1646</f>
        <v/>
      </c>
      <c r="N1646" s="14" t="inlineStr">
        <is>
          <t>大将军转向</t>
        </is>
      </c>
      <c r="O1646" s="14" t="inlineStr">
        <is>
          <t>是</t>
        </is>
      </c>
    </row>
    <row r="1647">
      <c r="A1647" s="14" t="inlineStr">
        <is>
          <t>2022-12-28</t>
        </is>
      </c>
      <c r="B1647" s="14" t="inlineStr">
        <is>
          <t>2023-01-04</t>
        </is>
      </c>
      <c r="C1647" s="14" t="inlineStr">
        <is>
          <t>棉花</t>
        </is>
      </c>
      <c r="D1647" s="14" t="inlineStr">
        <is>
          <t>CF</t>
        </is>
      </c>
      <c r="E1647" s="14" t="inlineStr">
        <is>
          <t>多</t>
        </is>
      </c>
      <c r="F1647" s="14" t="inlineStr">
        <is>
          <t>★★★</t>
        </is>
      </c>
      <c r="G1647" s="14" t="n">
        <v>2</v>
      </c>
      <c r="H1647" s="15" t="n">
        <v>14200</v>
      </c>
      <c r="I1647" s="15" t="n">
        <v>14305</v>
      </c>
      <c r="J1647" s="14" t="n">
        <v>5</v>
      </c>
      <c r="K1647" s="14" t="n">
        <v>10000</v>
      </c>
      <c r="L1647" s="25">
        <f>IF(E1647="多",1,-1)*(I1647-H1647)*G1647*J1647</f>
        <v/>
      </c>
      <c r="M1647" s="26">
        <f>L1647/K1647</f>
        <v/>
      </c>
      <c r="N1647" s="14" t="inlineStr">
        <is>
          <t>将军撤退+大将军转向</t>
        </is>
      </c>
      <c r="O1647" s="14" t="inlineStr">
        <is>
          <t>是</t>
        </is>
      </c>
    </row>
    <row r="1648">
      <c r="A1648" s="14" t="inlineStr">
        <is>
          <t>2022-12-28</t>
        </is>
      </c>
      <c r="B1648" s="14" t="inlineStr">
        <is>
          <t>2022-12-29</t>
        </is>
      </c>
      <c r="C1648" s="14" t="inlineStr">
        <is>
          <t>纯碱</t>
        </is>
      </c>
      <c r="D1648" s="14" t="inlineStr">
        <is>
          <t>SA</t>
        </is>
      </c>
      <c r="E1648" s="14" t="inlineStr">
        <is>
          <t>多</t>
        </is>
      </c>
      <c r="F1648" s="14" t="inlineStr">
        <is>
          <t>★★</t>
        </is>
      </c>
      <c r="G1648" s="14" t="n">
        <v>2</v>
      </c>
      <c r="H1648" s="15" t="n">
        <v>2725</v>
      </c>
      <c r="I1648" s="15" t="n">
        <v>2708</v>
      </c>
      <c r="J1648" s="14" t="n">
        <v>20</v>
      </c>
      <c r="K1648" s="14" t="n">
        <v>10000</v>
      </c>
      <c r="L1648" s="25">
        <f>IF(E1648="多",1,-1)*(I1648-H1648)*G1648*J1648</f>
        <v/>
      </c>
      <c r="M1648" s="26">
        <f>L1648/K1648</f>
        <v/>
      </c>
      <c r="N1648" s="14" t="inlineStr">
        <is>
          <t>将军撤退+大将军转向</t>
        </is>
      </c>
      <c r="O1648" s="14" t="inlineStr">
        <is>
          <t>是</t>
        </is>
      </c>
    </row>
    <row r="1649">
      <c r="A1649" s="2" t="inlineStr">
        <is>
          <t>2022-12-27</t>
        </is>
      </c>
      <c r="B1649" s="2" t="inlineStr">
        <is>
          <t>2022-12-29</t>
        </is>
      </c>
      <c r="C1649" s="2" t="inlineStr">
        <is>
          <t>菜粕</t>
        </is>
      </c>
      <c r="D1649" s="2" t="inlineStr">
        <is>
          <t>RM</t>
        </is>
      </c>
      <c r="E1649" s="19" t="inlineStr">
        <is>
          <t>多</t>
        </is>
      </c>
      <c r="F1649" s="2" t="inlineStr">
        <is>
          <t>★★★</t>
        </is>
      </c>
      <c r="G1649" s="10" t="n">
        <v>5</v>
      </c>
      <c r="H1649" s="11" t="n">
        <v>3157</v>
      </c>
      <c r="I1649" s="11" t="n">
        <v>3153</v>
      </c>
      <c r="J1649" s="10" t="n">
        <v>10</v>
      </c>
      <c r="K1649" s="10" t="n">
        <v>10200</v>
      </c>
      <c r="L1649" s="23">
        <f>IF(E1649="多",1,-1)*(I1649-H1649)*G1649*J1649</f>
        <v/>
      </c>
      <c r="M1649" s="24">
        <f>L1649/K1649</f>
        <v/>
      </c>
      <c r="N1649" s="2" t="inlineStr">
        <is>
          <t>大将军转向</t>
        </is>
      </c>
      <c r="O1649" s="2" t="inlineStr">
        <is>
          <t>否</t>
        </is>
      </c>
    </row>
    <row r="1650">
      <c r="A1650" s="2" t="inlineStr">
        <is>
          <t>2022-12-22</t>
        </is>
      </c>
      <c r="B1650" s="2" t="inlineStr">
        <is>
          <t>2022-12-29</t>
        </is>
      </c>
      <c r="C1650" s="2" t="inlineStr">
        <is>
          <t>棕榈油</t>
        </is>
      </c>
      <c r="D1650" s="2" t="inlineStr">
        <is>
          <t>P</t>
        </is>
      </c>
      <c r="E1650" s="9" t="inlineStr">
        <is>
          <t>空</t>
        </is>
      </c>
      <c r="F1650" s="2" t="inlineStr">
        <is>
          <t>★★★</t>
        </is>
      </c>
      <c r="G1650" s="10" t="n">
        <v>3</v>
      </c>
      <c r="H1650" s="11" t="n">
        <v>7686</v>
      </c>
      <c r="I1650" s="11" t="n">
        <v>8146</v>
      </c>
      <c r="J1650" s="10" t="n">
        <v>10</v>
      </c>
      <c r="K1650" s="10" t="n">
        <v>29800</v>
      </c>
      <c r="L1650" s="23">
        <f>IF(E1650="多",1,-1)*(I1650-H1650)*G1650*J1650</f>
        <v/>
      </c>
      <c r="M1650" s="24">
        <f>L1650/K1650</f>
        <v/>
      </c>
      <c r="N1650" s="2" t="inlineStr">
        <is>
          <t>大将军转向</t>
        </is>
      </c>
      <c r="O1650" s="2" t="inlineStr">
        <is>
          <t>否</t>
        </is>
      </c>
    </row>
    <row r="1651">
      <c r="A1651" s="2" t="inlineStr">
        <is>
          <t>2022-12-22</t>
        </is>
      </c>
      <c r="B1651" s="2" t="inlineStr">
        <is>
          <t>2022-12-29</t>
        </is>
      </c>
      <c r="C1651" s="2" t="inlineStr">
        <is>
          <t>沪镍</t>
        </is>
      </c>
      <c r="D1651" s="2" t="inlineStr">
        <is>
          <t>NI</t>
        </is>
      </c>
      <c r="E1651" s="19" t="inlineStr">
        <is>
          <t>多</t>
        </is>
      </c>
      <c r="F1651" s="2" t="inlineStr">
        <is>
          <t>★★★</t>
        </is>
      </c>
      <c r="G1651" s="10" t="n">
        <v>1</v>
      </c>
      <c r="H1651" s="11" t="n">
        <v>215950</v>
      </c>
      <c r="I1651" s="11" t="n">
        <v>228890</v>
      </c>
      <c r="J1651" s="10" t="n">
        <v>1</v>
      </c>
      <c r="K1651" s="10" t="n">
        <v>30000</v>
      </c>
      <c r="L1651" s="23">
        <f>IF(E1651="多",1,-1)*(I1651-H1651)*G1651*J1651</f>
        <v/>
      </c>
      <c r="M1651" s="24">
        <f>L1651/K1651</f>
        <v/>
      </c>
      <c r="N1651" s="2" t="inlineStr">
        <is>
          <t>大将军转向</t>
        </is>
      </c>
      <c r="O1651" s="2" t="inlineStr">
        <is>
          <t>否</t>
        </is>
      </c>
    </row>
    <row r="1652">
      <c r="A1652" s="14" t="inlineStr">
        <is>
          <t>2022-12-22</t>
        </is>
      </c>
      <c r="B1652" s="14" t="inlineStr">
        <is>
          <t>2022-12-28</t>
        </is>
      </c>
      <c r="C1652" s="14" t="inlineStr">
        <is>
          <t>白糖</t>
        </is>
      </c>
      <c r="D1652" s="14" t="inlineStr">
        <is>
          <t>SR</t>
        </is>
      </c>
      <c r="E1652" s="14" t="inlineStr">
        <is>
          <t>多</t>
        </is>
      </c>
      <c r="F1652" s="14" t="inlineStr">
        <is>
          <t>★★★</t>
        </is>
      </c>
      <c r="G1652" s="14" t="n">
        <v>5</v>
      </c>
      <c r="H1652" s="15" t="n">
        <v>5754</v>
      </c>
      <c r="I1652" s="15" t="n">
        <v>5731</v>
      </c>
      <c r="J1652" s="14" t="n">
        <v>10</v>
      </c>
      <c r="K1652" s="14" t="n">
        <v>10000</v>
      </c>
      <c r="L1652" s="25">
        <f>IF(E1652="多",1,-1)*(I1652-H1652)*G1652*J1652</f>
        <v/>
      </c>
      <c r="M1652" s="26">
        <f>L1652/K1652</f>
        <v/>
      </c>
      <c r="N1652" s="14" t="inlineStr">
        <is>
          <t>将军撤退</t>
        </is>
      </c>
      <c r="O1652" s="14" t="inlineStr">
        <is>
          <t>是</t>
        </is>
      </c>
    </row>
    <row r="1653">
      <c r="A1653" s="14" t="inlineStr">
        <is>
          <t>2022-12-19</t>
        </is>
      </c>
      <c r="B1653" s="14" t="inlineStr">
        <is>
          <t>2022-12-28</t>
        </is>
      </c>
      <c r="C1653" s="14" t="inlineStr">
        <is>
          <t>玉米</t>
        </is>
      </c>
      <c r="D1653" s="14" t="inlineStr">
        <is>
          <t>C</t>
        </is>
      </c>
      <c r="E1653" s="14" t="inlineStr">
        <is>
          <t>空</t>
        </is>
      </c>
      <c r="F1653" s="14" t="inlineStr">
        <is>
          <t>★★★</t>
        </is>
      </c>
      <c r="G1653" s="14" t="n">
        <v>10</v>
      </c>
      <c r="H1653" s="15" t="n">
        <v>2793</v>
      </c>
      <c r="I1653" s="15" t="n">
        <v>2814.07</v>
      </c>
      <c r="J1653" s="14" t="n">
        <v>10</v>
      </c>
      <c r="K1653" s="14" t="n">
        <v>10000</v>
      </c>
      <c r="L1653" s="25">
        <f>IF(E1653="多",1,-1)*(I1653-H1653)*G1653*J1653</f>
        <v/>
      </c>
      <c r="M1653" s="26">
        <f>L1653/K1653</f>
        <v/>
      </c>
      <c r="N1653" s="14" t="inlineStr">
        <is>
          <t>止损</t>
        </is>
      </c>
      <c r="O1653" s="14" t="inlineStr">
        <is>
          <t>是</t>
        </is>
      </c>
    </row>
    <row r="1654">
      <c r="A1654" s="2" t="inlineStr">
        <is>
          <t>2022-12-21</t>
        </is>
      </c>
      <c r="B1654" s="2" t="inlineStr">
        <is>
          <t>2022-12-27</t>
        </is>
      </c>
      <c r="C1654" s="2" t="inlineStr">
        <is>
          <t>螺纹钢</t>
        </is>
      </c>
      <c r="D1654" s="2" t="inlineStr">
        <is>
          <t>RB</t>
        </is>
      </c>
      <c r="E1654" s="19" t="inlineStr">
        <is>
          <t>多</t>
        </is>
      </c>
      <c r="F1654" s="2" t="inlineStr">
        <is>
          <t>★★★</t>
        </is>
      </c>
      <c r="G1654" s="10" t="n">
        <v>3</v>
      </c>
      <c r="H1654" s="11" t="n">
        <v>4047</v>
      </c>
      <c r="I1654" s="11" t="n">
        <v>4066</v>
      </c>
      <c r="J1654" s="10" t="n">
        <v>10</v>
      </c>
      <c r="K1654" s="10" t="n">
        <v>10200</v>
      </c>
      <c r="L1654" s="23">
        <f>IF(E1654="多",1,-1)*(I1654-H1654)*G1654*J1654</f>
        <v/>
      </c>
      <c r="M1654" s="24">
        <f>L1654/K1654</f>
        <v/>
      </c>
      <c r="N1654" s="2" t="inlineStr">
        <is>
          <t>将军撤退+大将军转向</t>
        </is>
      </c>
      <c r="O1654" s="2" t="inlineStr">
        <is>
          <t>否</t>
        </is>
      </c>
    </row>
    <row r="1655">
      <c r="A1655" s="14" t="inlineStr">
        <is>
          <t>2022-12-23</t>
        </is>
      </c>
      <c r="B1655" s="14" t="inlineStr">
        <is>
          <t>2022-12-26</t>
        </is>
      </c>
      <c r="C1655" s="14" t="inlineStr">
        <is>
          <t>沥青</t>
        </is>
      </c>
      <c r="D1655" s="14" t="inlineStr">
        <is>
          <t>BU</t>
        </is>
      </c>
      <c r="E1655" s="14" t="inlineStr">
        <is>
          <t>多</t>
        </is>
      </c>
      <c r="F1655" s="14" t="inlineStr">
        <is>
          <t>★★</t>
        </is>
      </c>
      <c r="G1655" s="14" t="n">
        <v>3</v>
      </c>
      <c r="H1655" s="15" t="n">
        <v>3731</v>
      </c>
      <c r="I1655" s="15" t="n">
        <v>3735</v>
      </c>
      <c r="J1655" s="14" t="n">
        <v>10</v>
      </c>
      <c r="K1655" s="14" t="n">
        <v>10000</v>
      </c>
      <c r="L1655" s="25">
        <f>IF(E1655="多",1,-1)*(I1655-H1655)*G1655*J1655</f>
        <v/>
      </c>
      <c r="M1655" s="26">
        <f>L1655/K1655</f>
        <v/>
      </c>
      <c r="N1655" s="14" t="inlineStr">
        <is>
          <t>大将军转向</t>
        </is>
      </c>
      <c r="O1655" s="14" t="inlineStr">
        <is>
          <t>是</t>
        </is>
      </c>
    </row>
    <row r="1656">
      <c r="A1656" s="2" t="inlineStr">
        <is>
          <t>2022-12-21</t>
        </is>
      </c>
      <c r="B1656" s="2" t="inlineStr">
        <is>
          <t>2022-12-22</t>
        </is>
      </c>
      <c r="C1656" s="2" t="inlineStr">
        <is>
          <t>沪银</t>
        </is>
      </c>
      <c r="D1656" s="2" t="inlineStr">
        <is>
          <t>AG</t>
        </is>
      </c>
      <c r="E1656" s="19" t="inlineStr">
        <is>
          <t>多</t>
        </is>
      </c>
      <c r="F1656" s="2" t="inlineStr">
        <is>
          <t>★★★</t>
        </is>
      </c>
      <c r="G1656" s="10" t="n">
        <v>5</v>
      </c>
      <c r="H1656" s="11" t="n">
        <v>5399</v>
      </c>
      <c r="I1656" s="11" t="n">
        <v>5345</v>
      </c>
      <c r="J1656" s="10" t="n">
        <v>15</v>
      </c>
      <c r="K1656" s="10" t="n">
        <v>30000</v>
      </c>
      <c r="L1656" s="23">
        <f>IF(E1656="多",1,-1)*(I1656-H1656)*G1656*J1656</f>
        <v/>
      </c>
      <c r="M1656" s="24">
        <f>L1656/K1656</f>
        <v/>
      </c>
      <c r="N1656" s="2" t="inlineStr">
        <is>
          <t>大将军转向</t>
        </is>
      </c>
      <c r="O1656" s="2" t="inlineStr">
        <is>
          <t>否</t>
        </is>
      </c>
    </row>
    <row r="1657">
      <c r="A1657" s="14" t="inlineStr">
        <is>
          <t>2022-12-14</t>
        </is>
      </c>
      <c r="B1657" s="14" t="inlineStr">
        <is>
          <t>2022-12-22</t>
        </is>
      </c>
      <c r="C1657" s="14" t="inlineStr">
        <is>
          <t>纯碱</t>
        </is>
      </c>
      <c r="D1657" s="14" t="inlineStr">
        <is>
          <t>SA</t>
        </is>
      </c>
      <c r="E1657" s="14" t="inlineStr">
        <is>
          <t>多</t>
        </is>
      </c>
      <c r="F1657" s="14" t="inlineStr">
        <is>
          <t>★★★</t>
        </is>
      </c>
      <c r="G1657" s="14" t="n">
        <v>3</v>
      </c>
      <c r="H1657" s="15" t="n">
        <v>2665</v>
      </c>
      <c r="I1657" s="15" t="n">
        <v>2648</v>
      </c>
      <c r="J1657" s="14" t="n">
        <v>20</v>
      </c>
      <c r="K1657" s="14" t="n">
        <v>10000</v>
      </c>
      <c r="L1657" s="25">
        <f>IF(E1657="多",1,-1)*(I1657-H1657)*G1657*J1657</f>
        <v/>
      </c>
      <c r="M1657" s="26">
        <f>L1657/K1657</f>
        <v/>
      </c>
      <c r="N1657" s="14" t="inlineStr">
        <is>
          <t>将军撤退+大将军转向</t>
        </is>
      </c>
      <c r="O1657" s="14" t="inlineStr">
        <is>
          <t>是</t>
        </is>
      </c>
    </row>
    <row r="1658">
      <c r="A1658" s="2" t="inlineStr">
        <is>
          <t>2022-12-06</t>
        </is>
      </c>
      <c r="B1658" s="2" t="inlineStr">
        <is>
          <t>2022-12-22</t>
        </is>
      </c>
      <c r="C1658" s="2" t="inlineStr">
        <is>
          <t>燃料油</t>
        </is>
      </c>
      <c r="D1658" s="2" t="inlineStr">
        <is>
          <t>FU</t>
        </is>
      </c>
      <c r="E1658" s="9" t="inlineStr">
        <is>
          <t>空</t>
        </is>
      </c>
      <c r="F1658" s="2" t="inlineStr">
        <is>
          <t>★★★</t>
        </is>
      </c>
      <c r="G1658" s="10" t="n">
        <v>9</v>
      </c>
      <c r="H1658" s="11" t="n">
        <v>2500</v>
      </c>
      <c r="I1658" s="11" t="n">
        <v>2662.57</v>
      </c>
      <c r="J1658" s="10" t="n">
        <v>10</v>
      </c>
      <c r="K1658" s="10" t="n">
        <v>29800</v>
      </c>
      <c r="L1658" s="23">
        <f>IF(E1658="多",1,-1)*(I1658-H1658)*G1658*J1658</f>
        <v/>
      </c>
      <c r="M1658" s="24">
        <f>L1658/K1658</f>
        <v/>
      </c>
      <c r="N1658" s="2" t="inlineStr">
        <is>
          <t>止损</t>
        </is>
      </c>
      <c r="O1658" s="2" t="inlineStr">
        <is>
          <t>否</t>
        </is>
      </c>
    </row>
    <row r="1659">
      <c r="A1659" s="14" t="inlineStr">
        <is>
          <t>2022-12-19</t>
        </is>
      </c>
      <c r="B1659" s="14" t="inlineStr">
        <is>
          <t>2022-12-20</t>
        </is>
      </c>
      <c r="C1659" s="14" t="inlineStr">
        <is>
          <t>沪锌</t>
        </is>
      </c>
      <c r="D1659" s="14" t="inlineStr">
        <is>
          <t>ZN</t>
        </is>
      </c>
      <c r="E1659" s="14" t="inlineStr">
        <is>
          <t>空</t>
        </is>
      </c>
      <c r="F1659" s="14" t="inlineStr">
        <is>
          <t>★★</t>
        </is>
      </c>
      <c r="G1659" s="14" t="n">
        <v>1</v>
      </c>
      <c r="H1659" s="15" t="n">
        <v>23790</v>
      </c>
      <c r="I1659" s="15" t="n">
        <v>23445</v>
      </c>
      <c r="J1659" s="14" t="n">
        <v>5</v>
      </c>
      <c r="K1659" s="14" t="n">
        <v>10000</v>
      </c>
      <c r="L1659" s="25">
        <f>IF(E1659="多",1,-1)*(I1659-H1659)*G1659*J1659</f>
        <v/>
      </c>
      <c r="M1659" s="26">
        <f>L1659/K1659</f>
        <v/>
      </c>
      <c r="N1659" s="14" t="inlineStr">
        <is>
          <t>将军撤退</t>
        </is>
      </c>
      <c r="O1659" s="14" t="inlineStr">
        <is>
          <t>是</t>
        </is>
      </c>
    </row>
    <row r="1660">
      <c r="A1660" s="2" t="inlineStr">
        <is>
          <t>2022-12-15</t>
        </is>
      </c>
      <c r="B1660" s="2" t="inlineStr">
        <is>
          <t>2022-12-20</t>
        </is>
      </c>
      <c r="C1660" s="2" t="inlineStr">
        <is>
          <t>螺纹钢</t>
        </is>
      </c>
      <c r="D1660" s="2" t="inlineStr">
        <is>
          <t>RB</t>
        </is>
      </c>
      <c r="E1660" s="19" t="inlineStr">
        <is>
          <t>多</t>
        </is>
      </c>
      <c r="F1660" s="2" t="inlineStr">
        <is>
          <t>★★★</t>
        </is>
      </c>
      <c r="G1660" s="10" t="n">
        <v>1</v>
      </c>
      <c r="H1660" s="11" t="n">
        <v>4083</v>
      </c>
      <c r="I1660" s="11" t="n">
        <v>3898.71</v>
      </c>
      <c r="J1660" s="10" t="n">
        <v>10</v>
      </c>
      <c r="K1660" s="10" t="n">
        <v>3500</v>
      </c>
      <c r="L1660" s="23">
        <f>IF(E1660="多",1,-1)*(I1660-H1660)*G1660*J1660</f>
        <v/>
      </c>
      <c r="M1660" s="24">
        <f>L1660/K1660</f>
        <v/>
      </c>
      <c r="N1660" s="2" t="inlineStr">
        <is>
          <t>止损</t>
        </is>
      </c>
      <c r="O1660" s="2" t="inlineStr">
        <is>
          <t>否</t>
        </is>
      </c>
    </row>
    <row r="1661">
      <c r="A1661" s="14" t="inlineStr">
        <is>
          <t>2022-12-05</t>
        </is>
      </c>
      <c r="B1661" s="14" t="inlineStr">
        <is>
          <t>2022-12-20</t>
        </is>
      </c>
      <c r="C1661" s="14" t="inlineStr">
        <is>
          <t>沪铝</t>
        </is>
      </c>
      <c r="D1661" s="14" t="inlineStr">
        <is>
          <t>AL</t>
        </is>
      </c>
      <c r="E1661" s="14" t="inlineStr">
        <is>
          <t>多</t>
        </is>
      </c>
      <c r="F1661" s="14" t="inlineStr">
        <is>
          <t>★★</t>
        </is>
      </c>
      <c r="G1661" s="14" t="n">
        <v>2</v>
      </c>
      <c r="H1661" s="15" t="n">
        <v>19200</v>
      </c>
      <c r="I1661" s="15" t="n">
        <v>18530</v>
      </c>
      <c r="J1661" s="14" t="n">
        <v>5</v>
      </c>
      <c r="K1661" s="14" t="n">
        <v>10000</v>
      </c>
      <c r="L1661" s="25">
        <f>IF(E1661="多",1,-1)*(I1661-H1661)*G1661*J1661</f>
        <v/>
      </c>
      <c r="M1661" s="26">
        <f>L1661/K1661</f>
        <v/>
      </c>
      <c r="N1661" s="14" t="inlineStr">
        <is>
          <t>跳空止损</t>
        </is>
      </c>
      <c r="O1661" s="14" t="inlineStr">
        <is>
          <t>是</t>
        </is>
      </c>
    </row>
    <row r="1662">
      <c r="A1662" s="2" t="inlineStr">
        <is>
          <t>2022-12-07</t>
        </is>
      </c>
      <c r="B1662" s="2" t="inlineStr">
        <is>
          <t>2022-12-19</t>
        </is>
      </c>
      <c r="C1662" s="2" t="inlineStr">
        <is>
          <t>热卷</t>
        </is>
      </c>
      <c r="D1662" s="2" t="inlineStr">
        <is>
          <t>HC</t>
        </is>
      </c>
      <c r="E1662" s="19" t="inlineStr">
        <is>
          <t>多</t>
        </is>
      </c>
      <c r="F1662" s="2" t="inlineStr">
        <is>
          <t>★★★</t>
        </is>
      </c>
      <c r="G1662" s="10" t="n">
        <v>13</v>
      </c>
      <c r="H1662" s="11" t="n">
        <v>3907</v>
      </c>
      <c r="I1662" s="11" t="n">
        <v>3984.57</v>
      </c>
      <c r="J1662" s="10" t="n">
        <v>10</v>
      </c>
      <c r="K1662" s="10" t="n">
        <v>26500</v>
      </c>
      <c r="L1662" s="23">
        <f>IF(E1662="多",1,-1)*(I1662-H1662)*G1662*J1662</f>
        <v/>
      </c>
      <c r="M1662" s="24">
        <f>L1662/K1662</f>
        <v/>
      </c>
      <c r="N1662" s="2" t="inlineStr">
        <is>
          <t>止损</t>
        </is>
      </c>
      <c r="O1662" s="2" t="inlineStr">
        <is>
          <t>否</t>
        </is>
      </c>
    </row>
    <row r="1663">
      <c r="A1663" s="14" t="inlineStr">
        <is>
          <t>2022-12-07</t>
        </is>
      </c>
      <c r="B1663" s="14" t="inlineStr">
        <is>
          <t>2022-12-16</t>
        </is>
      </c>
      <c r="C1663" s="14" t="inlineStr">
        <is>
          <t>铁矿石</t>
        </is>
      </c>
      <c r="D1663" s="14" t="inlineStr">
        <is>
          <t>I</t>
        </is>
      </c>
      <c r="E1663" s="14" t="inlineStr">
        <is>
          <t>空</t>
        </is>
      </c>
      <c r="F1663" s="14" t="inlineStr">
        <is>
          <t>★★</t>
        </is>
      </c>
      <c r="G1663" s="14" t="n">
        <v>1</v>
      </c>
      <c r="H1663" s="15" t="n">
        <v>765.5</v>
      </c>
      <c r="I1663" s="15" t="n">
        <v>837.29</v>
      </c>
      <c r="J1663" s="14" t="n">
        <v>100</v>
      </c>
      <c r="K1663" s="14" t="n">
        <v>10000</v>
      </c>
      <c r="L1663" s="25">
        <f>IF(E1663="多",1,-1)*(I1663-H1663)*G1663*J1663</f>
        <v/>
      </c>
      <c r="M1663" s="26">
        <f>L1663/K1663</f>
        <v/>
      </c>
      <c r="N1663" s="14" t="inlineStr">
        <is>
          <t>止损</t>
        </is>
      </c>
      <c r="O1663" s="14" t="inlineStr">
        <is>
          <t>是</t>
        </is>
      </c>
    </row>
    <row r="1664">
      <c r="A1664" s="2" t="inlineStr">
        <is>
          <t>2022-12-14</t>
        </is>
      </c>
      <c r="B1664" s="2" t="inlineStr">
        <is>
          <t>2022-12-15</t>
        </is>
      </c>
      <c r="C1664" s="2" t="inlineStr">
        <is>
          <t>PVC</t>
        </is>
      </c>
      <c r="D1664" s="2" t="inlineStr">
        <is>
          <t>V</t>
        </is>
      </c>
      <c r="E1664" s="19" t="inlineStr">
        <is>
          <t>多</t>
        </is>
      </c>
      <c r="F1664" s="2" t="inlineStr">
        <is>
          <t>★★★</t>
        </is>
      </c>
      <c r="G1664" s="10" t="n">
        <v>13</v>
      </c>
      <c r="H1664" s="11" t="n">
        <v>6329</v>
      </c>
      <c r="I1664" s="11" t="n">
        <v>6407</v>
      </c>
      <c r="J1664" s="10" t="n">
        <v>5</v>
      </c>
      <c r="K1664" s="10" t="n">
        <v>27400</v>
      </c>
      <c r="L1664" s="23">
        <f>IF(E1664="多",1,-1)*(I1664-H1664)*G1664*J1664</f>
        <v/>
      </c>
      <c r="M1664" s="24">
        <f>L1664/K1664</f>
        <v/>
      </c>
      <c r="N1664" s="2" t="inlineStr">
        <is>
          <t>大将军转向</t>
        </is>
      </c>
      <c r="O1664" s="2" t="inlineStr">
        <is>
          <t>否</t>
        </is>
      </c>
    </row>
    <row r="1665">
      <c r="A1665" s="14" t="inlineStr">
        <is>
          <t>2022-12-07</t>
        </is>
      </c>
      <c r="B1665" s="14" t="inlineStr">
        <is>
          <t>2022-12-15</t>
        </is>
      </c>
      <c r="C1665" s="14" t="inlineStr">
        <is>
          <t>棉花</t>
        </is>
      </c>
      <c r="D1665" s="14" t="inlineStr">
        <is>
          <t>CF</t>
        </is>
      </c>
      <c r="E1665" s="14" t="inlineStr">
        <is>
          <t>多</t>
        </is>
      </c>
      <c r="F1665" s="14" t="inlineStr">
        <is>
          <t>★★★</t>
        </is>
      </c>
      <c r="G1665" s="14" t="n">
        <v>3</v>
      </c>
      <c r="H1665" s="15" t="n">
        <v>13610</v>
      </c>
      <c r="I1665" s="15" t="n">
        <v>14030</v>
      </c>
      <c r="J1665" s="14" t="n">
        <v>5</v>
      </c>
      <c r="K1665" s="14" t="n">
        <v>10000</v>
      </c>
      <c r="L1665" s="25">
        <f>IF(E1665="多",1,-1)*(I1665-H1665)*G1665*J1665</f>
        <v/>
      </c>
      <c r="M1665" s="26">
        <f>L1665/K1665</f>
        <v/>
      </c>
      <c r="N1665" s="14" t="inlineStr">
        <is>
          <t>将军撤退+大将军转向</t>
        </is>
      </c>
      <c r="O1665" s="14" t="inlineStr">
        <is>
          <t>是</t>
        </is>
      </c>
    </row>
    <row r="1666">
      <c r="A1666" s="2" t="inlineStr">
        <is>
          <t>2022-11-30</t>
        </is>
      </c>
      <c r="B1666" s="2" t="inlineStr">
        <is>
          <t>2022-12-15</t>
        </is>
      </c>
      <c r="C1666" s="2" t="inlineStr">
        <is>
          <t>豆粕</t>
        </is>
      </c>
      <c r="D1666" s="2" t="inlineStr">
        <is>
          <t>M</t>
        </is>
      </c>
      <c r="E1666" s="19" t="inlineStr">
        <is>
          <t>多</t>
        </is>
      </c>
      <c r="F1666" s="2" t="inlineStr">
        <is>
          <t>★★★</t>
        </is>
      </c>
      <c r="G1666" s="10" t="n">
        <v>8</v>
      </c>
      <c r="H1666" s="11" t="n">
        <v>3690</v>
      </c>
      <c r="I1666" s="11" t="n">
        <v>3722</v>
      </c>
      <c r="J1666" s="10" t="n">
        <v>10</v>
      </c>
      <c r="K1666" s="10" t="n">
        <v>16300</v>
      </c>
      <c r="L1666" s="23">
        <f>IF(E1666="多",1,-1)*(I1666-H1666)*G1666*J1666</f>
        <v/>
      </c>
      <c r="M1666" s="24">
        <f>L1666/K1666</f>
        <v/>
      </c>
      <c r="N1666" s="2" t="inlineStr">
        <is>
          <t>大将军转向</t>
        </is>
      </c>
      <c r="O1666" s="2" t="inlineStr">
        <is>
          <t>否</t>
        </is>
      </c>
    </row>
    <row r="1667">
      <c r="A1667" s="14" t="inlineStr">
        <is>
          <t>2022-11-28</t>
        </is>
      </c>
      <c r="B1667" s="14" t="inlineStr">
        <is>
          <t>2022-12-15</t>
        </is>
      </c>
      <c r="C1667" s="14" t="inlineStr">
        <is>
          <t>PTA</t>
        </is>
      </c>
      <c r="D1667" s="14" t="inlineStr">
        <is>
          <t>TA</t>
        </is>
      </c>
      <c r="E1667" s="14" t="inlineStr">
        <is>
          <t>空</t>
        </is>
      </c>
      <c r="F1667" s="14" t="inlineStr">
        <is>
          <t>★★</t>
        </is>
      </c>
      <c r="G1667" s="14" t="n">
        <v>5</v>
      </c>
      <c r="H1667" s="15" t="n">
        <v>5014</v>
      </c>
      <c r="I1667" s="15" t="n">
        <v>5218</v>
      </c>
      <c r="J1667" s="14" t="n">
        <v>5</v>
      </c>
      <c r="K1667" s="14" t="n">
        <v>10000</v>
      </c>
      <c r="L1667" s="25">
        <f>IF(E1667="多",1,-1)*(I1667-H1667)*G1667*J1667</f>
        <v/>
      </c>
      <c r="M1667" s="26">
        <f>L1667/K1667</f>
        <v/>
      </c>
      <c r="N1667" s="14" t="inlineStr">
        <is>
          <t>止损</t>
        </is>
      </c>
      <c r="O1667" s="14" t="inlineStr">
        <is>
          <t>是</t>
        </is>
      </c>
    </row>
    <row r="1668">
      <c r="A1668" s="14" t="inlineStr">
        <is>
          <t>2022-11-10</t>
        </is>
      </c>
      <c r="B1668" s="14" t="inlineStr">
        <is>
          <t>2022-12-15</t>
        </is>
      </c>
      <c r="C1668" s="14" t="inlineStr">
        <is>
          <t>甲醇</t>
        </is>
      </c>
      <c r="D1668" s="14" t="inlineStr">
        <is>
          <t>MA</t>
        </is>
      </c>
      <c r="E1668" s="14" t="inlineStr">
        <is>
          <t>空</t>
        </is>
      </c>
      <c r="F1668" s="14" t="inlineStr">
        <is>
          <t>★★</t>
        </is>
      </c>
      <c r="G1668" s="14" t="n">
        <v>5</v>
      </c>
      <c r="H1668" s="15" t="n">
        <v>2480</v>
      </c>
      <c r="I1668" s="15" t="n">
        <v>2635.93</v>
      </c>
      <c r="J1668" s="14" t="n">
        <v>10</v>
      </c>
      <c r="K1668" s="14" t="n">
        <v>10000</v>
      </c>
      <c r="L1668" s="25">
        <f>IF(E1668="多",1,-1)*(I1668-H1668)*G1668*J1668</f>
        <v/>
      </c>
      <c r="M1668" s="26">
        <f>L1668/K1668</f>
        <v/>
      </c>
      <c r="N1668" s="14" t="inlineStr">
        <is>
          <t>止损</t>
        </is>
      </c>
      <c r="O1668" s="14" t="inlineStr">
        <is>
          <t>是</t>
        </is>
      </c>
    </row>
    <row r="1669">
      <c r="A1669" s="2" t="inlineStr">
        <is>
          <t>2022-12-02</t>
        </is>
      </c>
      <c r="B1669" s="2" t="inlineStr">
        <is>
          <t>2022-12-14</t>
        </is>
      </c>
      <c r="C1669" s="2" t="inlineStr">
        <is>
          <t>沪金</t>
        </is>
      </c>
      <c r="D1669" s="2" t="inlineStr">
        <is>
          <t>AU</t>
        </is>
      </c>
      <c r="E1669" s="19" t="inlineStr">
        <is>
          <t>多</t>
        </is>
      </c>
      <c r="F1669" s="2" t="inlineStr">
        <is>
          <t>★★★</t>
        </is>
      </c>
      <c r="G1669" s="10" t="n">
        <v>3</v>
      </c>
      <c r="H1669" s="11" t="n">
        <v>408.04</v>
      </c>
      <c r="I1669" s="11" t="n">
        <v>408.1</v>
      </c>
      <c r="J1669" s="10" t="n">
        <v>1000</v>
      </c>
      <c r="K1669" s="10" t="n">
        <v>27400</v>
      </c>
      <c r="L1669" s="23">
        <f>IF(E1669="多",1,-1)*(I1669-H1669)*G1669*J1669</f>
        <v/>
      </c>
      <c r="M1669" s="24">
        <f>L1669/K1669</f>
        <v/>
      </c>
      <c r="N1669" s="2" t="inlineStr">
        <is>
          <t>将军撤退+大将军转向</t>
        </is>
      </c>
      <c r="O1669" s="2" t="inlineStr">
        <is>
          <t>否</t>
        </is>
      </c>
    </row>
    <row r="1670">
      <c r="A1670" s="14" t="inlineStr">
        <is>
          <t>2022-12-05</t>
        </is>
      </c>
      <c r="B1670" s="14" t="inlineStr">
        <is>
          <t>2022-12-12</t>
        </is>
      </c>
      <c r="C1670" s="14" t="inlineStr">
        <is>
          <t>塑料</t>
        </is>
      </c>
      <c r="D1670" s="14" t="inlineStr">
        <is>
          <t>L</t>
        </is>
      </c>
      <c r="E1670" s="14" t="inlineStr">
        <is>
          <t>多</t>
        </is>
      </c>
      <c r="F1670" s="14" t="inlineStr">
        <is>
          <t>★★</t>
        </is>
      </c>
      <c r="G1670" s="14" t="n">
        <v>5</v>
      </c>
      <c r="H1670" s="15" t="n">
        <v>8130</v>
      </c>
      <c r="I1670" s="15" t="n">
        <v>8172</v>
      </c>
      <c r="J1670" s="14" t="n">
        <v>5</v>
      </c>
      <c r="K1670" s="14" t="n">
        <v>10000</v>
      </c>
      <c r="L1670" s="25">
        <f>IF(E1670="多",1,-1)*(I1670-H1670)*G1670*J1670</f>
        <v/>
      </c>
      <c r="M1670" s="26">
        <f>L1670/K1670</f>
        <v/>
      </c>
      <c r="N1670" s="14" t="inlineStr">
        <is>
          <t>将军撤退</t>
        </is>
      </c>
      <c r="O1670" s="14" t="inlineStr">
        <is>
          <t>是</t>
        </is>
      </c>
    </row>
    <row r="1671">
      <c r="A1671" s="14" t="inlineStr">
        <is>
          <t>2022-12-05</t>
        </is>
      </c>
      <c r="B1671" s="14" t="inlineStr">
        <is>
          <t>2022-12-07</t>
        </is>
      </c>
      <c r="C1671" s="14" t="inlineStr">
        <is>
          <t>铁矿石</t>
        </is>
      </c>
      <c r="D1671" s="14" t="inlineStr">
        <is>
          <t>I</t>
        </is>
      </c>
      <c r="E1671" s="14" t="inlineStr">
        <is>
          <t>多</t>
        </is>
      </c>
      <c r="F1671" s="14" t="inlineStr">
        <is>
          <t>★★★</t>
        </is>
      </c>
      <c r="G1671" s="14" t="n">
        <v>1</v>
      </c>
      <c r="H1671" s="15" t="n">
        <v>780.5</v>
      </c>
      <c r="I1671" s="15" t="n">
        <v>765</v>
      </c>
      <c r="J1671" s="14" t="n">
        <v>100</v>
      </c>
      <c r="K1671" s="14" t="n">
        <v>10000</v>
      </c>
      <c r="L1671" s="25">
        <f>IF(E1671="多",1,-1)*(I1671-H1671)*G1671*J1671</f>
        <v/>
      </c>
      <c r="M1671" s="26">
        <f>L1671/K1671</f>
        <v/>
      </c>
      <c r="N1671" s="14" t="inlineStr">
        <is>
          <t>反向信号</t>
        </is>
      </c>
      <c r="O1671" s="14" t="inlineStr">
        <is>
          <t>是</t>
        </is>
      </c>
    </row>
    <row r="1672">
      <c r="A1672" s="14" t="inlineStr">
        <is>
          <t>2022-12-02</t>
        </is>
      </c>
      <c r="B1672" s="14" t="inlineStr">
        <is>
          <t>2022-12-07</t>
        </is>
      </c>
      <c r="C1672" s="14" t="inlineStr">
        <is>
          <t>棕榈油</t>
        </is>
      </c>
      <c r="D1672" s="14" t="inlineStr">
        <is>
          <t>P</t>
        </is>
      </c>
      <c r="E1672" s="14" t="inlineStr">
        <is>
          <t>空</t>
        </is>
      </c>
      <c r="F1672" s="14" t="inlineStr">
        <is>
          <t>★★</t>
        </is>
      </c>
      <c r="G1672" s="14" t="n">
        <v>1</v>
      </c>
      <c r="H1672" s="15" t="n">
        <v>8240</v>
      </c>
      <c r="I1672" s="15" t="n">
        <v>8028</v>
      </c>
      <c r="J1672" s="14" t="n">
        <v>10</v>
      </c>
      <c r="K1672" s="14" t="n">
        <v>10000</v>
      </c>
      <c r="L1672" s="25">
        <f>IF(E1672="多",1,-1)*(I1672-H1672)*G1672*J1672</f>
        <v/>
      </c>
      <c r="M1672" s="26">
        <f>L1672/K1672</f>
        <v/>
      </c>
      <c r="N1672" s="14" t="inlineStr">
        <is>
          <t>大将军转向</t>
        </is>
      </c>
      <c r="O1672" s="14" t="inlineStr">
        <is>
          <t>是</t>
        </is>
      </c>
    </row>
    <row r="1673">
      <c r="A1673" s="2" t="inlineStr">
        <is>
          <t>2022-11-25</t>
        </is>
      </c>
      <c r="B1673" s="2" t="inlineStr">
        <is>
          <t>2022-12-07</t>
        </is>
      </c>
      <c r="C1673" s="2" t="inlineStr">
        <is>
          <t>沪锌</t>
        </is>
      </c>
      <c r="D1673" s="2" t="inlineStr">
        <is>
          <t>ZN</t>
        </is>
      </c>
      <c r="E1673" s="19" t="inlineStr">
        <is>
          <t>多</t>
        </is>
      </c>
      <c r="F1673" s="2" t="inlineStr">
        <is>
          <t>★★★</t>
        </is>
      </c>
      <c r="G1673" s="10" t="n">
        <v>3</v>
      </c>
      <c r="H1673" s="11" t="n">
        <v>23800</v>
      </c>
      <c r="I1673" s="11" t="n">
        <v>24610</v>
      </c>
      <c r="J1673" s="10" t="n">
        <v>5</v>
      </c>
      <c r="K1673" s="10" t="n">
        <v>26500</v>
      </c>
      <c r="L1673" s="23">
        <f>IF(E1673="多",1,-1)*(I1673-H1673)*G1673*J1673</f>
        <v/>
      </c>
      <c r="M1673" s="24">
        <f>L1673/K1673</f>
        <v/>
      </c>
      <c r="N1673" s="2" t="inlineStr">
        <is>
          <t>将军撤退</t>
        </is>
      </c>
      <c r="O1673" s="2" t="inlineStr">
        <is>
          <t>否</t>
        </is>
      </c>
    </row>
    <row r="1674">
      <c r="A1674" s="14" t="inlineStr">
        <is>
          <t>2022-12-02</t>
        </is>
      </c>
      <c r="B1674" s="14" t="inlineStr">
        <is>
          <t>2022-12-05</t>
        </is>
      </c>
      <c r="C1674" s="14" t="inlineStr">
        <is>
          <t>燃料油</t>
        </is>
      </c>
      <c r="D1674" s="14" t="inlineStr">
        <is>
          <t>FU</t>
        </is>
      </c>
      <c r="E1674" s="14" t="inlineStr">
        <is>
          <t>空</t>
        </is>
      </c>
      <c r="F1674" s="14" t="inlineStr">
        <is>
          <t>★★</t>
        </is>
      </c>
      <c r="G1674" s="14" t="n">
        <v>3</v>
      </c>
      <c r="H1674" s="15" t="n">
        <v>2561</v>
      </c>
      <c r="I1674" s="15" t="n">
        <v>2518</v>
      </c>
      <c r="J1674" s="14" t="n">
        <v>10</v>
      </c>
      <c r="K1674" s="14" t="n">
        <v>10000</v>
      </c>
      <c r="L1674" s="25">
        <f>IF(E1674="多",1,-1)*(I1674-H1674)*G1674*J1674</f>
        <v/>
      </c>
      <c r="M1674" s="26">
        <f>L1674/K1674</f>
        <v/>
      </c>
      <c r="N1674" s="14" t="inlineStr">
        <is>
          <t>将军撤退+大将军转向</t>
        </is>
      </c>
      <c r="O1674" s="14" t="inlineStr">
        <is>
          <t>是</t>
        </is>
      </c>
    </row>
    <row r="1675">
      <c r="A1675" s="14" t="inlineStr">
        <is>
          <t>2022-11-30</t>
        </is>
      </c>
      <c r="B1675" s="14" t="inlineStr">
        <is>
          <t>2022-12-05</t>
        </is>
      </c>
      <c r="C1675" s="14" t="inlineStr">
        <is>
          <t>玉米</t>
        </is>
      </c>
      <c r="D1675" s="14" t="inlineStr">
        <is>
          <t>C</t>
        </is>
      </c>
      <c r="E1675" s="14" t="inlineStr">
        <is>
          <t>空</t>
        </is>
      </c>
      <c r="F1675" s="14" t="inlineStr">
        <is>
          <t>★★★</t>
        </is>
      </c>
      <c r="G1675" s="14" t="n">
        <v>10</v>
      </c>
      <c r="H1675" s="15" t="n">
        <v>2880</v>
      </c>
      <c r="I1675" s="15" t="n">
        <v>2834</v>
      </c>
      <c r="J1675" s="14" t="n">
        <v>10</v>
      </c>
      <c r="K1675" s="14" t="n">
        <v>10000</v>
      </c>
      <c r="L1675" s="25">
        <f>IF(E1675="多",1,-1)*(I1675-H1675)*G1675*J1675</f>
        <v/>
      </c>
      <c r="M1675" s="26">
        <f>L1675/K1675</f>
        <v/>
      </c>
      <c r="N1675" s="14" t="inlineStr">
        <is>
          <t>将军撤退+大将军转向</t>
        </is>
      </c>
      <c r="O1675" s="14" t="inlineStr">
        <is>
          <t>是</t>
        </is>
      </c>
    </row>
    <row r="1676">
      <c r="A1676" s="2" t="inlineStr">
        <is>
          <t>2022-11-29</t>
        </is>
      </c>
      <c r="B1676" s="2" t="inlineStr">
        <is>
          <t>2022-12-05</t>
        </is>
      </c>
      <c r="C1676" s="2" t="inlineStr">
        <is>
          <t>螺纹钢</t>
        </is>
      </c>
      <c r="D1676" s="2" t="inlineStr">
        <is>
          <t>RB</t>
        </is>
      </c>
      <c r="E1676" s="19" t="inlineStr">
        <is>
          <t>多</t>
        </is>
      </c>
      <c r="F1676" s="2" t="inlineStr">
        <is>
          <t>★★★</t>
        </is>
      </c>
      <c r="G1676" s="10" t="n">
        <v>13</v>
      </c>
      <c r="H1676" s="11" t="n">
        <v>3720</v>
      </c>
      <c r="I1676" s="11" t="n">
        <v>3804</v>
      </c>
      <c r="J1676" s="10" t="n">
        <v>10</v>
      </c>
      <c r="K1676" s="10" t="n">
        <v>27800</v>
      </c>
      <c r="L1676" s="23">
        <f>IF(E1676="多",1,-1)*(I1676-H1676)*G1676*J1676</f>
        <v/>
      </c>
      <c r="M1676" s="24">
        <f>L1676/K1676</f>
        <v/>
      </c>
      <c r="N1676" s="2" t="inlineStr">
        <is>
          <t>将军撤退+大将军转向</t>
        </is>
      </c>
      <c r="O1676" s="2" t="inlineStr">
        <is>
          <t>否</t>
        </is>
      </c>
    </row>
    <row r="1677">
      <c r="A1677" s="14" t="inlineStr">
        <is>
          <t>2022-11-28</t>
        </is>
      </c>
      <c r="B1677" s="14" t="inlineStr">
        <is>
          <t>2022-12-05</t>
        </is>
      </c>
      <c r="C1677" s="14" t="inlineStr">
        <is>
          <t>热卷</t>
        </is>
      </c>
      <c r="D1677" s="14" t="inlineStr">
        <is>
          <t>HC</t>
        </is>
      </c>
      <c r="E1677" s="14" t="inlineStr">
        <is>
          <t>多</t>
        </is>
      </c>
      <c r="F1677" s="14" t="inlineStr">
        <is>
          <t>★★★</t>
        </is>
      </c>
      <c r="G1677" s="14" t="n">
        <v>5</v>
      </c>
      <c r="H1677" s="15" t="n">
        <v>3804</v>
      </c>
      <c r="I1677" s="15" t="n">
        <v>3914</v>
      </c>
      <c r="J1677" s="14" t="n">
        <v>10</v>
      </c>
      <c r="K1677" s="14" t="n">
        <v>10000</v>
      </c>
      <c r="L1677" s="25">
        <f>IF(E1677="多",1,-1)*(I1677-H1677)*G1677*J1677</f>
        <v/>
      </c>
      <c r="M1677" s="26">
        <f>L1677/K1677</f>
        <v/>
      </c>
      <c r="N1677" s="14" t="inlineStr">
        <is>
          <t>将军撤退</t>
        </is>
      </c>
      <c r="O1677" s="14" t="inlineStr">
        <is>
          <t>是</t>
        </is>
      </c>
    </row>
    <row r="1678">
      <c r="A1678" s="14" t="inlineStr">
        <is>
          <t>2022-12-01</t>
        </is>
      </c>
      <c r="B1678" s="14" t="inlineStr">
        <is>
          <t>2022-12-02</t>
        </is>
      </c>
      <c r="C1678" s="14" t="inlineStr">
        <is>
          <t>乙二醇</t>
        </is>
      </c>
      <c r="D1678" s="14" t="inlineStr">
        <is>
          <t>EG</t>
        </is>
      </c>
      <c r="E1678" s="14" t="inlineStr">
        <is>
          <t>多</t>
        </is>
      </c>
      <c r="F1678" s="14" t="inlineStr">
        <is>
          <t>★★</t>
        </is>
      </c>
      <c r="G1678" s="14" t="n">
        <v>3</v>
      </c>
      <c r="H1678" s="15" t="n">
        <v>3901</v>
      </c>
      <c r="I1678" s="15" t="n">
        <v>3956</v>
      </c>
      <c r="J1678" s="14" t="n">
        <v>10</v>
      </c>
      <c r="K1678" s="14" t="n">
        <v>10000</v>
      </c>
      <c r="L1678" s="25">
        <f>IF(E1678="多",1,-1)*(I1678-H1678)*G1678*J1678</f>
        <v/>
      </c>
      <c r="M1678" s="26">
        <f>L1678/K1678</f>
        <v/>
      </c>
      <c r="N1678" s="14" t="inlineStr">
        <is>
          <t>大将军转向</t>
        </is>
      </c>
      <c r="O1678" s="14" t="inlineStr">
        <is>
          <t>是</t>
        </is>
      </c>
    </row>
    <row r="1679">
      <c r="A1679" s="14" t="inlineStr">
        <is>
          <t>2022-11-30</t>
        </is>
      </c>
      <c r="B1679" s="14" t="inlineStr">
        <is>
          <t>2022-12-01</t>
        </is>
      </c>
      <c r="C1679" s="14" t="inlineStr">
        <is>
          <t>塑料</t>
        </is>
      </c>
      <c r="D1679" s="14" t="inlineStr">
        <is>
          <t>L</t>
        </is>
      </c>
      <c r="E1679" s="14" t="inlineStr">
        <is>
          <t>多</t>
        </is>
      </c>
      <c r="F1679" s="14" t="inlineStr">
        <is>
          <t>★★</t>
        </is>
      </c>
      <c r="G1679" s="14" t="n">
        <v>4</v>
      </c>
      <c r="H1679" s="15" t="n">
        <v>8055</v>
      </c>
      <c r="I1679" s="15" t="n">
        <v>8100</v>
      </c>
      <c r="J1679" s="14" t="n">
        <v>5</v>
      </c>
      <c r="K1679" s="14" t="n">
        <v>10000</v>
      </c>
      <c r="L1679" s="25">
        <f>IF(E1679="多",1,-1)*(I1679-H1679)*G1679*J1679</f>
        <v/>
      </c>
      <c r="M1679" s="26">
        <f>L1679/K1679</f>
        <v/>
      </c>
      <c r="N1679" s="14" t="inlineStr">
        <is>
          <t>大将军转向</t>
        </is>
      </c>
      <c r="O1679" s="14" t="inlineStr">
        <is>
          <t>是</t>
        </is>
      </c>
    </row>
    <row r="1680">
      <c r="A1680" s="14" t="inlineStr">
        <is>
          <t>2022-11-29</t>
        </is>
      </c>
      <c r="B1680" s="14" t="inlineStr">
        <is>
          <t>2022-12-01</t>
        </is>
      </c>
      <c r="C1680" s="14" t="inlineStr">
        <is>
          <t>棉花</t>
        </is>
      </c>
      <c r="D1680" s="14" t="inlineStr">
        <is>
          <t>CF</t>
        </is>
      </c>
      <c r="E1680" s="14" t="inlineStr">
        <is>
          <t>多</t>
        </is>
      </c>
      <c r="F1680" s="14" t="inlineStr">
        <is>
          <t>★★</t>
        </is>
      </c>
      <c r="G1680" s="14" t="n">
        <v>2</v>
      </c>
      <c r="H1680" s="15" t="n">
        <v>13150</v>
      </c>
      <c r="I1680" s="15" t="n">
        <v>13380</v>
      </c>
      <c r="J1680" s="14" t="n">
        <v>5</v>
      </c>
      <c r="K1680" s="14" t="n">
        <v>10000</v>
      </c>
      <c r="L1680" s="25">
        <f>IF(E1680="多",1,-1)*(I1680-H1680)*G1680*J1680</f>
        <v/>
      </c>
      <c r="M1680" s="26">
        <f>L1680/K1680</f>
        <v/>
      </c>
      <c r="N1680" s="14" t="inlineStr">
        <is>
          <t>将军撤退</t>
        </is>
      </c>
      <c r="O1680" s="14" t="inlineStr">
        <is>
          <t>是</t>
        </is>
      </c>
    </row>
    <row r="1681">
      <c r="A1681" s="2" t="inlineStr">
        <is>
          <t>2022-11-17</t>
        </is>
      </c>
      <c r="B1681" s="2" t="inlineStr">
        <is>
          <t>2022-12-01</t>
        </is>
      </c>
      <c r="C1681" s="2" t="inlineStr">
        <is>
          <t>沪金</t>
        </is>
      </c>
      <c r="D1681" s="2" t="inlineStr">
        <is>
          <t>AU</t>
        </is>
      </c>
      <c r="E1681" s="19" t="inlineStr">
        <is>
          <t>多</t>
        </is>
      </c>
      <c r="F1681" s="2" t="inlineStr">
        <is>
          <t>★★★</t>
        </is>
      </c>
      <c r="G1681" s="10" t="n">
        <v>2</v>
      </c>
      <c r="H1681" s="11" t="n">
        <v>408.36</v>
      </c>
      <c r="I1681" s="11" t="n">
        <v>407.1</v>
      </c>
      <c r="J1681" s="10" t="n">
        <v>1000</v>
      </c>
      <c r="K1681" s="10" t="n">
        <v>29400</v>
      </c>
      <c r="L1681" s="23">
        <f>IF(E1681="多",1,-1)*(I1681-H1681)*G1681*J1681</f>
        <v/>
      </c>
      <c r="M1681" s="24">
        <f>L1681/K1681</f>
        <v/>
      </c>
      <c r="N1681" s="2" t="inlineStr">
        <is>
          <t>大将军转向</t>
        </is>
      </c>
      <c r="O1681" s="2" t="inlineStr">
        <is>
          <t>否</t>
        </is>
      </c>
    </row>
    <row r="1682">
      <c r="A1682" s="14" t="inlineStr">
        <is>
          <t>2022-11-28</t>
        </is>
      </c>
      <c r="B1682" s="14" t="inlineStr">
        <is>
          <t>2022-11-30</t>
        </is>
      </c>
      <c r="C1682" s="14" t="inlineStr">
        <is>
          <t>铁矿石</t>
        </is>
      </c>
      <c r="D1682" s="14" t="inlineStr">
        <is>
          <t>I</t>
        </is>
      </c>
      <c r="E1682" s="14" t="inlineStr">
        <is>
          <t>多</t>
        </is>
      </c>
      <c r="F1682" s="14" t="inlineStr">
        <is>
          <t>★★</t>
        </is>
      </c>
      <c r="G1682" s="14" t="n">
        <v>1</v>
      </c>
      <c r="H1682" s="15" t="n">
        <v>758</v>
      </c>
      <c r="I1682" s="15" t="n">
        <v>769</v>
      </c>
      <c r="J1682" s="14" t="n">
        <v>100</v>
      </c>
      <c r="K1682" s="14" t="n">
        <v>10000</v>
      </c>
      <c r="L1682" s="25">
        <f>IF(E1682="多",1,-1)*(I1682-H1682)*G1682*J1682</f>
        <v/>
      </c>
      <c r="M1682" s="26">
        <f>L1682/K1682</f>
        <v/>
      </c>
      <c r="N1682" s="14" t="inlineStr">
        <is>
          <t>将军撤退+大将军转向</t>
        </is>
      </c>
      <c r="O1682" s="14" t="inlineStr">
        <is>
          <t>是</t>
        </is>
      </c>
    </row>
    <row r="1683">
      <c r="A1683" s="2" t="inlineStr">
        <is>
          <t>2022-11-24</t>
        </is>
      </c>
      <c r="B1683" s="2" t="inlineStr">
        <is>
          <t>2022-11-29</t>
        </is>
      </c>
      <c r="C1683" s="2" t="inlineStr">
        <is>
          <t>沪铝</t>
        </is>
      </c>
      <c r="D1683" s="2" t="inlineStr">
        <is>
          <t>AL</t>
        </is>
      </c>
      <c r="E1683" s="19" t="inlineStr">
        <is>
          <t>多</t>
        </is>
      </c>
      <c r="F1683" s="2" t="inlineStr">
        <is>
          <t>★★★</t>
        </is>
      </c>
      <c r="G1683" s="10" t="n">
        <v>2</v>
      </c>
      <c r="H1683" s="11" t="n">
        <v>18965</v>
      </c>
      <c r="I1683" s="11" t="n">
        <v>19030</v>
      </c>
      <c r="J1683" s="10" t="n">
        <v>5</v>
      </c>
      <c r="K1683" s="10" t="n">
        <v>12100</v>
      </c>
      <c r="L1683" s="23">
        <f>IF(E1683="多",1,-1)*(I1683-H1683)*G1683*J1683</f>
        <v/>
      </c>
      <c r="M1683" s="24">
        <f>L1683/K1683</f>
        <v/>
      </c>
      <c r="N1683" s="2" t="inlineStr">
        <is>
          <t>大将军转向</t>
        </is>
      </c>
      <c r="O1683" s="2" t="inlineStr">
        <is>
          <t>否</t>
        </is>
      </c>
    </row>
    <row r="1684">
      <c r="A1684" s="2" t="inlineStr">
        <is>
          <t>2022-11-23</t>
        </is>
      </c>
      <c r="B1684" s="2" t="inlineStr">
        <is>
          <t>2022-11-29</t>
        </is>
      </c>
      <c r="C1684" s="2" t="inlineStr">
        <is>
          <t>纯碱</t>
        </is>
      </c>
      <c r="D1684" s="2" t="inlineStr">
        <is>
          <t>SA</t>
        </is>
      </c>
      <c r="E1684" s="19" t="inlineStr">
        <is>
          <t>多</t>
        </is>
      </c>
      <c r="F1684" s="2" t="inlineStr">
        <is>
          <t>★★★</t>
        </is>
      </c>
      <c r="G1684" s="10" t="n">
        <v>8</v>
      </c>
      <c r="H1684" s="11" t="n">
        <v>2635</v>
      </c>
      <c r="I1684" s="11" t="n">
        <v>2700</v>
      </c>
      <c r="J1684" s="10" t="n">
        <v>20</v>
      </c>
      <c r="K1684" s="10" t="n">
        <v>29100</v>
      </c>
      <c r="L1684" s="23">
        <f>IF(E1684="多",1,-1)*(I1684-H1684)*G1684*J1684</f>
        <v/>
      </c>
      <c r="M1684" s="24">
        <f>L1684/K1684</f>
        <v/>
      </c>
      <c r="N1684" s="2" t="inlineStr">
        <is>
          <t>将军撤退+大将军转向</t>
        </is>
      </c>
      <c r="O1684" s="2" t="inlineStr">
        <is>
          <t>否</t>
        </is>
      </c>
    </row>
    <row r="1685">
      <c r="A1685" s="14" t="inlineStr">
        <is>
          <t>2022-11-22</t>
        </is>
      </c>
      <c r="B1685" s="14" t="inlineStr">
        <is>
          <t>2022-11-25</t>
        </is>
      </c>
      <c r="C1685" s="14" t="inlineStr">
        <is>
          <t>沪锌</t>
        </is>
      </c>
      <c r="D1685" s="14" t="inlineStr">
        <is>
          <t>ZN</t>
        </is>
      </c>
      <c r="E1685" s="14" t="inlineStr">
        <is>
          <t>空</t>
        </is>
      </c>
      <c r="F1685" s="14" t="inlineStr">
        <is>
          <t>★★</t>
        </is>
      </c>
      <c r="G1685" s="14" t="n">
        <v>1</v>
      </c>
      <c r="H1685" s="15" t="n">
        <v>23460</v>
      </c>
      <c r="I1685" s="15" t="n">
        <v>23700</v>
      </c>
      <c r="J1685" s="14" t="n">
        <v>5</v>
      </c>
      <c r="K1685" s="14" t="n">
        <v>10000</v>
      </c>
      <c r="L1685" s="25">
        <f>IF(E1685="多",1,-1)*(I1685-H1685)*G1685*J1685</f>
        <v/>
      </c>
      <c r="M1685" s="26">
        <f>L1685/K1685</f>
        <v/>
      </c>
      <c r="N1685" s="14" t="inlineStr">
        <is>
          <t>反向信号</t>
        </is>
      </c>
      <c r="O1685" s="14" t="inlineStr">
        <is>
          <t>是</t>
        </is>
      </c>
    </row>
    <row r="1686">
      <c r="A1686" s="2" t="inlineStr">
        <is>
          <t>2022-10-31</t>
        </is>
      </c>
      <c r="B1686" s="2" t="inlineStr">
        <is>
          <t>2022-11-25</t>
        </is>
      </c>
      <c r="C1686" s="2" t="inlineStr">
        <is>
          <t>玻璃</t>
        </is>
      </c>
      <c r="D1686" s="2" t="inlineStr">
        <is>
          <t>FG</t>
        </is>
      </c>
      <c r="E1686" s="9" t="inlineStr">
        <is>
          <t>空</t>
        </is>
      </c>
      <c r="F1686" s="2" t="inlineStr">
        <is>
          <t>★★★</t>
        </is>
      </c>
      <c r="G1686" s="10" t="n">
        <v>14</v>
      </c>
      <c r="H1686" s="11" t="n">
        <v>1349</v>
      </c>
      <c r="I1686" s="11" t="n">
        <v>1427.79</v>
      </c>
      <c r="J1686" s="10" t="n">
        <v>20</v>
      </c>
      <c r="K1686" s="10" t="n">
        <v>29400</v>
      </c>
      <c r="L1686" s="23">
        <f>IF(E1686="多",1,-1)*(I1686-H1686)*G1686*J1686</f>
        <v/>
      </c>
      <c r="M1686" s="24">
        <f>L1686/K1686</f>
        <v/>
      </c>
      <c r="N1686" s="2" t="inlineStr">
        <is>
          <t>止损</t>
        </is>
      </c>
      <c r="O1686" s="2" t="inlineStr">
        <is>
          <t>否</t>
        </is>
      </c>
    </row>
    <row r="1687">
      <c r="A1687" s="14" t="inlineStr">
        <is>
          <t>2022-11-17</t>
        </is>
      </c>
      <c r="B1687" s="14" t="inlineStr">
        <is>
          <t>2022-11-22</t>
        </is>
      </c>
      <c r="C1687" s="14" t="inlineStr">
        <is>
          <t>棉花</t>
        </is>
      </c>
      <c r="D1687" s="14" t="inlineStr">
        <is>
          <t>CF</t>
        </is>
      </c>
      <c r="E1687" s="14" t="inlineStr">
        <is>
          <t>多</t>
        </is>
      </c>
      <c r="F1687" s="14" t="inlineStr">
        <is>
          <t>★★</t>
        </is>
      </c>
      <c r="G1687" s="14" t="n">
        <v>2</v>
      </c>
      <c r="H1687" s="15" t="n">
        <v>13450</v>
      </c>
      <c r="I1687" s="15" t="n">
        <v>13425</v>
      </c>
      <c r="J1687" s="14" t="n">
        <v>5</v>
      </c>
      <c r="K1687" s="14" t="n">
        <v>10000</v>
      </c>
      <c r="L1687" s="25">
        <f>IF(E1687="多",1,-1)*(I1687-H1687)*G1687*J1687</f>
        <v/>
      </c>
      <c r="M1687" s="26">
        <f>L1687/K1687</f>
        <v/>
      </c>
      <c r="N1687" s="14" t="inlineStr">
        <is>
          <t>将军撤退</t>
        </is>
      </c>
      <c r="O1687" s="14" t="inlineStr">
        <is>
          <t>是</t>
        </is>
      </c>
    </row>
    <row r="1688">
      <c r="A1688" s="14" t="inlineStr">
        <is>
          <t>2022-11-16</t>
        </is>
      </c>
      <c r="B1688" s="14" t="inlineStr">
        <is>
          <t>2022-11-22</t>
        </is>
      </c>
      <c r="C1688" s="14" t="inlineStr">
        <is>
          <t>纯碱</t>
        </is>
      </c>
      <c r="D1688" s="14" t="inlineStr">
        <is>
          <t>SA</t>
        </is>
      </c>
      <c r="E1688" s="14" t="inlineStr">
        <is>
          <t>多</t>
        </is>
      </c>
      <c r="F1688" s="14" t="inlineStr">
        <is>
          <t>★★★</t>
        </is>
      </c>
      <c r="G1688" s="14" t="n">
        <v>2</v>
      </c>
      <c r="H1688" s="15" t="n">
        <v>2577</v>
      </c>
      <c r="I1688" s="15" t="n">
        <v>2609</v>
      </c>
      <c r="J1688" s="14" t="n">
        <v>20</v>
      </c>
      <c r="K1688" s="14" t="n">
        <v>10000</v>
      </c>
      <c r="L1688" s="25">
        <f>IF(E1688="多",1,-1)*(I1688-H1688)*G1688*J1688</f>
        <v/>
      </c>
      <c r="M1688" s="26">
        <f>L1688/K1688</f>
        <v/>
      </c>
      <c r="N1688" s="14" t="inlineStr">
        <is>
          <t>将军撤退</t>
        </is>
      </c>
      <c r="O1688" s="14" t="inlineStr">
        <is>
          <t>是</t>
        </is>
      </c>
    </row>
    <row r="1689">
      <c r="A1689" s="14" t="inlineStr">
        <is>
          <t>2022-11-18</t>
        </is>
      </c>
      <c r="B1689" s="14" t="inlineStr">
        <is>
          <t>2022-11-21</t>
        </is>
      </c>
      <c r="C1689" s="14" t="inlineStr">
        <is>
          <t>铁矿石</t>
        </is>
      </c>
      <c r="D1689" s="14" t="inlineStr">
        <is>
          <t>I</t>
        </is>
      </c>
      <c r="E1689" s="14" t="inlineStr">
        <is>
          <t>多</t>
        </is>
      </c>
      <c r="F1689" s="14" t="inlineStr">
        <is>
          <t>★★</t>
        </is>
      </c>
      <c r="G1689" s="14" t="n">
        <v>1</v>
      </c>
      <c r="H1689" s="15" t="n">
        <v>753.5</v>
      </c>
      <c r="I1689" s="15" t="n">
        <v>745.5</v>
      </c>
      <c r="J1689" s="14" t="n">
        <v>100</v>
      </c>
      <c r="K1689" s="14" t="n">
        <v>10000</v>
      </c>
      <c r="L1689" s="25">
        <f>IF(E1689="多",1,-1)*(I1689-H1689)*G1689*J1689</f>
        <v/>
      </c>
      <c r="M1689" s="26">
        <f>L1689/K1689</f>
        <v/>
      </c>
      <c r="N1689" s="14" t="inlineStr">
        <is>
          <t>将军撤退+大将军转向</t>
        </is>
      </c>
      <c r="O1689" s="14" t="inlineStr">
        <is>
          <t>是</t>
        </is>
      </c>
    </row>
    <row r="1690">
      <c r="A1690" s="2" t="inlineStr">
        <is>
          <t>2022-11-18</t>
        </is>
      </c>
      <c r="B1690" s="2" t="inlineStr">
        <is>
          <t>2022-11-21</t>
        </is>
      </c>
      <c r="C1690" s="2" t="inlineStr">
        <is>
          <t>沪铝</t>
        </is>
      </c>
      <c r="D1690" s="2" t="inlineStr">
        <is>
          <t>AL</t>
        </is>
      </c>
      <c r="E1690" s="19" t="inlineStr">
        <is>
          <t>多</t>
        </is>
      </c>
      <c r="F1690" s="2" t="inlineStr">
        <is>
          <t>★★★</t>
        </is>
      </c>
      <c r="G1690" s="10" t="n">
        <v>5</v>
      </c>
      <c r="H1690" s="11" t="n">
        <v>19160</v>
      </c>
      <c r="I1690" s="11" t="n">
        <v>18945</v>
      </c>
      <c r="J1690" s="10" t="n">
        <v>5</v>
      </c>
      <c r="K1690" s="10" t="n">
        <v>29400</v>
      </c>
      <c r="L1690" s="23">
        <f>IF(E1690="多",1,-1)*(I1690-H1690)*G1690*J1690</f>
        <v/>
      </c>
      <c r="M1690" s="24">
        <f>L1690/K1690</f>
        <v/>
      </c>
      <c r="N1690" s="2" t="inlineStr">
        <is>
          <t>大将军转向</t>
        </is>
      </c>
      <c r="O1690" s="2" t="inlineStr">
        <is>
          <t>否</t>
        </is>
      </c>
    </row>
    <row r="1691">
      <c r="A1691" s="14" t="inlineStr">
        <is>
          <t>2022-11-17</t>
        </is>
      </c>
      <c r="B1691" s="14" t="inlineStr">
        <is>
          <t>2022-11-18</t>
        </is>
      </c>
      <c r="C1691" s="14" t="inlineStr">
        <is>
          <t>白糖</t>
        </is>
      </c>
      <c r="D1691" s="14" t="inlineStr">
        <is>
          <t>SR</t>
        </is>
      </c>
      <c r="E1691" s="14" t="inlineStr">
        <is>
          <t>多</t>
        </is>
      </c>
      <c r="F1691" s="14" t="inlineStr">
        <is>
          <t>★★</t>
        </is>
      </c>
      <c r="G1691" s="14" t="n">
        <v>5</v>
      </c>
      <c r="H1691" s="15" t="n">
        <v>5721</v>
      </c>
      <c r="I1691" s="15" t="n">
        <v>5672</v>
      </c>
      <c r="J1691" s="14" t="n">
        <v>10</v>
      </c>
      <c r="K1691" s="14" t="n">
        <v>10000</v>
      </c>
      <c r="L1691" s="25">
        <f>IF(E1691="多",1,-1)*(I1691-H1691)*G1691*J1691</f>
        <v/>
      </c>
      <c r="M1691" s="26">
        <f>L1691/K1691</f>
        <v/>
      </c>
      <c r="N1691" s="14" t="inlineStr">
        <is>
          <t>将军撤退</t>
        </is>
      </c>
      <c r="O1691" s="14" t="inlineStr">
        <is>
          <t>是</t>
        </is>
      </c>
    </row>
    <row r="1692">
      <c r="A1692" s="14" t="inlineStr">
        <is>
          <t>2022-11-16</t>
        </is>
      </c>
      <c r="B1692" s="14" t="inlineStr">
        <is>
          <t>2022-11-18</t>
        </is>
      </c>
      <c r="C1692" s="14" t="inlineStr">
        <is>
          <t>玉米</t>
        </is>
      </c>
      <c r="D1692" s="14" t="inlineStr">
        <is>
          <t>C</t>
        </is>
      </c>
      <c r="E1692" s="14" t="inlineStr">
        <is>
          <t>空</t>
        </is>
      </c>
      <c r="F1692" s="14" t="inlineStr">
        <is>
          <t>★★</t>
        </is>
      </c>
      <c r="G1692" s="14" t="n">
        <v>10</v>
      </c>
      <c r="H1692" s="15" t="n">
        <v>2828</v>
      </c>
      <c r="I1692" s="15" t="n">
        <v>2816</v>
      </c>
      <c r="J1692" s="14" t="n">
        <v>10</v>
      </c>
      <c r="K1692" s="14" t="n">
        <v>10000</v>
      </c>
      <c r="L1692" s="25">
        <f>IF(E1692="多",1,-1)*(I1692-H1692)*G1692*J1692</f>
        <v/>
      </c>
      <c r="M1692" s="26">
        <f>L1692/K1692</f>
        <v/>
      </c>
      <c r="N1692" s="14" t="inlineStr">
        <is>
          <t>将军撤退</t>
        </is>
      </c>
      <c r="O1692" s="14" t="inlineStr">
        <is>
          <t>是</t>
        </is>
      </c>
    </row>
    <row r="1693">
      <c r="A1693" s="14" t="inlineStr">
        <is>
          <t>2022-11-16</t>
        </is>
      </c>
      <c r="B1693" s="14" t="inlineStr">
        <is>
          <t>2022-11-17</t>
        </is>
      </c>
      <c r="C1693" s="14" t="inlineStr">
        <is>
          <t>螺纹钢</t>
        </is>
      </c>
      <c r="D1693" s="14" t="inlineStr">
        <is>
          <t>RB</t>
        </is>
      </c>
      <c r="E1693" s="14" t="inlineStr">
        <is>
          <t>多</t>
        </is>
      </c>
      <c r="F1693" s="14" t="inlineStr">
        <is>
          <t>★★</t>
        </is>
      </c>
      <c r="G1693" s="14" t="n">
        <v>4</v>
      </c>
      <c r="H1693" s="15" t="n">
        <v>3748</v>
      </c>
      <c r="I1693" s="15" t="n">
        <v>3726</v>
      </c>
      <c r="J1693" s="14" t="n">
        <v>10</v>
      </c>
      <c r="K1693" s="14" t="n">
        <v>10000</v>
      </c>
      <c r="L1693" s="25">
        <f>IF(E1693="多",1,-1)*(I1693-H1693)*G1693*J1693</f>
        <v/>
      </c>
      <c r="M1693" s="26">
        <f>L1693/K1693</f>
        <v/>
      </c>
      <c r="N1693" s="14" t="inlineStr">
        <is>
          <t>将军撤退+大将军转向</t>
        </is>
      </c>
      <c r="O1693" s="14" t="inlineStr">
        <is>
          <t>是</t>
        </is>
      </c>
    </row>
    <row r="1694">
      <c r="A1694" s="14" t="inlineStr">
        <is>
          <t>2022-11-15</t>
        </is>
      </c>
      <c r="B1694" s="14" t="inlineStr">
        <is>
          <t>2022-11-17</t>
        </is>
      </c>
      <c r="C1694" s="14" t="inlineStr">
        <is>
          <t>铁矿石</t>
        </is>
      </c>
      <c r="D1694" s="14" t="inlineStr">
        <is>
          <t>I</t>
        </is>
      </c>
      <c r="E1694" s="14" t="inlineStr">
        <is>
          <t>多</t>
        </is>
      </c>
      <c r="F1694" s="14" t="inlineStr">
        <is>
          <t>★★</t>
        </is>
      </c>
      <c r="G1694" s="14" t="n">
        <v>1</v>
      </c>
      <c r="H1694" s="15" t="n">
        <v>718</v>
      </c>
      <c r="I1694" s="15" t="n">
        <v>740</v>
      </c>
      <c r="J1694" s="14" t="n">
        <v>100</v>
      </c>
      <c r="K1694" s="14" t="n">
        <v>10000</v>
      </c>
      <c r="L1694" s="25">
        <f>IF(E1694="多",1,-1)*(I1694-H1694)*G1694*J1694</f>
        <v/>
      </c>
      <c r="M1694" s="26">
        <f>L1694/K1694</f>
        <v/>
      </c>
      <c r="N1694" s="14" t="inlineStr">
        <is>
          <t>将军撤退+大将军转向</t>
        </is>
      </c>
      <c r="O1694" s="14" t="inlineStr">
        <is>
          <t>是</t>
        </is>
      </c>
    </row>
    <row r="1695">
      <c r="A1695" s="14" t="inlineStr">
        <is>
          <t>2022-11-10</t>
        </is>
      </c>
      <c r="B1695" s="14" t="inlineStr">
        <is>
          <t>2022-11-17</t>
        </is>
      </c>
      <c r="C1695" s="14" t="inlineStr">
        <is>
          <t>菜粕</t>
        </is>
      </c>
      <c r="D1695" s="14" t="inlineStr">
        <is>
          <t>RM</t>
        </is>
      </c>
      <c r="E1695" s="14" t="inlineStr">
        <is>
          <t>多</t>
        </is>
      </c>
      <c r="F1695" s="14" t="inlineStr">
        <is>
          <t>★★</t>
        </is>
      </c>
      <c r="G1695" s="14" t="n">
        <v>4</v>
      </c>
      <c r="H1695" s="15" t="n">
        <v>3200</v>
      </c>
      <c r="I1695" s="15" t="n">
        <v>2995.43</v>
      </c>
      <c r="J1695" s="14" t="n">
        <v>10</v>
      </c>
      <c r="K1695" s="14" t="n">
        <v>10000</v>
      </c>
      <c r="L1695" s="25">
        <f>IF(E1695="多",1,-1)*(I1695-H1695)*G1695*J1695</f>
        <v/>
      </c>
      <c r="M1695" s="26">
        <f>L1695/K1695</f>
        <v/>
      </c>
      <c r="N1695" s="14" t="inlineStr">
        <is>
          <t>止损</t>
        </is>
      </c>
      <c r="O1695" s="14" t="inlineStr">
        <is>
          <t>是</t>
        </is>
      </c>
    </row>
    <row r="1696">
      <c r="A1696" s="14" t="inlineStr">
        <is>
          <t>2022-11-09</t>
        </is>
      </c>
      <c r="B1696" s="14" t="inlineStr">
        <is>
          <t>2022-11-17</t>
        </is>
      </c>
      <c r="C1696" s="14" t="inlineStr">
        <is>
          <t>沥青</t>
        </is>
      </c>
      <c r="D1696" s="14" t="inlineStr">
        <is>
          <t>BU</t>
        </is>
      </c>
      <c r="E1696" s="14" t="inlineStr">
        <is>
          <t>空</t>
        </is>
      </c>
      <c r="F1696" s="14" t="inlineStr">
        <is>
          <t>★★</t>
        </is>
      </c>
      <c r="G1696" s="14" t="n">
        <v>3</v>
      </c>
      <c r="H1696" s="15" t="n">
        <v>3590</v>
      </c>
      <c r="I1696" s="15" t="n">
        <v>3615</v>
      </c>
      <c r="J1696" s="14" t="n">
        <v>10</v>
      </c>
      <c r="K1696" s="14" t="n">
        <v>10000</v>
      </c>
      <c r="L1696" s="25">
        <f>IF(E1696="多",1,-1)*(I1696-H1696)*G1696*J1696</f>
        <v/>
      </c>
      <c r="M1696" s="26">
        <f>L1696/K1696</f>
        <v/>
      </c>
      <c r="N1696" s="14" t="inlineStr">
        <is>
          <t>大将军转向</t>
        </is>
      </c>
      <c r="O1696" s="14" t="inlineStr">
        <is>
          <t>是</t>
        </is>
      </c>
    </row>
    <row r="1697">
      <c r="A1697" s="14" t="inlineStr">
        <is>
          <t>2022-10-25</t>
        </is>
      </c>
      <c r="B1697" s="14" t="inlineStr">
        <is>
          <t>2022-11-17</t>
        </is>
      </c>
      <c r="C1697" s="14" t="inlineStr">
        <is>
          <t>棕榈油</t>
        </is>
      </c>
      <c r="D1697" s="14" t="inlineStr">
        <is>
          <t>P</t>
        </is>
      </c>
      <c r="E1697" s="14" t="inlineStr">
        <is>
          <t>多</t>
        </is>
      </c>
      <c r="F1697" s="14" t="inlineStr">
        <is>
          <t>★★</t>
        </is>
      </c>
      <c r="G1697" s="14" t="n">
        <v>1</v>
      </c>
      <c r="H1697" s="15" t="n">
        <v>8200</v>
      </c>
      <c r="I1697" s="15" t="n">
        <v>7843.71</v>
      </c>
      <c r="J1697" s="14" t="n">
        <v>10</v>
      </c>
      <c r="K1697" s="14" t="n">
        <v>10000</v>
      </c>
      <c r="L1697" s="25">
        <f>IF(E1697="多",1,-1)*(I1697-H1697)*G1697*J1697</f>
        <v/>
      </c>
      <c r="M1697" s="26">
        <f>L1697/K1697</f>
        <v/>
      </c>
      <c r="N1697" s="14" t="inlineStr">
        <is>
          <t>止损</t>
        </is>
      </c>
      <c r="O1697" s="14" t="inlineStr">
        <is>
          <t>是</t>
        </is>
      </c>
    </row>
    <row r="1698">
      <c r="A1698" s="14" t="inlineStr">
        <is>
          <t>2022-11-15</t>
        </is>
      </c>
      <c r="B1698" s="14" t="inlineStr">
        <is>
          <t>2022-11-16</t>
        </is>
      </c>
      <c r="C1698" s="14" t="inlineStr">
        <is>
          <t>热卷</t>
        </is>
      </c>
      <c r="D1698" s="14" t="inlineStr">
        <is>
          <t>HC</t>
        </is>
      </c>
      <c r="E1698" s="14" t="inlineStr">
        <is>
          <t>多</t>
        </is>
      </c>
      <c r="F1698" s="14" t="inlineStr">
        <is>
          <t>★★</t>
        </is>
      </c>
      <c r="G1698" s="14" t="n">
        <v>4</v>
      </c>
      <c r="H1698" s="15" t="n">
        <v>3769</v>
      </c>
      <c r="I1698" s="15" t="n">
        <v>3810</v>
      </c>
      <c r="J1698" s="14" t="n">
        <v>10</v>
      </c>
      <c r="K1698" s="14" t="n">
        <v>10000</v>
      </c>
      <c r="L1698" s="25">
        <f>IF(E1698="多",1,-1)*(I1698-H1698)*G1698*J1698</f>
        <v/>
      </c>
      <c r="M1698" s="26">
        <f>L1698/K1698</f>
        <v/>
      </c>
      <c r="N1698" s="14" t="inlineStr">
        <is>
          <t>将军撤退</t>
        </is>
      </c>
      <c r="O1698" s="14" t="inlineStr">
        <is>
          <t>是</t>
        </is>
      </c>
    </row>
    <row r="1699">
      <c r="A1699" s="14" t="inlineStr">
        <is>
          <t>2022-11-09</t>
        </is>
      </c>
      <c r="B1699" s="14" t="inlineStr">
        <is>
          <t>2022-11-16</t>
        </is>
      </c>
      <c r="C1699" s="14" t="inlineStr">
        <is>
          <t>聚丙烯</t>
        </is>
      </c>
      <c r="D1699" s="14" t="inlineStr">
        <is>
          <t>PP</t>
        </is>
      </c>
      <c r="E1699" s="14" t="inlineStr">
        <is>
          <t>多</t>
        </is>
      </c>
      <c r="F1699" s="14" t="inlineStr">
        <is>
          <t>★★</t>
        </is>
      </c>
      <c r="G1699" s="14" t="n">
        <v>4</v>
      </c>
      <c r="H1699" s="15" t="n">
        <v>7650</v>
      </c>
      <c r="I1699" s="15" t="n">
        <v>7783</v>
      </c>
      <c r="J1699" s="14" t="n">
        <v>5</v>
      </c>
      <c r="K1699" s="14" t="n">
        <v>10000</v>
      </c>
      <c r="L1699" s="25">
        <f>IF(E1699="多",1,-1)*(I1699-H1699)*G1699*J1699</f>
        <v/>
      </c>
      <c r="M1699" s="26">
        <f>L1699/K1699</f>
        <v/>
      </c>
      <c r="N1699" s="14" t="inlineStr">
        <is>
          <t>将军撤退</t>
        </is>
      </c>
      <c r="O1699" s="14" t="inlineStr">
        <is>
          <t>是</t>
        </is>
      </c>
    </row>
    <row r="1700">
      <c r="A1700" s="14" t="inlineStr">
        <is>
          <t>2022-10-31</t>
        </is>
      </c>
      <c r="B1700" s="14" t="inlineStr">
        <is>
          <t>2022-11-16</t>
        </is>
      </c>
      <c r="C1700" s="14" t="inlineStr">
        <is>
          <t>玉米</t>
        </is>
      </c>
      <c r="D1700" s="14" t="inlineStr">
        <is>
          <t>C</t>
        </is>
      </c>
      <c r="E1700" s="14" t="inlineStr">
        <is>
          <t>多</t>
        </is>
      </c>
      <c r="F1700" s="14" t="inlineStr">
        <is>
          <t>★★</t>
        </is>
      </c>
      <c r="G1700" s="14" t="n">
        <v>10</v>
      </c>
      <c r="H1700" s="15" t="n">
        <v>2885</v>
      </c>
      <c r="I1700" s="15" t="n">
        <v>2828</v>
      </c>
      <c r="J1700" s="14" t="n">
        <v>10</v>
      </c>
      <c r="K1700" s="14" t="n">
        <v>10000</v>
      </c>
      <c r="L1700" s="25">
        <f>IF(E1700="多",1,-1)*(I1700-H1700)*G1700*J1700</f>
        <v/>
      </c>
      <c r="M1700" s="26">
        <f>L1700/K1700</f>
        <v/>
      </c>
      <c r="N1700" s="14" t="inlineStr">
        <is>
          <t>反向信号</t>
        </is>
      </c>
      <c r="O1700" s="14" t="inlineStr">
        <is>
          <t>是</t>
        </is>
      </c>
    </row>
    <row r="1701">
      <c r="A1701" s="14" t="inlineStr">
        <is>
          <t>2022-11-11</t>
        </is>
      </c>
      <c r="B1701" s="14" t="inlineStr">
        <is>
          <t>2022-11-15</t>
        </is>
      </c>
      <c r="C1701" s="14" t="inlineStr">
        <is>
          <t>螺纹钢</t>
        </is>
      </c>
      <c r="D1701" s="14" t="inlineStr">
        <is>
          <t>RB</t>
        </is>
      </c>
      <c r="E1701" s="14" t="inlineStr">
        <is>
          <t>多</t>
        </is>
      </c>
      <c r="F1701" s="14" t="inlineStr">
        <is>
          <t>★★</t>
        </is>
      </c>
      <c r="G1701" s="14" t="n">
        <v>4</v>
      </c>
      <c r="H1701" s="15" t="n">
        <v>3637</v>
      </c>
      <c r="I1701" s="15" t="n">
        <v>3692</v>
      </c>
      <c r="J1701" s="14" t="n">
        <v>10</v>
      </c>
      <c r="K1701" s="14" t="n">
        <v>10000</v>
      </c>
      <c r="L1701" s="25">
        <f>IF(E1701="多",1,-1)*(I1701-H1701)*G1701*J1701</f>
        <v/>
      </c>
      <c r="M1701" s="26">
        <f>L1701/K1701</f>
        <v/>
      </c>
      <c r="N1701" s="14" t="inlineStr">
        <is>
          <t>将军撤退</t>
        </is>
      </c>
      <c r="O1701" s="14" t="inlineStr">
        <is>
          <t>是</t>
        </is>
      </c>
    </row>
    <row r="1702">
      <c r="A1702" s="14" t="inlineStr">
        <is>
          <t>2022-11-02</t>
        </is>
      </c>
      <c r="B1702" s="14" t="inlineStr">
        <is>
          <t>2022-11-15</t>
        </is>
      </c>
      <c r="C1702" s="14" t="inlineStr">
        <is>
          <t>豆油</t>
        </is>
      </c>
      <c r="D1702" s="14" t="inlineStr">
        <is>
          <t>Y</t>
        </is>
      </c>
      <c r="E1702" s="14" t="inlineStr">
        <is>
          <t>多</t>
        </is>
      </c>
      <c r="F1702" s="14" t="inlineStr">
        <is>
          <t>★★★</t>
        </is>
      </c>
      <c r="G1702" s="14" t="n">
        <v>1</v>
      </c>
      <c r="H1702" s="15" t="n">
        <v>9494</v>
      </c>
      <c r="I1702" s="15" t="n">
        <v>9071</v>
      </c>
      <c r="J1702" s="14" t="n">
        <v>10</v>
      </c>
      <c r="K1702" s="14" t="n">
        <v>10000</v>
      </c>
      <c r="L1702" s="25">
        <f>IF(E1702="多",1,-1)*(I1702-H1702)*G1702*J1702</f>
        <v/>
      </c>
      <c r="M1702" s="26">
        <f>L1702/K1702</f>
        <v/>
      </c>
      <c r="N1702" s="14" t="inlineStr">
        <is>
          <t>止损</t>
        </is>
      </c>
      <c r="O1702" s="14" t="inlineStr">
        <is>
          <t>是</t>
        </is>
      </c>
    </row>
    <row r="1703">
      <c r="A1703" s="2" t="inlineStr">
        <is>
          <t>2022-11-11</t>
        </is>
      </c>
      <c r="B1703" s="2" t="inlineStr">
        <is>
          <t>2022-11-14</t>
        </is>
      </c>
      <c r="C1703" s="2" t="inlineStr">
        <is>
          <t>沪铜</t>
        </is>
      </c>
      <c r="D1703" s="2" t="inlineStr">
        <is>
          <t>CU</t>
        </is>
      </c>
      <c r="E1703" s="19" t="inlineStr">
        <is>
          <t>多</t>
        </is>
      </c>
      <c r="F1703" s="2" t="inlineStr">
        <is>
          <t>★★★</t>
        </is>
      </c>
      <c r="G1703" s="10" t="n">
        <v>1</v>
      </c>
      <c r="H1703" s="11" t="n">
        <v>67670</v>
      </c>
      <c r="I1703" s="11" t="n">
        <v>67010</v>
      </c>
      <c r="J1703" s="10" t="n">
        <v>5</v>
      </c>
      <c r="K1703" s="10" t="n">
        <v>30000</v>
      </c>
      <c r="L1703" s="23">
        <f>IF(E1703="多",1,-1)*(I1703-H1703)*G1703*J1703</f>
        <v/>
      </c>
      <c r="M1703" s="24">
        <f>L1703/K1703</f>
        <v/>
      </c>
      <c r="N1703" s="2" t="inlineStr">
        <is>
          <t>将军撤退</t>
        </is>
      </c>
      <c r="O1703" s="2" t="inlineStr">
        <is>
          <t>否</t>
        </is>
      </c>
    </row>
    <row r="1704">
      <c r="A1704" s="2" t="inlineStr">
        <is>
          <t>2022-11-10</t>
        </is>
      </c>
      <c r="B1704" s="2" t="inlineStr">
        <is>
          <t>2022-11-14</t>
        </is>
      </c>
      <c r="C1704" s="2" t="inlineStr">
        <is>
          <t>PTA</t>
        </is>
      </c>
      <c r="D1704" s="2" t="inlineStr">
        <is>
          <t>TA</t>
        </is>
      </c>
      <c r="E1704" s="9" t="inlineStr">
        <is>
          <t>空</t>
        </is>
      </c>
      <c r="F1704" s="2" t="inlineStr">
        <is>
          <t>★★★</t>
        </is>
      </c>
      <c r="G1704" s="10" t="n">
        <v>14</v>
      </c>
      <c r="H1704" s="11" t="n">
        <v>5248</v>
      </c>
      <c r="I1704" s="11" t="n">
        <v>5370</v>
      </c>
      <c r="J1704" s="10" t="n">
        <v>5</v>
      </c>
      <c r="K1704" s="10" t="n">
        <v>30000</v>
      </c>
      <c r="L1704" s="23">
        <f>IF(E1704="多",1,-1)*(I1704-H1704)*G1704*J1704</f>
        <v/>
      </c>
      <c r="M1704" s="24">
        <f>L1704/K1704</f>
        <v/>
      </c>
      <c r="N1704" s="2" t="inlineStr">
        <is>
          <t>将军撤退</t>
        </is>
      </c>
      <c r="O1704" s="2" t="inlineStr">
        <is>
          <t>否</t>
        </is>
      </c>
    </row>
    <row r="1705">
      <c r="A1705" s="14" t="inlineStr">
        <is>
          <t>2022-11-09</t>
        </is>
      </c>
      <c r="B1705" s="14" t="inlineStr">
        <is>
          <t>2022-11-14</t>
        </is>
      </c>
      <c r="C1705" s="14" t="inlineStr">
        <is>
          <t>铁矿石</t>
        </is>
      </c>
      <c r="D1705" s="14" t="inlineStr">
        <is>
          <t>I</t>
        </is>
      </c>
      <c r="E1705" s="14" t="inlineStr">
        <is>
          <t>多</t>
        </is>
      </c>
      <c r="F1705" s="14" t="inlineStr">
        <is>
          <t>★★</t>
        </is>
      </c>
      <c r="G1705" s="14" t="n">
        <v>1</v>
      </c>
      <c r="H1705" s="15" t="n">
        <v>683</v>
      </c>
      <c r="I1705" s="15" t="n">
        <v>710.5</v>
      </c>
      <c r="J1705" s="14" t="n">
        <v>100</v>
      </c>
      <c r="K1705" s="14" t="n">
        <v>10000</v>
      </c>
      <c r="L1705" s="25">
        <f>IF(E1705="多",1,-1)*(I1705-H1705)*G1705*J1705</f>
        <v/>
      </c>
      <c r="M1705" s="26">
        <f>L1705/K1705</f>
        <v/>
      </c>
      <c r="N1705" s="14" t="inlineStr">
        <is>
          <t>将军撤退+大将军转向</t>
        </is>
      </c>
      <c r="O1705" s="14" t="inlineStr">
        <is>
          <t>是</t>
        </is>
      </c>
    </row>
    <row r="1706">
      <c r="A1706" s="14" t="inlineStr">
        <is>
          <t>2022-11-10</t>
        </is>
      </c>
      <c r="B1706" s="14" t="inlineStr">
        <is>
          <t>2022-11-11</t>
        </is>
      </c>
      <c r="C1706" s="14" t="inlineStr">
        <is>
          <t>沪银</t>
        </is>
      </c>
      <c r="D1706" s="14" t="inlineStr">
        <is>
          <t>AG</t>
        </is>
      </c>
      <c r="E1706" s="14" t="inlineStr">
        <is>
          <t>多</t>
        </is>
      </c>
      <c r="F1706" s="14" t="inlineStr">
        <is>
          <t>★★</t>
        </is>
      </c>
      <c r="G1706" s="14" t="n">
        <v>1</v>
      </c>
      <c r="H1706" s="15" t="n">
        <v>4921</v>
      </c>
      <c r="I1706" s="15" t="n">
        <v>4996</v>
      </c>
      <c r="J1706" s="14" t="n">
        <v>15</v>
      </c>
      <c r="K1706" s="14" t="n">
        <v>10000</v>
      </c>
      <c r="L1706" s="25">
        <f>IF(E1706="多",1,-1)*(I1706-H1706)*G1706*J1706</f>
        <v/>
      </c>
      <c r="M1706" s="26">
        <f>L1706/K1706</f>
        <v/>
      </c>
      <c r="N1706" s="14" t="inlineStr">
        <is>
          <t>将军撤退+大将军转向</t>
        </is>
      </c>
      <c r="O1706" s="14" t="inlineStr">
        <is>
          <t>是</t>
        </is>
      </c>
    </row>
    <row r="1707">
      <c r="A1707" s="14" t="inlineStr">
        <is>
          <t>2022-11-08</t>
        </is>
      </c>
      <c r="B1707" s="14" t="inlineStr">
        <is>
          <t>2022-11-09</t>
        </is>
      </c>
      <c r="C1707" s="14" t="inlineStr">
        <is>
          <t>沪锌</t>
        </is>
      </c>
      <c r="D1707" s="14" t="inlineStr">
        <is>
          <t>ZN</t>
        </is>
      </c>
      <c r="E1707" s="14" t="inlineStr">
        <is>
          <t>多</t>
        </is>
      </c>
      <c r="F1707" s="14" t="inlineStr">
        <is>
          <t>★★</t>
        </is>
      </c>
      <c r="G1707" s="14" t="n">
        <v>1</v>
      </c>
      <c r="H1707" s="15" t="n">
        <v>23720</v>
      </c>
      <c r="I1707" s="15" t="n">
        <v>23850</v>
      </c>
      <c r="J1707" s="14" t="n">
        <v>5</v>
      </c>
      <c r="K1707" s="14" t="n">
        <v>10000</v>
      </c>
      <c r="L1707" s="25">
        <f>IF(E1707="多",1,-1)*(I1707-H1707)*G1707*J1707</f>
        <v/>
      </c>
      <c r="M1707" s="26">
        <f>L1707/K1707</f>
        <v/>
      </c>
      <c r="N1707" s="14" t="inlineStr">
        <is>
          <t>大将军转向</t>
        </is>
      </c>
      <c r="O1707" s="14" t="inlineStr">
        <is>
          <t>是</t>
        </is>
      </c>
    </row>
    <row r="1708">
      <c r="A1708" s="14" t="inlineStr">
        <is>
          <t>2022-11-08</t>
        </is>
      </c>
      <c r="B1708" s="14" t="inlineStr">
        <is>
          <t>2022-11-09</t>
        </is>
      </c>
      <c r="C1708" s="14" t="inlineStr">
        <is>
          <t>沪银</t>
        </is>
      </c>
      <c r="D1708" s="14" t="inlineStr">
        <is>
          <t>AG</t>
        </is>
      </c>
      <c r="E1708" s="14" t="inlineStr">
        <is>
          <t>多</t>
        </is>
      </c>
      <c r="F1708" s="14" t="inlineStr">
        <is>
          <t>★★</t>
        </is>
      </c>
      <c r="G1708" s="14" t="n">
        <v>2</v>
      </c>
      <c r="H1708" s="15" t="n">
        <v>4802</v>
      </c>
      <c r="I1708" s="15" t="n">
        <v>4939</v>
      </c>
      <c r="J1708" s="14" t="n">
        <v>15</v>
      </c>
      <c r="K1708" s="14" t="n">
        <v>10000</v>
      </c>
      <c r="L1708" s="25">
        <f>IF(E1708="多",1,-1)*(I1708-H1708)*G1708*J1708</f>
        <v/>
      </c>
      <c r="M1708" s="26">
        <f>L1708/K1708</f>
        <v/>
      </c>
      <c r="N1708" s="14" t="inlineStr">
        <is>
          <t>将军撤退</t>
        </is>
      </c>
      <c r="O1708" s="14" t="inlineStr">
        <is>
          <t>是</t>
        </is>
      </c>
    </row>
    <row r="1709">
      <c r="A1709" s="2" t="inlineStr">
        <is>
          <t>2022-11-07</t>
        </is>
      </c>
      <c r="B1709" s="2" t="inlineStr">
        <is>
          <t>2022-11-09</t>
        </is>
      </c>
      <c r="C1709" s="2" t="inlineStr">
        <is>
          <t>聚丙烯</t>
        </is>
      </c>
      <c r="D1709" s="2" t="inlineStr">
        <is>
          <t>PP</t>
        </is>
      </c>
      <c r="E1709" s="9" t="inlineStr">
        <is>
          <t>空</t>
        </is>
      </c>
      <c r="F1709" s="2" t="inlineStr">
        <is>
          <t>★★★</t>
        </is>
      </c>
      <c r="G1709" s="10" t="n">
        <v>13</v>
      </c>
      <c r="H1709" s="11" t="n">
        <v>7565</v>
      </c>
      <c r="I1709" s="11" t="n">
        <v>7669</v>
      </c>
      <c r="J1709" s="10" t="n">
        <v>5</v>
      </c>
      <c r="K1709" s="10" t="n">
        <v>30000</v>
      </c>
      <c r="L1709" s="23">
        <f>IF(E1709="多",1,-1)*(I1709-H1709)*G1709*J1709</f>
        <v/>
      </c>
      <c r="M1709" s="24">
        <f>L1709/K1709</f>
        <v/>
      </c>
      <c r="N1709" s="2" t="inlineStr">
        <is>
          <t>反向信号</t>
        </is>
      </c>
      <c r="O1709" s="2" t="inlineStr">
        <is>
          <t>否</t>
        </is>
      </c>
    </row>
    <row r="1710">
      <c r="A1710" s="14" t="inlineStr">
        <is>
          <t>2022-11-03</t>
        </is>
      </c>
      <c r="B1710" s="14" t="inlineStr">
        <is>
          <t>2022-11-04</t>
        </is>
      </c>
      <c r="C1710" s="14" t="inlineStr">
        <is>
          <t>沥青</t>
        </is>
      </c>
      <c r="D1710" s="14" t="inlineStr">
        <is>
          <t>BU</t>
        </is>
      </c>
      <c r="E1710" s="14" t="inlineStr">
        <is>
          <t>空</t>
        </is>
      </c>
      <c r="F1710" s="14" t="inlineStr">
        <is>
          <t>★★</t>
        </is>
      </c>
      <c r="G1710" s="14" t="n">
        <v>3</v>
      </c>
      <c r="H1710" s="15" t="n">
        <v>3580</v>
      </c>
      <c r="I1710" s="15" t="n">
        <v>3592</v>
      </c>
      <c r="J1710" s="14" t="n">
        <v>10</v>
      </c>
      <c r="K1710" s="14" t="n">
        <v>10000</v>
      </c>
      <c r="L1710" s="25">
        <f>IF(E1710="多",1,-1)*(I1710-H1710)*G1710*J1710</f>
        <v/>
      </c>
      <c r="M1710" s="26">
        <f>L1710/K1710</f>
        <v/>
      </c>
      <c r="N1710" s="14" t="inlineStr">
        <is>
          <t>大将军转向</t>
        </is>
      </c>
      <c r="O1710" s="14" t="inlineStr">
        <is>
          <t>是</t>
        </is>
      </c>
    </row>
    <row r="1711">
      <c r="A1711" s="14" t="inlineStr">
        <is>
          <t>2022-11-02</t>
        </is>
      </c>
      <c r="B1711" s="14" t="inlineStr">
        <is>
          <t>2022-11-03</t>
        </is>
      </c>
      <c r="C1711" s="14" t="inlineStr">
        <is>
          <t>铁矿石</t>
        </is>
      </c>
      <c r="D1711" s="14" t="inlineStr">
        <is>
          <t>I</t>
        </is>
      </c>
      <c r="E1711" s="14" t="inlineStr">
        <is>
          <t>多</t>
        </is>
      </c>
      <c r="F1711" s="14" t="inlineStr">
        <is>
          <t>★★</t>
        </is>
      </c>
      <c r="G1711" s="14" t="n">
        <v>1</v>
      </c>
      <c r="H1711" s="15" t="n">
        <v>627.5</v>
      </c>
      <c r="I1711" s="15" t="n">
        <v>634.5</v>
      </c>
      <c r="J1711" s="14" t="n">
        <v>100</v>
      </c>
      <c r="K1711" s="14" t="n">
        <v>10000</v>
      </c>
      <c r="L1711" s="25">
        <f>IF(E1711="多",1,-1)*(I1711-H1711)*G1711*J1711</f>
        <v/>
      </c>
      <c r="M1711" s="26">
        <f>L1711/K1711</f>
        <v/>
      </c>
      <c r="N1711" s="14" t="inlineStr">
        <is>
          <t>大将军转向</t>
        </is>
      </c>
      <c r="O1711" s="14" t="inlineStr">
        <is>
          <t>是</t>
        </is>
      </c>
    </row>
    <row r="1712">
      <c r="A1712" s="2" t="inlineStr">
        <is>
          <t>2022-10-26</t>
        </is>
      </c>
      <c r="B1712" s="2" t="inlineStr">
        <is>
          <t>2022-11-03</t>
        </is>
      </c>
      <c r="C1712" s="2" t="inlineStr">
        <is>
          <t>锰硅</t>
        </is>
      </c>
      <c r="D1712" s="2" t="inlineStr">
        <is>
          <t>SM</t>
        </is>
      </c>
      <c r="E1712" s="9" t="inlineStr">
        <is>
          <t>空</t>
        </is>
      </c>
      <c r="F1712" s="2" t="inlineStr">
        <is>
          <t>★★★</t>
        </is>
      </c>
      <c r="G1712" s="10" t="n">
        <v>14</v>
      </c>
      <c r="H1712" s="11" t="n">
        <v>6980</v>
      </c>
      <c r="I1712" s="11" t="n">
        <v>7143</v>
      </c>
      <c r="J1712" s="10" t="n">
        <v>5</v>
      </c>
      <c r="K1712" s="10" t="n">
        <v>29400</v>
      </c>
      <c r="L1712" s="23">
        <f>IF(E1712="多",1,-1)*(I1712-H1712)*G1712*J1712</f>
        <v/>
      </c>
      <c r="M1712" s="24">
        <f>L1712/K1712</f>
        <v/>
      </c>
      <c r="N1712" s="2" t="inlineStr">
        <is>
          <t>止损</t>
        </is>
      </c>
      <c r="O1712" s="2" t="inlineStr">
        <is>
          <t>否</t>
        </is>
      </c>
    </row>
    <row r="1713">
      <c r="A1713" s="2" t="inlineStr">
        <is>
          <t>2022-10-24</t>
        </is>
      </c>
      <c r="B1713" s="2" t="inlineStr">
        <is>
          <t>2022-11-02</t>
        </is>
      </c>
      <c r="C1713" s="2" t="inlineStr">
        <is>
          <t>乙二醇</t>
        </is>
      </c>
      <c r="D1713" s="2" t="inlineStr">
        <is>
          <t>EG</t>
        </is>
      </c>
      <c r="E1713" s="9" t="inlineStr">
        <is>
          <t>空</t>
        </is>
      </c>
      <c r="F1713" s="2" t="inlineStr">
        <is>
          <t>★★★</t>
        </is>
      </c>
      <c r="G1713" s="10" t="n">
        <v>10</v>
      </c>
      <c r="H1713" s="11" t="n">
        <v>4010</v>
      </c>
      <c r="I1713" s="11" t="n">
        <v>3854</v>
      </c>
      <c r="J1713" s="10" t="n">
        <v>10</v>
      </c>
      <c r="K1713" s="10" t="n">
        <v>30000</v>
      </c>
      <c r="L1713" s="23">
        <f>IF(E1713="多",1,-1)*(I1713-H1713)*G1713*J1713</f>
        <v/>
      </c>
      <c r="M1713" s="24">
        <f>L1713/K1713</f>
        <v/>
      </c>
      <c r="N1713" s="2" t="inlineStr">
        <is>
          <t>将军撤退</t>
        </is>
      </c>
      <c r="O1713" s="2" t="inlineStr">
        <is>
          <t>否</t>
        </is>
      </c>
    </row>
    <row r="1714">
      <c r="A1714" s="2" t="inlineStr">
        <is>
          <t>2022-10-17</t>
        </is>
      </c>
      <c r="B1714" s="2" t="inlineStr">
        <is>
          <t>2022-11-02</t>
        </is>
      </c>
      <c r="C1714" s="2" t="inlineStr">
        <is>
          <t>燃料油</t>
        </is>
      </c>
      <c r="D1714" s="2" t="inlineStr">
        <is>
          <t>FU</t>
        </is>
      </c>
      <c r="E1714" s="9" t="inlineStr">
        <is>
          <t>空</t>
        </is>
      </c>
      <c r="F1714" s="2" t="inlineStr">
        <is>
          <t>★★★</t>
        </is>
      </c>
      <c r="G1714" s="10" t="n">
        <v>3</v>
      </c>
      <c r="H1714" s="11" t="n">
        <v>2652</v>
      </c>
      <c r="I1714" s="11" t="n">
        <v>2847.71</v>
      </c>
      <c r="J1714" s="10" t="n">
        <v>10</v>
      </c>
      <c r="K1714" s="10" t="n">
        <v>11200</v>
      </c>
      <c r="L1714" s="23">
        <f>IF(E1714="多",1,-1)*(I1714-H1714)*G1714*J1714</f>
        <v/>
      </c>
      <c r="M1714" s="24">
        <f>L1714/K1714</f>
        <v/>
      </c>
      <c r="N1714" s="2" t="inlineStr">
        <is>
          <t>止损</t>
        </is>
      </c>
      <c r="O1714" s="2" t="inlineStr">
        <is>
          <t>否</t>
        </is>
      </c>
    </row>
    <row r="1715">
      <c r="A1715" s="14" t="inlineStr">
        <is>
          <t>2022-10-18</t>
        </is>
      </c>
      <c r="B1715" s="14" t="inlineStr">
        <is>
          <t>2022-11-01</t>
        </is>
      </c>
      <c r="C1715" s="14" t="inlineStr">
        <is>
          <t>聚丙烯</t>
        </is>
      </c>
      <c r="D1715" s="14" t="inlineStr">
        <is>
          <t>PP</t>
        </is>
      </c>
      <c r="E1715" s="14" t="inlineStr">
        <is>
          <t>空</t>
        </is>
      </c>
      <c r="F1715" s="14" t="inlineStr">
        <is>
          <t>★★★</t>
        </is>
      </c>
      <c r="G1715" s="14" t="n">
        <v>4</v>
      </c>
      <c r="H1715" s="15" t="n">
        <v>7630</v>
      </c>
      <c r="I1715" s="15" t="n">
        <v>7555</v>
      </c>
      <c r="J1715" s="14" t="n">
        <v>5</v>
      </c>
      <c r="K1715" s="14" t="n">
        <v>10000</v>
      </c>
      <c r="L1715" s="25">
        <f>IF(E1715="多",1,-1)*(I1715-H1715)*G1715*J1715</f>
        <v/>
      </c>
      <c r="M1715" s="26">
        <f>L1715/K1715</f>
        <v/>
      </c>
      <c r="N1715" s="14" t="inlineStr">
        <is>
          <t>大将军转向</t>
        </is>
      </c>
      <c r="O1715" s="14" t="inlineStr">
        <is>
          <t>是</t>
        </is>
      </c>
    </row>
    <row r="1716">
      <c r="A1716" s="2" t="inlineStr">
        <is>
          <t>2022-10-20</t>
        </is>
      </c>
      <c r="B1716" s="2" t="inlineStr">
        <is>
          <t>2022-10-31</t>
        </is>
      </c>
      <c r="C1716" s="2" t="inlineStr">
        <is>
          <t>热卷</t>
        </is>
      </c>
      <c r="D1716" s="2" t="inlineStr">
        <is>
          <t>HC</t>
        </is>
      </c>
      <c r="E1716" s="9" t="inlineStr">
        <is>
          <t>空</t>
        </is>
      </c>
      <c r="F1716" s="2" t="inlineStr">
        <is>
          <t>★★★</t>
        </is>
      </c>
      <c r="G1716" s="10" t="n">
        <v>12</v>
      </c>
      <c r="H1716" s="11" t="n">
        <v>3629</v>
      </c>
      <c r="I1716" s="11" t="n">
        <v>3457</v>
      </c>
      <c r="J1716" s="10" t="n">
        <v>10</v>
      </c>
      <c r="K1716" s="10" t="n">
        <v>29400</v>
      </c>
      <c r="L1716" s="23">
        <f>IF(E1716="多",1,-1)*(I1716-H1716)*G1716*J1716</f>
        <v/>
      </c>
      <c r="M1716" s="24">
        <f>L1716/K1716</f>
        <v/>
      </c>
      <c r="N1716" s="2" t="inlineStr">
        <is>
          <t>将军撤退+大将军转向</t>
        </is>
      </c>
      <c r="O1716" s="2" t="inlineStr">
        <is>
          <t>否</t>
        </is>
      </c>
    </row>
    <row r="1717">
      <c r="A1717" s="14" t="inlineStr">
        <is>
          <t>2022-10-20</t>
        </is>
      </c>
      <c r="B1717" s="14" t="inlineStr">
        <is>
          <t>2022-10-31</t>
        </is>
      </c>
      <c r="C1717" s="14" t="inlineStr">
        <is>
          <t>沥青</t>
        </is>
      </c>
      <c r="D1717" s="14" t="inlineStr">
        <is>
          <t>BU</t>
        </is>
      </c>
      <c r="E1717" s="14" t="inlineStr">
        <is>
          <t>空</t>
        </is>
      </c>
      <c r="F1717" s="14" t="inlineStr">
        <is>
          <t>★★</t>
        </is>
      </c>
      <c r="G1717" s="14" t="n">
        <v>3</v>
      </c>
      <c r="H1717" s="15" t="n">
        <v>3840</v>
      </c>
      <c r="I1717" s="15" t="n">
        <v>3723</v>
      </c>
      <c r="J1717" s="14" t="n">
        <v>10</v>
      </c>
      <c r="K1717" s="14" t="n">
        <v>10000</v>
      </c>
      <c r="L1717" s="25">
        <f>IF(E1717="多",1,-1)*(I1717-H1717)*G1717*J1717</f>
        <v/>
      </c>
      <c r="M1717" s="26">
        <f>L1717/K1717</f>
        <v/>
      </c>
      <c r="N1717" s="14" t="inlineStr">
        <is>
          <t>将军撤退</t>
        </is>
      </c>
      <c r="O1717" s="14" t="inlineStr">
        <is>
          <t>是</t>
        </is>
      </c>
    </row>
    <row r="1718">
      <c r="A1718" s="14" t="inlineStr">
        <is>
          <t>2022-10-21</t>
        </is>
      </c>
      <c r="B1718" s="14" t="inlineStr">
        <is>
          <t>2022-10-28</t>
        </is>
      </c>
      <c r="C1718" s="14" t="inlineStr">
        <is>
          <t>塑料</t>
        </is>
      </c>
      <c r="D1718" s="14" t="inlineStr">
        <is>
          <t>L</t>
        </is>
      </c>
      <c r="E1718" s="14" t="inlineStr">
        <is>
          <t>空</t>
        </is>
      </c>
      <c r="F1718" s="14" t="inlineStr">
        <is>
          <t>★★★</t>
        </is>
      </c>
      <c r="G1718" s="14" t="n">
        <v>4</v>
      </c>
      <c r="H1718" s="15" t="n">
        <v>7728</v>
      </c>
      <c r="I1718" s="15" t="n">
        <v>7734</v>
      </c>
      <c r="J1718" s="14" t="n">
        <v>5</v>
      </c>
      <c r="K1718" s="14" t="n">
        <v>10000</v>
      </c>
      <c r="L1718" s="25">
        <f>IF(E1718="多",1,-1)*(I1718-H1718)*G1718*J1718</f>
        <v/>
      </c>
      <c r="M1718" s="26">
        <f>L1718/K1718</f>
        <v/>
      </c>
      <c r="N1718" s="14" t="inlineStr">
        <is>
          <t>大将军转向</t>
        </is>
      </c>
      <c r="O1718" s="14" t="inlineStr">
        <is>
          <t>是</t>
        </is>
      </c>
    </row>
    <row r="1719">
      <c r="A1719" s="14" t="inlineStr">
        <is>
          <t>2022-10-26</t>
        </is>
      </c>
      <c r="B1719" s="14" t="inlineStr">
        <is>
          <t>2022-10-27</t>
        </is>
      </c>
      <c r="C1719" s="14" t="inlineStr">
        <is>
          <t>玉米</t>
        </is>
      </c>
      <c r="D1719" s="14" t="inlineStr">
        <is>
          <t>C</t>
        </is>
      </c>
      <c r="E1719" s="14" t="inlineStr">
        <is>
          <t>多</t>
        </is>
      </c>
      <c r="F1719" s="14" t="inlineStr">
        <is>
          <t>★★</t>
        </is>
      </c>
      <c r="G1719" s="14" t="n">
        <v>11</v>
      </c>
      <c r="H1719" s="15" t="n">
        <v>2871</v>
      </c>
      <c r="I1719" s="15" t="n">
        <v>2873</v>
      </c>
      <c r="J1719" s="14" t="n">
        <v>10</v>
      </c>
      <c r="K1719" s="14" t="n">
        <v>10000</v>
      </c>
      <c r="L1719" s="25">
        <f>IF(E1719="多",1,-1)*(I1719-H1719)*G1719*J1719</f>
        <v/>
      </c>
      <c r="M1719" s="26">
        <f>L1719/K1719</f>
        <v/>
      </c>
      <c r="N1719" s="14" t="inlineStr">
        <is>
          <t>大将军转向</t>
        </is>
      </c>
      <c r="O1719" s="14" t="inlineStr">
        <is>
          <t>是</t>
        </is>
      </c>
    </row>
    <row r="1720">
      <c r="A1720" s="14" t="inlineStr">
        <is>
          <t>2022-10-25</t>
        </is>
      </c>
      <c r="B1720" s="14" t="inlineStr">
        <is>
          <t>2022-10-26</t>
        </is>
      </c>
      <c r="C1720" s="14" t="inlineStr">
        <is>
          <t>螺纹钢</t>
        </is>
      </c>
      <c r="D1720" s="14" t="inlineStr">
        <is>
          <t>RB</t>
        </is>
      </c>
      <c r="E1720" s="14" t="inlineStr">
        <is>
          <t>空</t>
        </is>
      </c>
      <c r="F1720" s="14" t="inlineStr">
        <is>
          <t>★★</t>
        </is>
      </c>
      <c r="G1720" s="14" t="n">
        <v>4</v>
      </c>
      <c r="H1720" s="15" t="n">
        <v>3574</v>
      </c>
      <c r="I1720" s="15" t="n">
        <v>3580</v>
      </c>
      <c r="J1720" s="14" t="n">
        <v>10</v>
      </c>
      <c r="K1720" s="14" t="n">
        <v>10000</v>
      </c>
      <c r="L1720" s="25">
        <f>IF(E1720="多",1,-1)*(I1720-H1720)*G1720*J1720</f>
        <v/>
      </c>
      <c r="M1720" s="26">
        <f>L1720/K1720</f>
        <v/>
      </c>
      <c r="N1720" s="14" t="inlineStr">
        <is>
          <t>将军撤退</t>
        </is>
      </c>
      <c r="O1720" s="14" t="inlineStr">
        <is>
          <t>是</t>
        </is>
      </c>
    </row>
    <row r="1721">
      <c r="A1721" s="14" t="inlineStr">
        <is>
          <t>2022-10-24</t>
        </is>
      </c>
      <c r="B1721" s="14" t="inlineStr">
        <is>
          <t>2022-10-26</t>
        </is>
      </c>
      <c r="C1721" s="14" t="inlineStr">
        <is>
          <t>PTA</t>
        </is>
      </c>
      <c r="D1721" s="14" t="inlineStr">
        <is>
          <t>TA</t>
        </is>
      </c>
      <c r="E1721" s="14" t="inlineStr">
        <is>
          <t>空</t>
        </is>
      </c>
      <c r="F1721" s="14" t="inlineStr">
        <is>
          <t>★★</t>
        </is>
      </c>
      <c r="G1721" s="14" t="n">
        <v>4</v>
      </c>
      <c r="H1721" s="15" t="n">
        <v>5294</v>
      </c>
      <c r="I1721" s="15" t="n">
        <v>5232</v>
      </c>
      <c r="J1721" s="14" t="n">
        <v>5</v>
      </c>
      <c r="K1721" s="14" t="n">
        <v>10000</v>
      </c>
      <c r="L1721" s="25">
        <f>IF(E1721="多",1,-1)*(I1721-H1721)*G1721*J1721</f>
        <v/>
      </c>
      <c r="M1721" s="26">
        <f>L1721/K1721</f>
        <v/>
      </c>
      <c r="N1721" s="14" t="inlineStr">
        <is>
          <t>将军撤退+大将军转向</t>
        </is>
      </c>
      <c r="O1721" s="14" t="inlineStr">
        <is>
          <t>是</t>
        </is>
      </c>
    </row>
    <row r="1722">
      <c r="A1722" s="2" t="inlineStr">
        <is>
          <t>2022-09-30</t>
        </is>
      </c>
      <c r="B1722" s="2" t="inlineStr">
        <is>
          <t>2022-10-25</t>
        </is>
      </c>
      <c r="C1722" s="2" t="inlineStr">
        <is>
          <t>沪银</t>
        </is>
      </c>
      <c r="D1722" s="2" t="inlineStr">
        <is>
          <t>AG</t>
        </is>
      </c>
      <c r="E1722" s="19" t="inlineStr">
        <is>
          <t>多</t>
        </is>
      </c>
      <c r="F1722" s="2" t="inlineStr">
        <is>
          <t>★★★</t>
        </is>
      </c>
      <c r="G1722" s="10" t="n">
        <v>6</v>
      </c>
      <c r="H1722" s="11" t="n">
        <v>4580</v>
      </c>
      <c r="I1722" s="11" t="n">
        <v>4575</v>
      </c>
      <c r="J1722" s="10" t="n">
        <v>15</v>
      </c>
      <c r="K1722" s="10" t="n">
        <v>29400</v>
      </c>
      <c r="L1722" s="23">
        <f>IF(E1722="多",1,-1)*(I1722-H1722)*G1722*J1722</f>
        <v/>
      </c>
      <c r="M1722" s="24">
        <f>L1722/K1722</f>
        <v/>
      </c>
      <c r="N1722" s="2" t="inlineStr">
        <is>
          <t>大将军转向</t>
        </is>
      </c>
      <c r="O1722" s="2" t="inlineStr">
        <is>
          <t>否</t>
        </is>
      </c>
    </row>
    <row r="1723">
      <c r="A1723" s="2" t="inlineStr">
        <is>
          <t>2022-10-21</t>
        </is>
      </c>
      <c r="B1723" s="2" t="inlineStr">
        <is>
          <t>2022-10-24</t>
        </is>
      </c>
      <c r="C1723" s="2" t="inlineStr">
        <is>
          <t>豆油</t>
        </is>
      </c>
      <c r="D1723" s="2" t="inlineStr">
        <is>
          <t>Y</t>
        </is>
      </c>
      <c r="E1723" s="19" t="inlineStr">
        <is>
          <t>多</t>
        </is>
      </c>
      <c r="F1723" s="2" t="inlineStr">
        <is>
          <t>★★★</t>
        </is>
      </c>
      <c r="G1723" s="10" t="n">
        <v>4</v>
      </c>
      <c r="H1723" s="11" t="n">
        <v>9550</v>
      </c>
      <c r="I1723" s="11" t="n">
        <v>9488</v>
      </c>
      <c r="J1723" s="10" t="n">
        <v>10</v>
      </c>
      <c r="K1723" s="10" t="n">
        <v>30000</v>
      </c>
      <c r="L1723" s="23">
        <f>IF(E1723="多",1,-1)*(I1723-H1723)*G1723*J1723</f>
        <v/>
      </c>
      <c r="M1723" s="24">
        <f>L1723/K1723</f>
        <v/>
      </c>
      <c r="N1723" s="2" t="inlineStr">
        <is>
          <t>将军撤退</t>
        </is>
      </c>
      <c r="O1723" s="2" t="inlineStr">
        <is>
          <t>否</t>
        </is>
      </c>
    </row>
    <row r="1724">
      <c r="A1724" s="14" t="inlineStr">
        <is>
          <t>2022-10-20</t>
        </is>
      </c>
      <c r="B1724" s="14" t="inlineStr">
        <is>
          <t>2022-10-21</t>
        </is>
      </c>
      <c r="C1724" s="14" t="inlineStr">
        <is>
          <t>纯碱</t>
        </is>
      </c>
      <c r="D1724" s="14" t="inlineStr">
        <is>
          <t>SA</t>
        </is>
      </c>
      <c r="E1724" s="14" t="inlineStr">
        <is>
          <t>空</t>
        </is>
      </c>
      <c r="F1724" s="14" t="inlineStr">
        <is>
          <t>★★</t>
        </is>
      </c>
      <c r="G1724" s="14" t="n">
        <v>3</v>
      </c>
      <c r="H1724" s="15" t="n">
        <v>2440</v>
      </c>
      <c r="I1724" s="15" t="n">
        <v>2432</v>
      </c>
      <c r="J1724" s="14" t="n">
        <v>20</v>
      </c>
      <c r="K1724" s="14" t="n">
        <v>10000</v>
      </c>
      <c r="L1724" s="25">
        <f>IF(E1724="多",1,-1)*(I1724-H1724)*G1724*J1724</f>
        <v/>
      </c>
      <c r="M1724" s="26">
        <f>L1724/K1724</f>
        <v/>
      </c>
      <c r="N1724" s="14" t="inlineStr">
        <is>
          <t>大将军转向</t>
        </is>
      </c>
      <c r="O1724" s="14" t="inlineStr">
        <is>
          <t>是</t>
        </is>
      </c>
    </row>
    <row r="1725">
      <c r="A1725" s="14" t="inlineStr">
        <is>
          <t>2022-10-20</t>
        </is>
      </c>
      <c r="B1725" s="14" t="inlineStr">
        <is>
          <t>2022-10-21</t>
        </is>
      </c>
      <c r="C1725" s="14" t="inlineStr">
        <is>
          <t>棕榈油</t>
        </is>
      </c>
      <c r="D1725" s="14" t="inlineStr">
        <is>
          <t>P</t>
        </is>
      </c>
      <c r="E1725" s="14" t="inlineStr">
        <is>
          <t>多</t>
        </is>
      </c>
      <c r="F1725" s="14" t="inlineStr">
        <is>
          <t>★★</t>
        </is>
      </c>
      <c r="G1725" s="14" t="n">
        <v>1</v>
      </c>
      <c r="H1725" s="15" t="n">
        <v>8220</v>
      </c>
      <c r="I1725" s="15" t="n">
        <v>8192</v>
      </c>
      <c r="J1725" s="14" t="n">
        <v>10</v>
      </c>
      <c r="K1725" s="14" t="n">
        <v>10000</v>
      </c>
      <c r="L1725" s="25">
        <f>IF(E1725="多",1,-1)*(I1725-H1725)*G1725*J1725</f>
        <v/>
      </c>
      <c r="M1725" s="26">
        <f>L1725/K1725</f>
        <v/>
      </c>
      <c r="N1725" s="14" t="inlineStr">
        <is>
          <t>将军撤退</t>
        </is>
      </c>
      <c r="O1725" s="14" t="inlineStr">
        <is>
          <t>是</t>
        </is>
      </c>
    </row>
    <row r="1726">
      <c r="A1726" s="2" t="inlineStr">
        <is>
          <t>2022-10-19</t>
        </is>
      </c>
      <c r="B1726" s="2" t="inlineStr">
        <is>
          <t>2022-10-21</t>
        </is>
      </c>
      <c r="C1726" s="2" t="inlineStr">
        <is>
          <t>棉花</t>
        </is>
      </c>
      <c r="D1726" s="2" t="inlineStr">
        <is>
          <t>CF</t>
        </is>
      </c>
      <c r="E1726" s="9" t="inlineStr">
        <is>
          <t>空</t>
        </is>
      </c>
      <c r="F1726" s="2" t="inlineStr">
        <is>
          <t>★★★</t>
        </is>
      </c>
      <c r="G1726" s="10" t="n">
        <v>5</v>
      </c>
      <c r="H1726" s="11" t="n">
        <v>13455</v>
      </c>
      <c r="I1726" s="11" t="n">
        <v>13225</v>
      </c>
      <c r="J1726" s="10" t="n">
        <v>5</v>
      </c>
      <c r="K1726" s="10" t="n">
        <v>30000</v>
      </c>
      <c r="L1726" s="23">
        <f>IF(E1726="多",1,-1)*(I1726-H1726)*G1726*J1726</f>
        <v/>
      </c>
      <c r="M1726" s="24">
        <f>L1726/K1726</f>
        <v/>
      </c>
      <c r="N1726" s="2" t="inlineStr">
        <is>
          <t>将军撤退</t>
        </is>
      </c>
      <c r="O1726" s="2" t="inlineStr">
        <is>
          <t>否</t>
        </is>
      </c>
    </row>
    <row r="1727">
      <c r="A1727" s="14" t="inlineStr">
        <is>
          <t>2022-10-18</t>
        </is>
      </c>
      <c r="B1727" s="14" t="inlineStr">
        <is>
          <t>2022-10-21</t>
        </is>
      </c>
      <c r="C1727" s="14" t="inlineStr">
        <is>
          <t>乙二醇</t>
        </is>
      </c>
      <c r="D1727" s="14" t="inlineStr">
        <is>
          <t>EG</t>
        </is>
      </c>
      <c r="E1727" s="14" t="inlineStr">
        <is>
          <t>空</t>
        </is>
      </c>
      <c r="F1727" s="14" t="inlineStr">
        <is>
          <t>★★★</t>
        </is>
      </c>
      <c r="G1727" s="14" t="n">
        <v>3</v>
      </c>
      <c r="H1727" s="15" t="n">
        <v>4040</v>
      </c>
      <c r="I1727" s="15" t="n">
        <v>4038</v>
      </c>
      <c r="J1727" s="14" t="n">
        <v>10</v>
      </c>
      <c r="K1727" s="14" t="n">
        <v>10000</v>
      </c>
      <c r="L1727" s="25">
        <f>IF(E1727="多",1,-1)*(I1727-H1727)*G1727*J1727</f>
        <v/>
      </c>
      <c r="M1727" s="26">
        <f>L1727/K1727</f>
        <v/>
      </c>
      <c r="N1727" s="14" t="inlineStr">
        <is>
          <t>将军撤退</t>
        </is>
      </c>
      <c r="O1727" s="14" t="inlineStr">
        <is>
          <t>是</t>
        </is>
      </c>
    </row>
    <row r="1728">
      <c r="A1728" s="2" t="inlineStr">
        <is>
          <t>2022-10-18</t>
        </is>
      </c>
      <c r="B1728" s="2" t="inlineStr">
        <is>
          <t>2022-10-20</t>
        </is>
      </c>
      <c r="C1728" s="2" t="inlineStr">
        <is>
          <t>豆油</t>
        </is>
      </c>
      <c r="D1728" s="2" t="inlineStr">
        <is>
          <t>Y</t>
        </is>
      </c>
      <c r="E1728" s="19" t="inlineStr">
        <is>
          <t>多</t>
        </is>
      </c>
      <c r="F1728" s="2" t="inlineStr">
        <is>
          <t>★★★</t>
        </is>
      </c>
      <c r="G1728" s="10" t="n">
        <v>4</v>
      </c>
      <c r="H1728" s="11" t="n">
        <v>9500</v>
      </c>
      <c r="I1728" s="11" t="n">
        <v>9584</v>
      </c>
      <c r="J1728" s="10" t="n">
        <v>10</v>
      </c>
      <c r="K1728" s="10" t="n">
        <v>29400</v>
      </c>
      <c r="L1728" s="23">
        <f>IF(E1728="多",1,-1)*(I1728-H1728)*G1728*J1728</f>
        <v/>
      </c>
      <c r="M1728" s="24">
        <f>L1728/K1728</f>
        <v/>
      </c>
      <c r="N1728" s="2" t="inlineStr">
        <is>
          <t>将军撤退</t>
        </is>
      </c>
      <c r="O1728" s="2" t="inlineStr">
        <is>
          <t>否</t>
        </is>
      </c>
    </row>
    <row r="1729">
      <c r="A1729" s="14" t="inlineStr">
        <is>
          <t>2022-10-17</t>
        </is>
      </c>
      <c r="B1729" s="14" t="inlineStr">
        <is>
          <t>2022-10-20</t>
        </is>
      </c>
      <c r="C1729" s="14" t="inlineStr">
        <is>
          <t>螺纹钢</t>
        </is>
      </c>
      <c r="D1729" s="14" t="inlineStr">
        <is>
          <t>RB</t>
        </is>
      </c>
      <c r="E1729" s="14" t="inlineStr">
        <is>
          <t>空</t>
        </is>
      </c>
      <c r="F1729" s="14" t="inlineStr">
        <is>
          <t>★★</t>
        </is>
      </c>
      <c r="G1729" s="14" t="n">
        <v>4</v>
      </c>
      <c r="H1729" s="15" t="n">
        <v>3675</v>
      </c>
      <c r="I1729" s="15" t="n">
        <v>3594</v>
      </c>
      <c r="J1729" s="14" t="n">
        <v>10</v>
      </c>
      <c r="K1729" s="14" t="n">
        <v>10000</v>
      </c>
      <c r="L1729" s="25">
        <f>IF(E1729="多",1,-1)*(I1729-H1729)*G1729*J1729</f>
        <v/>
      </c>
      <c r="M1729" s="26">
        <f>L1729/K1729</f>
        <v/>
      </c>
      <c r="N1729" s="14" t="inlineStr">
        <is>
          <t>大将军转向</t>
        </is>
      </c>
      <c r="O1729" s="14" t="inlineStr">
        <is>
          <t>是</t>
        </is>
      </c>
    </row>
    <row r="1730">
      <c r="A1730" s="14" t="inlineStr">
        <is>
          <t>2022-10-17</t>
        </is>
      </c>
      <c r="B1730" s="14" t="inlineStr">
        <is>
          <t>2022-10-20</t>
        </is>
      </c>
      <c r="C1730" s="14" t="inlineStr">
        <is>
          <t>沪铝</t>
        </is>
      </c>
      <c r="D1730" s="14" t="inlineStr">
        <is>
          <t>AL</t>
        </is>
      </c>
      <c r="E1730" s="14" t="inlineStr">
        <is>
          <t>空</t>
        </is>
      </c>
      <c r="F1730" s="14" t="inlineStr">
        <is>
          <t>★★</t>
        </is>
      </c>
      <c r="G1730" s="14" t="n">
        <v>1</v>
      </c>
      <c r="H1730" s="15" t="n">
        <v>18400</v>
      </c>
      <c r="I1730" s="15" t="n">
        <v>18460</v>
      </c>
      <c r="J1730" s="14" t="n">
        <v>5</v>
      </c>
      <c r="K1730" s="14" t="n">
        <v>10000</v>
      </c>
      <c r="L1730" s="25">
        <f>IF(E1730="多",1,-1)*(I1730-H1730)*G1730*J1730</f>
        <v/>
      </c>
      <c r="M1730" s="26">
        <f>L1730/K1730</f>
        <v/>
      </c>
      <c r="N1730" s="14" t="inlineStr">
        <is>
          <t>将军撤退+大将军转向</t>
        </is>
      </c>
      <c r="O1730" s="14" t="inlineStr">
        <is>
          <t>是</t>
        </is>
      </c>
    </row>
    <row r="1731">
      <c r="A1731" s="14" t="inlineStr">
        <is>
          <t>2022-10-12</t>
        </is>
      </c>
      <c r="B1731" s="14" t="inlineStr">
        <is>
          <t>2022-10-20</t>
        </is>
      </c>
      <c r="C1731" s="14" t="inlineStr">
        <is>
          <t>沥青</t>
        </is>
      </c>
      <c r="D1731" s="14" t="inlineStr">
        <is>
          <t>BU</t>
        </is>
      </c>
      <c r="E1731" s="14" t="inlineStr">
        <is>
          <t>多</t>
        </is>
      </c>
      <c r="F1731" s="14" t="inlineStr">
        <is>
          <t>★★</t>
        </is>
      </c>
      <c r="G1731" s="14" t="n">
        <v>3</v>
      </c>
      <c r="H1731" s="15" t="n">
        <v>3989</v>
      </c>
      <c r="I1731" s="15" t="n">
        <v>3845</v>
      </c>
      <c r="J1731" s="14" t="n">
        <v>10</v>
      </c>
      <c r="K1731" s="14" t="n">
        <v>10000</v>
      </c>
      <c r="L1731" s="25">
        <f>IF(E1731="多",1,-1)*(I1731-H1731)*G1731*J1731</f>
        <v/>
      </c>
      <c r="M1731" s="26">
        <f>L1731/K1731</f>
        <v/>
      </c>
      <c r="N1731" s="14" t="inlineStr">
        <is>
          <t>反向信号</t>
        </is>
      </c>
      <c r="O1731" s="14" t="inlineStr">
        <is>
          <t>是</t>
        </is>
      </c>
    </row>
    <row r="1732">
      <c r="A1732" s="2" t="inlineStr">
        <is>
          <t>2022-08-12</t>
        </is>
      </c>
      <c r="B1732" s="2" t="inlineStr">
        <is>
          <t>2022-10-19</t>
        </is>
      </c>
      <c r="C1732" s="2" t="inlineStr">
        <is>
          <t>豆粕</t>
        </is>
      </c>
      <c r="D1732" s="2" t="inlineStr">
        <is>
          <t>M</t>
        </is>
      </c>
      <c r="E1732" s="19" t="inlineStr">
        <is>
          <t>多</t>
        </is>
      </c>
      <c r="F1732" s="2" t="inlineStr">
        <is>
          <t>★★★</t>
        </is>
      </c>
      <c r="G1732" s="10" t="n">
        <v>12</v>
      </c>
      <c r="H1732" s="11" t="n">
        <v>3745</v>
      </c>
      <c r="I1732" s="11" t="n">
        <v>3986.64</v>
      </c>
      <c r="J1732" s="10" t="n">
        <v>10</v>
      </c>
      <c r="K1732" s="10" t="n">
        <v>30000</v>
      </c>
      <c r="L1732" s="23">
        <f>IF(E1732="多",1,-1)*(I1732-H1732)*G1732*J1732</f>
        <v/>
      </c>
      <c r="M1732" s="24">
        <f>L1732/K1732</f>
        <v/>
      </c>
      <c r="N1732" s="2" t="inlineStr">
        <is>
          <t>止损</t>
        </is>
      </c>
      <c r="O1732" s="2" t="inlineStr">
        <is>
          <t>否</t>
        </is>
      </c>
    </row>
    <row r="1733">
      <c r="A1733" s="2" t="inlineStr">
        <is>
          <t>2022-10-13</t>
        </is>
      </c>
      <c r="B1733" s="2" t="inlineStr">
        <is>
          <t>2022-10-18</t>
        </is>
      </c>
      <c r="C1733" s="2" t="inlineStr">
        <is>
          <t>热卷</t>
        </is>
      </c>
      <c r="D1733" s="2" t="inlineStr">
        <is>
          <t>HC</t>
        </is>
      </c>
      <c r="E1733" s="9" t="inlineStr">
        <is>
          <t>空</t>
        </is>
      </c>
      <c r="F1733" s="2" t="inlineStr">
        <is>
          <t>★★★</t>
        </is>
      </c>
      <c r="G1733" s="10" t="n">
        <v>13</v>
      </c>
      <c r="H1733" s="11" t="n">
        <v>3710</v>
      </c>
      <c r="I1733" s="11" t="n">
        <v>3690</v>
      </c>
      <c r="J1733" s="10" t="n">
        <v>10</v>
      </c>
      <c r="K1733" s="10" t="n">
        <v>29400</v>
      </c>
      <c r="L1733" s="23">
        <f>IF(E1733="多",1,-1)*(I1733-H1733)*G1733*J1733</f>
        <v/>
      </c>
      <c r="M1733" s="24">
        <f>L1733/K1733</f>
        <v/>
      </c>
      <c r="N1733" s="2" t="inlineStr">
        <is>
          <t>大将军转向</t>
        </is>
      </c>
      <c r="O1733" s="2" t="inlineStr">
        <is>
          <t>否</t>
        </is>
      </c>
    </row>
    <row r="1734">
      <c r="A1734" s="14" t="inlineStr">
        <is>
          <t>2022-10-13</t>
        </is>
      </c>
      <c r="B1734" s="14" t="inlineStr">
        <is>
          <t>2022-10-17</t>
        </is>
      </c>
      <c r="C1734" s="14" t="inlineStr">
        <is>
          <t>PTA</t>
        </is>
      </c>
      <c r="D1734" s="14" t="inlineStr">
        <is>
          <t>TA</t>
        </is>
      </c>
      <c r="E1734" s="14" t="inlineStr">
        <is>
          <t>空</t>
        </is>
      </c>
      <c r="F1734" s="14" t="inlineStr">
        <is>
          <t>★★</t>
        </is>
      </c>
      <c r="G1734" s="14" t="n">
        <v>3</v>
      </c>
      <c r="H1734" s="15" t="n">
        <v>5410</v>
      </c>
      <c r="I1734" s="15" t="n">
        <v>5418</v>
      </c>
      <c r="J1734" s="14" t="n">
        <v>5</v>
      </c>
      <c r="K1734" s="14" t="n">
        <v>10000</v>
      </c>
      <c r="L1734" s="25">
        <f>IF(E1734="多",1,-1)*(I1734-H1734)*G1734*J1734</f>
        <v/>
      </c>
      <c r="M1734" s="26">
        <f>L1734/K1734</f>
        <v/>
      </c>
      <c r="N1734" s="14" t="inlineStr">
        <is>
          <t>将军撤退</t>
        </is>
      </c>
      <c r="O1734" s="14" t="inlineStr">
        <is>
          <t>是</t>
        </is>
      </c>
    </row>
    <row r="1735">
      <c r="A1735" s="14" t="inlineStr">
        <is>
          <t>2022-09-29</t>
        </is>
      </c>
      <c r="B1735" s="14" t="inlineStr">
        <is>
          <t>2022-10-10</t>
        </is>
      </c>
      <c r="C1735" s="14" t="inlineStr">
        <is>
          <t>纯碱</t>
        </is>
      </c>
      <c r="D1735" s="14" t="inlineStr">
        <is>
          <t>SA</t>
        </is>
      </c>
      <c r="E1735" s="14" t="inlineStr">
        <is>
          <t>多</t>
        </is>
      </c>
      <c r="F1735" s="14" t="inlineStr">
        <is>
          <t>★★</t>
        </is>
      </c>
      <c r="G1735" s="14" t="n">
        <v>2</v>
      </c>
      <c r="H1735" s="15" t="n">
        <v>2498</v>
      </c>
      <c r="I1735" s="15" t="n">
        <v>2530</v>
      </c>
      <c r="J1735" s="14" t="n">
        <v>20</v>
      </c>
      <c r="K1735" s="14" t="n">
        <v>10000</v>
      </c>
      <c r="L1735" s="25">
        <f>IF(E1735="多",1,-1)*(I1735-H1735)*G1735*J1735</f>
        <v/>
      </c>
      <c r="M1735" s="26">
        <f>L1735/K1735</f>
        <v/>
      </c>
      <c r="N1735" s="14" t="inlineStr">
        <is>
          <t>将军撤退</t>
        </is>
      </c>
      <c r="O1735" s="14" t="inlineStr">
        <is>
          <t>是</t>
        </is>
      </c>
    </row>
    <row r="1736">
      <c r="A1736" s="14" t="inlineStr">
        <is>
          <t>2022-09-28</t>
        </is>
      </c>
      <c r="B1736" s="14" t="inlineStr">
        <is>
          <t>2022-10-10</t>
        </is>
      </c>
      <c r="C1736" s="14" t="inlineStr">
        <is>
          <t>PTA</t>
        </is>
      </c>
      <c r="D1736" s="14" t="inlineStr">
        <is>
          <t>TA</t>
        </is>
      </c>
      <c r="E1736" s="14" t="inlineStr">
        <is>
          <t>空</t>
        </is>
      </c>
      <c r="F1736" s="14" t="inlineStr">
        <is>
          <t>★★</t>
        </is>
      </c>
      <c r="G1736" s="14" t="n">
        <v>4</v>
      </c>
      <c r="H1736" s="15" t="n">
        <v>5256</v>
      </c>
      <c r="I1736" s="15" t="n">
        <v>5719.43</v>
      </c>
      <c r="J1736" s="14" t="n">
        <v>5</v>
      </c>
      <c r="K1736" s="14" t="n">
        <v>10000</v>
      </c>
      <c r="L1736" s="25">
        <f>IF(E1736="多",1,-1)*(I1736-H1736)*G1736*J1736</f>
        <v/>
      </c>
      <c r="M1736" s="26">
        <f>L1736/K1736</f>
        <v/>
      </c>
      <c r="N1736" s="14" t="inlineStr">
        <is>
          <t>止损</t>
        </is>
      </c>
      <c r="O1736" s="14" t="inlineStr">
        <is>
          <t>是</t>
        </is>
      </c>
    </row>
    <row r="1737">
      <c r="A1737" s="14" t="inlineStr">
        <is>
          <t>2022-09-27</t>
        </is>
      </c>
      <c r="B1737" s="14" t="inlineStr">
        <is>
          <t>2022-10-10</t>
        </is>
      </c>
      <c r="C1737" s="14" t="inlineStr">
        <is>
          <t>燃料油</t>
        </is>
      </c>
      <c r="D1737" s="14" t="inlineStr">
        <is>
          <t>FU</t>
        </is>
      </c>
      <c r="E1737" s="14" t="inlineStr">
        <is>
          <t>空</t>
        </is>
      </c>
      <c r="F1737" s="14" t="inlineStr">
        <is>
          <t>★★</t>
        </is>
      </c>
      <c r="G1737" s="14" t="n">
        <v>2</v>
      </c>
      <c r="H1737" s="15" t="n">
        <v>2660</v>
      </c>
      <c r="I1737" s="15" t="n">
        <v>3050</v>
      </c>
      <c r="J1737" s="14" t="n">
        <v>10</v>
      </c>
      <c r="K1737" s="14" t="n">
        <v>10000</v>
      </c>
      <c r="L1737" s="25">
        <f>IF(E1737="多",1,-1)*(I1737-H1737)*G1737*J1737</f>
        <v/>
      </c>
      <c r="M1737" s="26">
        <f>L1737/K1737</f>
        <v/>
      </c>
      <c r="N1737" s="14" t="inlineStr">
        <is>
          <t>跳空止损</t>
        </is>
      </c>
      <c r="O1737" s="14" t="inlineStr">
        <is>
          <t>是</t>
        </is>
      </c>
    </row>
    <row r="1738">
      <c r="A1738" s="14" t="inlineStr">
        <is>
          <t>2022-09-16</t>
        </is>
      </c>
      <c r="B1738" s="14" t="inlineStr">
        <is>
          <t>2022-10-10</t>
        </is>
      </c>
      <c r="C1738" s="14" t="inlineStr">
        <is>
          <t>硅铁</t>
        </is>
      </c>
      <c r="D1738" s="14" t="inlineStr">
        <is>
          <t>SF</t>
        </is>
      </c>
      <c r="E1738" s="14" t="inlineStr">
        <is>
          <t>空</t>
        </is>
      </c>
      <c r="F1738" s="14" t="inlineStr">
        <is>
          <t>★★</t>
        </is>
      </c>
      <c r="G1738" s="14" t="n">
        <v>2</v>
      </c>
      <c r="H1738" s="15" t="n">
        <v>8150</v>
      </c>
      <c r="I1738" s="15" t="n">
        <v>8755.860000000001</v>
      </c>
      <c r="J1738" s="14" t="n">
        <v>5</v>
      </c>
      <c r="K1738" s="14" t="n">
        <v>10000</v>
      </c>
      <c r="L1738" s="25">
        <f>IF(E1738="多",1,-1)*(I1738-H1738)*G1738*J1738</f>
        <v/>
      </c>
      <c r="M1738" s="26">
        <f>L1738/K1738</f>
        <v/>
      </c>
      <c r="N1738" s="14" t="inlineStr">
        <is>
          <t>止损</t>
        </is>
      </c>
      <c r="O1738" s="14" t="inlineStr">
        <is>
          <t>是</t>
        </is>
      </c>
    </row>
    <row r="1739">
      <c r="A1739" s="14" t="inlineStr">
        <is>
          <t>2022-09-16</t>
        </is>
      </c>
      <c r="B1739" s="14" t="inlineStr">
        <is>
          <t>2022-10-10</t>
        </is>
      </c>
      <c r="C1739" s="14" t="inlineStr">
        <is>
          <t>甲醇</t>
        </is>
      </c>
      <c r="D1739" s="14" t="inlineStr">
        <is>
          <t>MA</t>
        </is>
      </c>
      <c r="E1739" s="14" t="inlineStr">
        <is>
          <t>多</t>
        </is>
      </c>
      <c r="F1739" s="14" t="inlineStr">
        <is>
          <t>★★</t>
        </is>
      </c>
      <c r="G1739" s="14" t="n">
        <v>5</v>
      </c>
      <c r="H1739" s="15" t="n">
        <v>2749</v>
      </c>
      <c r="I1739" s="15" t="n">
        <v>2848</v>
      </c>
      <c r="J1739" s="14" t="n">
        <v>10</v>
      </c>
      <c r="K1739" s="14" t="n">
        <v>10000</v>
      </c>
      <c r="L1739" s="25">
        <f>IF(E1739="多",1,-1)*(I1739-H1739)*G1739*J1739</f>
        <v/>
      </c>
      <c r="M1739" s="26">
        <f>L1739/K1739</f>
        <v/>
      </c>
      <c r="N1739" s="14" t="inlineStr">
        <is>
          <t>大将军转向</t>
        </is>
      </c>
      <c r="O1739" s="14" t="inlineStr">
        <is>
          <t>是</t>
        </is>
      </c>
    </row>
    <row r="1740">
      <c r="A1740" s="2" t="inlineStr">
        <is>
          <t>2022-09-20</t>
        </is>
      </c>
      <c r="B1740" s="2" t="inlineStr">
        <is>
          <t>2022-09-30</t>
        </is>
      </c>
      <c r="C1740" s="2" t="inlineStr">
        <is>
          <t>棉花</t>
        </is>
      </c>
      <c r="D1740" s="2" t="inlineStr">
        <is>
          <t>CF</t>
        </is>
      </c>
      <c r="E1740" s="9" t="inlineStr">
        <is>
          <t>空</t>
        </is>
      </c>
      <c r="F1740" s="2" t="inlineStr">
        <is>
          <t>★★★</t>
        </is>
      </c>
      <c r="G1740" s="10" t="n">
        <v>2</v>
      </c>
      <c r="H1740" s="11" t="n">
        <v>14120</v>
      </c>
      <c r="I1740" s="11" t="n">
        <v>13420</v>
      </c>
      <c r="J1740" s="10" t="n">
        <v>5</v>
      </c>
      <c r="K1740" s="10" t="n">
        <v>10600</v>
      </c>
      <c r="L1740" s="23">
        <f>IF(E1740="多",1,-1)*(I1740-H1740)*G1740*J1740</f>
        <v/>
      </c>
      <c r="M1740" s="24">
        <f>L1740/K1740</f>
        <v/>
      </c>
      <c r="N1740" s="2" t="inlineStr">
        <is>
          <t>将军撤退+大将军转向</t>
        </is>
      </c>
      <c r="O1740" s="2" t="inlineStr">
        <is>
          <t>否</t>
        </is>
      </c>
    </row>
    <row r="1741">
      <c r="A1741" s="2" t="inlineStr">
        <is>
          <t>2022-08-16</t>
        </is>
      </c>
      <c r="B1741" s="2" t="inlineStr">
        <is>
          <t>2022-09-27</t>
        </is>
      </c>
      <c r="C1741" s="2" t="inlineStr">
        <is>
          <t>玉米</t>
        </is>
      </c>
      <c r="D1741" s="2" t="inlineStr">
        <is>
          <t>C</t>
        </is>
      </c>
      <c r="E1741" s="19" t="inlineStr">
        <is>
          <t>多</t>
        </is>
      </c>
      <c r="F1741" s="2" t="inlineStr">
        <is>
          <t>★★★</t>
        </is>
      </c>
      <c r="G1741" s="10" t="n">
        <v>25</v>
      </c>
      <c r="H1741" s="11" t="n">
        <v>2744</v>
      </c>
      <c r="I1741" s="11" t="n">
        <v>2779.93</v>
      </c>
      <c r="J1741" s="10" t="n">
        <v>10</v>
      </c>
      <c r="K1741" s="10" t="n">
        <v>30000</v>
      </c>
      <c r="L1741" s="23">
        <f>IF(E1741="多",1,-1)*(I1741-H1741)*G1741*J1741</f>
        <v/>
      </c>
      <c r="M1741" s="24">
        <f>L1741/K1741</f>
        <v/>
      </c>
      <c r="N1741" s="2" t="inlineStr">
        <is>
          <t>止损</t>
        </is>
      </c>
      <c r="O1741" s="2" t="inlineStr">
        <is>
          <t>否</t>
        </is>
      </c>
    </row>
    <row r="1742">
      <c r="A1742" s="14" t="inlineStr">
        <is>
          <t>2022-09-20</t>
        </is>
      </c>
      <c r="B1742" s="14" t="inlineStr">
        <is>
          <t>2022-09-26</t>
        </is>
      </c>
      <c r="C1742" s="14" t="inlineStr">
        <is>
          <t>沪铝</t>
        </is>
      </c>
      <c r="D1742" s="14" t="inlineStr">
        <is>
          <t>AL</t>
        </is>
      </c>
      <c r="E1742" s="14" t="inlineStr">
        <is>
          <t>空</t>
        </is>
      </c>
      <c r="F1742" s="14" t="inlineStr">
        <is>
          <t>★★★</t>
        </is>
      </c>
      <c r="G1742" s="14" t="n">
        <v>1</v>
      </c>
      <c r="H1742" s="15" t="n">
        <v>18585</v>
      </c>
      <c r="I1742" s="15" t="n">
        <v>18005</v>
      </c>
      <c r="J1742" s="14" t="n">
        <v>5</v>
      </c>
      <c r="K1742" s="14" t="n">
        <v>10000</v>
      </c>
      <c r="L1742" s="25">
        <f>IF(E1742="多",1,-1)*(I1742-H1742)*G1742*J1742</f>
        <v/>
      </c>
      <c r="M1742" s="26">
        <f>L1742/K1742</f>
        <v/>
      </c>
      <c r="N1742" s="14" t="inlineStr">
        <is>
          <t>将军撤退</t>
        </is>
      </c>
      <c r="O1742" s="14" t="inlineStr">
        <is>
          <t>是</t>
        </is>
      </c>
    </row>
    <row r="1743">
      <c r="A1743" s="14" t="inlineStr">
        <is>
          <t>2022-09-19</t>
        </is>
      </c>
      <c r="B1743" s="14" t="inlineStr">
        <is>
          <t>2022-09-26</t>
        </is>
      </c>
      <c r="C1743" s="14" t="inlineStr">
        <is>
          <t>白糖</t>
        </is>
      </c>
      <c r="D1743" s="14" t="inlineStr">
        <is>
          <t>SR</t>
        </is>
      </c>
      <c r="E1743" s="14" t="inlineStr">
        <is>
          <t>空</t>
        </is>
      </c>
      <c r="F1743" s="14" t="inlineStr">
        <is>
          <t>★★</t>
        </is>
      </c>
      <c r="G1743" s="14" t="n">
        <v>7</v>
      </c>
      <c r="H1743" s="15" t="n">
        <v>5576</v>
      </c>
      <c r="I1743" s="15" t="n">
        <v>5539</v>
      </c>
      <c r="J1743" s="14" t="n">
        <v>10</v>
      </c>
      <c r="K1743" s="14" t="n">
        <v>10000</v>
      </c>
      <c r="L1743" s="25">
        <f>IF(E1743="多",1,-1)*(I1743-H1743)*G1743*J1743</f>
        <v/>
      </c>
      <c r="M1743" s="26">
        <f>L1743/K1743</f>
        <v/>
      </c>
      <c r="N1743" s="14" t="inlineStr">
        <is>
          <t>将军撤退</t>
        </is>
      </c>
      <c r="O1743" s="14" t="inlineStr">
        <is>
          <t>是</t>
        </is>
      </c>
    </row>
    <row r="1744">
      <c r="A1744" s="2" t="inlineStr">
        <is>
          <t>2022-09-07</t>
        </is>
      </c>
      <c r="B1744" s="2" t="inlineStr">
        <is>
          <t>2022-09-26</t>
        </is>
      </c>
      <c r="C1744" s="2" t="inlineStr">
        <is>
          <t>纯碱</t>
        </is>
      </c>
      <c r="D1744" s="2" t="inlineStr">
        <is>
          <t>SA</t>
        </is>
      </c>
      <c r="E1744" s="9" t="inlineStr">
        <is>
          <t>空</t>
        </is>
      </c>
      <c r="F1744" s="2" t="inlineStr">
        <is>
          <t>★★★</t>
        </is>
      </c>
      <c r="G1744" s="10" t="n">
        <v>6</v>
      </c>
      <c r="H1744" s="11" t="n">
        <v>2285</v>
      </c>
      <c r="I1744" s="11" t="n">
        <v>2434.21</v>
      </c>
      <c r="J1744" s="10" t="n">
        <v>20</v>
      </c>
      <c r="K1744" s="10" t="n">
        <v>29400</v>
      </c>
      <c r="L1744" s="23">
        <f>IF(E1744="多",1,-1)*(I1744-H1744)*G1744*J1744</f>
        <v/>
      </c>
      <c r="M1744" s="24">
        <f>L1744/K1744</f>
        <v/>
      </c>
      <c r="N1744" s="2" t="inlineStr">
        <is>
          <t>止损</t>
        </is>
      </c>
      <c r="O1744" s="2" t="inlineStr">
        <is>
          <t>否</t>
        </is>
      </c>
    </row>
    <row r="1745">
      <c r="A1745" s="14" t="inlineStr">
        <is>
          <t>2022-09-16</t>
        </is>
      </c>
      <c r="B1745" s="14" t="inlineStr">
        <is>
          <t>2022-09-19</t>
        </is>
      </c>
      <c r="C1745" s="14" t="inlineStr">
        <is>
          <t>燃料油</t>
        </is>
      </c>
      <c r="D1745" s="14" t="inlineStr">
        <is>
          <t>FU</t>
        </is>
      </c>
      <c r="E1745" s="14" t="inlineStr">
        <is>
          <t>空</t>
        </is>
      </c>
      <c r="F1745" s="14" t="inlineStr">
        <is>
          <t>★★</t>
        </is>
      </c>
      <c r="G1745" s="14" t="n">
        <v>2</v>
      </c>
      <c r="H1745" s="15" t="n">
        <v>2820</v>
      </c>
      <c r="I1745" s="15" t="n">
        <v>2757</v>
      </c>
      <c r="J1745" s="14" t="n">
        <v>10</v>
      </c>
      <c r="K1745" s="14" t="n">
        <v>10000</v>
      </c>
      <c r="L1745" s="25">
        <f>IF(E1745="多",1,-1)*(I1745-H1745)*G1745*J1745</f>
        <v/>
      </c>
      <c r="M1745" s="26">
        <f>L1745/K1745</f>
        <v/>
      </c>
      <c r="N1745" s="14" t="inlineStr">
        <is>
          <t>大将军转向</t>
        </is>
      </c>
      <c r="O1745" s="14" t="inlineStr">
        <is>
          <t>是</t>
        </is>
      </c>
    </row>
    <row r="1746">
      <c r="A1746" s="2" t="inlineStr">
        <is>
          <t>2022-09-14</t>
        </is>
      </c>
      <c r="B1746" s="2" t="inlineStr">
        <is>
          <t>2022-09-19</t>
        </is>
      </c>
      <c r="C1746" s="2" t="inlineStr">
        <is>
          <t>沪锌</t>
        </is>
      </c>
      <c r="D1746" s="2" t="inlineStr">
        <is>
          <t>ZN</t>
        </is>
      </c>
      <c r="E1746" s="19" t="inlineStr">
        <is>
          <t>多</t>
        </is>
      </c>
      <c r="F1746" s="2" t="inlineStr">
        <is>
          <t>★★★</t>
        </is>
      </c>
      <c r="G1746" s="10" t="n">
        <v>1</v>
      </c>
      <c r="H1746" s="11" t="n">
        <v>24780</v>
      </c>
      <c r="I1746" s="11" t="n">
        <v>24480</v>
      </c>
      <c r="J1746" s="10" t="n">
        <v>5</v>
      </c>
      <c r="K1746" s="10" t="n">
        <v>10600</v>
      </c>
      <c r="L1746" s="23">
        <f>IF(E1746="多",1,-1)*(I1746-H1746)*G1746*J1746</f>
        <v/>
      </c>
      <c r="M1746" s="24">
        <f>L1746/K1746</f>
        <v/>
      </c>
      <c r="N1746" s="2" t="inlineStr">
        <is>
          <t>大将军转向</t>
        </is>
      </c>
      <c r="O1746" s="2" t="inlineStr">
        <is>
          <t>否</t>
        </is>
      </c>
    </row>
    <row r="1747">
      <c r="A1747" s="14" t="inlineStr">
        <is>
          <t>2022-08-19</t>
        </is>
      </c>
      <c r="B1747" s="14" t="inlineStr">
        <is>
          <t>2022-09-15</t>
        </is>
      </c>
      <c r="C1747" s="14" t="inlineStr">
        <is>
          <t>棉花</t>
        </is>
      </c>
      <c r="D1747" s="14" t="inlineStr">
        <is>
          <t>CF</t>
        </is>
      </c>
      <c r="E1747" s="14" t="inlineStr">
        <is>
          <t>空</t>
        </is>
      </c>
      <c r="F1747" s="14" t="inlineStr">
        <is>
          <t>★★</t>
        </is>
      </c>
      <c r="G1747" s="14" t="n">
        <v>1</v>
      </c>
      <c r="H1747" s="15" t="n">
        <v>14815</v>
      </c>
      <c r="I1747" s="15" t="n">
        <v>14900.36</v>
      </c>
      <c r="J1747" s="14" t="n">
        <v>5</v>
      </c>
      <c r="K1747" s="14" t="n">
        <v>10000</v>
      </c>
      <c r="L1747" s="25">
        <f>IF(E1747="多",1,-1)*(I1747-H1747)*G1747*J1747</f>
        <v/>
      </c>
      <c r="M1747" s="26">
        <f>L1747/K1747</f>
        <v/>
      </c>
      <c r="N1747" s="14" t="inlineStr">
        <is>
          <t>止损</t>
        </is>
      </c>
      <c r="O1747" s="14" t="inlineStr">
        <is>
          <t>是</t>
        </is>
      </c>
    </row>
    <row r="1748">
      <c r="A1748" s="14" t="inlineStr">
        <is>
          <t>2022-09-08</t>
        </is>
      </c>
      <c r="B1748" s="14" t="inlineStr">
        <is>
          <t>2022-09-13</t>
        </is>
      </c>
      <c r="C1748" s="14" t="inlineStr">
        <is>
          <t>燃料油</t>
        </is>
      </c>
      <c r="D1748" s="14" t="inlineStr">
        <is>
          <t>FU</t>
        </is>
      </c>
      <c r="E1748" s="14" t="inlineStr">
        <is>
          <t>空</t>
        </is>
      </c>
      <c r="F1748" s="14" t="inlineStr">
        <is>
          <t>★★★</t>
        </is>
      </c>
      <c r="G1748" s="14" t="n">
        <v>2</v>
      </c>
      <c r="H1748" s="15" t="n">
        <v>2760</v>
      </c>
      <c r="I1748" s="15" t="n">
        <v>2862</v>
      </c>
      <c r="J1748" s="14" t="n">
        <v>10</v>
      </c>
      <c r="K1748" s="14" t="n">
        <v>10000</v>
      </c>
      <c r="L1748" s="25">
        <f>IF(E1748="多",1,-1)*(I1748-H1748)*G1748*J1748</f>
        <v/>
      </c>
      <c r="M1748" s="26">
        <f>L1748/K1748</f>
        <v/>
      </c>
      <c r="N1748" s="14" t="inlineStr">
        <is>
          <t>将军撤退</t>
        </is>
      </c>
      <c r="O1748" s="14" t="inlineStr">
        <is>
          <t>是</t>
        </is>
      </c>
    </row>
    <row r="1749">
      <c r="A1749" s="14" t="inlineStr">
        <is>
          <t>2022-09-06</t>
        </is>
      </c>
      <c r="B1749" s="14" t="inlineStr">
        <is>
          <t>2022-09-13</t>
        </is>
      </c>
      <c r="C1749" s="14" t="inlineStr">
        <is>
          <t>菜粕</t>
        </is>
      </c>
      <c r="D1749" s="14" t="inlineStr">
        <is>
          <t>RM</t>
        </is>
      </c>
      <c r="E1749" s="14" t="inlineStr">
        <is>
          <t>空</t>
        </is>
      </c>
      <c r="F1749" s="14" t="inlineStr">
        <is>
          <t>★★</t>
        </is>
      </c>
      <c r="G1749" s="14" t="n">
        <v>4</v>
      </c>
      <c r="H1749" s="15" t="n">
        <v>2901</v>
      </c>
      <c r="I1749" s="15" t="n">
        <v>3112.07</v>
      </c>
      <c r="J1749" s="14" t="n">
        <v>10</v>
      </c>
      <c r="K1749" s="14" t="n">
        <v>10000</v>
      </c>
      <c r="L1749" s="25">
        <f>IF(E1749="多",1,-1)*(I1749-H1749)*G1749*J1749</f>
        <v/>
      </c>
      <c r="M1749" s="26">
        <f>L1749/K1749</f>
        <v/>
      </c>
      <c r="N1749" s="14" t="inlineStr">
        <is>
          <t>止损</t>
        </is>
      </c>
      <c r="O1749" s="14" t="inlineStr">
        <is>
          <t>是</t>
        </is>
      </c>
    </row>
    <row r="1750">
      <c r="A1750" s="14" t="inlineStr">
        <is>
          <t>2022-09-08</t>
        </is>
      </c>
      <c r="B1750" s="14" t="inlineStr">
        <is>
          <t>2022-09-09</t>
        </is>
      </c>
      <c r="C1750" s="14" t="inlineStr">
        <is>
          <t>沪锌</t>
        </is>
      </c>
      <c r="D1750" s="14" t="inlineStr">
        <is>
          <t>ZN</t>
        </is>
      </c>
      <c r="E1750" s="14" t="inlineStr">
        <is>
          <t>多</t>
        </is>
      </c>
      <c r="F1750" s="14" t="inlineStr">
        <is>
          <t>★★</t>
        </is>
      </c>
      <c r="G1750" s="14" t="n">
        <v>1</v>
      </c>
      <c r="H1750" s="15" t="n">
        <v>24050</v>
      </c>
      <c r="I1750" s="15" t="n">
        <v>24710</v>
      </c>
      <c r="J1750" s="14" t="n">
        <v>5</v>
      </c>
      <c r="K1750" s="14" t="n">
        <v>10000</v>
      </c>
      <c r="L1750" s="25">
        <f>IF(E1750="多",1,-1)*(I1750-H1750)*G1750*J1750</f>
        <v/>
      </c>
      <c r="M1750" s="26">
        <f>L1750/K1750</f>
        <v/>
      </c>
      <c r="N1750" s="14" t="inlineStr">
        <is>
          <t>将军撤退+大将军转向</t>
        </is>
      </c>
      <c r="O1750" s="14" t="inlineStr">
        <is>
          <t>是</t>
        </is>
      </c>
    </row>
    <row r="1751">
      <c r="A1751" s="14" t="inlineStr">
        <is>
          <t>2022-09-05</t>
        </is>
      </c>
      <c r="B1751" s="14" t="inlineStr">
        <is>
          <t>2022-09-07</t>
        </is>
      </c>
      <c r="C1751" s="14" t="inlineStr">
        <is>
          <t>甲醇</t>
        </is>
      </c>
      <c r="D1751" s="14" t="inlineStr">
        <is>
          <t>MA</t>
        </is>
      </c>
      <c r="E1751" s="14" t="inlineStr">
        <is>
          <t>多</t>
        </is>
      </c>
      <c r="F1751" s="14" t="inlineStr">
        <is>
          <t>★★</t>
        </is>
      </c>
      <c r="G1751" s="14" t="n">
        <v>5</v>
      </c>
      <c r="H1751" s="15" t="n">
        <v>2631</v>
      </c>
      <c r="I1751" s="15" t="n">
        <v>2674</v>
      </c>
      <c r="J1751" s="14" t="n">
        <v>10</v>
      </c>
      <c r="K1751" s="14" t="n">
        <v>10000</v>
      </c>
      <c r="L1751" s="25">
        <f>IF(E1751="多",1,-1)*(I1751-H1751)*G1751*J1751</f>
        <v/>
      </c>
      <c r="M1751" s="26">
        <f>L1751/K1751</f>
        <v/>
      </c>
      <c r="N1751" s="14" t="inlineStr">
        <is>
          <t>大将军转向</t>
        </is>
      </c>
      <c r="O1751" s="14" t="inlineStr">
        <is>
          <t>是</t>
        </is>
      </c>
    </row>
    <row r="1752">
      <c r="A1752" s="2" t="inlineStr">
        <is>
          <t>2022-08-25</t>
        </is>
      </c>
      <c r="B1752" s="2" t="inlineStr">
        <is>
          <t>2022-09-05</t>
        </is>
      </c>
      <c r="C1752" s="2" t="inlineStr">
        <is>
          <t>乙二醇</t>
        </is>
      </c>
      <c r="D1752" s="2" t="inlineStr">
        <is>
          <t>EG</t>
        </is>
      </c>
      <c r="E1752" s="9" t="inlineStr">
        <is>
          <t>空</t>
        </is>
      </c>
      <c r="F1752" s="2" t="inlineStr">
        <is>
          <t>★★★</t>
        </is>
      </c>
      <c r="G1752" s="10" t="n">
        <v>3</v>
      </c>
      <c r="H1752" s="11" t="n">
        <v>4040</v>
      </c>
      <c r="I1752" s="11" t="n">
        <v>4298</v>
      </c>
      <c r="J1752" s="10" t="n">
        <v>10</v>
      </c>
      <c r="K1752" s="10" t="n">
        <v>10000</v>
      </c>
      <c r="L1752" s="23">
        <f>IF(E1752="多",1,-1)*(I1752-H1752)*G1752*J1752</f>
        <v/>
      </c>
      <c r="M1752" s="24">
        <f>L1752/K1752</f>
        <v/>
      </c>
      <c r="N1752" s="2" t="inlineStr">
        <is>
          <t>止损</t>
        </is>
      </c>
      <c r="O1752" s="2" t="inlineStr">
        <is>
          <t>否</t>
        </is>
      </c>
    </row>
    <row r="1753">
      <c r="A1753" s="2" t="inlineStr">
        <is>
          <t>2022-09-01</t>
        </is>
      </c>
      <c r="B1753" s="2" t="inlineStr">
        <is>
          <t>2022-09-02</t>
        </is>
      </c>
      <c r="C1753" s="2" t="inlineStr">
        <is>
          <t>沪银</t>
        </is>
      </c>
      <c r="D1753" s="2" t="inlineStr">
        <is>
          <t>AG</t>
        </is>
      </c>
      <c r="E1753" s="9" t="inlineStr">
        <is>
          <t>空</t>
        </is>
      </c>
      <c r="F1753" s="2" t="inlineStr">
        <is>
          <t>★★★</t>
        </is>
      </c>
      <c r="G1753" s="10" t="n">
        <v>7</v>
      </c>
      <c r="H1753" s="11" t="n">
        <v>4114</v>
      </c>
      <c r="I1753" s="11" t="n">
        <v>4160</v>
      </c>
      <c r="J1753" s="10" t="n">
        <v>15</v>
      </c>
      <c r="K1753" s="10" t="n">
        <v>30000</v>
      </c>
      <c r="L1753" s="23">
        <f>IF(E1753="多",1,-1)*(I1753-H1753)*G1753*J1753</f>
        <v/>
      </c>
      <c r="M1753" s="24">
        <f>L1753/K1753</f>
        <v/>
      </c>
      <c r="N1753" s="2" t="inlineStr">
        <is>
          <t>将军撤退</t>
        </is>
      </c>
      <c r="O1753" s="2" t="inlineStr">
        <is>
          <t>否</t>
        </is>
      </c>
    </row>
    <row r="1754">
      <c r="A1754" s="14" t="inlineStr">
        <is>
          <t>2022-08-25</t>
        </is>
      </c>
      <c r="B1754" s="14" t="inlineStr">
        <is>
          <t>2022-09-02</t>
        </is>
      </c>
      <c r="C1754" s="14" t="inlineStr">
        <is>
          <t>沪锌</t>
        </is>
      </c>
      <c r="D1754" s="14" t="inlineStr">
        <is>
          <t>ZN</t>
        </is>
      </c>
      <c r="E1754" s="14" t="inlineStr">
        <is>
          <t>多</t>
        </is>
      </c>
      <c r="F1754" s="14" t="inlineStr">
        <is>
          <t>★★★</t>
        </is>
      </c>
      <c r="G1754" s="14" t="n">
        <v>1</v>
      </c>
      <c r="H1754" s="15" t="n">
        <v>25320</v>
      </c>
      <c r="I1754" s="15" t="n">
        <v>23870</v>
      </c>
      <c r="J1754" s="14" t="n">
        <v>5</v>
      </c>
      <c r="K1754" s="14" t="n">
        <v>10000</v>
      </c>
      <c r="L1754" s="25">
        <f>IF(E1754="多",1,-1)*(I1754-H1754)*G1754*J1754</f>
        <v/>
      </c>
      <c r="M1754" s="26">
        <f>L1754/K1754</f>
        <v/>
      </c>
      <c r="N1754" s="14" t="inlineStr">
        <is>
          <t>跳空止损</t>
        </is>
      </c>
      <c r="O1754" s="14" t="inlineStr">
        <is>
          <t>是</t>
        </is>
      </c>
    </row>
    <row r="1755">
      <c r="A1755" s="14" t="inlineStr">
        <is>
          <t>2022-08-25</t>
        </is>
      </c>
      <c r="B1755" s="14" t="inlineStr">
        <is>
          <t>2022-09-02</t>
        </is>
      </c>
      <c r="C1755" s="14" t="inlineStr">
        <is>
          <t>玻璃</t>
        </is>
      </c>
      <c r="D1755" s="14" t="inlineStr">
        <is>
          <t>FG</t>
        </is>
      </c>
      <c r="E1755" s="14" t="inlineStr">
        <is>
          <t>空</t>
        </is>
      </c>
      <c r="F1755" s="14" t="inlineStr">
        <is>
          <t>★★★</t>
        </is>
      </c>
      <c r="G1755" s="14" t="n">
        <v>3</v>
      </c>
      <c r="H1755" s="15" t="n">
        <v>1458</v>
      </c>
      <c r="I1755" s="15" t="n">
        <v>1429</v>
      </c>
      <c r="J1755" s="14" t="n">
        <v>20</v>
      </c>
      <c r="K1755" s="14" t="n">
        <v>10000</v>
      </c>
      <c r="L1755" s="25">
        <f>IF(E1755="多",1,-1)*(I1755-H1755)*G1755*J1755</f>
        <v/>
      </c>
      <c r="M1755" s="26">
        <f>L1755/K1755</f>
        <v/>
      </c>
      <c r="N1755" s="14" t="inlineStr">
        <is>
          <t>将军撤退+大将军转向</t>
        </is>
      </c>
      <c r="O1755" s="14" t="inlineStr">
        <is>
          <t>是</t>
        </is>
      </c>
    </row>
    <row r="1756">
      <c r="A1756" s="14" t="inlineStr">
        <is>
          <t>2022-08-29</t>
        </is>
      </c>
      <c r="B1756" s="14" t="inlineStr">
        <is>
          <t>2022-09-01</t>
        </is>
      </c>
      <c r="C1756" s="14" t="inlineStr">
        <is>
          <t>PVC</t>
        </is>
      </c>
      <c r="D1756" s="14" t="inlineStr">
        <is>
          <t>V</t>
        </is>
      </c>
      <c r="E1756" s="14" t="inlineStr">
        <is>
          <t>空</t>
        </is>
      </c>
      <c r="F1756" s="14" t="inlineStr">
        <is>
          <t>★★</t>
        </is>
      </c>
      <c r="G1756" s="14" t="n">
        <v>4</v>
      </c>
      <c r="H1756" s="15" t="n">
        <v>6344</v>
      </c>
      <c r="I1756" s="15" t="n">
        <v>6302</v>
      </c>
      <c r="J1756" s="14" t="n">
        <v>5</v>
      </c>
      <c r="K1756" s="14" t="n">
        <v>10000</v>
      </c>
      <c r="L1756" s="25">
        <f>IF(E1756="多",1,-1)*(I1756-H1756)*G1756*J1756</f>
        <v/>
      </c>
      <c r="M1756" s="26">
        <f>L1756/K1756</f>
        <v/>
      </c>
      <c r="N1756" s="14" t="inlineStr">
        <is>
          <t>大将军转向</t>
        </is>
      </c>
      <c r="O1756" s="14" t="inlineStr">
        <is>
          <t>是</t>
        </is>
      </c>
    </row>
    <row r="1757">
      <c r="A1757" s="14" t="inlineStr">
        <is>
          <t>2022-08-22</t>
        </is>
      </c>
      <c r="B1757" s="14" t="inlineStr">
        <is>
          <t>2022-09-01</t>
        </is>
      </c>
      <c r="C1757" s="14" t="inlineStr">
        <is>
          <t>白糖</t>
        </is>
      </c>
      <c r="D1757" s="14" t="inlineStr">
        <is>
          <t>SR</t>
        </is>
      </c>
      <c r="E1757" s="14" t="inlineStr">
        <is>
          <t>空</t>
        </is>
      </c>
      <c r="F1757" s="14" t="inlineStr">
        <is>
          <t>★★★</t>
        </is>
      </c>
      <c r="G1757" s="14" t="n">
        <v>5</v>
      </c>
      <c r="H1757" s="15" t="n">
        <v>5519</v>
      </c>
      <c r="I1757" s="15" t="n">
        <v>5494</v>
      </c>
      <c r="J1757" s="14" t="n">
        <v>10</v>
      </c>
      <c r="K1757" s="14" t="n">
        <v>10000</v>
      </c>
      <c r="L1757" s="25">
        <f>IF(E1757="多",1,-1)*(I1757-H1757)*G1757*J1757</f>
        <v/>
      </c>
      <c r="M1757" s="26">
        <f>L1757/K1757</f>
        <v/>
      </c>
      <c r="N1757" s="14" t="inlineStr">
        <is>
          <t>将军撤退+大将军转向</t>
        </is>
      </c>
      <c r="O1757" s="14" t="inlineStr">
        <is>
          <t>是</t>
        </is>
      </c>
    </row>
    <row r="1758">
      <c r="A1758" s="2" t="inlineStr">
        <is>
          <t>2022-08-10</t>
        </is>
      </c>
      <c r="B1758" s="2" t="inlineStr">
        <is>
          <t>2022-09-01</t>
        </is>
      </c>
      <c r="C1758" s="2" t="inlineStr">
        <is>
          <t>沪金</t>
        </is>
      </c>
      <c r="D1758" s="2" t="inlineStr">
        <is>
          <t>AU</t>
        </is>
      </c>
      <c r="E1758" s="19" t="inlineStr">
        <is>
          <t>多</t>
        </is>
      </c>
      <c r="F1758" s="2" t="inlineStr">
        <is>
          <t>★★★</t>
        </is>
      </c>
      <c r="G1758" s="10" t="n">
        <v>2</v>
      </c>
      <c r="H1758" s="11" t="n">
        <v>392.3</v>
      </c>
      <c r="I1758" s="11" t="n">
        <v>385.02</v>
      </c>
      <c r="J1758" s="10" t="n">
        <v>1000</v>
      </c>
      <c r="K1758" s="10" t="n">
        <v>30000</v>
      </c>
      <c r="L1758" s="23">
        <f>IF(E1758="多",1,-1)*(I1758-H1758)*G1758*J1758</f>
        <v/>
      </c>
      <c r="M1758" s="24">
        <f>L1758/K1758</f>
        <v/>
      </c>
      <c r="N1758" s="2" t="inlineStr">
        <is>
          <t>跳空止损</t>
        </is>
      </c>
      <c r="O1758" s="2" t="inlineStr">
        <is>
          <t>否</t>
        </is>
      </c>
    </row>
    <row r="1759">
      <c r="A1759" s="14" t="inlineStr">
        <is>
          <t>2022-08-19</t>
        </is>
      </c>
      <c r="B1759" s="14" t="inlineStr">
        <is>
          <t>2022-08-30</t>
        </is>
      </c>
      <c r="C1759" s="14" t="inlineStr">
        <is>
          <t>聚丙烯</t>
        </is>
      </c>
      <c r="D1759" s="14" t="inlineStr">
        <is>
          <t>PP</t>
        </is>
      </c>
      <c r="E1759" s="14" t="inlineStr">
        <is>
          <t>空</t>
        </is>
      </c>
      <c r="F1759" s="14" t="inlineStr">
        <is>
          <t>★★</t>
        </is>
      </c>
      <c r="G1759" s="14" t="n">
        <v>4</v>
      </c>
      <c r="H1759" s="15" t="n">
        <v>7535</v>
      </c>
      <c r="I1759" s="15" t="n">
        <v>7894.5</v>
      </c>
      <c r="J1759" s="14" t="n">
        <v>5</v>
      </c>
      <c r="K1759" s="14" t="n">
        <v>10000</v>
      </c>
      <c r="L1759" s="25">
        <f>IF(E1759="多",1,-1)*(I1759-H1759)*G1759*J1759</f>
        <v/>
      </c>
      <c r="M1759" s="26">
        <f>L1759/K1759</f>
        <v/>
      </c>
      <c r="N1759" s="14" t="inlineStr">
        <is>
          <t>止损</t>
        </is>
      </c>
      <c r="O1759" s="14" t="inlineStr">
        <is>
          <t>是</t>
        </is>
      </c>
    </row>
    <row r="1760">
      <c r="A1760" s="14" t="inlineStr">
        <is>
          <t>2022-08-16</t>
        </is>
      </c>
      <c r="B1760" s="14" t="inlineStr">
        <is>
          <t>2022-08-30</t>
        </is>
      </c>
      <c r="C1760" s="14" t="inlineStr">
        <is>
          <t>塑料</t>
        </is>
      </c>
      <c r="D1760" s="14" t="inlineStr">
        <is>
          <t>L</t>
        </is>
      </c>
      <c r="E1760" s="14" t="inlineStr">
        <is>
          <t>空</t>
        </is>
      </c>
      <c r="F1760" s="14" t="inlineStr">
        <is>
          <t>★★★</t>
        </is>
      </c>
      <c r="G1760" s="14" t="n">
        <v>4</v>
      </c>
      <c r="H1760" s="15" t="n">
        <v>7660</v>
      </c>
      <c r="I1760" s="15" t="n">
        <v>7729</v>
      </c>
      <c r="J1760" s="14" t="n">
        <v>5</v>
      </c>
      <c r="K1760" s="14" t="n">
        <v>10000</v>
      </c>
      <c r="L1760" s="25">
        <f>IF(E1760="多",1,-1)*(I1760-H1760)*G1760*J1760</f>
        <v/>
      </c>
      <c r="M1760" s="26">
        <f>L1760/K1760</f>
        <v/>
      </c>
      <c r="N1760" s="14" t="inlineStr">
        <is>
          <t>大将军转向</t>
        </is>
      </c>
      <c r="O1760" s="14" t="inlineStr">
        <is>
          <t>是</t>
        </is>
      </c>
    </row>
    <row r="1761">
      <c r="A1761" s="14" t="inlineStr">
        <is>
          <t>2022-08-17</t>
        </is>
      </c>
      <c r="B1761" s="14" t="inlineStr">
        <is>
          <t>2022-08-29</t>
        </is>
      </c>
      <c r="C1761" s="14" t="inlineStr">
        <is>
          <t>热卷</t>
        </is>
      </c>
      <c r="D1761" s="14" t="inlineStr">
        <is>
          <t>HC</t>
        </is>
      </c>
      <c r="E1761" s="14" t="inlineStr">
        <is>
          <t>空</t>
        </is>
      </c>
      <c r="F1761" s="14" t="inlineStr">
        <is>
          <t>★★</t>
        </is>
      </c>
      <c r="G1761" s="14" t="n">
        <v>3</v>
      </c>
      <c r="H1761" s="15" t="n">
        <v>3928</v>
      </c>
      <c r="I1761" s="15" t="n">
        <v>4110</v>
      </c>
      <c r="J1761" s="14" t="n">
        <v>10</v>
      </c>
      <c r="K1761" s="14" t="n">
        <v>10000</v>
      </c>
      <c r="L1761" s="25">
        <f>IF(E1761="多",1,-1)*(I1761-H1761)*G1761*J1761</f>
        <v/>
      </c>
      <c r="M1761" s="26">
        <f>L1761/K1761</f>
        <v/>
      </c>
      <c r="N1761" s="14" t="inlineStr">
        <is>
          <t>跳空止损</t>
        </is>
      </c>
      <c r="O1761" s="14" t="inlineStr">
        <is>
          <t>是</t>
        </is>
      </c>
    </row>
    <row r="1762">
      <c r="A1762" s="14" t="inlineStr">
        <is>
          <t>2022-08-19</t>
        </is>
      </c>
      <c r="B1762" s="14" t="inlineStr">
        <is>
          <t>2022-08-25</t>
        </is>
      </c>
      <c r="C1762" s="14" t="inlineStr">
        <is>
          <t>纯碱</t>
        </is>
      </c>
      <c r="D1762" s="14" t="inlineStr">
        <is>
          <t>SA</t>
        </is>
      </c>
      <c r="E1762" s="14" t="inlineStr">
        <is>
          <t>空</t>
        </is>
      </c>
      <c r="F1762" s="14" t="inlineStr">
        <is>
          <t>★★</t>
        </is>
      </c>
      <c r="G1762" s="14" t="n">
        <v>1</v>
      </c>
      <c r="H1762" s="15" t="n">
        <v>2238</v>
      </c>
      <c r="I1762" s="15" t="n">
        <v>2373</v>
      </c>
      <c r="J1762" s="14" t="n">
        <v>20</v>
      </c>
      <c r="K1762" s="14" t="n">
        <v>10000</v>
      </c>
      <c r="L1762" s="25">
        <f>IF(E1762="多",1,-1)*(I1762-H1762)*G1762*J1762</f>
        <v/>
      </c>
      <c r="M1762" s="26">
        <f>L1762/K1762</f>
        <v/>
      </c>
      <c r="N1762" s="14" t="inlineStr">
        <is>
          <t>将军撤退</t>
        </is>
      </c>
      <c r="O1762" s="14" t="inlineStr">
        <is>
          <t>是</t>
        </is>
      </c>
    </row>
    <row r="1763">
      <c r="A1763" s="14" t="inlineStr">
        <is>
          <t>2022-08-22</t>
        </is>
      </c>
      <c r="B1763" s="14" t="inlineStr">
        <is>
          <t>2022-08-24</t>
        </is>
      </c>
      <c r="C1763" s="14" t="inlineStr">
        <is>
          <t>沪铝</t>
        </is>
      </c>
      <c r="D1763" s="14" t="inlineStr">
        <is>
          <t>AL</t>
        </is>
      </c>
      <c r="E1763" s="14" t="inlineStr">
        <is>
          <t>多</t>
        </is>
      </c>
      <c r="F1763" s="14" t="inlineStr">
        <is>
          <t>★★</t>
        </is>
      </c>
      <c r="G1763" s="14" t="n">
        <v>1</v>
      </c>
      <c r="H1763" s="15" t="n">
        <v>18440</v>
      </c>
      <c r="I1763" s="15" t="n">
        <v>19090</v>
      </c>
      <c r="J1763" s="14" t="n">
        <v>5</v>
      </c>
      <c r="K1763" s="14" t="n">
        <v>10000</v>
      </c>
      <c r="L1763" s="25">
        <f>IF(E1763="多",1,-1)*(I1763-H1763)*G1763*J1763</f>
        <v/>
      </c>
      <c r="M1763" s="26">
        <f>L1763/K1763</f>
        <v/>
      </c>
      <c r="N1763" s="14" t="inlineStr">
        <is>
          <t>将军撤退+大将军转向</t>
        </is>
      </c>
      <c r="O1763" s="14" t="inlineStr">
        <is>
          <t>是</t>
        </is>
      </c>
    </row>
    <row r="1764">
      <c r="A1764" s="2" t="inlineStr">
        <is>
          <t>2022-08-16</t>
        </is>
      </c>
      <c r="B1764" s="2" t="inlineStr">
        <is>
          <t>2022-08-24</t>
        </is>
      </c>
      <c r="C1764" s="2" t="inlineStr">
        <is>
          <t>乙二醇</t>
        </is>
      </c>
      <c r="D1764" s="2" t="inlineStr">
        <is>
          <t>EG</t>
        </is>
      </c>
      <c r="E1764" s="9" t="inlineStr">
        <is>
          <t>空</t>
        </is>
      </c>
      <c r="F1764" s="2" t="inlineStr">
        <is>
          <t>★★★</t>
        </is>
      </c>
      <c r="G1764" s="10" t="n">
        <v>2</v>
      </c>
      <c r="H1764" s="11" t="n">
        <v>4050</v>
      </c>
      <c r="I1764" s="11" t="n">
        <v>4084</v>
      </c>
      <c r="J1764" s="10" t="n">
        <v>10</v>
      </c>
      <c r="K1764" s="10" t="n">
        <v>10000</v>
      </c>
      <c r="L1764" s="23">
        <f>IF(E1764="多",1,-1)*(I1764-H1764)*G1764*J1764</f>
        <v/>
      </c>
      <c r="M1764" s="24">
        <f>L1764/K1764</f>
        <v/>
      </c>
      <c r="N1764" s="2" t="inlineStr">
        <is>
          <t>大将军转向</t>
        </is>
      </c>
      <c r="O1764" s="2" t="inlineStr">
        <is>
          <t>否</t>
        </is>
      </c>
    </row>
    <row r="1765">
      <c r="A1765" s="14" t="inlineStr">
        <is>
          <t>2022-08-16</t>
        </is>
      </c>
      <c r="B1765" s="14" t="inlineStr">
        <is>
          <t>2022-08-17</t>
        </is>
      </c>
      <c r="C1765" s="14" t="inlineStr">
        <is>
          <t>纯碱</t>
        </is>
      </c>
      <c r="D1765" s="14" t="inlineStr">
        <is>
          <t>SA</t>
        </is>
      </c>
      <c r="E1765" s="14" t="inlineStr">
        <is>
          <t>空</t>
        </is>
      </c>
      <c r="F1765" s="14" t="inlineStr">
        <is>
          <t>★★</t>
        </is>
      </c>
      <c r="G1765" s="14" t="n">
        <v>1</v>
      </c>
      <c r="H1765" s="15" t="n">
        <v>2345</v>
      </c>
      <c r="I1765" s="15" t="n">
        <v>2283</v>
      </c>
      <c r="J1765" s="14" t="n">
        <v>20</v>
      </c>
      <c r="K1765" s="14" t="n">
        <v>10000</v>
      </c>
      <c r="L1765" s="25">
        <f>IF(E1765="多",1,-1)*(I1765-H1765)*G1765*J1765</f>
        <v/>
      </c>
      <c r="M1765" s="26">
        <f>L1765/K1765</f>
        <v/>
      </c>
      <c r="N1765" s="14" t="inlineStr">
        <is>
          <t>将军撤退</t>
        </is>
      </c>
      <c r="O1765" s="14" t="inlineStr">
        <is>
          <t>是</t>
        </is>
      </c>
    </row>
    <row r="1766">
      <c r="A1766" s="14" t="inlineStr">
        <is>
          <t>2022-08-12</t>
        </is>
      </c>
      <c r="B1766" s="14" t="inlineStr">
        <is>
          <t>2022-08-17</t>
        </is>
      </c>
      <c r="C1766" s="14" t="inlineStr">
        <is>
          <t>热卷</t>
        </is>
      </c>
      <c r="D1766" s="14" t="inlineStr">
        <is>
          <t>HC</t>
        </is>
      </c>
      <c r="E1766" s="14" t="inlineStr">
        <is>
          <t>多</t>
        </is>
      </c>
      <c r="F1766" s="14" t="inlineStr">
        <is>
          <t>★★</t>
        </is>
      </c>
      <c r="G1766" s="14" t="n">
        <v>3</v>
      </c>
      <c r="H1766" s="15" t="n">
        <v>4067</v>
      </c>
      <c r="I1766" s="15" t="n">
        <v>3905</v>
      </c>
      <c r="J1766" s="14" t="n">
        <v>10</v>
      </c>
      <c r="K1766" s="14" t="n">
        <v>10000</v>
      </c>
      <c r="L1766" s="25">
        <f>IF(E1766="多",1,-1)*(I1766-H1766)*G1766*J1766</f>
        <v/>
      </c>
      <c r="M1766" s="26">
        <f>L1766/K1766</f>
        <v/>
      </c>
      <c r="N1766" s="14" t="inlineStr">
        <is>
          <t>反向信号</t>
        </is>
      </c>
      <c r="O1766" s="14" t="inlineStr">
        <is>
          <t>是</t>
        </is>
      </c>
    </row>
    <row r="1767">
      <c r="A1767" s="14" t="inlineStr">
        <is>
          <t>2022-07-29</t>
        </is>
      </c>
      <c r="B1767" s="14" t="inlineStr">
        <is>
          <t>2022-08-17</t>
        </is>
      </c>
      <c r="C1767" s="14" t="inlineStr">
        <is>
          <t>聚丙烯</t>
        </is>
      </c>
      <c r="D1767" s="14" t="inlineStr">
        <is>
          <t>PP</t>
        </is>
      </c>
      <c r="E1767" s="14" t="inlineStr">
        <is>
          <t>多</t>
        </is>
      </c>
      <c r="F1767" s="14" t="inlineStr">
        <is>
          <t>★★</t>
        </is>
      </c>
      <c r="G1767" s="14" t="n">
        <v>3</v>
      </c>
      <c r="H1767" s="15" t="n">
        <v>7977</v>
      </c>
      <c r="I1767" s="15" t="n">
        <v>7616.07</v>
      </c>
      <c r="J1767" s="14" t="n">
        <v>5</v>
      </c>
      <c r="K1767" s="14" t="n">
        <v>10000</v>
      </c>
      <c r="L1767" s="25">
        <f>IF(E1767="多",1,-1)*(I1767-H1767)*G1767*J1767</f>
        <v/>
      </c>
      <c r="M1767" s="26">
        <f>L1767/K1767</f>
        <v/>
      </c>
      <c r="N1767" s="14" t="inlineStr">
        <is>
          <t>止损</t>
        </is>
      </c>
      <c r="O1767" s="14" t="inlineStr">
        <is>
          <t>是</t>
        </is>
      </c>
    </row>
    <row r="1768">
      <c r="A1768" s="14" t="inlineStr">
        <is>
          <t>2022-08-09</t>
        </is>
      </c>
      <c r="B1768" s="14" t="inlineStr">
        <is>
          <t>2022-08-15</t>
        </is>
      </c>
      <c r="C1768" s="14" t="inlineStr">
        <is>
          <t>棉花</t>
        </is>
      </c>
      <c r="D1768" s="14" t="inlineStr">
        <is>
          <t>CF</t>
        </is>
      </c>
      <c r="E1768" s="14" t="inlineStr">
        <is>
          <t>多</t>
        </is>
      </c>
      <c r="F1768" s="14" t="inlineStr">
        <is>
          <t>★★</t>
        </is>
      </c>
      <c r="G1768" s="14" t="n">
        <v>1</v>
      </c>
      <c r="H1768" s="15" t="n">
        <v>14390</v>
      </c>
      <c r="I1768" s="15" t="n">
        <v>15510</v>
      </c>
      <c r="J1768" s="14" t="n">
        <v>5</v>
      </c>
      <c r="K1768" s="14" t="n">
        <v>10000</v>
      </c>
      <c r="L1768" s="25">
        <f>IF(E1768="多",1,-1)*(I1768-H1768)*G1768*J1768</f>
        <v/>
      </c>
      <c r="M1768" s="26">
        <f>L1768/K1768</f>
        <v/>
      </c>
      <c r="N1768" s="14" t="inlineStr">
        <is>
          <t>大将军转向</t>
        </is>
      </c>
      <c r="O1768" s="14" t="inlineStr">
        <is>
          <t>是</t>
        </is>
      </c>
    </row>
    <row r="1769">
      <c r="A1769" s="2" t="inlineStr">
        <is>
          <t>2022-08-11</t>
        </is>
      </c>
      <c r="B1769" s="2" t="inlineStr">
        <is>
          <t>2022-08-12</t>
        </is>
      </c>
      <c r="C1769" s="2" t="inlineStr">
        <is>
          <t>豆油</t>
        </is>
      </c>
      <c r="D1769" s="2" t="inlineStr">
        <is>
          <t>Y</t>
        </is>
      </c>
      <c r="E1769" s="19" t="inlineStr">
        <is>
          <t>多</t>
        </is>
      </c>
      <c r="F1769" s="2" t="inlineStr">
        <is>
          <t>★★★</t>
        </is>
      </c>
      <c r="G1769" s="10" t="n">
        <v>3</v>
      </c>
      <c r="H1769" s="11" t="n">
        <v>9818</v>
      </c>
      <c r="I1769" s="11" t="n">
        <v>9880</v>
      </c>
      <c r="J1769" s="10" t="n">
        <v>10</v>
      </c>
      <c r="K1769" s="10" t="n">
        <v>30000</v>
      </c>
      <c r="L1769" s="23">
        <f>IF(E1769="多",1,-1)*(I1769-H1769)*G1769*J1769</f>
        <v/>
      </c>
      <c r="M1769" s="24">
        <f>L1769/K1769</f>
        <v/>
      </c>
      <c r="N1769" s="2" t="inlineStr">
        <is>
          <t>大将军转向</t>
        </is>
      </c>
      <c r="O1769" s="2" t="inlineStr">
        <is>
          <t>否</t>
        </is>
      </c>
    </row>
    <row r="1770">
      <c r="A1770" s="2" t="inlineStr">
        <is>
          <t>2022-08-10</t>
        </is>
      </c>
      <c r="B1770" s="2" t="inlineStr">
        <is>
          <t>2022-08-12</t>
        </is>
      </c>
      <c r="C1770" s="2" t="inlineStr">
        <is>
          <t>玉米</t>
        </is>
      </c>
      <c r="D1770" s="2" t="inlineStr">
        <is>
          <t>C</t>
        </is>
      </c>
      <c r="E1770" s="19" t="inlineStr">
        <is>
          <t>多</t>
        </is>
      </c>
      <c r="F1770" s="2" t="inlineStr">
        <is>
          <t>★★★</t>
        </is>
      </c>
      <c r="G1770" s="10" t="n">
        <v>8</v>
      </c>
      <c r="H1770" s="11" t="n">
        <v>2742</v>
      </c>
      <c r="I1770" s="11" t="n">
        <v>2757</v>
      </c>
      <c r="J1770" s="10" t="n">
        <v>10</v>
      </c>
      <c r="K1770" s="10" t="n">
        <v>10000</v>
      </c>
      <c r="L1770" s="23">
        <f>IF(E1770="多",1,-1)*(I1770-H1770)*G1770*J1770</f>
        <v/>
      </c>
      <c r="M1770" s="24">
        <f>L1770/K1770</f>
        <v/>
      </c>
      <c r="N1770" s="2" t="inlineStr">
        <is>
          <t>大将军转向</t>
        </is>
      </c>
      <c r="O1770" s="2" t="inlineStr">
        <is>
          <t>否</t>
        </is>
      </c>
    </row>
    <row r="1771">
      <c r="A1771" s="14" t="inlineStr">
        <is>
          <t>2022-08-09</t>
        </is>
      </c>
      <c r="B1771" s="14" t="inlineStr">
        <is>
          <t>2022-08-12</t>
        </is>
      </c>
      <c r="C1771" s="14" t="inlineStr">
        <is>
          <t>玻璃</t>
        </is>
      </c>
      <c r="D1771" s="14" t="inlineStr">
        <is>
          <t>FG</t>
        </is>
      </c>
      <c r="E1771" s="14" t="inlineStr">
        <is>
          <t>多</t>
        </is>
      </c>
      <c r="F1771" s="14" t="inlineStr">
        <is>
          <t>★★</t>
        </is>
      </c>
      <c r="G1771" s="14" t="n">
        <v>3</v>
      </c>
      <c r="H1771" s="15" t="n">
        <v>1613</v>
      </c>
      <c r="I1771" s="15" t="n">
        <v>1570</v>
      </c>
      <c r="J1771" s="14" t="n">
        <v>20</v>
      </c>
      <c r="K1771" s="14" t="n">
        <v>10000</v>
      </c>
      <c r="L1771" s="25">
        <f>IF(E1771="多",1,-1)*(I1771-H1771)*G1771*J1771</f>
        <v/>
      </c>
      <c r="M1771" s="26">
        <f>L1771/K1771</f>
        <v/>
      </c>
      <c r="N1771" s="14" t="inlineStr">
        <is>
          <t>将军撤退</t>
        </is>
      </c>
      <c r="O1771" s="14" t="inlineStr">
        <is>
          <t>是</t>
        </is>
      </c>
    </row>
    <row r="1772">
      <c r="A1772" s="2" t="inlineStr">
        <is>
          <t>2022-08-03</t>
        </is>
      </c>
      <c r="B1772" s="2" t="inlineStr">
        <is>
          <t>2022-08-12</t>
        </is>
      </c>
      <c r="C1772" s="2" t="inlineStr">
        <is>
          <t>棕榈油</t>
        </is>
      </c>
      <c r="D1772" s="2" t="inlineStr">
        <is>
          <t>P</t>
        </is>
      </c>
      <c r="E1772" s="9" t="inlineStr">
        <is>
          <t>空</t>
        </is>
      </c>
      <c r="F1772" s="2" t="inlineStr">
        <is>
          <t>★★★</t>
        </is>
      </c>
      <c r="G1772" s="10" t="n">
        <v>2</v>
      </c>
      <c r="H1772" s="11" t="n">
        <v>8140</v>
      </c>
      <c r="I1772" s="11" t="n">
        <v>8851.57</v>
      </c>
      <c r="J1772" s="10" t="n">
        <v>10</v>
      </c>
      <c r="K1772" s="10" t="n">
        <v>30000</v>
      </c>
      <c r="L1772" s="23">
        <f>IF(E1772="多",1,-1)*(I1772-H1772)*G1772*J1772</f>
        <v/>
      </c>
      <c r="M1772" s="24">
        <f>L1772/K1772</f>
        <v/>
      </c>
      <c r="N1772" s="2" t="inlineStr">
        <is>
          <t>止损</t>
        </is>
      </c>
      <c r="O1772" s="2" t="inlineStr">
        <is>
          <t>否</t>
        </is>
      </c>
    </row>
    <row r="1773">
      <c r="A1773" s="14" t="inlineStr">
        <is>
          <t>2022-08-10</t>
        </is>
      </c>
      <c r="B1773" s="14" t="inlineStr">
        <is>
          <t>2022-08-11</t>
        </is>
      </c>
      <c r="C1773" s="14" t="inlineStr">
        <is>
          <t>豆粕</t>
        </is>
      </c>
      <c r="D1773" s="14" t="inlineStr">
        <is>
          <t>M</t>
        </is>
      </c>
      <c r="E1773" s="14" t="inlineStr">
        <is>
          <t>多</t>
        </is>
      </c>
      <c r="F1773" s="14" t="inlineStr">
        <is>
          <t>★★</t>
        </is>
      </c>
      <c r="G1773" s="14" t="n">
        <v>3</v>
      </c>
      <c r="H1773" s="15" t="n">
        <v>3746</v>
      </c>
      <c r="I1773" s="15" t="n">
        <v>3721</v>
      </c>
      <c r="J1773" s="14" t="n">
        <v>10</v>
      </c>
      <c r="K1773" s="14" t="n">
        <v>10000</v>
      </c>
      <c r="L1773" s="25">
        <f>IF(E1773="多",1,-1)*(I1773-H1773)*G1773*J1773</f>
        <v/>
      </c>
      <c r="M1773" s="26">
        <f>L1773/K1773</f>
        <v/>
      </c>
      <c r="N1773" s="14" t="inlineStr">
        <is>
          <t>大将军转向</t>
        </is>
      </c>
      <c r="O1773" s="14" t="inlineStr">
        <is>
          <t>是</t>
        </is>
      </c>
    </row>
    <row r="1774">
      <c r="A1774" s="14" t="inlineStr">
        <is>
          <t>2022-08-10</t>
        </is>
      </c>
      <c r="B1774" s="14" t="inlineStr">
        <is>
          <t>2022-08-11</t>
        </is>
      </c>
      <c r="C1774" s="14" t="inlineStr">
        <is>
          <t>乙二醇</t>
        </is>
      </c>
      <c r="D1774" s="14" t="inlineStr">
        <is>
          <t>EG</t>
        </is>
      </c>
      <c r="E1774" s="14" t="inlineStr">
        <is>
          <t>空</t>
        </is>
      </c>
      <c r="F1774" s="14" t="inlineStr">
        <is>
          <t>★★</t>
        </is>
      </c>
      <c r="G1774" s="14" t="n">
        <v>2</v>
      </c>
      <c r="H1774" s="15" t="n">
        <v>4060</v>
      </c>
      <c r="I1774" s="15" t="n">
        <v>4132</v>
      </c>
      <c r="J1774" s="14" t="n">
        <v>10</v>
      </c>
      <c r="K1774" s="14" t="n">
        <v>10000</v>
      </c>
      <c r="L1774" s="25">
        <f>IF(E1774="多",1,-1)*(I1774-H1774)*G1774*J1774</f>
        <v/>
      </c>
      <c r="M1774" s="26">
        <f>L1774/K1774</f>
        <v/>
      </c>
      <c r="N1774" s="14" t="inlineStr">
        <is>
          <t>大将军转向</t>
        </is>
      </c>
      <c r="O1774" s="14" t="inlineStr">
        <is>
          <t>是</t>
        </is>
      </c>
    </row>
    <row r="1775">
      <c r="A1775" s="2" t="inlineStr">
        <is>
          <t>2022-08-05</t>
        </is>
      </c>
      <c r="B1775" s="2" t="inlineStr">
        <is>
          <t>2022-08-11</t>
        </is>
      </c>
      <c r="C1775" s="2" t="inlineStr">
        <is>
          <t>沪镍</t>
        </is>
      </c>
      <c r="D1775" s="2" t="inlineStr">
        <is>
          <t>NI</t>
        </is>
      </c>
      <c r="E1775" s="19" t="inlineStr">
        <is>
          <t>多</t>
        </is>
      </c>
      <c r="F1775" s="2" t="inlineStr">
        <is>
          <t>★★★</t>
        </is>
      </c>
      <c r="G1775" s="10" t="n">
        <v>1</v>
      </c>
      <c r="H1775" s="11" t="n">
        <v>174200</v>
      </c>
      <c r="I1775" s="11" t="n">
        <v>177020</v>
      </c>
      <c r="J1775" s="10" t="n">
        <v>1</v>
      </c>
      <c r="K1775" s="10" t="n">
        <v>30000</v>
      </c>
      <c r="L1775" s="23">
        <f>IF(E1775="多",1,-1)*(I1775-H1775)*G1775*J1775</f>
        <v/>
      </c>
      <c r="M1775" s="24">
        <f>L1775/K1775</f>
        <v/>
      </c>
      <c r="N1775" s="2" t="inlineStr">
        <is>
          <t>大将军转向</t>
        </is>
      </c>
      <c r="O1775" s="2" t="inlineStr">
        <is>
          <t>否</t>
        </is>
      </c>
    </row>
    <row r="1776">
      <c r="A1776" s="14" t="inlineStr">
        <is>
          <t>2022-08-02</t>
        </is>
      </c>
      <c r="B1776" s="14" t="inlineStr">
        <is>
          <t>2022-08-08</t>
        </is>
      </c>
      <c r="C1776" s="14" t="inlineStr">
        <is>
          <t>螺纹钢</t>
        </is>
      </c>
      <c r="D1776" s="14" t="inlineStr">
        <is>
          <t>RB</t>
        </is>
      </c>
      <c r="E1776" s="14" t="inlineStr">
        <is>
          <t>多</t>
        </is>
      </c>
      <c r="F1776" s="14" t="inlineStr">
        <is>
          <t>★★</t>
        </is>
      </c>
      <c r="G1776" s="14" t="n">
        <v>2</v>
      </c>
      <c r="H1776" s="15" t="n">
        <v>4091</v>
      </c>
      <c r="I1776" s="15" t="n">
        <v>4136</v>
      </c>
      <c r="J1776" s="14" t="n">
        <v>10</v>
      </c>
      <c r="K1776" s="14" t="n">
        <v>10000</v>
      </c>
      <c r="L1776" s="25">
        <f>IF(E1776="多",1,-1)*(I1776-H1776)*G1776*J1776</f>
        <v/>
      </c>
      <c r="M1776" s="26">
        <f>L1776/K1776</f>
        <v/>
      </c>
      <c r="N1776" s="14" t="inlineStr">
        <is>
          <t>大将军转向</t>
        </is>
      </c>
      <c r="O1776" s="14" t="inlineStr">
        <is>
          <t>是</t>
        </is>
      </c>
    </row>
    <row r="1777">
      <c r="A1777" s="14" t="inlineStr">
        <is>
          <t>2022-08-02</t>
        </is>
      </c>
      <c r="B1777" s="14" t="inlineStr">
        <is>
          <t>2022-08-05</t>
        </is>
      </c>
      <c r="C1777" s="14" t="inlineStr">
        <is>
          <t>玻璃</t>
        </is>
      </c>
      <c r="D1777" s="14" t="inlineStr">
        <is>
          <t>FG</t>
        </is>
      </c>
      <c r="E1777" s="14" t="inlineStr">
        <is>
          <t>多</t>
        </is>
      </c>
      <c r="F1777" s="14" t="inlineStr">
        <is>
          <t>★★★</t>
        </is>
      </c>
      <c r="G1777" s="14" t="n">
        <v>3</v>
      </c>
      <c r="H1777" s="15" t="n">
        <v>1531</v>
      </c>
      <c r="I1777" s="15" t="n">
        <v>1550</v>
      </c>
      <c r="J1777" s="14" t="n">
        <v>20</v>
      </c>
      <c r="K1777" s="14" t="n">
        <v>10000</v>
      </c>
      <c r="L1777" s="25">
        <f>IF(E1777="多",1,-1)*(I1777-H1777)*G1777*J1777</f>
        <v/>
      </c>
      <c r="M1777" s="26">
        <f>L1777/K1777</f>
        <v/>
      </c>
      <c r="N1777" s="14" t="inlineStr">
        <is>
          <t>将军撤退+大将军转向</t>
        </is>
      </c>
      <c r="O1777" s="14" t="inlineStr">
        <is>
          <t>是</t>
        </is>
      </c>
    </row>
    <row r="1778">
      <c r="A1778" s="2" t="inlineStr">
        <is>
          <t>2022-08-01</t>
        </is>
      </c>
      <c r="B1778" s="2" t="inlineStr">
        <is>
          <t>2022-08-05</t>
        </is>
      </c>
      <c r="C1778" s="2" t="inlineStr">
        <is>
          <t>豆粕</t>
        </is>
      </c>
      <c r="D1778" s="2" t="inlineStr">
        <is>
          <t>M</t>
        </is>
      </c>
      <c r="E1778" s="19" t="inlineStr">
        <is>
          <t>多</t>
        </is>
      </c>
      <c r="F1778" s="2" t="inlineStr">
        <is>
          <t>★★★</t>
        </is>
      </c>
      <c r="G1778" s="10" t="n">
        <v>10</v>
      </c>
      <c r="H1778" s="11" t="n">
        <v>3983</v>
      </c>
      <c r="I1778" s="11" t="n">
        <v>4079</v>
      </c>
      <c r="J1778" s="10" t="n">
        <v>10</v>
      </c>
      <c r="K1778" s="10" t="n">
        <v>30000</v>
      </c>
      <c r="L1778" s="23">
        <f>IF(E1778="多",1,-1)*(I1778-H1778)*G1778*J1778</f>
        <v/>
      </c>
      <c r="M1778" s="24">
        <f>L1778/K1778</f>
        <v/>
      </c>
      <c r="N1778" s="2" t="inlineStr">
        <is>
          <t>大将军转向</t>
        </is>
      </c>
      <c r="O1778" s="2" t="inlineStr">
        <is>
          <t>否</t>
        </is>
      </c>
    </row>
    <row r="1779">
      <c r="A1779" s="2" t="inlineStr">
        <is>
          <t>2022-08-01</t>
        </is>
      </c>
      <c r="B1779" s="2" t="inlineStr">
        <is>
          <t>2022-08-04</t>
        </is>
      </c>
      <c r="C1779" s="2" t="inlineStr">
        <is>
          <t>沪锌</t>
        </is>
      </c>
      <c r="D1779" s="2" t="inlineStr">
        <is>
          <t>ZN</t>
        </is>
      </c>
      <c r="E1779" s="19" t="inlineStr">
        <is>
          <t>多</t>
        </is>
      </c>
      <c r="F1779" s="2" t="inlineStr">
        <is>
          <t>★★★</t>
        </is>
      </c>
      <c r="G1779" s="10" t="n">
        <v>1</v>
      </c>
      <c r="H1779" s="11" t="n">
        <v>24060</v>
      </c>
      <c r="I1779" s="11" t="n">
        <v>23655</v>
      </c>
      <c r="J1779" s="10" t="n">
        <v>5</v>
      </c>
      <c r="K1779" s="10" t="n">
        <v>10000</v>
      </c>
      <c r="L1779" s="23">
        <f>IF(E1779="多",1,-1)*(I1779-H1779)*G1779*J1779</f>
        <v/>
      </c>
      <c r="M1779" s="24">
        <f>L1779/K1779</f>
        <v/>
      </c>
      <c r="N1779" s="2" t="inlineStr">
        <is>
          <t>大将军转向</t>
        </is>
      </c>
      <c r="O1779" s="2" t="inlineStr">
        <is>
          <t>否</t>
        </is>
      </c>
    </row>
    <row r="1780">
      <c r="A1780" s="2" t="inlineStr">
        <is>
          <t>2022-07-25</t>
        </is>
      </c>
      <c r="B1780" s="2" t="inlineStr">
        <is>
          <t>2022-08-04</t>
        </is>
      </c>
      <c r="C1780" s="2" t="inlineStr">
        <is>
          <t>沪铝</t>
        </is>
      </c>
      <c r="D1780" s="2" t="inlineStr">
        <is>
          <t>AL</t>
        </is>
      </c>
      <c r="E1780" s="9" t="inlineStr">
        <is>
          <t>空</t>
        </is>
      </c>
      <c r="F1780" s="2" t="inlineStr">
        <is>
          <t>★★★</t>
        </is>
      </c>
      <c r="G1780" s="10" t="n">
        <v>4</v>
      </c>
      <c r="H1780" s="11" t="n">
        <v>17775</v>
      </c>
      <c r="I1780" s="11" t="n">
        <v>18190</v>
      </c>
      <c r="J1780" s="10" t="n">
        <v>5</v>
      </c>
      <c r="K1780" s="10" t="n">
        <v>30000</v>
      </c>
      <c r="L1780" s="23">
        <f>IF(E1780="多",1,-1)*(I1780-H1780)*G1780*J1780</f>
        <v/>
      </c>
      <c r="M1780" s="24">
        <f>L1780/K1780</f>
        <v/>
      </c>
      <c r="N1780" s="2" t="inlineStr">
        <is>
          <t>大将军转向</t>
        </is>
      </c>
      <c r="O1780" s="2" t="inlineStr">
        <is>
          <t>否</t>
        </is>
      </c>
    </row>
    <row r="1781">
      <c r="A1781" s="2" t="inlineStr">
        <is>
          <t>2022-08-01</t>
        </is>
      </c>
      <c r="B1781" s="2" t="inlineStr">
        <is>
          <t>2022-08-02</t>
        </is>
      </c>
      <c r="C1781" s="2" t="inlineStr">
        <is>
          <t>沪镍</t>
        </is>
      </c>
      <c r="D1781" s="2" t="inlineStr">
        <is>
          <t>NI</t>
        </is>
      </c>
      <c r="E1781" s="19" t="inlineStr">
        <is>
          <t>多</t>
        </is>
      </c>
      <c r="F1781" s="2" t="inlineStr">
        <is>
          <t>★★★</t>
        </is>
      </c>
      <c r="G1781" s="10" t="n">
        <v>1</v>
      </c>
      <c r="H1781" s="11" t="n">
        <v>182500</v>
      </c>
      <c r="I1781" s="11" t="n">
        <v>177460</v>
      </c>
      <c r="J1781" s="10" t="n">
        <v>1</v>
      </c>
      <c r="K1781" s="10" t="n">
        <v>30000</v>
      </c>
      <c r="L1781" s="23">
        <f>IF(E1781="多",1,-1)*(I1781-H1781)*G1781*J1781</f>
        <v/>
      </c>
      <c r="M1781" s="24">
        <f>L1781/K1781</f>
        <v/>
      </c>
      <c r="N1781" s="2" t="inlineStr">
        <is>
          <t>将军撤退</t>
        </is>
      </c>
      <c r="O1781" s="2" t="inlineStr">
        <is>
          <t>否</t>
        </is>
      </c>
    </row>
    <row r="1782">
      <c r="A1782" s="2" t="inlineStr">
        <is>
          <t>2022-07-28</t>
        </is>
      </c>
      <c r="B1782" s="2" t="inlineStr">
        <is>
          <t>2022-08-01</t>
        </is>
      </c>
      <c r="C1782" s="2" t="inlineStr">
        <is>
          <t>PVC</t>
        </is>
      </c>
      <c r="D1782" s="2" t="inlineStr">
        <is>
          <t>V</t>
        </is>
      </c>
      <c r="E1782" s="19" t="inlineStr">
        <is>
          <t>多</t>
        </is>
      </c>
      <c r="F1782" s="2" t="inlineStr">
        <is>
          <t>★★★</t>
        </is>
      </c>
      <c r="G1782" s="10" t="n">
        <v>8</v>
      </c>
      <c r="H1782" s="11" t="n">
        <v>6766</v>
      </c>
      <c r="I1782" s="11" t="n">
        <v>6827</v>
      </c>
      <c r="J1782" s="10" t="n">
        <v>5</v>
      </c>
      <c r="K1782" s="10" t="n">
        <v>30000</v>
      </c>
      <c r="L1782" s="23">
        <f>IF(E1782="多",1,-1)*(I1782-H1782)*G1782*J1782</f>
        <v/>
      </c>
      <c r="M1782" s="24">
        <f>L1782/K1782</f>
        <v/>
      </c>
      <c r="N1782" s="2" t="inlineStr">
        <is>
          <t>将军撤退+大将军转向</t>
        </is>
      </c>
      <c r="O1782" s="2" t="inlineStr">
        <is>
          <t>否</t>
        </is>
      </c>
    </row>
    <row r="1783">
      <c r="A1783" s="14" t="inlineStr">
        <is>
          <t>2022-07-27</t>
        </is>
      </c>
      <c r="B1783" s="14" t="inlineStr">
        <is>
          <t>2022-08-01</t>
        </is>
      </c>
      <c r="C1783" s="14" t="inlineStr">
        <is>
          <t>螺纹钢</t>
        </is>
      </c>
      <c r="D1783" s="14" t="inlineStr">
        <is>
          <t>RB</t>
        </is>
      </c>
      <c r="E1783" s="14" t="inlineStr">
        <is>
          <t>多</t>
        </is>
      </c>
      <c r="F1783" s="14" t="inlineStr">
        <is>
          <t>★★★</t>
        </is>
      </c>
      <c r="G1783" s="14" t="n">
        <v>2</v>
      </c>
      <c r="H1783" s="15" t="n">
        <v>3911</v>
      </c>
      <c r="I1783" s="15" t="n">
        <v>4093</v>
      </c>
      <c r="J1783" s="14" t="n">
        <v>10</v>
      </c>
      <c r="K1783" s="14" t="n">
        <v>10000</v>
      </c>
      <c r="L1783" s="25">
        <f>IF(E1783="多",1,-1)*(I1783-H1783)*G1783*J1783</f>
        <v/>
      </c>
      <c r="M1783" s="26">
        <f>L1783/K1783</f>
        <v/>
      </c>
      <c r="N1783" s="14" t="inlineStr">
        <is>
          <t>大将军转向</t>
        </is>
      </c>
      <c r="O1783" s="14" t="inlineStr">
        <is>
          <t>是</t>
        </is>
      </c>
    </row>
    <row r="1784">
      <c r="A1784" s="2" t="inlineStr">
        <is>
          <t>2022-07-13</t>
        </is>
      </c>
      <c r="B1784" s="2" t="inlineStr">
        <is>
          <t>2022-08-01</t>
        </is>
      </c>
      <c r="C1784" s="2" t="inlineStr">
        <is>
          <t>豆粕</t>
        </is>
      </c>
      <c r="D1784" s="2" t="inlineStr">
        <is>
          <t>M</t>
        </is>
      </c>
      <c r="E1784" s="9" t="inlineStr">
        <is>
          <t>空</t>
        </is>
      </c>
      <c r="F1784" s="2" t="inlineStr">
        <is>
          <t>★★★</t>
        </is>
      </c>
      <c r="G1784" s="10" t="n">
        <v>9</v>
      </c>
      <c r="H1784" s="11" t="n">
        <v>3881</v>
      </c>
      <c r="I1784" s="11" t="n">
        <v>4013</v>
      </c>
      <c r="J1784" s="10" t="n">
        <v>10</v>
      </c>
      <c r="K1784" s="10" t="n">
        <v>30000</v>
      </c>
      <c r="L1784" s="23">
        <f>IF(E1784="多",1,-1)*(I1784-H1784)*G1784*J1784</f>
        <v/>
      </c>
      <c r="M1784" s="24">
        <f>L1784/K1784</f>
        <v/>
      </c>
      <c r="N1784" s="2" t="inlineStr">
        <is>
          <t>跳空止损</t>
        </is>
      </c>
      <c r="O1784" s="2" t="inlineStr">
        <is>
          <t>否</t>
        </is>
      </c>
    </row>
    <row r="1785">
      <c r="A1785" s="14" t="inlineStr">
        <is>
          <t>2022-07-26</t>
        </is>
      </c>
      <c r="B1785" s="14" t="inlineStr">
        <is>
          <t>2022-07-29</t>
        </is>
      </c>
      <c r="C1785" s="14" t="inlineStr">
        <is>
          <t>沪锌</t>
        </is>
      </c>
      <c r="D1785" s="14" t="inlineStr">
        <is>
          <t>ZN</t>
        </is>
      </c>
      <c r="E1785" s="14" t="inlineStr">
        <is>
          <t>多</t>
        </is>
      </c>
      <c r="F1785" s="14" t="inlineStr">
        <is>
          <t>★★</t>
        </is>
      </c>
      <c r="G1785" s="14" t="n">
        <v>1</v>
      </c>
      <c r="H1785" s="15" t="n">
        <v>22975</v>
      </c>
      <c r="I1785" s="15" t="n">
        <v>23975</v>
      </c>
      <c r="J1785" s="14" t="n">
        <v>5</v>
      </c>
      <c r="K1785" s="14" t="n">
        <v>10000</v>
      </c>
      <c r="L1785" s="25">
        <f>IF(E1785="多",1,-1)*(I1785-H1785)*G1785*J1785</f>
        <v/>
      </c>
      <c r="M1785" s="26">
        <f>L1785/K1785</f>
        <v/>
      </c>
      <c r="N1785" s="14" t="inlineStr">
        <is>
          <t>大将军转向</t>
        </is>
      </c>
      <c r="O1785" s="14" t="inlineStr">
        <is>
          <t>是</t>
        </is>
      </c>
    </row>
    <row r="1786">
      <c r="A1786" s="2" t="inlineStr">
        <is>
          <t>2022-07-22</t>
        </is>
      </c>
      <c r="B1786" s="2" t="inlineStr">
        <is>
          <t>2022-07-28</t>
        </is>
      </c>
      <c r="C1786" s="2" t="inlineStr">
        <is>
          <t>玉米</t>
        </is>
      </c>
      <c r="D1786" s="2" t="inlineStr">
        <is>
          <t>C</t>
        </is>
      </c>
      <c r="E1786" s="9" t="inlineStr">
        <is>
          <t>空</t>
        </is>
      </c>
      <c r="F1786" s="2" t="inlineStr">
        <is>
          <t>★★★</t>
        </is>
      </c>
      <c r="G1786" s="10" t="n">
        <v>24</v>
      </c>
      <c r="H1786" s="11" t="n">
        <v>2565</v>
      </c>
      <c r="I1786" s="11" t="n">
        <v>2669.93</v>
      </c>
      <c r="J1786" s="10" t="n">
        <v>10</v>
      </c>
      <c r="K1786" s="10" t="n">
        <v>30000</v>
      </c>
      <c r="L1786" s="23">
        <f>IF(E1786="多",1,-1)*(I1786-H1786)*G1786*J1786</f>
        <v/>
      </c>
      <c r="M1786" s="24">
        <f>L1786/K1786</f>
        <v/>
      </c>
      <c r="N1786" s="2" t="inlineStr">
        <is>
          <t>止损</t>
        </is>
      </c>
      <c r="O1786" s="2" t="inlineStr">
        <is>
          <t>否</t>
        </is>
      </c>
    </row>
    <row r="1787">
      <c r="A1787" s="2" t="inlineStr">
        <is>
          <t>2022-07-15</t>
        </is>
      </c>
      <c r="B1787" s="2" t="inlineStr">
        <is>
          <t>2022-07-25</t>
        </is>
      </c>
      <c r="C1787" s="2" t="inlineStr">
        <is>
          <t>PTA</t>
        </is>
      </c>
      <c r="D1787" s="2" t="inlineStr">
        <is>
          <t>TA</t>
        </is>
      </c>
      <c r="E1787" s="9" t="inlineStr">
        <is>
          <t>空</t>
        </is>
      </c>
      <c r="F1787" s="2" t="inlineStr">
        <is>
          <t>★★★</t>
        </is>
      </c>
      <c r="G1787" s="10" t="n">
        <v>8</v>
      </c>
      <c r="H1787" s="11" t="n">
        <v>5288</v>
      </c>
      <c r="I1787" s="11" t="n">
        <v>5610</v>
      </c>
      <c r="J1787" s="10" t="n">
        <v>5</v>
      </c>
      <c r="K1787" s="10" t="n">
        <v>30000</v>
      </c>
      <c r="L1787" s="23">
        <f>IF(E1787="多",1,-1)*(I1787-H1787)*G1787*J1787</f>
        <v/>
      </c>
      <c r="M1787" s="24">
        <f>L1787/K1787</f>
        <v/>
      </c>
      <c r="N1787" s="2" t="inlineStr">
        <is>
          <t>大将军转向</t>
        </is>
      </c>
      <c r="O1787" s="2" t="inlineStr">
        <is>
          <t>否</t>
        </is>
      </c>
    </row>
    <row r="1788">
      <c r="A1788" s="14" t="inlineStr">
        <is>
          <t>2022-07-15</t>
        </is>
      </c>
      <c r="B1788" s="14" t="inlineStr">
        <is>
          <t>2022-07-25</t>
        </is>
      </c>
      <c r="C1788" s="14" t="inlineStr">
        <is>
          <t>沥青</t>
        </is>
      </c>
      <c r="D1788" s="14" t="inlineStr">
        <is>
          <t>BU</t>
        </is>
      </c>
      <c r="E1788" s="14" t="inlineStr">
        <is>
          <t>空</t>
        </is>
      </c>
      <c r="F1788" s="14" t="inlineStr">
        <is>
          <t>★★★</t>
        </is>
      </c>
      <c r="G1788" s="14" t="n">
        <v>1</v>
      </c>
      <c r="H1788" s="15" t="n">
        <v>3750</v>
      </c>
      <c r="I1788" s="15" t="n">
        <v>4006</v>
      </c>
      <c r="J1788" s="14" t="n">
        <v>10</v>
      </c>
      <c r="K1788" s="14" t="n">
        <v>10000</v>
      </c>
      <c r="L1788" s="25">
        <f>IF(E1788="多",1,-1)*(I1788-H1788)*G1788*J1788</f>
        <v/>
      </c>
      <c r="M1788" s="26">
        <f>L1788/K1788</f>
        <v/>
      </c>
      <c r="N1788" s="14" t="inlineStr">
        <is>
          <t>将军撤退+大将军转向</t>
        </is>
      </c>
      <c r="O1788" s="14" t="inlineStr">
        <is>
          <t>是</t>
        </is>
      </c>
    </row>
    <row r="1789">
      <c r="A1789" s="2" t="inlineStr">
        <is>
          <t>2022-07-21</t>
        </is>
      </c>
      <c r="B1789" s="2" t="inlineStr">
        <is>
          <t>2022-07-22</t>
        </is>
      </c>
      <c r="C1789" s="2" t="inlineStr">
        <is>
          <t>沪金</t>
        </is>
      </c>
      <c r="D1789" s="2" t="inlineStr">
        <is>
          <t>AU</t>
        </is>
      </c>
      <c r="E1789" s="9" t="inlineStr">
        <is>
          <t>空</t>
        </is>
      </c>
      <c r="F1789" s="2" t="inlineStr">
        <is>
          <t>★★★</t>
        </is>
      </c>
      <c r="G1789" s="10" t="n">
        <v>2</v>
      </c>
      <c r="H1789" s="11" t="n">
        <v>373.7</v>
      </c>
      <c r="I1789" s="11" t="n">
        <v>375.98</v>
      </c>
      <c r="J1789" s="10" t="n">
        <v>1000</v>
      </c>
      <c r="K1789" s="10" t="n">
        <v>30000</v>
      </c>
      <c r="L1789" s="23">
        <f>IF(E1789="多",1,-1)*(I1789-H1789)*G1789*J1789</f>
        <v/>
      </c>
      <c r="M1789" s="24">
        <f>L1789/K1789</f>
        <v/>
      </c>
      <c r="N1789" s="2" t="inlineStr">
        <is>
          <t>将军撤退+大将军转向</t>
        </is>
      </c>
      <c r="O1789" s="2" t="inlineStr">
        <is>
          <t>否</t>
        </is>
      </c>
    </row>
    <row r="1790">
      <c r="A1790" s="14" t="inlineStr">
        <is>
          <t>2022-07-20</t>
        </is>
      </c>
      <c r="B1790" s="14" t="inlineStr">
        <is>
          <t>2022-07-21</t>
        </is>
      </c>
      <c r="C1790" s="14" t="inlineStr">
        <is>
          <t>聚丙烯</t>
        </is>
      </c>
      <c r="D1790" s="14" t="inlineStr">
        <is>
          <t>PP</t>
        </is>
      </c>
      <c r="E1790" s="14" t="inlineStr">
        <is>
          <t>空</t>
        </is>
      </c>
      <c r="F1790" s="14" t="inlineStr">
        <is>
          <t>★★</t>
        </is>
      </c>
      <c r="G1790" s="14" t="n">
        <v>3</v>
      </c>
      <c r="H1790" s="15" t="n">
        <v>7802</v>
      </c>
      <c r="I1790" s="15" t="n">
        <v>7704</v>
      </c>
      <c r="J1790" s="14" t="n">
        <v>5</v>
      </c>
      <c r="K1790" s="14" t="n">
        <v>10000</v>
      </c>
      <c r="L1790" s="25">
        <f>IF(E1790="多",1,-1)*(I1790-H1790)*G1790*J1790</f>
        <v/>
      </c>
      <c r="M1790" s="26">
        <f>L1790/K1790</f>
        <v/>
      </c>
      <c r="N1790" s="14" t="inlineStr">
        <is>
          <t>将军撤退</t>
        </is>
      </c>
      <c r="O1790" s="14" t="inlineStr">
        <is>
          <t>是</t>
        </is>
      </c>
    </row>
    <row r="1791">
      <c r="A1791" s="2" t="inlineStr">
        <is>
          <t>2022-07-15</t>
        </is>
      </c>
      <c r="B1791" s="2" t="inlineStr">
        <is>
          <t>2022-07-20</t>
        </is>
      </c>
      <c r="C1791" s="2" t="inlineStr">
        <is>
          <t>沪银</t>
        </is>
      </c>
      <c r="D1791" s="2" t="inlineStr">
        <is>
          <t>AG</t>
        </is>
      </c>
      <c r="E1791" s="9" t="inlineStr">
        <is>
          <t>空</t>
        </is>
      </c>
      <c r="F1791" s="2" t="inlineStr">
        <is>
          <t>★★★</t>
        </is>
      </c>
      <c r="G1791" s="10" t="n">
        <v>1</v>
      </c>
      <c r="H1791" s="11" t="n">
        <v>4096</v>
      </c>
      <c r="I1791" s="11" t="n">
        <v>4144</v>
      </c>
      <c r="J1791" s="10" t="n">
        <v>15</v>
      </c>
      <c r="K1791" s="10" t="n">
        <v>10000</v>
      </c>
      <c r="L1791" s="23">
        <f>IF(E1791="多",1,-1)*(I1791-H1791)*G1791*J1791</f>
        <v/>
      </c>
      <c r="M1791" s="24">
        <f>L1791/K1791</f>
        <v/>
      </c>
      <c r="N1791" s="2" t="inlineStr">
        <is>
          <t>将军撤退</t>
        </is>
      </c>
      <c r="O1791" s="2" t="inlineStr">
        <is>
          <t>否</t>
        </is>
      </c>
    </row>
    <row r="1792">
      <c r="A1792" s="14" t="inlineStr">
        <is>
          <t>2022-07-18</t>
        </is>
      </c>
      <c r="B1792" s="14" t="inlineStr">
        <is>
          <t>2022-07-19</t>
        </is>
      </c>
      <c r="C1792" s="14" t="inlineStr">
        <is>
          <t>热卷</t>
        </is>
      </c>
      <c r="D1792" s="14" t="inlineStr">
        <is>
          <t>HC</t>
        </is>
      </c>
      <c r="E1792" s="14" t="inlineStr">
        <is>
          <t>空</t>
        </is>
      </c>
      <c r="F1792" s="14" t="inlineStr">
        <is>
          <t>★★</t>
        </is>
      </c>
      <c r="G1792" s="14" t="n">
        <v>2</v>
      </c>
      <c r="H1792" s="15" t="n">
        <v>3782</v>
      </c>
      <c r="I1792" s="15" t="n">
        <v>3755</v>
      </c>
      <c r="J1792" s="14" t="n">
        <v>10</v>
      </c>
      <c r="K1792" s="14" t="n">
        <v>10000</v>
      </c>
      <c r="L1792" s="25">
        <f>IF(E1792="多",1,-1)*(I1792-H1792)*G1792*J1792</f>
        <v/>
      </c>
      <c r="M1792" s="26">
        <f>L1792/K1792</f>
        <v/>
      </c>
      <c r="N1792" s="14" t="inlineStr">
        <is>
          <t>大将军转向</t>
        </is>
      </c>
      <c r="O1792" s="14" t="inlineStr">
        <is>
          <t>是</t>
        </is>
      </c>
    </row>
    <row r="1793">
      <c r="A1793" s="2" t="inlineStr">
        <is>
          <t>2022-07-14</t>
        </is>
      </c>
      <c r="B1793" s="2" t="inlineStr">
        <is>
          <t>2022-07-19</t>
        </is>
      </c>
      <c r="C1793" s="2" t="inlineStr">
        <is>
          <t>玻璃</t>
        </is>
      </c>
      <c r="D1793" s="2" t="inlineStr">
        <is>
          <t>FG</t>
        </is>
      </c>
      <c r="E1793" s="9" t="inlineStr">
        <is>
          <t>空</t>
        </is>
      </c>
      <c r="F1793" s="2" t="inlineStr">
        <is>
          <t>★★★</t>
        </is>
      </c>
      <c r="G1793" s="10" t="n">
        <v>11</v>
      </c>
      <c r="H1793" s="11" t="n">
        <v>1520</v>
      </c>
      <c r="I1793" s="11" t="n">
        <v>1493</v>
      </c>
      <c r="J1793" s="10" t="n">
        <v>20</v>
      </c>
      <c r="K1793" s="10" t="n">
        <v>30000</v>
      </c>
      <c r="L1793" s="23">
        <f>IF(E1793="多",1,-1)*(I1793-H1793)*G1793*J1793</f>
        <v/>
      </c>
      <c r="M1793" s="24">
        <f>L1793/K1793</f>
        <v/>
      </c>
      <c r="N1793" s="2" t="inlineStr">
        <is>
          <t>大将军转向</t>
        </is>
      </c>
      <c r="O1793" s="2" t="inlineStr">
        <is>
          <t>否</t>
        </is>
      </c>
    </row>
    <row r="1794">
      <c r="A1794" s="14" t="inlineStr">
        <is>
          <t>2022-06-23</t>
        </is>
      </c>
      <c r="B1794" s="14" t="inlineStr">
        <is>
          <t>2022-07-19</t>
        </is>
      </c>
      <c r="C1794" s="14" t="inlineStr">
        <is>
          <t>白糖</t>
        </is>
      </c>
      <c r="D1794" s="14" t="inlineStr">
        <is>
          <t>SR</t>
        </is>
      </c>
      <c r="E1794" s="14" t="inlineStr">
        <is>
          <t>空</t>
        </is>
      </c>
      <c r="F1794" s="14" t="inlineStr">
        <is>
          <t>★★★</t>
        </is>
      </c>
      <c r="G1794" s="14" t="n">
        <v>6</v>
      </c>
      <c r="H1794" s="15" t="n">
        <v>5862</v>
      </c>
      <c r="I1794" s="15" t="n">
        <v>5867.57</v>
      </c>
      <c r="J1794" s="14" t="n">
        <v>10</v>
      </c>
      <c r="K1794" s="14" t="n">
        <v>10000</v>
      </c>
      <c r="L1794" s="25">
        <f>IF(E1794="多",1,-1)*(I1794-H1794)*G1794*J1794</f>
        <v/>
      </c>
      <c r="M1794" s="26">
        <f>L1794/K1794</f>
        <v/>
      </c>
      <c r="N1794" s="14" t="inlineStr">
        <is>
          <t>止损</t>
        </is>
      </c>
      <c r="O1794" s="14" t="inlineStr">
        <is>
          <t>是</t>
        </is>
      </c>
    </row>
    <row r="1795">
      <c r="A1795" s="14" t="inlineStr">
        <is>
          <t>2022-07-14</t>
        </is>
      </c>
      <c r="B1795" s="14" t="inlineStr">
        <is>
          <t>2022-07-18</t>
        </is>
      </c>
      <c r="C1795" s="14" t="inlineStr">
        <is>
          <t>聚丙烯</t>
        </is>
      </c>
      <c r="D1795" s="14" t="inlineStr">
        <is>
          <t>PP</t>
        </is>
      </c>
      <c r="E1795" s="14" t="inlineStr">
        <is>
          <t>空</t>
        </is>
      </c>
      <c r="F1795" s="14" t="inlineStr">
        <is>
          <t>★★★</t>
        </is>
      </c>
      <c r="G1795" s="14" t="n">
        <v>3</v>
      </c>
      <c r="H1795" s="15" t="n">
        <v>7920</v>
      </c>
      <c r="I1795" s="15" t="n">
        <v>8021</v>
      </c>
      <c r="J1795" s="14" t="n">
        <v>5</v>
      </c>
      <c r="K1795" s="14" t="n">
        <v>10000</v>
      </c>
      <c r="L1795" s="25">
        <f>IF(E1795="多",1,-1)*(I1795-H1795)*G1795*J1795</f>
        <v/>
      </c>
      <c r="M1795" s="26">
        <f>L1795/K1795</f>
        <v/>
      </c>
      <c r="N1795" s="14" t="inlineStr">
        <is>
          <t>大将军转向</t>
        </is>
      </c>
      <c r="O1795" s="14" t="inlineStr">
        <is>
          <t>是</t>
        </is>
      </c>
    </row>
    <row r="1796">
      <c r="A1796" s="2" t="inlineStr">
        <is>
          <t>2022-07-14</t>
        </is>
      </c>
      <c r="B1796" s="2" t="inlineStr">
        <is>
          <t>2022-07-15</t>
        </is>
      </c>
      <c r="C1796" s="2" t="inlineStr">
        <is>
          <t>PVC</t>
        </is>
      </c>
      <c r="D1796" s="2" t="inlineStr">
        <is>
          <t>V</t>
        </is>
      </c>
      <c r="E1796" s="9" t="inlineStr">
        <is>
          <t>空</t>
        </is>
      </c>
      <c r="F1796" s="2" t="inlineStr">
        <is>
          <t>★★★</t>
        </is>
      </c>
      <c r="G1796" s="10" t="n">
        <v>8</v>
      </c>
      <c r="H1796" s="11" t="n">
        <v>6195</v>
      </c>
      <c r="I1796" s="11" t="n">
        <v>6007</v>
      </c>
      <c r="J1796" s="10" t="n">
        <v>5</v>
      </c>
      <c r="K1796" s="10" t="n">
        <v>30000</v>
      </c>
      <c r="L1796" s="23">
        <f>IF(E1796="多",1,-1)*(I1796-H1796)*G1796*J1796</f>
        <v/>
      </c>
      <c r="M1796" s="24">
        <f>L1796/K1796</f>
        <v/>
      </c>
      <c r="N1796" s="2" t="inlineStr">
        <is>
          <t>大将军转向</t>
        </is>
      </c>
      <c r="O1796" s="2" t="inlineStr">
        <is>
          <t>否</t>
        </is>
      </c>
    </row>
    <row r="1797">
      <c r="A1797" s="14" t="inlineStr">
        <is>
          <t>2022-07-14</t>
        </is>
      </c>
      <c r="B1797" s="14" t="inlineStr">
        <is>
          <t>2022-07-15</t>
        </is>
      </c>
      <c r="C1797" s="14" t="inlineStr">
        <is>
          <t>沪铝</t>
        </is>
      </c>
      <c r="D1797" s="14" t="inlineStr">
        <is>
          <t>AL</t>
        </is>
      </c>
      <c r="E1797" s="14" t="inlineStr">
        <is>
          <t>空</t>
        </is>
      </c>
      <c r="F1797" s="14" t="inlineStr">
        <is>
          <t>★★</t>
        </is>
      </c>
      <c r="G1797" s="14" t="n">
        <v>1</v>
      </c>
      <c r="H1797" s="15" t="n">
        <v>17255</v>
      </c>
      <c r="I1797" s="15" t="n">
        <v>17155</v>
      </c>
      <c r="J1797" s="14" t="n">
        <v>5</v>
      </c>
      <c r="K1797" s="14" t="n">
        <v>10000</v>
      </c>
      <c r="L1797" s="25">
        <f>IF(E1797="多",1,-1)*(I1797-H1797)*G1797*J1797</f>
        <v/>
      </c>
      <c r="M1797" s="26">
        <f>L1797/K1797</f>
        <v/>
      </c>
      <c r="N1797" s="14" t="inlineStr">
        <is>
          <t>将军撤退+大将军转向</t>
        </is>
      </c>
      <c r="O1797" s="14" t="inlineStr">
        <is>
          <t>是</t>
        </is>
      </c>
    </row>
    <row r="1798">
      <c r="A1798" s="2" t="inlineStr">
        <is>
          <t>2022-07-12</t>
        </is>
      </c>
      <c r="B1798" s="2" t="inlineStr">
        <is>
          <t>2022-07-14</t>
        </is>
      </c>
      <c r="C1798" s="2" t="inlineStr">
        <is>
          <t>纯碱</t>
        </is>
      </c>
      <c r="D1798" s="2" t="inlineStr">
        <is>
          <t>SA</t>
        </is>
      </c>
      <c r="E1798" s="9" t="inlineStr">
        <is>
          <t>空</t>
        </is>
      </c>
      <c r="F1798" s="2" t="inlineStr">
        <is>
          <t>★★★</t>
        </is>
      </c>
      <c r="G1798" s="10" t="n">
        <v>4</v>
      </c>
      <c r="H1798" s="11" t="n">
        <v>2431</v>
      </c>
      <c r="I1798" s="11" t="n">
        <v>2435</v>
      </c>
      <c r="J1798" s="10" t="n">
        <v>20</v>
      </c>
      <c r="K1798" s="10" t="n">
        <v>30000</v>
      </c>
      <c r="L1798" s="23">
        <f>IF(E1798="多",1,-1)*(I1798-H1798)*G1798*J1798</f>
        <v/>
      </c>
      <c r="M1798" s="24">
        <f>L1798/K1798</f>
        <v/>
      </c>
      <c r="N1798" s="2" t="inlineStr">
        <is>
          <t>大将军转向</t>
        </is>
      </c>
      <c r="O1798" s="2" t="inlineStr">
        <is>
          <t>否</t>
        </is>
      </c>
    </row>
    <row r="1799">
      <c r="A1799" s="2" t="inlineStr">
        <is>
          <t>2022-07-12</t>
        </is>
      </c>
      <c r="B1799" s="2" t="inlineStr">
        <is>
          <t>2022-07-14</t>
        </is>
      </c>
      <c r="C1799" s="2" t="inlineStr">
        <is>
          <t>乙二醇</t>
        </is>
      </c>
      <c r="D1799" s="2" t="inlineStr">
        <is>
          <t>EG</t>
        </is>
      </c>
      <c r="E1799" s="9" t="inlineStr">
        <is>
          <t>空</t>
        </is>
      </c>
      <c r="F1799" s="2" t="inlineStr">
        <is>
          <t>★★★</t>
        </is>
      </c>
      <c r="G1799" s="10" t="n">
        <v>6</v>
      </c>
      <c r="H1799" s="11" t="n">
        <v>4219</v>
      </c>
      <c r="I1799" s="11" t="n">
        <v>4222</v>
      </c>
      <c r="J1799" s="10" t="n">
        <v>10</v>
      </c>
      <c r="K1799" s="10" t="n">
        <v>30000</v>
      </c>
      <c r="L1799" s="23">
        <f>IF(E1799="多",1,-1)*(I1799-H1799)*G1799*J1799</f>
        <v/>
      </c>
      <c r="M1799" s="24">
        <f>L1799/K1799</f>
        <v/>
      </c>
      <c r="N1799" s="2" t="inlineStr">
        <is>
          <t>大将军转向</t>
        </is>
      </c>
      <c r="O1799" s="2" t="inlineStr">
        <is>
          <t>否</t>
        </is>
      </c>
    </row>
    <row r="1800">
      <c r="A1800" s="14" t="inlineStr">
        <is>
          <t>2022-07-08</t>
        </is>
      </c>
      <c r="B1800" s="14" t="inlineStr">
        <is>
          <t>2022-07-14</t>
        </is>
      </c>
      <c r="C1800" s="14" t="inlineStr">
        <is>
          <t>沪银</t>
        </is>
      </c>
      <c r="D1800" s="14" t="inlineStr">
        <is>
          <t>AG</t>
        </is>
      </c>
      <c r="E1800" s="14" t="inlineStr">
        <is>
          <t>空</t>
        </is>
      </c>
      <c r="F1800" s="14" t="inlineStr">
        <is>
          <t>★★★</t>
        </is>
      </c>
      <c r="G1800" s="14" t="n">
        <v>1</v>
      </c>
      <c r="H1800" s="15" t="n">
        <v>4220</v>
      </c>
      <c r="I1800" s="15" t="n">
        <v>4199</v>
      </c>
      <c r="J1800" s="14" t="n">
        <v>15</v>
      </c>
      <c r="K1800" s="14" t="n">
        <v>10000</v>
      </c>
      <c r="L1800" s="25">
        <f>IF(E1800="多",1,-1)*(I1800-H1800)*G1800*J1800</f>
        <v/>
      </c>
      <c r="M1800" s="26">
        <f>L1800/K1800</f>
        <v/>
      </c>
      <c r="N1800" s="14" t="inlineStr">
        <is>
          <t>大将军转向</t>
        </is>
      </c>
      <c r="O1800" s="14" t="inlineStr">
        <is>
          <t>是</t>
        </is>
      </c>
    </row>
    <row r="1801">
      <c r="A1801" s="2" t="inlineStr">
        <is>
          <t>2022-07-12</t>
        </is>
      </c>
      <c r="B1801" s="2" t="inlineStr">
        <is>
          <t>2022-07-13</t>
        </is>
      </c>
      <c r="C1801" s="2" t="inlineStr">
        <is>
          <t>沪铝</t>
        </is>
      </c>
      <c r="D1801" s="2" t="inlineStr">
        <is>
          <t>AL</t>
        </is>
      </c>
      <c r="E1801" s="9" t="inlineStr">
        <is>
          <t>空</t>
        </is>
      </c>
      <c r="F1801" s="2" t="inlineStr">
        <is>
          <t>★★★</t>
        </is>
      </c>
      <c r="G1801" s="10" t="n">
        <v>1</v>
      </c>
      <c r="H1801" s="11" t="n">
        <v>17650</v>
      </c>
      <c r="I1801" s="11" t="n">
        <v>17225</v>
      </c>
      <c r="J1801" s="10" t="n">
        <v>5</v>
      </c>
      <c r="K1801" s="10" t="n">
        <v>10000</v>
      </c>
      <c r="L1801" s="23">
        <f>IF(E1801="多",1,-1)*(I1801-H1801)*G1801*J1801</f>
        <v/>
      </c>
      <c r="M1801" s="24">
        <f>L1801/K1801</f>
        <v/>
      </c>
      <c r="N1801" s="2" t="inlineStr">
        <is>
          <t>大将军转向</t>
        </is>
      </c>
      <c r="O1801" s="2" t="inlineStr">
        <is>
          <t>否</t>
        </is>
      </c>
    </row>
    <row r="1802">
      <c r="A1802" s="2" t="inlineStr">
        <is>
          <t>2022-07-11</t>
        </is>
      </c>
      <c r="B1802" s="2" t="inlineStr">
        <is>
          <t>2022-07-13</t>
        </is>
      </c>
      <c r="C1802" s="2" t="inlineStr">
        <is>
          <t>燃料油</t>
        </is>
      </c>
      <c r="D1802" s="2" t="inlineStr">
        <is>
          <t>FU</t>
        </is>
      </c>
      <c r="E1802" s="9" t="inlineStr">
        <is>
          <t>空</t>
        </is>
      </c>
      <c r="F1802" s="2" t="inlineStr">
        <is>
          <t>★★★</t>
        </is>
      </c>
      <c r="G1802" s="10" t="n">
        <v>5</v>
      </c>
      <c r="H1802" s="11" t="n">
        <v>3180</v>
      </c>
      <c r="I1802" s="11" t="n">
        <v>2997</v>
      </c>
      <c r="J1802" s="10" t="n">
        <v>10</v>
      </c>
      <c r="K1802" s="10" t="n">
        <v>30000</v>
      </c>
      <c r="L1802" s="23">
        <f>IF(E1802="多",1,-1)*(I1802-H1802)*G1802*J1802</f>
        <v/>
      </c>
      <c r="M1802" s="24">
        <f>L1802/K1802</f>
        <v/>
      </c>
      <c r="N1802" s="2" t="inlineStr">
        <is>
          <t>大将军转向</t>
        </is>
      </c>
      <c r="O1802" s="2" t="inlineStr">
        <is>
          <t>否</t>
        </is>
      </c>
    </row>
    <row r="1803">
      <c r="A1803" s="2" t="inlineStr">
        <is>
          <t>2022-07-07</t>
        </is>
      </c>
      <c r="B1803" s="2" t="inlineStr">
        <is>
          <t>2022-07-12</t>
        </is>
      </c>
      <c r="C1803" s="2" t="inlineStr">
        <is>
          <t>PVC</t>
        </is>
      </c>
      <c r="D1803" s="2" t="inlineStr">
        <is>
          <t>V</t>
        </is>
      </c>
      <c r="E1803" s="9" t="inlineStr">
        <is>
          <t>空</t>
        </is>
      </c>
      <c r="F1803" s="2" t="inlineStr">
        <is>
          <t>★★★</t>
        </is>
      </c>
      <c r="G1803" s="10" t="n">
        <v>2</v>
      </c>
      <c r="H1803" s="11" t="n">
        <v>6726</v>
      </c>
      <c r="I1803" s="11" t="n">
        <v>6278</v>
      </c>
      <c r="J1803" s="10" t="n">
        <v>5</v>
      </c>
      <c r="K1803" s="10" t="n">
        <v>10000</v>
      </c>
      <c r="L1803" s="23">
        <f>IF(E1803="多",1,-1)*(I1803-H1803)*G1803*J1803</f>
        <v/>
      </c>
      <c r="M1803" s="24">
        <f>L1803/K1803</f>
        <v/>
      </c>
      <c r="N1803" s="2" t="inlineStr">
        <is>
          <t>大将军转向</t>
        </is>
      </c>
      <c r="O1803" s="2" t="inlineStr">
        <is>
          <t>否</t>
        </is>
      </c>
    </row>
    <row r="1804">
      <c r="A1804" s="14" t="inlineStr">
        <is>
          <t>2022-07-05</t>
        </is>
      </c>
      <c r="B1804" s="14" t="inlineStr">
        <is>
          <t>2022-07-12</t>
        </is>
      </c>
      <c r="C1804" s="14" t="inlineStr">
        <is>
          <t>热卷</t>
        </is>
      </c>
      <c r="D1804" s="14" t="inlineStr">
        <is>
          <t>HC</t>
        </is>
      </c>
      <c r="E1804" s="14" t="inlineStr">
        <is>
          <t>空</t>
        </is>
      </c>
      <c r="F1804" s="14" t="inlineStr">
        <is>
          <t>★★★</t>
        </is>
      </c>
      <c r="G1804" s="14" t="n">
        <v>2</v>
      </c>
      <c r="H1804" s="15" t="n">
        <v>4220</v>
      </c>
      <c r="I1804" s="15" t="n">
        <v>3916</v>
      </c>
      <c r="J1804" s="14" t="n">
        <v>10</v>
      </c>
      <c r="K1804" s="14" t="n">
        <v>10000</v>
      </c>
      <c r="L1804" s="25">
        <f>IF(E1804="多",1,-1)*(I1804-H1804)*G1804*J1804</f>
        <v/>
      </c>
      <c r="M1804" s="26">
        <f>L1804/K1804</f>
        <v/>
      </c>
      <c r="N1804" s="14" t="inlineStr">
        <is>
          <t>将军撤退</t>
        </is>
      </c>
      <c r="O1804" s="14" t="inlineStr">
        <is>
          <t>是</t>
        </is>
      </c>
    </row>
    <row r="1805">
      <c r="A1805" s="2" t="inlineStr">
        <is>
          <t>2022-06-30</t>
        </is>
      </c>
      <c r="B1805" s="2" t="inlineStr">
        <is>
          <t>2022-07-12</t>
        </is>
      </c>
      <c r="C1805" s="2" t="inlineStr">
        <is>
          <t>沪锌</t>
        </is>
      </c>
      <c r="D1805" s="2" t="inlineStr">
        <is>
          <t>ZN</t>
        </is>
      </c>
      <c r="E1805" s="9" t="inlineStr">
        <is>
          <t>空</t>
        </is>
      </c>
      <c r="F1805" s="2" t="inlineStr">
        <is>
          <t>★★★</t>
        </is>
      </c>
      <c r="G1805" s="10" t="n">
        <v>2</v>
      </c>
      <c r="H1805" s="11" t="n">
        <v>23180</v>
      </c>
      <c r="I1805" s="11" t="n">
        <v>23460</v>
      </c>
      <c r="J1805" s="10" t="n">
        <v>5</v>
      </c>
      <c r="K1805" s="10" t="n">
        <v>30000</v>
      </c>
      <c r="L1805" s="23">
        <f>IF(E1805="多",1,-1)*(I1805-H1805)*G1805*J1805</f>
        <v/>
      </c>
      <c r="M1805" s="24">
        <f>L1805/K1805</f>
        <v/>
      </c>
      <c r="N1805" s="2" t="inlineStr">
        <is>
          <t>大将军转向</t>
        </is>
      </c>
      <c r="O1805" s="2" t="inlineStr">
        <is>
          <t>否</t>
        </is>
      </c>
    </row>
    <row r="1806">
      <c r="A1806" s="2" t="inlineStr">
        <is>
          <t>2022-07-08</t>
        </is>
      </c>
      <c r="B1806" s="2" t="inlineStr">
        <is>
          <t>2022-07-11</t>
        </is>
      </c>
      <c r="C1806" s="2" t="inlineStr">
        <is>
          <t>甲醇</t>
        </is>
      </c>
      <c r="D1806" s="2" t="inlineStr">
        <is>
          <t>MA</t>
        </is>
      </c>
      <c r="E1806" s="9" t="inlineStr">
        <is>
          <t>空</t>
        </is>
      </c>
      <c r="F1806" s="2" t="inlineStr">
        <is>
          <t>★★★</t>
        </is>
      </c>
      <c r="G1806" s="10" t="n">
        <v>11</v>
      </c>
      <c r="H1806" s="11" t="n">
        <v>2484</v>
      </c>
      <c r="I1806" s="11" t="n">
        <v>2401</v>
      </c>
      <c r="J1806" s="10" t="n">
        <v>10</v>
      </c>
      <c r="K1806" s="10" t="n">
        <v>30000</v>
      </c>
      <c r="L1806" s="23">
        <f>IF(E1806="多",1,-1)*(I1806-H1806)*G1806*J1806</f>
        <v/>
      </c>
      <c r="M1806" s="24">
        <f>L1806/K1806</f>
        <v/>
      </c>
      <c r="N1806" s="2" t="inlineStr">
        <is>
          <t>将军撤退</t>
        </is>
      </c>
      <c r="O1806" s="2" t="inlineStr">
        <is>
          <t>否</t>
        </is>
      </c>
    </row>
    <row r="1807">
      <c r="A1807" s="2" t="inlineStr">
        <is>
          <t>2022-07-05</t>
        </is>
      </c>
      <c r="B1807" s="2" t="inlineStr">
        <is>
          <t>2022-07-11</t>
        </is>
      </c>
      <c r="C1807" s="2" t="inlineStr">
        <is>
          <t>豆油</t>
        </is>
      </c>
      <c r="D1807" s="2" t="inlineStr">
        <is>
          <t>Y</t>
        </is>
      </c>
      <c r="E1807" s="9" t="inlineStr">
        <is>
          <t>空</t>
        </is>
      </c>
      <c r="F1807" s="2" t="inlineStr">
        <is>
          <t>★★★</t>
        </is>
      </c>
      <c r="G1807" s="10" t="n">
        <v>2</v>
      </c>
      <c r="H1807" s="11" t="n">
        <v>9220</v>
      </c>
      <c r="I1807" s="11" t="n">
        <v>9244</v>
      </c>
      <c r="J1807" s="10" t="n">
        <v>10</v>
      </c>
      <c r="K1807" s="10" t="n">
        <v>30000</v>
      </c>
      <c r="L1807" s="23">
        <f>IF(E1807="多",1,-1)*(I1807-H1807)*G1807*J1807</f>
        <v/>
      </c>
      <c r="M1807" s="24">
        <f>L1807/K1807</f>
        <v/>
      </c>
      <c r="N1807" s="2" t="inlineStr">
        <is>
          <t>将军撤退</t>
        </is>
      </c>
      <c r="O1807" s="2" t="inlineStr">
        <is>
          <t>否</t>
        </is>
      </c>
    </row>
    <row r="1808">
      <c r="A1808" s="2" t="inlineStr">
        <is>
          <t>2022-07-05</t>
        </is>
      </c>
      <c r="B1808" s="2" t="inlineStr">
        <is>
          <t>2022-07-08</t>
        </is>
      </c>
      <c r="C1808" s="2" t="inlineStr">
        <is>
          <t>沪铝</t>
        </is>
      </c>
      <c r="D1808" s="2" t="inlineStr">
        <is>
          <t>AL</t>
        </is>
      </c>
      <c r="E1808" s="9" t="inlineStr">
        <is>
          <t>空</t>
        </is>
      </c>
      <c r="F1808" s="2" t="inlineStr">
        <is>
          <t>★★★</t>
        </is>
      </c>
      <c r="G1808" s="10" t="n">
        <v>4</v>
      </c>
      <c r="H1808" s="11" t="n">
        <v>18340</v>
      </c>
      <c r="I1808" s="11" t="n">
        <v>18360</v>
      </c>
      <c r="J1808" s="10" t="n">
        <v>5</v>
      </c>
      <c r="K1808" s="10" t="n">
        <v>30000</v>
      </c>
      <c r="L1808" s="23">
        <f>IF(E1808="多",1,-1)*(I1808-H1808)*G1808*J1808</f>
        <v/>
      </c>
      <c r="M1808" s="24">
        <f>L1808/K1808</f>
        <v/>
      </c>
      <c r="N1808" s="2" t="inlineStr">
        <is>
          <t>将军撤退+大将军转向</t>
        </is>
      </c>
      <c r="O1808" s="2" t="inlineStr">
        <is>
          <t>否</t>
        </is>
      </c>
    </row>
    <row r="1809">
      <c r="A1809" s="2" t="inlineStr">
        <is>
          <t>2022-07-04</t>
        </is>
      </c>
      <c r="B1809" s="2" t="inlineStr">
        <is>
          <t>2022-07-07</t>
        </is>
      </c>
      <c r="C1809" s="2" t="inlineStr">
        <is>
          <t>螺纹钢</t>
        </is>
      </c>
      <c r="D1809" s="2" t="inlineStr">
        <is>
          <t>RB</t>
        </is>
      </c>
      <c r="E1809" s="9" t="inlineStr">
        <is>
          <t>空</t>
        </is>
      </c>
      <c r="F1809" s="2" t="inlineStr">
        <is>
          <t>★★★</t>
        </is>
      </c>
      <c r="G1809" s="10" t="n">
        <v>2</v>
      </c>
      <c r="H1809" s="11" t="n">
        <v>4180</v>
      </c>
      <c r="I1809" s="11" t="n">
        <v>4209</v>
      </c>
      <c r="J1809" s="10" t="n">
        <v>10</v>
      </c>
      <c r="K1809" s="10" t="n">
        <v>10000</v>
      </c>
      <c r="L1809" s="23">
        <f>IF(E1809="多",1,-1)*(I1809-H1809)*G1809*J1809</f>
        <v/>
      </c>
      <c r="M1809" s="24">
        <f>L1809/K1809</f>
        <v/>
      </c>
      <c r="N1809" s="2" t="inlineStr">
        <is>
          <t>大将军转向</t>
        </is>
      </c>
      <c r="O1809" s="2" t="inlineStr">
        <is>
          <t>否</t>
        </is>
      </c>
    </row>
    <row r="1810">
      <c r="A1810" s="2" t="inlineStr">
        <is>
          <t>2022-07-01</t>
        </is>
      </c>
      <c r="B1810" s="2" t="inlineStr">
        <is>
          <t>2022-07-05</t>
        </is>
      </c>
      <c r="C1810" s="2" t="inlineStr">
        <is>
          <t>PTA</t>
        </is>
      </c>
      <c r="D1810" s="2" t="inlineStr">
        <is>
          <t>TA</t>
        </is>
      </c>
      <c r="E1810" s="9" t="inlineStr">
        <is>
          <t>空</t>
        </is>
      </c>
      <c r="F1810" s="2" t="inlineStr">
        <is>
          <t>★★★</t>
        </is>
      </c>
      <c r="G1810" s="10" t="n">
        <v>8</v>
      </c>
      <c r="H1810" s="11" t="n">
        <v>6340</v>
      </c>
      <c r="I1810" s="11" t="n">
        <v>6394</v>
      </c>
      <c r="J1810" s="10" t="n">
        <v>5</v>
      </c>
      <c r="K1810" s="10" t="n">
        <v>30000</v>
      </c>
      <c r="L1810" s="23">
        <f>IF(E1810="多",1,-1)*(I1810-H1810)*G1810*J1810</f>
        <v/>
      </c>
      <c r="M1810" s="24">
        <f>L1810/K1810</f>
        <v/>
      </c>
      <c r="N1810" s="2" t="inlineStr">
        <is>
          <t>将军撤退+大将军转向</t>
        </is>
      </c>
      <c r="O1810" s="2" t="inlineStr">
        <is>
          <t>否</t>
        </is>
      </c>
    </row>
    <row r="1811">
      <c r="A1811" s="2" t="inlineStr">
        <is>
          <t>2022-06-24</t>
        </is>
      </c>
      <c r="B1811" s="2" t="inlineStr">
        <is>
          <t>2022-07-05</t>
        </is>
      </c>
      <c r="C1811" s="2" t="inlineStr">
        <is>
          <t>PVC</t>
        </is>
      </c>
      <c r="D1811" s="2" t="inlineStr">
        <is>
          <t>V</t>
        </is>
      </c>
      <c r="E1811" s="9" t="inlineStr">
        <is>
          <t>空</t>
        </is>
      </c>
      <c r="F1811" s="2" t="inlineStr">
        <is>
          <t>★★★</t>
        </is>
      </c>
      <c r="G1811" s="10" t="n">
        <v>9</v>
      </c>
      <c r="H1811" s="11" t="n">
        <v>7319</v>
      </c>
      <c r="I1811" s="11" t="n">
        <v>6820</v>
      </c>
      <c r="J1811" s="10" t="n">
        <v>5</v>
      </c>
      <c r="K1811" s="10" t="n">
        <v>30000</v>
      </c>
      <c r="L1811" s="23">
        <f>IF(E1811="多",1,-1)*(I1811-H1811)*G1811*J1811</f>
        <v/>
      </c>
      <c r="M1811" s="24">
        <f>L1811/K1811</f>
        <v/>
      </c>
      <c r="N1811" s="2" t="inlineStr">
        <is>
          <t>大将军转向</t>
        </is>
      </c>
      <c r="O1811" s="2" t="inlineStr">
        <is>
          <t>否</t>
        </is>
      </c>
    </row>
    <row r="1812">
      <c r="A1812" s="14" t="inlineStr">
        <is>
          <t>2022-06-28</t>
        </is>
      </c>
      <c r="B1812" s="14" t="inlineStr">
        <is>
          <t>2022-07-04</t>
        </is>
      </c>
      <c r="C1812" s="14" t="inlineStr">
        <is>
          <t>沥青</t>
        </is>
      </c>
      <c r="D1812" s="14" t="inlineStr">
        <is>
          <t>BU</t>
        </is>
      </c>
      <c r="E1812" s="14" t="inlineStr">
        <is>
          <t>多</t>
        </is>
      </c>
      <c r="F1812" s="14" t="inlineStr">
        <is>
          <t>★★</t>
        </is>
      </c>
      <c r="G1812" s="14" t="n">
        <v>2</v>
      </c>
      <c r="H1812" s="15" t="n">
        <v>4607</v>
      </c>
      <c r="I1812" s="15" t="n">
        <v>4479</v>
      </c>
      <c r="J1812" s="14" t="n">
        <v>10</v>
      </c>
      <c r="K1812" s="14" t="n">
        <v>10000</v>
      </c>
      <c r="L1812" s="25">
        <f>IF(E1812="多",1,-1)*(I1812-H1812)*G1812*J1812</f>
        <v/>
      </c>
      <c r="M1812" s="26">
        <f>L1812/K1812</f>
        <v/>
      </c>
      <c r="N1812" s="14" t="inlineStr">
        <is>
          <t>将军撤退+大将军转向</t>
        </is>
      </c>
      <c r="O1812" s="14" t="inlineStr">
        <is>
          <t>是</t>
        </is>
      </c>
    </row>
    <row r="1813">
      <c r="A1813" s="14" t="inlineStr">
        <is>
          <t>2022-06-23</t>
        </is>
      </c>
      <c r="B1813" s="14" t="inlineStr">
        <is>
          <t>2022-07-01</t>
        </is>
      </c>
      <c r="C1813" s="14" t="inlineStr">
        <is>
          <t>乙二醇</t>
        </is>
      </c>
      <c r="D1813" s="14" t="inlineStr">
        <is>
          <t>EG</t>
        </is>
      </c>
      <c r="E1813" s="14" t="inlineStr">
        <is>
          <t>空</t>
        </is>
      </c>
      <c r="F1813" s="14" t="inlineStr">
        <is>
          <t>★★★</t>
        </is>
      </c>
      <c r="G1813" s="14" t="n">
        <v>2</v>
      </c>
      <c r="H1813" s="15" t="n">
        <v>4660</v>
      </c>
      <c r="I1813" s="15" t="n">
        <v>4347</v>
      </c>
      <c r="J1813" s="14" t="n">
        <v>10</v>
      </c>
      <c r="K1813" s="14" t="n">
        <v>10000</v>
      </c>
      <c r="L1813" s="25">
        <f>IF(E1813="多",1,-1)*(I1813-H1813)*G1813*J1813</f>
        <v/>
      </c>
      <c r="M1813" s="26">
        <f>L1813/K1813</f>
        <v/>
      </c>
      <c r="N1813" s="14" t="inlineStr">
        <is>
          <t>将军撤退</t>
        </is>
      </c>
      <c r="O1813" s="14" t="inlineStr">
        <is>
          <t>是</t>
        </is>
      </c>
    </row>
    <row r="1814">
      <c r="A1814" s="14" t="inlineStr">
        <is>
          <t>2022-06-23</t>
        </is>
      </c>
      <c r="B1814" s="14" t="inlineStr">
        <is>
          <t>2022-06-30</t>
        </is>
      </c>
      <c r="C1814" s="14" t="inlineStr">
        <is>
          <t>沪银</t>
        </is>
      </c>
      <c r="D1814" s="14" t="inlineStr">
        <is>
          <t>AG</t>
        </is>
      </c>
      <c r="E1814" s="14" t="inlineStr">
        <is>
          <t>空</t>
        </is>
      </c>
      <c r="F1814" s="14" t="inlineStr">
        <is>
          <t>★★★</t>
        </is>
      </c>
      <c r="G1814" s="14" t="n">
        <v>2</v>
      </c>
      <c r="H1814" s="15" t="n">
        <v>4642</v>
      </c>
      <c r="I1814" s="15" t="n">
        <v>4522</v>
      </c>
      <c r="J1814" s="14" t="n">
        <v>15</v>
      </c>
      <c r="K1814" s="14" t="n">
        <v>10000</v>
      </c>
      <c r="L1814" s="25">
        <f>IF(E1814="多",1,-1)*(I1814-H1814)*G1814*J1814</f>
        <v/>
      </c>
      <c r="M1814" s="26">
        <f>L1814/K1814</f>
        <v/>
      </c>
      <c r="N1814" s="14" t="inlineStr">
        <is>
          <t>大将军转向</t>
        </is>
      </c>
      <c r="O1814" s="14" t="inlineStr">
        <is>
          <t>是</t>
        </is>
      </c>
    </row>
    <row r="1815">
      <c r="A1815" s="2" t="inlineStr">
        <is>
          <t>2022-06-24</t>
        </is>
      </c>
      <c r="B1815" s="2" t="inlineStr">
        <is>
          <t>2022-06-29</t>
        </is>
      </c>
      <c r="C1815" s="2" t="inlineStr">
        <is>
          <t>铁矿石</t>
        </is>
      </c>
      <c r="D1815" s="2" t="inlineStr">
        <is>
          <t>I</t>
        </is>
      </c>
      <c r="E1815" s="9" t="inlineStr">
        <is>
          <t>空</t>
        </is>
      </c>
      <c r="F1815" s="2" t="inlineStr">
        <is>
          <t>★★★</t>
        </is>
      </c>
      <c r="G1815" s="10" t="n">
        <v>2</v>
      </c>
      <c r="H1815" s="11" t="n">
        <v>748</v>
      </c>
      <c r="I1815" s="11" t="n">
        <v>803.5</v>
      </c>
      <c r="J1815" s="10" t="n">
        <v>100</v>
      </c>
      <c r="K1815" s="10" t="n">
        <v>30000</v>
      </c>
      <c r="L1815" s="23">
        <f>IF(E1815="多",1,-1)*(I1815-H1815)*G1815*J1815</f>
        <v/>
      </c>
      <c r="M1815" s="24">
        <f>L1815/K1815</f>
        <v/>
      </c>
      <c r="N1815" s="2" t="inlineStr">
        <is>
          <t>将军撤退+大将军转向</t>
        </is>
      </c>
      <c r="O1815" s="2" t="inlineStr">
        <is>
          <t>否</t>
        </is>
      </c>
    </row>
    <row r="1816">
      <c r="A1816" s="2" t="inlineStr">
        <is>
          <t>2022-06-23</t>
        </is>
      </c>
      <c r="B1816" s="2" t="inlineStr">
        <is>
          <t>2022-06-27</t>
        </is>
      </c>
      <c r="C1816" s="2" t="inlineStr">
        <is>
          <t>沪铜</t>
        </is>
      </c>
      <c r="D1816" s="2" t="inlineStr">
        <is>
          <t>CU</t>
        </is>
      </c>
      <c r="E1816" s="9" t="inlineStr">
        <is>
          <t>空</t>
        </is>
      </c>
      <c r="F1816" s="2" t="inlineStr">
        <is>
          <t>★★★</t>
        </is>
      </c>
      <c r="G1816" s="10" t="n">
        <v>2</v>
      </c>
      <c r="H1816" s="11" t="n">
        <v>65390</v>
      </c>
      <c r="I1816" s="11" t="n">
        <v>63750</v>
      </c>
      <c r="J1816" s="10" t="n">
        <v>5</v>
      </c>
      <c r="K1816" s="10" t="n">
        <v>30000</v>
      </c>
      <c r="L1816" s="23">
        <f>IF(E1816="多",1,-1)*(I1816-H1816)*G1816*J1816</f>
        <v/>
      </c>
      <c r="M1816" s="24">
        <f>L1816/K1816</f>
        <v/>
      </c>
      <c r="N1816" s="2" t="inlineStr">
        <is>
          <t>将军撤退</t>
        </is>
      </c>
      <c r="O1816" s="2" t="inlineStr">
        <is>
          <t>否</t>
        </is>
      </c>
    </row>
    <row r="1817">
      <c r="A1817" s="2" t="inlineStr">
        <is>
          <t>2022-06-22</t>
        </is>
      </c>
      <c r="B1817" s="2" t="inlineStr">
        <is>
          <t>2022-06-23</t>
        </is>
      </c>
      <c r="C1817" s="2" t="inlineStr">
        <is>
          <t>PVC</t>
        </is>
      </c>
      <c r="D1817" s="2" t="inlineStr">
        <is>
          <t>V</t>
        </is>
      </c>
      <c r="E1817" s="9" t="inlineStr">
        <is>
          <t>空</t>
        </is>
      </c>
      <c r="F1817" s="2" t="inlineStr">
        <is>
          <t>★★★</t>
        </is>
      </c>
      <c r="G1817" s="10" t="n">
        <v>9</v>
      </c>
      <c r="H1817" s="11" t="n">
        <v>7380</v>
      </c>
      <c r="I1817" s="11" t="n">
        <v>7543</v>
      </c>
      <c r="J1817" s="10" t="n">
        <v>5</v>
      </c>
      <c r="K1817" s="10" t="n">
        <v>30000</v>
      </c>
      <c r="L1817" s="23">
        <f>IF(E1817="多",1,-1)*(I1817-H1817)*G1817*J1817</f>
        <v/>
      </c>
      <c r="M1817" s="24">
        <f>L1817/K1817</f>
        <v/>
      </c>
      <c r="N1817" s="2" t="inlineStr">
        <is>
          <t>大将军转向</t>
        </is>
      </c>
      <c r="O1817" s="2" t="inlineStr">
        <is>
          <t>否</t>
        </is>
      </c>
    </row>
    <row r="1818">
      <c r="A1818" s="14" t="inlineStr">
        <is>
          <t>2022-06-20</t>
        </is>
      </c>
      <c r="B1818" s="14" t="inlineStr">
        <is>
          <t>2022-06-23</t>
        </is>
      </c>
      <c r="C1818" s="14" t="inlineStr">
        <is>
          <t>热卷</t>
        </is>
      </c>
      <c r="D1818" s="14" t="inlineStr">
        <is>
          <t>HC</t>
        </is>
      </c>
      <c r="E1818" s="14" t="inlineStr">
        <is>
          <t>空</t>
        </is>
      </c>
      <c r="F1818" s="14" t="inlineStr">
        <is>
          <t>★★</t>
        </is>
      </c>
      <c r="G1818" s="14" t="n">
        <v>3</v>
      </c>
      <c r="H1818" s="15" t="n">
        <v>4200</v>
      </c>
      <c r="I1818" s="15" t="n">
        <v>4285</v>
      </c>
      <c r="J1818" s="14" t="n">
        <v>10</v>
      </c>
      <c r="K1818" s="14" t="n">
        <v>10000</v>
      </c>
      <c r="L1818" s="25">
        <f>IF(E1818="多",1,-1)*(I1818-H1818)*G1818*J1818</f>
        <v/>
      </c>
      <c r="M1818" s="26">
        <f>L1818/K1818</f>
        <v/>
      </c>
      <c r="N1818" s="14" t="inlineStr">
        <is>
          <t>将军撤退+大将军转向</t>
        </is>
      </c>
      <c r="O1818" s="14" t="inlineStr">
        <is>
          <t>是</t>
        </is>
      </c>
    </row>
    <row r="1819">
      <c r="A1819" s="14" t="inlineStr">
        <is>
          <t>2022-06-16</t>
        </is>
      </c>
      <c r="B1819" s="14" t="inlineStr">
        <is>
          <t>2022-06-23</t>
        </is>
      </c>
      <c r="C1819" s="14" t="inlineStr">
        <is>
          <t>玉米</t>
        </is>
      </c>
      <c r="D1819" s="14" t="inlineStr">
        <is>
          <t>C</t>
        </is>
      </c>
      <c r="E1819" s="14" t="inlineStr">
        <is>
          <t>多</t>
        </is>
      </c>
      <c r="F1819" s="14" t="inlineStr">
        <is>
          <t>★★</t>
        </is>
      </c>
      <c r="G1819" s="14" t="n">
        <v>10</v>
      </c>
      <c r="H1819" s="15" t="n">
        <v>2893</v>
      </c>
      <c r="I1819" s="15" t="n">
        <v>2832.36</v>
      </c>
      <c r="J1819" s="14" t="n">
        <v>10</v>
      </c>
      <c r="K1819" s="14" t="n">
        <v>10000</v>
      </c>
      <c r="L1819" s="25">
        <f>IF(E1819="多",1,-1)*(I1819-H1819)*G1819*J1819</f>
        <v/>
      </c>
      <c r="M1819" s="26">
        <f>L1819/K1819</f>
        <v/>
      </c>
      <c r="N1819" s="14" t="inlineStr">
        <is>
          <t>止损</t>
        </is>
      </c>
      <c r="O1819" s="14" t="inlineStr">
        <is>
          <t>是</t>
        </is>
      </c>
    </row>
    <row r="1820">
      <c r="A1820" s="2" t="inlineStr">
        <is>
          <t>2022-05-31</t>
        </is>
      </c>
      <c r="B1820" s="2" t="inlineStr">
        <is>
          <t>2022-06-21</t>
        </is>
      </c>
      <c r="C1820" s="2" t="inlineStr">
        <is>
          <t>沪银</t>
        </is>
      </c>
      <c r="D1820" s="2" t="inlineStr">
        <is>
          <t>AG</t>
        </is>
      </c>
      <c r="E1820" s="9" t="inlineStr">
        <is>
          <t>空</t>
        </is>
      </c>
      <c r="F1820" s="2" t="inlineStr">
        <is>
          <t>★★★</t>
        </is>
      </c>
      <c r="G1820" s="10" t="n">
        <v>8</v>
      </c>
      <c r="H1820" s="11" t="n">
        <v>4695</v>
      </c>
      <c r="I1820" s="11" t="n">
        <v>4669</v>
      </c>
      <c r="J1820" s="10" t="n">
        <v>15</v>
      </c>
      <c r="K1820" s="10" t="n">
        <v>30000</v>
      </c>
      <c r="L1820" s="23">
        <f>IF(E1820="多",1,-1)*(I1820-H1820)*G1820*J1820</f>
        <v/>
      </c>
      <c r="M1820" s="24">
        <f>L1820/K1820</f>
        <v/>
      </c>
      <c r="N1820" s="2" t="inlineStr">
        <is>
          <t>将军撤退</t>
        </is>
      </c>
      <c r="O1820" s="2" t="inlineStr">
        <is>
          <t>否</t>
        </is>
      </c>
    </row>
    <row r="1821">
      <c r="A1821" s="14" t="inlineStr">
        <is>
          <t>2022-06-17</t>
        </is>
      </c>
      <c r="B1821" s="14" t="inlineStr">
        <is>
          <t>2022-06-20</t>
        </is>
      </c>
      <c r="C1821" s="14" t="inlineStr">
        <is>
          <t>乙二醇</t>
        </is>
      </c>
      <c r="D1821" s="14" t="inlineStr">
        <is>
          <t>EG</t>
        </is>
      </c>
      <c r="E1821" s="14" t="inlineStr">
        <is>
          <t>空</t>
        </is>
      </c>
      <c r="F1821" s="14" t="inlineStr">
        <is>
          <t>★★</t>
        </is>
      </c>
      <c r="G1821" s="14" t="n">
        <v>2</v>
      </c>
      <c r="H1821" s="15" t="n">
        <v>5200</v>
      </c>
      <c r="I1821" s="15" t="n">
        <v>4916</v>
      </c>
      <c r="J1821" s="14" t="n">
        <v>10</v>
      </c>
      <c r="K1821" s="14" t="n">
        <v>10000</v>
      </c>
      <c r="L1821" s="25">
        <f>IF(E1821="多",1,-1)*(I1821-H1821)*G1821*J1821</f>
        <v/>
      </c>
      <c r="M1821" s="26">
        <f>L1821/K1821</f>
        <v/>
      </c>
      <c r="N1821" s="14" t="inlineStr">
        <is>
          <t>将军撤退+大将军转向</t>
        </is>
      </c>
      <c r="O1821" s="14" t="inlineStr">
        <is>
          <t>是</t>
        </is>
      </c>
    </row>
    <row r="1822">
      <c r="A1822" s="14" t="inlineStr">
        <is>
          <t>2022-06-15</t>
        </is>
      </c>
      <c r="B1822" s="14" t="inlineStr">
        <is>
          <t>2022-06-17</t>
        </is>
      </c>
      <c r="C1822" s="14" t="inlineStr">
        <is>
          <t>PVC</t>
        </is>
      </c>
      <c r="D1822" s="14" t="inlineStr">
        <is>
          <t>V</t>
        </is>
      </c>
      <c r="E1822" s="14" t="inlineStr">
        <is>
          <t>空</t>
        </is>
      </c>
      <c r="F1822" s="14" t="inlineStr">
        <is>
          <t>★★</t>
        </is>
      </c>
      <c r="G1822" s="14" t="n">
        <v>3</v>
      </c>
      <c r="H1822" s="15" t="n">
        <v>8162</v>
      </c>
      <c r="I1822" s="15" t="n">
        <v>7949</v>
      </c>
      <c r="J1822" s="14" t="n">
        <v>5</v>
      </c>
      <c r="K1822" s="14" t="n">
        <v>10000</v>
      </c>
      <c r="L1822" s="25">
        <f>IF(E1822="多",1,-1)*(I1822-H1822)*G1822*J1822</f>
        <v/>
      </c>
      <c r="M1822" s="26">
        <f>L1822/K1822</f>
        <v/>
      </c>
      <c r="N1822" s="14" t="inlineStr">
        <is>
          <t>将军撤退+大将军转向</t>
        </is>
      </c>
      <c r="O1822" s="14" t="inlineStr">
        <is>
          <t>是</t>
        </is>
      </c>
    </row>
    <row r="1823">
      <c r="A1823" s="14" t="inlineStr">
        <is>
          <t>2022-06-10</t>
        </is>
      </c>
      <c r="B1823" s="14" t="inlineStr">
        <is>
          <t>2022-06-17</t>
        </is>
      </c>
      <c r="C1823" s="14" t="inlineStr">
        <is>
          <t>甲醇</t>
        </is>
      </c>
      <c r="D1823" s="14" t="inlineStr">
        <is>
          <t>MA</t>
        </is>
      </c>
      <c r="E1823" s="14" t="inlineStr">
        <is>
          <t>多</t>
        </is>
      </c>
      <c r="F1823" s="14" t="inlineStr">
        <is>
          <t>★★★</t>
        </is>
      </c>
      <c r="G1823" s="14" t="n">
        <v>4</v>
      </c>
      <c r="H1823" s="15" t="n">
        <v>2916</v>
      </c>
      <c r="I1823" s="15" t="n">
        <v>2754.79</v>
      </c>
      <c r="J1823" s="14" t="n">
        <v>10</v>
      </c>
      <c r="K1823" s="14" t="n">
        <v>10000</v>
      </c>
      <c r="L1823" s="25">
        <f>IF(E1823="多",1,-1)*(I1823-H1823)*G1823*J1823</f>
        <v/>
      </c>
      <c r="M1823" s="26">
        <f>L1823/K1823</f>
        <v/>
      </c>
      <c r="N1823" s="14" t="inlineStr">
        <is>
          <t>止损</t>
        </is>
      </c>
      <c r="O1823" s="14" t="inlineStr">
        <is>
          <t>是</t>
        </is>
      </c>
    </row>
    <row r="1824">
      <c r="A1824" s="2" t="inlineStr">
        <is>
          <t>2022-05-30</t>
        </is>
      </c>
      <c r="B1824" s="2" t="inlineStr">
        <is>
          <t>2022-06-16</t>
        </is>
      </c>
      <c r="C1824" s="2" t="inlineStr">
        <is>
          <t>玉米</t>
        </is>
      </c>
      <c r="D1824" s="2" t="inlineStr">
        <is>
          <t>C</t>
        </is>
      </c>
      <c r="E1824" s="9" t="inlineStr">
        <is>
          <t>空</t>
        </is>
      </c>
      <c r="F1824" s="2" t="inlineStr">
        <is>
          <t>★★★</t>
        </is>
      </c>
      <c r="G1824" s="10" t="n">
        <v>34</v>
      </c>
      <c r="H1824" s="11" t="n">
        <v>2922</v>
      </c>
      <c r="I1824" s="11" t="n">
        <v>2887</v>
      </c>
      <c r="J1824" s="10" t="n">
        <v>10</v>
      </c>
      <c r="K1824" s="10" t="n">
        <v>30000</v>
      </c>
      <c r="L1824" s="23">
        <f>IF(E1824="多",1,-1)*(I1824-H1824)*G1824*J1824</f>
        <v/>
      </c>
      <c r="M1824" s="24">
        <f>L1824/K1824</f>
        <v/>
      </c>
      <c r="N1824" s="2" t="inlineStr">
        <is>
          <t>反向信号</t>
        </is>
      </c>
      <c r="O1824" s="2" t="inlineStr">
        <is>
          <t>否</t>
        </is>
      </c>
    </row>
    <row r="1825">
      <c r="A1825" s="2" t="inlineStr">
        <is>
          <t>2022-06-14</t>
        </is>
      </c>
      <c r="B1825" s="2" t="inlineStr">
        <is>
          <t>2022-06-15</t>
        </is>
      </c>
      <c r="C1825" s="2" t="inlineStr">
        <is>
          <t>沥青</t>
        </is>
      </c>
      <c r="D1825" s="2" t="inlineStr">
        <is>
          <t>BU</t>
        </is>
      </c>
      <c r="E1825" s="19" t="inlineStr">
        <is>
          <t>多</t>
        </is>
      </c>
      <c r="F1825" s="2" t="inlineStr">
        <is>
          <t>★★★</t>
        </is>
      </c>
      <c r="G1825" s="10" t="n">
        <v>8</v>
      </c>
      <c r="H1825" s="11" t="n">
        <v>4890</v>
      </c>
      <c r="I1825" s="11" t="n">
        <v>4682</v>
      </c>
      <c r="J1825" s="10" t="n">
        <v>10</v>
      </c>
      <c r="K1825" s="10" t="n">
        <v>30000</v>
      </c>
      <c r="L1825" s="23">
        <f>IF(E1825="多",1,-1)*(I1825-H1825)*G1825*J1825</f>
        <v/>
      </c>
      <c r="M1825" s="24">
        <f>L1825/K1825</f>
        <v/>
      </c>
      <c r="N1825" s="2" t="inlineStr">
        <is>
          <t>将军撤退+大将军转向</t>
        </is>
      </c>
      <c r="O1825" s="2" t="inlineStr">
        <is>
          <t>否</t>
        </is>
      </c>
    </row>
    <row r="1826">
      <c r="A1826" s="14" t="inlineStr">
        <is>
          <t>2022-06-08</t>
        </is>
      </c>
      <c r="B1826" s="14" t="inlineStr">
        <is>
          <t>2022-06-15</t>
        </is>
      </c>
      <c r="C1826" s="14" t="inlineStr">
        <is>
          <t>热卷</t>
        </is>
      </c>
      <c r="D1826" s="14" t="inlineStr">
        <is>
          <t>HC</t>
        </is>
      </c>
      <c r="E1826" s="14" t="inlineStr">
        <is>
          <t>多</t>
        </is>
      </c>
      <c r="F1826" s="14" t="inlineStr">
        <is>
          <t>★★</t>
        </is>
      </c>
      <c r="G1826" s="14" t="n">
        <v>3</v>
      </c>
      <c r="H1826" s="15" t="n">
        <v>4868</v>
      </c>
      <c r="I1826" s="15" t="n">
        <v>4650.93</v>
      </c>
      <c r="J1826" s="14" t="n">
        <v>10</v>
      </c>
      <c r="K1826" s="14" t="n">
        <v>10000</v>
      </c>
      <c r="L1826" s="25">
        <f>IF(E1826="多",1,-1)*(I1826-H1826)*G1826*J1826</f>
        <v/>
      </c>
      <c r="M1826" s="26">
        <f>L1826/K1826</f>
        <v/>
      </c>
      <c r="N1826" s="14" t="inlineStr">
        <is>
          <t>止损</t>
        </is>
      </c>
      <c r="O1826" s="14" t="inlineStr">
        <is>
          <t>是</t>
        </is>
      </c>
    </row>
    <row r="1827">
      <c r="A1827" s="14" t="inlineStr">
        <is>
          <t>2022-06-07</t>
        </is>
      </c>
      <c r="B1827" s="14" t="inlineStr">
        <is>
          <t>2022-06-15</t>
        </is>
      </c>
      <c r="C1827" s="14" t="inlineStr">
        <is>
          <t>聚丙烯</t>
        </is>
      </c>
      <c r="D1827" s="14" t="inlineStr">
        <is>
          <t>PP</t>
        </is>
      </c>
      <c r="E1827" s="14" t="inlineStr">
        <is>
          <t>多</t>
        </is>
      </c>
      <c r="F1827" s="14" t="inlineStr">
        <is>
          <t>★★★</t>
        </is>
      </c>
      <c r="G1827" s="14" t="n">
        <v>5</v>
      </c>
      <c r="H1827" s="15" t="n">
        <v>8910</v>
      </c>
      <c r="I1827" s="15" t="n">
        <v>8711.93</v>
      </c>
      <c r="J1827" s="14" t="n">
        <v>5</v>
      </c>
      <c r="K1827" s="14" t="n">
        <v>10000</v>
      </c>
      <c r="L1827" s="25">
        <f>IF(E1827="多",1,-1)*(I1827-H1827)*G1827*J1827</f>
        <v/>
      </c>
      <c r="M1827" s="26">
        <f>L1827/K1827</f>
        <v/>
      </c>
      <c r="N1827" s="14" t="inlineStr">
        <is>
          <t>止损</t>
        </is>
      </c>
      <c r="O1827" s="14" t="inlineStr">
        <is>
          <t>是</t>
        </is>
      </c>
    </row>
    <row r="1828">
      <c r="A1828" s="14" t="inlineStr">
        <is>
          <t>2022-05-30</t>
        </is>
      </c>
      <c r="B1828" s="14" t="inlineStr">
        <is>
          <t>2022-06-14</t>
        </is>
      </c>
      <c r="C1828" s="14" t="inlineStr">
        <is>
          <t>纯碱</t>
        </is>
      </c>
      <c r="D1828" s="14" t="inlineStr">
        <is>
          <t>SA</t>
        </is>
      </c>
      <c r="E1828" s="14" t="inlineStr">
        <is>
          <t>多</t>
        </is>
      </c>
      <c r="F1828" s="14" t="inlineStr">
        <is>
          <t>★★★</t>
        </is>
      </c>
      <c r="G1828" s="14" t="n">
        <v>1</v>
      </c>
      <c r="H1828" s="15" t="n">
        <v>3074</v>
      </c>
      <c r="I1828" s="15" t="n">
        <v>2913.21</v>
      </c>
      <c r="J1828" s="14" t="n">
        <v>20</v>
      </c>
      <c r="K1828" s="14" t="n">
        <v>10000</v>
      </c>
      <c r="L1828" s="25">
        <f>IF(E1828="多",1,-1)*(I1828-H1828)*G1828*J1828</f>
        <v/>
      </c>
      <c r="M1828" s="26">
        <f>L1828/K1828</f>
        <v/>
      </c>
      <c r="N1828" s="14" t="inlineStr">
        <is>
          <t>止损</t>
        </is>
      </c>
      <c r="O1828" s="14" t="inlineStr">
        <is>
          <t>是</t>
        </is>
      </c>
    </row>
    <row r="1829">
      <c r="A1829" s="14" t="inlineStr">
        <is>
          <t>2022-06-10</t>
        </is>
      </c>
      <c r="B1829" s="14" t="inlineStr">
        <is>
          <t>2022-06-13</t>
        </is>
      </c>
      <c r="C1829" s="14" t="inlineStr">
        <is>
          <t>塑料</t>
        </is>
      </c>
      <c r="D1829" s="14" t="inlineStr">
        <is>
          <t>L</t>
        </is>
      </c>
      <c r="E1829" s="14" t="inlineStr">
        <is>
          <t>多</t>
        </is>
      </c>
      <c r="F1829" s="14" t="inlineStr">
        <is>
          <t>★★</t>
        </is>
      </c>
      <c r="G1829" s="14" t="n">
        <v>5</v>
      </c>
      <c r="H1829" s="15" t="n">
        <v>9139</v>
      </c>
      <c r="I1829" s="15" t="n">
        <v>8982</v>
      </c>
      <c r="J1829" s="14" t="n">
        <v>5</v>
      </c>
      <c r="K1829" s="14" t="n">
        <v>10000</v>
      </c>
      <c r="L1829" s="25">
        <f>IF(E1829="多",1,-1)*(I1829-H1829)*G1829*J1829</f>
        <v/>
      </c>
      <c r="M1829" s="26">
        <f>L1829/K1829</f>
        <v/>
      </c>
      <c r="N1829" s="14" t="inlineStr">
        <is>
          <t>将军撤退+大将军转向</t>
        </is>
      </c>
      <c r="O1829" s="14" t="inlineStr">
        <is>
          <t>是</t>
        </is>
      </c>
    </row>
    <row r="1830">
      <c r="A1830" s="2" t="inlineStr">
        <is>
          <t>2022-06-10</t>
        </is>
      </c>
      <c r="B1830" s="2" t="inlineStr">
        <is>
          <t>2022-06-13</t>
        </is>
      </c>
      <c r="C1830" s="2" t="inlineStr">
        <is>
          <t>棉花</t>
        </is>
      </c>
      <c r="D1830" s="2" t="inlineStr">
        <is>
          <t>CF</t>
        </is>
      </c>
      <c r="E1830" s="9" t="inlineStr">
        <is>
          <t>空</t>
        </is>
      </c>
      <c r="F1830" s="2" t="inlineStr">
        <is>
          <t>★★★</t>
        </is>
      </c>
      <c r="G1830" s="10" t="n">
        <v>2</v>
      </c>
      <c r="H1830" s="11" t="n">
        <v>20300</v>
      </c>
      <c r="I1830" s="11" t="n">
        <v>20320</v>
      </c>
      <c r="J1830" s="10" t="n">
        <v>5</v>
      </c>
      <c r="K1830" s="10" t="n">
        <v>10000</v>
      </c>
      <c r="L1830" s="23">
        <f>IF(E1830="多",1,-1)*(I1830-H1830)*G1830*J1830</f>
        <v/>
      </c>
      <c r="M1830" s="24">
        <f>L1830/K1830</f>
        <v/>
      </c>
      <c r="N1830" s="2" t="inlineStr">
        <is>
          <t>将军撤退+大将军转向</t>
        </is>
      </c>
      <c r="O1830" s="2" t="inlineStr">
        <is>
          <t>否</t>
        </is>
      </c>
    </row>
    <row r="1831">
      <c r="A1831" s="2" t="inlineStr">
        <is>
          <t>2022-05-13</t>
        </is>
      </c>
      <c r="B1831" s="2" t="inlineStr">
        <is>
          <t>2022-06-13</t>
        </is>
      </c>
      <c r="C1831" s="2" t="inlineStr">
        <is>
          <t>棕榈油</t>
        </is>
      </c>
      <c r="D1831" s="2" t="inlineStr">
        <is>
          <t>P</t>
        </is>
      </c>
      <c r="E1831" s="19" t="inlineStr">
        <is>
          <t>多</t>
        </is>
      </c>
      <c r="F1831" s="2" t="inlineStr">
        <is>
          <t>★★★</t>
        </is>
      </c>
      <c r="G1831" s="10" t="n">
        <v>2</v>
      </c>
      <c r="H1831" s="11" t="n">
        <v>11672</v>
      </c>
      <c r="I1831" s="11" t="n">
        <v>11358</v>
      </c>
      <c r="J1831" s="10" t="n">
        <v>10</v>
      </c>
      <c r="K1831" s="10" t="n">
        <v>30000</v>
      </c>
      <c r="L1831" s="23">
        <f>IF(E1831="多",1,-1)*(I1831-H1831)*G1831*J1831</f>
        <v/>
      </c>
      <c r="M1831" s="24">
        <f>L1831/K1831</f>
        <v/>
      </c>
      <c r="N1831" s="2" t="inlineStr">
        <is>
          <t>跳空止损</t>
        </is>
      </c>
      <c r="O1831" s="2" t="inlineStr">
        <is>
          <t>否</t>
        </is>
      </c>
    </row>
    <row r="1832">
      <c r="A1832" s="2" t="inlineStr">
        <is>
          <t>2022-06-07</t>
        </is>
      </c>
      <c r="B1832" s="2" t="inlineStr">
        <is>
          <t>2022-06-10</t>
        </is>
      </c>
      <c r="C1832" s="2" t="inlineStr">
        <is>
          <t>PTA</t>
        </is>
      </c>
      <c r="D1832" s="2" t="inlineStr">
        <is>
          <t>TA</t>
        </is>
      </c>
      <c r="E1832" s="19" t="inlineStr">
        <is>
          <t>多</t>
        </is>
      </c>
      <c r="F1832" s="2" t="inlineStr">
        <is>
          <t>★★★</t>
        </is>
      </c>
      <c r="G1832" s="10" t="n">
        <v>3</v>
      </c>
      <c r="H1832" s="11" t="n">
        <v>7398</v>
      </c>
      <c r="I1832" s="11" t="n">
        <v>7520</v>
      </c>
      <c r="J1832" s="10" t="n">
        <v>5</v>
      </c>
      <c r="K1832" s="10" t="n">
        <v>10000</v>
      </c>
      <c r="L1832" s="23">
        <f>IF(E1832="多",1,-1)*(I1832-H1832)*G1832*J1832</f>
        <v/>
      </c>
      <c r="M1832" s="24">
        <f>L1832/K1832</f>
        <v/>
      </c>
      <c r="N1832" s="2" t="inlineStr">
        <is>
          <t>将军撤退</t>
        </is>
      </c>
      <c r="O1832" s="2" t="inlineStr">
        <is>
          <t>否</t>
        </is>
      </c>
    </row>
    <row r="1833">
      <c r="A1833" s="14" t="inlineStr">
        <is>
          <t>2022-06-08</t>
        </is>
      </c>
      <c r="B1833" s="14" t="inlineStr">
        <is>
          <t>2022-06-09</t>
        </is>
      </c>
      <c r="C1833" s="14" t="inlineStr">
        <is>
          <t>棉花</t>
        </is>
      </c>
      <c r="D1833" s="14" t="inlineStr">
        <is>
          <t>CF</t>
        </is>
      </c>
      <c r="E1833" s="14" t="inlineStr">
        <is>
          <t>空</t>
        </is>
      </c>
      <c r="F1833" s="14" t="inlineStr">
        <is>
          <t>★★</t>
        </is>
      </c>
      <c r="G1833" s="14" t="n">
        <v>2</v>
      </c>
      <c r="H1833" s="15" t="n">
        <v>20320</v>
      </c>
      <c r="I1833" s="15" t="n">
        <v>20390</v>
      </c>
      <c r="J1833" s="14" t="n">
        <v>5</v>
      </c>
      <c r="K1833" s="14" t="n">
        <v>10000</v>
      </c>
      <c r="L1833" s="25">
        <f>IF(E1833="多",1,-1)*(I1833-H1833)*G1833*J1833</f>
        <v/>
      </c>
      <c r="M1833" s="26">
        <f>L1833/K1833</f>
        <v/>
      </c>
      <c r="N1833" s="14" t="inlineStr">
        <is>
          <t>大将军转向</t>
        </is>
      </c>
      <c r="O1833" s="14" t="inlineStr">
        <is>
          <t>是</t>
        </is>
      </c>
    </row>
    <row r="1834">
      <c r="A1834" s="14" t="inlineStr">
        <is>
          <t>2022-05-30</t>
        </is>
      </c>
      <c r="B1834" s="14" t="inlineStr">
        <is>
          <t>2022-06-08</t>
        </is>
      </c>
      <c r="C1834" s="14" t="inlineStr">
        <is>
          <t>白糖</t>
        </is>
      </c>
      <c r="D1834" s="14" t="inlineStr">
        <is>
          <t>SR</t>
        </is>
      </c>
      <c r="E1834" s="14" t="inlineStr">
        <is>
          <t>多</t>
        </is>
      </c>
      <c r="F1834" s="14" t="inlineStr">
        <is>
          <t>★★★</t>
        </is>
      </c>
      <c r="G1834" s="14" t="n">
        <v>7</v>
      </c>
      <c r="H1834" s="15" t="n">
        <v>6021</v>
      </c>
      <c r="I1834" s="15" t="n">
        <v>6035</v>
      </c>
      <c r="J1834" s="14" t="n">
        <v>10</v>
      </c>
      <c r="K1834" s="14" t="n">
        <v>10000</v>
      </c>
      <c r="L1834" s="25">
        <f>IF(E1834="多",1,-1)*(I1834-H1834)*G1834*J1834</f>
        <v/>
      </c>
      <c r="M1834" s="26">
        <f>L1834/K1834</f>
        <v/>
      </c>
      <c r="N1834" s="14" t="inlineStr">
        <is>
          <t>大将军转向</t>
        </is>
      </c>
      <c r="O1834" s="14" t="inlineStr">
        <is>
          <t>是</t>
        </is>
      </c>
    </row>
    <row r="1835">
      <c r="A1835" s="14" t="inlineStr">
        <is>
          <t>2022-06-06</t>
        </is>
      </c>
      <c r="B1835" s="14" t="inlineStr">
        <is>
          <t>2022-06-07</t>
        </is>
      </c>
      <c r="C1835" s="14" t="inlineStr">
        <is>
          <t>塑料</t>
        </is>
      </c>
      <c r="D1835" s="14" t="inlineStr">
        <is>
          <t>L</t>
        </is>
      </c>
      <c r="E1835" s="14" t="inlineStr">
        <is>
          <t>多</t>
        </is>
      </c>
      <c r="F1835" s="14" t="inlineStr">
        <is>
          <t>★★</t>
        </is>
      </c>
      <c r="G1835" s="14" t="n">
        <v>5</v>
      </c>
      <c r="H1835" s="15" t="n">
        <v>9023</v>
      </c>
      <c r="I1835" s="15" t="n">
        <v>9051</v>
      </c>
      <c r="J1835" s="14" t="n">
        <v>5</v>
      </c>
      <c r="K1835" s="14" t="n">
        <v>10000</v>
      </c>
      <c r="L1835" s="25">
        <f>IF(E1835="多",1,-1)*(I1835-H1835)*G1835*J1835</f>
        <v/>
      </c>
      <c r="M1835" s="26">
        <f>L1835/K1835</f>
        <v/>
      </c>
      <c r="N1835" s="14" t="inlineStr">
        <is>
          <t>将军撤退</t>
        </is>
      </c>
      <c r="O1835" s="14" t="inlineStr">
        <is>
          <t>是</t>
        </is>
      </c>
    </row>
    <row r="1836">
      <c r="A1836" s="2" t="inlineStr">
        <is>
          <t>2022-06-06</t>
        </is>
      </c>
      <c r="B1836" s="2" t="inlineStr">
        <is>
          <t>2022-06-07</t>
        </is>
      </c>
      <c r="C1836" s="2" t="inlineStr">
        <is>
          <t>沥青</t>
        </is>
      </c>
      <c r="D1836" s="2" t="inlineStr">
        <is>
          <t>BU</t>
        </is>
      </c>
      <c r="E1836" s="19" t="inlineStr">
        <is>
          <t>多</t>
        </is>
      </c>
      <c r="F1836" s="2" t="inlineStr">
        <is>
          <t>★★★</t>
        </is>
      </c>
      <c r="G1836" s="10" t="n">
        <v>2</v>
      </c>
      <c r="H1836" s="11" t="n">
        <v>4740</v>
      </c>
      <c r="I1836" s="11" t="n">
        <v>4820</v>
      </c>
      <c r="J1836" s="10" t="n">
        <v>10</v>
      </c>
      <c r="K1836" s="10" t="n">
        <v>10000</v>
      </c>
      <c r="L1836" s="23">
        <f>IF(E1836="多",1,-1)*(I1836-H1836)*G1836*J1836</f>
        <v/>
      </c>
      <c r="M1836" s="24">
        <f>L1836/K1836</f>
        <v/>
      </c>
      <c r="N1836" s="2" t="inlineStr">
        <is>
          <t>大将军转向</t>
        </is>
      </c>
      <c r="O1836" s="2" t="inlineStr">
        <is>
          <t>否</t>
        </is>
      </c>
    </row>
    <row r="1837">
      <c r="A1837" s="14" t="inlineStr">
        <is>
          <t>2022-05-26</t>
        </is>
      </c>
      <c r="B1837" s="14" t="inlineStr">
        <is>
          <t>2022-06-06</t>
        </is>
      </c>
      <c r="C1837" s="14" t="inlineStr">
        <is>
          <t>PVC</t>
        </is>
      </c>
      <c r="D1837" s="14" t="inlineStr">
        <is>
          <t>V</t>
        </is>
      </c>
      <c r="E1837" s="14" t="inlineStr">
        <is>
          <t>空</t>
        </is>
      </c>
      <c r="F1837" s="14" t="inlineStr">
        <is>
          <t>★★★</t>
        </is>
      </c>
      <c r="G1837" s="14" t="n">
        <v>4</v>
      </c>
      <c r="H1837" s="15" t="n">
        <v>8203</v>
      </c>
      <c r="I1837" s="15" t="n">
        <v>8562</v>
      </c>
      <c r="J1837" s="14" t="n">
        <v>5</v>
      </c>
      <c r="K1837" s="14" t="n">
        <v>10000</v>
      </c>
      <c r="L1837" s="25">
        <f>IF(E1837="多",1,-1)*(I1837-H1837)*G1837*J1837</f>
        <v/>
      </c>
      <c r="M1837" s="26">
        <f>L1837/K1837</f>
        <v/>
      </c>
      <c r="N1837" s="14" t="inlineStr">
        <is>
          <t>跳空止损</t>
        </is>
      </c>
      <c r="O1837" s="14" t="inlineStr">
        <is>
          <t>是</t>
        </is>
      </c>
    </row>
    <row r="1838">
      <c r="A1838" s="14" t="inlineStr">
        <is>
          <t>2022-05-26</t>
        </is>
      </c>
      <c r="B1838" s="14" t="inlineStr">
        <is>
          <t>2022-06-02</t>
        </is>
      </c>
      <c r="C1838" s="14" t="inlineStr">
        <is>
          <t>甲醇</t>
        </is>
      </c>
      <c r="D1838" s="14" t="inlineStr">
        <is>
          <t>MA</t>
        </is>
      </c>
      <c r="E1838" s="14" t="inlineStr">
        <is>
          <t>多</t>
        </is>
      </c>
      <c r="F1838" s="14" t="inlineStr">
        <is>
          <t>★★</t>
        </is>
      </c>
      <c r="G1838" s="14" t="n">
        <v>4</v>
      </c>
      <c r="H1838" s="15" t="n">
        <v>2798</v>
      </c>
      <c r="I1838" s="15" t="n">
        <v>2859</v>
      </c>
      <c r="J1838" s="14" t="n">
        <v>10</v>
      </c>
      <c r="K1838" s="14" t="n">
        <v>10000</v>
      </c>
      <c r="L1838" s="25">
        <f>IF(E1838="多",1,-1)*(I1838-H1838)*G1838*J1838</f>
        <v/>
      </c>
      <c r="M1838" s="26">
        <f>L1838/K1838</f>
        <v/>
      </c>
      <c r="N1838" s="14" t="inlineStr">
        <is>
          <t>将军撤退+大将军转向</t>
        </is>
      </c>
      <c r="O1838" s="14" t="inlineStr">
        <is>
          <t>是</t>
        </is>
      </c>
    </row>
    <row r="1839">
      <c r="A1839" s="2" t="inlineStr">
        <is>
          <t>2022-05-30</t>
        </is>
      </c>
      <c r="B1839" s="2" t="inlineStr">
        <is>
          <t>2022-05-31</t>
        </is>
      </c>
      <c r="C1839" s="2" t="inlineStr">
        <is>
          <t>PTA</t>
        </is>
      </c>
      <c r="D1839" s="2" t="inlineStr">
        <is>
          <t>TA</t>
        </is>
      </c>
      <c r="E1839" s="19" t="inlineStr">
        <is>
          <t>多</t>
        </is>
      </c>
      <c r="F1839" s="2" t="inlineStr">
        <is>
          <t>★★★</t>
        </is>
      </c>
      <c r="G1839" s="10" t="n">
        <v>11</v>
      </c>
      <c r="H1839" s="11" t="n">
        <v>6754</v>
      </c>
      <c r="I1839" s="11" t="n">
        <v>6846</v>
      </c>
      <c r="J1839" s="10" t="n">
        <v>5</v>
      </c>
      <c r="K1839" s="10" t="n">
        <v>30000</v>
      </c>
      <c r="L1839" s="23">
        <f>IF(E1839="多",1,-1)*(I1839-H1839)*G1839*J1839</f>
        <v/>
      </c>
      <c r="M1839" s="24">
        <f>L1839/K1839</f>
        <v/>
      </c>
      <c r="N1839" s="2" t="inlineStr">
        <is>
          <t>将军撤退</t>
        </is>
      </c>
      <c r="O1839" s="2" t="inlineStr">
        <is>
          <t>否</t>
        </is>
      </c>
    </row>
    <row r="1840">
      <c r="A1840" s="2" t="inlineStr">
        <is>
          <t>2022-05-27</t>
        </is>
      </c>
      <c r="B1840" s="2" t="inlineStr">
        <is>
          <t>2022-05-30</t>
        </is>
      </c>
      <c r="C1840" s="2" t="inlineStr">
        <is>
          <t>沪铝</t>
        </is>
      </c>
      <c r="D1840" s="2" t="inlineStr">
        <is>
          <t>AL</t>
        </is>
      </c>
      <c r="E1840" s="19" t="inlineStr">
        <is>
          <t>多</t>
        </is>
      </c>
      <c r="F1840" s="2" t="inlineStr">
        <is>
          <t>★★★</t>
        </is>
      </c>
      <c r="G1840" s="10" t="n">
        <v>5</v>
      </c>
      <c r="H1840" s="11" t="n">
        <v>20700</v>
      </c>
      <c r="I1840" s="11" t="n">
        <v>20765</v>
      </c>
      <c r="J1840" s="10" t="n">
        <v>5</v>
      </c>
      <c r="K1840" s="10" t="n">
        <v>30000</v>
      </c>
      <c r="L1840" s="23">
        <f>IF(E1840="多",1,-1)*(I1840-H1840)*G1840*J1840</f>
        <v/>
      </c>
      <c r="M1840" s="24">
        <f>L1840/K1840</f>
        <v/>
      </c>
      <c r="N1840" s="2" t="inlineStr">
        <is>
          <t>将军撤退</t>
        </is>
      </c>
      <c r="O1840" s="2" t="inlineStr">
        <is>
          <t>否</t>
        </is>
      </c>
    </row>
    <row r="1841">
      <c r="A1841" s="2" t="inlineStr">
        <is>
          <t>2022-05-26</t>
        </is>
      </c>
      <c r="B1841" s="2" t="inlineStr">
        <is>
          <t>2022-05-30</t>
        </is>
      </c>
      <c r="C1841" s="2" t="inlineStr">
        <is>
          <t>沥青</t>
        </is>
      </c>
      <c r="D1841" s="2" t="inlineStr">
        <is>
          <t>BU</t>
        </is>
      </c>
      <c r="E1841" s="19" t="inlineStr">
        <is>
          <t>多</t>
        </is>
      </c>
      <c r="F1841" s="2" t="inlineStr">
        <is>
          <t>★★★</t>
        </is>
      </c>
      <c r="G1841" s="10" t="n">
        <v>2</v>
      </c>
      <c r="H1841" s="11" t="n">
        <v>4517</v>
      </c>
      <c r="I1841" s="11" t="n">
        <v>4666</v>
      </c>
      <c r="J1841" s="10" t="n">
        <v>10</v>
      </c>
      <c r="K1841" s="10" t="n">
        <v>10000</v>
      </c>
      <c r="L1841" s="23">
        <f>IF(E1841="多",1,-1)*(I1841-H1841)*G1841*J1841</f>
        <v/>
      </c>
      <c r="M1841" s="24">
        <f>L1841/K1841</f>
        <v/>
      </c>
      <c r="N1841" s="2" t="inlineStr">
        <is>
          <t>大将军转向</t>
        </is>
      </c>
      <c r="O1841" s="2" t="inlineStr">
        <is>
          <t>否</t>
        </is>
      </c>
    </row>
    <row r="1842">
      <c r="A1842" s="2" t="inlineStr">
        <is>
          <t>2022-05-18</t>
        </is>
      </c>
      <c r="B1842" s="2" t="inlineStr">
        <is>
          <t>2022-05-30</t>
        </is>
      </c>
      <c r="C1842" s="2" t="inlineStr">
        <is>
          <t>玻璃</t>
        </is>
      </c>
      <c r="D1842" s="2" t="inlineStr">
        <is>
          <t>FG</t>
        </is>
      </c>
      <c r="E1842" s="9" t="inlineStr">
        <is>
          <t>空</t>
        </is>
      </c>
      <c r="F1842" s="2" t="inlineStr">
        <is>
          <t>★★★</t>
        </is>
      </c>
      <c r="G1842" s="10" t="n">
        <v>8</v>
      </c>
      <c r="H1842" s="11" t="n">
        <v>1771</v>
      </c>
      <c r="I1842" s="11" t="n">
        <v>1762</v>
      </c>
      <c r="J1842" s="10" t="n">
        <v>20</v>
      </c>
      <c r="K1842" s="10" t="n">
        <v>30000</v>
      </c>
      <c r="L1842" s="23">
        <f>IF(E1842="多",1,-1)*(I1842-H1842)*G1842*J1842</f>
        <v/>
      </c>
      <c r="M1842" s="24">
        <f>L1842/K1842</f>
        <v/>
      </c>
      <c r="N1842" s="2" t="inlineStr">
        <is>
          <t>将军撤退+大将军转向</t>
        </is>
      </c>
      <c r="O1842" s="2" t="inlineStr">
        <is>
          <t>否</t>
        </is>
      </c>
    </row>
    <row r="1843">
      <c r="A1843" s="14" t="inlineStr">
        <is>
          <t>2022-05-26</t>
        </is>
      </c>
      <c r="B1843" s="14" t="inlineStr">
        <is>
          <t>2022-05-27</t>
        </is>
      </c>
      <c r="C1843" s="14" t="inlineStr">
        <is>
          <t>白糖</t>
        </is>
      </c>
      <c r="D1843" s="14" t="inlineStr">
        <is>
          <t>SR</t>
        </is>
      </c>
      <c r="E1843" s="14" t="inlineStr">
        <is>
          <t>多</t>
        </is>
      </c>
      <c r="F1843" s="14" t="inlineStr">
        <is>
          <t>★★</t>
        </is>
      </c>
      <c r="G1843" s="14" t="n">
        <v>7</v>
      </c>
      <c r="H1843" s="15" t="n">
        <v>6009</v>
      </c>
      <c r="I1843" s="15" t="n">
        <v>6047</v>
      </c>
      <c r="J1843" s="14" t="n">
        <v>10</v>
      </c>
      <c r="K1843" s="14" t="n">
        <v>10000</v>
      </c>
      <c r="L1843" s="25">
        <f>IF(E1843="多",1,-1)*(I1843-H1843)*G1843*J1843</f>
        <v/>
      </c>
      <c r="M1843" s="26">
        <f>L1843/K1843</f>
        <v/>
      </c>
      <c r="N1843" s="14" t="inlineStr">
        <is>
          <t>将军撤退</t>
        </is>
      </c>
      <c r="O1843" s="14" t="inlineStr">
        <is>
          <t>是</t>
        </is>
      </c>
    </row>
    <row r="1844">
      <c r="A1844" s="2" t="inlineStr">
        <is>
          <t>2022-05-25</t>
        </is>
      </c>
      <c r="B1844" s="2" t="inlineStr">
        <is>
          <t>2022-05-27</t>
        </is>
      </c>
      <c r="C1844" s="2" t="inlineStr">
        <is>
          <t>PTA</t>
        </is>
      </c>
      <c r="D1844" s="2" t="inlineStr">
        <is>
          <t>TA</t>
        </is>
      </c>
      <c r="E1844" s="19" t="inlineStr">
        <is>
          <t>多</t>
        </is>
      </c>
      <c r="F1844" s="2" t="inlineStr">
        <is>
          <t>★★★</t>
        </is>
      </c>
      <c r="G1844" s="10" t="n">
        <v>10</v>
      </c>
      <c r="H1844" s="11" t="n">
        <v>6730</v>
      </c>
      <c r="I1844" s="11" t="n">
        <v>6698</v>
      </c>
      <c r="J1844" s="10" t="n">
        <v>5</v>
      </c>
      <c r="K1844" s="10" t="n">
        <v>30000</v>
      </c>
      <c r="L1844" s="23">
        <f>IF(E1844="多",1,-1)*(I1844-H1844)*G1844*J1844</f>
        <v/>
      </c>
      <c r="M1844" s="24">
        <f>L1844/K1844</f>
        <v/>
      </c>
      <c r="N1844" s="2" t="inlineStr">
        <is>
          <t>大将军转向</t>
        </is>
      </c>
      <c r="O1844" s="2" t="inlineStr">
        <is>
          <t>否</t>
        </is>
      </c>
    </row>
    <row r="1845">
      <c r="A1845" s="14" t="inlineStr">
        <is>
          <t>2022-04-28</t>
        </is>
      </c>
      <c r="B1845" s="14" t="inlineStr">
        <is>
          <t>2022-05-27</t>
        </is>
      </c>
      <c r="C1845" s="14" t="inlineStr">
        <is>
          <t>塑料</t>
        </is>
      </c>
      <c r="D1845" s="14" t="inlineStr">
        <is>
          <t>L</t>
        </is>
      </c>
      <c r="E1845" s="14" t="inlineStr">
        <is>
          <t>空</t>
        </is>
      </c>
      <c r="F1845" s="14" t="inlineStr">
        <is>
          <t>★★</t>
        </is>
      </c>
      <c r="G1845" s="14" t="n">
        <v>4</v>
      </c>
      <c r="H1845" s="15" t="n">
        <v>8680</v>
      </c>
      <c r="I1845" s="15" t="n">
        <v>8837.139999999999</v>
      </c>
      <c r="J1845" s="14" t="n">
        <v>5</v>
      </c>
      <c r="K1845" s="14" t="n">
        <v>10000</v>
      </c>
      <c r="L1845" s="25">
        <f>IF(E1845="多",1,-1)*(I1845-H1845)*G1845*J1845</f>
        <v/>
      </c>
      <c r="M1845" s="26">
        <f>L1845/K1845</f>
        <v/>
      </c>
      <c r="N1845" s="14" t="inlineStr">
        <is>
          <t>止损</t>
        </is>
      </c>
      <c r="O1845" s="14" t="inlineStr">
        <is>
          <t>是</t>
        </is>
      </c>
    </row>
    <row r="1846">
      <c r="A1846" s="14" t="inlineStr">
        <is>
          <t>2022-05-20</t>
        </is>
      </c>
      <c r="B1846" s="14" t="inlineStr">
        <is>
          <t>2022-05-26</t>
        </is>
      </c>
      <c r="C1846" s="14" t="inlineStr">
        <is>
          <t>豆油</t>
        </is>
      </c>
      <c r="D1846" s="14" t="inlineStr">
        <is>
          <t>Y</t>
        </is>
      </c>
      <c r="E1846" s="14" t="inlineStr">
        <is>
          <t>多</t>
        </is>
      </c>
      <c r="F1846" s="14" t="inlineStr">
        <is>
          <t>★★★</t>
        </is>
      </c>
      <c r="G1846" s="14" t="n">
        <v>1</v>
      </c>
      <c r="H1846" s="15" t="n">
        <v>11360</v>
      </c>
      <c r="I1846" s="15" t="n">
        <v>11550</v>
      </c>
      <c r="J1846" s="14" t="n">
        <v>10</v>
      </c>
      <c r="K1846" s="14" t="n">
        <v>10000</v>
      </c>
      <c r="L1846" s="25">
        <f>IF(E1846="多",1,-1)*(I1846-H1846)*G1846*J1846</f>
        <v/>
      </c>
      <c r="M1846" s="26">
        <f>L1846/K1846</f>
        <v/>
      </c>
      <c r="N1846" s="14" t="inlineStr">
        <is>
          <t>大将军转向</t>
        </is>
      </c>
      <c r="O1846" s="14" t="inlineStr">
        <is>
          <t>是</t>
        </is>
      </c>
    </row>
    <row r="1847">
      <c r="A1847" s="14" t="inlineStr">
        <is>
          <t>2022-05-23</t>
        </is>
      </c>
      <c r="B1847" s="14" t="inlineStr">
        <is>
          <t>2022-05-25</t>
        </is>
      </c>
      <c r="C1847" s="14" t="inlineStr">
        <is>
          <t>沥青</t>
        </is>
      </c>
      <c r="D1847" s="14" t="inlineStr">
        <is>
          <t>BU</t>
        </is>
      </c>
      <c r="E1847" s="14" t="inlineStr">
        <is>
          <t>多</t>
        </is>
      </c>
      <c r="F1847" s="14" t="inlineStr">
        <is>
          <t>★★★</t>
        </is>
      </c>
      <c r="G1847" s="14" t="n">
        <v>2</v>
      </c>
      <c r="H1847" s="15" t="n">
        <v>4415</v>
      </c>
      <c r="I1847" s="15" t="n">
        <v>4472</v>
      </c>
      <c r="J1847" s="14" t="n">
        <v>10</v>
      </c>
      <c r="K1847" s="14" t="n">
        <v>10000</v>
      </c>
      <c r="L1847" s="25">
        <f>IF(E1847="多",1,-1)*(I1847-H1847)*G1847*J1847</f>
        <v/>
      </c>
      <c r="M1847" s="26">
        <f>L1847/K1847</f>
        <v/>
      </c>
      <c r="N1847" s="14" t="inlineStr">
        <is>
          <t>将军撤退+大将军转向</t>
        </is>
      </c>
      <c r="O1847" s="14" t="inlineStr">
        <is>
          <t>是</t>
        </is>
      </c>
    </row>
    <row r="1848">
      <c r="A1848" s="14" t="inlineStr">
        <is>
          <t>2022-05-17</t>
        </is>
      </c>
      <c r="B1848" s="14" t="inlineStr">
        <is>
          <t>2022-05-25</t>
        </is>
      </c>
      <c r="C1848" s="14" t="inlineStr">
        <is>
          <t>玉米</t>
        </is>
      </c>
      <c r="D1848" s="14" t="inlineStr">
        <is>
          <t>C</t>
        </is>
      </c>
      <c r="E1848" s="14" t="inlineStr">
        <is>
          <t>多</t>
        </is>
      </c>
      <c r="F1848" s="14" t="inlineStr">
        <is>
          <t>★★</t>
        </is>
      </c>
      <c r="G1848" s="14" t="n">
        <v>9</v>
      </c>
      <c r="H1848" s="15" t="n">
        <v>3012</v>
      </c>
      <c r="I1848" s="15" t="n">
        <v>2930.43</v>
      </c>
      <c r="J1848" s="14" t="n">
        <v>10</v>
      </c>
      <c r="K1848" s="14" t="n">
        <v>10000</v>
      </c>
      <c r="L1848" s="25">
        <f>IF(E1848="多",1,-1)*(I1848-H1848)*G1848*J1848</f>
        <v/>
      </c>
      <c r="M1848" s="26">
        <f>L1848/K1848</f>
        <v/>
      </c>
      <c r="N1848" s="14" t="inlineStr">
        <is>
          <t>止损</t>
        </is>
      </c>
      <c r="O1848" s="14" t="inlineStr">
        <is>
          <t>是</t>
        </is>
      </c>
    </row>
    <row r="1849">
      <c r="A1849" s="2" t="inlineStr">
        <is>
          <t>2022-05-20</t>
        </is>
      </c>
      <c r="B1849" s="2" t="inlineStr">
        <is>
          <t>2022-05-23</t>
        </is>
      </c>
      <c r="C1849" s="2" t="inlineStr">
        <is>
          <t>PTA</t>
        </is>
      </c>
      <c r="D1849" s="2" t="inlineStr">
        <is>
          <t>TA</t>
        </is>
      </c>
      <c r="E1849" s="19" t="inlineStr">
        <is>
          <t>多</t>
        </is>
      </c>
      <c r="F1849" s="2" t="inlineStr">
        <is>
          <t>★★★</t>
        </is>
      </c>
      <c r="G1849" s="10" t="n">
        <v>3</v>
      </c>
      <c r="H1849" s="11" t="n">
        <v>6706</v>
      </c>
      <c r="I1849" s="11" t="n">
        <v>6684</v>
      </c>
      <c r="J1849" s="10" t="n">
        <v>5</v>
      </c>
      <c r="K1849" s="10" t="n">
        <v>10000</v>
      </c>
      <c r="L1849" s="23">
        <f>IF(E1849="多",1,-1)*(I1849-H1849)*G1849*J1849</f>
        <v/>
      </c>
      <c r="M1849" s="24">
        <f>L1849/K1849</f>
        <v/>
      </c>
      <c r="N1849" s="2" t="inlineStr">
        <is>
          <t>将军撤退+大将军转向</t>
        </is>
      </c>
      <c r="O1849" s="2" t="inlineStr">
        <is>
          <t>否</t>
        </is>
      </c>
    </row>
    <row r="1850">
      <c r="A1850" s="14" t="inlineStr">
        <is>
          <t>2022-05-19</t>
        </is>
      </c>
      <c r="B1850" s="14" t="inlineStr">
        <is>
          <t>2022-05-23</t>
        </is>
      </c>
      <c r="C1850" s="14" t="inlineStr">
        <is>
          <t>沪锌</t>
        </is>
      </c>
      <c r="D1850" s="14" t="inlineStr">
        <is>
          <t>ZN</t>
        </is>
      </c>
      <c r="E1850" s="14" t="inlineStr">
        <is>
          <t>空</t>
        </is>
      </c>
      <c r="F1850" s="14" t="inlineStr">
        <is>
          <t>★★</t>
        </is>
      </c>
      <c r="G1850" s="14" t="n">
        <v>1</v>
      </c>
      <c r="H1850" s="15" t="n">
        <v>25650</v>
      </c>
      <c r="I1850" s="15" t="n">
        <v>25480</v>
      </c>
      <c r="J1850" s="14" t="n">
        <v>5</v>
      </c>
      <c r="K1850" s="14" t="n">
        <v>10000</v>
      </c>
      <c r="L1850" s="25">
        <f>IF(E1850="多",1,-1)*(I1850-H1850)*G1850*J1850</f>
        <v/>
      </c>
      <c r="M1850" s="26">
        <f>L1850/K1850</f>
        <v/>
      </c>
      <c r="N1850" s="14" t="inlineStr">
        <is>
          <t>将军撤退</t>
        </is>
      </c>
      <c r="O1850" s="14" t="inlineStr">
        <is>
          <t>是</t>
        </is>
      </c>
    </row>
    <row r="1851">
      <c r="A1851" s="2" t="inlineStr">
        <is>
          <t>2022-05-13</t>
        </is>
      </c>
      <c r="B1851" s="2" t="inlineStr">
        <is>
          <t>2022-05-23</t>
        </is>
      </c>
      <c r="C1851" s="2" t="inlineStr">
        <is>
          <t>豆粕</t>
        </is>
      </c>
      <c r="D1851" s="2" t="inlineStr">
        <is>
          <t>M</t>
        </is>
      </c>
      <c r="E1851" s="19" t="inlineStr">
        <is>
          <t>多</t>
        </is>
      </c>
      <c r="F1851" s="2" t="inlineStr">
        <is>
          <t>★★★</t>
        </is>
      </c>
      <c r="G1851" s="10" t="n">
        <v>8</v>
      </c>
      <c r="H1851" s="11" t="n">
        <v>4040</v>
      </c>
      <c r="I1851" s="11" t="n">
        <v>4188</v>
      </c>
      <c r="J1851" s="10" t="n">
        <v>10</v>
      </c>
      <c r="K1851" s="10" t="n">
        <v>30000</v>
      </c>
      <c r="L1851" s="23">
        <f>IF(E1851="多",1,-1)*(I1851-H1851)*G1851*J1851</f>
        <v/>
      </c>
      <c r="M1851" s="24">
        <f>L1851/K1851</f>
        <v/>
      </c>
      <c r="N1851" s="2" t="inlineStr">
        <is>
          <t>大将军转向</t>
        </is>
      </c>
      <c r="O1851" s="2" t="inlineStr">
        <is>
          <t>否</t>
        </is>
      </c>
    </row>
    <row r="1852">
      <c r="A1852" s="14" t="inlineStr">
        <is>
          <t>2022-05-13</t>
        </is>
      </c>
      <c r="B1852" s="14" t="inlineStr">
        <is>
          <t>2022-05-20</t>
        </is>
      </c>
      <c r="C1852" s="14" t="inlineStr">
        <is>
          <t>白糖</t>
        </is>
      </c>
      <c r="D1852" s="14" t="inlineStr">
        <is>
          <t>SR</t>
        </is>
      </c>
      <c r="E1852" s="14" t="inlineStr">
        <is>
          <t>空</t>
        </is>
      </c>
      <c r="F1852" s="14" t="inlineStr">
        <is>
          <t>★★</t>
        </is>
      </c>
      <c r="G1852" s="14" t="n">
        <v>6</v>
      </c>
      <c r="H1852" s="15" t="n">
        <v>5828</v>
      </c>
      <c r="I1852" s="15" t="n">
        <v>5978.14</v>
      </c>
      <c r="J1852" s="14" t="n">
        <v>10</v>
      </c>
      <c r="K1852" s="14" t="n">
        <v>10000</v>
      </c>
      <c r="L1852" s="25">
        <f>IF(E1852="多",1,-1)*(I1852-H1852)*G1852*J1852</f>
        <v/>
      </c>
      <c r="M1852" s="26">
        <f>L1852/K1852</f>
        <v/>
      </c>
      <c r="N1852" s="14" t="inlineStr">
        <is>
          <t>止损</t>
        </is>
      </c>
      <c r="O1852" s="14" t="inlineStr">
        <is>
          <t>是</t>
        </is>
      </c>
    </row>
    <row r="1853">
      <c r="A1853" s="2" t="inlineStr">
        <is>
          <t>2022-05-13</t>
        </is>
      </c>
      <c r="B1853" s="2" t="inlineStr">
        <is>
          <t>2022-05-19</t>
        </is>
      </c>
      <c r="C1853" s="2" t="inlineStr">
        <is>
          <t>沥青</t>
        </is>
      </c>
      <c r="D1853" s="2" t="inlineStr">
        <is>
          <t>BU</t>
        </is>
      </c>
      <c r="E1853" s="19" t="inlineStr">
        <is>
          <t>多</t>
        </is>
      </c>
      <c r="F1853" s="2" t="inlineStr">
        <is>
          <t>★★★</t>
        </is>
      </c>
      <c r="G1853" s="10" t="n">
        <v>2</v>
      </c>
      <c r="H1853" s="11" t="n">
        <v>4358</v>
      </c>
      <c r="I1853" s="11" t="n">
        <v>4386</v>
      </c>
      <c r="J1853" s="10" t="n">
        <v>10</v>
      </c>
      <c r="K1853" s="10" t="n">
        <v>10000</v>
      </c>
      <c r="L1853" s="23">
        <f>IF(E1853="多",1,-1)*(I1853-H1853)*G1853*J1853</f>
        <v/>
      </c>
      <c r="M1853" s="24">
        <f>L1853/K1853</f>
        <v/>
      </c>
      <c r="N1853" s="2" t="inlineStr">
        <is>
          <t>将军撤退</t>
        </is>
      </c>
      <c r="O1853" s="2" t="inlineStr">
        <is>
          <t>否</t>
        </is>
      </c>
    </row>
    <row r="1854">
      <c r="A1854" s="2" t="inlineStr">
        <is>
          <t>2022-05-06</t>
        </is>
      </c>
      <c r="B1854" s="2" t="inlineStr">
        <is>
          <t>2022-05-18</t>
        </is>
      </c>
      <c r="C1854" s="2" t="inlineStr">
        <is>
          <t>沪金</t>
        </is>
      </c>
      <c r="D1854" s="2" t="inlineStr">
        <is>
          <t>AU</t>
        </is>
      </c>
      <c r="E1854" s="19" t="inlineStr">
        <is>
          <t>多</t>
        </is>
      </c>
      <c r="F1854" s="2" t="inlineStr">
        <is>
          <t>★★★</t>
        </is>
      </c>
      <c r="G1854" s="10" t="n">
        <v>2</v>
      </c>
      <c r="H1854" s="11" t="n">
        <v>404.22</v>
      </c>
      <c r="I1854" s="11" t="n">
        <v>393.62</v>
      </c>
      <c r="J1854" s="10" t="n">
        <v>1000</v>
      </c>
      <c r="K1854" s="10" t="n">
        <v>30000</v>
      </c>
      <c r="L1854" s="23">
        <f>IF(E1854="多",1,-1)*(I1854-H1854)*G1854*J1854</f>
        <v/>
      </c>
      <c r="M1854" s="24">
        <f>L1854/K1854</f>
        <v/>
      </c>
      <c r="N1854" s="2" t="inlineStr">
        <is>
          <t>止损</t>
        </is>
      </c>
      <c r="O1854" s="2" t="inlineStr">
        <is>
          <t>否</t>
        </is>
      </c>
    </row>
    <row r="1855">
      <c r="A1855" s="14" t="inlineStr">
        <is>
          <t>2022-05-16</t>
        </is>
      </c>
      <c r="B1855" s="14" t="inlineStr">
        <is>
          <t>2022-05-17</t>
        </is>
      </c>
      <c r="C1855" s="14" t="inlineStr">
        <is>
          <t>沪银</t>
        </is>
      </c>
      <c r="D1855" s="14" t="inlineStr">
        <is>
          <t>AG</t>
        </is>
      </c>
      <c r="E1855" s="14" t="inlineStr">
        <is>
          <t>空</t>
        </is>
      </c>
      <c r="F1855" s="14" t="inlineStr">
        <is>
          <t>★★</t>
        </is>
      </c>
      <c r="G1855" s="14" t="n">
        <v>2</v>
      </c>
      <c r="H1855" s="15" t="n">
        <v>4686</v>
      </c>
      <c r="I1855" s="15" t="n">
        <v>4750</v>
      </c>
      <c r="J1855" s="14" t="n">
        <v>15</v>
      </c>
      <c r="K1855" s="14" t="n">
        <v>10000</v>
      </c>
      <c r="L1855" s="25">
        <f>IF(E1855="多",1,-1)*(I1855-H1855)*G1855*J1855</f>
        <v/>
      </c>
      <c r="M1855" s="26">
        <f>L1855/K1855</f>
        <v/>
      </c>
      <c r="N1855" s="14" t="inlineStr">
        <is>
          <t>大将军转向</t>
        </is>
      </c>
      <c r="O1855" s="14" t="inlineStr">
        <is>
          <t>是</t>
        </is>
      </c>
    </row>
    <row r="1856">
      <c r="A1856" s="14" t="inlineStr">
        <is>
          <t>2022-05-13</t>
        </is>
      </c>
      <c r="B1856" s="14" t="inlineStr">
        <is>
          <t>2022-05-17</t>
        </is>
      </c>
      <c r="C1856" s="14" t="inlineStr">
        <is>
          <t>PTA</t>
        </is>
      </c>
      <c r="D1856" s="14" t="inlineStr">
        <is>
          <t>TA</t>
        </is>
      </c>
      <c r="E1856" s="14" t="inlineStr">
        <is>
          <t>多</t>
        </is>
      </c>
      <c r="F1856" s="14" t="inlineStr">
        <is>
          <t>★★</t>
        </is>
      </c>
      <c r="G1856" s="14" t="n">
        <v>3</v>
      </c>
      <c r="H1856" s="15" t="n">
        <v>6752</v>
      </c>
      <c r="I1856" s="15" t="n">
        <v>6762</v>
      </c>
      <c r="J1856" s="14" t="n">
        <v>5</v>
      </c>
      <c r="K1856" s="14" t="n">
        <v>10000</v>
      </c>
      <c r="L1856" s="25">
        <f>IF(E1856="多",1,-1)*(I1856-H1856)*G1856*J1856</f>
        <v/>
      </c>
      <c r="M1856" s="26">
        <f>L1856/K1856</f>
        <v/>
      </c>
      <c r="N1856" s="14" t="inlineStr">
        <is>
          <t>大将军转向</t>
        </is>
      </c>
      <c r="O1856" s="14" t="inlineStr">
        <is>
          <t>是</t>
        </is>
      </c>
    </row>
    <row r="1857">
      <c r="A1857" s="2" t="inlineStr">
        <is>
          <t>2022-05-12</t>
        </is>
      </c>
      <c r="B1857" s="2" t="inlineStr">
        <is>
          <t>2022-05-13</t>
        </is>
      </c>
      <c r="C1857" s="2" t="inlineStr">
        <is>
          <t>沪锌</t>
        </is>
      </c>
      <c r="D1857" s="2" t="inlineStr">
        <is>
          <t>ZN</t>
        </is>
      </c>
      <c r="E1857" s="9" t="inlineStr">
        <is>
          <t>空</t>
        </is>
      </c>
      <c r="F1857" s="2" t="inlineStr">
        <is>
          <t>★★★</t>
        </is>
      </c>
      <c r="G1857" s="10" t="n">
        <v>3</v>
      </c>
      <c r="H1857" s="11" t="n">
        <v>25335</v>
      </c>
      <c r="I1857" s="11" t="n">
        <v>25525</v>
      </c>
      <c r="J1857" s="10" t="n">
        <v>5</v>
      </c>
      <c r="K1857" s="10" t="n">
        <v>30000</v>
      </c>
      <c r="L1857" s="23">
        <f>IF(E1857="多",1,-1)*(I1857-H1857)*G1857*J1857</f>
        <v/>
      </c>
      <c r="M1857" s="24">
        <f>L1857/K1857</f>
        <v/>
      </c>
      <c r="N1857" s="2" t="inlineStr">
        <is>
          <t>将军撤退+大将军转向</t>
        </is>
      </c>
      <c r="O1857" s="2" t="inlineStr">
        <is>
          <t>否</t>
        </is>
      </c>
    </row>
    <row r="1858">
      <c r="A1858" s="14" t="inlineStr">
        <is>
          <t>2022-05-11</t>
        </is>
      </c>
      <c r="B1858" s="14" t="inlineStr">
        <is>
          <t>2022-05-13</t>
        </is>
      </c>
      <c r="C1858" s="14" t="inlineStr">
        <is>
          <t>沪银</t>
        </is>
      </c>
      <c r="D1858" s="14" t="inlineStr">
        <is>
          <t>AG</t>
        </is>
      </c>
      <c r="E1858" s="14" t="inlineStr">
        <is>
          <t>空</t>
        </is>
      </c>
      <c r="F1858" s="14" t="inlineStr">
        <is>
          <t>★★★</t>
        </is>
      </c>
      <c r="G1858" s="14" t="n">
        <v>2</v>
      </c>
      <c r="H1858" s="15" t="n">
        <v>4708</v>
      </c>
      <c r="I1858" s="15" t="n">
        <v>4629</v>
      </c>
      <c r="J1858" s="14" t="n">
        <v>15</v>
      </c>
      <c r="K1858" s="14" t="n">
        <v>10000</v>
      </c>
      <c r="L1858" s="25">
        <f>IF(E1858="多",1,-1)*(I1858-H1858)*G1858*J1858</f>
        <v/>
      </c>
      <c r="M1858" s="26">
        <f>L1858/K1858</f>
        <v/>
      </c>
      <c r="N1858" s="14" t="inlineStr">
        <is>
          <t>将军撤退</t>
        </is>
      </c>
      <c r="O1858" s="14" t="inlineStr">
        <is>
          <t>是</t>
        </is>
      </c>
    </row>
    <row r="1859">
      <c r="A1859" s="2" t="inlineStr">
        <is>
          <t>2022-04-29</t>
        </is>
      </c>
      <c r="B1859" s="2" t="inlineStr">
        <is>
          <t>2022-05-13</t>
        </is>
      </c>
      <c r="C1859" s="2" t="inlineStr">
        <is>
          <t>豆油</t>
        </is>
      </c>
      <c r="D1859" s="2" t="inlineStr">
        <is>
          <t>Y</t>
        </is>
      </c>
      <c r="E1859" s="19" t="inlineStr">
        <is>
          <t>多</t>
        </is>
      </c>
      <c r="F1859" s="2" t="inlineStr">
        <is>
          <t>★★★</t>
        </is>
      </c>
      <c r="G1859" s="10" t="n">
        <v>3</v>
      </c>
      <c r="H1859" s="11" t="n">
        <v>11540</v>
      </c>
      <c r="I1859" s="11" t="n">
        <v>11326</v>
      </c>
      <c r="J1859" s="10" t="n">
        <v>10</v>
      </c>
      <c r="K1859" s="10" t="n">
        <v>30000</v>
      </c>
      <c r="L1859" s="23">
        <f>IF(E1859="多",1,-1)*(I1859-H1859)*G1859*J1859</f>
        <v/>
      </c>
      <c r="M1859" s="24">
        <f>L1859/K1859</f>
        <v/>
      </c>
      <c r="N1859" s="2" t="inlineStr">
        <is>
          <t>将军撤退</t>
        </is>
      </c>
      <c r="O1859" s="2" t="inlineStr">
        <is>
          <t>否</t>
        </is>
      </c>
    </row>
    <row r="1860">
      <c r="A1860" s="14" t="inlineStr">
        <is>
          <t>2022-05-06</t>
        </is>
      </c>
      <c r="B1860" s="14" t="inlineStr">
        <is>
          <t>2022-05-11</t>
        </is>
      </c>
      <c r="C1860" s="14" t="inlineStr">
        <is>
          <t>沪锌</t>
        </is>
      </c>
      <c r="D1860" s="14" t="inlineStr">
        <is>
          <t>ZN</t>
        </is>
      </c>
      <c r="E1860" s="14" t="inlineStr">
        <is>
          <t>空</t>
        </is>
      </c>
      <c r="F1860" s="14" t="inlineStr">
        <is>
          <t>★★</t>
        </is>
      </c>
      <c r="G1860" s="14" t="n">
        <v>1</v>
      </c>
      <c r="H1860" s="15" t="n">
        <v>26500</v>
      </c>
      <c r="I1860" s="15" t="n">
        <v>25690</v>
      </c>
      <c r="J1860" s="14" t="n">
        <v>5</v>
      </c>
      <c r="K1860" s="14" t="n">
        <v>10000</v>
      </c>
      <c r="L1860" s="25">
        <f>IF(E1860="多",1,-1)*(I1860-H1860)*G1860*J1860</f>
        <v/>
      </c>
      <c r="M1860" s="26">
        <f>L1860/K1860</f>
        <v/>
      </c>
      <c r="N1860" s="14" t="inlineStr">
        <is>
          <t>将军撤退+大将军转向</t>
        </is>
      </c>
      <c r="O1860" s="14" t="inlineStr">
        <is>
          <t>是</t>
        </is>
      </c>
    </row>
    <row r="1861">
      <c r="A1861" s="2" t="inlineStr">
        <is>
          <t>2022-05-06</t>
        </is>
      </c>
      <c r="B1861" s="2" t="inlineStr">
        <is>
          <t>2022-05-11</t>
        </is>
      </c>
      <c r="C1861" s="2" t="inlineStr">
        <is>
          <t>PTA</t>
        </is>
      </c>
      <c r="D1861" s="2" t="inlineStr">
        <is>
          <t>TA</t>
        </is>
      </c>
      <c r="E1861" s="19" t="inlineStr">
        <is>
          <t>多</t>
        </is>
      </c>
      <c r="F1861" s="2" t="inlineStr">
        <is>
          <t>★★★</t>
        </is>
      </c>
      <c r="G1861" s="10" t="n">
        <v>4</v>
      </c>
      <c r="H1861" s="11" t="n">
        <v>6450</v>
      </c>
      <c r="I1861" s="11" t="n">
        <v>6348</v>
      </c>
      <c r="J1861" s="10" t="n">
        <v>5</v>
      </c>
      <c r="K1861" s="10" t="n">
        <v>10000</v>
      </c>
      <c r="L1861" s="23">
        <f>IF(E1861="多",1,-1)*(I1861-H1861)*G1861*J1861</f>
        <v/>
      </c>
      <c r="M1861" s="24">
        <f>L1861/K1861</f>
        <v/>
      </c>
      <c r="N1861" s="2" t="inlineStr">
        <is>
          <t>大将军转向</t>
        </is>
      </c>
      <c r="O1861" s="2" t="inlineStr">
        <is>
          <t>否</t>
        </is>
      </c>
    </row>
    <row r="1862">
      <c r="A1862" s="2" t="inlineStr">
        <is>
          <t>2022-04-29</t>
        </is>
      </c>
      <c r="B1862" s="2" t="inlineStr">
        <is>
          <t>2022-05-10</t>
        </is>
      </c>
      <c r="C1862" s="2" t="inlineStr">
        <is>
          <t>菜粕</t>
        </is>
      </c>
      <c r="D1862" s="2" t="inlineStr">
        <is>
          <t>RM</t>
        </is>
      </c>
      <c r="E1862" s="19" t="inlineStr">
        <is>
          <t>多</t>
        </is>
      </c>
      <c r="F1862" s="2" t="inlineStr">
        <is>
          <t>★★★</t>
        </is>
      </c>
      <c r="G1862" s="10" t="n">
        <v>8</v>
      </c>
      <c r="H1862" s="11" t="n">
        <v>3780</v>
      </c>
      <c r="I1862" s="11" t="n">
        <v>3502</v>
      </c>
      <c r="J1862" s="10" t="n">
        <v>10</v>
      </c>
      <c r="K1862" s="10" t="n">
        <v>30000</v>
      </c>
      <c r="L1862" s="23">
        <f>IF(E1862="多",1,-1)*(I1862-H1862)*G1862*J1862</f>
        <v/>
      </c>
      <c r="M1862" s="24">
        <f>L1862/K1862</f>
        <v/>
      </c>
      <c r="N1862" s="2" t="inlineStr">
        <is>
          <t>止损</t>
        </is>
      </c>
      <c r="O1862" s="2" t="inlineStr">
        <is>
          <t>否</t>
        </is>
      </c>
    </row>
    <row r="1863">
      <c r="A1863" s="14" t="inlineStr">
        <is>
          <t>2022-04-29</t>
        </is>
      </c>
      <c r="B1863" s="14" t="inlineStr">
        <is>
          <t>2022-05-10</t>
        </is>
      </c>
      <c r="C1863" s="14" t="inlineStr">
        <is>
          <t>螺纹钢</t>
        </is>
      </c>
      <c r="D1863" s="14" t="inlineStr">
        <is>
          <t>RB</t>
        </is>
      </c>
      <c r="E1863" s="14" t="inlineStr">
        <is>
          <t>多</t>
        </is>
      </c>
      <c r="F1863" s="14" t="inlineStr">
        <is>
          <t>★★</t>
        </is>
      </c>
      <c r="G1863" s="14" t="n">
        <v>2</v>
      </c>
      <c r="H1863" s="15" t="n">
        <v>4930</v>
      </c>
      <c r="I1863" s="15" t="n">
        <v>4592.36</v>
      </c>
      <c r="J1863" s="14" t="n">
        <v>10</v>
      </c>
      <c r="K1863" s="14" t="n">
        <v>10000</v>
      </c>
      <c r="L1863" s="25">
        <f>IF(E1863="多",1,-1)*(I1863-H1863)*G1863*J1863</f>
        <v/>
      </c>
      <c r="M1863" s="26">
        <f>L1863/K1863</f>
        <v/>
      </c>
      <c r="N1863" s="14" t="inlineStr">
        <is>
          <t>止损</t>
        </is>
      </c>
      <c r="O1863" s="14" t="inlineStr">
        <is>
          <t>是</t>
        </is>
      </c>
    </row>
    <row r="1864">
      <c r="A1864" s="14" t="inlineStr">
        <is>
          <t>2022-05-05</t>
        </is>
      </c>
      <c r="B1864" s="14" t="inlineStr">
        <is>
          <t>2022-05-06</t>
        </is>
      </c>
      <c r="C1864" s="14" t="inlineStr">
        <is>
          <t>甲醇</t>
        </is>
      </c>
      <c r="D1864" s="14" t="inlineStr">
        <is>
          <t>MA</t>
        </is>
      </c>
      <c r="E1864" s="14" t="inlineStr">
        <is>
          <t>多</t>
        </is>
      </c>
      <c r="F1864" s="14" t="inlineStr">
        <is>
          <t>★★</t>
        </is>
      </c>
      <c r="G1864" s="14" t="n">
        <v>4</v>
      </c>
      <c r="H1864" s="15" t="n">
        <v>2804</v>
      </c>
      <c r="I1864" s="15" t="n">
        <v>2772</v>
      </c>
      <c r="J1864" s="14" t="n">
        <v>10</v>
      </c>
      <c r="K1864" s="14" t="n">
        <v>10000</v>
      </c>
      <c r="L1864" s="25">
        <f>IF(E1864="多",1,-1)*(I1864-H1864)*G1864*J1864</f>
        <v/>
      </c>
      <c r="M1864" s="26">
        <f>L1864/K1864</f>
        <v/>
      </c>
      <c r="N1864" s="14" t="inlineStr">
        <is>
          <t>大将军转向</t>
        </is>
      </c>
      <c r="O1864" s="14" t="inlineStr">
        <is>
          <t>是</t>
        </is>
      </c>
    </row>
    <row r="1865">
      <c r="A1865" s="2" t="inlineStr">
        <is>
          <t>2022-04-19</t>
        </is>
      </c>
      <c r="B1865" s="2" t="inlineStr">
        <is>
          <t>2022-05-05</t>
        </is>
      </c>
      <c r="C1865" s="2" t="inlineStr">
        <is>
          <t>棉花</t>
        </is>
      </c>
      <c r="D1865" s="2" t="inlineStr">
        <is>
          <t>CF</t>
        </is>
      </c>
      <c r="E1865" s="19" t="inlineStr">
        <is>
          <t>多</t>
        </is>
      </c>
      <c r="F1865" s="2" t="inlineStr">
        <is>
          <t>★★★</t>
        </is>
      </c>
      <c r="G1865" s="10" t="n">
        <v>9</v>
      </c>
      <c r="H1865" s="11" t="n">
        <v>21515</v>
      </c>
      <c r="I1865" s="11" t="n">
        <v>21895</v>
      </c>
      <c r="J1865" s="10" t="n">
        <v>5</v>
      </c>
      <c r="K1865" s="10" t="n">
        <v>30000</v>
      </c>
      <c r="L1865" s="23">
        <f>IF(E1865="多",1,-1)*(I1865-H1865)*G1865*J1865</f>
        <v/>
      </c>
      <c r="M1865" s="24">
        <f>L1865/K1865</f>
        <v/>
      </c>
      <c r="N1865" s="2" t="inlineStr">
        <is>
          <t>大将军转向</t>
        </is>
      </c>
      <c r="O1865" s="2" t="inlineStr">
        <is>
          <t>否</t>
        </is>
      </c>
    </row>
    <row r="1866">
      <c r="A1866" s="14" t="inlineStr">
        <is>
          <t>2022-04-11</t>
        </is>
      </c>
      <c r="B1866" s="14" t="inlineStr">
        <is>
          <t>2022-04-29</t>
        </is>
      </c>
      <c r="C1866" s="14" t="inlineStr">
        <is>
          <t>螺纹钢</t>
        </is>
      </c>
      <c r="D1866" s="14" t="inlineStr">
        <is>
          <t>RB</t>
        </is>
      </c>
      <c r="E1866" s="14" t="inlineStr">
        <is>
          <t>空</t>
        </is>
      </c>
      <c r="F1866" s="14" t="inlineStr">
        <is>
          <t>★★</t>
        </is>
      </c>
      <c r="G1866" s="14" t="n">
        <v>3</v>
      </c>
      <c r="H1866" s="15" t="n">
        <v>4880</v>
      </c>
      <c r="I1866" s="15" t="n">
        <v>4910</v>
      </c>
      <c r="J1866" s="14" t="n">
        <v>10</v>
      </c>
      <c r="K1866" s="14" t="n">
        <v>10000</v>
      </c>
      <c r="L1866" s="25">
        <f>IF(E1866="多",1,-1)*(I1866-H1866)*G1866*J1866</f>
        <v/>
      </c>
      <c r="M1866" s="26">
        <f>L1866/K1866</f>
        <v/>
      </c>
      <c r="N1866" s="14" t="inlineStr">
        <is>
          <t>反向信号</t>
        </is>
      </c>
      <c r="O1866" s="14" t="inlineStr">
        <is>
          <t>是</t>
        </is>
      </c>
    </row>
    <row r="1867">
      <c r="A1867" s="14" t="inlineStr">
        <is>
          <t>2022-04-27</t>
        </is>
      </c>
      <c r="B1867" s="14" t="inlineStr">
        <is>
          <t>2022-04-28</t>
        </is>
      </c>
      <c r="C1867" s="14" t="inlineStr">
        <is>
          <t>甲醇</t>
        </is>
      </c>
      <c r="D1867" s="14" t="inlineStr">
        <is>
          <t>MA</t>
        </is>
      </c>
      <c r="E1867" s="14" t="inlineStr">
        <is>
          <t>空</t>
        </is>
      </c>
      <c r="F1867" s="14" t="inlineStr">
        <is>
          <t>★★</t>
        </is>
      </c>
      <c r="G1867" s="14" t="n">
        <v>3</v>
      </c>
      <c r="H1867" s="15" t="n">
        <v>2670</v>
      </c>
      <c r="I1867" s="15" t="n">
        <v>2692</v>
      </c>
      <c r="J1867" s="14" t="n">
        <v>10</v>
      </c>
      <c r="K1867" s="14" t="n">
        <v>10000</v>
      </c>
      <c r="L1867" s="25">
        <f>IF(E1867="多",1,-1)*(I1867-H1867)*G1867*J1867</f>
        <v/>
      </c>
      <c r="M1867" s="26">
        <f>L1867/K1867</f>
        <v/>
      </c>
      <c r="N1867" s="14" t="inlineStr">
        <is>
          <t>大将军转向</t>
        </is>
      </c>
      <c r="O1867" s="14" t="inlineStr">
        <is>
          <t>是</t>
        </is>
      </c>
    </row>
    <row r="1868">
      <c r="A1868" s="2" t="inlineStr">
        <is>
          <t>2022-04-26</t>
        </is>
      </c>
      <c r="B1868" s="2" t="inlineStr">
        <is>
          <t>2022-04-28</t>
        </is>
      </c>
      <c r="C1868" s="2" t="inlineStr">
        <is>
          <t>棕榈油</t>
        </is>
      </c>
      <c r="D1868" s="2" t="inlineStr">
        <is>
          <t>P</t>
        </is>
      </c>
      <c r="E1868" s="19" t="inlineStr">
        <is>
          <t>多</t>
        </is>
      </c>
      <c r="F1868" s="2" t="inlineStr">
        <is>
          <t>★★★</t>
        </is>
      </c>
      <c r="G1868" s="10" t="n">
        <v>2</v>
      </c>
      <c r="H1868" s="11" t="n">
        <v>11410</v>
      </c>
      <c r="I1868" s="11" t="n">
        <v>11978</v>
      </c>
      <c r="J1868" s="10" t="n">
        <v>10</v>
      </c>
      <c r="K1868" s="10" t="n">
        <v>30000</v>
      </c>
      <c r="L1868" s="23">
        <f>IF(E1868="多",1,-1)*(I1868-H1868)*G1868*J1868</f>
        <v/>
      </c>
      <c r="M1868" s="24">
        <f>L1868/K1868</f>
        <v/>
      </c>
      <c r="N1868" s="2" t="inlineStr">
        <is>
          <t>将军撤退+大将军转向</t>
        </is>
      </c>
      <c r="O1868" s="2" t="inlineStr">
        <is>
          <t>否</t>
        </is>
      </c>
    </row>
    <row r="1869">
      <c r="A1869" s="2" t="inlineStr">
        <is>
          <t>2022-04-11</t>
        </is>
      </c>
      <c r="B1869" s="2" t="inlineStr">
        <is>
          <t>2022-04-26</t>
        </is>
      </c>
      <c r="C1869" s="2" t="inlineStr">
        <is>
          <t>乙二醇</t>
        </is>
      </c>
      <c r="D1869" s="2" t="inlineStr">
        <is>
          <t>EG</t>
        </is>
      </c>
      <c r="E1869" s="9" t="inlineStr">
        <is>
          <t>空</t>
        </is>
      </c>
      <c r="F1869" s="2" t="inlineStr">
        <is>
          <t>★★★</t>
        </is>
      </c>
      <c r="G1869" s="10" t="n">
        <v>2</v>
      </c>
      <c r="H1869" s="11" t="n">
        <v>4937</v>
      </c>
      <c r="I1869" s="11" t="n">
        <v>4682</v>
      </c>
      <c r="J1869" s="10" t="n">
        <v>10</v>
      </c>
      <c r="K1869" s="10" t="n">
        <v>10000</v>
      </c>
      <c r="L1869" s="23">
        <f>IF(E1869="多",1,-1)*(I1869-H1869)*G1869*J1869</f>
        <v/>
      </c>
      <c r="M1869" s="24">
        <f>L1869/K1869</f>
        <v/>
      </c>
      <c r="N1869" s="2" t="inlineStr">
        <is>
          <t>将军撤退</t>
        </is>
      </c>
      <c r="O1869" s="2" t="inlineStr">
        <is>
          <t>否</t>
        </is>
      </c>
    </row>
    <row r="1870">
      <c r="A1870" s="14" t="inlineStr">
        <is>
          <t>2022-04-22</t>
        </is>
      </c>
      <c r="B1870" s="14" t="inlineStr">
        <is>
          <t>2022-04-25</t>
        </is>
      </c>
      <c r="C1870" s="14" t="inlineStr">
        <is>
          <t>聚丙烯</t>
        </is>
      </c>
      <c r="D1870" s="14" t="inlineStr">
        <is>
          <t>PP</t>
        </is>
      </c>
      <c r="E1870" s="14" t="inlineStr">
        <is>
          <t>空</t>
        </is>
      </c>
      <c r="F1870" s="14" t="inlineStr">
        <is>
          <t>★★</t>
        </is>
      </c>
      <c r="G1870" s="14" t="n">
        <v>4</v>
      </c>
      <c r="H1870" s="15" t="n">
        <v>8730</v>
      </c>
      <c r="I1870" s="15" t="n">
        <v>8492</v>
      </c>
      <c r="J1870" s="14" t="n">
        <v>5</v>
      </c>
      <c r="K1870" s="14" t="n">
        <v>10000</v>
      </c>
      <c r="L1870" s="25">
        <f>IF(E1870="多",1,-1)*(I1870-H1870)*G1870*J1870</f>
        <v/>
      </c>
      <c r="M1870" s="26">
        <f>L1870/K1870</f>
        <v/>
      </c>
      <c r="N1870" s="14" t="inlineStr">
        <is>
          <t>将军撤退+大将军转向</t>
        </is>
      </c>
      <c r="O1870" s="14" t="inlineStr">
        <is>
          <t>是</t>
        </is>
      </c>
    </row>
    <row r="1871">
      <c r="A1871" s="2" t="inlineStr">
        <is>
          <t>2022-04-14</t>
        </is>
      </c>
      <c r="B1871" s="2" t="inlineStr">
        <is>
          <t>2022-04-25</t>
        </is>
      </c>
      <c r="C1871" s="2" t="inlineStr">
        <is>
          <t>白糖</t>
        </is>
      </c>
      <c r="D1871" s="2" t="inlineStr">
        <is>
          <t>SR</t>
        </is>
      </c>
      <c r="E1871" s="19" t="inlineStr">
        <is>
          <t>多</t>
        </is>
      </c>
      <c r="F1871" s="2" t="inlineStr">
        <is>
          <t>★★★</t>
        </is>
      </c>
      <c r="G1871" s="10" t="n">
        <v>18</v>
      </c>
      <c r="H1871" s="11" t="n">
        <v>6036</v>
      </c>
      <c r="I1871" s="11" t="n">
        <v>5937.86</v>
      </c>
      <c r="J1871" s="10" t="n">
        <v>10</v>
      </c>
      <c r="K1871" s="10" t="n">
        <v>30000</v>
      </c>
      <c r="L1871" s="23">
        <f>IF(E1871="多",1,-1)*(I1871-H1871)*G1871*J1871</f>
        <v/>
      </c>
      <c r="M1871" s="24">
        <f>L1871/K1871</f>
        <v/>
      </c>
      <c r="N1871" s="2" t="inlineStr">
        <is>
          <t>止损</t>
        </is>
      </c>
      <c r="O1871" s="2" t="inlineStr">
        <is>
          <t>否</t>
        </is>
      </c>
    </row>
    <row r="1872">
      <c r="A1872" s="14" t="inlineStr">
        <is>
          <t>2022-04-18</t>
        </is>
      </c>
      <c r="B1872" s="14" t="inlineStr">
        <is>
          <t>2022-04-22</t>
        </is>
      </c>
      <c r="C1872" s="14" t="inlineStr">
        <is>
          <t>聚丙烯</t>
        </is>
      </c>
      <c r="D1872" s="14" t="inlineStr">
        <is>
          <t>PP</t>
        </is>
      </c>
      <c r="E1872" s="14" t="inlineStr">
        <is>
          <t>多</t>
        </is>
      </c>
      <c r="F1872" s="14" t="inlineStr">
        <is>
          <t>★★</t>
        </is>
      </c>
      <c r="G1872" s="14" t="n">
        <v>3</v>
      </c>
      <c r="H1872" s="15" t="n">
        <v>8900</v>
      </c>
      <c r="I1872" s="15" t="n">
        <v>8754</v>
      </c>
      <c r="J1872" s="14" t="n">
        <v>5</v>
      </c>
      <c r="K1872" s="14" t="n">
        <v>10000</v>
      </c>
      <c r="L1872" s="25">
        <f>IF(E1872="多",1,-1)*(I1872-H1872)*G1872*J1872</f>
        <v/>
      </c>
      <c r="M1872" s="26">
        <f>L1872/K1872</f>
        <v/>
      </c>
      <c r="N1872" s="14" t="inlineStr">
        <is>
          <t>反向信号</t>
        </is>
      </c>
      <c r="O1872" s="14" t="inlineStr">
        <is>
          <t>是</t>
        </is>
      </c>
    </row>
    <row r="1873">
      <c r="A1873" s="2" t="inlineStr">
        <is>
          <t>2022-04-11</t>
        </is>
      </c>
      <c r="B1873" s="2" t="inlineStr">
        <is>
          <t>2022-04-22</t>
        </is>
      </c>
      <c r="C1873" s="2" t="inlineStr">
        <is>
          <t>沪锌</t>
        </is>
      </c>
      <c r="D1873" s="2" t="inlineStr">
        <is>
          <t>ZN</t>
        </is>
      </c>
      <c r="E1873" s="19" t="inlineStr">
        <is>
          <t>多</t>
        </is>
      </c>
      <c r="F1873" s="2" t="inlineStr">
        <is>
          <t>★★★</t>
        </is>
      </c>
      <c r="G1873" s="10" t="n">
        <v>4</v>
      </c>
      <c r="H1873" s="11" t="n">
        <v>27380</v>
      </c>
      <c r="I1873" s="11" t="n">
        <v>28445</v>
      </c>
      <c r="J1873" s="10" t="n">
        <v>5</v>
      </c>
      <c r="K1873" s="10" t="n">
        <v>30000</v>
      </c>
      <c r="L1873" s="23">
        <f>IF(E1873="多",1,-1)*(I1873-H1873)*G1873*J1873</f>
        <v/>
      </c>
      <c r="M1873" s="24">
        <f>L1873/K1873</f>
        <v/>
      </c>
      <c r="N1873" s="2" t="inlineStr">
        <is>
          <t>将军撤退</t>
        </is>
      </c>
      <c r="O1873" s="2" t="inlineStr">
        <is>
          <t>否</t>
        </is>
      </c>
    </row>
    <row r="1874">
      <c r="A1874" s="14" t="inlineStr">
        <is>
          <t>2022-04-18</t>
        </is>
      </c>
      <c r="B1874" s="14" t="inlineStr">
        <is>
          <t>2022-04-20</t>
        </is>
      </c>
      <c r="C1874" s="14" t="inlineStr">
        <is>
          <t>PTA</t>
        </is>
      </c>
      <c r="D1874" s="14" t="inlineStr">
        <is>
          <t>TA</t>
        </is>
      </c>
      <c r="E1874" s="14" t="inlineStr">
        <is>
          <t>多</t>
        </is>
      </c>
      <c r="F1874" s="14" t="inlineStr">
        <is>
          <t>★★</t>
        </is>
      </c>
      <c r="G1874" s="14" t="n">
        <v>3</v>
      </c>
      <c r="H1874" s="15" t="n">
        <v>6190</v>
      </c>
      <c r="I1874" s="15" t="n">
        <v>6180</v>
      </c>
      <c r="J1874" s="14" t="n">
        <v>5</v>
      </c>
      <c r="K1874" s="14" t="n">
        <v>10000</v>
      </c>
      <c r="L1874" s="25">
        <f>IF(E1874="多",1,-1)*(I1874-H1874)*G1874*J1874</f>
        <v/>
      </c>
      <c r="M1874" s="26">
        <f>L1874/K1874</f>
        <v/>
      </c>
      <c r="N1874" s="14" t="inlineStr">
        <is>
          <t>大将军转向</t>
        </is>
      </c>
      <c r="O1874" s="14" t="inlineStr">
        <is>
          <t>是</t>
        </is>
      </c>
    </row>
    <row r="1875">
      <c r="A1875" s="2" t="inlineStr">
        <is>
          <t>2022-04-15</t>
        </is>
      </c>
      <c r="B1875" s="2" t="inlineStr">
        <is>
          <t>2022-04-19</t>
        </is>
      </c>
      <c r="C1875" s="2" t="inlineStr">
        <is>
          <t>沪金</t>
        </is>
      </c>
      <c r="D1875" s="2" t="inlineStr">
        <is>
          <t>AU</t>
        </is>
      </c>
      <c r="E1875" s="19" t="inlineStr">
        <is>
          <t>多</t>
        </is>
      </c>
      <c r="F1875" s="2" t="inlineStr">
        <is>
          <t>★★★</t>
        </is>
      </c>
      <c r="G1875" s="10" t="n">
        <v>2</v>
      </c>
      <c r="H1875" s="11" t="n">
        <v>405.82</v>
      </c>
      <c r="I1875" s="11" t="n">
        <v>405.1</v>
      </c>
      <c r="J1875" s="10" t="n">
        <v>1000</v>
      </c>
      <c r="K1875" s="10" t="n">
        <v>30000</v>
      </c>
      <c r="L1875" s="23">
        <f>IF(E1875="多",1,-1)*(I1875-H1875)*G1875*J1875</f>
        <v/>
      </c>
      <c r="M1875" s="24">
        <f>L1875/K1875</f>
        <v/>
      </c>
      <c r="N1875" s="2" t="inlineStr">
        <is>
          <t>将军撤退</t>
        </is>
      </c>
      <c r="O1875" s="2" t="inlineStr">
        <is>
          <t>否</t>
        </is>
      </c>
    </row>
    <row r="1876">
      <c r="A1876" s="14" t="inlineStr">
        <is>
          <t>2022-04-13</t>
        </is>
      </c>
      <c r="B1876" s="14" t="inlineStr">
        <is>
          <t>2022-04-15</t>
        </is>
      </c>
      <c r="C1876" s="14" t="inlineStr">
        <is>
          <t>纯碱</t>
        </is>
      </c>
      <c r="D1876" s="14" t="inlineStr">
        <is>
          <t>SA</t>
        </is>
      </c>
      <c r="E1876" s="14" t="inlineStr">
        <is>
          <t>多</t>
        </is>
      </c>
      <c r="F1876" s="14" t="inlineStr">
        <is>
          <t>★★</t>
        </is>
      </c>
      <c r="G1876" s="14" t="n">
        <v>1</v>
      </c>
      <c r="H1876" s="15" t="n">
        <v>3095</v>
      </c>
      <c r="I1876" s="15" t="n">
        <v>3135</v>
      </c>
      <c r="J1876" s="14" t="n">
        <v>20</v>
      </c>
      <c r="K1876" s="14" t="n">
        <v>10000</v>
      </c>
      <c r="L1876" s="25">
        <f>IF(E1876="多",1,-1)*(I1876-H1876)*G1876*J1876</f>
        <v/>
      </c>
      <c r="M1876" s="26">
        <f>L1876/K1876</f>
        <v/>
      </c>
      <c r="N1876" s="14" t="inlineStr">
        <is>
          <t>大将军转向</t>
        </is>
      </c>
      <c r="O1876" s="14" t="inlineStr">
        <is>
          <t>是</t>
        </is>
      </c>
    </row>
    <row r="1877">
      <c r="A1877" s="2" t="inlineStr">
        <is>
          <t>2022-03-11</t>
        </is>
      </c>
      <c r="B1877" s="2" t="inlineStr">
        <is>
          <t>2022-04-15</t>
        </is>
      </c>
      <c r="C1877" s="2" t="inlineStr">
        <is>
          <t>棕榈油</t>
        </is>
      </c>
      <c r="D1877" s="2" t="inlineStr">
        <is>
          <t>P</t>
        </is>
      </c>
      <c r="E1877" s="19" t="inlineStr">
        <is>
          <t>多</t>
        </is>
      </c>
      <c r="F1877" s="2" t="inlineStr">
        <is>
          <t>★★★</t>
        </is>
      </c>
      <c r="G1877" s="10" t="n">
        <v>1</v>
      </c>
      <c r="H1877" s="11" t="n">
        <v>10792</v>
      </c>
      <c r="I1877" s="11" t="n">
        <v>11238</v>
      </c>
      <c r="J1877" s="10" t="n">
        <v>10</v>
      </c>
      <c r="K1877" s="10" t="n">
        <v>30000</v>
      </c>
      <c r="L1877" s="23">
        <f>IF(E1877="多",1,-1)*(I1877-H1877)*G1877*J1877</f>
        <v/>
      </c>
      <c r="M1877" s="24">
        <f>L1877/K1877</f>
        <v/>
      </c>
      <c r="N1877" s="2" t="inlineStr">
        <is>
          <t>将军撤退</t>
        </is>
      </c>
      <c r="O1877" s="2" t="inlineStr">
        <is>
          <t>否</t>
        </is>
      </c>
    </row>
    <row r="1878">
      <c r="A1878" s="2" t="inlineStr">
        <is>
          <t>2022-04-11</t>
        </is>
      </c>
      <c r="B1878" s="2" t="inlineStr">
        <is>
          <t>2022-04-14</t>
        </is>
      </c>
      <c r="C1878" s="2" t="inlineStr">
        <is>
          <t>沪铝</t>
        </is>
      </c>
      <c r="D1878" s="2" t="inlineStr">
        <is>
          <t>AL</t>
        </is>
      </c>
      <c r="E1878" s="9" t="inlineStr">
        <is>
          <t>空</t>
        </is>
      </c>
      <c r="F1878" s="2" t="inlineStr">
        <is>
          <t>★★★</t>
        </is>
      </c>
      <c r="G1878" s="10" t="n">
        <v>4</v>
      </c>
      <c r="H1878" s="11" t="n">
        <v>20975</v>
      </c>
      <c r="I1878" s="11" t="n">
        <v>21440</v>
      </c>
      <c r="J1878" s="10" t="n">
        <v>5</v>
      </c>
      <c r="K1878" s="10" t="n">
        <v>30000</v>
      </c>
      <c r="L1878" s="23">
        <f>IF(E1878="多",1,-1)*(I1878-H1878)*G1878*J1878</f>
        <v/>
      </c>
      <c r="M1878" s="24">
        <f>L1878/K1878</f>
        <v/>
      </c>
      <c r="N1878" s="2" t="inlineStr">
        <is>
          <t>大将军转向</t>
        </is>
      </c>
      <c r="O1878" s="2" t="inlineStr">
        <is>
          <t>否</t>
        </is>
      </c>
    </row>
    <row r="1879">
      <c r="A1879" s="14" t="inlineStr">
        <is>
          <t>2022-04-06</t>
        </is>
      </c>
      <c r="B1879" s="14" t="inlineStr">
        <is>
          <t>2022-04-11</t>
        </is>
      </c>
      <c r="C1879" s="14" t="inlineStr">
        <is>
          <t>螺纹钢</t>
        </is>
      </c>
      <c r="D1879" s="14" t="inlineStr">
        <is>
          <t>RB</t>
        </is>
      </c>
      <c r="E1879" s="14" t="inlineStr">
        <is>
          <t>多</t>
        </is>
      </c>
      <c r="F1879" s="14" t="inlineStr">
        <is>
          <t>★★</t>
        </is>
      </c>
      <c r="G1879" s="14" t="n">
        <v>3</v>
      </c>
      <c r="H1879" s="15" t="n">
        <v>5122</v>
      </c>
      <c r="I1879" s="15" t="n">
        <v>4867</v>
      </c>
      <c r="J1879" s="14" t="n">
        <v>10</v>
      </c>
      <c r="K1879" s="14" t="n">
        <v>10000</v>
      </c>
      <c r="L1879" s="25">
        <f>IF(E1879="多",1,-1)*(I1879-H1879)*G1879*J1879</f>
        <v/>
      </c>
      <c r="M1879" s="26">
        <f>L1879/K1879</f>
        <v/>
      </c>
      <c r="N1879" s="14" t="inlineStr">
        <is>
          <t>反向信号</t>
        </is>
      </c>
      <c r="O1879" s="14" t="inlineStr">
        <is>
          <t>是</t>
        </is>
      </c>
    </row>
    <row r="1880">
      <c r="A1880" s="14" t="inlineStr">
        <is>
          <t>2022-04-07</t>
        </is>
      </c>
      <c r="B1880" s="14" t="inlineStr">
        <is>
          <t>2022-04-08</t>
        </is>
      </c>
      <c r="C1880" s="14" t="inlineStr">
        <is>
          <t>沪锌</t>
        </is>
      </c>
      <c r="D1880" s="14" t="inlineStr">
        <is>
          <t>ZN</t>
        </is>
      </c>
      <c r="E1880" s="14" t="inlineStr">
        <is>
          <t>多</t>
        </is>
      </c>
      <c r="F1880" s="14" t="inlineStr">
        <is>
          <t>★★</t>
        </is>
      </c>
      <c r="G1880" s="14" t="n">
        <v>1</v>
      </c>
      <c r="H1880" s="15" t="n">
        <v>27100</v>
      </c>
      <c r="I1880" s="15" t="n">
        <v>27150</v>
      </c>
      <c r="J1880" s="14" t="n">
        <v>5</v>
      </c>
      <c r="K1880" s="14" t="n">
        <v>10000</v>
      </c>
      <c r="L1880" s="25">
        <f>IF(E1880="多",1,-1)*(I1880-H1880)*G1880*J1880</f>
        <v/>
      </c>
      <c r="M1880" s="26">
        <f>L1880/K1880</f>
        <v/>
      </c>
      <c r="N1880" s="14" t="inlineStr">
        <is>
          <t>将军撤退</t>
        </is>
      </c>
      <c r="O1880" s="14" t="inlineStr">
        <is>
          <t>是</t>
        </is>
      </c>
    </row>
    <row r="1881">
      <c r="A1881" s="2" t="inlineStr">
        <is>
          <t>2022-04-07</t>
        </is>
      </c>
      <c r="B1881" s="2" t="inlineStr">
        <is>
          <t>2022-04-08</t>
        </is>
      </c>
      <c r="C1881" s="2" t="inlineStr">
        <is>
          <t>乙二醇</t>
        </is>
      </c>
      <c r="D1881" s="2" t="inlineStr">
        <is>
          <t>EG</t>
        </is>
      </c>
      <c r="E1881" s="9" t="inlineStr">
        <is>
          <t>空</t>
        </is>
      </c>
      <c r="F1881" s="2" t="inlineStr">
        <is>
          <t>★★★</t>
        </is>
      </c>
      <c r="G1881" s="10" t="n">
        <v>6</v>
      </c>
      <c r="H1881" s="11" t="n">
        <v>5067</v>
      </c>
      <c r="I1881" s="11" t="n">
        <v>5048</v>
      </c>
      <c r="J1881" s="10" t="n">
        <v>10</v>
      </c>
      <c r="K1881" s="10" t="n">
        <v>30000</v>
      </c>
      <c r="L1881" s="23">
        <f>IF(E1881="多",1,-1)*(I1881-H1881)*G1881*J1881</f>
        <v/>
      </c>
      <c r="M1881" s="24">
        <f>L1881/K1881</f>
        <v/>
      </c>
      <c r="N1881" s="2" t="inlineStr">
        <is>
          <t>大将军转向</t>
        </is>
      </c>
      <c r="O1881" s="2" t="inlineStr">
        <is>
          <t>否</t>
        </is>
      </c>
    </row>
    <row r="1882">
      <c r="A1882" s="14" t="inlineStr">
        <is>
          <t>2022-03-31</t>
        </is>
      </c>
      <c r="B1882" s="14" t="inlineStr">
        <is>
          <t>2022-04-08</t>
        </is>
      </c>
      <c r="C1882" s="14" t="inlineStr">
        <is>
          <t>沪铝</t>
        </is>
      </c>
      <c r="D1882" s="14" t="inlineStr">
        <is>
          <t>AL</t>
        </is>
      </c>
      <c r="E1882" s="14" t="inlineStr">
        <is>
          <t>空</t>
        </is>
      </c>
      <c r="F1882" s="14" t="inlineStr">
        <is>
          <t>★★</t>
        </is>
      </c>
      <c r="G1882" s="14" t="n">
        <v>1</v>
      </c>
      <c r="H1882" s="15" t="n">
        <v>22730</v>
      </c>
      <c r="I1882" s="15" t="n">
        <v>21825</v>
      </c>
      <c r="J1882" s="14" t="n">
        <v>5</v>
      </c>
      <c r="K1882" s="14" t="n">
        <v>10000</v>
      </c>
      <c r="L1882" s="25">
        <f>IF(E1882="多",1,-1)*(I1882-H1882)*G1882*J1882</f>
        <v/>
      </c>
      <c r="M1882" s="26">
        <f>L1882/K1882</f>
        <v/>
      </c>
      <c r="N1882" s="14" t="inlineStr">
        <is>
          <t>将军撤退</t>
        </is>
      </c>
      <c r="O1882" s="14" t="inlineStr">
        <is>
          <t>是</t>
        </is>
      </c>
    </row>
    <row r="1883">
      <c r="A1883" s="2" t="inlineStr">
        <is>
          <t>2022-03-30</t>
        </is>
      </c>
      <c r="B1883" s="2" t="inlineStr">
        <is>
          <t>2022-04-06</t>
        </is>
      </c>
      <c r="C1883" s="2" t="inlineStr">
        <is>
          <t>纯碱</t>
        </is>
      </c>
      <c r="D1883" s="2" t="inlineStr">
        <is>
          <t>SA</t>
        </is>
      </c>
      <c r="E1883" s="19" t="inlineStr">
        <is>
          <t>多</t>
        </is>
      </c>
      <c r="F1883" s="2" t="inlineStr">
        <is>
          <t>★★★</t>
        </is>
      </c>
      <c r="G1883" s="10" t="n">
        <v>1</v>
      </c>
      <c r="H1883" s="11" t="n">
        <v>3036</v>
      </c>
      <c r="I1883" s="11" t="n">
        <v>2941</v>
      </c>
      <c r="J1883" s="10" t="n">
        <v>20</v>
      </c>
      <c r="K1883" s="10" t="n">
        <v>10000</v>
      </c>
      <c r="L1883" s="23">
        <f>IF(E1883="多",1,-1)*(I1883-H1883)*G1883*J1883</f>
        <v/>
      </c>
      <c r="M1883" s="24">
        <f>L1883/K1883</f>
        <v/>
      </c>
      <c r="N1883" s="2" t="inlineStr">
        <is>
          <t>大将军转向</t>
        </is>
      </c>
      <c r="O1883" s="2" t="inlineStr">
        <is>
          <t>否</t>
        </is>
      </c>
    </row>
    <row r="1884">
      <c r="A1884" s="2" t="inlineStr">
        <is>
          <t>2022-03-25</t>
        </is>
      </c>
      <c r="B1884" s="2" t="inlineStr">
        <is>
          <t>2022-04-06</t>
        </is>
      </c>
      <c r="C1884" s="2" t="inlineStr">
        <is>
          <t>沪锌</t>
        </is>
      </c>
      <c r="D1884" s="2" t="inlineStr">
        <is>
          <t>ZN</t>
        </is>
      </c>
      <c r="E1884" s="19" t="inlineStr">
        <is>
          <t>多</t>
        </is>
      </c>
      <c r="F1884" s="2" t="inlineStr">
        <is>
          <t>★★★</t>
        </is>
      </c>
      <c r="G1884" s="10" t="n">
        <v>2</v>
      </c>
      <c r="H1884" s="11" t="n">
        <v>26290</v>
      </c>
      <c r="I1884" s="11" t="n">
        <v>27375</v>
      </c>
      <c r="J1884" s="10" t="n">
        <v>5</v>
      </c>
      <c r="K1884" s="10" t="n">
        <v>30000</v>
      </c>
      <c r="L1884" s="23">
        <f>IF(E1884="多",1,-1)*(I1884-H1884)*G1884*J1884</f>
        <v/>
      </c>
      <c r="M1884" s="24">
        <f>L1884/K1884</f>
        <v/>
      </c>
      <c r="N1884" s="2" t="inlineStr">
        <is>
          <t>大将军转向</t>
        </is>
      </c>
      <c r="O1884" s="2" t="inlineStr">
        <is>
          <t>否</t>
        </is>
      </c>
    </row>
    <row r="1885">
      <c r="A1885" s="2" t="inlineStr">
        <is>
          <t>2022-03-17</t>
        </is>
      </c>
      <c r="B1885" s="2" t="inlineStr">
        <is>
          <t>2022-04-06</t>
        </is>
      </c>
      <c r="C1885" s="2" t="inlineStr">
        <is>
          <t>沪银</t>
        </is>
      </c>
      <c r="D1885" s="2" t="inlineStr">
        <is>
          <t>AG</t>
        </is>
      </c>
      <c r="E1885" s="19" t="inlineStr">
        <is>
          <t>多</t>
        </is>
      </c>
      <c r="F1885" s="2" t="inlineStr">
        <is>
          <t>★★★</t>
        </is>
      </c>
      <c r="G1885" s="10" t="n">
        <v>4</v>
      </c>
      <c r="H1885" s="11" t="n">
        <v>5118</v>
      </c>
      <c r="I1885" s="11" t="n">
        <v>4944</v>
      </c>
      <c r="J1885" s="10" t="n">
        <v>15</v>
      </c>
      <c r="K1885" s="10" t="n">
        <v>30000</v>
      </c>
      <c r="L1885" s="23">
        <f>IF(E1885="多",1,-1)*(I1885-H1885)*G1885*J1885</f>
        <v/>
      </c>
      <c r="M1885" s="24">
        <f>L1885/K1885</f>
        <v/>
      </c>
      <c r="N1885" s="2" t="inlineStr">
        <is>
          <t>跳空止损</t>
        </is>
      </c>
      <c r="O1885" s="2" t="inlineStr">
        <is>
          <t>否</t>
        </is>
      </c>
    </row>
    <row r="1886">
      <c r="A1886" s="14" t="inlineStr">
        <is>
          <t>2022-03-23</t>
        </is>
      </c>
      <c r="B1886" s="14" t="inlineStr">
        <is>
          <t>2022-04-01</t>
        </is>
      </c>
      <c r="C1886" s="14" t="inlineStr">
        <is>
          <t>聚丙烯</t>
        </is>
      </c>
      <c r="D1886" s="14" t="inlineStr">
        <is>
          <t>PP</t>
        </is>
      </c>
      <c r="E1886" s="14" t="inlineStr">
        <is>
          <t>多</t>
        </is>
      </c>
      <c r="F1886" s="14" t="inlineStr">
        <is>
          <t>★★</t>
        </is>
      </c>
      <c r="G1886" s="14" t="n">
        <v>2</v>
      </c>
      <c r="H1886" s="15" t="n">
        <v>8995</v>
      </c>
      <c r="I1886" s="15" t="n">
        <v>8805</v>
      </c>
      <c r="J1886" s="14" t="n">
        <v>5</v>
      </c>
      <c r="K1886" s="14" t="n">
        <v>10000</v>
      </c>
      <c r="L1886" s="25">
        <f>IF(E1886="多",1,-1)*(I1886-H1886)*G1886*J1886</f>
        <v/>
      </c>
      <c r="M1886" s="26">
        <f>L1886/K1886</f>
        <v/>
      </c>
      <c r="N1886" s="14" t="inlineStr">
        <is>
          <t>大将军转向</t>
        </is>
      </c>
      <c r="O1886" s="14" t="inlineStr">
        <is>
          <t>是</t>
        </is>
      </c>
    </row>
    <row r="1887">
      <c r="A1887" s="14" t="inlineStr">
        <is>
          <t>2022-03-29</t>
        </is>
      </c>
      <c r="B1887" s="14" t="inlineStr">
        <is>
          <t>2022-03-31</t>
        </is>
      </c>
      <c r="C1887" s="14" t="inlineStr">
        <is>
          <t>PVC</t>
        </is>
      </c>
      <c r="D1887" s="14" t="inlineStr">
        <is>
          <t>V</t>
        </is>
      </c>
      <c r="E1887" s="14" t="inlineStr">
        <is>
          <t>多</t>
        </is>
      </c>
      <c r="F1887" s="14" t="inlineStr">
        <is>
          <t>★★</t>
        </is>
      </c>
      <c r="G1887" s="14" t="n">
        <v>2</v>
      </c>
      <c r="H1887" s="15" t="n">
        <v>9166</v>
      </c>
      <c r="I1887" s="15" t="n">
        <v>9242</v>
      </c>
      <c r="J1887" s="14" t="n">
        <v>5</v>
      </c>
      <c r="K1887" s="14" t="n">
        <v>10000</v>
      </c>
      <c r="L1887" s="25">
        <f>IF(E1887="多",1,-1)*(I1887-H1887)*G1887*J1887</f>
        <v/>
      </c>
      <c r="M1887" s="26">
        <f>L1887/K1887</f>
        <v/>
      </c>
      <c r="N1887" s="14" t="inlineStr">
        <is>
          <t>将军撤退</t>
        </is>
      </c>
      <c r="O1887" s="14" t="inlineStr">
        <is>
          <t>是</t>
        </is>
      </c>
    </row>
    <row r="1888">
      <c r="A1888" s="14" t="inlineStr">
        <is>
          <t>2022-03-22</t>
        </is>
      </c>
      <c r="B1888" s="14" t="inlineStr">
        <is>
          <t>2022-03-30</t>
        </is>
      </c>
      <c r="C1888" s="14" t="inlineStr">
        <is>
          <t>豆粕</t>
        </is>
      </c>
      <c r="D1888" s="14" t="inlineStr">
        <is>
          <t>M</t>
        </is>
      </c>
      <c r="E1888" s="14" t="inlineStr">
        <is>
          <t>多</t>
        </is>
      </c>
      <c r="F1888" s="14" t="inlineStr">
        <is>
          <t>★★★</t>
        </is>
      </c>
      <c r="G1888" s="14" t="n">
        <v>2</v>
      </c>
      <c r="H1888" s="15" t="n">
        <v>4212</v>
      </c>
      <c r="I1888" s="15" t="n">
        <v>3987.07</v>
      </c>
      <c r="J1888" s="14" t="n">
        <v>10</v>
      </c>
      <c r="K1888" s="14" t="n">
        <v>10000</v>
      </c>
      <c r="L1888" s="25">
        <f>IF(E1888="多",1,-1)*(I1888-H1888)*G1888*J1888</f>
        <v/>
      </c>
      <c r="M1888" s="26">
        <f>L1888/K1888</f>
        <v/>
      </c>
      <c r="N1888" s="14" t="inlineStr">
        <is>
          <t>止损</t>
        </is>
      </c>
      <c r="O1888" s="14" t="inlineStr">
        <is>
          <t>是</t>
        </is>
      </c>
    </row>
    <row r="1889">
      <c r="A1889" s="14" t="inlineStr">
        <is>
          <t>2022-03-28</t>
        </is>
      </c>
      <c r="B1889" s="14" t="inlineStr">
        <is>
          <t>2022-03-29</t>
        </is>
      </c>
      <c r="C1889" s="14" t="inlineStr">
        <is>
          <t>棉花</t>
        </is>
      </c>
      <c r="D1889" s="14" t="inlineStr">
        <is>
          <t>CF</t>
        </is>
      </c>
      <c r="E1889" s="14" t="inlineStr">
        <is>
          <t>多</t>
        </is>
      </c>
      <c r="F1889" s="14" t="inlineStr">
        <is>
          <t>★★</t>
        </is>
      </c>
      <c r="G1889" s="14" t="n">
        <v>2</v>
      </c>
      <c r="H1889" s="15" t="n">
        <v>21845</v>
      </c>
      <c r="I1889" s="15" t="n">
        <v>21740</v>
      </c>
      <c r="J1889" s="14" t="n">
        <v>5</v>
      </c>
      <c r="K1889" s="14" t="n">
        <v>10000</v>
      </c>
      <c r="L1889" s="25">
        <f>IF(E1889="多",1,-1)*(I1889-H1889)*G1889*J1889</f>
        <v/>
      </c>
      <c r="M1889" s="26">
        <f>L1889/K1889</f>
        <v/>
      </c>
      <c r="N1889" s="14" t="inlineStr">
        <is>
          <t>大将军转向</t>
        </is>
      </c>
      <c r="O1889" s="14" t="inlineStr">
        <is>
          <t>是</t>
        </is>
      </c>
    </row>
    <row r="1890">
      <c r="A1890" s="14" t="inlineStr">
        <is>
          <t>2022-03-24</t>
        </is>
      </c>
      <c r="B1890" s="14" t="inlineStr">
        <is>
          <t>2022-03-28</t>
        </is>
      </c>
      <c r="C1890" s="14" t="inlineStr">
        <is>
          <t>PVC</t>
        </is>
      </c>
      <c r="D1890" s="14" t="inlineStr">
        <is>
          <t>V</t>
        </is>
      </c>
      <c r="E1890" s="14" t="inlineStr">
        <is>
          <t>多</t>
        </is>
      </c>
      <c r="F1890" s="14" t="inlineStr">
        <is>
          <t>★★</t>
        </is>
      </c>
      <c r="G1890" s="14" t="n">
        <v>2</v>
      </c>
      <c r="H1890" s="15" t="n">
        <v>9060</v>
      </c>
      <c r="I1890" s="15" t="n">
        <v>9248</v>
      </c>
      <c r="J1890" s="14" t="n">
        <v>5</v>
      </c>
      <c r="K1890" s="14" t="n">
        <v>10000</v>
      </c>
      <c r="L1890" s="25">
        <f>IF(E1890="多",1,-1)*(I1890-H1890)*G1890*J1890</f>
        <v/>
      </c>
      <c r="M1890" s="26">
        <f>L1890/K1890</f>
        <v/>
      </c>
      <c r="N1890" s="14" t="inlineStr">
        <is>
          <t>大将军转向</t>
        </is>
      </c>
      <c r="O1890" s="14" t="inlineStr">
        <is>
          <t>是</t>
        </is>
      </c>
    </row>
    <row r="1891">
      <c r="A1891" s="2" t="inlineStr">
        <is>
          <t>2022-03-18</t>
        </is>
      </c>
      <c r="B1891" s="2" t="inlineStr">
        <is>
          <t>2022-03-28</t>
        </is>
      </c>
      <c r="C1891" s="2" t="inlineStr">
        <is>
          <t>塑料</t>
        </is>
      </c>
      <c r="D1891" s="2" t="inlineStr">
        <is>
          <t>L</t>
        </is>
      </c>
      <c r="E1891" s="19" t="inlineStr">
        <is>
          <t>多</t>
        </is>
      </c>
      <c r="F1891" s="2" t="inlineStr">
        <is>
          <t>★★★</t>
        </is>
      </c>
      <c r="G1891" s="10" t="n">
        <v>2</v>
      </c>
      <c r="H1891" s="11" t="n">
        <v>8980</v>
      </c>
      <c r="I1891" s="11" t="n">
        <v>9219</v>
      </c>
      <c r="J1891" s="10" t="n">
        <v>5</v>
      </c>
      <c r="K1891" s="10" t="n">
        <v>10000</v>
      </c>
      <c r="L1891" s="23">
        <f>IF(E1891="多",1,-1)*(I1891-H1891)*G1891*J1891</f>
        <v/>
      </c>
      <c r="M1891" s="24">
        <f>L1891/K1891</f>
        <v/>
      </c>
      <c r="N1891" s="2" t="inlineStr">
        <is>
          <t>将军撤退</t>
        </is>
      </c>
      <c r="O1891" s="2" t="inlineStr">
        <is>
          <t>否</t>
        </is>
      </c>
    </row>
    <row r="1892">
      <c r="A1892" s="2" t="inlineStr">
        <is>
          <t>2022-03-18</t>
        </is>
      </c>
      <c r="B1892" s="2" t="inlineStr">
        <is>
          <t>2022-03-25</t>
        </is>
      </c>
      <c r="C1892" s="2" t="inlineStr">
        <is>
          <t>菜粕</t>
        </is>
      </c>
      <c r="D1892" s="2" t="inlineStr">
        <is>
          <t>RM</t>
        </is>
      </c>
      <c r="E1892" s="19" t="inlineStr">
        <is>
          <t>多</t>
        </is>
      </c>
      <c r="F1892" s="2" t="inlineStr">
        <is>
          <t>★★★</t>
        </is>
      </c>
      <c r="G1892" s="10" t="n">
        <v>5</v>
      </c>
      <c r="H1892" s="11" t="n">
        <v>4065</v>
      </c>
      <c r="I1892" s="11" t="n">
        <v>4210</v>
      </c>
      <c r="J1892" s="10" t="n">
        <v>10</v>
      </c>
      <c r="K1892" s="10" t="n">
        <v>30000</v>
      </c>
      <c r="L1892" s="23">
        <f>IF(E1892="多",1,-1)*(I1892-H1892)*G1892*J1892</f>
        <v/>
      </c>
      <c r="M1892" s="24">
        <f>L1892/K1892</f>
        <v/>
      </c>
      <c r="N1892" s="2" t="inlineStr">
        <is>
          <t>将军撤退</t>
        </is>
      </c>
      <c r="O1892" s="2" t="inlineStr">
        <is>
          <t>否</t>
        </is>
      </c>
    </row>
    <row r="1893">
      <c r="A1893" s="14" t="inlineStr">
        <is>
          <t>2022-03-22</t>
        </is>
      </c>
      <c r="B1893" s="14" t="inlineStr">
        <is>
          <t>2022-03-23</t>
        </is>
      </c>
      <c r="C1893" s="14" t="inlineStr">
        <is>
          <t>乙二醇</t>
        </is>
      </c>
      <c r="D1893" s="14" t="inlineStr">
        <is>
          <t>EG</t>
        </is>
      </c>
      <c r="E1893" s="14" t="inlineStr">
        <is>
          <t>空</t>
        </is>
      </c>
      <c r="F1893" s="14" t="inlineStr">
        <is>
          <t>★★</t>
        </is>
      </c>
      <c r="G1893" s="14" t="n">
        <v>1</v>
      </c>
      <c r="H1893" s="15" t="n">
        <v>5168</v>
      </c>
      <c r="I1893" s="15" t="n">
        <v>5153</v>
      </c>
      <c r="J1893" s="14" t="n">
        <v>10</v>
      </c>
      <c r="K1893" s="14" t="n">
        <v>10000</v>
      </c>
      <c r="L1893" s="25">
        <f>IF(E1893="多",1,-1)*(I1893-H1893)*G1893*J1893</f>
        <v/>
      </c>
      <c r="M1893" s="26">
        <f>L1893/K1893</f>
        <v/>
      </c>
      <c r="N1893" s="14" t="inlineStr">
        <is>
          <t>大将军转向</t>
        </is>
      </c>
      <c r="O1893" s="14" t="inlineStr">
        <is>
          <t>是</t>
        </is>
      </c>
    </row>
    <row r="1894">
      <c r="A1894" s="14" t="inlineStr">
        <is>
          <t>2022-03-21</t>
        </is>
      </c>
      <c r="B1894" s="14" t="inlineStr">
        <is>
          <t>2022-03-22</t>
        </is>
      </c>
      <c r="C1894" s="14" t="inlineStr">
        <is>
          <t>玉米</t>
        </is>
      </c>
      <c r="D1894" s="14" t="inlineStr">
        <is>
          <t>C</t>
        </is>
      </c>
      <c r="E1894" s="14" t="inlineStr">
        <is>
          <t>多</t>
        </is>
      </c>
      <c r="F1894" s="14" t="inlineStr">
        <is>
          <t>★★</t>
        </is>
      </c>
      <c r="G1894" s="14" t="n">
        <v>8</v>
      </c>
      <c r="H1894" s="15" t="n">
        <v>2885</v>
      </c>
      <c r="I1894" s="15" t="n">
        <v>2896</v>
      </c>
      <c r="J1894" s="14" t="n">
        <v>10</v>
      </c>
      <c r="K1894" s="14" t="n">
        <v>10000</v>
      </c>
      <c r="L1894" s="25">
        <f>IF(E1894="多",1,-1)*(I1894-H1894)*G1894*J1894</f>
        <v/>
      </c>
      <c r="M1894" s="26">
        <f>L1894/K1894</f>
        <v/>
      </c>
      <c r="N1894" s="14" t="inlineStr">
        <is>
          <t>大将军转向</t>
        </is>
      </c>
      <c r="O1894" s="14" t="inlineStr">
        <is>
          <t>是</t>
        </is>
      </c>
    </row>
    <row r="1895">
      <c r="A1895" s="14" t="inlineStr">
        <is>
          <t>2022-03-17</t>
        </is>
      </c>
      <c r="B1895" s="14" t="inlineStr">
        <is>
          <t>2022-03-21</t>
        </is>
      </c>
      <c r="C1895" s="14" t="inlineStr">
        <is>
          <t>玻璃</t>
        </is>
      </c>
      <c r="D1895" s="14" t="inlineStr">
        <is>
          <t>FG</t>
        </is>
      </c>
      <c r="E1895" s="14" t="inlineStr">
        <is>
          <t>空</t>
        </is>
      </c>
      <c r="F1895" s="14" t="inlineStr">
        <is>
          <t>★★</t>
        </is>
      </c>
      <c r="G1895" s="14" t="n">
        <v>1</v>
      </c>
      <c r="H1895" s="15" t="n">
        <v>1979</v>
      </c>
      <c r="I1895" s="15" t="n">
        <v>1924</v>
      </c>
      <c r="J1895" s="14" t="n">
        <v>20</v>
      </c>
      <c r="K1895" s="14" t="n">
        <v>10000</v>
      </c>
      <c r="L1895" s="25">
        <f>IF(E1895="多",1,-1)*(I1895-H1895)*G1895*J1895</f>
        <v/>
      </c>
      <c r="M1895" s="26">
        <f>L1895/K1895</f>
        <v/>
      </c>
      <c r="N1895" s="14" t="inlineStr">
        <is>
          <t>将军撤退+大将军转向</t>
        </is>
      </c>
      <c r="O1895" s="14" t="inlineStr">
        <is>
          <t>是</t>
        </is>
      </c>
    </row>
    <row r="1896">
      <c r="A1896" s="2" t="inlineStr">
        <is>
          <t>2022-03-16</t>
        </is>
      </c>
      <c r="B1896" s="2" t="inlineStr">
        <is>
          <t>2022-03-17</t>
        </is>
      </c>
      <c r="C1896" s="2" t="inlineStr">
        <is>
          <t>螺纹钢</t>
        </is>
      </c>
      <c r="D1896" s="2" t="inlineStr">
        <is>
          <t>RB</t>
        </is>
      </c>
      <c r="E1896" s="19" t="inlineStr">
        <is>
          <t>多</t>
        </is>
      </c>
      <c r="F1896" s="2" t="inlineStr">
        <is>
          <t>★★★</t>
        </is>
      </c>
      <c r="G1896" s="10" t="n">
        <v>6</v>
      </c>
      <c r="H1896" s="11" t="n">
        <v>4920</v>
      </c>
      <c r="I1896" s="11" t="n">
        <v>4902</v>
      </c>
      <c r="J1896" s="10" t="n">
        <v>10</v>
      </c>
      <c r="K1896" s="10" t="n">
        <v>30000</v>
      </c>
      <c r="L1896" s="23">
        <f>IF(E1896="多",1,-1)*(I1896-H1896)*G1896*J1896</f>
        <v/>
      </c>
      <c r="M1896" s="24">
        <f>L1896/K1896</f>
        <v/>
      </c>
      <c r="N1896" s="2" t="inlineStr">
        <is>
          <t>大将军转向</t>
        </is>
      </c>
      <c r="O1896" s="2" t="inlineStr">
        <is>
          <t>否</t>
        </is>
      </c>
    </row>
    <row r="1897">
      <c r="A1897" s="2" t="inlineStr">
        <is>
          <t>2022-03-14</t>
        </is>
      </c>
      <c r="B1897" s="2" t="inlineStr">
        <is>
          <t>2022-03-17</t>
        </is>
      </c>
      <c r="C1897" s="2" t="inlineStr">
        <is>
          <t>豆粕</t>
        </is>
      </c>
      <c r="D1897" s="2" t="inlineStr">
        <is>
          <t>M</t>
        </is>
      </c>
      <c r="E1897" s="19" t="inlineStr">
        <is>
          <t>多</t>
        </is>
      </c>
      <c r="F1897" s="2" t="inlineStr">
        <is>
          <t>★★★</t>
        </is>
      </c>
      <c r="G1897" s="10" t="n">
        <v>6</v>
      </c>
      <c r="H1897" s="11" t="n">
        <v>4190</v>
      </c>
      <c r="I1897" s="11" t="n">
        <v>4176</v>
      </c>
      <c r="J1897" s="10" t="n">
        <v>10</v>
      </c>
      <c r="K1897" s="10" t="n">
        <v>30000</v>
      </c>
      <c r="L1897" s="23">
        <f>IF(E1897="多",1,-1)*(I1897-H1897)*G1897*J1897</f>
        <v/>
      </c>
      <c r="M1897" s="24">
        <f>L1897/K1897</f>
        <v/>
      </c>
      <c r="N1897" s="2" t="inlineStr">
        <is>
          <t>大将军转向</t>
        </is>
      </c>
      <c r="O1897" s="2" t="inlineStr">
        <is>
          <t>否</t>
        </is>
      </c>
    </row>
    <row r="1898">
      <c r="A1898" s="14" t="inlineStr">
        <is>
          <t>2022-03-14</t>
        </is>
      </c>
      <c r="B1898" s="14" t="inlineStr">
        <is>
          <t>2022-03-15</t>
        </is>
      </c>
      <c r="C1898" s="14" t="inlineStr">
        <is>
          <t>玻璃</t>
        </is>
      </c>
      <c r="D1898" s="14" t="inlineStr">
        <is>
          <t>FG</t>
        </is>
      </c>
      <c r="E1898" s="14" t="inlineStr">
        <is>
          <t>空</t>
        </is>
      </c>
      <c r="F1898" s="14" t="inlineStr">
        <is>
          <t>★★</t>
        </is>
      </c>
      <c r="G1898" s="14" t="n">
        <v>1</v>
      </c>
      <c r="H1898" s="15" t="n">
        <v>1940</v>
      </c>
      <c r="I1898" s="15" t="n">
        <v>1911</v>
      </c>
      <c r="J1898" s="14" t="n">
        <v>20</v>
      </c>
      <c r="K1898" s="14" t="n">
        <v>10000</v>
      </c>
      <c r="L1898" s="25">
        <f>IF(E1898="多",1,-1)*(I1898-H1898)*G1898*J1898</f>
        <v/>
      </c>
      <c r="M1898" s="26">
        <f>L1898/K1898</f>
        <v/>
      </c>
      <c r="N1898" s="14" t="inlineStr">
        <is>
          <t>大将军转向</t>
        </is>
      </c>
      <c r="O1898" s="14" t="inlineStr">
        <is>
          <t>是</t>
        </is>
      </c>
    </row>
    <row r="1899">
      <c r="A1899" s="14" t="inlineStr">
        <is>
          <t>2022-03-10</t>
        </is>
      </c>
      <c r="B1899" s="14" t="inlineStr">
        <is>
          <t>2022-03-15</t>
        </is>
      </c>
      <c r="C1899" s="14" t="inlineStr">
        <is>
          <t>白糖</t>
        </is>
      </c>
      <c r="D1899" s="14" t="inlineStr">
        <is>
          <t>SR</t>
        </is>
      </c>
      <c r="E1899" s="14" t="inlineStr">
        <is>
          <t>空</t>
        </is>
      </c>
      <c r="F1899" s="14" t="inlineStr">
        <is>
          <t>★★</t>
        </is>
      </c>
      <c r="G1899" s="14" t="n">
        <v>4</v>
      </c>
      <c r="H1899" s="15" t="n">
        <v>5872</v>
      </c>
      <c r="I1899" s="15" t="n">
        <v>5785</v>
      </c>
      <c r="J1899" s="14" t="n">
        <v>10</v>
      </c>
      <c r="K1899" s="14" t="n">
        <v>10000</v>
      </c>
      <c r="L1899" s="25">
        <f>IF(E1899="多",1,-1)*(I1899-H1899)*G1899*J1899</f>
        <v/>
      </c>
      <c r="M1899" s="26">
        <f>L1899/K1899</f>
        <v/>
      </c>
      <c r="N1899" s="14" t="inlineStr">
        <is>
          <t>将军撤退+大将军转向</t>
        </is>
      </c>
      <c r="O1899" s="14" t="inlineStr">
        <is>
          <t>是</t>
        </is>
      </c>
    </row>
    <row r="1900">
      <c r="A1900" s="14" t="inlineStr">
        <is>
          <t>2022-03-10</t>
        </is>
      </c>
      <c r="B1900" s="14" t="inlineStr">
        <is>
          <t>2022-03-15</t>
        </is>
      </c>
      <c r="C1900" s="14" t="inlineStr">
        <is>
          <t>热卷</t>
        </is>
      </c>
      <c r="D1900" s="14" t="inlineStr">
        <is>
          <t>HC</t>
        </is>
      </c>
      <c r="E1900" s="14" t="inlineStr">
        <is>
          <t>空</t>
        </is>
      </c>
      <c r="F1900" s="14" t="inlineStr">
        <is>
          <t>★★★</t>
        </is>
      </c>
      <c r="G1900" s="14" t="n">
        <v>2</v>
      </c>
      <c r="H1900" s="15" t="n">
        <v>5122</v>
      </c>
      <c r="I1900" s="15" t="n">
        <v>4932</v>
      </c>
      <c r="J1900" s="14" t="n">
        <v>10</v>
      </c>
      <c r="K1900" s="14" t="n">
        <v>10000</v>
      </c>
      <c r="L1900" s="25">
        <f>IF(E1900="多",1,-1)*(I1900-H1900)*G1900*J1900</f>
        <v/>
      </c>
      <c r="M1900" s="26">
        <f>L1900/K1900</f>
        <v/>
      </c>
      <c r="N1900" s="14" t="inlineStr">
        <is>
          <t>将军撤退</t>
        </is>
      </c>
      <c r="O1900" s="14" t="inlineStr">
        <is>
          <t>是</t>
        </is>
      </c>
    </row>
    <row r="1901">
      <c r="A1901" s="14" t="inlineStr">
        <is>
          <t>2022-03-03</t>
        </is>
      </c>
      <c r="B1901" s="14" t="inlineStr">
        <is>
          <t>2022-03-15</t>
        </is>
      </c>
      <c r="C1901" s="14" t="inlineStr">
        <is>
          <t>PTA</t>
        </is>
      </c>
      <c r="D1901" s="14" t="inlineStr">
        <is>
          <t>TA</t>
        </is>
      </c>
      <c r="E1901" s="14" t="inlineStr">
        <is>
          <t>多</t>
        </is>
      </c>
      <c r="F1901" s="14" t="inlineStr">
        <is>
          <t>★★</t>
        </is>
      </c>
      <c r="G1901" s="14" t="n">
        <v>2</v>
      </c>
      <c r="H1901" s="15" t="n">
        <v>6220</v>
      </c>
      <c r="I1901" s="15" t="n">
        <v>5791.86</v>
      </c>
      <c r="J1901" s="14" t="n">
        <v>5</v>
      </c>
      <c r="K1901" s="14" t="n">
        <v>10000</v>
      </c>
      <c r="L1901" s="25">
        <f>IF(E1901="多",1,-1)*(I1901-H1901)*G1901*J1901</f>
        <v/>
      </c>
      <c r="M1901" s="26">
        <f>L1901/K1901</f>
        <v/>
      </c>
      <c r="N1901" s="14" t="inlineStr">
        <is>
          <t>止损</t>
        </is>
      </c>
      <c r="O1901" s="14" t="inlineStr">
        <is>
          <t>是</t>
        </is>
      </c>
    </row>
    <row r="1902">
      <c r="A1902" s="14" t="inlineStr">
        <is>
          <t>2022-03-07</t>
        </is>
      </c>
      <c r="B1902" s="14" t="inlineStr">
        <is>
          <t>2022-03-14</t>
        </is>
      </c>
      <c r="C1902" s="14" t="inlineStr">
        <is>
          <t>螺纹钢</t>
        </is>
      </c>
      <c r="D1902" s="14" t="inlineStr">
        <is>
          <t>RB</t>
        </is>
      </c>
      <c r="E1902" s="14" t="inlineStr">
        <is>
          <t>多</t>
        </is>
      </c>
      <c r="F1902" s="14" t="inlineStr">
        <is>
          <t>★★</t>
        </is>
      </c>
      <c r="G1902" s="14" t="n">
        <v>2</v>
      </c>
      <c r="H1902" s="15" t="n">
        <v>5094</v>
      </c>
      <c r="I1902" s="15" t="n">
        <v>4702.5</v>
      </c>
      <c r="J1902" s="14" t="n">
        <v>10</v>
      </c>
      <c r="K1902" s="14" t="n">
        <v>10000</v>
      </c>
      <c r="L1902" s="25">
        <f>IF(E1902="多",1,-1)*(I1902-H1902)*G1902*J1902</f>
        <v/>
      </c>
      <c r="M1902" s="26">
        <f>L1902/K1902</f>
        <v/>
      </c>
      <c r="N1902" s="14" t="inlineStr">
        <is>
          <t>止损</t>
        </is>
      </c>
      <c r="O1902" s="14" t="inlineStr">
        <is>
          <t>是</t>
        </is>
      </c>
    </row>
    <row r="1903">
      <c r="A1903" s="14" t="inlineStr">
        <is>
          <t>2022-03-08</t>
        </is>
      </c>
      <c r="B1903" s="14" t="inlineStr">
        <is>
          <t>2022-03-10</t>
        </is>
      </c>
      <c r="C1903" s="14" t="inlineStr">
        <is>
          <t>豆粕</t>
        </is>
      </c>
      <c r="D1903" s="14" t="inlineStr">
        <is>
          <t>M</t>
        </is>
      </c>
      <c r="E1903" s="14" t="inlineStr">
        <is>
          <t>多</t>
        </is>
      </c>
      <c r="F1903" s="14" t="inlineStr">
        <is>
          <t>★★★</t>
        </is>
      </c>
      <c r="G1903" s="14" t="n">
        <v>2</v>
      </c>
      <c r="H1903" s="15" t="n">
        <v>4110</v>
      </c>
      <c r="I1903" s="15" t="n">
        <v>4130</v>
      </c>
      <c r="J1903" s="14" t="n">
        <v>10</v>
      </c>
      <c r="K1903" s="14" t="n">
        <v>10000</v>
      </c>
      <c r="L1903" s="25">
        <f>IF(E1903="多",1,-1)*(I1903-H1903)*G1903*J1903</f>
        <v/>
      </c>
      <c r="M1903" s="26">
        <f>L1903/K1903</f>
        <v/>
      </c>
      <c r="N1903" s="14" t="inlineStr">
        <is>
          <t>将军撤退</t>
        </is>
      </c>
      <c r="O1903" s="14" t="inlineStr">
        <is>
          <t>是</t>
        </is>
      </c>
    </row>
    <row r="1904">
      <c r="A1904" s="14" t="inlineStr">
        <is>
          <t>2022-03-08</t>
        </is>
      </c>
      <c r="B1904" s="14" t="inlineStr">
        <is>
          <t>2022-03-09</t>
        </is>
      </c>
      <c r="C1904" s="14" t="inlineStr">
        <is>
          <t>沥青</t>
        </is>
      </c>
      <c r="D1904" s="14" t="inlineStr">
        <is>
          <t>BU</t>
        </is>
      </c>
      <c r="E1904" s="14" t="inlineStr">
        <is>
          <t>多</t>
        </is>
      </c>
      <c r="F1904" s="14" t="inlineStr">
        <is>
          <t>★★</t>
        </is>
      </c>
      <c r="G1904" s="14" t="n">
        <v>1</v>
      </c>
      <c r="H1904" s="15" t="n">
        <v>4250</v>
      </c>
      <c r="I1904" s="15" t="n">
        <v>4408</v>
      </c>
      <c r="J1904" s="14" t="n">
        <v>10</v>
      </c>
      <c r="K1904" s="14" t="n">
        <v>10000</v>
      </c>
      <c r="L1904" s="25">
        <f>IF(E1904="多",1,-1)*(I1904-H1904)*G1904*J1904</f>
        <v/>
      </c>
      <c r="M1904" s="26">
        <f>L1904/K1904</f>
        <v/>
      </c>
      <c r="N1904" s="14" t="inlineStr">
        <is>
          <t>将军撤退+大将军转向</t>
        </is>
      </c>
      <c r="O1904" s="14" t="inlineStr">
        <is>
          <t>是</t>
        </is>
      </c>
    </row>
    <row r="1905">
      <c r="A1905" s="2" t="inlineStr">
        <is>
          <t>2022-03-03</t>
        </is>
      </c>
      <c r="B1905" s="2" t="inlineStr">
        <is>
          <t>2022-03-09</t>
        </is>
      </c>
      <c r="C1905" s="2" t="inlineStr">
        <is>
          <t>玻璃</t>
        </is>
      </c>
      <c r="D1905" s="2" t="inlineStr">
        <is>
          <t>FG</t>
        </is>
      </c>
      <c r="E1905" s="9" t="inlineStr">
        <is>
          <t>空</t>
        </is>
      </c>
      <c r="F1905" s="2" t="inlineStr">
        <is>
          <t>★★★</t>
        </is>
      </c>
      <c r="G1905" s="10" t="n">
        <v>5</v>
      </c>
      <c r="H1905" s="11" t="n">
        <v>1910</v>
      </c>
      <c r="I1905" s="11" t="n">
        <v>1878</v>
      </c>
      <c r="J1905" s="10" t="n">
        <v>20</v>
      </c>
      <c r="K1905" s="10" t="n">
        <v>30000</v>
      </c>
      <c r="L1905" s="23">
        <f>IF(E1905="多",1,-1)*(I1905-H1905)*G1905*J1905</f>
        <v/>
      </c>
      <c r="M1905" s="24">
        <f>L1905/K1905</f>
        <v/>
      </c>
      <c r="N1905" s="2" t="inlineStr">
        <is>
          <t>将军撤退</t>
        </is>
      </c>
      <c r="O1905" s="2" t="inlineStr">
        <is>
          <t>否</t>
        </is>
      </c>
    </row>
    <row r="1906">
      <c r="A1906" s="14" t="inlineStr">
        <is>
          <t>2022-03-03</t>
        </is>
      </c>
      <c r="B1906" s="14" t="inlineStr">
        <is>
          <t>2022-03-09</t>
        </is>
      </c>
      <c r="C1906" s="14" t="inlineStr">
        <is>
          <t>玉米</t>
        </is>
      </c>
      <c r="D1906" s="14" t="inlineStr">
        <is>
          <t>C</t>
        </is>
      </c>
      <c r="E1906" s="14" t="inlineStr">
        <is>
          <t>多</t>
        </is>
      </c>
      <c r="F1906" s="14" t="inlineStr">
        <is>
          <t>★★★</t>
        </is>
      </c>
      <c r="G1906" s="14" t="n">
        <v>9</v>
      </c>
      <c r="H1906" s="15" t="n">
        <v>2893</v>
      </c>
      <c r="I1906" s="15" t="n">
        <v>2888</v>
      </c>
      <c r="J1906" s="14" t="n">
        <v>10</v>
      </c>
      <c r="K1906" s="14" t="n">
        <v>10000</v>
      </c>
      <c r="L1906" s="25">
        <f>IF(E1906="多",1,-1)*(I1906-H1906)*G1906*J1906</f>
        <v/>
      </c>
      <c r="M1906" s="26">
        <f>L1906/K1906</f>
        <v/>
      </c>
      <c r="N1906" s="14" t="inlineStr">
        <is>
          <t>将军撤退</t>
        </is>
      </c>
      <c r="O1906" s="14" t="inlineStr">
        <is>
          <t>是</t>
        </is>
      </c>
    </row>
    <row r="1907">
      <c r="A1907" s="14" t="inlineStr">
        <is>
          <t>2022-03-02</t>
        </is>
      </c>
      <c r="B1907" s="14" t="inlineStr">
        <is>
          <t>2022-03-09</t>
        </is>
      </c>
      <c r="C1907" s="14" t="inlineStr">
        <is>
          <t>菜粕</t>
        </is>
      </c>
      <c r="D1907" s="14" t="inlineStr">
        <is>
          <t>RM</t>
        </is>
      </c>
      <c r="E1907" s="14" t="inlineStr">
        <is>
          <t>多</t>
        </is>
      </c>
      <c r="F1907" s="14" t="inlineStr">
        <is>
          <t>★★★</t>
        </is>
      </c>
      <c r="G1907" s="14" t="n">
        <v>2</v>
      </c>
      <c r="H1907" s="15" t="n">
        <v>3706</v>
      </c>
      <c r="I1907" s="15" t="n">
        <v>4131</v>
      </c>
      <c r="J1907" s="14" t="n">
        <v>10</v>
      </c>
      <c r="K1907" s="14" t="n">
        <v>10000</v>
      </c>
      <c r="L1907" s="25">
        <f>IF(E1907="多",1,-1)*(I1907-H1907)*G1907*J1907</f>
        <v/>
      </c>
      <c r="M1907" s="26">
        <f>L1907/K1907</f>
        <v/>
      </c>
      <c r="N1907" s="14" t="inlineStr">
        <is>
          <t>将军撤退+大将军转向</t>
        </is>
      </c>
      <c r="O1907" s="14" t="inlineStr">
        <is>
          <t>是</t>
        </is>
      </c>
    </row>
    <row r="1908">
      <c r="A1908" s="14" t="inlineStr">
        <is>
          <t>2022-03-04</t>
        </is>
      </c>
      <c r="B1908" s="14" t="inlineStr">
        <is>
          <t>2022-03-08</t>
        </is>
      </c>
      <c r="C1908" s="14" t="inlineStr">
        <is>
          <t>聚丙烯</t>
        </is>
      </c>
      <c r="D1908" s="14" t="inlineStr">
        <is>
          <t>PP</t>
        </is>
      </c>
      <c r="E1908" s="14" t="inlineStr">
        <is>
          <t>多</t>
        </is>
      </c>
      <c r="F1908" s="14" t="inlineStr">
        <is>
          <t>★★★</t>
        </is>
      </c>
      <c r="G1908" s="14" t="n">
        <v>3</v>
      </c>
      <c r="H1908" s="15" t="n">
        <v>9000</v>
      </c>
      <c r="I1908" s="15" t="n">
        <v>9374</v>
      </c>
      <c r="J1908" s="14" t="n">
        <v>5</v>
      </c>
      <c r="K1908" s="14" t="n">
        <v>10000</v>
      </c>
      <c r="L1908" s="25">
        <f>IF(E1908="多",1,-1)*(I1908-H1908)*G1908*J1908</f>
        <v/>
      </c>
      <c r="M1908" s="26">
        <f>L1908/K1908</f>
        <v/>
      </c>
      <c r="N1908" s="14" t="inlineStr">
        <is>
          <t>大将军转向</t>
        </is>
      </c>
      <c r="O1908" s="14" t="inlineStr">
        <is>
          <t>是</t>
        </is>
      </c>
    </row>
    <row r="1909">
      <c r="A1909" s="14" t="inlineStr">
        <is>
          <t>2022-03-02</t>
        </is>
      </c>
      <c r="B1909" s="14" t="inlineStr">
        <is>
          <t>2022-03-08</t>
        </is>
      </c>
      <c r="C1909" s="14" t="inlineStr">
        <is>
          <t>塑料</t>
        </is>
      </c>
      <c r="D1909" s="14" t="inlineStr">
        <is>
          <t>L</t>
        </is>
      </c>
      <c r="E1909" s="14" t="inlineStr">
        <is>
          <t>多</t>
        </is>
      </c>
      <c r="F1909" s="14" t="inlineStr">
        <is>
          <t>★★</t>
        </is>
      </c>
      <c r="G1909" s="14" t="n">
        <v>3</v>
      </c>
      <c r="H1909" s="15" t="n">
        <v>9125</v>
      </c>
      <c r="I1909" s="15" t="n">
        <v>9399</v>
      </c>
      <c r="J1909" s="14" t="n">
        <v>5</v>
      </c>
      <c r="K1909" s="14" t="n">
        <v>10000</v>
      </c>
      <c r="L1909" s="25">
        <f>IF(E1909="多",1,-1)*(I1909-H1909)*G1909*J1909</f>
        <v/>
      </c>
      <c r="M1909" s="26">
        <f>L1909/K1909</f>
        <v/>
      </c>
      <c r="N1909" s="14" t="inlineStr">
        <is>
          <t>大将军转向</t>
        </is>
      </c>
      <c r="O1909" s="14" t="inlineStr">
        <is>
          <t>是</t>
        </is>
      </c>
    </row>
    <row r="1910">
      <c r="A1910" s="2" t="inlineStr">
        <is>
          <t>2022-02-15</t>
        </is>
      </c>
      <c r="B1910" s="2" t="inlineStr">
        <is>
          <t>2022-03-08</t>
        </is>
      </c>
      <c r="C1910" s="2" t="inlineStr">
        <is>
          <t>燃料油</t>
        </is>
      </c>
      <c r="D1910" s="2" t="inlineStr">
        <is>
          <t>FU</t>
        </is>
      </c>
      <c r="E1910" s="19" t="inlineStr">
        <is>
          <t>多</t>
        </is>
      </c>
      <c r="F1910" s="2" t="inlineStr">
        <is>
          <t>★★★</t>
        </is>
      </c>
      <c r="G1910" s="10" t="n">
        <v>8</v>
      </c>
      <c r="H1910" s="11" t="n">
        <v>3256</v>
      </c>
      <c r="I1910" s="11" t="n">
        <v>4375</v>
      </c>
      <c r="J1910" s="10" t="n">
        <v>10</v>
      </c>
      <c r="K1910" s="10" t="n">
        <v>25600</v>
      </c>
      <c r="L1910" s="23">
        <f>IF(E1910="多",1,-1)*(I1910-H1910)*G1910*J1910</f>
        <v/>
      </c>
      <c r="M1910" s="24">
        <f>L1910/K1910</f>
        <v/>
      </c>
      <c r="N1910" s="2" t="inlineStr">
        <is>
          <t>大将军转向</t>
        </is>
      </c>
      <c r="O1910" s="2" t="inlineStr">
        <is>
          <t>否</t>
        </is>
      </c>
    </row>
    <row r="1911">
      <c r="A1911" s="2" t="inlineStr">
        <is>
          <t>2022-03-03</t>
        </is>
      </c>
      <c r="B1911" s="2" t="inlineStr">
        <is>
          <t>2022-03-04</t>
        </is>
      </c>
      <c r="C1911" s="2" t="inlineStr">
        <is>
          <t>棕榈油</t>
        </is>
      </c>
      <c r="D1911" s="2" t="inlineStr">
        <is>
          <t>P</t>
        </is>
      </c>
      <c r="E1911" s="19" t="inlineStr">
        <is>
          <t>多</t>
        </is>
      </c>
      <c r="F1911" s="2" t="inlineStr">
        <is>
          <t>★★★</t>
        </is>
      </c>
      <c r="G1911" s="10" t="n">
        <v>2</v>
      </c>
      <c r="H1911" s="11" t="n">
        <v>12500</v>
      </c>
      <c r="I1911" s="11" t="n">
        <v>11720</v>
      </c>
      <c r="J1911" s="10" t="n">
        <v>10</v>
      </c>
      <c r="K1911" s="10" t="n">
        <v>30000</v>
      </c>
      <c r="L1911" s="23">
        <f>IF(E1911="多",1,-1)*(I1911-H1911)*G1911*J1911</f>
        <v/>
      </c>
      <c r="M1911" s="24">
        <f>L1911/K1911</f>
        <v/>
      </c>
      <c r="N1911" s="2" t="inlineStr">
        <is>
          <t>将军撤退+大将军转向</t>
        </is>
      </c>
      <c r="O1911" s="2" t="inlineStr">
        <is>
          <t>否</t>
        </is>
      </c>
    </row>
    <row r="1912">
      <c r="A1912" s="2" t="inlineStr">
        <is>
          <t>2022-03-02</t>
        </is>
      </c>
      <c r="B1912" s="2" t="inlineStr">
        <is>
          <t>2022-03-03</t>
        </is>
      </c>
      <c r="C1912" s="2" t="inlineStr">
        <is>
          <t>聚丙烯</t>
        </is>
      </c>
      <c r="D1912" s="2" t="inlineStr">
        <is>
          <t>PP</t>
        </is>
      </c>
      <c r="E1912" s="19" t="inlineStr">
        <is>
          <t>多</t>
        </is>
      </c>
      <c r="F1912" s="2" t="inlineStr">
        <is>
          <t>★★★</t>
        </is>
      </c>
      <c r="G1912" s="10" t="n">
        <v>11</v>
      </c>
      <c r="H1912" s="11" t="n">
        <v>8911</v>
      </c>
      <c r="I1912" s="11" t="n">
        <v>9162</v>
      </c>
      <c r="J1912" s="10" t="n">
        <v>5</v>
      </c>
      <c r="K1912" s="10" t="n">
        <v>30000</v>
      </c>
      <c r="L1912" s="23">
        <f>IF(E1912="多",1,-1)*(I1912-H1912)*G1912*J1912</f>
        <v/>
      </c>
      <c r="M1912" s="24">
        <f>L1912/K1912</f>
        <v/>
      </c>
      <c r="N1912" s="2" t="inlineStr">
        <is>
          <t>将军撤退</t>
        </is>
      </c>
      <c r="O1912" s="2" t="inlineStr">
        <is>
          <t>否</t>
        </is>
      </c>
    </row>
    <row r="1913">
      <c r="A1913" s="14" t="inlineStr">
        <is>
          <t>2022-02-28</t>
        </is>
      </c>
      <c r="B1913" s="14" t="inlineStr">
        <is>
          <t>2022-03-03</t>
        </is>
      </c>
      <c r="C1913" s="14" t="inlineStr">
        <is>
          <t>乙二醇</t>
        </is>
      </c>
      <c r="D1913" s="14" t="inlineStr">
        <is>
          <t>EG</t>
        </is>
      </c>
      <c r="E1913" s="14" t="inlineStr">
        <is>
          <t>空</t>
        </is>
      </c>
      <c r="F1913" s="14" t="inlineStr">
        <is>
          <t>★★</t>
        </is>
      </c>
      <c r="G1913" s="14" t="n">
        <v>2</v>
      </c>
      <c r="H1913" s="15" t="n">
        <v>4897</v>
      </c>
      <c r="I1913" s="15" t="n">
        <v>5348.14</v>
      </c>
      <c r="J1913" s="14" t="n">
        <v>10</v>
      </c>
      <c r="K1913" s="14" t="n">
        <v>10000</v>
      </c>
      <c r="L1913" s="25">
        <f>IF(E1913="多",1,-1)*(I1913-H1913)*G1913*J1913</f>
        <v/>
      </c>
      <c r="M1913" s="26">
        <f>L1913/K1913</f>
        <v/>
      </c>
      <c r="N1913" s="14" t="inlineStr">
        <is>
          <t>止损</t>
        </is>
      </c>
      <c r="O1913" s="14" t="inlineStr">
        <is>
          <t>是</t>
        </is>
      </c>
    </row>
    <row r="1914">
      <c r="A1914" s="14" t="inlineStr">
        <is>
          <t>2022-02-24</t>
        </is>
      </c>
      <c r="B1914" s="14" t="inlineStr">
        <is>
          <t>2022-03-03</t>
        </is>
      </c>
      <c r="C1914" s="14" t="inlineStr">
        <is>
          <t>沪锌</t>
        </is>
      </c>
      <c r="D1914" s="14" t="inlineStr">
        <is>
          <t>ZN</t>
        </is>
      </c>
      <c r="E1914" s="14" t="inlineStr">
        <is>
          <t>空</t>
        </is>
      </c>
      <c r="F1914" s="14" t="inlineStr">
        <is>
          <t>★★</t>
        </is>
      </c>
      <c r="G1914" s="14" t="n">
        <v>1</v>
      </c>
      <c r="H1914" s="15" t="n">
        <v>25000</v>
      </c>
      <c r="I1914" s="15" t="n">
        <v>26000</v>
      </c>
      <c r="J1914" s="14" t="n">
        <v>5</v>
      </c>
      <c r="K1914" s="14" t="n">
        <v>10000</v>
      </c>
      <c r="L1914" s="25">
        <f>IF(E1914="多",1,-1)*(I1914-H1914)*G1914*J1914</f>
        <v/>
      </c>
      <c r="M1914" s="26">
        <f>L1914/K1914</f>
        <v/>
      </c>
      <c r="N1914" s="14" t="inlineStr">
        <is>
          <t>跳空止损</t>
        </is>
      </c>
      <c r="O1914" s="14" t="inlineStr">
        <is>
          <t>是</t>
        </is>
      </c>
    </row>
    <row r="1915">
      <c r="A1915" s="2" t="inlineStr">
        <is>
          <t>2022-03-01</t>
        </is>
      </c>
      <c r="B1915" s="2" t="inlineStr">
        <is>
          <t>2022-03-02</t>
        </is>
      </c>
      <c r="C1915" s="2" t="inlineStr">
        <is>
          <t>棕榈油</t>
        </is>
      </c>
      <c r="D1915" s="2" t="inlineStr">
        <is>
          <t>P</t>
        </is>
      </c>
      <c r="E1915" s="19" t="inlineStr">
        <is>
          <t>多</t>
        </is>
      </c>
      <c r="F1915" s="2" t="inlineStr">
        <is>
          <t>★★★</t>
        </is>
      </c>
      <c r="G1915" s="10" t="n">
        <v>1</v>
      </c>
      <c r="H1915" s="11" t="n">
        <v>12220</v>
      </c>
      <c r="I1915" s="11" t="n">
        <v>12340</v>
      </c>
      <c r="J1915" s="10" t="n">
        <v>10</v>
      </c>
      <c r="K1915" s="10" t="n">
        <v>23200</v>
      </c>
      <c r="L1915" s="23">
        <f>IF(E1915="多",1,-1)*(I1915-H1915)*G1915*J1915</f>
        <v/>
      </c>
      <c r="M1915" s="24">
        <f>L1915/K1915</f>
        <v/>
      </c>
      <c r="N1915" s="2" t="inlineStr">
        <is>
          <t>将军撤退+大将军转向</t>
        </is>
      </c>
      <c r="O1915" s="2" t="inlineStr">
        <is>
          <t>否</t>
        </is>
      </c>
    </row>
    <row r="1916">
      <c r="A1916" s="14" t="inlineStr">
        <is>
          <t>2022-02-22</t>
        </is>
      </c>
      <c r="B1916" s="14" t="inlineStr">
        <is>
          <t>2022-03-02</t>
        </is>
      </c>
      <c r="C1916" s="14" t="inlineStr">
        <is>
          <t>聚丙烯</t>
        </is>
      </c>
      <c r="D1916" s="14" t="inlineStr">
        <is>
          <t>PP</t>
        </is>
      </c>
      <c r="E1916" s="14" t="inlineStr">
        <is>
          <t>空</t>
        </is>
      </c>
      <c r="F1916" s="14" t="inlineStr">
        <is>
          <t>★★</t>
        </is>
      </c>
      <c r="G1916" s="14" t="n">
        <v>3</v>
      </c>
      <c r="H1916" s="15" t="n">
        <v>8357</v>
      </c>
      <c r="I1916" s="15" t="n">
        <v>8848.93</v>
      </c>
      <c r="J1916" s="14" t="n">
        <v>5</v>
      </c>
      <c r="K1916" s="14" t="n">
        <v>10000</v>
      </c>
      <c r="L1916" s="25">
        <f>IF(E1916="多",1,-1)*(I1916-H1916)*G1916*J1916</f>
        <v/>
      </c>
      <c r="M1916" s="26">
        <f>L1916/K1916</f>
        <v/>
      </c>
      <c r="N1916" s="14" t="inlineStr">
        <is>
          <t>止损</t>
        </is>
      </c>
      <c r="O1916" s="14" t="inlineStr">
        <is>
          <t>是</t>
        </is>
      </c>
    </row>
    <row r="1917">
      <c r="A1917" s="2" t="inlineStr">
        <is>
          <t>2022-01-25</t>
        </is>
      </c>
      <c r="B1917" s="2" t="inlineStr">
        <is>
          <t>2022-03-02</t>
        </is>
      </c>
      <c r="C1917" s="2" t="inlineStr">
        <is>
          <t>玉米</t>
        </is>
      </c>
      <c r="D1917" s="2" t="inlineStr">
        <is>
          <t>C</t>
        </is>
      </c>
      <c r="E1917" s="19" t="inlineStr">
        <is>
          <t>多</t>
        </is>
      </c>
      <c r="F1917" s="2" t="inlineStr">
        <is>
          <t>★★★</t>
        </is>
      </c>
      <c r="G1917" s="10" t="n">
        <v>12</v>
      </c>
      <c r="H1917" s="11" t="n">
        <v>2754</v>
      </c>
      <c r="I1917" s="11" t="n">
        <v>2885</v>
      </c>
      <c r="J1917" s="10" t="n">
        <v>10</v>
      </c>
      <c r="K1917" s="10" t="n">
        <v>9200</v>
      </c>
      <c r="L1917" s="23">
        <f>IF(E1917="多",1,-1)*(I1917-H1917)*G1917*J1917</f>
        <v/>
      </c>
      <c r="M1917" s="24">
        <f>L1917/K1917</f>
        <v/>
      </c>
      <c r="N1917" s="2" t="inlineStr">
        <is>
          <t>将军撤退</t>
        </is>
      </c>
      <c r="O1917" s="2" t="inlineStr">
        <is>
          <t>否</t>
        </is>
      </c>
    </row>
    <row r="1918">
      <c r="A1918" s="14" t="inlineStr">
        <is>
          <t>2022-02-17</t>
        </is>
      </c>
      <c r="B1918" s="14" t="inlineStr">
        <is>
          <t>2022-03-01</t>
        </is>
      </c>
      <c r="C1918" s="14" t="inlineStr">
        <is>
          <t>塑料</t>
        </is>
      </c>
      <c r="D1918" s="14" t="inlineStr">
        <is>
          <t>L</t>
        </is>
      </c>
      <c r="E1918" s="14" t="inlineStr">
        <is>
          <t>空</t>
        </is>
      </c>
      <c r="F1918" s="14" t="inlineStr">
        <is>
          <t>★★</t>
        </is>
      </c>
      <c r="G1918" s="14" t="n">
        <v>3</v>
      </c>
      <c r="H1918" s="15" t="n">
        <v>8720</v>
      </c>
      <c r="I1918" s="15" t="n">
        <v>8953</v>
      </c>
      <c r="J1918" s="14" t="n">
        <v>5</v>
      </c>
      <c r="K1918" s="14" t="n">
        <v>10000</v>
      </c>
      <c r="L1918" s="25">
        <f>IF(E1918="多",1,-1)*(I1918-H1918)*G1918*J1918</f>
        <v/>
      </c>
      <c r="M1918" s="26">
        <f>L1918/K1918</f>
        <v/>
      </c>
      <c r="N1918" s="14" t="inlineStr">
        <is>
          <t>大将军转向</t>
        </is>
      </c>
      <c r="O1918" s="14" t="inlineStr">
        <is>
          <t>是</t>
        </is>
      </c>
    </row>
    <row r="1919">
      <c r="A1919" s="2" t="inlineStr">
        <is>
          <t>2022-02-24</t>
        </is>
      </c>
      <c r="B1919" s="2" t="inlineStr">
        <is>
          <t>2022-02-25</t>
        </is>
      </c>
      <c r="C1919" s="2" t="inlineStr">
        <is>
          <t>豆油</t>
        </is>
      </c>
      <c r="D1919" s="2" t="inlineStr">
        <is>
          <t>Y</t>
        </is>
      </c>
      <c r="E1919" s="19" t="inlineStr">
        <is>
          <t>多</t>
        </is>
      </c>
      <c r="F1919" s="2" t="inlineStr">
        <is>
          <t>★★★</t>
        </is>
      </c>
      <c r="G1919" s="10" t="n">
        <v>2</v>
      </c>
      <c r="H1919" s="11" t="n">
        <v>10708</v>
      </c>
      <c r="I1919" s="11" t="n">
        <v>10458</v>
      </c>
      <c r="J1919" s="10" t="n">
        <v>10</v>
      </c>
      <c r="K1919" s="10" t="n">
        <v>24000</v>
      </c>
      <c r="L1919" s="23">
        <f>IF(E1919="多",1,-1)*(I1919-H1919)*G1919*J1919</f>
        <v/>
      </c>
      <c r="M1919" s="24">
        <f>L1919/K1919</f>
        <v/>
      </c>
      <c r="N1919" s="2" t="inlineStr">
        <is>
          <t>将军撤退+大将军转向</t>
        </is>
      </c>
      <c r="O1919" s="2" t="inlineStr">
        <is>
          <t>否</t>
        </is>
      </c>
    </row>
    <row r="1920">
      <c r="A1920" s="14" t="inlineStr">
        <is>
          <t>2022-02-24</t>
        </is>
      </c>
      <c r="B1920" s="14" t="inlineStr">
        <is>
          <t>2022-02-25</t>
        </is>
      </c>
      <c r="C1920" s="14" t="inlineStr">
        <is>
          <t>玻璃</t>
        </is>
      </c>
      <c r="D1920" s="14" t="inlineStr">
        <is>
          <t>FG</t>
        </is>
      </c>
      <c r="E1920" s="14" t="inlineStr">
        <is>
          <t>空</t>
        </is>
      </c>
      <c r="F1920" s="14" t="inlineStr">
        <is>
          <t>★★</t>
        </is>
      </c>
      <c r="G1920" s="14" t="n">
        <v>1</v>
      </c>
      <c r="H1920" s="15" t="n">
        <v>1965</v>
      </c>
      <c r="I1920" s="15" t="n">
        <v>1891</v>
      </c>
      <c r="J1920" s="14" t="n">
        <v>20</v>
      </c>
      <c r="K1920" s="14" t="n">
        <v>10000</v>
      </c>
      <c r="L1920" s="25">
        <f>IF(E1920="多",1,-1)*(I1920-H1920)*G1920*J1920</f>
        <v/>
      </c>
      <c r="M1920" s="26">
        <f>L1920/K1920</f>
        <v/>
      </c>
      <c r="N1920" s="14" t="inlineStr">
        <is>
          <t>将军撤退+大将军转向</t>
        </is>
      </c>
      <c r="O1920" s="14" t="inlineStr">
        <is>
          <t>是</t>
        </is>
      </c>
    </row>
    <row r="1921">
      <c r="A1921" s="2" t="inlineStr">
        <is>
          <t>2022-02-22</t>
        </is>
      </c>
      <c r="B1921" s="2" t="inlineStr">
        <is>
          <t>2022-02-25</t>
        </is>
      </c>
      <c r="C1921" s="2" t="inlineStr">
        <is>
          <t>菜粕</t>
        </is>
      </c>
      <c r="D1921" s="2" t="inlineStr">
        <is>
          <t>RM</t>
        </is>
      </c>
      <c r="E1921" s="19" t="inlineStr">
        <is>
          <t>多</t>
        </is>
      </c>
      <c r="F1921" s="2" t="inlineStr">
        <is>
          <t>★★★</t>
        </is>
      </c>
      <c r="G1921" s="10" t="n">
        <v>7</v>
      </c>
      <c r="H1921" s="11" t="n">
        <v>3558</v>
      </c>
      <c r="I1921" s="11" t="n">
        <v>3612</v>
      </c>
      <c r="J1921" s="10" t="n">
        <v>10</v>
      </c>
      <c r="K1921" s="10" t="n">
        <v>24700</v>
      </c>
      <c r="L1921" s="23">
        <f>IF(E1921="多",1,-1)*(I1921-H1921)*G1921*J1921</f>
        <v/>
      </c>
      <c r="M1921" s="24">
        <f>L1921/K1921</f>
        <v/>
      </c>
      <c r="N1921" s="2" t="inlineStr">
        <is>
          <t>将军撤退</t>
        </is>
      </c>
      <c r="O1921" s="2" t="inlineStr">
        <is>
          <t>否</t>
        </is>
      </c>
    </row>
    <row r="1922">
      <c r="A1922" s="2" t="inlineStr">
        <is>
          <t>2022-02-22</t>
        </is>
      </c>
      <c r="B1922" s="2" t="inlineStr">
        <is>
          <t>2022-02-24</t>
        </is>
      </c>
      <c r="C1922" s="2" t="inlineStr">
        <is>
          <t>沪铝</t>
        </is>
      </c>
      <c r="D1922" s="2" t="inlineStr">
        <is>
          <t>AL</t>
        </is>
      </c>
      <c r="E1922" s="19" t="inlineStr">
        <is>
          <t>多</t>
        </is>
      </c>
      <c r="F1922" s="2" t="inlineStr">
        <is>
          <t>★★★</t>
        </is>
      </c>
      <c r="G1922" s="10" t="n">
        <v>3</v>
      </c>
      <c r="H1922" s="11" t="n">
        <v>23045</v>
      </c>
      <c r="I1922" s="11" t="n">
        <v>22950</v>
      </c>
      <c r="J1922" s="10" t="n">
        <v>5</v>
      </c>
      <c r="K1922" s="10" t="n">
        <v>24700</v>
      </c>
      <c r="L1922" s="23">
        <f>IF(E1922="多",1,-1)*(I1922-H1922)*G1922*J1922</f>
        <v/>
      </c>
      <c r="M1922" s="24">
        <f>L1922/K1922</f>
        <v/>
      </c>
      <c r="N1922" s="2" t="inlineStr">
        <is>
          <t>大将军转向</t>
        </is>
      </c>
      <c r="O1922" s="2" t="inlineStr">
        <is>
          <t>否</t>
        </is>
      </c>
    </row>
    <row r="1923">
      <c r="A1923" s="14" t="inlineStr">
        <is>
          <t>2022-02-21</t>
        </is>
      </c>
      <c r="B1923" s="14" t="inlineStr">
        <is>
          <t>2022-02-22</t>
        </is>
      </c>
      <c r="C1923" s="14" t="inlineStr">
        <is>
          <t>豆粕</t>
        </is>
      </c>
      <c r="D1923" s="14" t="inlineStr">
        <is>
          <t>M</t>
        </is>
      </c>
      <c r="E1923" s="14" t="inlineStr">
        <is>
          <t>多</t>
        </is>
      </c>
      <c r="F1923" s="14" t="inlineStr">
        <is>
          <t>★★</t>
        </is>
      </c>
      <c r="G1923" s="14" t="n">
        <v>3</v>
      </c>
      <c r="H1923" s="15" t="n">
        <v>3815</v>
      </c>
      <c r="I1923" s="15" t="n">
        <v>3877</v>
      </c>
      <c r="J1923" s="14" t="n">
        <v>10</v>
      </c>
      <c r="K1923" s="14" t="n">
        <v>10000</v>
      </c>
      <c r="L1923" s="25">
        <f>IF(E1923="多",1,-1)*(I1923-H1923)*G1923*J1923</f>
        <v/>
      </c>
      <c r="M1923" s="26">
        <f>L1923/K1923</f>
        <v/>
      </c>
      <c r="N1923" s="14" t="inlineStr">
        <is>
          <t>大将军转向</t>
        </is>
      </c>
      <c r="O1923" s="14" t="inlineStr">
        <is>
          <t>是</t>
        </is>
      </c>
    </row>
    <row r="1924">
      <c r="A1924" s="2" t="inlineStr">
        <is>
          <t>2022-02-17</t>
        </is>
      </c>
      <c r="B1924" s="2" t="inlineStr">
        <is>
          <t>2022-02-18</t>
        </is>
      </c>
      <c r="C1924" s="2" t="inlineStr">
        <is>
          <t>菜粕</t>
        </is>
      </c>
      <c r="D1924" s="2" t="inlineStr">
        <is>
          <t>RM</t>
        </is>
      </c>
      <c r="E1924" s="19" t="inlineStr">
        <is>
          <t>多</t>
        </is>
      </c>
      <c r="F1924" s="2" t="inlineStr">
        <is>
          <t>★★★</t>
        </is>
      </c>
      <c r="G1924" s="10" t="n">
        <v>6</v>
      </c>
      <c r="H1924" s="11" t="n">
        <v>3502</v>
      </c>
      <c r="I1924" s="11" t="n">
        <v>3505</v>
      </c>
      <c r="J1924" s="10" t="n">
        <v>10</v>
      </c>
      <c r="K1924" s="10" t="n">
        <v>19600</v>
      </c>
      <c r="L1924" s="23">
        <f>IF(E1924="多",1,-1)*(I1924-H1924)*G1924*J1924</f>
        <v/>
      </c>
      <c r="M1924" s="24">
        <f>L1924/K1924</f>
        <v/>
      </c>
      <c r="N1924" s="2" t="inlineStr">
        <is>
          <t>大将军转向</t>
        </is>
      </c>
      <c r="O1924" s="2" t="inlineStr">
        <is>
          <t>否</t>
        </is>
      </c>
    </row>
    <row r="1925">
      <c r="A1925" s="14" t="inlineStr">
        <is>
          <t>2022-02-17</t>
        </is>
      </c>
      <c r="B1925" s="14" t="inlineStr">
        <is>
          <t>2022-02-18</t>
        </is>
      </c>
      <c r="C1925" s="14" t="inlineStr">
        <is>
          <t>玻璃</t>
        </is>
      </c>
      <c r="D1925" s="14" t="inlineStr">
        <is>
          <t>FG</t>
        </is>
      </c>
      <c r="E1925" s="14" t="inlineStr">
        <is>
          <t>空</t>
        </is>
      </c>
      <c r="F1925" s="14" t="inlineStr">
        <is>
          <t>★★</t>
        </is>
      </c>
      <c r="G1925" s="14" t="n">
        <v>1</v>
      </c>
      <c r="H1925" s="15" t="n">
        <v>2060</v>
      </c>
      <c r="I1925" s="15" t="n">
        <v>2053</v>
      </c>
      <c r="J1925" s="14" t="n">
        <v>20</v>
      </c>
      <c r="K1925" s="14" t="n">
        <v>10000</v>
      </c>
      <c r="L1925" s="25">
        <f>IF(E1925="多",1,-1)*(I1925-H1925)*G1925*J1925</f>
        <v/>
      </c>
      <c r="M1925" s="26">
        <f>L1925/K1925</f>
        <v/>
      </c>
      <c r="N1925" s="14" t="inlineStr">
        <is>
          <t>将军撤退</t>
        </is>
      </c>
      <c r="O1925" s="14" t="inlineStr">
        <is>
          <t>是</t>
        </is>
      </c>
    </row>
    <row r="1926">
      <c r="A1926" s="14" t="inlineStr">
        <is>
          <t>2022-02-14</t>
        </is>
      </c>
      <c r="B1926" s="14" t="inlineStr">
        <is>
          <t>2022-02-18</t>
        </is>
      </c>
      <c r="C1926" s="14" t="inlineStr">
        <is>
          <t>豆油</t>
        </is>
      </c>
      <c r="D1926" s="14" t="inlineStr">
        <is>
          <t>Y</t>
        </is>
      </c>
      <c r="E1926" s="14" t="inlineStr">
        <is>
          <t>多</t>
        </is>
      </c>
      <c r="F1926" s="14" t="inlineStr">
        <is>
          <t>★★★</t>
        </is>
      </c>
      <c r="G1926" s="14" t="n">
        <v>1</v>
      </c>
      <c r="H1926" s="15" t="n">
        <v>9852</v>
      </c>
      <c r="I1926" s="15" t="n">
        <v>10116</v>
      </c>
      <c r="J1926" s="14" t="n">
        <v>10</v>
      </c>
      <c r="K1926" s="14" t="n">
        <v>10000</v>
      </c>
      <c r="L1926" s="25">
        <f>IF(E1926="多",1,-1)*(I1926-H1926)*G1926*J1926</f>
        <v/>
      </c>
      <c r="M1926" s="26">
        <f>L1926/K1926</f>
        <v/>
      </c>
      <c r="N1926" s="14" t="inlineStr">
        <is>
          <t>将军撤退+大将军转向</t>
        </is>
      </c>
      <c r="O1926" s="14" t="inlineStr">
        <is>
          <t>是</t>
        </is>
      </c>
    </row>
    <row r="1927">
      <c r="A1927" s="2" t="inlineStr">
        <is>
          <t>2022-02-14</t>
        </is>
      </c>
      <c r="B1927" s="2" t="inlineStr">
        <is>
          <t>2022-02-18</t>
        </is>
      </c>
      <c r="C1927" s="2" t="inlineStr">
        <is>
          <t>棕榈油</t>
        </is>
      </c>
      <c r="D1927" s="2" t="inlineStr">
        <is>
          <t>P</t>
        </is>
      </c>
      <c r="E1927" s="19" t="inlineStr">
        <is>
          <t>多</t>
        </is>
      </c>
      <c r="F1927" s="2" t="inlineStr">
        <is>
          <t>★★★</t>
        </is>
      </c>
      <c r="G1927" s="10" t="n">
        <v>3</v>
      </c>
      <c r="H1927" s="11" t="n">
        <v>10070</v>
      </c>
      <c r="I1927" s="11" t="n">
        <v>10424</v>
      </c>
      <c r="J1927" s="10" t="n">
        <v>10</v>
      </c>
      <c r="K1927" s="10" t="n">
        <v>30000</v>
      </c>
      <c r="L1927" s="23">
        <f>IF(E1927="多",1,-1)*(I1927-H1927)*G1927*J1927</f>
        <v/>
      </c>
      <c r="M1927" s="24">
        <f>L1927/K1927</f>
        <v/>
      </c>
      <c r="N1927" s="2" t="inlineStr">
        <is>
          <t>大将军转向</t>
        </is>
      </c>
      <c r="O1927" s="2" t="inlineStr">
        <is>
          <t>否</t>
        </is>
      </c>
    </row>
    <row r="1928">
      <c r="A1928" s="14" t="inlineStr">
        <is>
          <t>2022-02-14</t>
        </is>
      </c>
      <c r="B1928" s="14" t="inlineStr">
        <is>
          <t>2022-02-17</t>
        </is>
      </c>
      <c r="C1928" s="14" t="inlineStr">
        <is>
          <t>沪银</t>
        </is>
      </c>
      <c r="D1928" s="14" t="inlineStr">
        <is>
          <t>AG</t>
        </is>
      </c>
      <c r="E1928" s="14" t="inlineStr">
        <is>
          <t>多</t>
        </is>
      </c>
      <c r="F1928" s="14" t="inlineStr">
        <is>
          <t>★★</t>
        </is>
      </c>
      <c r="G1928" s="14" t="n">
        <v>1</v>
      </c>
      <c r="H1928" s="15" t="n">
        <v>4917</v>
      </c>
      <c r="I1928" s="15" t="n">
        <v>4835</v>
      </c>
      <c r="J1928" s="14" t="n">
        <v>15</v>
      </c>
      <c r="K1928" s="14" t="n">
        <v>10000</v>
      </c>
      <c r="L1928" s="25">
        <f>IF(E1928="多",1,-1)*(I1928-H1928)*G1928*J1928</f>
        <v/>
      </c>
      <c r="M1928" s="26">
        <f>L1928/K1928</f>
        <v/>
      </c>
      <c r="N1928" s="14" t="inlineStr">
        <is>
          <t>大将军转向</t>
        </is>
      </c>
      <c r="O1928" s="14" t="inlineStr">
        <is>
          <t>是</t>
        </is>
      </c>
    </row>
    <row r="1929">
      <c r="A1929" s="2" t="inlineStr">
        <is>
          <t>2022-01-28</t>
        </is>
      </c>
      <c r="B1929" s="2" t="inlineStr">
        <is>
          <t>2022-02-16</t>
        </is>
      </c>
      <c r="C1929" s="2" t="inlineStr">
        <is>
          <t>沥青</t>
        </is>
      </c>
      <c r="D1929" s="2" t="inlineStr">
        <is>
          <t>BU</t>
        </is>
      </c>
      <c r="E1929" s="19" t="inlineStr">
        <is>
          <t>多</t>
        </is>
      </c>
      <c r="F1929" s="2" t="inlineStr">
        <is>
          <t>★★★</t>
        </is>
      </c>
      <c r="G1929" s="10" t="n">
        <v>8</v>
      </c>
      <c r="H1929" s="11" t="n">
        <v>3760</v>
      </c>
      <c r="I1929" s="11" t="n">
        <v>3554</v>
      </c>
      <c r="J1929" s="10" t="n">
        <v>10</v>
      </c>
      <c r="K1929" s="10" t="n">
        <v>25600</v>
      </c>
      <c r="L1929" s="23">
        <f>IF(E1929="多",1,-1)*(I1929-H1929)*G1929*J1929</f>
        <v/>
      </c>
      <c r="M1929" s="24">
        <f>L1929/K1929</f>
        <v/>
      </c>
      <c r="N1929" s="2" t="inlineStr">
        <is>
          <t>跳空止损</t>
        </is>
      </c>
      <c r="O1929" s="2" t="inlineStr">
        <is>
          <t>否</t>
        </is>
      </c>
    </row>
    <row r="1930">
      <c r="A1930" s="2" t="inlineStr">
        <is>
          <t>2022-02-10</t>
        </is>
      </c>
      <c r="B1930" s="2" t="inlineStr">
        <is>
          <t>2022-02-15</t>
        </is>
      </c>
      <c r="C1930" s="2" t="inlineStr">
        <is>
          <t>PVC</t>
        </is>
      </c>
      <c r="D1930" s="2" t="inlineStr">
        <is>
          <t>V</t>
        </is>
      </c>
      <c r="E1930" s="19" t="inlineStr">
        <is>
          <t>多</t>
        </is>
      </c>
      <c r="F1930" s="2" t="inlineStr">
        <is>
          <t>★★★</t>
        </is>
      </c>
      <c r="G1930" s="10" t="n">
        <v>5</v>
      </c>
      <c r="H1930" s="11" t="n">
        <v>9500</v>
      </c>
      <c r="I1930" s="11" t="n">
        <v>8796.07</v>
      </c>
      <c r="J1930" s="10" t="n">
        <v>5</v>
      </c>
      <c r="K1930" s="10" t="n">
        <v>20800</v>
      </c>
      <c r="L1930" s="23">
        <f>IF(E1930="多",1,-1)*(I1930-H1930)*G1930*J1930</f>
        <v/>
      </c>
      <c r="M1930" s="24">
        <f>L1930/K1930</f>
        <v/>
      </c>
      <c r="N1930" s="2" t="inlineStr">
        <is>
          <t>止损</t>
        </is>
      </c>
      <c r="O1930" s="2" t="inlineStr">
        <is>
          <t>否</t>
        </is>
      </c>
    </row>
    <row r="1931">
      <c r="A1931" s="14" t="inlineStr">
        <is>
          <t>2022-02-10</t>
        </is>
      </c>
      <c r="B1931" s="14" t="inlineStr">
        <is>
          <t>2022-02-15</t>
        </is>
      </c>
      <c r="C1931" s="14" t="inlineStr">
        <is>
          <t>铁矿石</t>
        </is>
      </c>
      <c r="D1931" s="14" t="inlineStr">
        <is>
          <t>I</t>
        </is>
      </c>
      <c r="E1931" s="14" t="inlineStr">
        <is>
          <t>多</t>
        </is>
      </c>
      <c r="F1931" s="14" t="inlineStr">
        <is>
          <t>★★</t>
        </is>
      </c>
      <c r="G1931" s="14" t="n">
        <v>1</v>
      </c>
      <c r="H1931" s="15" t="n">
        <v>837.5</v>
      </c>
      <c r="I1931" s="15" t="n">
        <v>755</v>
      </c>
      <c r="J1931" s="14" t="n">
        <v>100</v>
      </c>
      <c r="K1931" s="14" t="n">
        <v>10000</v>
      </c>
      <c r="L1931" s="25">
        <f>IF(E1931="多",1,-1)*(I1931-H1931)*G1931*J1931</f>
        <v/>
      </c>
      <c r="M1931" s="26">
        <f>L1931/K1931</f>
        <v/>
      </c>
      <c r="N1931" s="14" t="inlineStr">
        <is>
          <t>止损</t>
        </is>
      </c>
      <c r="O1931" s="14" t="inlineStr">
        <is>
          <t>是</t>
        </is>
      </c>
    </row>
    <row r="1932">
      <c r="A1932" s="2" t="inlineStr">
        <is>
          <t>2022-02-10</t>
        </is>
      </c>
      <c r="B1932" s="2" t="inlineStr">
        <is>
          <t>2022-02-11</t>
        </is>
      </c>
      <c r="C1932" s="2" t="inlineStr">
        <is>
          <t>纯碱</t>
        </is>
      </c>
      <c r="D1932" s="2" t="inlineStr">
        <is>
          <t>SA</t>
        </is>
      </c>
      <c r="E1932" s="19" t="inlineStr">
        <is>
          <t>多</t>
        </is>
      </c>
      <c r="F1932" s="2" t="inlineStr">
        <is>
          <t>★★★</t>
        </is>
      </c>
      <c r="G1932" s="10" t="n">
        <v>5</v>
      </c>
      <c r="H1932" s="11" t="n">
        <v>3137</v>
      </c>
      <c r="I1932" s="11" t="n">
        <v>2973</v>
      </c>
      <c r="J1932" s="10" t="n">
        <v>20</v>
      </c>
      <c r="K1932" s="10" t="n">
        <v>30000</v>
      </c>
      <c r="L1932" s="23">
        <f>IF(E1932="多",1,-1)*(I1932-H1932)*G1932*J1932</f>
        <v/>
      </c>
      <c r="M1932" s="24">
        <f>L1932/K1932</f>
        <v/>
      </c>
      <c r="N1932" s="2" t="inlineStr">
        <is>
          <t>大将军转向</t>
        </is>
      </c>
      <c r="O1932" s="2" t="inlineStr">
        <is>
          <t>否</t>
        </is>
      </c>
    </row>
    <row r="1933">
      <c r="A1933" s="2" t="inlineStr">
        <is>
          <t>2022-01-26</t>
        </is>
      </c>
      <c r="B1933" s="2" t="inlineStr">
        <is>
          <t>2022-02-11</t>
        </is>
      </c>
      <c r="C1933" s="2" t="inlineStr">
        <is>
          <t>塑料</t>
        </is>
      </c>
      <c r="D1933" s="2" t="inlineStr">
        <is>
          <t>L</t>
        </is>
      </c>
      <c r="E1933" s="19" t="inlineStr">
        <is>
          <t>多</t>
        </is>
      </c>
      <c r="F1933" s="2" t="inlineStr">
        <is>
          <t>★★★</t>
        </is>
      </c>
      <c r="G1933" s="10" t="n">
        <v>3</v>
      </c>
      <c r="H1933" s="11" t="n">
        <v>9070</v>
      </c>
      <c r="I1933" s="11" t="n">
        <v>8946.290000000001</v>
      </c>
      <c r="J1933" s="10" t="n">
        <v>5</v>
      </c>
      <c r="K1933" s="10" t="n">
        <v>9200</v>
      </c>
      <c r="L1933" s="23">
        <f>IF(E1933="多",1,-1)*(I1933-H1933)*G1933*J1933</f>
        <v/>
      </c>
      <c r="M1933" s="24">
        <f>L1933/K1933</f>
        <v/>
      </c>
      <c r="N1933" s="2" t="inlineStr">
        <is>
          <t>止损</t>
        </is>
      </c>
      <c r="O1933" s="2" t="inlineStr">
        <is>
          <t>否</t>
        </is>
      </c>
    </row>
    <row r="1934">
      <c r="A1934" s="14" t="inlineStr">
        <is>
          <t>2022-02-09</t>
        </is>
      </c>
      <c r="B1934" s="14" t="inlineStr">
        <is>
          <t>2022-02-10</t>
        </is>
      </c>
      <c r="C1934" s="14" t="inlineStr">
        <is>
          <t>甲醇</t>
        </is>
      </c>
      <c r="D1934" s="14" t="inlineStr">
        <is>
          <t>MA</t>
        </is>
      </c>
      <c r="E1934" s="14" t="inlineStr">
        <is>
          <t>空</t>
        </is>
      </c>
      <c r="F1934" s="14" t="inlineStr">
        <is>
          <t>★★</t>
        </is>
      </c>
      <c r="G1934" s="14" t="n">
        <v>3</v>
      </c>
      <c r="H1934" s="15" t="n">
        <v>2790</v>
      </c>
      <c r="I1934" s="15" t="n">
        <v>2799</v>
      </c>
      <c r="J1934" s="14" t="n">
        <v>10</v>
      </c>
      <c r="K1934" s="14" t="n">
        <v>10000</v>
      </c>
      <c r="L1934" s="25">
        <f>IF(E1934="多",1,-1)*(I1934-H1934)*G1934*J1934</f>
        <v/>
      </c>
      <c r="M1934" s="26">
        <f>L1934/K1934</f>
        <v/>
      </c>
      <c r="N1934" s="14" t="inlineStr">
        <is>
          <t>将军撤退+大将军转向</t>
        </is>
      </c>
      <c r="O1934" s="14" t="inlineStr">
        <is>
          <t>是</t>
        </is>
      </c>
    </row>
    <row r="1935">
      <c r="A1935" s="2" t="inlineStr">
        <is>
          <t>2022-02-09</t>
        </is>
      </c>
      <c r="B1935" s="2" t="inlineStr">
        <is>
          <t>2022-02-10</t>
        </is>
      </c>
      <c r="C1935" s="2" t="inlineStr">
        <is>
          <t>沪铝</t>
        </is>
      </c>
      <c r="D1935" s="2" t="inlineStr">
        <is>
          <t>AL</t>
        </is>
      </c>
      <c r="E1935" s="19" t="inlineStr">
        <is>
          <t>多</t>
        </is>
      </c>
      <c r="F1935" s="2" t="inlineStr">
        <is>
          <t>★★★</t>
        </is>
      </c>
      <c r="G1935" s="10" t="n">
        <v>3</v>
      </c>
      <c r="H1935" s="11" t="n">
        <v>22975</v>
      </c>
      <c r="I1935" s="11" t="n">
        <v>23290</v>
      </c>
      <c r="J1935" s="10" t="n">
        <v>5</v>
      </c>
      <c r="K1935" s="10" t="n">
        <v>26000</v>
      </c>
      <c r="L1935" s="23">
        <f>IF(E1935="多",1,-1)*(I1935-H1935)*G1935*J1935</f>
        <v/>
      </c>
      <c r="M1935" s="24">
        <f>L1935/K1935</f>
        <v/>
      </c>
      <c r="N1935" s="2" t="inlineStr">
        <is>
          <t>将军撤退</t>
        </is>
      </c>
      <c r="O1935" s="2" t="inlineStr">
        <is>
          <t>否</t>
        </is>
      </c>
    </row>
    <row r="1936">
      <c r="A1936" s="2" t="inlineStr">
        <is>
          <t>2022-02-08</t>
        </is>
      </c>
      <c r="B1936" s="2" t="inlineStr">
        <is>
          <t>2022-02-10</t>
        </is>
      </c>
      <c r="C1936" s="2" t="inlineStr">
        <is>
          <t>豆粕</t>
        </is>
      </c>
      <c r="D1936" s="2" t="inlineStr">
        <is>
          <t>M</t>
        </is>
      </c>
      <c r="E1936" s="19" t="inlineStr">
        <is>
          <t>多</t>
        </is>
      </c>
      <c r="F1936" s="2" t="inlineStr">
        <is>
          <t>★★★</t>
        </is>
      </c>
      <c r="G1936" s="10" t="n">
        <v>13</v>
      </c>
      <c r="H1936" s="11" t="n">
        <v>3705</v>
      </c>
      <c r="I1936" s="11" t="n">
        <v>3814</v>
      </c>
      <c r="J1936" s="10" t="n">
        <v>10</v>
      </c>
      <c r="K1936" s="10" t="n">
        <v>30000</v>
      </c>
      <c r="L1936" s="23">
        <f>IF(E1936="多",1,-1)*(I1936-H1936)*G1936*J1936</f>
        <v/>
      </c>
      <c r="M1936" s="24">
        <f>L1936/K1936</f>
        <v/>
      </c>
      <c r="N1936" s="2" t="inlineStr">
        <is>
          <t>将军撤退</t>
        </is>
      </c>
      <c r="O1936" s="2" t="inlineStr">
        <is>
          <t>否</t>
        </is>
      </c>
    </row>
    <row r="1937">
      <c r="A1937" s="2" t="inlineStr">
        <is>
          <t>2022-02-08</t>
        </is>
      </c>
      <c r="B1937" s="2" t="inlineStr">
        <is>
          <t>2022-02-09</t>
        </is>
      </c>
      <c r="C1937" s="2" t="inlineStr">
        <is>
          <t>PVC</t>
        </is>
      </c>
      <c r="D1937" s="2" t="inlineStr">
        <is>
          <t>V</t>
        </is>
      </c>
      <c r="E1937" s="19" t="inlineStr">
        <is>
          <t>多</t>
        </is>
      </c>
      <c r="F1937" s="2" t="inlineStr">
        <is>
          <t>★★★</t>
        </is>
      </c>
      <c r="G1937" s="10" t="n">
        <v>2</v>
      </c>
      <c r="H1937" s="11" t="n">
        <v>9205</v>
      </c>
      <c r="I1937" s="11" t="n">
        <v>9128</v>
      </c>
      <c r="J1937" s="10" t="n">
        <v>5</v>
      </c>
      <c r="K1937" s="10" t="n">
        <v>7800</v>
      </c>
      <c r="L1937" s="23">
        <f>IF(E1937="多",1,-1)*(I1937-H1937)*G1937*J1937</f>
        <v/>
      </c>
      <c r="M1937" s="24">
        <f>L1937/K1937</f>
        <v/>
      </c>
      <c r="N1937" s="2" t="inlineStr">
        <is>
          <t>大将军转向</t>
        </is>
      </c>
      <c r="O1937" s="2" t="inlineStr">
        <is>
          <t>否</t>
        </is>
      </c>
    </row>
    <row r="1938">
      <c r="A1938" s="2" t="inlineStr">
        <is>
          <t>2022-01-27</t>
        </is>
      </c>
      <c r="B1938" s="2" t="inlineStr">
        <is>
          <t>2022-02-09</t>
        </is>
      </c>
      <c r="C1938" s="2" t="inlineStr">
        <is>
          <t>棉花</t>
        </is>
      </c>
      <c r="D1938" s="2" t="inlineStr">
        <is>
          <t>CF</t>
        </is>
      </c>
      <c r="E1938" s="19" t="inlineStr">
        <is>
          <t>多</t>
        </is>
      </c>
      <c r="F1938" s="2" t="inlineStr">
        <is>
          <t>★★★</t>
        </is>
      </c>
      <c r="G1938" s="10" t="n">
        <v>4</v>
      </c>
      <c r="H1938" s="11" t="n">
        <v>21760</v>
      </c>
      <c r="I1938" s="11" t="n">
        <v>21735</v>
      </c>
      <c r="J1938" s="10" t="n">
        <v>5</v>
      </c>
      <c r="K1938" s="10" t="n">
        <v>18200</v>
      </c>
      <c r="L1938" s="23">
        <f>IF(E1938="多",1,-1)*(I1938-H1938)*G1938*J1938</f>
        <v/>
      </c>
      <c r="M1938" s="24">
        <f>L1938/K1938</f>
        <v/>
      </c>
      <c r="N1938" s="2" t="inlineStr">
        <is>
          <t>大将军转向</t>
        </is>
      </c>
      <c r="O1938" s="2" t="inlineStr">
        <is>
          <t>否</t>
        </is>
      </c>
    </row>
    <row r="1939">
      <c r="A1939" s="14" t="inlineStr">
        <is>
          <t>2022-01-21</t>
        </is>
      </c>
      <c r="B1939" s="14" t="inlineStr">
        <is>
          <t>2022-02-09</t>
        </is>
      </c>
      <c r="C1939" s="14" t="inlineStr">
        <is>
          <t>热卷</t>
        </is>
      </c>
      <c r="D1939" s="14" t="inlineStr">
        <is>
          <t>HC</t>
        </is>
      </c>
      <c r="E1939" s="14" t="inlineStr">
        <is>
          <t>多</t>
        </is>
      </c>
      <c r="F1939" s="14" t="inlineStr">
        <is>
          <t>★★★</t>
        </is>
      </c>
      <c r="G1939" s="14" t="n">
        <v>3</v>
      </c>
      <c r="H1939" s="15" t="n">
        <v>4790</v>
      </c>
      <c r="I1939" s="15" t="n">
        <v>4980</v>
      </c>
      <c r="J1939" s="14" t="n">
        <v>10</v>
      </c>
      <c r="K1939" s="14" t="n">
        <v>10000</v>
      </c>
      <c r="L1939" s="25">
        <f>IF(E1939="多",1,-1)*(I1939-H1939)*G1939*J1939</f>
        <v/>
      </c>
      <c r="M1939" s="26">
        <f>L1939/K1939</f>
        <v/>
      </c>
      <c r="N1939" s="14" t="inlineStr">
        <is>
          <t>大将军转向</t>
        </is>
      </c>
      <c r="O1939" s="14" t="inlineStr">
        <is>
          <t>是</t>
        </is>
      </c>
    </row>
    <row r="1940">
      <c r="A1940" s="14" t="inlineStr">
        <is>
          <t>2022-01-27</t>
        </is>
      </c>
      <c r="B1940" s="14" t="inlineStr">
        <is>
          <t>2022-02-07</t>
        </is>
      </c>
      <c r="C1940" s="14" t="inlineStr">
        <is>
          <t>豆油</t>
        </is>
      </c>
      <c r="D1940" s="14" t="inlineStr">
        <is>
          <t>Y</t>
        </is>
      </c>
      <c r="E1940" s="14" t="inlineStr">
        <is>
          <t>多</t>
        </is>
      </c>
      <c r="F1940" s="14" t="inlineStr">
        <is>
          <t>★★★</t>
        </is>
      </c>
      <c r="G1940" s="14" t="n">
        <v>1</v>
      </c>
      <c r="H1940" s="15" t="n">
        <v>9576</v>
      </c>
      <c r="I1940" s="15" t="n">
        <v>10042</v>
      </c>
      <c r="J1940" s="14" t="n">
        <v>10</v>
      </c>
      <c r="K1940" s="14" t="n">
        <v>10000</v>
      </c>
      <c r="L1940" s="25">
        <f>IF(E1940="多",1,-1)*(I1940-H1940)*G1940*J1940</f>
        <v/>
      </c>
      <c r="M1940" s="26">
        <f>L1940/K1940</f>
        <v/>
      </c>
      <c r="N1940" s="14" t="inlineStr">
        <is>
          <t>大将军转向</t>
        </is>
      </c>
      <c r="O1940" s="14" t="inlineStr">
        <is>
          <t>是</t>
        </is>
      </c>
    </row>
    <row r="1941">
      <c r="A1941" s="14" t="inlineStr">
        <is>
          <t>2022-01-25</t>
        </is>
      </c>
      <c r="B1941" s="14" t="inlineStr">
        <is>
          <t>2022-02-07</t>
        </is>
      </c>
      <c r="C1941" s="14" t="inlineStr">
        <is>
          <t>PTA</t>
        </is>
      </c>
      <c r="D1941" s="14" t="inlineStr">
        <is>
          <t>TA</t>
        </is>
      </c>
      <c r="E1941" s="14" t="inlineStr">
        <is>
          <t>空</t>
        </is>
      </c>
      <c r="F1941" s="14" t="inlineStr">
        <is>
          <t>★★</t>
        </is>
      </c>
      <c r="G1941" s="14" t="n">
        <v>4</v>
      </c>
      <c r="H1941" s="15" t="n">
        <v>5250</v>
      </c>
      <c r="I1941" s="15" t="n">
        <v>5702</v>
      </c>
      <c r="J1941" s="14" t="n">
        <v>5</v>
      </c>
      <c r="K1941" s="14" t="n">
        <v>10000</v>
      </c>
      <c r="L1941" s="25">
        <f>IF(E1941="多",1,-1)*(I1941-H1941)*G1941*J1941</f>
        <v/>
      </c>
      <c r="M1941" s="26">
        <f>L1941/K1941</f>
        <v/>
      </c>
      <c r="N1941" s="14" t="inlineStr">
        <is>
          <t>跳空止损</t>
        </is>
      </c>
      <c r="O1941" s="14" t="inlineStr">
        <is>
          <t>是</t>
        </is>
      </c>
    </row>
    <row r="1942">
      <c r="A1942" s="14" t="inlineStr">
        <is>
          <t>2022-01-24</t>
        </is>
      </c>
      <c r="B1942" s="14" t="inlineStr">
        <is>
          <t>2022-02-07</t>
        </is>
      </c>
      <c r="C1942" s="14" t="inlineStr">
        <is>
          <t>甲醇</t>
        </is>
      </c>
      <c r="D1942" s="14" t="inlineStr">
        <is>
          <t>MA</t>
        </is>
      </c>
      <c r="E1942" s="14" t="inlineStr">
        <is>
          <t>空</t>
        </is>
      </c>
      <c r="F1942" s="14" t="inlineStr">
        <is>
          <t>★★</t>
        </is>
      </c>
      <c r="G1942" s="14" t="n">
        <v>4</v>
      </c>
      <c r="H1942" s="15" t="n">
        <v>2764</v>
      </c>
      <c r="I1942" s="15" t="n">
        <v>2954</v>
      </c>
      <c r="J1942" s="14" t="n">
        <v>10</v>
      </c>
      <c r="K1942" s="14" t="n">
        <v>10000</v>
      </c>
      <c r="L1942" s="25">
        <f>IF(E1942="多",1,-1)*(I1942-H1942)*G1942*J1942</f>
        <v/>
      </c>
      <c r="M1942" s="26">
        <f>L1942/K1942</f>
        <v/>
      </c>
      <c r="N1942" s="14" t="inlineStr">
        <is>
          <t>止损</t>
        </is>
      </c>
      <c r="O1942" s="14" t="inlineStr">
        <is>
          <t>是</t>
        </is>
      </c>
    </row>
    <row r="1943">
      <c r="A1943" s="2" t="inlineStr">
        <is>
          <t>2022-01-21</t>
        </is>
      </c>
      <c r="B1943" s="2" t="inlineStr">
        <is>
          <t>2022-02-07</t>
        </is>
      </c>
      <c r="C1943" s="2" t="inlineStr">
        <is>
          <t>沪铝</t>
        </is>
      </c>
      <c r="D1943" s="2" t="inlineStr">
        <is>
          <t>AL</t>
        </is>
      </c>
      <c r="E1943" s="19" t="inlineStr">
        <is>
          <t>多</t>
        </is>
      </c>
      <c r="F1943" s="2" t="inlineStr">
        <is>
          <t>★★★</t>
        </is>
      </c>
      <c r="G1943" s="10" t="n">
        <v>1</v>
      </c>
      <c r="H1943" s="11" t="n">
        <v>21310</v>
      </c>
      <c r="I1943" s="11" t="n">
        <v>22290</v>
      </c>
      <c r="J1943" s="10" t="n">
        <v>5</v>
      </c>
      <c r="K1943" s="10" t="n">
        <v>10400</v>
      </c>
      <c r="L1943" s="23">
        <f>IF(E1943="多",1,-1)*(I1943-H1943)*G1943*J1943</f>
        <v/>
      </c>
      <c r="M1943" s="24">
        <f>L1943/K1943</f>
        <v/>
      </c>
      <c r="N1943" s="2" t="inlineStr">
        <is>
          <t>将军撤退</t>
        </is>
      </c>
      <c r="O1943" s="2" t="inlineStr">
        <is>
          <t>否</t>
        </is>
      </c>
    </row>
    <row r="1944">
      <c r="A1944" s="2" t="inlineStr">
        <is>
          <t>2022-01-27</t>
        </is>
      </c>
      <c r="B1944" s="2" t="inlineStr">
        <is>
          <t>2022-01-28</t>
        </is>
      </c>
      <c r="C1944" s="2" t="inlineStr">
        <is>
          <t>菜粕</t>
        </is>
      </c>
      <c r="D1944" s="2" t="inlineStr">
        <is>
          <t>RM</t>
        </is>
      </c>
      <c r="E1944" s="19" t="inlineStr">
        <is>
          <t>多</t>
        </is>
      </c>
      <c r="F1944" s="2" t="inlineStr">
        <is>
          <t>★★★</t>
        </is>
      </c>
      <c r="G1944" s="10" t="n">
        <v>9</v>
      </c>
      <c r="H1944" s="11" t="n">
        <v>3160</v>
      </c>
      <c r="I1944" s="11" t="n">
        <v>3161</v>
      </c>
      <c r="J1944" s="10" t="n">
        <v>10</v>
      </c>
      <c r="K1944" s="10" t="n">
        <v>18200</v>
      </c>
      <c r="L1944" s="23">
        <f>IF(E1944="多",1,-1)*(I1944-H1944)*G1944*J1944</f>
        <v/>
      </c>
      <c r="M1944" s="24">
        <f>L1944/K1944</f>
        <v/>
      </c>
      <c r="N1944" s="2" t="inlineStr">
        <is>
          <t>将军撤退+大将军转向</t>
        </is>
      </c>
      <c r="O1944" s="2" t="inlineStr">
        <is>
          <t>否</t>
        </is>
      </c>
    </row>
    <row r="1945">
      <c r="A1945" s="14" t="inlineStr">
        <is>
          <t>2022-01-24</t>
        </is>
      </c>
      <c r="B1945" s="14" t="inlineStr">
        <is>
          <t>2022-01-28</t>
        </is>
      </c>
      <c r="C1945" s="14" t="inlineStr">
        <is>
          <t>纯碱</t>
        </is>
      </c>
      <c r="D1945" s="14" t="inlineStr">
        <is>
          <t>SA</t>
        </is>
      </c>
      <c r="E1945" s="14" t="inlineStr">
        <is>
          <t>多</t>
        </is>
      </c>
      <c r="F1945" s="14" t="inlineStr">
        <is>
          <t>★★★</t>
        </is>
      </c>
      <c r="G1945" s="14" t="n">
        <v>2</v>
      </c>
      <c r="H1945" s="15" t="n">
        <v>2678</v>
      </c>
      <c r="I1945" s="15" t="n">
        <v>2880</v>
      </c>
      <c r="J1945" s="14" t="n">
        <v>20</v>
      </c>
      <c r="K1945" s="14" t="n">
        <v>10000</v>
      </c>
      <c r="L1945" s="25">
        <f>IF(E1945="多",1,-1)*(I1945-H1945)*G1945*J1945</f>
        <v/>
      </c>
      <c r="M1945" s="26">
        <f>L1945/K1945</f>
        <v/>
      </c>
      <c r="N1945" s="14" t="inlineStr">
        <is>
          <t>将军撤退+大将军转向</t>
        </is>
      </c>
      <c r="O1945" s="14" t="inlineStr">
        <is>
          <t>是</t>
        </is>
      </c>
    </row>
    <row r="1946">
      <c r="A1946" s="2" t="inlineStr">
        <is>
          <t>2022-01-25</t>
        </is>
      </c>
      <c r="B1946" s="2" t="inlineStr">
        <is>
          <t>2022-01-27</t>
        </is>
      </c>
      <c r="C1946" s="2" t="inlineStr">
        <is>
          <t>铁矿石</t>
        </is>
      </c>
      <c r="D1946" s="2" t="inlineStr">
        <is>
          <t>I</t>
        </is>
      </c>
      <c r="E1946" s="19" t="inlineStr">
        <is>
          <t>多</t>
        </is>
      </c>
      <c r="F1946" s="2" t="inlineStr">
        <is>
          <t>★★★</t>
        </is>
      </c>
      <c r="G1946" s="10" t="n">
        <v>1</v>
      </c>
      <c r="H1946" s="11" t="n">
        <v>768</v>
      </c>
      <c r="I1946" s="11" t="n">
        <v>769</v>
      </c>
      <c r="J1946" s="10" t="n">
        <v>100</v>
      </c>
      <c r="K1946" s="10" t="n">
        <v>9200</v>
      </c>
      <c r="L1946" s="23">
        <f>IF(E1946="多",1,-1)*(I1946-H1946)*G1946*J1946</f>
        <v/>
      </c>
      <c r="M1946" s="24">
        <f>L1946/K1946</f>
        <v/>
      </c>
      <c r="N1946" s="2" t="inlineStr">
        <is>
          <t>大将军转向</t>
        </is>
      </c>
      <c r="O1946" s="2" t="inlineStr">
        <is>
          <t>否</t>
        </is>
      </c>
    </row>
    <row r="1947">
      <c r="A1947" s="14" t="inlineStr">
        <is>
          <t>2022-01-18</t>
        </is>
      </c>
      <c r="B1947" s="14" t="inlineStr">
        <is>
          <t>2022-01-27</t>
        </is>
      </c>
      <c r="C1947" s="14" t="inlineStr">
        <is>
          <t>豆粕</t>
        </is>
      </c>
      <c r="D1947" s="14" t="inlineStr">
        <is>
          <t>M</t>
        </is>
      </c>
      <c r="E1947" s="14" t="inlineStr">
        <is>
          <t>空</t>
        </is>
      </c>
      <c r="F1947" s="14" t="inlineStr">
        <is>
          <t>★★</t>
        </is>
      </c>
      <c r="G1947" s="14" t="n">
        <v>5</v>
      </c>
      <c r="H1947" s="15" t="n">
        <v>3143</v>
      </c>
      <c r="I1947" s="15" t="n">
        <v>3274.64</v>
      </c>
      <c r="J1947" s="14" t="n">
        <v>10</v>
      </c>
      <c r="K1947" s="14" t="n">
        <v>10000</v>
      </c>
      <c r="L1947" s="25">
        <f>IF(E1947="多",1,-1)*(I1947-H1947)*G1947*J1947</f>
        <v/>
      </c>
      <c r="M1947" s="26">
        <f>L1947/K1947</f>
        <v/>
      </c>
      <c r="N1947" s="14" t="inlineStr">
        <is>
          <t>止损</t>
        </is>
      </c>
      <c r="O1947" s="14" t="inlineStr">
        <is>
          <t>是</t>
        </is>
      </c>
    </row>
    <row r="1948">
      <c r="A1948" s="2" t="inlineStr">
        <is>
          <t>2022-01-14</t>
        </is>
      </c>
      <c r="B1948" s="2" t="inlineStr">
        <is>
          <t>2022-01-27</t>
        </is>
      </c>
      <c r="C1948" s="2" t="inlineStr">
        <is>
          <t>棕榈油</t>
        </is>
      </c>
      <c r="D1948" s="2" t="inlineStr">
        <is>
          <t>P</t>
        </is>
      </c>
      <c r="E1948" s="19" t="inlineStr">
        <is>
          <t>多</t>
        </is>
      </c>
      <c r="F1948" s="2" t="inlineStr">
        <is>
          <t>★★★</t>
        </is>
      </c>
      <c r="G1948" s="10" t="n">
        <v>1</v>
      </c>
      <c r="H1948" s="11" t="n">
        <v>9050</v>
      </c>
      <c r="I1948" s="11" t="n">
        <v>9752</v>
      </c>
      <c r="J1948" s="10" t="n">
        <v>10</v>
      </c>
      <c r="K1948" s="10" t="n">
        <v>8700</v>
      </c>
      <c r="L1948" s="23">
        <f>IF(E1948="多",1,-1)*(I1948-H1948)*G1948*J1948</f>
        <v/>
      </c>
      <c r="M1948" s="24">
        <f>L1948/K1948</f>
        <v/>
      </c>
      <c r="N1948" s="2" t="inlineStr">
        <is>
          <t>大将军转向</t>
        </is>
      </c>
      <c r="O1948" s="2" t="inlineStr">
        <is>
          <t>否</t>
        </is>
      </c>
    </row>
    <row r="1949">
      <c r="A1949" s="2" t="inlineStr">
        <is>
          <t>2022-01-21</t>
        </is>
      </c>
      <c r="B1949" s="2" t="inlineStr">
        <is>
          <t>2022-01-24</t>
        </is>
      </c>
      <c r="C1949" s="2" t="inlineStr">
        <is>
          <t>豆油</t>
        </is>
      </c>
      <c r="D1949" s="2" t="inlineStr">
        <is>
          <t>Y</t>
        </is>
      </c>
      <c r="E1949" s="19" t="inlineStr">
        <is>
          <t>多</t>
        </is>
      </c>
      <c r="F1949" s="2" t="inlineStr">
        <is>
          <t>★★★</t>
        </is>
      </c>
      <c r="G1949" s="10" t="n">
        <v>1</v>
      </c>
      <c r="H1949" s="11" t="n">
        <v>9590</v>
      </c>
      <c r="I1949" s="11" t="n">
        <v>9436</v>
      </c>
      <c r="J1949" s="10" t="n">
        <v>10</v>
      </c>
      <c r="K1949" s="10" t="n">
        <v>10400</v>
      </c>
      <c r="L1949" s="23">
        <f>IF(E1949="多",1,-1)*(I1949-H1949)*G1949*J1949</f>
        <v/>
      </c>
      <c r="M1949" s="24">
        <f>L1949/K1949</f>
        <v/>
      </c>
      <c r="N1949" s="2" t="inlineStr">
        <is>
          <t>大将军转向</t>
        </is>
      </c>
      <c r="O1949" s="2" t="inlineStr">
        <is>
          <t>否</t>
        </is>
      </c>
    </row>
    <row r="1950">
      <c r="A1950" s="2" t="inlineStr">
        <is>
          <t>2022-01-19</t>
        </is>
      </c>
      <c r="B1950" s="2" t="inlineStr">
        <is>
          <t>2022-01-24</t>
        </is>
      </c>
      <c r="C1950" s="2" t="inlineStr">
        <is>
          <t>棉花</t>
        </is>
      </c>
      <c r="D1950" s="2" t="inlineStr">
        <is>
          <t>CF</t>
        </is>
      </c>
      <c r="E1950" s="19" t="inlineStr">
        <is>
          <t>多</t>
        </is>
      </c>
      <c r="F1950" s="2" t="inlineStr">
        <is>
          <t>★★★</t>
        </is>
      </c>
      <c r="G1950" s="10" t="n">
        <v>2</v>
      </c>
      <c r="H1950" s="11" t="n">
        <v>21800</v>
      </c>
      <c r="I1950" s="11" t="n">
        <v>21610</v>
      </c>
      <c r="J1950" s="10" t="n">
        <v>5</v>
      </c>
      <c r="K1950" s="10" t="n">
        <v>8800</v>
      </c>
      <c r="L1950" s="23">
        <f>IF(E1950="多",1,-1)*(I1950-H1950)*G1950*J1950</f>
        <v/>
      </c>
      <c r="M1950" s="24">
        <f>L1950/K1950</f>
        <v/>
      </c>
      <c r="N1950" s="2" t="inlineStr">
        <is>
          <t>大将军转向</t>
        </is>
      </c>
      <c r="O1950" s="2" t="inlineStr">
        <is>
          <t>否</t>
        </is>
      </c>
    </row>
    <row r="1951">
      <c r="A1951" s="2" t="inlineStr">
        <is>
          <t>2022-01-18</t>
        </is>
      </c>
      <c r="B1951" s="2" t="inlineStr">
        <is>
          <t>2022-01-24</t>
        </is>
      </c>
      <c r="C1951" s="2" t="inlineStr">
        <is>
          <t>沥青</t>
        </is>
      </c>
      <c r="D1951" s="2" t="inlineStr">
        <is>
          <t>BU</t>
        </is>
      </c>
      <c r="E1951" s="19" t="inlineStr">
        <is>
          <t>多</t>
        </is>
      </c>
      <c r="F1951" s="2" t="inlineStr">
        <is>
          <t>★★★</t>
        </is>
      </c>
      <c r="G1951" s="10" t="n">
        <v>6</v>
      </c>
      <c r="H1951" s="11" t="n">
        <v>3492</v>
      </c>
      <c r="I1951" s="11" t="n">
        <v>3572</v>
      </c>
      <c r="J1951" s="10" t="n">
        <v>10</v>
      </c>
      <c r="K1951" s="10" t="n">
        <v>15700</v>
      </c>
      <c r="L1951" s="23">
        <f>IF(E1951="多",1,-1)*(I1951-H1951)*G1951*J1951</f>
        <v/>
      </c>
      <c r="M1951" s="24">
        <f>L1951/K1951</f>
        <v/>
      </c>
      <c r="N1951" s="2" t="inlineStr">
        <is>
          <t>将军撤退+大将军转向</t>
        </is>
      </c>
      <c r="O1951" s="2" t="inlineStr">
        <is>
          <t>否</t>
        </is>
      </c>
    </row>
    <row r="1952">
      <c r="A1952" s="2" t="inlineStr">
        <is>
          <t>2022-01-18</t>
        </is>
      </c>
      <c r="B1952" s="2" t="inlineStr">
        <is>
          <t>2022-01-21</t>
        </is>
      </c>
      <c r="C1952" s="2" t="inlineStr">
        <is>
          <t>燃料油</t>
        </is>
      </c>
      <c r="D1952" s="2" t="inlineStr">
        <is>
          <t>FU</t>
        </is>
      </c>
      <c r="E1952" s="19" t="inlineStr">
        <is>
          <t>多</t>
        </is>
      </c>
      <c r="F1952" s="2" t="inlineStr">
        <is>
          <t>★★★</t>
        </is>
      </c>
      <c r="G1952" s="10" t="n">
        <v>7</v>
      </c>
      <c r="H1952" s="11" t="n">
        <v>3090</v>
      </c>
      <c r="I1952" s="11" t="n">
        <v>3126</v>
      </c>
      <c r="J1952" s="10" t="n">
        <v>10</v>
      </c>
      <c r="K1952" s="10" t="n">
        <v>15700</v>
      </c>
      <c r="L1952" s="23">
        <f>IF(E1952="多",1,-1)*(I1952-H1952)*G1952*J1952</f>
        <v/>
      </c>
      <c r="M1952" s="24">
        <f>L1952/K1952</f>
        <v/>
      </c>
      <c r="N1952" s="2" t="inlineStr">
        <is>
          <t>将军撤退</t>
        </is>
      </c>
      <c r="O1952" s="2" t="inlineStr">
        <is>
          <t>否</t>
        </is>
      </c>
    </row>
    <row r="1953">
      <c r="A1953" s="2" t="inlineStr">
        <is>
          <t>2022-01-19</t>
        </is>
      </c>
      <c r="B1953" s="2" t="inlineStr">
        <is>
          <t>2022-01-20</t>
        </is>
      </c>
      <c r="C1953" s="2" t="inlineStr">
        <is>
          <t>塑料</t>
        </is>
      </c>
      <c r="D1953" s="2" t="inlineStr">
        <is>
          <t>L</t>
        </is>
      </c>
      <c r="E1953" s="19" t="inlineStr">
        <is>
          <t>多</t>
        </is>
      </c>
      <c r="F1953" s="2" t="inlineStr">
        <is>
          <t>★★★</t>
        </is>
      </c>
      <c r="G1953" s="10" t="n">
        <v>3</v>
      </c>
      <c r="H1953" s="11" t="n">
        <v>8945</v>
      </c>
      <c r="I1953" s="11" t="n">
        <v>8989</v>
      </c>
      <c r="J1953" s="10" t="n">
        <v>5</v>
      </c>
      <c r="K1953" s="10" t="n">
        <v>8800</v>
      </c>
      <c r="L1953" s="23">
        <f>IF(E1953="多",1,-1)*(I1953-H1953)*G1953*J1953</f>
        <v/>
      </c>
      <c r="M1953" s="24">
        <f>L1953/K1953</f>
        <v/>
      </c>
      <c r="N1953" s="2" t="inlineStr">
        <is>
          <t>大将军转向</t>
        </is>
      </c>
      <c r="O1953" s="2" t="inlineStr">
        <is>
          <t>否</t>
        </is>
      </c>
    </row>
    <row r="1954">
      <c r="A1954" s="2" t="inlineStr">
        <is>
          <t>2022-01-19</t>
        </is>
      </c>
      <c r="B1954" s="2" t="inlineStr">
        <is>
          <t>2022-01-20</t>
        </is>
      </c>
      <c r="C1954" s="2" t="inlineStr">
        <is>
          <t>沪铝</t>
        </is>
      </c>
      <c r="D1954" s="2" t="inlineStr">
        <is>
          <t>AL</t>
        </is>
      </c>
      <c r="E1954" s="19" t="inlineStr">
        <is>
          <t>多</t>
        </is>
      </c>
      <c r="F1954" s="2" t="inlineStr">
        <is>
          <t>★★★</t>
        </is>
      </c>
      <c r="G1954" s="10" t="n">
        <v>1</v>
      </c>
      <c r="H1954" s="11" t="n">
        <v>21660</v>
      </c>
      <c r="I1954" s="11" t="n">
        <v>21485</v>
      </c>
      <c r="J1954" s="10" t="n">
        <v>5</v>
      </c>
      <c r="K1954" s="10" t="n">
        <v>8800</v>
      </c>
      <c r="L1954" s="23">
        <f>IF(E1954="多",1,-1)*(I1954-H1954)*G1954*J1954</f>
        <v/>
      </c>
      <c r="M1954" s="24">
        <f>L1954/K1954</f>
        <v/>
      </c>
      <c r="N1954" s="2" t="inlineStr">
        <is>
          <t>将军撤退</t>
        </is>
      </c>
      <c r="O1954" s="2" t="inlineStr">
        <is>
          <t>否</t>
        </is>
      </c>
    </row>
    <row r="1955">
      <c r="A1955" s="2" t="inlineStr">
        <is>
          <t>2022-01-14</t>
        </is>
      </c>
      <c r="B1955" s="2" t="inlineStr">
        <is>
          <t>2022-01-19</t>
        </is>
      </c>
      <c r="C1955" s="2" t="inlineStr">
        <is>
          <t>豆油</t>
        </is>
      </c>
      <c r="D1955" s="2" t="inlineStr">
        <is>
          <t>Y</t>
        </is>
      </c>
      <c r="E1955" s="19" t="inlineStr">
        <is>
          <t>多</t>
        </is>
      </c>
      <c r="F1955" s="2" t="inlineStr">
        <is>
          <t>★★★</t>
        </is>
      </c>
      <c r="G1955" s="10" t="n">
        <v>1</v>
      </c>
      <c r="H1955" s="11" t="n">
        <v>9186</v>
      </c>
      <c r="I1955" s="11" t="n">
        <v>9234</v>
      </c>
      <c r="J1955" s="10" t="n">
        <v>10</v>
      </c>
      <c r="K1955" s="10" t="n">
        <v>8700</v>
      </c>
      <c r="L1955" s="23">
        <f>IF(E1955="多",1,-1)*(I1955-H1955)*G1955*J1955</f>
        <v/>
      </c>
      <c r="M1955" s="24">
        <f>L1955/K1955</f>
        <v/>
      </c>
      <c r="N1955" s="2" t="inlineStr">
        <is>
          <t>将军撤退</t>
        </is>
      </c>
      <c r="O1955" s="2" t="inlineStr">
        <is>
          <t>否</t>
        </is>
      </c>
    </row>
    <row r="1956">
      <c r="A1956" s="2" t="inlineStr">
        <is>
          <t>2022-01-17</t>
        </is>
      </c>
      <c r="B1956" s="2" t="inlineStr">
        <is>
          <t>2022-01-18</t>
        </is>
      </c>
      <c r="C1956" s="2" t="inlineStr">
        <is>
          <t>白糖</t>
        </is>
      </c>
      <c r="D1956" s="2" t="inlineStr">
        <is>
          <t>SR</t>
        </is>
      </c>
      <c r="E1956" s="19" t="inlineStr">
        <is>
          <t>多</t>
        </is>
      </c>
      <c r="F1956" s="2" t="inlineStr">
        <is>
          <t>★★★</t>
        </is>
      </c>
      <c r="G1956" s="10" t="n">
        <v>2</v>
      </c>
      <c r="H1956" s="11" t="n">
        <v>5827</v>
      </c>
      <c r="I1956" s="11" t="n">
        <v>5828</v>
      </c>
      <c r="J1956" s="10" t="n">
        <v>10</v>
      </c>
      <c r="K1956" s="10" t="n">
        <v>4100</v>
      </c>
      <c r="L1956" s="23">
        <f>IF(E1956="多",1,-1)*(I1956-H1956)*G1956*J1956</f>
        <v/>
      </c>
      <c r="M1956" s="24">
        <f>L1956/K1956</f>
        <v/>
      </c>
      <c r="N1956" s="2" t="inlineStr">
        <is>
          <t>将军撤退+大将军转向</t>
        </is>
      </c>
      <c r="O1956" s="2" t="inlineStr">
        <is>
          <t>否</t>
        </is>
      </c>
    </row>
    <row r="1957">
      <c r="A1957" s="14" t="inlineStr">
        <is>
          <t>2022-01-10</t>
        </is>
      </c>
      <c r="B1957" s="14" t="inlineStr">
        <is>
          <t>2022-01-18</t>
        </is>
      </c>
      <c r="C1957" s="14" t="inlineStr">
        <is>
          <t>沪镍</t>
        </is>
      </c>
      <c r="D1957" s="14" t="inlineStr">
        <is>
          <t>NI</t>
        </is>
      </c>
      <c r="E1957" s="14" t="inlineStr">
        <is>
          <t>多</t>
        </is>
      </c>
      <c r="F1957" s="14" t="inlineStr">
        <is>
          <t>★★★</t>
        </is>
      </c>
      <c r="G1957" s="14" t="n">
        <v>1</v>
      </c>
      <c r="H1957" s="15" t="n">
        <v>154840</v>
      </c>
      <c r="I1957" s="15" t="n">
        <v>164170</v>
      </c>
      <c r="J1957" s="14" t="n">
        <v>1</v>
      </c>
      <c r="K1957" s="14" t="n">
        <v>10000</v>
      </c>
      <c r="L1957" s="25">
        <f>IF(E1957="多",1,-1)*(I1957-H1957)*G1957*J1957</f>
        <v/>
      </c>
      <c r="M1957" s="26">
        <f>L1957/K1957</f>
        <v/>
      </c>
      <c r="N1957" s="14" t="inlineStr">
        <is>
          <t>大将军转向</t>
        </is>
      </c>
      <c r="O1957" s="14" t="inlineStr">
        <is>
          <t>是</t>
        </is>
      </c>
    </row>
    <row r="1958">
      <c r="A1958" s="2" t="inlineStr">
        <is>
          <t>2022-01-05</t>
        </is>
      </c>
      <c r="B1958" s="2" t="inlineStr">
        <is>
          <t>2022-01-18</t>
        </is>
      </c>
      <c r="C1958" s="2" t="inlineStr">
        <is>
          <t>豆粕</t>
        </is>
      </c>
      <c r="D1958" s="2" t="inlineStr">
        <is>
          <t>M</t>
        </is>
      </c>
      <c r="E1958" s="19" t="inlineStr">
        <is>
          <t>多</t>
        </is>
      </c>
      <c r="F1958" s="2" t="inlineStr">
        <is>
          <t>★★★</t>
        </is>
      </c>
      <c r="G1958" s="10" t="n">
        <v>3</v>
      </c>
      <c r="H1958" s="11" t="n">
        <v>3283</v>
      </c>
      <c r="I1958" s="11" t="n">
        <v>3156</v>
      </c>
      <c r="J1958" s="10" t="n">
        <v>10</v>
      </c>
      <c r="K1958" s="10" t="n">
        <v>6500</v>
      </c>
      <c r="L1958" s="23">
        <f>IF(E1958="多",1,-1)*(I1958-H1958)*G1958*J1958</f>
        <v/>
      </c>
      <c r="M1958" s="24">
        <f>L1958/K1958</f>
        <v/>
      </c>
      <c r="N1958" s="2" t="inlineStr">
        <is>
          <t>反向信号</t>
        </is>
      </c>
      <c r="O1958" s="2" t="inlineStr">
        <is>
          <t>否</t>
        </is>
      </c>
    </row>
    <row r="1959">
      <c r="A1959" s="2" t="inlineStr">
        <is>
          <t>2022-01-14</t>
        </is>
      </c>
      <c r="B1959" s="2" t="inlineStr">
        <is>
          <t>2022-01-17</t>
        </is>
      </c>
      <c r="C1959" s="2" t="inlineStr">
        <is>
          <t>热卷</t>
        </is>
      </c>
      <c r="D1959" s="2" t="inlineStr">
        <is>
          <t>HC</t>
        </is>
      </c>
      <c r="E1959" s="19" t="inlineStr">
        <is>
          <t>多</t>
        </is>
      </c>
      <c r="F1959" s="2" t="inlineStr">
        <is>
          <t>★★★</t>
        </is>
      </c>
      <c r="G1959" s="10" t="n">
        <v>2</v>
      </c>
      <c r="H1959" s="11" t="n">
        <v>4770</v>
      </c>
      <c r="I1959" s="11" t="n">
        <v>4665</v>
      </c>
      <c r="J1959" s="10" t="n">
        <v>10</v>
      </c>
      <c r="K1959" s="10" t="n">
        <v>8700</v>
      </c>
      <c r="L1959" s="23">
        <f>IF(E1959="多",1,-1)*(I1959-H1959)*G1959*J1959</f>
        <v/>
      </c>
      <c r="M1959" s="24">
        <f>L1959/K1959</f>
        <v/>
      </c>
      <c r="N1959" s="2" t="inlineStr">
        <is>
          <t>将军撤退</t>
        </is>
      </c>
      <c r="O1959" s="2" t="inlineStr">
        <is>
          <t>否</t>
        </is>
      </c>
    </row>
    <row r="1960">
      <c r="A1960" s="2" t="inlineStr">
        <is>
          <t>2022-01-13</t>
        </is>
      </c>
      <c r="B1960" s="2" t="inlineStr">
        <is>
          <t>2022-01-17</t>
        </is>
      </c>
      <c r="C1960" s="2" t="inlineStr">
        <is>
          <t>PTA</t>
        </is>
      </c>
      <c r="D1960" s="2" t="inlineStr">
        <is>
          <t>TA</t>
        </is>
      </c>
      <c r="E1960" s="19" t="inlineStr">
        <is>
          <t>多</t>
        </is>
      </c>
      <c r="F1960" s="2" t="inlineStr">
        <is>
          <t>★★★</t>
        </is>
      </c>
      <c r="G1960" s="10" t="n">
        <v>3</v>
      </c>
      <c r="H1960" s="11" t="n">
        <v>5256</v>
      </c>
      <c r="I1960" s="11" t="n">
        <v>5330</v>
      </c>
      <c r="J1960" s="10" t="n">
        <v>5</v>
      </c>
      <c r="K1960" s="10" t="n">
        <v>6400</v>
      </c>
      <c r="L1960" s="23">
        <f>IF(E1960="多",1,-1)*(I1960-H1960)*G1960*J1960</f>
        <v/>
      </c>
      <c r="M1960" s="24">
        <f>L1960/K1960</f>
        <v/>
      </c>
      <c r="N1960" s="2" t="inlineStr">
        <is>
          <t>将军撤退</t>
        </is>
      </c>
      <c r="O1960" s="2" t="inlineStr">
        <is>
          <t>否</t>
        </is>
      </c>
    </row>
    <row r="1961">
      <c r="A1961" s="2" t="inlineStr">
        <is>
          <t>2022-01-13</t>
        </is>
      </c>
      <c r="B1961" s="2" t="inlineStr">
        <is>
          <t>2022-01-17</t>
        </is>
      </c>
      <c r="C1961" s="2" t="inlineStr">
        <is>
          <t>螺纹钢</t>
        </is>
      </c>
      <c r="D1961" s="2" t="inlineStr">
        <is>
          <t>RB</t>
        </is>
      </c>
      <c r="E1961" s="19" t="inlineStr">
        <is>
          <t>多</t>
        </is>
      </c>
      <c r="F1961" s="2" t="inlineStr">
        <is>
          <t>★★★</t>
        </is>
      </c>
      <c r="G1961" s="10" t="n">
        <v>2</v>
      </c>
      <c r="H1961" s="11" t="n">
        <v>4625</v>
      </c>
      <c r="I1961" s="11" t="n">
        <v>4553</v>
      </c>
      <c r="J1961" s="10" t="n">
        <v>10</v>
      </c>
      <c r="K1961" s="10" t="n">
        <v>6400</v>
      </c>
      <c r="L1961" s="23">
        <f>IF(E1961="多",1,-1)*(I1961-H1961)*G1961*J1961</f>
        <v/>
      </c>
      <c r="M1961" s="24">
        <f>L1961/K1961</f>
        <v/>
      </c>
      <c r="N1961" s="2" t="inlineStr">
        <is>
          <t>大将军转向</t>
        </is>
      </c>
      <c r="O1961" s="2" t="inlineStr">
        <is>
          <t>否</t>
        </is>
      </c>
    </row>
    <row r="1962">
      <c r="A1962" s="2" t="inlineStr">
        <is>
          <t>2022-01-13</t>
        </is>
      </c>
      <c r="B1962" s="2" t="inlineStr">
        <is>
          <t>2022-01-14</t>
        </is>
      </c>
      <c r="C1962" s="2" t="inlineStr">
        <is>
          <t>塑料</t>
        </is>
      </c>
      <c r="D1962" s="2" t="inlineStr">
        <is>
          <t>L</t>
        </is>
      </c>
      <c r="E1962" s="19" t="inlineStr">
        <is>
          <t>多</t>
        </is>
      </c>
      <c r="F1962" s="2" t="inlineStr">
        <is>
          <t>★★★</t>
        </is>
      </c>
      <c r="G1962" s="10" t="n">
        <v>2</v>
      </c>
      <c r="H1962" s="11" t="n">
        <v>8754</v>
      </c>
      <c r="I1962" s="11" t="n">
        <v>8859</v>
      </c>
      <c r="J1962" s="10" t="n">
        <v>5</v>
      </c>
      <c r="K1962" s="10" t="n">
        <v>6400</v>
      </c>
      <c r="L1962" s="23">
        <f>IF(E1962="多",1,-1)*(I1962-H1962)*G1962*J1962</f>
        <v/>
      </c>
      <c r="M1962" s="24">
        <f>L1962/K1962</f>
        <v/>
      </c>
      <c r="N1962" s="2" t="inlineStr">
        <is>
          <t>大将军转向</t>
        </is>
      </c>
      <c r="O1962" s="2" t="inlineStr">
        <is>
          <t>否</t>
        </is>
      </c>
    </row>
    <row r="1963">
      <c r="A1963" s="14" t="inlineStr">
        <is>
          <t>2022-01-07</t>
        </is>
      </c>
      <c r="B1963" s="14" t="inlineStr">
        <is>
          <t>2022-01-14</t>
        </is>
      </c>
      <c r="C1963" s="14" t="inlineStr">
        <is>
          <t>PVC</t>
        </is>
      </c>
      <c r="D1963" s="14" t="inlineStr">
        <is>
          <t>V</t>
        </is>
      </c>
      <c r="E1963" s="14" t="inlineStr">
        <is>
          <t>多</t>
        </is>
      </c>
      <c r="F1963" s="14" t="inlineStr">
        <is>
          <t>★★</t>
        </is>
      </c>
      <c r="G1963" s="14" t="n">
        <v>3</v>
      </c>
      <c r="H1963" s="15" t="n">
        <v>8490</v>
      </c>
      <c r="I1963" s="15" t="n">
        <v>8776</v>
      </c>
      <c r="J1963" s="14" t="n">
        <v>5</v>
      </c>
      <c r="K1963" s="14" t="n">
        <v>10000</v>
      </c>
      <c r="L1963" s="25">
        <f>IF(E1963="多",1,-1)*(I1963-H1963)*G1963*J1963</f>
        <v/>
      </c>
      <c r="M1963" s="26">
        <f>L1963/K1963</f>
        <v/>
      </c>
      <c r="N1963" s="14" t="inlineStr">
        <is>
          <t>将军撤退+大将军转向</t>
        </is>
      </c>
      <c r="O1963" s="14" t="inlineStr">
        <is>
          <t>是</t>
        </is>
      </c>
    </row>
    <row r="1964">
      <c r="A1964" s="2" t="inlineStr">
        <is>
          <t>2022-01-12</t>
        </is>
      </c>
      <c r="B1964" s="2" t="inlineStr">
        <is>
          <t>2022-01-13</t>
        </is>
      </c>
      <c r="C1964" s="2" t="inlineStr">
        <is>
          <t>棕榈油</t>
        </is>
      </c>
      <c r="D1964" s="2" t="inlineStr">
        <is>
          <t>P</t>
        </is>
      </c>
      <c r="E1964" s="19" t="inlineStr">
        <is>
          <t>多</t>
        </is>
      </c>
      <c r="F1964" s="2" t="inlineStr">
        <is>
          <t>★★★</t>
        </is>
      </c>
      <c r="G1964" s="10" t="n">
        <v>1</v>
      </c>
      <c r="H1964" s="11" t="n">
        <v>8906</v>
      </c>
      <c r="I1964" s="11" t="n">
        <v>8982</v>
      </c>
      <c r="J1964" s="10" t="n">
        <v>10</v>
      </c>
      <c r="K1964" s="10" t="n">
        <v>6700</v>
      </c>
      <c r="L1964" s="23">
        <f>IF(E1964="多",1,-1)*(I1964-H1964)*G1964*J1964</f>
        <v/>
      </c>
      <c r="M1964" s="24">
        <f>L1964/K1964</f>
        <v/>
      </c>
      <c r="N1964" s="2" t="inlineStr">
        <is>
          <t>大将军转向</t>
        </is>
      </c>
      <c r="O1964" s="2" t="inlineStr">
        <is>
          <t>否</t>
        </is>
      </c>
    </row>
    <row r="1965">
      <c r="A1965" s="2" t="inlineStr">
        <is>
          <t>2022-01-12</t>
        </is>
      </c>
      <c r="B1965" s="2" t="inlineStr">
        <is>
          <t>2022-01-13</t>
        </is>
      </c>
      <c r="C1965" s="2" t="inlineStr">
        <is>
          <t>沥青</t>
        </is>
      </c>
      <c r="D1965" s="2" t="inlineStr">
        <is>
          <t>BU</t>
        </is>
      </c>
      <c r="E1965" s="19" t="inlineStr">
        <is>
          <t>多</t>
        </is>
      </c>
      <c r="F1965" s="2" t="inlineStr">
        <is>
          <t>★★★</t>
        </is>
      </c>
      <c r="G1965" s="10" t="n">
        <v>2</v>
      </c>
      <c r="H1965" s="11" t="n">
        <v>3410</v>
      </c>
      <c r="I1965" s="11" t="n">
        <v>3368</v>
      </c>
      <c r="J1965" s="10" t="n">
        <v>10</v>
      </c>
      <c r="K1965" s="10" t="n">
        <v>6700</v>
      </c>
      <c r="L1965" s="23">
        <f>IF(E1965="多",1,-1)*(I1965-H1965)*G1965*J1965</f>
        <v/>
      </c>
      <c r="M1965" s="24">
        <f>L1965/K1965</f>
        <v/>
      </c>
      <c r="N1965" s="2" t="inlineStr">
        <is>
          <t>大将军转向</t>
        </is>
      </c>
      <c r="O1965" s="2" t="inlineStr">
        <is>
          <t>否</t>
        </is>
      </c>
    </row>
    <row r="1966">
      <c r="A1966" s="14" t="inlineStr">
        <is>
          <t>2022-01-11</t>
        </is>
      </c>
      <c r="B1966" s="14" t="inlineStr">
        <is>
          <t>2022-01-13</t>
        </is>
      </c>
      <c r="C1966" s="14" t="inlineStr">
        <is>
          <t>棉花</t>
        </is>
      </c>
      <c r="D1966" s="14" t="inlineStr">
        <is>
          <t>CF</t>
        </is>
      </c>
      <c r="E1966" s="14" t="inlineStr">
        <is>
          <t>多</t>
        </is>
      </c>
      <c r="F1966" s="14" t="inlineStr">
        <is>
          <t>★★</t>
        </is>
      </c>
      <c r="G1966" s="14" t="n">
        <v>2</v>
      </c>
      <c r="H1966" s="15" t="n">
        <v>21180</v>
      </c>
      <c r="I1966" s="15" t="n">
        <v>21355</v>
      </c>
      <c r="J1966" s="14" t="n">
        <v>5</v>
      </c>
      <c r="K1966" s="14" t="n">
        <v>10000</v>
      </c>
      <c r="L1966" s="25">
        <f>IF(E1966="多",1,-1)*(I1966-H1966)*G1966*J1966</f>
        <v/>
      </c>
      <c r="M1966" s="26">
        <f>L1966/K1966</f>
        <v/>
      </c>
      <c r="N1966" s="14" t="inlineStr">
        <is>
          <t>将军撤退</t>
        </is>
      </c>
      <c r="O1966" s="14" t="inlineStr">
        <is>
          <t>是</t>
        </is>
      </c>
    </row>
    <row r="1967">
      <c r="A1967" s="14" t="inlineStr">
        <is>
          <t>2022-01-11</t>
        </is>
      </c>
      <c r="B1967" s="14" t="inlineStr">
        <is>
          <t>2022-01-12</t>
        </is>
      </c>
      <c r="C1967" s="14" t="inlineStr">
        <is>
          <t>PTA</t>
        </is>
      </c>
      <c r="D1967" s="14" t="inlineStr">
        <is>
          <t>TA</t>
        </is>
      </c>
      <c r="E1967" s="14" t="inlineStr">
        <is>
          <t>多</t>
        </is>
      </c>
      <c r="F1967" s="14" t="inlineStr">
        <is>
          <t>★★</t>
        </is>
      </c>
      <c r="G1967" s="14" t="n">
        <v>5</v>
      </c>
      <c r="H1967" s="15" t="n">
        <v>5258</v>
      </c>
      <c r="I1967" s="15" t="n">
        <v>5236</v>
      </c>
      <c r="J1967" s="14" t="n">
        <v>5</v>
      </c>
      <c r="K1967" s="14" t="n">
        <v>10000</v>
      </c>
      <c r="L1967" s="25">
        <f>IF(E1967="多",1,-1)*(I1967-H1967)*G1967*J1967</f>
        <v/>
      </c>
      <c r="M1967" s="26">
        <f>L1967/K1967</f>
        <v/>
      </c>
      <c r="N1967" s="14" t="inlineStr">
        <is>
          <t>将军撤退</t>
        </is>
      </c>
      <c r="O1967" s="14" t="inlineStr">
        <is>
          <t>是</t>
        </is>
      </c>
    </row>
    <row r="1968">
      <c r="A1968" s="14" t="inlineStr">
        <is>
          <t>2022-01-04</t>
        </is>
      </c>
      <c r="B1968" s="14" t="inlineStr">
        <is>
          <t>2022-01-11</t>
        </is>
      </c>
      <c r="C1968" s="14" t="inlineStr">
        <is>
          <t>棕榈油</t>
        </is>
      </c>
      <c r="D1968" s="14" t="inlineStr">
        <is>
          <t>P</t>
        </is>
      </c>
      <c r="E1968" s="14" t="inlineStr">
        <is>
          <t>多</t>
        </is>
      </c>
      <c r="F1968" s="14" t="inlineStr">
        <is>
          <t>★★★</t>
        </is>
      </c>
      <c r="G1968" s="14" t="n">
        <v>1</v>
      </c>
      <c r="H1968" s="15" t="n">
        <v>8736</v>
      </c>
      <c r="I1968" s="15" t="n">
        <v>8924</v>
      </c>
      <c r="J1968" s="14" t="n">
        <v>10</v>
      </c>
      <c r="K1968" s="14" t="n">
        <v>10000</v>
      </c>
      <c r="L1968" s="25">
        <f>IF(E1968="多",1,-1)*(I1968-H1968)*G1968*J1968</f>
        <v/>
      </c>
      <c r="M1968" s="26">
        <f>L1968/K1968</f>
        <v/>
      </c>
      <c r="N1968" s="14" t="inlineStr">
        <is>
          <t>将军撤退</t>
        </is>
      </c>
      <c r="O1968" s="14" t="inlineStr">
        <is>
          <t>是</t>
        </is>
      </c>
    </row>
    <row r="1969">
      <c r="A1969" s="14" t="inlineStr">
        <is>
          <t>2022-01-04</t>
        </is>
      </c>
      <c r="B1969" s="14" t="inlineStr">
        <is>
          <t>2022-01-11</t>
        </is>
      </c>
      <c r="C1969" s="14" t="inlineStr">
        <is>
          <t>沥青</t>
        </is>
      </c>
      <c r="D1969" s="14" t="inlineStr">
        <is>
          <t>BU</t>
        </is>
      </c>
      <c r="E1969" s="14" t="inlineStr">
        <is>
          <t>多</t>
        </is>
      </c>
      <c r="F1969" s="14" t="inlineStr">
        <is>
          <t>★★★</t>
        </is>
      </c>
      <c r="G1969" s="14" t="n">
        <v>4</v>
      </c>
      <c r="H1969" s="15" t="n">
        <v>3326</v>
      </c>
      <c r="I1969" s="15" t="n">
        <v>3362</v>
      </c>
      <c r="J1969" s="14" t="n">
        <v>10</v>
      </c>
      <c r="K1969" s="14" t="n">
        <v>10000</v>
      </c>
      <c r="L1969" s="25">
        <f>IF(E1969="多",1,-1)*(I1969-H1969)*G1969*J1969</f>
        <v/>
      </c>
      <c r="M1969" s="26">
        <f>L1969/K1969</f>
        <v/>
      </c>
      <c r="N1969" s="14" t="inlineStr">
        <is>
          <t>将军撤退</t>
        </is>
      </c>
      <c r="O1969" s="14" t="inlineStr">
        <is>
          <t>是</t>
        </is>
      </c>
    </row>
    <row r="1970">
      <c r="A1970" s="14" t="inlineStr">
        <is>
          <t>2022-01-06</t>
        </is>
      </c>
      <c r="B1970" s="14" t="inlineStr">
        <is>
          <t>2022-01-07</t>
        </is>
      </c>
      <c r="C1970" s="14" t="inlineStr">
        <is>
          <t>豆油</t>
        </is>
      </c>
      <c r="D1970" s="14" t="inlineStr">
        <is>
          <t>Y</t>
        </is>
      </c>
      <c r="E1970" s="14" t="inlineStr">
        <is>
          <t>多</t>
        </is>
      </c>
      <c r="F1970" s="14" t="inlineStr">
        <is>
          <t>★★</t>
        </is>
      </c>
      <c r="G1970" s="14" t="n">
        <v>1</v>
      </c>
      <c r="H1970" s="15" t="n">
        <v>8972</v>
      </c>
      <c r="I1970" s="15" t="n">
        <v>9046</v>
      </c>
      <c r="J1970" s="14" t="n">
        <v>10</v>
      </c>
      <c r="K1970" s="14" t="n">
        <v>10000</v>
      </c>
      <c r="L1970" s="25">
        <f>IF(E1970="多",1,-1)*(I1970-H1970)*G1970*J1970</f>
        <v/>
      </c>
      <c r="M1970" s="26">
        <f>L1970/K1970</f>
        <v/>
      </c>
      <c r="N1970" s="14" t="inlineStr">
        <is>
          <t>大将军转向</t>
        </is>
      </c>
      <c r="O1970" s="14" t="inlineStr">
        <is>
          <t>是</t>
        </is>
      </c>
    </row>
    <row r="1971">
      <c r="A1971" s="14" t="inlineStr">
        <is>
          <t>2022-01-05</t>
        </is>
      </c>
      <c r="B1971" s="14" t="inlineStr">
        <is>
          <t>2022-01-07</t>
        </is>
      </c>
      <c r="C1971" s="14" t="inlineStr">
        <is>
          <t>热卷</t>
        </is>
      </c>
      <c r="D1971" s="14" t="inlineStr">
        <is>
          <t>HC</t>
        </is>
      </c>
      <c r="E1971" s="14" t="inlineStr">
        <is>
          <t>多</t>
        </is>
      </c>
      <c r="F1971" s="14" t="inlineStr">
        <is>
          <t>★★</t>
        </is>
      </c>
      <c r="G1971" s="14" t="n">
        <v>3</v>
      </c>
      <c r="H1971" s="15" t="n">
        <v>4568</v>
      </c>
      <c r="I1971" s="15" t="n">
        <v>4677</v>
      </c>
      <c r="J1971" s="14" t="n">
        <v>10</v>
      </c>
      <c r="K1971" s="14" t="n">
        <v>10000</v>
      </c>
      <c r="L1971" s="25">
        <f>IF(E1971="多",1,-1)*(I1971-H1971)*G1971*J1971</f>
        <v/>
      </c>
      <c r="M1971" s="26">
        <f>L1971/K1971</f>
        <v/>
      </c>
      <c r="N1971" s="14" t="inlineStr">
        <is>
          <t>将军撤退</t>
        </is>
      </c>
      <c r="O1971" s="14" t="inlineStr">
        <is>
          <t>是</t>
        </is>
      </c>
    </row>
    <row r="1972">
      <c r="A1972" s="14" t="inlineStr">
        <is>
          <t>2022-01-04</t>
        </is>
      </c>
      <c r="B1972" s="14" t="inlineStr">
        <is>
          <t>2022-01-07</t>
        </is>
      </c>
      <c r="C1972" s="14" t="inlineStr">
        <is>
          <t>棉花</t>
        </is>
      </c>
      <c r="D1972" s="14" t="inlineStr">
        <is>
          <t>CF</t>
        </is>
      </c>
      <c r="E1972" s="14" t="inlineStr">
        <is>
          <t>多</t>
        </is>
      </c>
      <c r="F1972" s="14" t="inlineStr">
        <is>
          <t>★★★</t>
        </is>
      </c>
      <c r="G1972" s="14" t="n">
        <v>2</v>
      </c>
      <c r="H1972" s="15" t="n">
        <v>20740</v>
      </c>
      <c r="I1972" s="15" t="n">
        <v>21010</v>
      </c>
      <c r="J1972" s="14" t="n">
        <v>5</v>
      </c>
      <c r="K1972" s="14" t="n">
        <v>10000</v>
      </c>
      <c r="L1972" s="25">
        <f>IF(E1972="多",1,-1)*(I1972-H1972)*G1972*J1972</f>
        <v/>
      </c>
      <c r="M1972" s="26">
        <f>L1972/K1972</f>
        <v/>
      </c>
      <c r="N1972" s="14" t="inlineStr">
        <is>
          <t>大将军转向</t>
        </is>
      </c>
      <c r="O1972" s="14" t="inlineStr">
        <is>
          <t>是</t>
        </is>
      </c>
    </row>
    <row r="1973">
      <c r="A1973" s="14" t="inlineStr">
        <is>
          <t>2021-12-28</t>
        </is>
      </c>
      <c r="B1973" s="14" t="inlineStr">
        <is>
          <t>2022-01-07</t>
        </is>
      </c>
      <c r="C1973" s="14" t="inlineStr">
        <is>
          <t>铁矿石</t>
        </is>
      </c>
      <c r="D1973" s="14" t="inlineStr">
        <is>
          <t>I</t>
        </is>
      </c>
      <c r="E1973" s="14" t="inlineStr">
        <is>
          <t>空</t>
        </is>
      </c>
      <c r="F1973" s="14" t="inlineStr">
        <is>
          <t>★★</t>
        </is>
      </c>
      <c r="G1973" s="14" t="n">
        <v>1</v>
      </c>
      <c r="H1973" s="15" t="n">
        <v>668</v>
      </c>
      <c r="I1973" s="15" t="n">
        <v>723.89</v>
      </c>
      <c r="J1973" s="14" t="n">
        <v>100</v>
      </c>
      <c r="K1973" s="14" t="n">
        <v>10000</v>
      </c>
      <c r="L1973" s="25">
        <f>IF(E1973="多",1,-1)*(I1973-H1973)*G1973*J1973</f>
        <v/>
      </c>
      <c r="M1973" s="26">
        <f>L1973/K1973</f>
        <v/>
      </c>
      <c r="N1973" s="14" t="inlineStr">
        <is>
          <t>止损</t>
        </is>
      </c>
      <c r="O1973" s="14" t="inlineStr">
        <is>
          <t>是</t>
        </is>
      </c>
    </row>
    <row r="1974">
      <c r="A1974" s="14" t="inlineStr">
        <is>
          <t>2021-12-28</t>
        </is>
      </c>
      <c r="B1974" s="14" t="inlineStr">
        <is>
          <t>2022-01-07</t>
        </is>
      </c>
      <c r="C1974" s="14" t="inlineStr">
        <is>
          <t>沪银</t>
        </is>
      </c>
      <c r="D1974" s="14" t="inlineStr">
        <is>
          <t>AG</t>
        </is>
      </c>
      <c r="E1974" s="14" t="inlineStr">
        <is>
          <t>多</t>
        </is>
      </c>
      <c r="F1974" s="14" t="inlineStr">
        <is>
          <t>★★★</t>
        </is>
      </c>
      <c r="G1974" s="14" t="n">
        <v>2</v>
      </c>
      <c r="H1974" s="15" t="n">
        <v>4886</v>
      </c>
      <c r="I1974" s="15" t="n">
        <v>4621</v>
      </c>
      <c r="J1974" s="14" t="n">
        <v>15</v>
      </c>
      <c r="K1974" s="14" t="n">
        <v>10000</v>
      </c>
      <c r="L1974" s="25">
        <f>IF(E1974="多",1,-1)*(I1974-H1974)*G1974*J1974</f>
        <v/>
      </c>
      <c r="M1974" s="26">
        <f>L1974/K1974</f>
        <v/>
      </c>
      <c r="N1974" s="14" t="inlineStr">
        <is>
          <t>跳空止损</t>
        </is>
      </c>
      <c r="O1974" s="14" t="inlineStr">
        <is>
          <t>是</t>
        </is>
      </c>
    </row>
    <row r="1975">
      <c r="A1975" s="14" t="inlineStr">
        <is>
          <t>2021-12-24</t>
        </is>
      </c>
      <c r="B1975" s="14" t="inlineStr">
        <is>
          <t>2022-01-07</t>
        </is>
      </c>
      <c r="C1975" s="14" t="inlineStr">
        <is>
          <t>塑料</t>
        </is>
      </c>
      <c r="D1975" s="14" t="inlineStr">
        <is>
          <t>L</t>
        </is>
      </c>
      <c r="E1975" s="14" t="inlineStr">
        <is>
          <t>多</t>
        </is>
      </c>
      <c r="F1975" s="14" t="inlineStr">
        <is>
          <t>★★★</t>
        </is>
      </c>
      <c r="G1975" s="14" t="n">
        <v>3</v>
      </c>
      <c r="H1975" s="15" t="n">
        <v>8598</v>
      </c>
      <c r="I1975" s="15" t="n">
        <v>8759</v>
      </c>
      <c r="J1975" s="14" t="n">
        <v>5</v>
      </c>
      <c r="K1975" s="14" t="n">
        <v>10000</v>
      </c>
      <c r="L1975" s="25">
        <f>IF(E1975="多",1,-1)*(I1975-H1975)*G1975*J1975</f>
        <v/>
      </c>
      <c r="M1975" s="26">
        <f>L1975/K1975</f>
        <v/>
      </c>
      <c r="N1975" s="14" t="inlineStr">
        <is>
          <t>将军撤退</t>
        </is>
      </c>
      <c r="O1975" s="14" t="inlineStr">
        <is>
          <t>是</t>
        </is>
      </c>
    </row>
    <row r="1976">
      <c r="A1976" s="14" t="inlineStr">
        <is>
          <t>2021-12-27</t>
        </is>
      </c>
      <c r="B1976" s="14" t="inlineStr">
        <is>
          <t>2022-01-06</t>
        </is>
      </c>
      <c r="C1976" s="14" t="inlineStr">
        <is>
          <t>沪铝</t>
        </is>
      </c>
      <c r="D1976" s="14" t="inlineStr">
        <is>
          <t>AL</t>
        </is>
      </c>
      <c r="E1976" s="14" t="inlineStr">
        <is>
          <t>空</t>
        </is>
      </c>
      <c r="F1976" s="14" t="inlineStr">
        <is>
          <t>★★</t>
        </is>
      </c>
      <c r="G1976" s="14" t="n">
        <v>1</v>
      </c>
      <c r="H1976" s="15" t="n">
        <v>19700</v>
      </c>
      <c r="I1976" s="15" t="n">
        <v>20720.71</v>
      </c>
      <c r="J1976" s="14" t="n">
        <v>5</v>
      </c>
      <c r="K1976" s="14" t="n">
        <v>10000</v>
      </c>
      <c r="L1976" s="25">
        <f>IF(E1976="多",1,-1)*(I1976-H1976)*G1976*J1976</f>
        <v/>
      </c>
      <c r="M1976" s="26">
        <f>L1976/K1976</f>
        <v/>
      </c>
      <c r="N1976" s="14" t="inlineStr">
        <is>
          <t>止损</t>
        </is>
      </c>
      <c r="O1976" s="14" t="inlineStr">
        <is>
          <t>是</t>
        </is>
      </c>
    </row>
    <row r="1977">
      <c r="A1977" s="2" t="inlineStr">
        <is>
          <t>2022-01-04</t>
        </is>
      </c>
      <c r="B1977" s="2" t="inlineStr">
        <is>
          <t>2022-01-05</t>
        </is>
      </c>
      <c r="C1977" s="2" t="inlineStr">
        <is>
          <t>PTA</t>
        </is>
      </c>
      <c r="D1977" s="2" t="inlineStr">
        <is>
          <t>TA</t>
        </is>
      </c>
      <c r="E1977" s="19" t="inlineStr">
        <is>
          <t>多</t>
        </is>
      </c>
      <c r="F1977" s="2" t="inlineStr">
        <is>
          <t>★★★</t>
        </is>
      </c>
      <c r="G1977" s="10" t="n">
        <v>2</v>
      </c>
      <c r="H1977" s="11" t="n">
        <v>5070</v>
      </c>
      <c r="I1977" s="11" t="n">
        <v>5138</v>
      </c>
      <c r="J1977" s="10" t="n">
        <v>5</v>
      </c>
      <c r="K1977" s="10" t="n">
        <v>3900</v>
      </c>
      <c r="L1977" s="23">
        <f>IF(E1977="多",1,-1)*(I1977-H1977)*G1977*J1977</f>
        <v/>
      </c>
      <c r="M1977" s="24">
        <f>L1977/K1977</f>
        <v/>
      </c>
      <c r="N1977" s="2" t="inlineStr">
        <is>
          <t>将军撤退</t>
        </is>
      </c>
      <c r="O1977" s="2" t="inlineStr">
        <is>
          <t>否</t>
        </is>
      </c>
    </row>
    <row r="1978">
      <c r="A1978" s="14" t="inlineStr">
        <is>
          <t>2021-12-29</t>
        </is>
      </c>
      <c r="B1978" s="14" t="inlineStr">
        <is>
          <t>2022-01-04</t>
        </is>
      </c>
      <c r="C1978" s="14" t="inlineStr">
        <is>
          <t>棕榈油</t>
        </is>
      </c>
      <c r="D1978" s="14" t="inlineStr">
        <is>
          <t>P</t>
        </is>
      </c>
      <c r="E1978" s="14" t="inlineStr">
        <is>
          <t>空</t>
        </is>
      </c>
      <c r="F1978" s="14" t="inlineStr">
        <is>
          <t>★★</t>
        </is>
      </c>
      <c r="G1978" s="14" t="n">
        <v>1</v>
      </c>
      <c r="H1978" s="15" t="n">
        <v>8346</v>
      </c>
      <c r="I1978" s="15" t="n">
        <v>8682</v>
      </c>
      <c r="J1978" s="14" t="n">
        <v>10</v>
      </c>
      <c r="K1978" s="14" t="n">
        <v>10000</v>
      </c>
      <c r="L1978" s="25">
        <f>IF(E1978="多",1,-1)*(I1978-H1978)*G1978*J1978</f>
        <v/>
      </c>
      <c r="M1978" s="26">
        <f>L1978/K1978</f>
        <v/>
      </c>
      <c r="N1978" s="14" t="inlineStr">
        <is>
          <t>反向信号</t>
        </is>
      </c>
      <c r="O1978" s="14" t="inlineStr">
        <is>
          <t>是</t>
        </is>
      </c>
    </row>
    <row r="1979">
      <c r="A1979" s="14" t="inlineStr">
        <is>
          <t>2021-11-16</t>
        </is>
      </c>
      <c r="B1979" s="14" t="inlineStr">
        <is>
          <t>2022-01-04</t>
        </is>
      </c>
      <c r="C1979" s="14" t="inlineStr">
        <is>
          <t>豆粕</t>
        </is>
      </c>
      <c r="D1979" s="14" t="inlineStr">
        <is>
          <t>M</t>
        </is>
      </c>
      <c r="E1979" s="14" t="inlineStr">
        <is>
          <t>多</t>
        </is>
      </c>
      <c r="F1979" s="14" t="inlineStr">
        <is>
          <t>★★★</t>
        </is>
      </c>
      <c r="G1979" s="14" t="n">
        <v>5</v>
      </c>
      <c r="H1979" s="15" t="n">
        <v>3037</v>
      </c>
      <c r="I1979" s="15" t="n">
        <v>3250</v>
      </c>
      <c r="J1979" s="14" t="n">
        <v>10</v>
      </c>
      <c r="K1979" s="14" t="n">
        <v>10000</v>
      </c>
      <c r="L1979" s="25">
        <f>IF(E1979="多",1,-1)*(I1979-H1979)*G1979*J1979</f>
        <v/>
      </c>
      <c r="M1979" s="26">
        <f>L1979/K1979</f>
        <v/>
      </c>
      <c r="N1979" s="14" t="inlineStr">
        <is>
          <t>大将军转向</t>
        </is>
      </c>
      <c r="O1979" s="14" t="inlineStr">
        <is>
          <t>是</t>
        </is>
      </c>
    </row>
    <row r="1980">
      <c r="A1980" s="14" t="inlineStr">
        <is>
          <t>2021-12-30</t>
        </is>
      </c>
      <c r="B1980" s="14" t="inlineStr">
        <is>
          <t>2021-12-31</t>
        </is>
      </c>
      <c r="C1980" s="14" t="inlineStr">
        <is>
          <t>豆油</t>
        </is>
      </c>
      <c r="D1980" s="14" t="inlineStr">
        <is>
          <t>Y</t>
        </is>
      </c>
      <c r="E1980" s="14" t="inlineStr">
        <is>
          <t>多</t>
        </is>
      </c>
      <c r="F1980" s="14" t="inlineStr">
        <is>
          <t>★★</t>
        </is>
      </c>
      <c r="G1980" s="14" t="n">
        <v>1</v>
      </c>
      <c r="H1980" s="15" t="n">
        <v>8816</v>
      </c>
      <c r="I1980" s="15" t="n">
        <v>8880</v>
      </c>
      <c r="J1980" s="14" t="n">
        <v>10</v>
      </c>
      <c r="K1980" s="14" t="n">
        <v>10000</v>
      </c>
      <c r="L1980" s="25">
        <f>IF(E1980="多",1,-1)*(I1980-H1980)*G1980*J1980</f>
        <v/>
      </c>
      <c r="M1980" s="26">
        <f>L1980/K1980</f>
        <v/>
      </c>
      <c r="N1980" s="14" t="inlineStr">
        <is>
          <t>大将军转向</t>
        </is>
      </c>
      <c r="O1980" s="14" t="inlineStr">
        <is>
          <t>是</t>
        </is>
      </c>
    </row>
    <row r="1981">
      <c r="A1981" s="14" t="inlineStr">
        <is>
          <t>2021-12-29</t>
        </is>
      </c>
      <c r="B1981" s="14" t="inlineStr">
        <is>
          <t>2021-12-30</t>
        </is>
      </c>
      <c r="C1981" s="14" t="inlineStr">
        <is>
          <t>PTA</t>
        </is>
      </c>
      <c r="D1981" s="14" t="inlineStr">
        <is>
          <t>TA</t>
        </is>
      </c>
      <c r="E1981" s="14" t="inlineStr">
        <is>
          <t>多</t>
        </is>
      </c>
      <c r="F1981" s="14" t="inlineStr">
        <is>
          <t>★★★</t>
        </is>
      </c>
      <c r="G1981" s="14" t="n">
        <v>5</v>
      </c>
      <c r="H1981" s="15" t="n">
        <v>4940</v>
      </c>
      <c r="I1981" s="15" t="n">
        <v>4980</v>
      </c>
      <c r="J1981" s="14" t="n">
        <v>5</v>
      </c>
      <c r="K1981" s="14" t="n">
        <v>10000</v>
      </c>
      <c r="L1981" s="25">
        <f>IF(E1981="多",1,-1)*(I1981-H1981)*G1981*J1981</f>
        <v/>
      </c>
      <c r="M1981" s="26">
        <f>L1981/K1981</f>
        <v/>
      </c>
      <c r="N1981" s="14" t="inlineStr">
        <is>
          <t>大将军转向</t>
        </is>
      </c>
      <c r="O1981" s="14" t="inlineStr">
        <is>
          <t>是</t>
        </is>
      </c>
    </row>
    <row r="1982">
      <c r="A1982" s="14" t="inlineStr">
        <is>
          <t>2021-12-24</t>
        </is>
      </c>
      <c r="B1982" s="14" t="inlineStr">
        <is>
          <t>2021-12-29</t>
        </is>
      </c>
      <c r="C1982" s="14" t="inlineStr">
        <is>
          <t>PVC</t>
        </is>
      </c>
      <c r="D1982" s="14" t="inlineStr">
        <is>
          <t>V</t>
        </is>
      </c>
      <c r="E1982" s="14" t="inlineStr">
        <is>
          <t>多</t>
        </is>
      </c>
      <c r="F1982" s="14" t="inlineStr">
        <is>
          <t>★★</t>
        </is>
      </c>
      <c r="G1982" s="14" t="n">
        <v>2</v>
      </c>
      <c r="H1982" s="15" t="n">
        <v>8500</v>
      </c>
      <c r="I1982" s="15" t="n">
        <v>8484</v>
      </c>
      <c r="J1982" s="14" t="n">
        <v>5</v>
      </c>
      <c r="K1982" s="14" t="n">
        <v>10000</v>
      </c>
      <c r="L1982" s="25">
        <f>IF(E1982="多",1,-1)*(I1982-H1982)*G1982*J1982</f>
        <v/>
      </c>
      <c r="M1982" s="26">
        <f>L1982/K1982</f>
        <v/>
      </c>
      <c r="N1982" s="14" t="inlineStr">
        <is>
          <t>将军撤退</t>
        </is>
      </c>
      <c r="O1982" s="14" t="inlineStr">
        <is>
          <t>是</t>
        </is>
      </c>
    </row>
    <row r="1983">
      <c r="A1983" s="14" t="inlineStr">
        <is>
          <t>2021-12-16</t>
        </is>
      </c>
      <c r="B1983" s="14" t="inlineStr">
        <is>
          <t>2021-12-29</t>
        </is>
      </c>
      <c r="C1983" s="14" t="inlineStr">
        <is>
          <t>螺纹钢</t>
        </is>
      </c>
      <c r="D1983" s="14" t="inlineStr">
        <is>
          <t>RB</t>
        </is>
      </c>
      <c r="E1983" s="14" t="inlineStr">
        <is>
          <t>多</t>
        </is>
      </c>
      <c r="F1983" s="14" t="inlineStr">
        <is>
          <t>★★★</t>
        </is>
      </c>
      <c r="G1983" s="14" t="n">
        <v>2</v>
      </c>
      <c r="H1983" s="15" t="n">
        <v>4529</v>
      </c>
      <c r="I1983" s="15" t="n">
        <v>4291.57</v>
      </c>
      <c r="J1983" s="14" t="n">
        <v>10</v>
      </c>
      <c r="K1983" s="14" t="n">
        <v>10000</v>
      </c>
      <c r="L1983" s="25">
        <f>IF(E1983="多",1,-1)*(I1983-H1983)*G1983*J1983</f>
        <v/>
      </c>
      <c r="M1983" s="26">
        <f>L1983/K1983</f>
        <v/>
      </c>
      <c r="N1983" s="14" t="inlineStr">
        <is>
          <t>止损</t>
        </is>
      </c>
      <c r="O1983" s="14" t="inlineStr">
        <is>
          <t>是</t>
        </is>
      </c>
    </row>
    <row r="1984">
      <c r="A1984" s="14" t="inlineStr">
        <is>
          <t>2021-12-23</t>
        </is>
      </c>
      <c r="B1984" s="14" t="inlineStr">
        <is>
          <t>2021-12-28</t>
        </is>
      </c>
      <c r="C1984" s="14" t="inlineStr">
        <is>
          <t>棉花</t>
        </is>
      </c>
      <c r="D1984" s="14" t="inlineStr">
        <is>
          <t>CF</t>
        </is>
      </c>
      <c r="E1984" s="14" t="inlineStr">
        <is>
          <t>多</t>
        </is>
      </c>
      <c r="F1984" s="14" t="inlineStr">
        <is>
          <t>★★★</t>
        </is>
      </c>
      <c r="G1984" s="14" t="n">
        <v>2</v>
      </c>
      <c r="H1984" s="15" t="n">
        <v>20100</v>
      </c>
      <c r="I1984" s="15" t="n">
        <v>20250</v>
      </c>
      <c r="J1984" s="14" t="n">
        <v>5</v>
      </c>
      <c r="K1984" s="14" t="n">
        <v>10000</v>
      </c>
      <c r="L1984" s="25">
        <f>IF(E1984="多",1,-1)*(I1984-H1984)*G1984*J1984</f>
        <v/>
      </c>
      <c r="M1984" s="26">
        <f>L1984/K1984</f>
        <v/>
      </c>
      <c r="N1984" s="14" t="inlineStr">
        <is>
          <t>将军撤退</t>
        </is>
      </c>
      <c r="O1984" s="14" t="inlineStr">
        <is>
          <t>是</t>
        </is>
      </c>
    </row>
    <row r="1985">
      <c r="A1985" s="14" t="inlineStr">
        <is>
          <t>2021-12-23</t>
        </is>
      </c>
      <c r="B1985" s="14" t="inlineStr">
        <is>
          <t>2021-12-27</t>
        </is>
      </c>
      <c r="C1985" s="14" t="inlineStr">
        <is>
          <t>沪铝</t>
        </is>
      </c>
      <c r="D1985" s="14" t="inlineStr">
        <is>
          <t>AL</t>
        </is>
      </c>
      <c r="E1985" s="14" t="inlineStr">
        <is>
          <t>多</t>
        </is>
      </c>
      <c r="F1985" s="14" t="inlineStr">
        <is>
          <t>★★</t>
        </is>
      </c>
      <c r="G1985" s="14" t="n">
        <v>1</v>
      </c>
      <c r="H1985" s="15" t="n">
        <v>20240</v>
      </c>
      <c r="I1985" s="15" t="n">
        <v>19665</v>
      </c>
      <c r="J1985" s="14" t="n">
        <v>5</v>
      </c>
      <c r="K1985" s="14" t="n">
        <v>10000</v>
      </c>
      <c r="L1985" s="25">
        <f>IF(E1985="多",1,-1)*(I1985-H1985)*G1985*J1985</f>
        <v/>
      </c>
      <c r="M1985" s="26">
        <f>L1985/K1985</f>
        <v/>
      </c>
      <c r="N1985" s="14" t="inlineStr">
        <is>
          <t>反向信号</t>
        </is>
      </c>
      <c r="O1985" s="14" t="inlineStr">
        <is>
          <t>是</t>
        </is>
      </c>
    </row>
    <row r="1986">
      <c r="A1986" s="14" t="inlineStr">
        <is>
          <t>2021-12-23</t>
        </is>
      </c>
      <c r="B1986" s="14" t="inlineStr">
        <is>
          <t>2021-12-24</t>
        </is>
      </c>
      <c r="C1986" s="14" t="inlineStr">
        <is>
          <t>白糖</t>
        </is>
      </c>
      <c r="D1986" s="14" t="inlineStr">
        <is>
          <t>SR</t>
        </is>
      </c>
      <c r="E1986" s="14" t="inlineStr">
        <is>
          <t>多</t>
        </is>
      </c>
      <c r="F1986" s="14" t="inlineStr">
        <is>
          <t>★★</t>
        </is>
      </c>
      <c r="G1986" s="14" t="n">
        <v>4</v>
      </c>
      <c r="H1986" s="15" t="n">
        <v>5744</v>
      </c>
      <c r="I1986" s="15" t="n">
        <v>5748</v>
      </c>
      <c r="J1986" s="14" t="n">
        <v>10</v>
      </c>
      <c r="K1986" s="14" t="n">
        <v>10000</v>
      </c>
      <c r="L1986" s="25">
        <f>IF(E1986="多",1,-1)*(I1986-H1986)*G1986*J1986</f>
        <v/>
      </c>
      <c r="M1986" s="26">
        <f>L1986/K1986</f>
        <v/>
      </c>
      <c r="N1986" s="14" t="inlineStr">
        <is>
          <t>大将军转向</t>
        </is>
      </c>
      <c r="O1986" s="14" t="inlineStr">
        <is>
          <t>是</t>
        </is>
      </c>
    </row>
    <row r="1987">
      <c r="A1987" s="2" t="inlineStr">
        <is>
          <t>2021-12-15</t>
        </is>
      </c>
      <c r="B1987" s="2" t="inlineStr">
        <is>
          <t>2021-12-24</t>
        </is>
      </c>
      <c r="C1987" s="2" t="inlineStr">
        <is>
          <t>棕榈油</t>
        </is>
      </c>
      <c r="D1987" s="2" t="inlineStr">
        <is>
          <t>P</t>
        </is>
      </c>
      <c r="E1987" s="9" t="inlineStr">
        <is>
          <t>空</t>
        </is>
      </c>
      <c r="F1987" s="2" t="inlineStr">
        <is>
          <t>★★</t>
        </is>
      </c>
      <c r="G1987" s="10" t="n">
        <v>1</v>
      </c>
      <c r="H1987" s="11" t="n">
        <v>7634</v>
      </c>
      <c r="I1987" s="11" t="n">
        <v>8347.57</v>
      </c>
      <c r="J1987" s="10" t="n">
        <v>10</v>
      </c>
      <c r="K1987" s="10" t="n">
        <v>14100</v>
      </c>
      <c r="L1987" s="23">
        <f>IF(E1987="多",1,-1)*(I1987-H1987)*G1987*J1987</f>
        <v/>
      </c>
      <c r="M1987" s="24">
        <f>L1987/K1987</f>
        <v/>
      </c>
      <c r="N1987" s="2" t="inlineStr">
        <is>
          <t>止损</t>
        </is>
      </c>
      <c r="O1987" s="2" t="inlineStr">
        <is>
          <t>否</t>
        </is>
      </c>
    </row>
    <row r="1988">
      <c r="A1988" s="2" t="inlineStr">
        <is>
          <t>2021-12-15</t>
        </is>
      </c>
      <c r="B1988" s="2" t="inlineStr">
        <is>
          <t>2021-12-24</t>
        </is>
      </c>
      <c r="C1988" s="2" t="inlineStr">
        <is>
          <t>沪金</t>
        </is>
      </c>
      <c r="D1988" s="2" t="inlineStr">
        <is>
          <t>AU</t>
        </is>
      </c>
      <c r="E1988" s="9" t="inlineStr">
        <is>
          <t>空</t>
        </is>
      </c>
      <c r="F1988" s="2" t="inlineStr">
        <is>
          <t>★★</t>
        </is>
      </c>
      <c r="G1988" s="10" t="n">
        <v>1</v>
      </c>
      <c r="H1988" s="11" t="n">
        <v>365</v>
      </c>
      <c r="I1988" s="11" t="n">
        <v>373.87</v>
      </c>
      <c r="J1988" s="10" t="n">
        <v>1000</v>
      </c>
      <c r="K1988" s="10" t="n">
        <v>14100</v>
      </c>
      <c r="L1988" s="23">
        <f>IF(E1988="多",1,-1)*(I1988-H1988)*G1988*J1988</f>
        <v/>
      </c>
      <c r="M1988" s="24">
        <f>L1988/K1988</f>
        <v/>
      </c>
      <c r="N1988" s="2" t="inlineStr">
        <is>
          <t>止损</t>
        </is>
      </c>
      <c r="O1988" s="2" t="inlineStr">
        <is>
          <t>否</t>
        </is>
      </c>
    </row>
    <row r="1989">
      <c r="A1989" s="14" t="inlineStr">
        <is>
          <t>2021-12-16</t>
        </is>
      </c>
      <c r="B1989" s="14" t="inlineStr">
        <is>
          <t>2021-12-23</t>
        </is>
      </c>
      <c r="C1989" s="14" t="inlineStr">
        <is>
          <t>热卷</t>
        </is>
      </c>
      <c r="D1989" s="14" t="inlineStr">
        <is>
          <t>HC</t>
        </is>
      </c>
      <c r="E1989" s="14" t="inlineStr">
        <is>
          <t>多</t>
        </is>
      </c>
      <c r="F1989" s="14" t="inlineStr">
        <is>
          <t>★★★</t>
        </is>
      </c>
      <c r="G1989" s="14" t="n">
        <v>2</v>
      </c>
      <c r="H1989" s="15" t="n">
        <v>4715</v>
      </c>
      <c r="I1989" s="15" t="n">
        <v>4584</v>
      </c>
      <c r="J1989" s="14" t="n">
        <v>10</v>
      </c>
      <c r="K1989" s="14" t="n">
        <v>10000</v>
      </c>
      <c r="L1989" s="25">
        <f>IF(E1989="多",1,-1)*(I1989-H1989)*G1989*J1989</f>
        <v/>
      </c>
      <c r="M1989" s="26">
        <f>L1989/K1989</f>
        <v/>
      </c>
      <c r="N1989" s="14" t="inlineStr">
        <is>
          <t>将军撤退+大将军转向</t>
        </is>
      </c>
      <c r="O1989" s="14" t="inlineStr">
        <is>
          <t>是</t>
        </is>
      </c>
    </row>
    <row r="1990">
      <c r="A1990" s="2" t="inlineStr">
        <is>
          <t>2021-12-15</t>
        </is>
      </c>
      <c r="B1990" s="2" t="inlineStr">
        <is>
          <t>2021-12-23</t>
        </is>
      </c>
      <c r="C1990" s="2" t="inlineStr">
        <is>
          <t>沥青</t>
        </is>
      </c>
      <c r="D1990" s="2" t="inlineStr">
        <is>
          <t>BU</t>
        </is>
      </c>
      <c r="E1990" s="9" t="inlineStr">
        <is>
          <t>空</t>
        </is>
      </c>
      <c r="F1990" s="2" t="inlineStr">
        <is>
          <t>★★</t>
        </is>
      </c>
      <c r="G1990" s="10" t="n">
        <v>4</v>
      </c>
      <c r="H1990" s="11" t="n">
        <v>2924</v>
      </c>
      <c r="I1990" s="11" t="n">
        <v>3171.57</v>
      </c>
      <c r="J1990" s="10" t="n">
        <v>10</v>
      </c>
      <c r="K1990" s="10" t="n">
        <v>14100</v>
      </c>
      <c r="L1990" s="23">
        <f>IF(E1990="多",1,-1)*(I1990-H1990)*G1990*J1990</f>
        <v/>
      </c>
      <c r="M1990" s="24">
        <f>L1990/K1990</f>
        <v/>
      </c>
      <c r="N1990" s="2" t="inlineStr">
        <is>
          <t>止损</t>
        </is>
      </c>
      <c r="O1990" s="2" t="inlineStr">
        <is>
          <t>否</t>
        </is>
      </c>
    </row>
    <row r="1991">
      <c r="A1991" s="14" t="inlineStr">
        <is>
          <t>2021-12-17</t>
        </is>
      </c>
      <c r="B1991" s="14" t="inlineStr">
        <is>
          <t>2021-12-22</t>
        </is>
      </c>
      <c r="C1991" s="14" t="inlineStr">
        <is>
          <t>沪铝</t>
        </is>
      </c>
      <c r="D1991" s="14" t="inlineStr">
        <is>
          <t>AL</t>
        </is>
      </c>
      <c r="E1991" s="14" t="inlineStr">
        <is>
          <t>多</t>
        </is>
      </c>
      <c r="F1991" s="14" t="inlineStr">
        <is>
          <t>★★★</t>
        </is>
      </c>
      <c r="G1991" s="14" t="n">
        <v>1</v>
      </c>
      <c r="H1991" s="15" t="n">
        <v>19770</v>
      </c>
      <c r="I1991" s="15" t="n">
        <v>20080</v>
      </c>
      <c r="J1991" s="14" t="n">
        <v>5</v>
      </c>
      <c r="K1991" s="14" t="n">
        <v>10000</v>
      </c>
      <c r="L1991" s="25">
        <f>IF(E1991="多",1,-1)*(I1991-H1991)*G1991*J1991</f>
        <v/>
      </c>
      <c r="M1991" s="26">
        <f>L1991/K1991</f>
        <v/>
      </c>
      <c r="N1991" s="14" t="inlineStr">
        <is>
          <t>大将军转向</t>
        </is>
      </c>
      <c r="O1991" s="14" t="inlineStr">
        <is>
          <t>是</t>
        </is>
      </c>
    </row>
    <row r="1992">
      <c r="A1992" s="14" t="inlineStr">
        <is>
          <t>2021-12-14</t>
        </is>
      </c>
      <c r="B1992" s="14" t="inlineStr">
        <is>
          <t>2021-12-20</t>
        </is>
      </c>
      <c r="C1992" s="14" t="inlineStr">
        <is>
          <t>白糖</t>
        </is>
      </c>
      <c r="D1992" s="14" t="inlineStr">
        <is>
          <t>SR</t>
        </is>
      </c>
      <c r="E1992" s="14" t="inlineStr">
        <is>
          <t>空</t>
        </is>
      </c>
      <c r="F1992" s="14" t="inlineStr">
        <is>
          <t>★★★</t>
        </is>
      </c>
      <c r="G1992" s="14" t="n">
        <v>4</v>
      </c>
      <c r="H1992" s="15" t="n">
        <v>5802</v>
      </c>
      <c r="I1992" s="15" t="n">
        <v>5705</v>
      </c>
      <c r="J1992" s="14" t="n">
        <v>10</v>
      </c>
      <c r="K1992" s="14" t="n">
        <v>10000</v>
      </c>
      <c r="L1992" s="25">
        <f>IF(E1992="多",1,-1)*(I1992-H1992)*G1992*J1992</f>
        <v/>
      </c>
      <c r="M1992" s="26">
        <f>L1992/K1992</f>
        <v/>
      </c>
      <c r="N1992" s="14" t="inlineStr">
        <is>
          <t>将军撤退</t>
        </is>
      </c>
      <c r="O1992" s="14" t="inlineStr">
        <is>
          <t>是</t>
        </is>
      </c>
    </row>
    <row r="1993">
      <c r="A1993" s="2" t="inlineStr">
        <is>
          <t>2021-11-29</t>
        </is>
      </c>
      <c r="B1993" s="2" t="inlineStr">
        <is>
          <t>2021-12-16</t>
        </is>
      </c>
      <c r="C1993" s="2" t="inlineStr">
        <is>
          <t>热卷</t>
        </is>
      </c>
      <c r="D1993" s="2" t="inlineStr">
        <is>
          <t>HC</t>
        </is>
      </c>
      <c r="E1993" s="9" t="inlineStr">
        <is>
          <t>空</t>
        </is>
      </c>
      <c r="F1993" s="2" t="inlineStr">
        <is>
          <t>★★</t>
        </is>
      </c>
      <c r="G1993" s="10" t="n">
        <v>1</v>
      </c>
      <c r="H1993" s="11" t="n">
        <v>4317</v>
      </c>
      <c r="I1993" s="11" t="n">
        <v>4663.64</v>
      </c>
      <c r="J1993" s="10" t="n">
        <v>10</v>
      </c>
      <c r="K1993" s="10" t="n">
        <v>9000</v>
      </c>
      <c r="L1993" s="23">
        <f>IF(E1993="多",1,-1)*(I1993-H1993)*G1993*J1993</f>
        <v/>
      </c>
      <c r="M1993" s="24">
        <f>L1993/K1993</f>
        <v/>
      </c>
      <c r="N1993" s="2" t="inlineStr">
        <is>
          <t>止损</t>
        </is>
      </c>
      <c r="O1993" s="2" t="inlineStr">
        <is>
          <t>否</t>
        </is>
      </c>
    </row>
    <row r="1994">
      <c r="A1994" s="14" t="inlineStr">
        <is>
          <t>2021-10-29</t>
        </is>
      </c>
      <c r="B1994" s="14" t="inlineStr">
        <is>
          <t>2021-12-15</t>
        </is>
      </c>
      <c r="C1994" s="14" t="inlineStr">
        <is>
          <t>塑料</t>
        </is>
      </c>
      <c r="D1994" s="14" t="inlineStr">
        <is>
          <t>L</t>
        </is>
      </c>
      <c r="E1994" s="14" t="inlineStr">
        <is>
          <t>空</t>
        </is>
      </c>
      <c r="F1994" s="14" t="inlineStr">
        <is>
          <t>★★★</t>
        </is>
      </c>
      <c r="G1994" s="14" t="n">
        <v>1</v>
      </c>
      <c r="H1994" s="15" t="n">
        <v>8763</v>
      </c>
      <c r="I1994" s="15" t="n">
        <v>9075</v>
      </c>
      <c r="J1994" s="14" t="n">
        <v>5</v>
      </c>
      <c r="K1994" s="14" t="n">
        <v>10000</v>
      </c>
      <c r="L1994" s="25">
        <f>IF(E1994="多",1,-1)*(I1994-H1994)*G1994*J1994</f>
        <v/>
      </c>
      <c r="M1994" s="26">
        <f>L1994/K1994</f>
        <v/>
      </c>
      <c r="N1994" s="14" t="inlineStr">
        <is>
          <t>跳空止损</t>
        </is>
      </c>
      <c r="O1994" s="14" t="inlineStr">
        <is>
          <t>是</t>
        </is>
      </c>
    </row>
    <row r="1995">
      <c r="A1995" s="2" t="inlineStr">
        <is>
          <t>2021-12-13</t>
        </is>
      </c>
      <c r="B1995" s="2" t="inlineStr">
        <is>
          <t>2021-12-14</t>
        </is>
      </c>
      <c r="C1995" s="2" t="inlineStr">
        <is>
          <t>甲醇</t>
        </is>
      </c>
      <c r="D1995" s="2" t="inlineStr">
        <is>
          <t>MA</t>
        </is>
      </c>
      <c r="E1995" s="19" t="inlineStr">
        <is>
          <t>多</t>
        </is>
      </c>
      <c r="F1995" s="2" t="inlineStr">
        <is>
          <t>★★</t>
        </is>
      </c>
      <c r="G1995" s="10" t="n">
        <v>5</v>
      </c>
      <c r="H1995" s="11" t="n">
        <v>2698</v>
      </c>
      <c r="I1995" s="11" t="n">
        <v>2715</v>
      </c>
      <c r="J1995" s="10" t="n">
        <v>10</v>
      </c>
      <c r="K1995" s="10" t="n">
        <v>14600</v>
      </c>
      <c r="L1995" s="23">
        <f>IF(E1995="多",1,-1)*(I1995-H1995)*G1995*J1995</f>
        <v/>
      </c>
      <c r="M1995" s="24">
        <f>L1995/K1995</f>
        <v/>
      </c>
      <c r="N1995" s="2" t="inlineStr">
        <is>
          <t>大将军转向</t>
        </is>
      </c>
      <c r="O1995" s="2" t="inlineStr">
        <is>
          <t>否</t>
        </is>
      </c>
    </row>
    <row r="1996">
      <c r="A1996" s="2" t="inlineStr">
        <is>
          <t>2021-12-13</t>
        </is>
      </c>
      <c r="B1996" s="2" t="inlineStr">
        <is>
          <t>2021-12-14</t>
        </is>
      </c>
      <c r="C1996" s="2" t="inlineStr">
        <is>
          <t>棉花</t>
        </is>
      </c>
      <c r="D1996" s="2" t="inlineStr">
        <is>
          <t>CF</t>
        </is>
      </c>
      <c r="E1996" s="19" t="inlineStr">
        <is>
          <t>多</t>
        </is>
      </c>
      <c r="F1996" s="2" t="inlineStr">
        <is>
          <t>★★</t>
        </is>
      </c>
      <c r="G1996" s="10" t="n">
        <v>2</v>
      </c>
      <c r="H1996" s="11" t="n">
        <v>19585</v>
      </c>
      <c r="I1996" s="11" t="n">
        <v>19485</v>
      </c>
      <c r="J1996" s="10" t="n">
        <v>5</v>
      </c>
      <c r="K1996" s="10" t="n">
        <v>14600</v>
      </c>
      <c r="L1996" s="23">
        <f>IF(E1996="多",1,-1)*(I1996-H1996)*G1996*J1996</f>
        <v/>
      </c>
      <c r="M1996" s="24">
        <f>L1996/K1996</f>
        <v/>
      </c>
      <c r="N1996" s="2" t="inlineStr">
        <is>
          <t>大将军转向</t>
        </is>
      </c>
      <c r="O1996" s="2" t="inlineStr">
        <is>
          <t>否</t>
        </is>
      </c>
    </row>
    <row r="1997">
      <c r="A1997" s="2" t="inlineStr">
        <is>
          <t>2021-12-10</t>
        </is>
      </c>
      <c r="B1997" s="2" t="inlineStr">
        <is>
          <t>2021-12-13</t>
        </is>
      </c>
      <c r="C1997" s="2" t="inlineStr">
        <is>
          <t>玉米</t>
        </is>
      </c>
      <c r="D1997" s="2" t="inlineStr">
        <is>
          <t>C</t>
        </is>
      </c>
      <c r="E1997" s="19" t="inlineStr">
        <is>
          <t>多</t>
        </is>
      </c>
      <c r="F1997" s="2" t="inlineStr">
        <is>
          <t>★★</t>
        </is>
      </c>
      <c r="G1997" s="10" t="n">
        <v>9</v>
      </c>
      <c r="H1997" s="11" t="n">
        <v>2709</v>
      </c>
      <c r="I1997" s="11" t="n">
        <v>2732</v>
      </c>
      <c r="J1997" s="10" t="n">
        <v>10</v>
      </c>
      <c r="K1997" s="10" t="n">
        <v>8100</v>
      </c>
      <c r="L1997" s="23">
        <f>IF(E1997="多",1,-1)*(I1997-H1997)*G1997*J1997</f>
        <v/>
      </c>
      <c r="M1997" s="24">
        <f>L1997/K1997</f>
        <v/>
      </c>
      <c r="N1997" s="2" t="inlineStr">
        <is>
          <t>将军撤退</t>
        </is>
      </c>
      <c r="O1997" s="2" t="inlineStr">
        <is>
          <t>否</t>
        </is>
      </c>
    </row>
    <row r="1998">
      <c r="A1998" s="14" t="inlineStr">
        <is>
          <t>2021-12-09</t>
        </is>
      </c>
      <c r="B1998" s="14" t="inlineStr">
        <is>
          <t>2021-12-10</t>
        </is>
      </c>
      <c r="C1998" s="14" t="inlineStr">
        <is>
          <t>沪银</t>
        </is>
      </c>
      <c r="D1998" s="14" t="inlineStr">
        <is>
          <t>AG</t>
        </is>
      </c>
      <c r="E1998" s="14" t="inlineStr">
        <is>
          <t>空</t>
        </is>
      </c>
      <c r="F1998" s="14" t="inlineStr">
        <is>
          <t>★★★</t>
        </is>
      </c>
      <c r="G1998" s="14" t="n">
        <v>2</v>
      </c>
      <c r="H1998" s="15" t="n">
        <v>4660</v>
      </c>
      <c r="I1998" s="15" t="n">
        <v>4600</v>
      </c>
      <c r="J1998" s="14" t="n">
        <v>15</v>
      </c>
      <c r="K1998" s="14" t="n">
        <v>10000</v>
      </c>
      <c r="L1998" s="25">
        <f>IF(E1998="多",1,-1)*(I1998-H1998)*G1998*J1998</f>
        <v/>
      </c>
      <c r="M1998" s="26">
        <f>L1998/K1998</f>
        <v/>
      </c>
      <c r="N1998" s="14" t="inlineStr">
        <is>
          <t>将军撤退+大将军转向</t>
        </is>
      </c>
      <c r="O1998" s="14" t="inlineStr">
        <is>
          <t>是</t>
        </is>
      </c>
    </row>
    <row r="1999">
      <c r="A1999" s="14" t="inlineStr">
        <is>
          <t>2021-12-06</t>
        </is>
      </c>
      <c r="B1999" s="14" t="inlineStr">
        <is>
          <t>2021-12-10</t>
        </is>
      </c>
      <c r="C1999" s="14" t="inlineStr">
        <is>
          <t>甲醇</t>
        </is>
      </c>
      <c r="D1999" s="14" t="inlineStr">
        <is>
          <t>MA</t>
        </is>
      </c>
      <c r="E1999" s="14" t="inlineStr">
        <is>
          <t>多</t>
        </is>
      </c>
      <c r="F1999" s="14" t="inlineStr">
        <is>
          <t>★★</t>
        </is>
      </c>
      <c r="G1999" s="14" t="n">
        <v>3</v>
      </c>
      <c r="H1999" s="15" t="n">
        <v>2693</v>
      </c>
      <c r="I1999" s="15" t="n">
        <v>2628</v>
      </c>
      <c r="J1999" s="14" t="n">
        <v>10</v>
      </c>
      <c r="K1999" s="14" t="n">
        <v>10000</v>
      </c>
      <c r="L1999" s="25">
        <f>IF(E1999="多",1,-1)*(I1999-H1999)*G1999*J1999</f>
        <v/>
      </c>
      <c r="M1999" s="26">
        <f>L1999/K1999</f>
        <v/>
      </c>
      <c r="N1999" s="14" t="inlineStr">
        <is>
          <t>将军撤退</t>
        </is>
      </c>
      <c r="O1999" s="14" t="inlineStr">
        <is>
          <t>是</t>
        </is>
      </c>
    </row>
    <row r="2000">
      <c r="A2000" s="14" t="inlineStr">
        <is>
          <t>2021-12-03</t>
        </is>
      </c>
      <c r="B2000" s="14" t="inlineStr">
        <is>
          <t>2021-12-10</t>
        </is>
      </c>
      <c r="C2000" s="14" t="inlineStr">
        <is>
          <t>白糖</t>
        </is>
      </c>
      <c r="D2000" s="14" t="inlineStr">
        <is>
          <t>SR</t>
        </is>
      </c>
      <c r="E2000" s="14" t="inlineStr">
        <is>
          <t>空</t>
        </is>
      </c>
      <c r="F2000" s="14" t="inlineStr">
        <is>
          <t>★★</t>
        </is>
      </c>
      <c r="G2000" s="14" t="n">
        <v>5</v>
      </c>
      <c r="H2000" s="15" t="n">
        <v>5882</v>
      </c>
      <c r="I2000" s="15" t="n">
        <v>5776</v>
      </c>
      <c r="J2000" s="14" t="n">
        <v>10</v>
      </c>
      <c r="K2000" s="14" t="n">
        <v>10000</v>
      </c>
      <c r="L2000" s="25">
        <f>IF(E2000="多",1,-1)*(I2000-H2000)*G2000*J2000</f>
        <v/>
      </c>
      <c r="M2000" s="26">
        <f>L2000/K2000</f>
        <v/>
      </c>
      <c r="N2000" s="14" t="inlineStr">
        <is>
          <t>将军撤退</t>
        </is>
      </c>
      <c r="O2000" s="14" t="inlineStr">
        <is>
          <t>是</t>
        </is>
      </c>
    </row>
    <row r="2001">
      <c r="A2001" s="14" t="inlineStr">
        <is>
          <t>2021-12-06</t>
        </is>
      </c>
      <c r="B2001" s="14" t="inlineStr">
        <is>
          <t>2021-12-07</t>
        </is>
      </c>
      <c r="C2001" s="14" t="inlineStr">
        <is>
          <t>棉花</t>
        </is>
      </c>
      <c r="D2001" s="14" t="inlineStr">
        <is>
          <t>CF</t>
        </is>
      </c>
      <c r="E2001" s="14" t="inlineStr">
        <is>
          <t>多</t>
        </is>
      </c>
      <c r="F2001" s="14" t="inlineStr">
        <is>
          <t>★★</t>
        </is>
      </c>
      <c r="G2001" s="14" t="n">
        <v>1</v>
      </c>
      <c r="H2001" s="15" t="n">
        <v>19625</v>
      </c>
      <c r="I2001" s="15" t="n">
        <v>19760</v>
      </c>
      <c r="J2001" s="14" t="n">
        <v>5</v>
      </c>
      <c r="K2001" s="14" t="n">
        <v>10000</v>
      </c>
      <c r="L2001" s="25">
        <f>IF(E2001="多",1,-1)*(I2001-H2001)*G2001*J2001</f>
        <v/>
      </c>
      <c r="M2001" s="26">
        <f>L2001/K2001</f>
        <v/>
      </c>
      <c r="N2001" s="14" t="inlineStr">
        <is>
          <t>大将军转向</t>
        </is>
      </c>
      <c r="O2001" s="14" t="inlineStr">
        <is>
          <t>是</t>
        </is>
      </c>
    </row>
    <row r="2002">
      <c r="A2002" s="14" t="inlineStr">
        <is>
          <t>2021-11-30</t>
        </is>
      </c>
      <c r="B2002" s="14" t="inlineStr">
        <is>
          <t>2021-12-07</t>
        </is>
      </c>
      <c r="C2002" s="14" t="inlineStr">
        <is>
          <t>沪银</t>
        </is>
      </c>
      <c r="D2002" s="14" t="inlineStr">
        <is>
          <t>AG</t>
        </is>
      </c>
      <c r="E2002" s="14" t="inlineStr">
        <is>
          <t>空</t>
        </is>
      </c>
      <c r="F2002" s="14" t="inlineStr">
        <is>
          <t>★★★</t>
        </is>
      </c>
      <c r="G2002" s="14" t="n">
        <v>2</v>
      </c>
      <c r="H2002" s="15" t="n">
        <v>4790</v>
      </c>
      <c r="I2002" s="15" t="n">
        <v>4736</v>
      </c>
      <c r="J2002" s="14" t="n">
        <v>15</v>
      </c>
      <c r="K2002" s="14" t="n">
        <v>10000</v>
      </c>
      <c r="L2002" s="25">
        <f>IF(E2002="多",1,-1)*(I2002-H2002)*G2002*J2002</f>
        <v/>
      </c>
      <c r="M2002" s="26">
        <f>L2002/K2002</f>
        <v/>
      </c>
      <c r="N2002" s="14" t="inlineStr">
        <is>
          <t>大将军转向</t>
        </is>
      </c>
      <c r="O2002" s="14" t="inlineStr">
        <is>
          <t>是</t>
        </is>
      </c>
    </row>
    <row r="2003">
      <c r="A2003" s="14" t="inlineStr">
        <is>
          <t>2021-12-03</t>
        </is>
      </c>
      <c r="B2003" s="14" t="inlineStr">
        <is>
          <t>2021-12-06</t>
        </is>
      </c>
      <c r="C2003" s="14" t="inlineStr">
        <is>
          <t>菜粕</t>
        </is>
      </c>
      <c r="D2003" s="14" t="inlineStr">
        <is>
          <t>RM</t>
        </is>
      </c>
      <c r="E2003" s="14" t="inlineStr">
        <is>
          <t>多</t>
        </is>
      </c>
      <c r="F2003" s="14" t="inlineStr">
        <is>
          <t>★★★</t>
        </is>
      </c>
      <c r="G2003" s="14" t="n">
        <v>4</v>
      </c>
      <c r="H2003" s="15" t="n">
        <v>2734</v>
      </c>
      <c r="I2003" s="15" t="n">
        <v>2717</v>
      </c>
      <c r="J2003" s="14" t="n">
        <v>10</v>
      </c>
      <c r="K2003" s="14" t="n">
        <v>10000</v>
      </c>
      <c r="L2003" s="25">
        <f>IF(E2003="多",1,-1)*(I2003-H2003)*G2003*J2003</f>
        <v/>
      </c>
      <c r="M2003" s="26">
        <f>L2003/K2003</f>
        <v/>
      </c>
      <c r="N2003" s="14" t="inlineStr">
        <is>
          <t>大将军转向</t>
        </is>
      </c>
      <c r="O2003" s="14" t="inlineStr">
        <is>
          <t>是</t>
        </is>
      </c>
    </row>
    <row r="2004">
      <c r="A2004" s="14" t="inlineStr">
        <is>
          <t>2021-12-03</t>
        </is>
      </c>
      <c r="B2004" s="14" t="inlineStr">
        <is>
          <t>2021-12-06</t>
        </is>
      </c>
      <c r="C2004" s="14" t="inlineStr">
        <is>
          <t>棕榈油</t>
        </is>
      </c>
      <c r="D2004" s="14" t="inlineStr">
        <is>
          <t>P</t>
        </is>
      </c>
      <c r="E2004" s="14" t="inlineStr">
        <is>
          <t>多</t>
        </is>
      </c>
      <c r="F2004" s="14" t="inlineStr">
        <is>
          <t>★★★</t>
        </is>
      </c>
      <c r="G2004" s="14" t="n">
        <v>1</v>
      </c>
      <c r="H2004" s="15" t="n">
        <v>9492</v>
      </c>
      <c r="I2004" s="15" t="n">
        <v>9482</v>
      </c>
      <c r="J2004" s="14" t="n">
        <v>10</v>
      </c>
      <c r="K2004" s="14" t="n">
        <v>10000</v>
      </c>
      <c r="L2004" s="25">
        <f>IF(E2004="多",1,-1)*(I2004-H2004)*G2004*J2004</f>
        <v/>
      </c>
      <c r="M2004" s="26">
        <f>L2004/K2004</f>
        <v/>
      </c>
      <c r="N2004" s="14" t="inlineStr">
        <is>
          <t>将军撤退+大将军转向</t>
        </is>
      </c>
      <c r="O2004" s="14" t="inlineStr">
        <is>
          <t>是</t>
        </is>
      </c>
    </row>
    <row r="2005">
      <c r="A2005" s="14" t="inlineStr">
        <is>
          <t>2021-11-25</t>
        </is>
      </c>
      <c r="B2005" s="14" t="inlineStr">
        <is>
          <t>2021-12-02</t>
        </is>
      </c>
      <c r="C2005" s="14" t="inlineStr">
        <is>
          <t>棕榈油</t>
        </is>
      </c>
      <c r="D2005" s="14" t="inlineStr">
        <is>
          <t>P</t>
        </is>
      </c>
      <c r="E2005" s="14" t="inlineStr">
        <is>
          <t>多</t>
        </is>
      </c>
      <c r="F2005" s="14" t="inlineStr">
        <is>
          <t>★★★</t>
        </is>
      </c>
      <c r="G2005" s="14" t="n">
        <v>1</v>
      </c>
      <c r="H2005" s="15" t="n">
        <v>9648</v>
      </c>
      <c r="I2005" s="15" t="n">
        <v>9102</v>
      </c>
      <c r="J2005" s="14" t="n">
        <v>10</v>
      </c>
      <c r="K2005" s="14" t="n">
        <v>10000</v>
      </c>
      <c r="L2005" s="25">
        <f>IF(E2005="多",1,-1)*(I2005-H2005)*G2005*J2005</f>
        <v/>
      </c>
      <c r="M2005" s="26">
        <f>L2005/K2005</f>
        <v/>
      </c>
      <c r="N2005" s="14" t="inlineStr">
        <is>
          <t>大将军转向</t>
        </is>
      </c>
      <c r="O2005" s="14" t="inlineStr">
        <is>
          <t>是</t>
        </is>
      </c>
    </row>
    <row r="2006">
      <c r="A2006" s="2" t="inlineStr">
        <is>
          <t>2021-11-19</t>
        </is>
      </c>
      <c r="B2006" s="2" t="inlineStr">
        <is>
          <t>2021-12-01</t>
        </is>
      </c>
      <c r="C2006" s="2" t="inlineStr">
        <is>
          <t>玉米</t>
        </is>
      </c>
      <c r="D2006" s="2" t="inlineStr">
        <is>
          <t>C</t>
        </is>
      </c>
      <c r="E2006" s="19" t="inlineStr">
        <is>
          <t>多</t>
        </is>
      </c>
      <c r="F2006" s="2" t="inlineStr">
        <is>
          <t>★★★</t>
        </is>
      </c>
      <c r="G2006" s="10" t="n">
        <v>4</v>
      </c>
      <c r="H2006" s="11" t="n">
        <v>2705</v>
      </c>
      <c r="I2006" s="11" t="n">
        <v>2666</v>
      </c>
      <c r="J2006" s="10" t="n">
        <v>10</v>
      </c>
      <c r="K2006" s="10" t="n">
        <v>5700</v>
      </c>
      <c r="L2006" s="23">
        <f>IF(E2006="多",1,-1)*(I2006-H2006)*G2006*J2006</f>
        <v/>
      </c>
      <c r="M2006" s="24">
        <f>L2006/K2006</f>
        <v/>
      </c>
      <c r="N2006" s="2" t="inlineStr">
        <is>
          <t>将军撤退</t>
        </is>
      </c>
      <c r="O2006" s="2" t="inlineStr">
        <is>
          <t>否</t>
        </is>
      </c>
    </row>
    <row r="2007">
      <c r="A2007" s="2" t="inlineStr">
        <is>
          <t>2021-11-15</t>
        </is>
      </c>
      <c r="B2007" s="2" t="inlineStr">
        <is>
          <t>2021-12-01</t>
        </is>
      </c>
      <c r="C2007" s="2" t="inlineStr">
        <is>
          <t>螺纹钢</t>
        </is>
      </c>
      <c r="D2007" s="2" t="inlineStr">
        <is>
          <t>RB</t>
        </is>
      </c>
      <c r="E2007" s="9" t="inlineStr">
        <is>
          <t>空</t>
        </is>
      </c>
      <c r="F2007" s="2" t="inlineStr">
        <is>
          <t>★★</t>
        </is>
      </c>
      <c r="G2007" s="10" t="n">
        <v>1</v>
      </c>
      <c r="H2007" s="11" t="n">
        <v>3912</v>
      </c>
      <c r="I2007" s="11" t="n">
        <v>4254.43</v>
      </c>
      <c r="J2007" s="10" t="n">
        <v>10</v>
      </c>
      <c r="K2007" s="10" t="n">
        <v>9600</v>
      </c>
      <c r="L2007" s="23">
        <f>IF(E2007="多",1,-1)*(I2007-H2007)*G2007*J2007</f>
        <v/>
      </c>
      <c r="M2007" s="24">
        <f>L2007/K2007</f>
        <v/>
      </c>
      <c r="N2007" s="2" t="inlineStr">
        <is>
          <t>止损</t>
        </is>
      </c>
      <c r="O2007" s="2" t="inlineStr">
        <is>
          <t>否</t>
        </is>
      </c>
    </row>
    <row r="2008">
      <c r="A2008" s="2" t="inlineStr">
        <is>
          <t>2021-11-29</t>
        </is>
      </c>
      <c r="B2008" s="2" t="inlineStr">
        <is>
          <t>2021-11-30</t>
        </is>
      </c>
      <c r="C2008" s="2" t="inlineStr">
        <is>
          <t>沪铝</t>
        </is>
      </c>
      <c r="D2008" s="2" t="inlineStr">
        <is>
          <t>AL</t>
        </is>
      </c>
      <c r="E2008" s="9" t="inlineStr">
        <is>
          <t>空</t>
        </is>
      </c>
      <c r="F2008" s="2" t="inlineStr">
        <is>
          <t>★★</t>
        </is>
      </c>
      <c r="G2008" s="10" t="n">
        <v>1</v>
      </c>
      <c r="H2008" s="11" t="n">
        <v>19015</v>
      </c>
      <c r="I2008" s="11" t="n">
        <v>18905</v>
      </c>
      <c r="J2008" s="10" t="n">
        <v>5</v>
      </c>
      <c r="K2008" s="10" t="n">
        <v>9000</v>
      </c>
      <c r="L2008" s="23">
        <f>IF(E2008="多",1,-1)*(I2008-H2008)*G2008*J2008</f>
        <v/>
      </c>
      <c r="M2008" s="24">
        <f>L2008/K2008</f>
        <v/>
      </c>
      <c r="N2008" s="2" t="inlineStr">
        <is>
          <t>大将军转向</t>
        </is>
      </c>
      <c r="O2008" s="2" t="inlineStr">
        <is>
          <t>否</t>
        </is>
      </c>
    </row>
    <row r="2009">
      <c r="A2009" s="14" t="inlineStr">
        <is>
          <t>2021-11-16</t>
        </is>
      </c>
      <c r="B2009" s="14" t="inlineStr">
        <is>
          <t>2021-11-30</t>
        </is>
      </c>
      <c r="C2009" s="14" t="inlineStr">
        <is>
          <t>PVC</t>
        </is>
      </c>
      <c r="D2009" s="14" t="inlineStr">
        <is>
          <t>V</t>
        </is>
      </c>
      <c r="E2009" s="14" t="inlineStr">
        <is>
          <t>空</t>
        </is>
      </c>
      <c r="F2009" s="14" t="inlineStr">
        <is>
          <t>★★</t>
        </is>
      </c>
      <c r="G2009" s="14" t="n">
        <v>1</v>
      </c>
      <c r="H2009" s="15" t="n">
        <v>8369</v>
      </c>
      <c r="I2009" s="15" t="n">
        <v>8555</v>
      </c>
      <c r="J2009" s="14" t="n">
        <v>5</v>
      </c>
      <c r="K2009" s="14" t="n">
        <v>10000</v>
      </c>
      <c r="L2009" s="25">
        <f>IF(E2009="多",1,-1)*(I2009-H2009)*G2009*J2009</f>
        <v/>
      </c>
      <c r="M2009" s="26">
        <f>L2009/K2009</f>
        <v/>
      </c>
      <c r="N2009" s="14" t="inlineStr">
        <is>
          <t>大将军转向</t>
        </is>
      </c>
      <c r="O2009" s="14" t="inlineStr">
        <is>
          <t>是</t>
        </is>
      </c>
    </row>
    <row r="2010">
      <c r="A2010" s="2" t="inlineStr">
        <is>
          <t>2021-11-23</t>
        </is>
      </c>
      <c r="B2010" s="2" t="inlineStr">
        <is>
          <t>2021-11-29</t>
        </is>
      </c>
      <c r="C2010" s="2" t="inlineStr">
        <is>
          <t>PTA</t>
        </is>
      </c>
      <c r="D2010" s="2" t="inlineStr">
        <is>
          <t>TA</t>
        </is>
      </c>
      <c r="E2010" s="9" t="inlineStr">
        <is>
          <t>空</t>
        </is>
      </c>
      <c r="F2010" s="2" t="inlineStr">
        <is>
          <t>★★★</t>
        </is>
      </c>
      <c r="G2010" s="10" t="n">
        <v>2</v>
      </c>
      <c r="H2010" s="11" t="n">
        <v>4836</v>
      </c>
      <c r="I2010" s="11" t="n">
        <v>4632</v>
      </c>
      <c r="J2010" s="10" t="n">
        <v>5</v>
      </c>
      <c r="K2010" s="10" t="n">
        <v>5700</v>
      </c>
      <c r="L2010" s="23">
        <f>IF(E2010="多",1,-1)*(I2010-H2010)*G2010*J2010</f>
        <v/>
      </c>
      <c r="M2010" s="24">
        <f>L2010/K2010</f>
        <v/>
      </c>
      <c r="N2010" s="2" t="inlineStr">
        <is>
          <t>大将军转向</t>
        </is>
      </c>
      <c r="O2010" s="2" t="inlineStr">
        <is>
          <t>否</t>
        </is>
      </c>
    </row>
    <row r="2011">
      <c r="A2011" s="2" t="inlineStr">
        <is>
          <t>2021-11-23</t>
        </is>
      </c>
      <c r="B2011" s="2" t="inlineStr">
        <is>
          <t>2021-11-24</t>
        </is>
      </c>
      <c r="C2011" s="2" t="inlineStr">
        <is>
          <t>菜粕</t>
        </is>
      </c>
      <c r="D2011" s="2" t="inlineStr">
        <is>
          <t>RM</t>
        </is>
      </c>
      <c r="E2011" s="19" t="inlineStr">
        <is>
          <t>多</t>
        </is>
      </c>
      <c r="F2011" s="2" t="inlineStr">
        <is>
          <t>★★★</t>
        </is>
      </c>
      <c r="G2011" s="10" t="n">
        <v>2</v>
      </c>
      <c r="H2011" s="11" t="n">
        <v>2757</v>
      </c>
      <c r="I2011" s="11" t="n">
        <v>2764</v>
      </c>
      <c r="J2011" s="10" t="n">
        <v>10</v>
      </c>
      <c r="K2011" s="10" t="n">
        <v>5700</v>
      </c>
      <c r="L2011" s="23">
        <f>IF(E2011="多",1,-1)*(I2011-H2011)*G2011*J2011</f>
        <v/>
      </c>
      <c r="M2011" s="24">
        <f>L2011/K2011</f>
        <v/>
      </c>
      <c r="N2011" s="2" t="inlineStr">
        <is>
          <t>大将军转向</t>
        </is>
      </c>
      <c r="O2011" s="2" t="inlineStr">
        <is>
          <t>否</t>
        </is>
      </c>
    </row>
    <row r="2012">
      <c r="A2012" s="2" t="inlineStr">
        <is>
          <t>2021-11-18</t>
        </is>
      </c>
      <c r="B2012" s="2" t="inlineStr">
        <is>
          <t>2021-11-24</t>
        </is>
      </c>
      <c r="C2012" s="2" t="inlineStr">
        <is>
          <t>铁矿石</t>
        </is>
      </c>
      <c r="D2012" s="2" t="inlineStr">
        <is>
          <t>I</t>
        </is>
      </c>
      <c r="E2012" s="9" t="inlineStr">
        <is>
          <t>空</t>
        </is>
      </c>
      <c r="F2012" s="2" t="inlineStr">
        <is>
          <t>★★★</t>
        </is>
      </c>
      <c r="G2012" s="10" t="n">
        <v>1</v>
      </c>
      <c r="H2012" s="11" t="n">
        <v>513</v>
      </c>
      <c r="I2012" s="11" t="n">
        <v>603.14</v>
      </c>
      <c r="J2012" s="10" t="n">
        <v>100</v>
      </c>
      <c r="K2012" s="10" t="n">
        <v>11600</v>
      </c>
      <c r="L2012" s="23">
        <f>IF(E2012="多",1,-1)*(I2012-H2012)*G2012*J2012</f>
        <v/>
      </c>
      <c r="M2012" s="24">
        <f>L2012/K2012</f>
        <v/>
      </c>
      <c r="N2012" s="2" t="inlineStr">
        <is>
          <t>止损</t>
        </is>
      </c>
      <c r="O2012" s="2" t="inlineStr">
        <is>
          <t>否</t>
        </is>
      </c>
    </row>
    <row r="2013">
      <c r="A2013" s="14" t="inlineStr">
        <is>
          <t>2021-11-22</t>
        </is>
      </c>
      <c r="B2013" s="14" t="inlineStr">
        <is>
          <t>2021-11-23</t>
        </is>
      </c>
      <c r="C2013" s="14" t="inlineStr">
        <is>
          <t>沪锌</t>
        </is>
      </c>
      <c r="D2013" s="14" t="inlineStr">
        <is>
          <t>ZN</t>
        </is>
      </c>
      <c r="E2013" s="14" t="inlineStr">
        <is>
          <t>多</t>
        </is>
      </c>
      <c r="F2013" s="14" t="inlineStr">
        <is>
          <t>★★</t>
        </is>
      </c>
      <c r="G2013" s="14" t="n">
        <v>1</v>
      </c>
      <c r="H2013" s="15" t="n">
        <v>22915</v>
      </c>
      <c r="I2013" s="15" t="n">
        <v>23710</v>
      </c>
      <c r="J2013" s="14" t="n">
        <v>5</v>
      </c>
      <c r="K2013" s="14" t="n">
        <v>10000</v>
      </c>
      <c r="L2013" s="25">
        <f>IF(E2013="多",1,-1)*(I2013-H2013)*G2013*J2013</f>
        <v/>
      </c>
      <c r="M2013" s="26">
        <f>L2013/K2013</f>
        <v/>
      </c>
      <c r="N2013" s="14" t="inlineStr">
        <is>
          <t>大将军转向</t>
        </is>
      </c>
      <c r="O2013" s="14" t="inlineStr">
        <is>
          <t>是</t>
        </is>
      </c>
    </row>
    <row r="2014">
      <c r="A2014" s="2" t="inlineStr">
        <is>
          <t>2021-11-18</t>
        </is>
      </c>
      <c r="B2014" s="2" t="inlineStr">
        <is>
          <t>2021-11-19</t>
        </is>
      </c>
      <c r="C2014" s="2" t="inlineStr">
        <is>
          <t>热卷</t>
        </is>
      </c>
      <c r="D2014" s="2" t="inlineStr">
        <is>
          <t>HC</t>
        </is>
      </c>
      <c r="E2014" s="9" t="inlineStr">
        <is>
          <t>空</t>
        </is>
      </c>
      <c r="F2014" s="2" t="inlineStr">
        <is>
          <t>★★★</t>
        </is>
      </c>
      <c r="G2014" s="10" t="n">
        <v>1</v>
      </c>
      <c r="H2014" s="11" t="n">
        <v>4326</v>
      </c>
      <c r="I2014" s="11" t="n">
        <v>4463</v>
      </c>
      <c r="J2014" s="10" t="n">
        <v>10</v>
      </c>
      <c r="K2014" s="10" t="n">
        <v>11600</v>
      </c>
      <c r="L2014" s="23">
        <f>IF(E2014="多",1,-1)*(I2014-H2014)*G2014*J2014</f>
        <v/>
      </c>
      <c r="M2014" s="24">
        <f>L2014/K2014</f>
        <v/>
      </c>
      <c r="N2014" s="2" t="inlineStr">
        <is>
          <t>大将军转向</t>
        </is>
      </c>
      <c r="O2014" s="2" t="inlineStr">
        <is>
          <t>否</t>
        </is>
      </c>
    </row>
    <row r="2015">
      <c r="A2015" s="2" t="inlineStr">
        <is>
          <t>2021-11-18</t>
        </is>
      </c>
      <c r="B2015" s="2" t="inlineStr">
        <is>
          <t>2021-11-19</t>
        </is>
      </c>
      <c r="C2015" s="2" t="inlineStr">
        <is>
          <t>乙二醇</t>
        </is>
      </c>
      <c r="D2015" s="2" t="inlineStr">
        <is>
          <t>EG</t>
        </is>
      </c>
      <c r="E2015" s="9" t="inlineStr">
        <is>
          <t>空</t>
        </is>
      </c>
      <c r="F2015" s="2" t="inlineStr">
        <is>
          <t>★★★</t>
        </is>
      </c>
      <c r="G2015" s="10" t="n">
        <v>1</v>
      </c>
      <c r="H2015" s="11" t="n">
        <v>4965</v>
      </c>
      <c r="I2015" s="11" t="n">
        <v>5091</v>
      </c>
      <c r="J2015" s="10" t="n">
        <v>10</v>
      </c>
      <c r="K2015" s="10" t="n">
        <v>11600</v>
      </c>
      <c r="L2015" s="23">
        <f>IF(E2015="多",1,-1)*(I2015-H2015)*G2015*J2015</f>
        <v/>
      </c>
      <c r="M2015" s="24">
        <f>L2015/K2015</f>
        <v/>
      </c>
      <c r="N2015" s="2" t="inlineStr">
        <is>
          <t>大将军转向</t>
        </is>
      </c>
      <c r="O2015" s="2" t="inlineStr">
        <is>
          <t>否</t>
        </is>
      </c>
    </row>
    <row r="2016">
      <c r="A2016" s="2" t="inlineStr">
        <is>
          <t>2021-11-05</t>
        </is>
      </c>
      <c r="B2016" s="2" t="inlineStr">
        <is>
          <t>2021-11-18</t>
        </is>
      </c>
      <c r="C2016" s="2" t="inlineStr">
        <is>
          <t>甲醇</t>
        </is>
      </c>
      <c r="D2016" s="2" t="inlineStr">
        <is>
          <t>MA</t>
        </is>
      </c>
      <c r="E2016" s="9" t="inlineStr">
        <is>
          <t>空</t>
        </is>
      </c>
      <c r="F2016" s="2" t="inlineStr">
        <is>
          <t>★★★</t>
        </is>
      </c>
      <c r="G2016" s="10" t="n">
        <v>1</v>
      </c>
      <c r="H2016" s="11" t="n">
        <v>2780</v>
      </c>
      <c r="I2016" s="11" t="n">
        <v>2549</v>
      </c>
      <c r="J2016" s="10" t="n">
        <v>10</v>
      </c>
      <c r="K2016" s="10" t="n">
        <v>9000</v>
      </c>
      <c r="L2016" s="23">
        <f>IF(E2016="多",1,-1)*(I2016-H2016)*G2016*J2016</f>
        <v/>
      </c>
      <c r="M2016" s="24">
        <f>L2016/K2016</f>
        <v/>
      </c>
      <c r="N2016" s="2" t="inlineStr">
        <is>
          <t>将军撤退</t>
        </is>
      </c>
      <c r="O2016" s="2" t="inlineStr">
        <is>
          <t>否</t>
        </is>
      </c>
    </row>
    <row r="2017">
      <c r="A2017" s="2" t="inlineStr">
        <is>
          <t>2021-11-11</t>
        </is>
      </c>
      <c r="B2017" s="2" t="inlineStr">
        <is>
          <t>2021-11-17</t>
        </is>
      </c>
      <c r="C2017" s="2" t="inlineStr">
        <is>
          <t>PTA</t>
        </is>
      </c>
      <c r="D2017" s="2" t="inlineStr">
        <is>
          <t>TA</t>
        </is>
      </c>
      <c r="E2017" s="9" t="inlineStr">
        <is>
          <t>空</t>
        </is>
      </c>
      <c r="F2017" s="2" t="inlineStr">
        <is>
          <t>★★★</t>
        </is>
      </c>
      <c r="G2017" s="10" t="n">
        <v>2</v>
      </c>
      <c r="H2017" s="11" t="n">
        <v>4996</v>
      </c>
      <c r="I2017" s="11" t="n">
        <v>4978</v>
      </c>
      <c r="J2017" s="10" t="n">
        <v>5</v>
      </c>
      <c r="K2017" s="10" t="n">
        <v>6800</v>
      </c>
      <c r="L2017" s="23">
        <f>IF(E2017="多",1,-1)*(I2017-H2017)*G2017*J2017</f>
        <v/>
      </c>
      <c r="M2017" s="24">
        <f>L2017/K2017</f>
        <v/>
      </c>
      <c r="N2017" s="2" t="inlineStr">
        <is>
          <t>大将军转向</t>
        </is>
      </c>
      <c r="O2017" s="2" t="inlineStr">
        <is>
          <t>否</t>
        </is>
      </c>
    </row>
    <row r="2018">
      <c r="A2018" s="2" t="inlineStr">
        <is>
          <t>2021-11-11</t>
        </is>
      </c>
      <c r="B2018" s="2" t="inlineStr">
        <is>
          <t>2021-11-16</t>
        </is>
      </c>
      <c r="C2018" s="2" t="inlineStr">
        <is>
          <t>沪银</t>
        </is>
      </c>
      <c r="D2018" s="2" t="inlineStr">
        <is>
          <t>AG</t>
        </is>
      </c>
      <c r="E2018" s="19" t="inlineStr">
        <is>
          <t>多</t>
        </is>
      </c>
      <c r="F2018" s="2" t="inlineStr">
        <is>
          <t>★★★</t>
        </is>
      </c>
      <c r="G2018" s="10" t="n">
        <v>1</v>
      </c>
      <c r="H2018" s="11" t="n">
        <v>5148</v>
      </c>
      <c r="I2018" s="11" t="n">
        <v>5130</v>
      </c>
      <c r="J2018" s="10" t="n">
        <v>15</v>
      </c>
      <c r="K2018" s="10" t="n">
        <v>6800</v>
      </c>
      <c r="L2018" s="23">
        <f>IF(E2018="多",1,-1)*(I2018-H2018)*G2018*J2018</f>
        <v/>
      </c>
      <c r="M2018" s="24">
        <f>L2018/K2018</f>
        <v/>
      </c>
      <c r="N2018" s="2" t="inlineStr">
        <is>
          <t>将军撤退</t>
        </is>
      </c>
      <c r="O2018" s="2" t="inlineStr">
        <is>
          <t>否</t>
        </is>
      </c>
    </row>
    <row r="2019">
      <c r="A2019" s="2" t="inlineStr">
        <is>
          <t>2021-11-09</t>
        </is>
      </c>
      <c r="B2019" s="2" t="inlineStr">
        <is>
          <t>2021-11-16</t>
        </is>
      </c>
      <c r="C2019" s="2" t="inlineStr">
        <is>
          <t>沥青</t>
        </is>
      </c>
      <c r="D2019" s="2" t="inlineStr">
        <is>
          <t>BU</t>
        </is>
      </c>
      <c r="E2019" s="9" t="inlineStr">
        <is>
          <t>空</t>
        </is>
      </c>
      <c r="F2019" s="2" t="inlineStr">
        <is>
          <t>★★</t>
        </is>
      </c>
      <c r="G2019" s="10" t="n">
        <v>2</v>
      </c>
      <c r="H2019" s="11" t="n">
        <v>2982</v>
      </c>
      <c r="I2019" s="11" t="n">
        <v>3158</v>
      </c>
      <c r="J2019" s="10" t="n">
        <v>10</v>
      </c>
      <c r="K2019" s="10" t="n">
        <v>9100</v>
      </c>
      <c r="L2019" s="23">
        <f>IF(E2019="多",1,-1)*(I2019-H2019)*G2019*J2019</f>
        <v/>
      </c>
      <c r="M2019" s="24">
        <f>L2019/K2019</f>
        <v/>
      </c>
      <c r="N2019" s="2" t="inlineStr">
        <is>
          <t>大将军转向</t>
        </is>
      </c>
      <c r="O2019" s="2" t="inlineStr">
        <is>
          <t>否</t>
        </is>
      </c>
    </row>
    <row r="2020">
      <c r="A2020" s="2" t="inlineStr">
        <is>
          <t>2021-11-12</t>
        </is>
      </c>
      <c r="B2020" s="2" t="inlineStr">
        <is>
          <t>2021-11-15</t>
        </is>
      </c>
      <c r="C2020" s="2" t="inlineStr">
        <is>
          <t>白糖</t>
        </is>
      </c>
      <c r="D2020" s="2" t="inlineStr">
        <is>
          <t>SR</t>
        </is>
      </c>
      <c r="E2020" s="19" t="inlineStr">
        <is>
          <t>多</t>
        </is>
      </c>
      <c r="F2020" s="2" t="inlineStr">
        <is>
          <t>★★★</t>
        </is>
      </c>
      <c r="G2020" s="10" t="n">
        <v>2</v>
      </c>
      <c r="H2020" s="11" t="n">
        <v>6090</v>
      </c>
      <c r="I2020" s="11" t="n">
        <v>6075</v>
      </c>
      <c r="J2020" s="10" t="n">
        <v>10</v>
      </c>
      <c r="K2020" s="10" t="n">
        <v>6800</v>
      </c>
      <c r="L2020" s="23">
        <f>IF(E2020="多",1,-1)*(I2020-H2020)*G2020*J2020</f>
        <v/>
      </c>
      <c r="M2020" s="24">
        <f>L2020/K2020</f>
        <v/>
      </c>
      <c r="N2020" s="2" t="inlineStr">
        <is>
          <t>将军撤退</t>
        </is>
      </c>
      <c r="O2020" s="2" t="inlineStr">
        <is>
          <t>否</t>
        </is>
      </c>
    </row>
    <row r="2021">
      <c r="A2021" s="2" t="inlineStr">
        <is>
          <t>2021-11-10</t>
        </is>
      </c>
      <c r="B2021" s="2" t="inlineStr">
        <is>
          <t>2021-11-11</t>
        </is>
      </c>
      <c r="C2021" s="2" t="inlineStr">
        <is>
          <t>热卷</t>
        </is>
      </c>
      <c r="D2021" s="2" t="inlineStr">
        <is>
          <t>HC</t>
        </is>
      </c>
      <c r="E2021" s="9" t="inlineStr">
        <is>
          <t>空</t>
        </is>
      </c>
      <c r="F2021" s="2" t="inlineStr">
        <is>
          <t>★★★</t>
        </is>
      </c>
      <c r="G2021" s="10" t="n">
        <v>1</v>
      </c>
      <c r="H2021" s="11" t="n">
        <v>4480</v>
      </c>
      <c r="I2021" s="11" t="n">
        <v>4696</v>
      </c>
      <c r="J2021" s="10" t="n">
        <v>10</v>
      </c>
      <c r="K2021" s="10" t="n">
        <v>11700</v>
      </c>
      <c r="L2021" s="23">
        <f>IF(E2021="多",1,-1)*(I2021-H2021)*G2021*J2021</f>
        <v/>
      </c>
      <c r="M2021" s="24">
        <f>L2021/K2021</f>
        <v/>
      </c>
      <c r="N2021" s="2" t="inlineStr">
        <is>
          <t>大将军转向</t>
        </is>
      </c>
      <c r="O2021" s="2" t="inlineStr">
        <is>
          <t>否</t>
        </is>
      </c>
    </row>
    <row r="2022">
      <c r="A2022" s="14" t="inlineStr">
        <is>
          <t>2021-11-05</t>
        </is>
      </c>
      <c r="B2022" s="14" t="inlineStr">
        <is>
          <t>2021-11-10</t>
        </is>
      </c>
      <c r="C2022" s="14" t="inlineStr">
        <is>
          <t>螺纹钢</t>
        </is>
      </c>
      <c r="D2022" s="14" t="inlineStr">
        <is>
          <t>RB</t>
        </is>
      </c>
      <c r="E2022" s="14" t="inlineStr">
        <is>
          <t>空</t>
        </is>
      </c>
      <c r="F2022" s="14" t="inlineStr">
        <is>
          <t>★★</t>
        </is>
      </c>
      <c r="G2022" s="14" t="n">
        <v>1</v>
      </c>
      <c r="H2022" s="15" t="n">
        <v>4255</v>
      </c>
      <c r="I2022" s="15" t="n">
        <v>4246</v>
      </c>
      <c r="J2022" s="14" t="n">
        <v>10</v>
      </c>
      <c r="K2022" s="14" t="n">
        <v>10000</v>
      </c>
      <c r="L2022" s="25">
        <f>IF(E2022="多",1,-1)*(I2022-H2022)*G2022*J2022</f>
        <v/>
      </c>
      <c r="M2022" s="26">
        <f>L2022/K2022</f>
        <v/>
      </c>
      <c r="N2022" s="14" t="inlineStr">
        <is>
          <t>大将军转向</t>
        </is>
      </c>
      <c r="O2022" s="14" t="inlineStr">
        <is>
          <t>是</t>
        </is>
      </c>
    </row>
    <row r="2023">
      <c r="A2023" s="2" t="inlineStr">
        <is>
          <t>2021-11-08</t>
        </is>
      </c>
      <c r="B2023" s="2" t="inlineStr">
        <is>
          <t>2021-11-09</t>
        </is>
      </c>
      <c r="C2023" s="2" t="inlineStr">
        <is>
          <t>玉米</t>
        </is>
      </c>
      <c r="D2023" s="2" t="inlineStr">
        <is>
          <t>C</t>
        </is>
      </c>
      <c r="E2023" s="19" t="inlineStr">
        <is>
          <t>多</t>
        </is>
      </c>
      <c r="F2023" s="2" t="inlineStr">
        <is>
          <t>★★</t>
        </is>
      </c>
      <c r="G2023" s="10" t="n">
        <v>2</v>
      </c>
      <c r="H2023" s="11" t="n">
        <v>2690</v>
      </c>
      <c r="I2023" s="11" t="n">
        <v>2720</v>
      </c>
      <c r="J2023" s="10" t="n">
        <v>10</v>
      </c>
      <c r="K2023" s="10" t="n">
        <v>3800</v>
      </c>
      <c r="L2023" s="23">
        <f>IF(E2023="多",1,-1)*(I2023-H2023)*G2023*J2023</f>
        <v/>
      </c>
      <c r="M2023" s="24">
        <f>L2023/K2023</f>
        <v/>
      </c>
      <c r="N2023" s="2" t="inlineStr">
        <is>
          <t>大将军转向</t>
        </is>
      </c>
      <c r="O2023" s="2" t="inlineStr">
        <is>
          <t>否</t>
        </is>
      </c>
    </row>
    <row r="2024">
      <c r="A2024" s="2" t="inlineStr">
        <is>
          <t>2021-11-05</t>
        </is>
      </c>
      <c r="B2024" s="2" t="inlineStr">
        <is>
          <t>2021-11-09</t>
        </is>
      </c>
      <c r="C2024" s="2" t="inlineStr">
        <is>
          <t>热卷</t>
        </is>
      </c>
      <c r="D2024" s="2" t="inlineStr">
        <is>
          <t>HC</t>
        </is>
      </c>
      <c r="E2024" s="9" t="inlineStr">
        <is>
          <t>空</t>
        </is>
      </c>
      <c r="F2024" s="2" t="inlineStr">
        <is>
          <t>★★★</t>
        </is>
      </c>
      <c r="G2024" s="10" t="n">
        <v>1</v>
      </c>
      <c r="H2024" s="11" t="n">
        <v>4590</v>
      </c>
      <c r="I2024" s="11" t="n">
        <v>4502</v>
      </c>
      <c r="J2024" s="10" t="n">
        <v>10</v>
      </c>
      <c r="K2024" s="10" t="n">
        <v>9000</v>
      </c>
      <c r="L2024" s="23">
        <f>IF(E2024="多",1,-1)*(I2024-H2024)*G2024*J2024</f>
        <v/>
      </c>
      <c r="M2024" s="24">
        <f>L2024/K2024</f>
        <v/>
      </c>
      <c r="N2024" s="2" t="inlineStr">
        <is>
          <t>将军撤退</t>
        </is>
      </c>
      <c r="O2024" s="2" t="inlineStr">
        <is>
          <t>否</t>
        </is>
      </c>
    </row>
    <row r="2025">
      <c r="A2025" s="14" t="inlineStr">
        <is>
          <t>2021-11-02</t>
        </is>
      </c>
      <c r="B2025" s="14" t="inlineStr">
        <is>
          <t>2021-11-08</t>
        </is>
      </c>
      <c r="C2025" s="14" t="inlineStr">
        <is>
          <t>白糖</t>
        </is>
      </c>
      <c r="D2025" s="14" t="inlineStr">
        <is>
          <t>SR</t>
        </is>
      </c>
      <c r="E2025" s="14" t="inlineStr">
        <is>
          <t>多</t>
        </is>
      </c>
      <c r="F2025" s="14" t="inlineStr">
        <is>
          <t>★★</t>
        </is>
      </c>
      <c r="G2025" s="14" t="n">
        <v>3</v>
      </c>
      <c r="H2025" s="15" t="n">
        <v>5998</v>
      </c>
      <c r="I2025" s="15" t="n">
        <v>6086</v>
      </c>
      <c r="J2025" s="14" t="n">
        <v>10</v>
      </c>
      <c r="K2025" s="14" t="n">
        <v>10000</v>
      </c>
      <c r="L2025" s="25">
        <f>IF(E2025="多",1,-1)*(I2025-H2025)*G2025*J2025</f>
        <v/>
      </c>
      <c r="M2025" s="26">
        <f>L2025/K2025</f>
        <v/>
      </c>
      <c r="N2025" s="14" t="inlineStr">
        <is>
          <t>将军撤退+大将军转向</t>
        </is>
      </c>
      <c r="O2025" s="14" t="inlineStr">
        <is>
          <t>是</t>
        </is>
      </c>
    </row>
    <row r="2026">
      <c r="A2026" s="14" t="inlineStr">
        <is>
          <t>2021-11-03</t>
        </is>
      </c>
      <c r="B2026" s="14" t="inlineStr">
        <is>
          <t>2021-11-04</t>
        </is>
      </c>
      <c r="C2026" s="14" t="inlineStr">
        <is>
          <t>螺纹钢</t>
        </is>
      </c>
      <c r="D2026" s="14" t="inlineStr">
        <is>
          <t>RB</t>
        </is>
      </c>
      <c r="E2026" s="14" t="inlineStr">
        <is>
          <t>空</t>
        </is>
      </c>
      <c r="F2026" s="14" t="inlineStr">
        <is>
          <t>★★</t>
        </is>
      </c>
      <c r="G2026" s="14" t="n">
        <v>1</v>
      </c>
      <c r="H2026" s="15" t="n">
        <v>4398</v>
      </c>
      <c r="I2026" s="15" t="n">
        <v>4226</v>
      </c>
      <c r="J2026" s="14" t="n">
        <v>10</v>
      </c>
      <c r="K2026" s="14" t="n">
        <v>10000</v>
      </c>
      <c r="L2026" s="25">
        <f>IF(E2026="多",1,-1)*(I2026-H2026)*G2026*J2026</f>
        <v/>
      </c>
      <c r="M2026" s="26">
        <f>L2026/K2026</f>
        <v/>
      </c>
      <c r="N2026" s="14" t="inlineStr">
        <is>
          <t>大将军转向</t>
        </is>
      </c>
      <c r="O2026" s="14" t="inlineStr">
        <is>
          <t>是</t>
        </is>
      </c>
    </row>
    <row r="2027">
      <c r="A2027" s="14" t="inlineStr">
        <is>
          <t>2021-10-29</t>
        </is>
      </c>
      <c r="B2027" s="14" t="inlineStr">
        <is>
          <t>2021-11-04</t>
        </is>
      </c>
      <c r="C2027" s="14" t="inlineStr">
        <is>
          <t>棕榈油</t>
        </is>
      </c>
      <c r="D2027" s="14" t="inlineStr">
        <is>
          <t>P</t>
        </is>
      </c>
      <c r="E2027" s="14" t="inlineStr">
        <is>
          <t>多</t>
        </is>
      </c>
      <c r="F2027" s="14" t="inlineStr">
        <is>
          <t>★★★</t>
        </is>
      </c>
      <c r="G2027" s="14" t="n">
        <v>1</v>
      </c>
      <c r="H2027" s="15" t="n">
        <v>9748</v>
      </c>
      <c r="I2027" s="15" t="n">
        <v>9514</v>
      </c>
      <c r="J2027" s="14" t="n">
        <v>10</v>
      </c>
      <c r="K2027" s="14" t="n">
        <v>10000</v>
      </c>
      <c r="L2027" s="25">
        <f>IF(E2027="多",1,-1)*(I2027-H2027)*G2027*J2027</f>
        <v/>
      </c>
      <c r="M2027" s="26">
        <f>L2027/K2027</f>
        <v/>
      </c>
      <c r="N2027" s="14" t="inlineStr">
        <is>
          <t>大将军转向</t>
        </is>
      </c>
      <c r="O2027" s="14" t="inlineStr">
        <is>
          <t>是</t>
        </is>
      </c>
    </row>
    <row r="2028">
      <c r="A2028" s="14" t="inlineStr">
        <is>
          <t>2021-11-02</t>
        </is>
      </c>
      <c r="B2028" s="14" t="inlineStr">
        <is>
          <t>2021-11-03</t>
        </is>
      </c>
      <c r="C2028" s="14" t="inlineStr">
        <is>
          <t>聚丙烯</t>
        </is>
      </c>
      <c r="D2028" s="14" t="inlineStr">
        <is>
          <t>PP</t>
        </is>
      </c>
      <c r="E2028" s="14" t="inlineStr">
        <is>
          <t>空</t>
        </is>
      </c>
      <c r="F2028" s="14" t="inlineStr">
        <is>
          <t>★★</t>
        </is>
      </c>
      <c r="G2028" s="14" t="n">
        <v>2</v>
      </c>
      <c r="H2028" s="15" t="n">
        <v>8577</v>
      </c>
      <c r="I2028" s="15" t="n">
        <v>8766</v>
      </c>
      <c r="J2028" s="14" t="n">
        <v>5</v>
      </c>
      <c r="K2028" s="14" t="n">
        <v>10000</v>
      </c>
      <c r="L2028" s="25">
        <f>IF(E2028="多",1,-1)*(I2028-H2028)*G2028*J2028</f>
        <v/>
      </c>
      <c r="M2028" s="26">
        <f>L2028/K2028</f>
        <v/>
      </c>
      <c r="N2028" s="14" t="inlineStr">
        <is>
          <t>将军撤退</t>
        </is>
      </c>
      <c r="O2028" s="14" t="inlineStr">
        <is>
          <t>是</t>
        </is>
      </c>
    </row>
    <row r="2029">
      <c r="A2029" s="14" t="inlineStr">
        <is>
          <t>2021-10-29</t>
        </is>
      </c>
      <c r="B2029" s="14" t="inlineStr">
        <is>
          <t>2021-11-03</t>
        </is>
      </c>
      <c r="C2029" s="14" t="inlineStr">
        <is>
          <t>豆粕</t>
        </is>
      </c>
      <c r="D2029" s="14" t="inlineStr">
        <is>
          <t>M</t>
        </is>
      </c>
      <c r="E2029" s="14" t="inlineStr">
        <is>
          <t>空</t>
        </is>
      </c>
      <c r="F2029" s="14" t="inlineStr">
        <is>
          <t>★★★</t>
        </is>
      </c>
      <c r="G2029" s="14" t="n">
        <v>6</v>
      </c>
      <c r="H2029" s="15" t="n">
        <v>3223</v>
      </c>
      <c r="I2029" s="15" t="n">
        <v>3130</v>
      </c>
      <c r="J2029" s="14" t="n">
        <v>10</v>
      </c>
      <c r="K2029" s="14" t="n">
        <v>10000</v>
      </c>
      <c r="L2029" s="25">
        <f>IF(E2029="多",1,-1)*(I2029-H2029)*G2029*J2029</f>
        <v/>
      </c>
      <c r="M2029" s="26">
        <f>L2029/K2029</f>
        <v/>
      </c>
      <c r="N2029" s="14" t="inlineStr">
        <is>
          <t>大将军转向</t>
        </is>
      </c>
      <c r="O2029" s="14" t="inlineStr">
        <is>
          <t>是</t>
        </is>
      </c>
    </row>
    <row r="2030">
      <c r="A2030" s="14" t="inlineStr">
        <is>
          <t>2021-10-29</t>
        </is>
      </c>
      <c r="B2030" s="14" t="inlineStr">
        <is>
          <t>2021-11-02</t>
        </is>
      </c>
      <c r="C2030" s="14" t="inlineStr">
        <is>
          <t>螺纹钢</t>
        </is>
      </c>
      <c r="D2030" s="14" t="inlineStr">
        <is>
          <t>RB</t>
        </is>
      </c>
      <c r="E2030" s="14" t="inlineStr">
        <is>
          <t>空</t>
        </is>
      </c>
      <c r="F2030" s="14" t="inlineStr">
        <is>
          <t>★★★</t>
        </is>
      </c>
      <c r="G2030" s="14" t="n">
        <v>1</v>
      </c>
      <c r="H2030" s="15" t="n">
        <v>4630</v>
      </c>
      <c r="I2030" s="15" t="n">
        <v>4230</v>
      </c>
      <c r="J2030" s="14" t="n">
        <v>10</v>
      </c>
      <c r="K2030" s="14" t="n">
        <v>10000</v>
      </c>
      <c r="L2030" s="25">
        <f>IF(E2030="多",1,-1)*(I2030-H2030)*G2030*J2030</f>
        <v/>
      </c>
      <c r="M2030" s="26">
        <f>L2030/K2030</f>
        <v/>
      </c>
      <c r="N2030" s="14" t="inlineStr">
        <is>
          <t>将军撤退</t>
        </is>
      </c>
      <c r="O2030" s="14" t="inlineStr">
        <is>
          <t>是</t>
        </is>
      </c>
    </row>
    <row r="2031">
      <c r="A2031" s="14" t="inlineStr">
        <is>
          <t>2021-10-29</t>
        </is>
      </c>
      <c r="B2031" s="14" t="inlineStr">
        <is>
          <t>2021-11-01</t>
        </is>
      </c>
      <c r="C2031" s="14" t="inlineStr">
        <is>
          <t>豆油</t>
        </is>
      </c>
      <c r="D2031" s="14" t="inlineStr">
        <is>
          <t>Y</t>
        </is>
      </c>
      <c r="E2031" s="14" t="inlineStr">
        <is>
          <t>多</t>
        </is>
      </c>
      <c r="F2031" s="14" t="inlineStr">
        <is>
          <t>★★★</t>
        </is>
      </c>
      <c r="G2031" s="14" t="n">
        <v>1</v>
      </c>
      <c r="H2031" s="15" t="n">
        <v>9962</v>
      </c>
      <c r="I2031" s="15" t="n">
        <v>9770</v>
      </c>
      <c r="J2031" s="14" t="n">
        <v>10</v>
      </c>
      <c r="K2031" s="14" t="n">
        <v>10000</v>
      </c>
      <c r="L2031" s="25">
        <f>IF(E2031="多",1,-1)*(I2031-H2031)*G2031*J2031</f>
        <v/>
      </c>
      <c r="M2031" s="26">
        <f>L2031/K2031</f>
        <v/>
      </c>
      <c r="N2031" s="14" t="inlineStr">
        <is>
          <t>大将军转向</t>
        </is>
      </c>
      <c r="O2031" s="14" t="inlineStr">
        <is>
          <t>是</t>
        </is>
      </c>
    </row>
    <row r="2032">
      <c r="A2032" s="2" t="inlineStr">
        <is>
          <t>2021-10-28</t>
        </is>
      </c>
      <c r="B2032" s="2" t="inlineStr">
        <is>
          <t>2021-10-29</t>
        </is>
      </c>
      <c r="C2032" s="2" t="inlineStr">
        <is>
          <t>PTA</t>
        </is>
      </c>
      <c r="D2032" s="2" t="inlineStr">
        <is>
          <t>TA</t>
        </is>
      </c>
      <c r="E2032" s="9" t="inlineStr">
        <is>
          <t>空</t>
        </is>
      </c>
      <c r="F2032" s="2" t="inlineStr">
        <is>
          <t>★★</t>
        </is>
      </c>
      <c r="G2032" s="10" t="n">
        <v>1</v>
      </c>
      <c r="H2032" s="11" t="n">
        <v>5202</v>
      </c>
      <c r="I2032" s="11" t="n">
        <v>5156</v>
      </c>
      <c r="J2032" s="10" t="n">
        <v>5</v>
      </c>
      <c r="K2032" s="10" t="n">
        <v>4700</v>
      </c>
      <c r="L2032" s="23">
        <f>IF(E2032="多",1,-1)*(I2032-H2032)*G2032*J2032</f>
        <v/>
      </c>
      <c r="M2032" s="24">
        <f>L2032/K2032</f>
        <v/>
      </c>
      <c r="N2032" s="2" t="inlineStr">
        <is>
          <t>大将军转向</t>
        </is>
      </c>
      <c r="O2032" s="2" t="inlineStr">
        <is>
          <t>否</t>
        </is>
      </c>
    </row>
    <row r="2033">
      <c r="A2033" s="14" t="inlineStr">
        <is>
          <t>2021-10-25</t>
        </is>
      </c>
      <c r="B2033" s="14" t="inlineStr">
        <is>
          <t>2021-10-29</t>
        </is>
      </c>
      <c r="C2033" s="14" t="inlineStr">
        <is>
          <t>豆粕</t>
        </is>
      </c>
      <c r="D2033" s="14" t="inlineStr">
        <is>
          <t>M</t>
        </is>
      </c>
      <c r="E2033" s="14" t="inlineStr">
        <is>
          <t>多</t>
        </is>
      </c>
      <c r="F2033" s="14" t="inlineStr">
        <is>
          <t>★★</t>
        </is>
      </c>
      <c r="G2033" s="14" t="n">
        <v>5</v>
      </c>
      <c r="H2033" s="15" t="n">
        <v>3293</v>
      </c>
      <c r="I2033" s="15" t="n">
        <v>3233</v>
      </c>
      <c r="J2033" s="14" t="n">
        <v>10</v>
      </c>
      <c r="K2033" s="14" t="n">
        <v>10000</v>
      </c>
      <c r="L2033" s="25">
        <f>IF(E2033="多",1,-1)*(I2033-H2033)*G2033*J2033</f>
        <v/>
      </c>
      <c r="M2033" s="26">
        <f>L2033/K2033</f>
        <v/>
      </c>
      <c r="N2033" s="14" t="inlineStr">
        <is>
          <t>反向信号</t>
        </is>
      </c>
      <c r="O2033" s="14" t="inlineStr">
        <is>
          <t>是</t>
        </is>
      </c>
    </row>
    <row r="2034">
      <c r="A2034" s="14" t="inlineStr">
        <is>
          <t>2021-10-26</t>
        </is>
      </c>
      <c r="B2034" s="14" t="inlineStr">
        <is>
          <t>2021-10-28</t>
        </is>
      </c>
      <c r="C2034" s="14" t="inlineStr">
        <is>
          <t>白糖</t>
        </is>
      </c>
      <c r="D2034" s="14" t="inlineStr">
        <is>
          <t>SR</t>
        </is>
      </c>
      <c r="E2034" s="14" t="inlineStr">
        <is>
          <t>多</t>
        </is>
      </c>
      <c r="F2034" s="14" t="inlineStr">
        <is>
          <t>★★</t>
        </is>
      </c>
      <c r="G2034" s="14" t="n">
        <v>3</v>
      </c>
      <c r="H2034" s="15" t="n">
        <v>5933</v>
      </c>
      <c r="I2034" s="15" t="n">
        <v>5953</v>
      </c>
      <c r="J2034" s="14" t="n">
        <v>10</v>
      </c>
      <c r="K2034" s="14" t="n">
        <v>10000</v>
      </c>
      <c r="L2034" s="25">
        <f>IF(E2034="多",1,-1)*(I2034-H2034)*G2034*J2034</f>
        <v/>
      </c>
      <c r="M2034" s="26">
        <f>L2034/K2034</f>
        <v/>
      </c>
      <c r="N2034" s="14" t="inlineStr">
        <is>
          <t>大将军转向</t>
        </is>
      </c>
      <c r="O2034" s="14" t="inlineStr">
        <is>
          <t>是</t>
        </is>
      </c>
    </row>
    <row r="2035">
      <c r="A2035" s="14" t="inlineStr">
        <is>
          <t>2021-10-26</t>
        </is>
      </c>
      <c r="B2035" s="14" t="inlineStr">
        <is>
          <t>2021-10-27</t>
        </is>
      </c>
      <c r="C2035" s="14" t="inlineStr">
        <is>
          <t>甲醇</t>
        </is>
      </c>
      <c r="D2035" s="14" t="inlineStr">
        <is>
          <t>MA</t>
        </is>
      </c>
      <c r="E2035" s="14" t="inlineStr">
        <is>
          <t>空</t>
        </is>
      </c>
      <c r="F2035" s="14" t="inlineStr">
        <is>
          <t>★★</t>
        </is>
      </c>
      <c r="G2035" s="14" t="n">
        <v>1</v>
      </c>
      <c r="H2035" s="15" t="n">
        <v>3190</v>
      </c>
      <c r="I2035" s="15" t="n">
        <v>2872</v>
      </c>
      <c r="J2035" s="14" t="n">
        <v>10</v>
      </c>
      <c r="K2035" s="14" t="n">
        <v>10000</v>
      </c>
      <c r="L2035" s="25">
        <f>IF(E2035="多",1,-1)*(I2035-H2035)*G2035*J2035</f>
        <v/>
      </c>
      <c r="M2035" s="26">
        <f>L2035/K2035</f>
        <v/>
      </c>
      <c r="N2035" s="14" t="inlineStr">
        <is>
          <t>将军撤退</t>
        </is>
      </c>
      <c r="O2035" s="14" t="inlineStr">
        <is>
          <t>是</t>
        </is>
      </c>
    </row>
    <row r="2036">
      <c r="A2036" s="14" t="inlineStr">
        <is>
          <t>2021-10-25</t>
        </is>
      </c>
      <c r="B2036" s="14" t="inlineStr">
        <is>
          <t>2021-10-27</t>
        </is>
      </c>
      <c r="C2036" s="14" t="inlineStr">
        <is>
          <t>螺纹钢</t>
        </is>
      </c>
      <c r="D2036" s="14" t="inlineStr">
        <is>
          <t>RB</t>
        </is>
      </c>
      <c r="E2036" s="14" t="inlineStr">
        <is>
          <t>空</t>
        </is>
      </c>
      <c r="F2036" s="14" t="inlineStr">
        <is>
          <t>★★</t>
        </is>
      </c>
      <c r="G2036" s="14" t="n">
        <v>1</v>
      </c>
      <c r="H2036" s="15" t="n">
        <v>4830</v>
      </c>
      <c r="I2036" s="15" t="n">
        <v>4655</v>
      </c>
      <c r="J2036" s="14" t="n">
        <v>10</v>
      </c>
      <c r="K2036" s="14" t="n">
        <v>10000</v>
      </c>
      <c r="L2036" s="25">
        <f>IF(E2036="多",1,-1)*(I2036-H2036)*G2036*J2036</f>
        <v/>
      </c>
      <c r="M2036" s="26">
        <f>L2036/K2036</f>
        <v/>
      </c>
      <c r="N2036" s="14" t="inlineStr">
        <is>
          <t>将军撤退</t>
        </is>
      </c>
      <c r="O2036" s="14" t="inlineStr">
        <is>
          <t>是</t>
        </is>
      </c>
    </row>
    <row r="2037">
      <c r="A2037" s="14" t="inlineStr">
        <is>
          <t>2021-10-22</t>
        </is>
      </c>
      <c r="B2037" s="14" t="inlineStr">
        <is>
          <t>2021-10-26</t>
        </is>
      </c>
      <c r="C2037" s="14" t="inlineStr">
        <is>
          <t>聚丙烯</t>
        </is>
      </c>
      <c r="D2037" s="14" t="inlineStr">
        <is>
          <t>PP</t>
        </is>
      </c>
      <c r="E2037" s="14" t="inlineStr">
        <is>
          <t>空</t>
        </is>
      </c>
      <c r="F2037" s="14" t="inlineStr">
        <is>
          <t>★★</t>
        </is>
      </c>
      <c r="G2037" s="14" t="n">
        <v>1</v>
      </c>
      <c r="H2037" s="15" t="n">
        <v>9030</v>
      </c>
      <c r="I2037" s="15" t="n">
        <v>8864</v>
      </c>
      <c r="J2037" s="14" t="n">
        <v>5</v>
      </c>
      <c r="K2037" s="14" t="n">
        <v>10000</v>
      </c>
      <c r="L2037" s="25">
        <f>IF(E2037="多",1,-1)*(I2037-H2037)*G2037*J2037</f>
        <v/>
      </c>
      <c r="M2037" s="26">
        <f>L2037/K2037</f>
        <v/>
      </c>
      <c r="N2037" s="14" t="inlineStr">
        <is>
          <t>将军撤退</t>
        </is>
      </c>
      <c r="O2037" s="14" t="inlineStr">
        <is>
          <t>是</t>
        </is>
      </c>
    </row>
    <row r="2038">
      <c r="A2038" s="14" t="inlineStr">
        <is>
          <t>2021-10-22</t>
        </is>
      </c>
      <c r="B2038" s="14" t="inlineStr">
        <is>
          <t>2021-10-25</t>
        </is>
      </c>
      <c r="C2038" s="14" t="inlineStr">
        <is>
          <t>甲醇</t>
        </is>
      </c>
      <c r="D2038" s="14" t="inlineStr">
        <is>
          <t>MA</t>
        </is>
      </c>
      <c r="E2038" s="14" t="inlineStr">
        <is>
          <t>空</t>
        </is>
      </c>
      <c r="F2038" s="14" t="inlineStr">
        <is>
          <t>★★</t>
        </is>
      </c>
      <c r="G2038" s="14" t="n">
        <v>1</v>
      </c>
      <c r="H2038" s="15" t="n">
        <v>3267</v>
      </c>
      <c r="I2038" s="15" t="n">
        <v>3180</v>
      </c>
      <c r="J2038" s="14" t="n">
        <v>10</v>
      </c>
      <c r="K2038" s="14" t="n">
        <v>10000</v>
      </c>
      <c r="L2038" s="25">
        <f>IF(E2038="多",1,-1)*(I2038-H2038)*G2038*J2038</f>
        <v/>
      </c>
      <c r="M2038" s="26">
        <f>L2038/K2038</f>
        <v/>
      </c>
      <c r="N2038" s="14" t="inlineStr">
        <is>
          <t>大将军转向</t>
        </is>
      </c>
      <c r="O2038" s="14" t="inlineStr">
        <is>
          <t>是</t>
        </is>
      </c>
    </row>
    <row r="2039">
      <c r="A2039" s="14" t="inlineStr">
        <is>
          <t>2021-10-22</t>
        </is>
      </c>
      <c r="B2039" s="14" t="inlineStr">
        <is>
          <t>2021-10-25</t>
        </is>
      </c>
      <c r="C2039" s="14" t="inlineStr">
        <is>
          <t>玉米</t>
        </is>
      </c>
      <c r="D2039" s="14" t="inlineStr">
        <is>
          <t>C</t>
        </is>
      </c>
      <c r="E2039" s="14" t="inlineStr">
        <is>
          <t>多</t>
        </is>
      </c>
      <c r="F2039" s="14" t="inlineStr">
        <is>
          <t>★★★</t>
        </is>
      </c>
      <c r="G2039" s="14" t="n">
        <v>9</v>
      </c>
      <c r="H2039" s="15" t="n">
        <v>2568</v>
      </c>
      <c r="I2039" s="15" t="n">
        <v>2618</v>
      </c>
      <c r="J2039" s="14" t="n">
        <v>10</v>
      </c>
      <c r="K2039" s="14" t="n">
        <v>10000</v>
      </c>
      <c r="L2039" s="25">
        <f>IF(E2039="多",1,-1)*(I2039-H2039)*G2039*J2039</f>
        <v/>
      </c>
      <c r="M2039" s="26">
        <f>L2039/K2039</f>
        <v/>
      </c>
      <c r="N2039" s="14" t="inlineStr">
        <is>
          <t>将军撤退+大将军转向</t>
        </is>
      </c>
      <c r="O2039" s="14" t="inlineStr">
        <is>
          <t>是</t>
        </is>
      </c>
    </row>
    <row r="2040">
      <c r="A2040" s="14" t="inlineStr">
        <is>
          <t>2021-09-30</t>
        </is>
      </c>
      <c r="B2040" s="14" t="inlineStr">
        <is>
          <t>2021-10-25</t>
        </is>
      </c>
      <c r="C2040" s="14" t="inlineStr">
        <is>
          <t>沪银</t>
        </is>
      </c>
      <c r="D2040" s="14" t="inlineStr">
        <is>
          <t>AG</t>
        </is>
      </c>
      <c r="E2040" s="14" t="inlineStr">
        <is>
          <t>空</t>
        </is>
      </c>
      <c r="F2040" s="14" t="inlineStr">
        <is>
          <t>★★★</t>
        </is>
      </c>
      <c r="G2040" s="14" t="n">
        <v>1</v>
      </c>
      <c r="H2040" s="15" t="n">
        <v>4797</v>
      </c>
      <c r="I2040" s="15" t="n">
        <v>5111</v>
      </c>
      <c r="J2040" s="14" t="n">
        <v>15</v>
      </c>
      <c r="K2040" s="14" t="n">
        <v>10000</v>
      </c>
      <c r="L2040" s="25">
        <f>IF(E2040="多",1,-1)*(I2040-H2040)*G2040*J2040</f>
        <v/>
      </c>
      <c r="M2040" s="26">
        <f>L2040/K2040</f>
        <v/>
      </c>
      <c r="N2040" s="14" t="inlineStr">
        <is>
          <t>止损</t>
        </is>
      </c>
      <c r="O2040" s="14" t="inlineStr">
        <is>
          <t>是</t>
        </is>
      </c>
    </row>
    <row r="2041">
      <c r="A2041" s="14" t="inlineStr">
        <is>
          <t>2021-10-20</t>
        </is>
      </c>
      <c r="B2041" s="14" t="inlineStr">
        <is>
          <t>2021-10-21</t>
        </is>
      </c>
      <c r="C2041" s="14" t="inlineStr">
        <is>
          <t>豆油</t>
        </is>
      </c>
      <c r="D2041" s="14" t="inlineStr">
        <is>
          <t>Y</t>
        </is>
      </c>
      <c r="E2041" s="14" t="inlineStr">
        <is>
          <t>多</t>
        </is>
      </c>
      <c r="F2041" s="14" t="inlineStr">
        <is>
          <t>★★★</t>
        </is>
      </c>
      <c r="G2041" s="14" t="n">
        <v>1</v>
      </c>
      <c r="H2041" s="15" t="n">
        <v>10160</v>
      </c>
      <c r="I2041" s="15" t="n">
        <v>10128</v>
      </c>
      <c r="J2041" s="14" t="n">
        <v>10</v>
      </c>
      <c r="K2041" s="14" t="n">
        <v>10000</v>
      </c>
      <c r="L2041" s="25">
        <f>IF(E2041="多",1,-1)*(I2041-H2041)*G2041*J2041</f>
        <v/>
      </c>
      <c r="M2041" s="26">
        <f>L2041/K2041</f>
        <v/>
      </c>
      <c r="N2041" s="14" t="inlineStr">
        <is>
          <t>将军撤退+大将军转向</t>
        </is>
      </c>
      <c r="O2041" s="14" t="inlineStr">
        <is>
          <t>是</t>
        </is>
      </c>
    </row>
    <row r="2042">
      <c r="A2042" s="2" t="inlineStr">
        <is>
          <t>2021-10-19</t>
        </is>
      </c>
      <c r="B2042" s="2" t="inlineStr">
        <is>
          <t>2021-10-21</t>
        </is>
      </c>
      <c r="C2042" s="2" t="inlineStr">
        <is>
          <t>螺纹钢</t>
        </is>
      </c>
      <c r="D2042" s="2" t="inlineStr">
        <is>
          <t>RB</t>
        </is>
      </c>
      <c r="E2042" s="19" t="inlineStr">
        <is>
          <t>多</t>
        </is>
      </c>
      <c r="F2042" s="2" t="inlineStr">
        <is>
          <t>★★</t>
        </is>
      </c>
      <c r="G2042" s="10" t="n">
        <v>3</v>
      </c>
      <c r="H2042" s="11" t="n">
        <v>5525</v>
      </c>
      <c r="I2042" s="11" t="n">
        <v>5014.14</v>
      </c>
      <c r="J2042" s="10" t="n">
        <v>10</v>
      </c>
      <c r="K2042" s="10" t="n">
        <v>20000</v>
      </c>
      <c r="L2042" s="23">
        <f>IF(E2042="多",1,-1)*(I2042-H2042)*G2042*J2042</f>
        <v/>
      </c>
      <c r="M2042" s="24">
        <f>L2042/K2042</f>
        <v/>
      </c>
      <c r="N2042" s="2" t="inlineStr">
        <is>
          <t>止损</t>
        </is>
      </c>
      <c r="O2042" s="2" t="inlineStr">
        <is>
          <t>否</t>
        </is>
      </c>
    </row>
    <row r="2043">
      <c r="A2043" s="14" t="inlineStr">
        <is>
          <t>2021-10-19</t>
        </is>
      </c>
      <c r="B2043" s="14" t="inlineStr">
        <is>
          <t>2021-10-21</t>
        </is>
      </c>
      <c r="C2043" s="14" t="inlineStr">
        <is>
          <t>棕榈油</t>
        </is>
      </c>
      <c r="D2043" s="14" t="inlineStr">
        <is>
          <t>P</t>
        </is>
      </c>
      <c r="E2043" s="14" t="inlineStr">
        <is>
          <t>多</t>
        </is>
      </c>
      <c r="F2043" s="14" t="inlineStr">
        <is>
          <t>★★★</t>
        </is>
      </c>
      <c r="G2043" s="14" t="n">
        <v>1</v>
      </c>
      <c r="H2043" s="15" t="n">
        <v>9680</v>
      </c>
      <c r="I2043" s="15" t="n">
        <v>9830</v>
      </c>
      <c r="J2043" s="14" t="n">
        <v>10</v>
      </c>
      <c r="K2043" s="14" t="n">
        <v>10000</v>
      </c>
      <c r="L2043" s="25">
        <f>IF(E2043="多",1,-1)*(I2043-H2043)*G2043*J2043</f>
        <v/>
      </c>
      <c r="M2043" s="26">
        <f>L2043/K2043</f>
        <v/>
      </c>
      <c r="N2043" s="14" t="inlineStr">
        <is>
          <t>将军撤退</t>
        </is>
      </c>
      <c r="O2043" s="14" t="inlineStr">
        <is>
          <t>是</t>
        </is>
      </c>
    </row>
    <row r="2044">
      <c r="A2044" s="2" t="inlineStr">
        <is>
          <t>2021-10-11</t>
        </is>
      </c>
      <c r="B2044" s="2" t="inlineStr">
        <is>
          <t>2021-10-21</t>
        </is>
      </c>
      <c r="C2044" s="2" t="inlineStr">
        <is>
          <t>铁矿石</t>
        </is>
      </c>
      <c r="D2044" s="2" t="inlineStr">
        <is>
          <t>I</t>
        </is>
      </c>
      <c r="E2044" s="19" t="inlineStr">
        <is>
          <t>多</t>
        </is>
      </c>
      <c r="F2044" s="2" t="inlineStr">
        <is>
          <t>★★</t>
        </is>
      </c>
      <c r="G2044" s="10" t="n">
        <v>1</v>
      </c>
      <c r="H2044" s="11" t="n">
        <v>792.5</v>
      </c>
      <c r="I2044" s="11" t="n">
        <v>672</v>
      </c>
      <c r="J2044" s="10" t="n">
        <v>100</v>
      </c>
      <c r="K2044" s="10" t="n">
        <v>20000</v>
      </c>
      <c r="L2044" s="23">
        <f>IF(E2044="多",1,-1)*(I2044-H2044)*G2044*J2044</f>
        <v/>
      </c>
      <c r="M2044" s="24">
        <f>L2044/K2044</f>
        <v/>
      </c>
      <c r="N2044" s="2" t="inlineStr">
        <is>
          <t>止损</t>
        </is>
      </c>
      <c r="O2044" s="2" t="inlineStr">
        <is>
          <t>否</t>
        </is>
      </c>
    </row>
    <row r="2045">
      <c r="A2045" s="2" t="inlineStr">
        <is>
          <t>2021-10-18</t>
        </is>
      </c>
      <c r="B2045" s="2" t="inlineStr">
        <is>
          <t>2021-10-19</t>
        </is>
      </c>
      <c r="C2045" s="2" t="inlineStr">
        <is>
          <t>棉花</t>
        </is>
      </c>
      <c r="D2045" s="2" t="inlineStr">
        <is>
          <t>CF</t>
        </is>
      </c>
      <c r="E2045" s="19" t="inlineStr">
        <is>
          <t>多</t>
        </is>
      </c>
      <c r="F2045" s="2" t="inlineStr">
        <is>
          <t>★★</t>
        </is>
      </c>
      <c r="G2045" s="10" t="n">
        <v>1</v>
      </c>
      <c r="H2045" s="11" t="n">
        <v>21820</v>
      </c>
      <c r="I2045" s="11" t="n">
        <v>21700</v>
      </c>
      <c r="J2045" s="10" t="n">
        <v>5</v>
      </c>
      <c r="K2045" s="10" t="n">
        <v>20000</v>
      </c>
      <c r="L2045" s="23">
        <f>IF(E2045="多",1,-1)*(I2045-H2045)*G2045*J2045</f>
        <v/>
      </c>
      <c r="M2045" s="24">
        <f>L2045/K2045</f>
        <v/>
      </c>
      <c r="N2045" s="2" t="inlineStr">
        <is>
          <t>将军撤退</t>
        </is>
      </c>
      <c r="O2045" s="2" t="inlineStr">
        <is>
          <t>否</t>
        </is>
      </c>
    </row>
    <row r="2046">
      <c r="A2046" s="2" t="inlineStr">
        <is>
          <t>2021-10-15</t>
        </is>
      </c>
      <c r="B2046" s="2" t="inlineStr">
        <is>
          <t>2021-10-19</t>
        </is>
      </c>
      <c r="C2046" s="2" t="inlineStr">
        <is>
          <t>菜粕</t>
        </is>
      </c>
      <c r="D2046" s="2" t="inlineStr">
        <is>
          <t>RM</t>
        </is>
      </c>
      <c r="E2046" s="9" t="inlineStr">
        <is>
          <t>空</t>
        </is>
      </c>
      <c r="F2046" s="2" t="inlineStr">
        <is>
          <t>★★★</t>
        </is>
      </c>
      <c r="G2046" s="10" t="n">
        <v>10</v>
      </c>
      <c r="H2046" s="11" t="n">
        <v>2634</v>
      </c>
      <c r="I2046" s="11" t="n">
        <v>2599</v>
      </c>
      <c r="J2046" s="10" t="n">
        <v>10</v>
      </c>
      <c r="K2046" s="10" t="n">
        <v>20000</v>
      </c>
      <c r="L2046" s="23">
        <f>IF(E2046="多",1,-1)*(I2046-H2046)*G2046*J2046</f>
        <v/>
      </c>
      <c r="M2046" s="24">
        <f>L2046/K2046</f>
        <v/>
      </c>
      <c r="N2046" s="2" t="inlineStr">
        <is>
          <t>将军撤退</t>
        </is>
      </c>
      <c r="O2046" s="2" t="inlineStr">
        <is>
          <t>否</t>
        </is>
      </c>
    </row>
    <row r="2047">
      <c r="A2047" s="2" t="inlineStr">
        <is>
          <t>2021-10-14</t>
        </is>
      </c>
      <c r="B2047" s="2" t="inlineStr">
        <is>
          <t>2021-10-19</t>
        </is>
      </c>
      <c r="C2047" s="2" t="inlineStr">
        <is>
          <t>聚丙烯</t>
        </is>
      </c>
      <c r="D2047" s="2" t="inlineStr">
        <is>
          <t>PP</t>
        </is>
      </c>
      <c r="E2047" s="9" t="inlineStr">
        <is>
          <t>空</t>
        </is>
      </c>
      <c r="F2047" s="2" t="inlineStr">
        <is>
          <t>★★</t>
        </is>
      </c>
      <c r="G2047" s="10" t="n">
        <v>3</v>
      </c>
      <c r="H2047" s="11" t="n">
        <v>9706</v>
      </c>
      <c r="I2047" s="11" t="n">
        <v>9643</v>
      </c>
      <c r="J2047" s="10" t="n">
        <v>5</v>
      </c>
      <c r="K2047" s="10" t="n">
        <v>20000</v>
      </c>
      <c r="L2047" s="23">
        <f>IF(E2047="多",1,-1)*(I2047-H2047)*G2047*J2047</f>
        <v/>
      </c>
      <c r="M2047" s="24">
        <f>L2047/K2047</f>
        <v/>
      </c>
      <c r="N2047" s="2" t="inlineStr">
        <is>
          <t>将军撤退+大将军转向</t>
        </is>
      </c>
      <c r="O2047" s="2" t="inlineStr">
        <is>
          <t>否</t>
        </is>
      </c>
    </row>
    <row r="2048">
      <c r="A2048" s="14" t="inlineStr">
        <is>
          <t>2021-10-15</t>
        </is>
      </c>
      <c r="B2048" s="14" t="inlineStr">
        <is>
          <t>2021-10-18</t>
        </is>
      </c>
      <c r="C2048" s="14" t="inlineStr">
        <is>
          <t>PTA</t>
        </is>
      </c>
      <c r="D2048" s="14" t="inlineStr">
        <is>
          <t>TA</t>
        </is>
      </c>
      <c r="E2048" s="14" t="inlineStr">
        <is>
          <t>多</t>
        </is>
      </c>
      <c r="F2048" s="14" t="inlineStr">
        <is>
          <t>★★★</t>
        </is>
      </c>
      <c r="G2048" s="14" t="n">
        <v>3</v>
      </c>
      <c r="H2048" s="15" t="n">
        <v>5502</v>
      </c>
      <c r="I2048" s="15" t="n">
        <v>5568</v>
      </c>
      <c r="J2048" s="14" t="n">
        <v>5</v>
      </c>
      <c r="K2048" s="14" t="n">
        <v>10000</v>
      </c>
      <c r="L2048" s="25">
        <f>IF(E2048="多",1,-1)*(I2048-H2048)*G2048*J2048</f>
        <v/>
      </c>
      <c r="M2048" s="26">
        <f>L2048/K2048</f>
        <v/>
      </c>
      <c r="N2048" s="14" t="inlineStr">
        <is>
          <t>大将军转向</t>
        </is>
      </c>
      <c r="O2048" s="14" t="inlineStr">
        <is>
          <t>是</t>
        </is>
      </c>
    </row>
    <row r="2049">
      <c r="A2049" s="14" t="inlineStr">
        <is>
          <t>2021-10-15</t>
        </is>
      </c>
      <c r="B2049" s="14" t="inlineStr">
        <is>
          <t>2021-10-18</t>
        </is>
      </c>
      <c r="C2049" s="14" t="inlineStr">
        <is>
          <t>棕榈油</t>
        </is>
      </c>
      <c r="D2049" s="14" t="inlineStr">
        <is>
          <t>P</t>
        </is>
      </c>
      <c r="E2049" s="14" t="inlineStr">
        <is>
          <t>多</t>
        </is>
      </c>
      <c r="F2049" s="14" t="inlineStr">
        <is>
          <t>★★★</t>
        </is>
      </c>
      <c r="G2049" s="14" t="n">
        <v>1</v>
      </c>
      <c r="H2049" s="15" t="n">
        <v>9470</v>
      </c>
      <c r="I2049" s="15" t="n">
        <v>9598</v>
      </c>
      <c r="J2049" s="14" t="n">
        <v>10</v>
      </c>
      <c r="K2049" s="14" t="n">
        <v>10000</v>
      </c>
      <c r="L2049" s="25">
        <f>IF(E2049="多",1,-1)*(I2049-H2049)*G2049*J2049</f>
        <v/>
      </c>
      <c r="M2049" s="26">
        <f>L2049/K2049</f>
        <v/>
      </c>
      <c r="N2049" s="14" t="inlineStr">
        <is>
          <t>将军撤退</t>
        </is>
      </c>
      <c r="O2049" s="14" t="inlineStr">
        <is>
          <t>是</t>
        </is>
      </c>
    </row>
    <row r="2050">
      <c r="A2050" s="14" t="inlineStr">
        <is>
          <t>2021-10-12</t>
        </is>
      </c>
      <c r="B2050" s="14" t="inlineStr">
        <is>
          <t>2021-10-18</t>
        </is>
      </c>
      <c r="C2050" s="14" t="inlineStr">
        <is>
          <t>豆粕</t>
        </is>
      </c>
      <c r="D2050" s="14" t="inlineStr">
        <is>
          <t>M</t>
        </is>
      </c>
      <c r="E2050" s="14" t="inlineStr">
        <is>
          <t>空</t>
        </is>
      </c>
      <c r="F2050" s="14" t="inlineStr">
        <is>
          <t>★★★</t>
        </is>
      </c>
      <c r="G2050" s="14" t="n">
        <v>6</v>
      </c>
      <c r="H2050" s="15" t="n">
        <v>3294</v>
      </c>
      <c r="I2050" s="15" t="n">
        <v>3230</v>
      </c>
      <c r="J2050" s="14" t="n">
        <v>10</v>
      </c>
      <c r="K2050" s="14" t="n">
        <v>10000</v>
      </c>
      <c r="L2050" s="25">
        <f>IF(E2050="多",1,-1)*(I2050-H2050)*G2050*J2050</f>
        <v/>
      </c>
      <c r="M2050" s="26">
        <f>L2050/K2050</f>
        <v/>
      </c>
      <c r="N2050" s="14" t="inlineStr">
        <is>
          <t>将军撤退+大将军转向</t>
        </is>
      </c>
      <c r="O2050" s="14" t="inlineStr">
        <is>
          <t>是</t>
        </is>
      </c>
    </row>
    <row r="2051">
      <c r="A2051" s="2" t="inlineStr">
        <is>
          <t>2021-09-23</t>
        </is>
      </c>
      <c r="B2051" s="2" t="inlineStr">
        <is>
          <t>2021-10-18</t>
        </is>
      </c>
      <c r="C2051" s="2" t="inlineStr">
        <is>
          <t>沪镍</t>
        </is>
      </c>
      <c r="D2051" s="2" t="inlineStr">
        <is>
          <t>NI</t>
        </is>
      </c>
      <c r="E2051" s="19" t="inlineStr">
        <is>
          <t>多</t>
        </is>
      </c>
      <c r="F2051" s="2" t="inlineStr">
        <is>
          <t>★★</t>
        </is>
      </c>
      <c r="G2051" s="10" t="n">
        <v>1</v>
      </c>
      <c r="H2051" s="11" t="n">
        <v>144250</v>
      </c>
      <c r="I2051" s="11" t="n">
        <v>150990</v>
      </c>
      <c r="J2051" s="10" t="n">
        <v>1</v>
      </c>
      <c r="K2051" s="10" t="n">
        <v>20000</v>
      </c>
      <c r="L2051" s="23">
        <f>IF(E2051="多",1,-1)*(I2051-H2051)*G2051*J2051</f>
        <v/>
      </c>
      <c r="M2051" s="24">
        <f>L2051/K2051</f>
        <v/>
      </c>
      <c r="N2051" s="2" t="inlineStr">
        <is>
          <t>将军撤退+大将军转向</t>
        </is>
      </c>
      <c r="O2051" s="2" t="inlineStr">
        <is>
          <t>否</t>
        </is>
      </c>
    </row>
    <row r="2052">
      <c r="A2052" s="14" t="inlineStr">
        <is>
          <t>2021-10-13</t>
        </is>
      </c>
      <c r="B2052" s="14" t="inlineStr">
        <is>
          <t>2021-10-14</t>
        </is>
      </c>
      <c r="C2052" s="14" t="inlineStr">
        <is>
          <t>棕榈油</t>
        </is>
      </c>
      <c r="D2052" s="14" t="inlineStr">
        <is>
          <t>P</t>
        </is>
      </c>
      <c r="E2052" s="14" t="inlineStr">
        <is>
          <t>多</t>
        </is>
      </c>
      <c r="F2052" s="14" t="inlineStr">
        <is>
          <t>★★★</t>
        </is>
      </c>
      <c r="G2052" s="14" t="n">
        <v>1</v>
      </c>
      <c r="H2052" s="15" t="n">
        <v>9526</v>
      </c>
      <c r="I2052" s="15" t="n">
        <v>9282</v>
      </c>
      <c r="J2052" s="14" t="n">
        <v>10</v>
      </c>
      <c r="K2052" s="14" t="n">
        <v>10000</v>
      </c>
      <c r="L2052" s="25">
        <f>IF(E2052="多",1,-1)*(I2052-H2052)*G2052*J2052</f>
        <v/>
      </c>
      <c r="M2052" s="26">
        <f>L2052/K2052</f>
        <v/>
      </c>
      <c r="N2052" s="14" t="inlineStr">
        <is>
          <t>将军撤退</t>
        </is>
      </c>
      <c r="O2052" s="14" t="inlineStr">
        <is>
          <t>是</t>
        </is>
      </c>
    </row>
    <row r="2053">
      <c r="A2053" s="14" t="inlineStr">
        <is>
          <t>2021-10-11</t>
        </is>
      </c>
      <c r="B2053" s="14" t="inlineStr">
        <is>
          <t>2021-10-12</t>
        </is>
      </c>
      <c r="C2053" s="14" t="inlineStr">
        <is>
          <t>棕榈油</t>
        </is>
      </c>
      <c r="D2053" s="14" t="inlineStr">
        <is>
          <t>P</t>
        </is>
      </c>
      <c r="E2053" s="14" t="inlineStr">
        <is>
          <t>多</t>
        </is>
      </c>
      <c r="F2053" s="14" t="inlineStr">
        <is>
          <t>★★★</t>
        </is>
      </c>
      <c r="G2053" s="14" t="n">
        <v>1</v>
      </c>
      <c r="H2053" s="15" t="n">
        <v>9450</v>
      </c>
      <c r="I2053" s="15" t="n">
        <v>9390</v>
      </c>
      <c r="J2053" s="14" t="n">
        <v>10</v>
      </c>
      <c r="K2053" s="14" t="n">
        <v>10000</v>
      </c>
      <c r="L2053" s="25">
        <f>IF(E2053="多",1,-1)*(I2053-H2053)*G2053*J2053</f>
        <v/>
      </c>
      <c r="M2053" s="26">
        <f>L2053/K2053</f>
        <v/>
      </c>
      <c r="N2053" s="14" t="inlineStr">
        <is>
          <t>大将军转向</t>
        </is>
      </c>
      <c r="O2053" s="14" t="inlineStr">
        <is>
          <t>是</t>
        </is>
      </c>
    </row>
    <row r="2054">
      <c r="A2054" s="14" t="inlineStr">
        <is>
          <t>2021-09-30</t>
        </is>
      </c>
      <c r="B2054" s="14" t="inlineStr">
        <is>
          <t>2021-10-11</t>
        </is>
      </c>
      <c r="C2054" s="14" t="inlineStr">
        <is>
          <t>螺纹钢</t>
        </is>
      </c>
      <c r="D2054" s="14" t="inlineStr">
        <is>
          <t>RB</t>
        </is>
      </c>
      <c r="E2054" s="14" t="inlineStr">
        <is>
          <t>多</t>
        </is>
      </c>
      <c r="F2054" s="14" t="inlineStr">
        <is>
          <t>★★★</t>
        </is>
      </c>
      <c r="G2054" s="14" t="n">
        <v>2</v>
      </c>
      <c r="H2054" s="15" t="n">
        <v>5775</v>
      </c>
      <c r="I2054" s="15" t="n">
        <v>5808</v>
      </c>
      <c r="J2054" s="14" t="n">
        <v>10</v>
      </c>
      <c r="K2054" s="14" t="n">
        <v>10000</v>
      </c>
      <c r="L2054" s="25">
        <f>IF(E2054="多",1,-1)*(I2054-H2054)*G2054*J2054</f>
        <v/>
      </c>
      <c r="M2054" s="26">
        <f>L2054/K2054</f>
        <v/>
      </c>
      <c r="N2054" s="14" t="inlineStr">
        <is>
          <t>将军撤退</t>
        </is>
      </c>
      <c r="O2054" s="14" t="inlineStr">
        <is>
          <t>是</t>
        </is>
      </c>
    </row>
    <row r="2055">
      <c r="A2055" s="2" t="inlineStr">
        <is>
          <t>2021-09-30</t>
        </is>
      </c>
      <c r="B2055" s="2" t="inlineStr">
        <is>
          <t>2021-10-11</t>
        </is>
      </c>
      <c r="C2055" s="2" t="inlineStr">
        <is>
          <t>塑料</t>
        </is>
      </c>
      <c r="D2055" s="2" t="inlineStr">
        <is>
          <t>L</t>
        </is>
      </c>
      <c r="E2055" s="19" t="inlineStr">
        <is>
          <t>多</t>
        </is>
      </c>
      <c r="F2055" s="2" t="inlineStr">
        <is>
          <t>★★</t>
        </is>
      </c>
      <c r="G2055" s="10" t="n">
        <v>4</v>
      </c>
      <c r="H2055" s="11" t="n">
        <v>10055</v>
      </c>
      <c r="I2055" s="11" t="n">
        <v>10000</v>
      </c>
      <c r="J2055" s="10" t="n">
        <v>5</v>
      </c>
      <c r="K2055" s="10" t="n">
        <v>20000</v>
      </c>
      <c r="L2055" s="23">
        <f>IF(E2055="多",1,-1)*(I2055-H2055)*G2055*J2055</f>
        <v/>
      </c>
      <c r="M2055" s="24">
        <f>L2055/K2055</f>
        <v/>
      </c>
      <c r="N2055" s="2" t="inlineStr">
        <is>
          <t>大将军转向</t>
        </is>
      </c>
      <c r="O2055" s="2" t="inlineStr">
        <is>
          <t>否</t>
        </is>
      </c>
    </row>
    <row r="2056">
      <c r="A2056" s="2" t="inlineStr">
        <is>
          <t>2021-09-30</t>
        </is>
      </c>
      <c r="B2056" s="2" t="inlineStr">
        <is>
          <t>2021-10-08</t>
        </is>
      </c>
      <c r="C2056" s="2" t="inlineStr">
        <is>
          <t>棕榈油</t>
        </is>
      </c>
      <c r="D2056" s="2" t="inlineStr">
        <is>
          <t>P</t>
        </is>
      </c>
      <c r="E2056" s="19" t="inlineStr">
        <is>
          <t>多</t>
        </is>
      </c>
      <c r="F2056" s="2" t="inlineStr">
        <is>
          <t>★★</t>
        </is>
      </c>
      <c r="G2056" s="10" t="n">
        <v>2</v>
      </c>
      <c r="H2056" s="11" t="n">
        <v>9346</v>
      </c>
      <c r="I2056" s="11" t="n">
        <v>9410</v>
      </c>
      <c r="J2056" s="10" t="n">
        <v>10</v>
      </c>
      <c r="K2056" s="10" t="n">
        <v>20000</v>
      </c>
      <c r="L2056" s="23">
        <f>IF(E2056="多",1,-1)*(I2056-H2056)*G2056*J2056</f>
        <v/>
      </c>
      <c r="M2056" s="24">
        <f>L2056/K2056</f>
        <v/>
      </c>
      <c r="N2056" s="2" t="inlineStr">
        <is>
          <t>大将军转向</t>
        </is>
      </c>
      <c r="O2056" s="2" t="inlineStr">
        <is>
          <t>否</t>
        </is>
      </c>
    </row>
    <row r="2057">
      <c r="A2057" s="2" t="inlineStr">
        <is>
          <t>2021-09-30</t>
        </is>
      </c>
      <c r="B2057" s="2" t="inlineStr">
        <is>
          <t>2021-10-08</t>
        </is>
      </c>
      <c r="C2057" s="2" t="inlineStr">
        <is>
          <t>棉花</t>
        </is>
      </c>
      <c r="D2057" s="2" t="inlineStr">
        <is>
          <t>CF</t>
        </is>
      </c>
      <c r="E2057" s="19" t="inlineStr">
        <is>
          <t>多</t>
        </is>
      </c>
      <c r="F2057" s="2" t="inlineStr">
        <is>
          <t>★★</t>
        </is>
      </c>
      <c r="G2057" s="10" t="n">
        <v>2</v>
      </c>
      <c r="H2057" s="11" t="n">
        <v>21255</v>
      </c>
      <c r="I2057" s="11" t="n">
        <v>21255</v>
      </c>
      <c r="J2057" s="10" t="n">
        <v>5</v>
      </c>
      <c r="K2057" s="10" t="n">
        <v>20000</v>
      </c>
      <c r="L2057" s="23">
        <f>IF(E2057="多",1,-1)*(I2057-H2057)*G2057*J2057</f>
        <v/>
      </c>
      <c r="M2057" s="24">
        <f>L2057/K2057</f>
        <v/>
      </c>
      <c r="N2057" s="2" t="inlineStr">
        <is>
          <t>大将军转向</t>
        </is>
      </c>
      <c r="O2057" s="2" t="inlineStr">
        <is>
          <t>否</t>
        </is>
      </c>
    </row>
    <row r="2058">
      <c r="A2058" s="2" t="inlineStr">
        <is>
          <t>2021-09-28</t>
        </is>
      </c>
      <c r="B2058" s="2" t="inlineStr">
        <is>
          <t>2021-09-30</t>
        </is>
      </c>
      <c r="C2058" s="2" t="inlineStr">
        <is>
          <t>燃料油</t>
        </is>
      </c>
      <c r="D2058" s="2" t="inlineStr">
        <is>
          <t>FU</t>
        </is>
      </c>
      <c r="E2058" s="19" t="inlineStr">
        <is>
          <t>多</t>
        </is>
      </c>
      <c r="F2058" s="2" t="inlineStr">
        <is>
          <t>★★★</t>
        </is>
      </c>
      <c r="G2058" s="10" t="n">
        <v>7</v>
      </c>
      <c r="H2058" s="11" t="n">
        <v>3085</v>
      </c>
      <c r="I2058" s="11" t="n">
        <v>2980</v>
      </c>
      <c r="J2058" s="10" t="n">
        <v>10</v>
      </c>
      <c r="K2058" s="10" t="n">
        <v>20000</v>
      </c>
      <c r="L2058" s="23">
        <f>IF(E2058="多",1,-1)*(I2058-H2058)*G2058*J2058</f>
        <v/>
      </c>
      <c r="M2058" s="24">
        <f>L2058/K2058</f>
        <v/>
      </c>
      <c r="N2058" s="2" t="inlineStr">
        <is>
          <t>将军撤退+大将军转向</t>
        </is>
      </c>
      <c r="O2058" s="2" t="inlineStr">
        <is>
          <t>否</t>
        </is>
      </c>
    </row>
    <row r="2059">
      <c r="A2059" s="2" t="inlineStr">
        <is>
          <t>2021-09-23</t>
        </is>
      </c>
      <c r="B2059" s="2" t="inlineStr">
        <is>
          <t>2021-09-30</t>
        </is>
      </c>
      <c r="C2059" s="2" t="inlineStr">
        <is>
          <t>沪金</t>
        </is>
      </c>
      <c r="D2059" s="2" t="inlineStr">
        <is>
          <t>AU</t>
        </is>
      </c>
      <c r="E2059" s="9" t="inlineStr">
        <is>
          <t>空</t>
        </is>
      </c>
      <c r="F2059" s="2" t="inlineStr">
        <is>
          <t>★★★</t>
        </is>
      </c>
      <c r="G2059" s="10" t="n">
        <v>1</v>
      </c>
      <c r="H2059" s="11" t="n">
        <v>368.28</v>
      </c>
      <c r="I2059" s="11" t="n">
        <v>362.78</v>
      </c>
      <c r="J2059" s="10" t="n">
        <v>1000</v>
      </c>
      <c r="K2059" s="10" t="n">
        <v>20000</v>
      </c>
      <c r="L2059" s="23">
        <f>IF(E2059="多",1,-1)*(I2059-H2059)*G2059*J2059</f>
        <v/>
      </c>
      <c r="M2059" s="24">
        <f>L2059/K2059</f>
        <v/>
      </c>
      <c r="N2059" s="2" t="inlineStr">
        <is>
          <t>将军撤退</t>
        </is>
      </c>
      <c r="O2059" s="2" t="inlineStr">
        <is>
          <t>否</t>
        </is>
      </c>
    </row>
    <row r="2060">
      <c r="A2060" s="2" t="inlineStr">
        <is>
          <t>2021-09-17</t>
        </is>
      </c>
      <c r="B2060" s="2" t="inlineStr">
        <is>
          <t>2021-09-30</t>
        </is>
      </c>
      <c r="C2060" s="2" t="inlineStr">
        <is>
          <t>菜粕</t>
        </is>
      </c>
      <c r="D2060" s="2" t="inlineStr">
        <is>
          <t>RM</t>
        </is>
      </c>
      <c r="E2060" s="19" t="inlineStr">
        <is>
          <t>多</t>
        </is>
      </c>
      <c r="F2060" s="2" t="inlineStr">
        <is>
          <t>★★★</t>
        </is>
      </c>
      <c r="G2060" s="10" t="n">
        <v>13</v>
      </c>
      <c r="H2060" s="11" t="n">
        <v>2922</v>
      </c>
      <c r="I2060" s="11" t="n">
        <v>2789.07</v>
      </c>
      <c r="J2060" s="10" t="n">
        <v>10</v>
      </c>
      <c r="K2060" s="10" t="n">
        <v>20000</v>
      </c>
      <c r="L2060" s="23">
        <f>IF(E2060="多",1,-1)*(I2060-H2060)*G2060*J2060</f>
        <v/>
      </c>
      <c r="M2060" s="24">
        <f>L2060/K2060</f>
        <v/>
      </c>
      <c r="N2060" s="2" t="inlineStr">
        <is>
          <t>止损</t>
        </is>
      </c>
      <c r="O2060" s="2" t="inlineStr">
        <is>
          <t>否</t>
        </is>
      </c>
    </row>
    <row r="2061">
      <c r="A2061" s="2" t="inlineStr">
        <is>
          <t>2021-09-09</t>
        </is>
      </c>
      <c r="B2061" s="2" t="inlineStr">
        <is>
          <t>2021-09-30</t>
        </is>
      </c>
      <c r="C2061" s="2" t="inlineStr">
        <is>
          <t>玉米</t>
        </is>
      </c>
      <c r="D2061" s="2" t="inlineStr">
        <is>
          <t>C</t>
        </is>
      </c>
      <c r="E2061" s="9" t="inlineStr">
        <is>
          <t>空</t>
        </is>
      </c>
      <c r="F2061" s="2" t="inlineStr">
        <is>
          <t>★★★</t>
        </is>
      </c>
      <c r="G2061" s="10" t="n">
        <v>26</v>
      </c>
      <c r="H2061" s="11" t="n">
        <v>2463</v>
      </c>
      <c r="I2061" s="11" t="n">
        <v>2499.29</v>
      </c>
      <c r="J2061" s="10" t="n">
        <v>10</v>
      </c>
      <c r="K2061" s="10" t="n">
        <v>20000</v>
      </c>
      <c r="L2061" s="23">
        <f>IF(E2061="多",1,-1)*(I2061-H2061)*G2061*J2061</f>
        <v/>
      </c>
      <c r="M2061" s="24">
        <f>L2061/K2061</f>
        <v/>
      </c>
      <c r="N2061" s="2" t="inlineStr">
        <is>
          <t>止损</t>
        </is>
      </c>
      <c r="O2061" s="2" t="inlineStr">
        <is>
          <t>否</t>
        </is>
      </c>
    </row>
    <row r="2062">
      <c r="A2062" s="2" t="inlineStr">
        <is>
          <t>2021-09-24</t>
        </is>
      </c>
      <c r="B2062" s="2" t="inlineStr">
        <is>
          <t>2021-09-27</t>
        </is>
      </c>
      <c r="C2062" s="2" t="inlineStr">
        <is>
          <t>棕榈油</t>
        </is>
      </c>
      <c r="D2062" s="2" t="inlineStr">
        <is>
          <t>P</t>
        </is>
      </c>
      <c r="E2062" s="19" t="inlineStr">
        <is>
          <t>多</t>
        </is>
      </c>
      <c r="F2062" s="2" t="inlineStr">
        <is>
          <t>★★★</t>
        </is>
      </c>
      <c r="G2062" s="10" t="n">
        <v>2</v>
      </c>
      <c r="H2062" s="11" t="n">
        <v>8682</v>
      </c>
      <c r="I2062" s="11" t="n">
        <v>8580</v>
      </c>
      <c r="J2062" s="10" t="n">
        <v>10</v>
      </c>
      <c r="K2062" s="10" t="n">
        <v>20000</v>
      </c>
      <c r="L2062" s="23">
        <f>IF(E2062="多",1,-1)*(I2062-H2062)*G2062*J2062</f>
        <v/>
      </c>
      <c r="M2062" s="24">
        <f>L2062/K2062</f>
        <v/>
      </c>
      <c r="N2062" s="2" t="inlineStr">
        <is>
          <t>将军撤退</t>
        </is>
      </c>
      <c r="O2062" s="2" t="inlineStr">
        <is>
          <t>否</t>
        </is>
      </c>
    </row>
    <row r="2063">
      <c r="A2063" s="2" t="inlineStr">
        <is>
          <t>2021-09-22</t>
        </is>
      </c>
      <c r="B2063" s="2" t="inlineStr">
        <is>
          <t>2021-09-24</t>
        </is>
      </c>
      <c r="C2063" s="2" t="inlineStr">
        <is>
          <t>沪铝</t>
        </is>
      </c>
      <c r="D2063" s="2" t="inlineStr">
        <is>
          <t>AL</t>
        </is>
      </c>
      <c r="E2063" s="19" t="inlineStr">
        <is>
          <t>多</t>
        </is>
      </c>
      <c r="F2063" s="2" t="inlineStr">
        <is>
          <t>★★★</t>
        </is>
      </c>
      <c r="G2063" s="10" t="n">
        <v>2</v>
      </c>
      <c r="H2063" s="11" t="n">
        <v>23135</v>
      </c>
      <c r="I2063" s="11" t="n">
        <v>23100</v>
      </c>
      <c r="J2063" s="10" t="n">
        <v>5</v>
      </c>
      <c r="K2063" s="10" t="n">
        <v>20000</v>
      </c>
      <c r="L2063" s="23">
        <f>IF(E2063="多",1,-1)*(I2063-H2063)*G2063*J2063</f>
        <v/>
      </c>
      <c r="M2063" s="24">
        <f>L2063/K2063</f>
        <v/>
      </c>
      <c r="N2063" s="2" t="inlineStr">
        <is>
          <t>将军撤退</t>
        </is>
      </c>
      <c r="O2063" s="2" t="inlineStr">
        <is>
          <t>否</t>
        </is>
      </c>
    </row>
    <row r="2064">
      <c r="A2064" s="14" t="inlineStr">
        <is>
          <t>2021-09-22</t>
        </is>
      </c>
      <c r="B2064" s="14" t="inlineStr">
        <is>
          <t>2021-09-23</t>
        </is>
      </c>
      <c r="C2064" s="14" t="inlineStr">
        <is>
          <t>PVC</t>
        </is>
      </c>
      <c r="D2064" s="14" t="inlineStr">
        <is>
          <t>V</t>
        </is>
      </c>
      <c r="E2064" s="14" t="inlineStr">
        <is>
          <t>多</t>
        </is>
      </c>
      <c r="F2064" s="14" t="inlineStr">
        <is>
          <t>★★</t>
        </is>
      </c>
      <c r="G2064" s="14" t="n">
        <v>2</v>
      </c>
      <c r="H2064" s="15" t="n">
        <v>10300</v>
      </c>
      <c r="I2064" s="15" t="n">
        <v>10635</v>
      </c>
      <c r="J2064" s="14" t="n">
        <v>5</v>
      </c>
      <c r="K2064" s="14" t="n">
        <v>10000</v>
      </c>
      <c r="L2064" s="25">
        <f>IF(E2064="多",1,-1)*(I2064-H2064)*G2064*J2064</f>
        <v/>
      </c>
      <c r="M2064" s="26">
        <f>L2064/K2064</f>
        <v/>
      </c>
      <c r="N2064" s="14" t="inlineStr">
        <is>
          <t>将军撤退+大将军转向</t>
        </is>
      </c>
      <c r="O2064" s="14" t="inlineStr">
        <is>
          <t>是</t>
        </is>
      </c>
    </row>
    <row r="2065">
      <c r="A2065" s="14" t="inlineStr">
        <is>
          <t>2021-09-22</t>
        </is>
      </c>
      <c r="B2065" s="14" t="inlineStr">
        <is>
          <t>2021-09-23</t>
        </is>
      </c>
      <c r="C2065" s="14" t="inlineStr">
        <is>
          <t>聚丙烯</t>
        </is>
      </c>
      <c r="D2065" s="14" t="inlineStr">
        <is>
          <t>PP</t>
        </is>
      </c>
      <c r="E2065" s="14" t="inlineStr">
        <is>
          <t>多</t>
        </is>
      </c>
      <c r="F2065" s="14" t="inlineStr">
        <is>
          <t>★★</t>
        </is>
      </c>
      <c r="G2065" s="14" t="n">
        <v>3</v>
      </c>
      <c r="H2065" s="15" t="n">
        <v>9115</v>
      </c>
      <c r="I2065" s="15" t="n">
        <v>9345</v>
      </c>
      <c r="J2065" s="14" t="n">
        <v>5</v>
      </c>
      <c r="K2065" s="14" t="n">
        <v>10000</v>
      </c>
      <c r="L2065" s="25">
        <f>IF(E2065="多",1,-1)*(I2065-H2065)*G2065*J2065</f>
        <v/>
      </c>
      <c r="M2065" s="26">
        <f>L2065/K2065</f>
        <v/>
      </c>
      <c r="N2065" s="14" t="inlineStr">
        <is>
          <t>将军撤退+大将军转向</t>
        </is>
      </c>
      <c r="O2065" s="14" t="inlineStr">
        <is>
          <t>是</t>
        </is>
      </c>
    </row>
    <row r="2066">
      <c r="A2066" s="14" t="inlineStr">
        <is>
          <t>2021-09-22</t>
        </is>
      </c>
      <c r="B2066" s="14" t="inlineStr">
        <is>
          <t>2021-09-23</t>
        </is>
      </c>
      <c r="C2066" s="14" t="inlineStr">
        <is>
          <t>甲醇</t>
        </is>
      </c>
      <c r="D2066" s="14" t="inlineStr">
        <is>
          <t>MA</t>
        </is>
      </c>
      <c r="E2066" s="14" t="inlineStr">
        <is>
          <t>多</t>
        </is>
      </c>
      <c r="F2066" s="14" t="inlineStr">
        <is>
          <t>★★</t>
        </is>
      </c>
      <c r="G2066" s="14" t="n">
        <v>3</v>
      </c>
      <c r="H2066" s="15" t="n">
        <v>3150</v>
      </c>
      <c r="I2066" s="15" t="n">
        <v>3262</v>
      </c>
      <c r="J2066" s="14" t="n">
        <v>10</v>
      </c>
      <c r="K2066" s="14" t="n">
        <v>10000</v>
      </c>
      <c r="L2066" s="25">
        <f>IF(E2066="多",1,-1)*(I2066-H2066)*G2066*J2066</f>
        <v/>
      </c>
      <c r="M2066" s="26">
        <f>L2066/K2066</f>
        <v/>
      </c>
      <c r="N2066" s="14" t="inlineStr">
        <is>
          <t>将军撤退+大将军转向</t>
        </is>
      </c>
      <c r="O2066" s="14" t="inlineStr">
        <is>
          <t>是</t>
        </is>
      </c>
    </row>
    <row r="2067">
      <c r="A2067" s="14" t="inlineStr">
        <is>
          <t>2021-09-22</t>
        </is>
      </c>
      <c r="B2067" s="14" t="inlineStr">
        <is>
          <t>2021-09-23</t>
        </is>
      </c>
      <c r="C2067" s="14" t="inlineStr">
        <is>
          <t>塑料</t>
        </is>
      </c>
      <c r="D2067" s="14" t="inlineStr">
        <is>
          <t>L</t>
        </is>
      </c>
      <c r="E2067" s="14" t="inlineStr">
        <is>
          <t>多</t>
        </is>
      </c>
      <c r="F2067" s="14" t="inlineStr">
        <is>
          <t>★★</t>
        </is>
      </c>
      <c r="G2067" s="14" t="n">
        <v>3</v>
      </c>
      <c r="H2067" s="15" t="n">
        <v>8870</v>
      </c>
      <c r="I2067" s="15" t="n">
        <v>8915</v>
      </c>
      <c r="J2067" s="14" t="n">
        <v>5</v>
      </c>
      <c r="K2067" s="14" t="n">
        <v>10000</v>
      </c>
      <c r="L2067" s="25">
        <f>IF(E2067="多",1,-1)*(I2067-H2067)*G2067*J2067</f>
        <v/>
      </c>
      <c r="M2067" s="26">
        <f>L2067/K2067</f>
        <v/>
      </c>
      <c r="N2067" s="14" t="inlineStr">
        <is>
          <t>将军撤退</t>
        </is>
      </c>
      <c r="O2067" s="14" t="inlineStr">
        <is>
          <t>是</t>
        </is>
      </c>
    </row>
    <row r="2068">
      <c r="A2068" s="2" t="inlineStr">
        <is>
          <t>2021-09-15</t>
        </is>
      </c>
      <c r="B2068" s="2" t="inlineStr">
        <is>
          <t>2021-09-23</t>
        </is>
      </c>
      <c r="C2068" s="2" t="inlineStr">
        <is>
          <t>棕榈油</t>
        </is>
      </c>
      <c r="D2068" s="2" t="inlineStr">
        <is>
          <t>P</t>
        </is>
      </c>
      <c r="E2068" s="19" t="inlineStr">
        <is>
          <t>多</t>
        </is>
      </c>
      <c r="F2068" s="2" t="inlineStr">
        <is>
          <t>★★★</t>
        </is>
      </c>
      <c r="G2068" s="10" t="n">
        <v>2</v>
      </c>
      <c r="H2068" s="11" t="n">
        <v>8456</v>
      </c>
      <c r="I2068" s="11" t="n">
        <v>8664</v>
      </c>
      <c r="J2068" s="10" t="n">
        <v>10</v>
      </c>
      <c r="K2068" s="10" t="n">
        <v>20000</v>
      </c>
      <c r="L2068" s="23">
        <f>IF(E2068="多",1,-1)*(I2068-H2068)*G2068*J2068</f>
        <v/>
      </c>
      <c r="M2068" s="24">
        <f>L2068/K2068</f>
        <v/>
      </c>
      <c r="N2068" s="2" t="inlineStr">
        <is>
          <t>大将军转向</t>
        </is>
      </c>
      <c r="O2068" s="2" t="inlineStr">
        <is>
          <t>否</t>
        </is>
      </c>
    </row>
    <row r="2069">
      <c r="A2069" s="2" t="inlineStr">
        <is>
          <t>2021-09-08</t>
        </is>
      </c>
      <c r="B2069" s="2" t="inlineStr">
        <is>
          <t>2021-09-22</t>
        </is>
      </c>
      <c r="C2069" s="2" t="inlineStr">
        <is>
          <t>棉花</t>
        </is>
      </c>
      <c r="D2069" s="2" t="inlineStr">
        <is>
          <t>CF</t>
        </is>
      </c>
      <c r="E2069" s="19" t="inlineStr">
        <is>
          <t>多</t>
        </is>
      </c>
      <c r="F2069" s="2" t="inlineStr">
        <is>
          <t>★★</t>
        </is>
      </c>
      <c r="G2069" s="10" t="n">
        <v>3</v>
      </c>
      <c r="H2069" s="11" t="n">
        <v>18100</v>
      </c>
      <c r="I2069" s="11" t="n">
        <v>17150</v>
      </c>
      <c r="J2069" s="10" t="n">
        <v>5</v>
      </c>
      <c r="K2069" s="10" t="n">
        <v>20000</v>
      </c>
      <c r="L2069" s="23">
        <f>IF(E2069="多",1,-1)*(I2069-H2069)*G2069*J2069</f>
        <v/>
      </c>
      <c r="M2069" s="24">
        <f>L2069/K2069</f>
        <v/>
      </c>
      <c r="N2069" s="2" t="inlineStr">
        <is>
          <t>跳空止损</t>
        </is>
      </c>
      <c r="O2069" s="2" t="inlineStr">
        <is>
          <t>否</t>
        </is>
      </c>
    </row>
    <row r="2070">
      <c r="A2070" s="2" t="inlineStr">
        <is>
          <t>2021-09-16</t>
        </is>
      </c>
      <c r="B2070" s="2" t="inlineStr">
        <is>
          <t>2021-09-17</t>
        </is>
      </c>
      <c r="C2070" s="2" t="inlineStr">
        <is>
          <t>PVC</t>
        </is>
      </c>
      <c r="D2070" s="2" t="inlineStr">
        <is>
          <t>V</t>
        </is>
      </c>
      <c r="E2070" s="19" t="inlineStr">
        <is>
          <t>多</t>
        </is>
      </c>
      <c r="F2070" s="2" t="inlineStr">
        <is>
          <t>★★★</t>
        </is>
      </c>
      <c r="G2070" s="10" t="n">
        <v>5</v>
      </c>
      <c r="H2070" s="11" t="n">
        <v>10050</v>
      </c>
      <c r="I2070" s="11" t="n">
        <v>9825</v>
      </c>
      <c r="J2070" s="10" t="n">
        <v>5</v>
      </c>
      <c r="K2070" s="10" t="n">
        <v>20000</v>
      </c>
      <c r="L2070" s="23">
        <f>IF(E2070="多",1,-1)*(I2070-H2070)*G2070*J2070</f>
        <v/>
      </c>
      <c r="M2070" s="24">
        <f>L2070/K2070</f>
        <v/>
      </c>
      <c r="N2070" s="2" t="inlineStr">
        <is>
          <t>大将军转向</t>
        </is>
      </c>
      <c r="O2070" s="2" t="inlineStr">
        <is>
          <t>否</t>
        </is>
      </c>
    </row>
    <row r="2071">
      <c r="A2071" s="2" t="inlineStr">
        <is>
          <t>2021-09-09</t>
        </is>
      </c>
      <c r="B2071" s="2" t="inlineStr">
        <is>
          <t>2021-09-14</t>
        </is>
      </c>
      <c r="C2071" s="2" t="inlineStr">
        <is>
          <t>豆油</t>
        </is>
      </c>
      <c r="D2071" s="2" t="inlineStr">
        <is>
          <t>Y</t>
        </is>
      </c>
      <c r="E2071" s="9" t="inlineStr">
        <is>
          <t>空</t>
        </is>
      </c>
      <c r="F2071" s="2" t="inlineStr">
        <is>
          <t>★★★</t>
        </is>
      </c>
      <c r="G2071" s="10" t="n">
        <v>3</v>
      </c>
      <c r="H2071" s="11" t="n">
        <v>9126</v>
      </c>
      <c r="I2071" s="11" t="n">
        <v>8978</v>
      </c>
      <c r="J2071" s="10" t="n">
        <v>10</v>
      </c>
      <c r="K2071" s="10" t="n">
        <v>20000</v>
      </c>
      <c r="L2071" s="23">
        <f>IF(E2071="多",1,-1)*(I2071-H2071)*G2071*J2071</f>
        <v/>
      </c>
      <c r="M2071" s="24">
        <f>L2071/K2071</f>
        <v/>
      </c>
      <c r="N2071" s="2" t="inlineStr">
        <is>
          <t>将军撤退</t>
        </is>
      </c>
      <c r="O2071" s="2" t="inlineStr">
        <is>
          <t>否</t>
        </is>
      </c>
    </row>
    <row r="2072">
      <c r="A2072" s="2" t="inlineStr">
        <is>
          <t>2021-09-09</t>
        </is>
      </c>
      <c r="B2072" s="2" t="inlineStr">
        <is>
          <t>2021-09-13</t>
        </is>
      </c>
      <c r="C2072" s="2" t="inlineStr">
        <is>
          <t>PVC</t>
        </is>
      </c>
      <c r="D2072" s="2" t="inlineStr">
        <is>
          <t>V</t>
        </is>
      </c>
      <c r="E2072" s="19" t="inlineStr">
        <is>
          <t>多</t>
        </is>
      </c>
      <c r="F2072" s="2" t="inlineStr">
        <is>
          <t>★★★</t>
        </is>
      </c>
      <c r="G2072" s="10" t="n">
        <v>6</v>
      </c>
      <c r="H2072" s="11" t="n">
        <v>9885</v>
      </c>
      <c r="I2072" s="11" t="n">
        <v>9820</v>
      </c>
      <c r="J2072" s="10" t="n">
        <v>5</v>
      </c>
      <c r="K2072" s="10" t="n">
        <v>20000</v>
      </c>
      <c r="L2072" s="23">
        <f>IF(E2072="多",1,-1)*(I2072-H2072)*G2072*J2072</f>
        <v/>
      </c>
      <c r="M2072" s="24">
        <f>L2072/K2072</f>
        <v/>
      </c>
      <c r="N2072" s="2" t="inlineStr">
        <is>
          <t>将军撤退</t>
        </is>
      </c>
      <c r="O2072" s="2" t="inlineStr">
        <is>
          <t>否</t>
        </is>
      </c>
    </row>
    <row r="2073">
      <c r="A2073" s="2" t="inlineStr">
        <is>
          <t>2021-09-09</t>
        </is>
      </c>
      <c r="B2073" s="2" t="inlineStr">
        <is>
          <t>2021-09-10</t>
        </is>
      </c>
      <c r="C2073" s="2" t="inlineStr">
        <is>
          <t>菜粕</t>
        </is>
      </c>
      <c r="D2073" s="2" t="inlineStr">
        <is>
          <t>RM</t>
        </is>
      </c>
      <c r="E2073" s="9" t="inlineStr">
        <is>
          <t>空</t>
        </is>
      </c>
      <c r="F2073" s="2" t="inlineStr">
        <is>
          <t>★★</t>
        </is>
      </c>
      <c r="G2073" s="10" t="n">
        <v>12</v>
      </c>
      <c r="H2073" s="11" t="n">
        <v>2788</v>
      </c>
      <c r="I2073" s="11" t="n">
        <v>2824</v>
      </c>
      <c r="J2073" s="10" t="n">
        <v>10</v>
      </c>
      <c r="K2073" s="10" t="n">
        <v>20000</v>
      </c>
      <c r="L2073" s="23">
        <f>IF(E2073="多",1,-1)*(I2073-H2073)*G2073*J2073</f>
        <v/>
      </c>
      <c r="M2073" s="24">
        <f>L2073/K2073</f>
        <v/>
      </c>
      <c r="N2073" s="2" t="inlineStr">
        <is>
          <t>大将军转向</t>
        </is>
      </c>
      <c r="O2073" s="2" t="inlineStr">
        <is>
          <t>否</t>
        </is>
      </c>
    </row>
    <row r="2074">
      <c r="A2074" s="2" t="inlineStr">
        <is>
          <t>2021-09-07</t>
        </is>
      </c>
      <c r="B2074" s="2" t="inlineStr">
        <is>
          <t>2021-09-09</t>
        </is>
      </c>
      <c r="C2074" s="2" t="inlineStr">
        <is>
          <t>甲醇</t>
        </is>
      </c>
      <c r="D2074" s="2" t="inlineStr">
        <is>
          <t>MA</t>
        </is>
      </c>
      <c r="E2074" s="19" t="inlineStr">
        <is>
          <t>多</t>
        </is>
      </c>
      <c r="F2074" s="2" t="inlineStr">
        <is>
          <t>★★★</t>
        </is>
      </c>
      <c r="G2074" s="10" t="n">
        <v>8</v>
      </c>
      <c r="H2074" s="11" t="n">
        <v>3044</v>
      </c>
      <c r="I2074" s="11" t="n">
        <v>3058</v>
      </c>
      <c r="J2074" s="10" t="n">
        <v>10</v>
      </c>
      <c r="K2074" s="10" t="n">
        <v>20000</v>
      </c>
      <c r="L2074" s="23">
        <f>IF(E2074="多",1,-1)*(I2074-H2074)*G2074*J2074</f>
        <v/>
      </c>
      <c r="M2074" s="24">
        <f>L2074/K2074</f>
        <v/>
      </c>
      <c r="N2074" s="2" t="inlineStr">
        <is>
          <t>将军撤退+大将军转向</t>
        </is>
      </c>
      <c r="O2074" s="2" t="inlineStr">
        <is>
          <t>否</t>
        </is>
      </c>
    </row>
    <row r="2075">
      <c r="A2075" s="2" t="inlineStr">
        <is>
          <t>2021-08-26</t>
        </is>
      </c>
      <c r="B2075" s="2" t="inlineStr">
        <is>
          <t>2021-09-09</t>
        </is>
      </c>
      <c r="C2075" s="2" t="inlineStr">
        <is>
          <t>豆油</t>
        </is>
      </c>
      <c r="D2075" s="2" t="inlineStr">
        <is>
          <t>Y</t>
        </is>
      </c>
      <c r="E2075" s="19" t="inlineStr">
        <is>
          <t>多</t>
        </is>
      </c>
      <c r="F2075" s="2" t="inlineStr">
        <is>
          <t>★★★</t>
        </is>
      </c>
      <c r="G2075" s="10" t="n">
        <v>3</v>
      </c>
      <c r="H2075" s="11" t="n">
        <v>9144</v>
      </c>
      <c r="I2075" s="11" t="n">
        <v>9168</v>
      </c>
      <c r="J2075" s="10" t="n">
        <v>10</v>
      </c>
      <c r="K2075" s="10" t="n">
        <v>20000</v>
      </c>
      <c r="L2075" s="23">
        <f>IF(E2075="多",1,-1)*(I2075-H2075)*G2075*J2075</f>
        <v/>
      </c>
      <c r="M2075" s="24">
        <f>L2075/K2075</f>
        <v/>
      </c>
      <c r="N2075" s="2" t="inlineStr">
        <is>
          <t>反向信号</t>
        </is>
      </c>
      <c r="O2075" s="2" t="inlineStr">
        <is>
          <t>否</t>
        </is>
      </c>
    </row>
    <row r="2076">
      <c r="A2076" s="2" t="inlineStr">
        <is>
          <t>2021-09-07</t>
        </is>
      </c>
      <c r="B2076" s="2" t="inlineStr">
        <is>
          <t>2021-09-08</t>
        </is>
      </c>
      <c r="C2076" s="2" t="inlineStr">
        <is>
          <t>玉米</t>
        </is>
      </c>
      <c r="D2076" s="2" t="inlineStr">
        <is>
          <t>C</t>
        </is>
      </c>
      <c r="E2076" s="9" t="inlineStr">
        <is>
          <t>空</t>
        </is>
      </c>
      <c r="F2076" s="2" t="inlineStr">
        <is>
          <t>★★★</t>
        </is>
      </c>
      <c r="G2076" s="10" t="n">
        <v>24</v>
      </c>
      <c r="H2076" s="11" t="n">
        <v>2458</v>
      </c>
      <c r="I2076" s="11" t="n">
        <v>2461</v>
      </c>
      <c r="J2076" s="10" t="n">
        <v>10</v>
      </c>
      <c r="K2076" s="10" t="n">
        <v>20000</v>
      </c>
      <c r="L2076" s="23">
        <f>IF(E2076="多",1,-1)*(I2076-H2076)*G2076*J2076</f>
        <v/>
      </c>
      <c r="M2076" s="24">
        <f>L2076/K2076</f>
        <v/>
      </c>
      <c r="N2076" s="2" t="inlineStr">
        <is>
          <t>大将军转向</t>
        </is>
      </c>
      <c r="O2076" s="2" t="inlineStr">
        <is>
          <t>否</t>
        </is>
      </c>
    </row>
    <row r="2077">
      <c r="A2077" s="14" t="inlineStr">
        <is>
          <t>2021-08-31</t>
        </is>
      </c>
      <c r="B2077" s="14" t="inlineStr">
        <is>
          <t>2021-09-07</t>
        </is>
      </c>
      <c r="C2077" s="14" t="inlineStr">
        <is>
          <t>沪铝</t>
        </is>
      </c>
      <c r="D2077" s="14" t="inlineStr">
        <is>
          <t>AL</t>
        </is>
      </c>
      <c r="E2077" s="14" t="inlineStr">
        <is>
          <t>多</t>
        </is>
      </c>
      <c r="F2077" s="14" t="inlineStr">
        <is>
          <t>★★</t>
        </is>
      </c>
      <c r="G2077" s="14" t="n">
        <v>1</v>
      </c>
      <c r="H2077" s="15" t="n">
        <v>21305</v>
      </c>
      <c r="I2077" s="15" t="n">
        <v>21730</v>
      </c>
      <c r="J2077" s="14" t="n">
        <v>5</v>
      </c>
      <c r="K2077" s="14" t="n">
        <v>10000</v>
      </c>
      <c r="L2077" s="25">
        <f>IF(E2077="多",1,-1)*(I2077-H2077)*G2077*J2077</f>
        <v/>
      </c>
      <c r="M2077" s="26">
        <f>L2077/K2077</f>
        <v/>
      </c>
      <c r="N2077" s="14" t="inlineStr">
        <is>
          <t>大将军转向</t>
        </is>
      </c>
      <c r="O2077" s="14" t="inlineStr">
        <is>
          <t>是</t>
        </is>
      </c>
    </row>
    <row r="2078">
      <c r="A2078" s="14" t="inlineStr">
        <is>
          <t>2021-08-30</t>
        </is>
      </c>
      <c r="B2078" s="14" t="inlineStr">
        <is>
          <t>2021-09-07</t>
        </is>
      </c>
      <c r="C2078" s="14" t="inlineStr">
        <is>
          <t>螺纹钢</t>
        </is>
      </c>
      <c r="D2078" s="14" t="inlineStr">
        <is>
          <t>RB</t>
        </is>
      </c>
      <c r="E2078" s="14" t="inlineStr">
        <is>
          <t>多</t>
        </is>
      </c>
      <c r="F2078" s="14" t="inlineStr">
        <is>
          <t>★★</t>
        </is>
      </c>
      <c r="G2078" s="14" t="n">
        <v>2</v>
      </c>
      <c r="H2078" s="15" t="n">
        <v>5361</v>
      </c>
      <c r="I2078" s="15" t="n">
        <v>5494</v>
      </c>
      <c r="J2078" s="14" t="n">
        <v>10</v>
      </c>
      <c r="K2078" s="14" t="n">
        <v>10000</v>
      </c>
      <c r="L2078" s="25">
        <f>IF(E2078="多",1,-1)*(I2078-H2078)*G2078*J2078</f>
        <v/>
      </c>
      <c r="M2078" s="26">
        <f>L2078/K2078</f>
        <v/>
      </c>
      <c r="N2078" s="14" t="inlineStr">
        <is>
          <t>将军撤退</t>
        </is>
      </c>
      <c r="O2078" s="14" t="inlineStr">
        <is>
          <t>是</t>
        </is>
      </c>
    </row>
    <row r="2079">
      <c r="A2079" s="14" t="inlineStr">
        <is>
          <t>2021-09-03</t>
        </is>
      </c>
      <c r="B2079" s="14" t="inlineStr">
        <is>
          <t>2021-09-06</t>
        </is>
      </c>
      <c r="C2079" s="14" t="inlineStr">
        <is>
          <t>沪镍</t>
        </is>
      </c>
      <c r="D2079" s="14" t="inlineStr">
        <is>
          <t>NI</t>
        </is>
      </c>
      <c r="E2079" s="14" t="inlineStr">
        <is>
          <t>空</t>
        </is>
      </c>
      <c r="F2079" s="14" t="inlineStr">
        <is>
          <t>★★</t>
        </is>
      </c>
      <c r="G2079" s="14" t="n">
        <v>1</v>
      </c>
      <c r="H2079" s="15" t="n">
        <v>146500</v>
      </c>
      <c r="I2079" s="15" t="n">
        <v>146100</v>
      </c>
      <c r="J2079" s="14" t="n">
        <v>1</v>
      </c>
      <c r="K2079" s="14" t="n">
        <v>10000</v>
      </c>
      <c r="L2079" s="25">
        <f>IF(E2079="多",1,-1)*(I2079-H2079)*G2079*J2079</f>
        <v/>
      </c>
      <c r="M2079" s="26">
        <f>L2079/K2079</f>
        <v/>
      </c>
      <c r="N2079" s="14" t="inlineStr">
        <is>
          <t>大将军转向</t>
        </is>
      </c>
      <c r="O2079" s="14" t="inlineStr">
        <is>
          <t>是</t>
        </is>
      </c>
    </row>
    <row r="2080">
      <c r="A2080" s="14" t="inlineStr">
        <is>
          <t>2021-09-02</t>
        </is>
      </c>
      <c r="B2080" s="14" t="inlineStr">
        <is>
          <t>2021-09-06</t>
        </is>
      </c>
      <c r="C2080" s="14" t="inlineStr">
        <is>
          <t>白糖</t>
        </is>
      </c>
      <c r="D2080" s="14" t="inlineStr">
        <is>
          <t>SR</t>
        </is>
      </c>
      <c r="E2080" s="14" t="inlineStr">
        <is>
          <t>多</t>
        </is>
      </c>
      <c r="F2080" s="14" t="inlineStr">
        <is>
          <t>★★</t>
        </is>
      </c>
      <c r="G2080" s="14" t="n">
        <v>4</v>
      </c>
      <c r="H2080" s="15" t="n">
        <v>5880</v>
      </c>
      <c r="I2080" s="15" t="n">
        <v>5942</v>
      </c>
      <c r="J2080" s="14" t="n">
        <v>10</v>
      </c>
      <c r="K2080" s="14" t="n">
        <v>10000</v>
      </c>
      <c r="L2080" s="25">
        <f>IF(E2080="多",1,-1)*(I2080-H2080)*G2080*J2080</f>
        <v/>
      </c>
      <c r="M2080" s="26">
        <f>L2080/K2080</f>
        <v/>
      </c>
      <c r="N2080" s="14" t="inlineStr">
        <is>
          <t>将军撤退</t>
        </is>
      </c>
      <c r="O2080" s="14" t="inlineStr">
        <is>
          <t>是</t>
        </is>
      </c>
    </row>
    <row r="2081">
      <c r="A2081" s="14" t="inlineStr">
        <is>
          <t>2021-08-31</t>
        </is>
      </c>
      <c r="B2081" s="14" t="inlineStr">
        <is>
          <t>2021-09-06</t>
        </is>
      </c>
      <c r="C2081" s="14" t="inlineStr">
        <is>
          <t>棉花</t>
        </is>
      </c>
      <c r="D2081" s="14" t="inlineStr">
        <is>
          <t>CF</t>
        </is>
      </c>
      <c r="E2081" s="14" t="inlineStr">
        <is>
          <t>空</t>
        </is>
      </c>
      <c r="F2081" s="14" t="inlineStr">
        <is>
          <t>★★</t>
        </is>
      </c>
      <c r="G2081" s="14" t="n">
        <v>1</v>
      </c>
      <c r="H2081" s="15" t="n">
        <v>17285</v>
      </c>
      <c r="I2081" s="15" t="n">
        <v>17810</v>
      </c>
      <c r="J2081" s="14" t="n">
        <v>5</v>
      </c>
      <c r="K2081" s="14" t="n">
        <v>10000</v>
      </c>
      <c r="L2081" s="25">
        <f>IF(E2081="多",1,-1)*(I2081-H2081)*G2081*J2081</f>
        <v/>
      </c>
      <c r="M2081" s="26">
        <f>L2081/K2081</f>
        <v/>
      </c>
      <c r="N2081" s="14" t="inlineStr">
        <is>
          <t>将军撤退+大将军转向</t>
        </is>
      </c>
      <c r="O2081" s="14" t="inlineStr">
        <is>
          <t>是</t>
        </is>
      </c>
    </row>
    <row r="2082">
      <c r="A2082" s="14" t="inlineStr">
        <is>
          <t>2021-08-30</t>
        </is>
      </c>
      <c r="B2082" s="14" t="inlineStr">
        <is>
          <t>2021-09-06</t>
        </is>
      </c>
      <c r="C2082" s="14" t="inlineStr">
        <is>
          <t>菜粕</t>
        </is>
      </c>
      <c r="D2082" s="14" t="inlineStr">
        <is>
          <t>RM</t>
        </is>
      </c>
      <c r="E2082" s="14" t="inlineStr">
        <is>
          <t>多</t>
        </is>
      </c>
      <c r="F2082" s="14" t="inlineStr">
        <is>
          <t>★★</t>
        </is>
      </c>
      <c r="G2082" s="14" t="n">
        <v>5</v>
      </c>
      <c r="H2082" s="15" t="n">
        <v>2896</v>
      </c>
      <c r="I2082" s="15" t="n">
        <v>2851</v>
      </c>
      <c r="J2082" s="14" t="n">
        <v>10</v>
      </c>
      <c r="K2082" s="14" t="n">
        <v>10000</v>
      </c>
      <c r="L2082" s="25">
        <f>IF(E2082="多",1,-1)*(I2082-H2082)*G2082*J2082</f>
        <v/>
      </c>
      <c r="M2082" s="26">
        <f>L2082/K2082</f>
        <v/>
      </c>
      <c r="N2082" s="14" t="inlineStr">
        <is>
          <t>将军撤退</t>
        </is>
      </c>
      <c r="O2082" s="14" t="inlineStr">
        <is>
          <t>是</t>
        </is>
      </c>
    </row>
    <row r="2083">
      <c r="A2083" s="2" t="inlineStr">
        <is>
          <t>2021-08-30</t>
        </is>
      </c>
      <c r="B2083" s="2" t="inlineStr">
        <is>
          <t>2021-09-06</t>
        </is>
      </c>
      <c r="C2083" s="2" t="inlineStr">
        <is>
          <t>玉米</t>
        </is>
      </c>
      <c r="D2083" s="2" t="inlineStr">
        <is>
          <t>C</t>
        </is>
      </c>
      <c r="E2083" s="9" t="inlineStr">
        <is>
          <t>空</t>
        </is>
      </c>
      <c r="F2083" s="2" t="inlineStr">
        <is>
          <t>★★★</t>
        </is>
      </c>
      <c r="G2083" s="10" t="n">
        <v>22</v>
      </c>
      <c r="H2083" s="11" t="n">
        <v>2485</v>
      </c>
      <c r="I2083" s="11" t="n">
        <v>2461</v>
      </c>
      <c r="J2083" s="10" t="n">
        <v>10</v>
      </c>
      <c r="K2083" s="10" t="n">
        <v>20000</v>
      </c>
      <c r="L2083" s="23">
        <f>IF(E2083="多",1,-1)*(I2083-H2083)*G2083*J2083</f>
        <v/>
      </c>
      <c r="M2083" s="24">
        <f>L2083/K2083</f>
        <v/>
      </c>
      <c r="N2083" s="2" t="inlineStr">
        <is>
          <t>将军撤退</t>
        </is>
      </c>
      <c r="O2083" s="2" t="inlineStr">
        <is>
          <t>否</t>
        </is>
      </c>
    </row>
    <row r="2084">
      <c r="A2084" s="2" t="inlineStr">
        <is>
          <t>2021-09-02</t>
        </is>
      </c>
      <c r="B2084" s="2" t="inlineStr">
        <is>
          <t>2021-09-03</t>
        </is>
      </c>
      <c r="C2084" s="2" t="inlineStr">
        <is>
          <t>PTA</t>
        </is>
      </c>
      <c r="D2084" s="2" t="inlineStr">
        <is>
          <t>TA</t>
        </is>
      </c>
      <c r="E2084" s="9" t="inlineStr">
        <is>
          <t>空</t>
        </is>
      </c>
      <c r="F2084" s="2" t="inlineStr">
        <is>
          <t>★★★</t>
        </is>
      </c>
      <c r="G2084" s="10" t="n">
        <v>11</v>
      </c>
      <c r="H2084" s="11" t="n">
        <v>4844</v>
      </c>
      <c r="I2084" s="11" t="n">
        <v>4934</v>
      </c>
      <c r="J2084" s="10" t="n">
        <v>5</v>
      </c>
      <c r="K2084" s="10" t="n">
        <v>20000</v>
      </c>
      <c r="L2084" s="23">
        <f>IF(E2084="多",1,-1)*(I2084-H2084)*G2084*J2084</f>
        <v/>
      </c>
      <c r="M2084" s="24">
        <f>L2084/K2084</f>
        <v/>
      </c>
      <c r="N2084" s="2" t="inlineStr">
        <is>
          <t>大将军转向</t>
        </is>
      </c>
      <c r="O2084" s="2" t="inlineStr">
        <is>
          <t>否</t>
        </is>
      </c>
    </row>
    <row r="2085">
      <c r="A2085" s="14" t="inlineStr">
        <is>
          <t>2021-09-02</t>
        </is>
      </c>
      <c r="B2085" s="14" t="inlineStr">
        <is>
          <t>2021-09-03</t>
        </is>
      </c>
      <c r="C2085" s="14" t="inlineStr">
        <is>
          <t>甲醇</t>
        </is>
      </c>
      <c r="D2085" s="14" t="inlineStr">
        <is>
          <t>MA</t>
        </is>
      </c>
      <c r="E2085" s="14" t="inlineStr">
        <is>
          <t>多</t>
        </is>
      </c>
      <c r="F2085" s="14" t="inlineStr">
        <is>
          <t>★★</t>
        </is>
      </c>
      <c r="G2085" s="14" t="n">
        <v>4</v>
      </c>
      <c r="H2085" s="15" t="n">
        <v>2886</v>
      </c>
      <c r="I2085" s="15" t="n">
        <v>2893</v>
      </c>
      <c r="J2085" s="14" t="n">
        <v>10</v>
      </c>
      <c r="K2085" s="14" t="n">
        <v>10000</v>
      </c>
      <c r="L2085" s="25">
        <f>IF(E2085="多",1,-1)*(I2085-H2085)*G2085*J2085</f>
        <v/>
      </c>
      <c r="M2085" s="26">
        <f>L2085/K2085</f>
        <v/>
      </c>
      <c r="N2085" s="14" t="inlineStr">
        <is>
          <t>将军撤退</t>
        </is>
      </c>
      <c r="O2085" s="14" t="inlineStr">
        <is>
          <t>是</t>
        </is>
      </c>
    </row>
    <row r="2086">
      <c r="A2086" s="2" t="inlineStr">
        <is>
          <t>2021-08-25</t>
        </is>
      </c>
      <c r="B2086" s="2" t="inlineStr">
        <is>
          <t>2021-08-30</t>
        </is>
      </c>
      <c r="C2086" s="2" t="inlineStr">
        <is>
          <t>PVC</t>
        </is>
      </c>
      <c r="D2086" s="2" t="inlineStr">
        <is>
          <t>V</t>
        </is>
      </c>
      <c r="E2086" s="19" t="inlineStr">
        <is>
          <t>多</t>
        </is>
      </c>
      <c r="F2086" s="2" t="inlineStr">
        <is>
          <t>★★★</t>
        </is>
      </c>
      <c r="G2086" s="10" t="n">
        <v>8</v>
      </c>
      <c r="H2086" s="11" t="n">
        <v>9300</v>
      </c>
      <c r="I2086" s="11" t="n">
        <v>9300</v>
      </c>
      <c r="J2086" s="10" t="n">
        <v>5</v>
      </c>
      <c r="K2086" s="10" t="n">
        <v>20000</v>
      </c>
      <c r="L2086" s="23">
        <f>IF(E2086="多",1,-1)*(I2086-H2086)*G2086*J2086</f>
        <v/>
      </c>
      <c r="M2086" s="24">
        <f>L2086/K2086</f>
        <v/>
      </c>
      <c r="N2086" s="2" t="inlineStr">
        <is>
          <t>将军撤退</t>
        </is>
      </c>
      <c r="O2086" s="2" t="inlineStr">
        <is>
          <t>否</t>
        </is>
      </c>
    </row>
    <row r="2087">
      <c r="A2087" s="14" t="inlineStr">
        <is>
          <t>2021-08-24</t>
        </is>
      </c>
      <c r="B2087" s="14" t="inlineStr">
        <is>
          <t>2021-08-27</t>
        </is>
      </c>
      <c r="C2087" s="14" t="inlineStr">
        <is>
          <t>棕榈油</t>
        </is>
      </c>
      <c r="D2087" s="14" t="inlineStr">
        <is>
          <t>P</t>
        </is>
      </c>
      <c r="E2087" s="14" t="inlineStr">
        <is>
          <t>多</t>
        </is>
      </c>
      <c r="F2087" s="14" t="inlineStr">
        <is>
          <t>★★★</t>
        </is>
      </c>
      <c r="G2087" s="14" t="n">
        <v>1</v>
      </c>
      <c r="H2087" s="15" t="n">
        <v>8168</v>
      </c>
      <c r="I2087" s="15" t="n">
        <v>8266</v>
      </c>
      <c r="J2087" s="14" t="n">
        <v>10</v>
      </c>
      <c r="K2087" s="14" t="n">
        <v>10000</v>
      </c>
      <c r="L2087" s="25">
        <f>IF(E2087="多",1,-1)*(I2087-H2087)*G2087*J2087</f>
        <v/>
      </c>
      <c r="M2087" s="26">
        <f>L2087/K2087</f>
        <v/>
      </c>
      <c r="N2087" s="14" t="inlineStr">
        <is>
          <t>大将军转向</t>
        </is>
      </c>
      <c r="O2087" s="14" t="inlineStr">
        <is>
          <t>是</t>
        </is>
      </c>
    </row>
    <row r="2088">
      <c r="A2088" s="2" t="inlineStr">
        <is>
          <t>2021-08-19</t>
        </is>
      </c>
      <c r="B2088" s="2" t="inlineStr">
        <is>
          <t>2021-08-26</t>
        </is>
      </c>
      <c r="C2088" s="2" t="inlineStr">
        <is>
          <t>聚丙烯</t>
        </is>
      </c>
      <c r="D2088" s="2" t="inlineStr">
        <is>
          <t>PP</t>
        </is>
      </c>
      <c r="E2088" s="9" t="inlineStr">
        <is>
          <t>空</t>
        </is>
      </c>
      <c r="F2088" s="2" t="inlineStr">
        <is>
          <t>★★</t>
        </is>
      </c>
      <c r="G2088" s="10" t="n">
        <v>9</v>
      </c>
      <c r="H2088" s="11" t="n">
        <v>8258</v>
      </c>
      <c r="I2088" s="11" t="n">
        <v>8120</v>
      </c>
      <c r="J2088" s="10" t="n">
        <v>5</v>
      </c>
      <c r="K2088" s="10" t="n">
        <v>20000</v>
      </c>
      <c r="L2088" s="23">
        <f>IF(E2088="多",1,-1)*(I2088-H2088)*G2088*J2088</f>
        <v/>
      </c>
      <c r="M2088" s="24">
        <f>L2088/K2088</f>
        <v/>
      </c>
      <c r="N2088" s="2" t="inlineStr">
        <is>
          <t>大将军转向</t>
        </is>
      </c>
      <c r="O2088" s="2" t="inlineStr">
        <is>
          <t>否</t>
        </is>
      </c>
    </row>
    <row r="2089">
      <c r="A2089" s="14" t="inlineStr">
        <is>
          <t>2021-08-24</t>
        </is>
      </c>
      <c r="B2089" s="14" t="inlineStr">
        <is>
          <t>2021-08-25</t>
        </is>
      </c>
      <c r="C2089" s="14" t="inlineStr">
        <is>
          <t>螺纹钢</t>
        </is>
      </c>
      <c r="D2089" s="14" t="inlineStr">
        <is>
          <t>RB</t>
        </is>
      </c>
      <c r="E2089" s="14" t="inlineStr">
        <is>
          <t>多</t>
        </is>
      </c>
      <c r="F2089" s="14" t="inlineStr">
        <is>
          <t>★★</t>
        </is>
      </c>
      <c r="G2089" s="14" t="n">
        <v>2</v>
      </c>
      <c r="H2089" s="15" t="n">
        <v>5239</v>
      </c>
      <c r="I2089" s="15" t="n">
        <v>5236</v>
      </c>
      <c r="J2089" s="14" t="n">
        <v>10</v>
      </c>
      <c r="K2089" s="14" t="n">
        <v>10000</v>
      </c>
      <c r="L2089" s="25">
        <f>IF(E2089="多",1,-1)*(I2089-H2089)*G2089*J2089</f>
        <v/>
      </c>
      <c r="M2089" s="26">
        <f>L2089/K2089</f>
        <v/>
      </c>
      <c r="N2089" s="14" t="inlineStr">
        <is>
          <t>大将军转向</t>
        </is>
      </c>
      <c r="O2089" s="14" t="inlineStr">
        <is>
          <t>是</t>
        </is>
      </c>
    </row>
    <row r="2090">
      <c r="A2090" s="2" t="inlineStr">
        <is>
          <t>2021-08-20</t>
        </is>
      </c>
      <c r="B2090" s="2" t="inlineStr">
        <is>
          <t>2021-08-25</t>
        </is>
      </c>
      <c r="C2090" s="2" t="inlineStr">
        <is>
          <t>纯碱</t>
        </is>
      </c>
      <c r="D2090" s="2" t="inlineStr">
        <is>
          <t>SA</t>
        </is>
      </c>
      <c r="E2090" s="19" t="inlineStr">
        <is>
          <t>多</t>
        </is>
      </c>
      <c r="F2090" s="2" t="inlineStr">
        <is>
          <t>★★★</t>
        </is>
      </c>
      <c r="G2090" s="10" t="n">
        <v>2</v>
      </c>
      <c r="H2090" s="11" t="n">
        <v>2737</v>
      </c>
      <c r="I2090" s="11" t="n">
        <v>2730</v>
      </c>
      <c r="J2090" s="10" t="n">
        <v>20</v>
      </c>
      <c r="K2090" s="10" t="n">
        <v>12700</v>
      </c>
      <c r="L2090" s="23">
        <f>IF(E2090="多",1,-1)*(I2090-H2090)*G2090*J2090</f>
        <v/>
      </c>
      <c r="M2090" s="24">
        <f>L2090/K2090</f>
        <v/>
      </c>
      <c r="N2090" s="2" t="inlineStr">
        <is>
          <t>大将军转向</t>
        </is>
      </c>
      <c r="O2090" s="2" t="inlineStr">
        <is>
          <t>否</t>
        </is>
      </c>
    </row>
    <row r="2091">
      <c r="A2091" s="2" t="inlineStr">
        <is>
          <t>2021-08-17</t>
        </is>
      </c>
      <c r="B2091" s="2" t="inlineStr">
        <is>
          <t>2021-08-25</t>
        </is>
      </c>
      <c r="C2091" s="2" t="inlineStr">
        <is>
          <t>沪铝</t>
        </is>
      </c>
      <c r="D2091" s="2" t="inlineStr">
        <is>
          <t>AL</t>
        </is>
      </c>
      <c r="E2091" s="19" t="inlineStr">
        <is>
          <t>多</t>
        </is>
      </c>
      <c r="F2091" s="2" t="inlineStr">
        <is>
          <t>★★★</t>
        </is>
      </c>
      <c r="G2091" s="10" t="n">
        <v>4</v>
      </c>
      <c r="H2091" s="11" t="n">
        <v>20460</v>
      </c>
      <c r="I2091" s="11" t="n">
        <v>20600</v>
      </c>
      <c r="J2091" s="10" t="n">
        <v>5</v>
      </c>
      <c r="K2091" s="10" t="n">
        <v>20000</v>
      </c>
      <c r="L2091" s="23">
        <f>IF(E2091="多",1,-1)*(I2091-H2091)*G2091*J2091</f>
        <v/>
      </c>
      <c r="M2091" s="24">
        <f>L2091/K2091</f>
        <v/>
      </c>
      <c r="N2091" s="2" t="inlineStr">
        <is>
          <t>将军撤退+大将军转向</t>
        </is>
      </c>
      <c r="O2091" s="2" t="inlineStr">
        <is>
          <t>否</t>
        </is>
      </c>
    </row>
    <row r="2092">
      <c r="A2092" s="2" t="inlineStr">
        <is>
          <t>2021-08-23</t>
        </is>
      </c>
      <c r="B2092" s="2" t="inlineStr">
        <is>
          <t>2021-08-24</t>
        </is>
      </c>
      <c r="C2092" s="2" t="inlineStr">
        <is>
          <t>甲醇</t>
        </is>
      </c>
      <c r="D2092" s="2" t="inlineStr">
        <is>
          <t>MA</t>
        </is>
      </c>
      <c r="E2092" s="19" t="inlineStr">
        <is>
          <t>多</t>
        </is>
      </c>
      <c r="F2092" s="2" t="inlineStr">
        <is>
          <t>★★</t>
        </is>
      </c>
      <c r="G2092" s="10" t="n">
        <v>6</v>
      </c>
      <c r="H2092" s="11" t="n">
        <v>2921</v>
      </c>
      <c r="I2092" s="11" t="n">
        <v>2838</v>
      </c>
      <c r="J2092" s="10" t="n">
        <v>10</v>
      </c>
      <c r="K2092" s="10" t="n">
        <v>12700</v>
      </c>
      <c r="L2092" s="23">
        <f>IF(E2092="多",1,-1)*(I2092-H2092)*G2092*J2092</f>
        <v/>
      </c>
      <c r="M2092" s="24">
        <f>L2092/K2092</f>
        <v/>
      </c>
      <c r="N2092" s="2" t="inlineStr">
        <is>
          <t>大将军转向</t>
        </is>
      </c>
      <c r="O2092" s="2" t="inlineStr">
        <is>
          <t>否</t>
        </is>
      </c>
    </row>
    <row r="2093">
      <c r="A2093" s="2" t="inlineStr">
        <is>
          <t>2021-08-16</t>
        </is>
      </c>
      <c r="B2093" s="2" t="inlineStr">
        <is>
          <t>2021-08-24</t>
        </is>
      </c>
      <c r="C2093" s="2" t="inlineStr">
        <is>
          <t>PVC</t>
        </is>
      </c>
      <c r="D2093" s="2" t="inlineStr">
        <is>
          <t>V</t>
        </is>
      </c>
      <c r="E2093" s="19" t="inlineStr">
        <is>
          <t>多</t>
        </is>
      </c>
      <c r="F2093" s="2" t="inlineStr">
        <is>
          <t>★★★</t>
        </is>
      </c>
      <c r="G2093" s="10" t="n">
        <v>8</v>
      </c>
      <c r="H2093" s="11" t="n">
        <v>9095</v>
      </c>
      <c r="I2093" s="11" t="n">
        <v>9225</v>
      </c>
      <c r="J2093" s="10" t="n">
        <v>5</v>
      </c>
      <c r="K2093" s="10" t="n">
        <v>20000</v>
      </c>
      <c r="L2093" s="23">
        <f>IF(E2093="多",1,-1)*(I2093-H2093)*G2093*J2093</f>
        <v/>
      </c>
      <c r="M2093" s="24">
        <f>L2093/K2093</f>
        <v/>
      </c>
      <c r="N2093" s="2" t="inlineStr">
        <is>
          <t>将军撤退</t>
        </is>
      </c>
      <c r="O2093" s="2" t="inlineStr">
        <is>
          <t>否</t>
        </is>
      </c>
    </row>
    <row r="2094">
      <c r="A2094" s="2" t="inlineStr">
        <is>
          <t>2021-08-19</t>
        </is>
      </c>
      <c r="B2094" s="2" t="inlineStr">
        <is>
          <t>2021-08-20</t>
        </is>
      </c>
      <c r="C2094" s="2" t="inlineStr">
        <is>
          <t>沪镍</t>
        </is>
      </c>
      <c r="D2094" s="2" t="inlineStr">
        <is>
          <t>NI</t>
        </is>
      </c>
      <c r="E2094" s="9" t="inlineStr">
        <is>
          <t>空</t>
        </is>
      </c>
      <c r="F2094" s="2" t="inlineStr">
        <is>
          <t>★★</t>
        </is>
      </c>
      <c r="G2094" s="10" t="n">
        <v>2</v>
      </c>
      <c r="H2094" s="11" t="n">
        <v>139220</v>
      </c>
      <c r="I2094" s="11" t="n">
        <v>140010</v>
      </c>
      <c r="J2094" s="10" t="n">
        <v>1</v>
      </c>
      <c r="K2094" s="10" t="n">
        <v>20000</v>
      </c>
      <c r="L2094" s="23">
        <f>IF(E2094="多",1,-1)*(I2094-H2094)*G2094*J2094</f>
        <v/>
      </c>
      <c r="M2094" s="24">
        <f>L2094/K2094</f>
        <v/>
      </c>
      <c r="N2094" s="2" t="inlineStr">
        <is>
          <t>大将军转向</t>
        </is>
      </c>
      <c r="O2094" s="2" t="inlineStr">
        <is>
          <t>否</t>
        </is>
      </c>
    </row>
    <row r="2095">
      <c r="A2095" s="2" t="inlineStr">
        <is>
          <t>2021-08-16</t>
        </is>
      </c>
      <c r="B2095" s="2" t="inlineStr">
        <is>
          <t>2021-08-19</t>
        </is>
      </c>
      <c r="C2095" s="2" t="inlineStr">
        <is>
          <t>棉花</t>
        </is>
      </c>
      <c r="D2095" s="2" t="inlineStr">
        <is>
          <t>CF</t>
        </is>
      </c>
      <c r="E2095" s="19" t="inlineStr">
        <is>
          <t>多</t>
        </is>
      </c>
      <c r="F2095" s="2" t="inlineStr">
        <is>
          <t>★★★</t>
        </is>
      </c>
      <c r="G2095" s="10" t="n">
        <v>4</v>
      </c>
      <c r="H2095" s="11" t="n">
        <v>18095</v>
      </c>
      <c r="I2095" s="11" t="n">
        <v>18265</v>
      </c>
      <c r="J2095" s="10" t="n">
        <v>5</v>
      </c>
      <c r="K2095" s="10" t="n">
        <v>20000</v>
      </c>
      <c r="L2095" s="23">
        <f>IF(E2095="多",1,-1)*(I2095-H2095)*G2095*J2095</f>
        <v/>
      </c>
      <c r="M2095" s="24">
        <f>L2095/K2095</f>
        <v/>
      </c>
      <c r="N2095" s="2" t="inlineStr">
        <is>
          <t>大将军转向</t>
        </is>
      </c>
      <c r="O2095" s="2" t="inlineStr">
        <is>
          <t>否</t>
        </is>
      </c>
    </row>
    <row r="2096">
      <c r="A2096" s="2" t="inlineStr">
        <is>
          <t>2021-08-10</t>
        </is>
      </c>
      <c r="B2096" s="2" t="inlineStr">
        <is>
          <t>2021-08-19</t>
        </is>
      </c>
      <c r="C2096" s="2" t="inlineStr">
        <is>
          <t>沪银</t>
        </is>
      </c>
      <c r="D2096" s="2" t="inlineStr">
        <is>
          <t>AG</t>
        </is>
      </c>
      <c r="E2096" s="9" t="inlineStr">
        <is>
          <t>空</t>
        </is>
      </c>
      <c r="F2096" s="2" t="inlineStr">
        <is>
          <t>★★</t>
        </is>
      </c>
      <c r="G2096" s="10" t="n">
        <v>2</v>
      </c>
      <c r="H2096" s="11" t="n">
        <v>5018</v>
      </c>
      <c r="I2096" s="11" t="n">
        <v>5032</v>
      </c>
      <c r="J2096" s="10" t="n">
        <v>15</v>
      </c>
      <c r="K2096" s="10" t="n">
        <v>10000</v>
      </c>
      <c r="L2096" s="23">
        <f>IF(E2096="多",1,-1)*(I2096-H2096)*G2096*J2096</f>
        <v/>
      </c>
      <c r="M2096" s="24">
        <f>L2096/K2096</f>
        <v/>
      </c>
      <c r="N2096" s="2" t="inlineStr">
        <is>
          <t>大将军转向</t>
        </is>
      </c>
      <c r="O2096" s="2" t="inlineStr">
        <is>
          <t>否</t>
        </is>
      </c>
    </row>
    <row r="2097">
      <c r="A2097" s="2" t="inlineStr">
        <is>
          <t>2021-08-17</t>
        </is>
      </c>
      <c r="B2097" s="2" t="inlineStr">
        <is>
          <t>2021-08-18</t>
        </is>
      </c>
      <c r="C2097" s="2" t="inlineStr">
        <is>
          <t>豆油</t>
        </is>
      </c>
      <c r="D2097" s="2" t="inlineStr">
        <is>
          <t>Y</t>
        </is>
      </c>
      <c r="E2097" s="19" t="inlineStr">
        <is>
          <t>多</t>
        </is>
      </c>
      <c r="F2097" s="2" t="inlineStr">
        <is>
          <t>★★★</t>
        </is>
      </c>
      <c r="G2097" s="10" t="n">
        <v>1</v>
      </c>
      <c r="H2097" s="11" t="n">
        <v>9160</v>
      </c>
      <c r="I2097" s="11" t="n">
        <v>9024</v>
      </c>
      <c r="J2097" s="10" t="n">
        <v>10</v>
      </c>
      <c r="K2097" s="10" t="n">
        <v>10000</v>
      </c>
      <c r="L2097" s="23">
        <f>IF(E2097="多",1,-1)*(I2097-H2097)*G2097*J2097</f>
        <v/>
      </c>
      <c r="M2097" s="24">
        <f>L2097/K2097</f>
        <v/>
      </c>
      <c r="N2097" s="2" t="inlineStr">
        <is>
          <t>大将军转向</t>
        </is>
      </c>
      <c r="O2097" s="2" t="inlineStr">
        <is>
          <t>否</t>
        </is>
      </c>
    </row>
    <row r="2098">
      <c r="A2098" s="2" t="inlineStr">
        <is>
          <t>2021-08-17</t>
        </is>
      </c>
      <c r="B2098" s="2" t="inlineStr">
        <is>
          <t>2021-08-18</t>
        </is>
      </c>
      <c r="C2098" s="2" t="inlineStr">
        <is>
          <t>棕榈油</t>
        </is>
      </c>
      <c r="D2098" s="2" t="inlineStr">
        <is>
          <t>P</t>
        </is>
      </c>
      <c r="E2098" s="19" t="inlineStr">
        <is>
          <t>多</t>
        </is>
      </c>
      <c r="F2098" s="2" t="inlineStr">
        <is>
          <t>★★★</t>
        </is>
      </c>
      <c r="G2098" s="10" t="n">
        <v>2</v>
      </c>
      <c r="H2098" s="11" t="n">
        <v>8360</v>
      </c>
      <c r="I2098" s="11" t="n">
        <v>8166</v>
      </c>
      <c r="J2098" s="10" t="n">
        <v>10</v>
      </c>
      <c r="K2098" s="10" t="n">
        <v>20000</v>
      </c>
      <c r="L2098" s="23">
        <f>IF(E2098="多",1,-1)*(I2098-H2098)*G2098*J2098</f>
        <v/>
      </c>
      <c r="M2098" s="24">
        <f>L2098/K2098</f>
        <v/>
      </c>
      <c r="N2098" s="2" t="inlineStr">
        <is>
          <t>将军撤退+大将军转向</t>
        </is>
      </c>
      <c r="O2098" s="2" t="inlineStr">
        <is>
          <t>否</t>
        </is>
      </c>
    </row>
    <row r="2099">
      <c r="A2099" s="2" t="inlineStr">
        <is>
          <t>2021-08-16</t>
        </is>
      </c>
      <c r="B2099" s="2" t="inlineStr">
        <is>
          <t>2021-08-17</t>
        </is>
      </c>
      <c r="C2099" s="2" t="inlineStr">
        <is>
          <t>纯碱</t>
        </is>
      </c>
      <c r="D2099" s="2" t="inlineStr">
        <is>
          <t>SA</t>
        </is>
      </c>
      <c r="E2099" s="19" t="inlineStr">
        <is>
          <t>多</t>
        </is>
      </c>
      <c r="F2099" s="2" t="inlineStr">
        <is>
          <t>★★</t>
        </is>
      </c>
      <c r="G2099" s="10" t="n">
        <v>4</v>
      </c>
      <c r="H2099" s="11" t="n">
        <v>2753</v>
      </c>
      <c r="I2099" s="11" t="n">
        <v>2724</v>
      </c>
      <c r="J2099" s="10" t="n">
        <v>20</v>
      </c>
      <c r="K2099" s="10" t="n">
        <v>20000</v>
      </c>
      <c r="L2099" s="23">
        <f>IF(E2099="多",1,-1)*(I2099-H2099)*G2099*J2099</f>
        <v/>
      </c>
      <c r="M2099" s="24">
        <f>L2099/K2099</f>
        <v/>
      </c>
      <c r="N2099" s="2" t="inlineStr">
        <is>
          <t>将军撤退+大将军转向</t>
        </is>
      </c>
      <c r="O2099" s="2" t="inlineStr">
        <is>
          <t>否</t>
        </is>
      </c>
    </row>
    <row r="2100">
      <c r="A2100" s="2" t="inlineStr">
        <is>
          <t>2021-08-12</t>
        </is>
      </c>
      <c r="B2100" s="2" t="inlineStr">
        <is>
          <t>2021-08-16</t>
        </is>
      </c>
      <c r="C2100" s="2" t="inlineStr">
        <is>
          <t>沪镍</t>
        </is>
      </c>
      <c r="D2100" s="2" t="inlineStr">
        <is>
          <t>NI</t>
        </is>
      </c>
      <c r="E2100" s="19" t="inlineStr">
        <is>
          <t>多</t>
        </is>
      </c>
      <c r="F2100" s="2" t="inlineStr">
        <is>
          <t>★★</t>
        </is>
      </c>
      <c r="G2100" s="10" t="n">
        <v>1</v>
      </c>
      <c r="H2100" s="11" t="n">
        <v>146500</v>
      </c>
      <c r="I2100" s="11" t="n">
        <v>146220</v>
      </c>
      <c r="J2100" s="10" t="n">
        <v>1</v>
      </c>
      <c r="K2100" s="10" t="n">
        <v>20000</v>
      </c>
      <c r="L2100" s="23">
        <f>IF(E2100="多",1,-1)*(I2100-H2100)*G2100*J2100</f>
        <v/>
      </c>
      <c r="M2100" s="24">
        <f>L2100/K2100</f>
        <v/>
      </c>
      <c r="N2100" s="2" t="inlineStr">
        <is>
          <t>大将军转向</t>
        </is>
      </c>
      <c r="O2100" s="2" t="inlineStr">
        <is>
          <t>否</t>
        </is>
      </c>
    </row>
    <row r="2101">
      <c r="A2101" s="2" t="inlineStr">
        <is>
          <t>2021-08-11</t>
        </is>
      </c>
      <c r="B2101" s="2" t="inlineStr">
        <is>
          <t>2021-08-12</t>
        </is>
      </c>
      <c r="C2101" s="2" t="inlineStr">
        <is>
          <t>棕榈油</t>
        </is>
      </c>
      <c r="D2101" s="2" t="inlineStr">
        <is>
          <t>P</t>
        </is>
      </c>
      <c r="E2101" s="19" t="inlineStr">
        <is>
          <t>多</t>
        </is>
      </c>
      <c r="F2101" s="2" t="inlineStr">
        <is>
          <t>★★★</t>
        </is>
      </c>
      <c r="G2101" s="10" t="n">
        <v>1</v>
      </c>
      <c r="H2101" s="11" t="n">
        <v>9000</v>
      </c>
      <c r="I2101" s="11" t="n">
        <v>9004</v>
      </c>
      <c r="J2101" s="10" t="n">
        <v>10</v>
      </c>
      <c r="K2101" s="10" t="n">
        <v>10000</v>
      </c>
      <c r="L2101" s="23">
        <f>IF(E2101="多",1,-1)*(I2101-H2101)*G2101*J2101</f>
        <v/>
      </c>
      <c r="M2101" s="24">
        <f>L2101/K2101</f>
        <v/>
      </c>
      <c r="N2101" s="2" t="inlineStr">
        <is>
          <t>大将军转向</t>
        </is>
      </c>
      <c r="O2101" s="2" t="inlineStr">
        <is>
          <t>否</t>
        </is>
      </c>
    </row>
    <row r="2102">
      <c r="A2102" s="2" t="inlineStr">
        <is>
          <t>2021-08-10</t>
        </is>
      </c>
      <c r="B2102" s="2" t="inlineStr">
        <is>
          <t>2021-08-11</t>
        </is>
      </c>
      <c r="C2102" s="2" t="inlineStr">
        <is>
          <t>豆油</t>
        </is>
      </c>
      <c r="D2102" s="2" t="inlineStr">
        <is>
          <t>Y</t>
        </is>
      </c>
      <c r="E2102" s="19" t="inlineStr">
        <is>
          <t>多</t>
        </is>
      </c>
      <c r="F2102" s="2" t="inlineStr">
        <is>
          <t>★★★</t>
        </is>
      </c>
      <c r="G2102" s="10" t="n">
        <v>1</v>
      </c>
      <c r="H2102" s="11" t="n">
        <v>8710</v>
      </c>
      <c r="I2102" s="11" t="n">
        <v>8988</v>
      </c>
      <c r="J2102" s="10" t="n">
        <v>10</v>
      </c>
      <c r="K2102" s="10" t="n">
        <v>10000</v>
      </c>
      <c r="L2102" s="23">
        <f>IF(E2102="多",1,-1)*(I2102-H2102)*G2102*J2102</f>
        <v/>
      </c>
      <c r="M2102" s="24">
        <f>L2102/K2102</f>
        <v/>
      </c>
      <c r="N2102" s="2" t="inlineStr">
        <is>
          <t>将军撤退</t>
        </is>
      </c>
      <c r="O2102" s="2" t="inlineStr">
        <is>
          <t>否</t>
        </is>
      </c>
    </row>
    <row r="2103">
      <c r="A2103" s="2" t="inlineStr">
        <is>
          <t>2021-08-06</t>
        </is>
      </c>
      <c r="B2103" s="2" t="inlineStr">
        <is>
          <t>2021-08-10</t>
        </is>
      </c>
      <c r="C2103" s="2" t="inlineStr">
        <is>
          <t>PTA</t>
        </is>
      </c>
      <c r="D2103" s="2" t="inlineStr">
        <is>
          <t>TA</t>
        </is>
      </c>
      <c r="E2103" s="19" t="inlineStr">
        <is>
          <t>多</t>
        </is>
      </c>
      <c r="F2103" s="2" t="inlineStr">
        <is>
          <t>★★★</t>
        </is>
      </c>
      <c r="G2103" s="10" t="n">
        <v>3</v>
      </c>
      <c r="H2103" s="11" t="n">
        <v>5420</v>
      </c>
      <c r="I2103" s="11" t="n">
        <v>5294</v>
      </c>
      <c r="J2103" s="10" t="n">
        <v>5</v>
      </c>
      <c r="K2103" s="10" t="n">
        <v>10000</v>
      </c>
      <c r="L2103" s="23">
        <f>IF(E2103="多",1,-1)*(I2103-H2103)*G2103*J2103</f>
        <v/>
      </c>
      <c r="M2103" s="24">
        <f>L2103/K2103</f>
        <v/>
      </c>
      <c r="N2103" s="2" t="inlineStr">
        <is>
          <t>大将军转向</t>
        </is>
      </c>
      <c r="O2103" s="2" t="inlineStr">
        <is>
          <t>否</t>
        </is>
      </c>
    </row>
    <row r="2104">
      <c r="A2104" s="2" t="inlineStr">
        <is>
          <t>2021-08-06</t>
        </is>
      </c>
      <c r="B2104" s="2" t="inlineStr">
        <is>
          <t>2021-08-10</t>
        </is>
      </c>
      <c r="C2104" s="2" t="inlineStr">
        <is>
          <t>聚丙烯</t>
        </is>
      </c>
      <c r="D2104" s="2" t="inlineStr">
        <is>
          <t>PP</t>
        </is>
      </c>
      <c r="E2104" s="19" t="inlineStr">
        <is>
          <t>多</t>
        </is>
      </c>
      <c r="F2104" s="2" t="inlineStr">
        <is>
          <t>★★★</t>
        </is>
      </c>
      <c r="G2104" s="10" t="n">
        <v>4</v>
      </c>
      <c r="H2104" s="11" t="n">
        <v>8400</v>
      </c>
      <c r="I2104" s="11" t="n">
        <v>8479</v>
      </c>
      <c r="J2104" s="10" t="n">
        <v>5</v>
      </c>
      <c r="K2104" s="10" t="n">
        <v>10000</v>
      </c>
      <c r="L2104" s="23">
        <f>IF(E2104="多",1,-1)*(I2104-H2104)*G2104*J2104</f>
        <v/>
      </c>
      <c r="M2104" s="24">
        <f>L2104/K2104</f>
        <v/>
      </c>
      <c r="N2104" s="2" t="inlineStr">
        <is>
          <t>将军撤退+大将军转向</t>
        </is>
      </c>
      <c r="O2104" s="2" t="inlineStr">
        <is>
          <t>否</t>
        </is>
      </c>
    </row>
    <row r="2105">
      <c r="A2105" s="2" t="inlineStr">
        <is>
          <t>2021-08-06</t>
        </is>
      </c>
      <c r="B2105" s="2" t="inlineStr">
        <is>
          <t>2021-08-09</t>
        </is>
      </c>
      <c r="C2105" s="2" t="inlineStr">
        <is>
          <t>豆油</t>
        </is>
      </c>
      <c r="D2105" s="2" t="inlineStr">
        <is>
          <t>Y</t>
        </is>
      </c>
      <c r="E2105" s="19" t="inlineStr">
        <is>
          <t>多</t>
        </is>
      </c>
      <c r="F2105" s="2" t="inlineStr">
        <is>
          <t>★★</t>
        </is>
      </c>
      <c r="G2105" s="10" t="n">
        <v>1</v>
      </c>
      <c r="H2105" s="11" t="n">
        <v>8910</v>
      </c>
      <c r="I2105" s="11" t="n">
        <v>8980</v>
      </c>
      <c r="J2105" s="10" t="n">
        <v>10</v>
      </c>
      <c r="K2105" s="10" t="n">
        <v>10000</v>
      </c>
      <c r="L2105" s="23">
        <f>IF(E2105="多",1,-1)*(I2105-H2105)*G2105*J2105</f>
        <v/>
      </c>
      <c r="M2105" s="24">
        <f>L2105/K2105</f>
        <v/>
      </c>
      <c r="N2105" s="2" t="inlineStr">
        <is>
          <t>大将军转向</t>
        </is>
      </c>
      <c r="O2105" s="2" t="inlineStr">
        <is>
          <t>否</t>
        </is>
      </c>
    </row>
    <row r="2106">
      <c r="A2106" s="2" t="inlineStr">
        <is>
          <t>2021-08-06</t>
        </is>
      </c>
      <c r="B2106" s="2" t="inlineStr">
        <is>
          <t>2021-08-09</t>
        </is>
      </c>
      <c r="C2106" s="2" t="inlineStr">
        <is>
          <t>棕榈油</t>
        </is>
      </c>
      <c r="D2106" s="2" t="inlineStr">
        <is>
          <t>P</t>
        </is>
      </c>
      <c r="E2106" s="19" t="inlineStr">
        <is>
          <t>多</t>
        </is>
      </c>
      <c r="F2106" s="2" t="inlineStr">
        <is>
          <t>★★★</t>
        </is>
      </c>
      <c r="G2106" s="10" t="n">
        <v>1</v>
      </c>
      <c r="H2106" s="11" t="n">
        <v>8530</v>
      </c>
      <c r="I2106" s="11" t="n">
        <v>8530</v>
      </c>
      <c r="J2106" s="10" t="n">
        <v>10</v>
      </c>
      <c r="K2106" s="10" t="n">
        <v>10000</v>
      </c>
      <c r="L2106" s="23">
        <f>IF(E2106="多",1,-1)*(I2106-H2106)*G2106*J2106</f>
        <v/>
      </c>
      <c r="M2106" s="24">
        <f>L2106/K2106</f>
        <v/>
      </c>
      <c r="N2106" s="2" t="inlineStr">
        <is>
          <t>将军撤退+大将军转向</t>
        </is>
      </c>
      <c r="O2106" s="2" t="inlineStr">
        <is>
          <t>否</t>
        </is>
      </c>
    </row>
    <row r="2107">
      <c r="A2107" s="2" t="inlineStr">
        <is>
          <t>2021-08-03</t>
        </is>
      </c>
      <c r="B2107" s="2" t="inlineStr">
        <is>
          <t>2021-08-06</t>
        </is>
      </c>
      <c r="C2107" s="2" t="inlineStr">
        <is>
          <t>玻璃</t>
        </is>
      </c>
      <c r="D2107" s="2" t="inlineStr">
        <is>
          <t>FG</t>
        </is>
      </c>
      <c r="E2107" s="9" t="inlineStr">
        <is>
          <t>空</t>
        </is>
      </c>
      <c r="F2107" s="2" t="inlineStr">
        <is>
          <t>★★</t>
        </is>
      </c>
      <c r="G2107" s="10" t="n">
        <v>1</v>
      </c>
      <c r="H2107" s="11" t="n">
        <v>2721</v>
      </c>
      <c r="I2107" s="11" t="n">
        <v>2714</v>
      </c>
      <c r="J2107" s="10" t="n">
        <v>20</v>
      </c>
      <c r="K2107" s="10" t="n">
        <v>10000</v>
      </c>
      <c r="L2107" s="23">
        <f>IF(E2107="多",1,-1)*(I2107-H2107)*G2107*J2107</f>
        <v/>
      </c>
      <c r="M2107" s="24">
        <f>L2107/K2107</f>
        <v/>
      </c>
      <c r="N2107" s="2" t="inlineStr">
        <is>
          <t>大将军转向</t>
        </is>
      </c>
      <c r="O2107" s="2" t="inlineStr">
        <is>
          <t>否</t>
        </is>
      </c>
    </row>
    <row r="2108">
      <c r="A2108" s="2" t="inlineStr">
        <is>
          <t>2021-08-03</t>
        </is>
      </c>
      <c r="B2108" s="2" t="inlineStr">
        <is>
          <t>2021-08-05</t>
        </is>
      </c>
      <c r="C2108" s="2" t="inlineStr">
        <is>
          <t>玉米</t>
        </is>
      </c>
      <c r="D2108" s="2" t="inlineStr">
        <is>
          <t>C</t>
        </is>
      </c>
      <c r="E2108" s="19" t="inlineStr">
        <is>
          <t>多</t>
        </is>
      </c>
      <c r="F2108" s="2" t="inlineStr">
        <is>
          <t>★★</t>
        </is>
      </c>
      <c r="G2108" s="10" t="n">
        <v>9</v>
      </c>
      <c r="H2108" s="11" t="n">
        <v>2608</v>
      </c>
      <c r="I2108" s="11" t="n">
        <v>2616</v>
      </c>
      <c r="J2108" s="10" t="n">
        <v>10</v>
      </c>
      <c r="K2108" s="10" t="n">
        <v>10000</v>
      </c>
      <c r="L2108" s="23">
        <f>IF(E2108="多",1,-1)*(I2108-H2108)*G2108*J2108</f>
        <v/>
      </c>
      <c r="M2108" s="24">
        <f>L2108/K2108</f>
        <v/>
      </c>
      <c r="N2108" s="2" t="inlineStr">
        <is>
          <t>大将军转向</t>
        </is>
      </c>
      <c r="O2108" s="2" t="inlineStr">
        <is>
          <t>否</t>
        </is>
      </c>
    </row>
    <row r="2109">
      <c r="A2109" s="2" t="inlineStr">
        <is>
          <t>2021-08-02</t>
        </is>
      </c>
      <c r="B2109" s="2" t="inlineStr">
        <is>
          <t>2021-08-03</t>
        </is>
      </c>
      <c r="C2109" s="2" t="inlineStr">
        <is>
          <t>甲醇</t>
        </is>
      </c>
      <c r="D2109" s="2" t="inlineStr">
        <is>
          <t>MA</t>
        </is>
      </c>
      <c r="E2109" s="9" t="inlineStr">
        <is>
          <t>空</t>
        </is>
      </c>
      <c r="F2109" s="2" t="inlineStr">
        <is>
          <t>★★</t>
        </is>
      </c>
      <c r="G2109" s="10" t="n">
        <v>4</v>
      </c>
      <c r="H2109" s="11" t="n">
        <v>2678</v>
      </c>
      <c r="I2109" s="11" t="n">
        <v>2626</v>
      </c>
      <c r="J2109" s="10" t="n">
        <v>10</v>
      </c>
      <c r="K2109" s="10" t="n">
        <v>10000</v>
      </c>
      <c r="L2109" s="23">
        <f>IF(E2109="多",1,-1)*(I2109-H2109)*G2109*J2109</f>
        <v/>
      </c>
      <c r="M2109" s="24">
        <f>L2109/K2109</f>
        <v/>
      </c>
      <c r="N2109" s="2" t="inlineStr">
        <is>
          <t>将军撤退</t>
        </is>
      </c>
      <c r="O2109" s="2" t="inlineStr">
        <is>
          <t>否</t>
        </is>
      </c>
    </row>
    <row r="2110">
      <c r="A2110" s="2" t="inlineStr">
        <is>
          <t>2021-08-02</t>
        </is>
      </c>
      <c r="B2110" s="2" t="inlineStr">
        <is>
          <t>2021-08-03</t>
        </is>
      </c>
      <c r="C2110" s="2" t="inlineStr">
        <is>
          <t>沪银</t>
        </is>
      </c>
      <c r="D2110" s="2" t="inlineStr">
        <is>
          <t>AG</t>
        </is>
      </c>
      <c r="E2110" s="19" t="inlineStr">
        <is>
          <t>多</t>
        </is>
      </c>
      <c r="F2110" s="2" t="inlineStr">
        <is>
          <t>★★</t>
        </is>
      </c>
      <c r="G2110" s="10" t="n">
        <v>2</v>
      </c>
      <c r="H2110" s="11" t="n">
        <v>5366</v>
      </c>
      <c r="I2110" s="11" t="n">
        <v>5340</v>
      </c>
      <c r="J2110" s="10" t="n">
        <v>15</v>
      </c>
      <c r="K2110" s="10" t="n">
        <v>10000</v>
      </c>
      <c r="L2110" s="23">
        <f>IF(E2110="多",1,-1)*(I2110-H2110)*G2110*J2110</f>
        <v/>
      </c>
      <c r="M2110" s="24">
        <f>L2110/K2110</f>
        <v/>
      </c>
      <c r="N2110" s="2" t="inlineStr">
        <is>
          <t>大将军转向</t>
        </is>
      </c>
      <c r="O2110" s="2" t="inlineStr">
        <is>
          <t>否</t>
        </is>
      </c>
    </row>
    <row r="2111">
      <c r="K2111" s="7" t="inlineStr">
        <is>
          <t>合计（实盘）</t>
        </is>
      </c>
      <c r="L2111" s="27">
        <f>SUMIF(O2:O2110,"否",L2:L2110)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8" customWidth="1" min="4" max="4"/>
    <col width="3" customWidth="1" min="5" max="5"/>
    <col width="24" customWidth="1" min="6" max="6"/>
    <col width="10" customWidth="1" min="7" max="7"/>
  </cols>
  <sheetData>
    <row r="1">
      <c r="A1" s="32" t="inlineStr">
        <is>
          <t>¼ 凯利仓位计算（2 星及以上已平仓，按 R 倍数）</t>
        </is>
      </c>
    </row>
    <row r="2">
      <c r="A2" s="8" t="inlineStr">
        <is>
          <t>#</t>
        </is>
      </c>
      <c r="B2" s="8" t="inlineStr">
        <is>
          <t>交易</t>
        </is>
      </c>
      <c r="C2" s="8" t="inlineStr">
        <is>
          <t>星级</t>
        </is>
      </c>
      <c r="D2" s="8" t="inlineStr">
        <is>
          <t>R倍数</t>
        </is>
      </c>
    </row>
    <row r="3">
      <c r="A3" s="2" t="n">
        <v>1</v>
      </c>
      <c r="B3" s="2" t="inlineStr">
        <is>
          <t>沪银多 08-02</t>
        </is>
      </c>
      <c r="C3" s="10" t="n">
        <v>2</v>
      </c>
      <c r="D3" s="33" t="n">
        <v>-0.08</v>
      </c>
      <c r="F3" s="2" t="inlineStr">
        <is>
          <t>已平笔数 n</t>
        </is>
      </c>
      <c r="G3" s="34">
        <f>COUNT(D3:D2111)</f>
        <v/>
      </c>
    </row>
    <row r="4">
      <c r="A4" s="2" t="n">
        <v>2</v>
      </c>
      <c r="B4" s="2" t="inlineStr">
        <is>
          <t>甲醇空 08-02</t>
        </is>
      </c>
      <c r="C4" s="10" t="n">
        <v>2</v>
      </c>
      <c r="D4" s="33" t="n">
        <v>0.21</v>
      </c>
      <c r="F4" s="2" t="inlineStr">
        <is>
          <t>盈利笔数</t>
        </is>
      </c>
      <c r="G4" s="34">
        <f>COUNTIF(D3:D2111,"&gt;0")</f>
        <v/>
      </c>
    </row>
    <row r="5">
      <c r="A5" s="2" t="n">
        <v>3</v>
      </c>
      <c r="B5" s="2" t="inlineStr">
        <is>
          <t>玉米多 08-03</t>
        </is>
      </c>
      <c r="C5" s="10" t="n">
        <v>2</v>
      </c>
      <c r="D5" s="33" t="n">
        <v>0.07000000000000001</v>
      </c>
      <c r="F5" s="2" t="inlineStr">
        <is>
          <t>胜率 p</t>
        </is>
      </c>
      <c r="G5" s="31">
        <f>IF(G3=0,0,G4/G3)</f>
        <v/>
      </c>
    </row>
    <row r="6">
      <c r="A6" s="2" t="n">
        <v>4</v>
      </c>
      <c r="B6" s="2" t="inlineStr">
        <is>
          <t>玻璃空 08-03</t>
        </is>
      </c>
      <c r="C6" s="10" t="n">
        <v>2</v>
      </c>
      <c r="D6" s="33" t="n">
        <v>0.01</v>
      </c>
      <c r="F6" s="2" t="inlineStr">
        <is>
          <t>平均盈利 R</t>
        </is>
      </c>
      <c r="G6" s="24">
        <f>IFERROR(AVERAGEIF(D3:D2111,"&gt;0"),0)</f>
        <v/>
      </c>
    </row>
    <row r="7">
      <c r="A7" s="2" t="n">
        <v>5</v>
      </c>
      <c r="B7" s="2" t="inlineStr">
        <is>
          <t>棕榈油多 08-06</t>
        </is>
      </c>
      <c r="C7" s="10" t="n">
        <v>3</v>
      </c>
      <c r="D7" s="33" t="n">
        <v>0</v>
      </c>
      <c r="F7" s="2" t="inlineStr">
        <is>
          <t>平均亏损 R</t>
        </is>
      </c>
      <c r="G7" s="24">
        <f>IFERROR(-AVERAGEIF(D3:D2111,"&lt;=0"),0)</f>
        <v/>
      </c>
    </row>
    <row r="8">
      <c r="A8" s="2" t="n">
        <v>6</v>
      </c>
      <c r="B8" s="2" t="inlineStr">
        <is>
          <t>豆油多 08-06</t>
        </is>
      </c>
      <c r="C8" s="10" t="n">
        <v>2</v>
      </c>
      <c r="D8" s="33" t="n">
        <v>0.07000000000000001</v>
      </c>
      <c r="F8" s="2" t="inlineStr">
        <is>
          <t>盈亏比 b</t>
        </is>
      </c>
      <c r="G8" s="24">
        <f>IF(G7=0,0,G6/G7)</f>
        <v/>
      </c>
    </row>
    <row r="9">
      <c r="A9" s="2" t="n">
        <v>7</v>
      </c>
      <c r="B9" s="2" t="inlineStr">
        <is>
          <t>聚丙烯多 08-06</t>
        </is>
      </c>
      <c r="C9" s="10" t="n">
        <v>3</v>
      </c>
      <c r="D9" s="33" t="n">
        <v>0.16</v>
      </c>
      <c r="F9" s="2" t="inlineStr">
        <is>
          <t>凯利 f* = p−(1−p)/b</t>
        </is>
      </c>
      <c r="G9" s="31">
        <f>IF(G8=0,G5,G5-(1-G5)/G8)</f>
        <v/>
      </c>
    </row>
    <row r="10">
      <c r="A10" s="2" t="n">
        <v>8</v>
      </c>
      <c r="B10" s="2" t="inlineStr">
        <is>
          <t>PTA多 08-06</t>
        </is>
      </c>
      <c r="C10" s="10" t="n">
        <v>3</v>
      </c>
      <c r="D10" s="33" t="n">
        <v>-0.19</v>
      </c>
      <c r="F10" s="2" t="inlineStr">
        <is>
          <t>¼ 凯利</t>
        </is>
      </c>
      <c r="G10" s="31">
        <f>G9/4</f>
        <v/>
      </c>
    </row>
    <row r="11">
      <c r="A11" s="2" t="n">
        <v>9</v>
      </c>
      <c r="B11" s="2" t="inlineStr">
        <is>
          <t>豆油多 08-10</t>
        </is>
      </c>
      <c r="C11" s="10" t="n">
        <v>3</v>
      </c>
      <c r="D11" s="33" t="n">
        <v>0.28</v>
      </c>
      <c r="F11" s="2" t="inlineStr">
        <is>
          <t>样本分档上限</t>
        </is>
      </c>
      <c r="G11" s="29">
        <f>IF(G3&lt;10,0.01,IF(G3&lt;30,0.02,参数!$B$5))</f>
        <v/>
      </c>
    </row>
    <row r="12">
      <c r="A12" s="2" t="n">
        <v>10</v>
      </c>
      <c r="B12" s="2" t="inlineStr">
        <is>
          <t>棕榈油多 08-11</t>
        </is>
      </c>
      <c r="C12" s="10" t="n">
        <v>3</v>
      </c>
      <c r="D12" s="33" t="n">
        <v>0</v>
      </c>
      <c r="F12" s="2" t="inlineStr">
        <is>
          <t>3 星上限</t>
        </is>
      </c>
      <c r="G12" s="5" t="n">
        <v>0.03</v>
      </c>
    </row>
    <row r="13">
      <c r="A13" s="2" t="n">
        <v>11</v>
      </c>
      <c r="B13" s="2" t="inlineStr">
        <is>
          <t>沪镍多 08-12</t>
        </is>
      </c>
      <c r="C13" s="10" t="n">
        <v>2</v>
      </c>
      <c r="D13" s="33" t="n">
        <v>-0.01</v>
      </c>
      <c r="F13" s="2" t="inlineStr">
        <is>
          <t>2 星上限</t>
        </is>
      </c>
      <c r="G13" s="5" t="n">
        <v>0.02</v>
      </c>
    </row>
    <row r="14">
      <c r="A14" s="2" t="n">
        <v>12</v>
      </c>
      <c r="B14" s="2" t="inlineStr">
        <is>
          <t>纯碱多 08-16</t>
        </is>
      </c>
      <c r="C14" s="10" t="n">
        <v>2</v>
      </c>
      <c r="D14" s="33" t="n">
        <v>-0.12</v>
      </c>
      <c r="F14" s="2" t="inlineStr">
        <is>
          <t>3 星建议风险</t>
        </is>
      </c>
      <c r="G14" s="35">
        <f>IF(G3&lt;10,0.01,IF(G9&lt;=0,0,MIN(G10,G11,G12)))</f>
        <v/>
      </c>
    </row>
    <row r="15">
      <c r="A15" s="2" t="n">
        <v>13</v>
      </c>
      <c r="B15" s="2" t="inlineStr">
        <is>
          <t>棕榈油多 08-17</t>
        </is>
      </c>
      <c r="C15" s="10" t="n">
        <v>3</v>
      </c>
      <c r="D15" s="33" t="n">
        <v>-0.19</v>
      </c>
      <c r="F15" s="2" t="inlineStr">
        <is>
          <t>2 星建议风险</t>
        </is>
      </c>
      <c r="G15" s="35">
        <f>IF(G3&lt;10,0.01,IF(G9&lt;=0,0,MIN(G10,G11,G13)))</f>
        <v/>
      </c>
    </row>
    <row r="16">
      <c r="A16" s="2" t="n">
        <v>14</v>
      </c>
      <c r="B16" s="2" t="inlineStr">
        <is>
          <t>豆油多 08-17</t>
        </is>
      </c>
      <c r="C16" s="10" t="n">
        <v>3</v>
      </c>
      <c r="D16" s="33" t="n">
        <v>-0.14</v>
      </c>
    </row>
    <row r="17">
      <c r="A17" s="2" t="n">
        <v>15</v>
      </c>
      <c r="B17" s="2" t="inlineStr">
        <is>
          <t>沪银空 08-10</t>
        </is>
      </c>
      <c r="C17" s="10" t="n">
        <v>2</v>
      </c>
      <c r="D17" s="33" t="n">
        <v>-0.04</v>
      </c>
      <c r="F17" s="4" t="inlineStr">
        <is>
          <t>不含 1 星观察仓（含凯利≤0 时的影子仓）。星级分组不足 10 笔时，跟踪台借用 2 星及以上合并统计。</t>
        </is>
      </c>
    </row>
    <row r="18">
      <c r="A18" s="2" t="n">
        <v>16</v>
      </c>
      <c r="B18" s="2" t="inlineStr">
        <is>
          <t>棉花多 08-16</t>
        </is>
      </c>
      <c r="C18" s="10" t="n">
        <v>3</v>
      </c>
      <c r="D18" s="33" t="n">
        <v>0.17</v>
      </c>
    </row>
    <row r="19">
      <c r="A19" s="2" t="n">
        <v>17</v>
      </c>
      <c r="B19" s="2" t="inlineStr">
        <is>
          <t>沪镍空 08-19</t>
        </is>
      </c>
      <c r="C19" s="10" t="n">
        <v>2</v>
      </c>
      <c r="D19" s="33" t="n">
        <v>-0.08</v>
      </c>
    </row>
    <row r="20">
      <c r="A20" s="2" t="n">
        <v>18</v>
      </c>
      <c r="B20" s="2" t="inlineStr">
        <is>
          <t>PVC多 08-16</t>
        </is>
      </c>
      <c r="C20" s="10" t="n">
        <v>3</v>
      </c>
      <c r="D20" s="33" t="n">
        <v>0.26</v>
      </c>
    </row>
    <row r="21">
      <c r="A21" s="2" t="n">
        <v>19</v>
      </c>
      <c r="B21" s="2" t="inlineStr">
        <is>
          <t>甲醇多 08-23</t>
        </is>
      </c>
      <c r="C21" s="10" t="n">
        <v>2</v>
      </c>
      <c r="D21" s="33" t="n">
        <v>-0.39</v>
      </c>
    </row>
    <row r="22">
      <c r="A22" s="2" t="n">
        <v>20</v>
      </c>
      <c r="B22" s="2" t="inlineStr">
        <is>
          <t>沪铝多 08-17</t>
        </is>
      </c>
      <c r="C22" s="10" t="n">
        <v>3</v>
      </c>
      <c r="D22" s="33" t="n">
        <v>0.14</v>
      </c>
    </row>
    <row r="23">
      <c r="A23" s="2" t="n">
        <v>21</v>
      </c>
      <c r="B23" s="2" t="inlineStr">
        <is>
          <t>纯碱多 08-20</t>
        </is>
      </c>
      <c r="C23" s="10" t="n">
        <v>3</v>
      </c>
      <c r="D23" s="33" t="n">
        <v>-0.02</v>
      </c>
    </row>
    <row r="24">
      <c r="A24" s="2" t="n">
        <v>22</v>
      </c>
      <c r="B24" s="2" t="inlineStr">
        <is>
          <t>螺纹钢多 08-24</t>
        </is>
      </c>
      <c r="C24" s="10" t="n">
        <v>2</v>
      </c>
      <c r="D24" s="33" t="n">
        <v>-0.01</v>
      </c>
    </row>
    <row r="25">
      <c r="A25" s="2" t="n">
        <v>23</v>
      </c>
      <c r="B25" s="2" t="inlineStr">
        <is>
          <t>聚丙烯空 08-19</t>
        </is>
      </c>
      <c r="C25" s="10" t="n">
        <v>2</v>
      </c>
      <c r="D25" s="33" t="n">
        <v>0.31</v>
      </c>
    </row>
    <row r="26">
      <c r="A26" s="2" t="n">
        <v>24</v>
      </c>
      <c r="B26" s="2" t="inlineStr">
        <is>
          <t>棕榈油多 08-24</t>
        </is>
      </c>
      <c r="C26" s="10" t="n">
        <v>3</v>
      </c>
      <c r="D26" s="33" t="n">
        <v>0.1</v>
      </c>
    </row>
    <row r="27">
      <c r="A27" s="2" t="n">
        <v>25</v>
      </c>
      <c r="B27" s="2" t="inlineStr">
        <is>
          <t>PVC多 08-25</t>
        </is>
      </c>
      <c r="C27" s="10" t="n">
        <v>3</v>
      </c>
      <c r="D27" s="33" t="n">
        <v>0</v>
      </c>
    </row>
    <row r="28">
      <c r="A28" s="2" t="n">
        <v>26</v>
      </c>
      <c r="B28" s="2" t="inlineStr">
        <is>
          <t>甲醇多 09-02</t>
        </is>
      </c>
      <c r="C28" s="10" t="n">
        <v>2</v>
      </c>
      <c r="D28" s="33" t="n">
        <v>0.03</v>
      </c>
    </row>
    <row r="29">
      <c r="A29" s="2" t="n">
        <v>27</v>
      </c>
      <c r="B29" s="2" t="inlineStr">
        <is>
          <t>PTA空 09-02</t>
        </is>
      </c>
      <c r="C29" s="10" t="n">
        <v>3</v>
      </c>
      <c r="D29" s="33" t="n">
        <v>-0.25</v>
      </c>
    </row>
    <row r="30">
      <c r="A30" s="2" t="n">
        <v>28</v>
      </c>
      <c r="B30" s="2" t="inlineStr">
        <is>
          <t>玉米空 08-30</t>
        </is>
      </c>
      <c r="C30" s="10" t="n">
        <v>3</v>
      </c>
      <c r="D30" s="33" t="n">
        <v>0.26</v>
      </c>
    </row>
    <row r="31">
      <c r="A31" s="2" t="n">
        <v>29</v>
      </c>
      <c r="B31" s="2" t="inlineStr">
        <is>
          <t>菜粕多 08-30</t>
        </is>
      </c>
      <c r="C31" s="10" t="n">
        <v>2</v>
      </c>
      <c r="D31" s="33" t="n">
        <v>-0.23</v>
      </c>
    </row>
    <row r="32">
      <c r="A32" s="2" t="n">
        <v>30</v>
      </c>
      <c r="B32" s="2" t="inlineStr">
        <is>
          <t>棉花空 08-31</t>
        </is>
      </c>
      <c r="C32" s="10" t="n">
        <v>2</v>
      </c>
      <c r="D32" s="33" t="n">
        <v>-0.26</v>
      </c>
    </row>
    <row r="33">
      <c r="A33" s="2" t="n">
        <v>31</v>
      </c>
      <c r="B33" s="2" t="inlineStr">
        <is>
          <t>白糖多 09-02</t>
        </is>
      </c>
      <c r="C33" s="10" t="n">
        <v>2</v>
      </c>
      <c r="D33" s="33" t="n">
        <v>0.25</v>
      </c>
    </row>
    <row r="34">
      <c r="A34" s="2" t="n">
        <v>32</v>
      </c>
      <c r="B34" s="2" t="inlineStr">
        <is>
          <t>沪镍空 09-03</t>
        </is>
      </c>
      <c r="C34" s="10" t="n">
        <v>2</v>
      </c>
      <c r="D34" s="33" t="n">
        <v>0.04</v>
      </c>
    </row>
    <row r="35">
      <c r="A35" s="2" t="n">
        <v>33</v>
      </c>
      <c r="B35" s="2" t="inlineStr">
        <is>
          <t>螺纹钢多 08-30</t>
        </is>
      </c>
      <c r="C35" s="10" t="n">
        <v>2</v>
      </c>
      <c r="D35" s="33" t="n">
        <v>0.27</v>
      </c>
    </row>
    <row r="36">
      <c r="A36" s="2" t="n">
        <v>34</v>
      </c>
      <c r="B36" s="2" t="inlineStr">
        <is>
          <t>沪铝多 08-31</t>
        </is>
      </c>
      <c r="C36" s="10" t="n">
        <v>2</v>
      </c>
      <c r="D36" s="33" t="n">
        <v>0.21</v>
      </c>
    </row>
    <row r="37">
      <c r="A37" s="2" t="n">
        <v>35</v>
      </c>
      <c r="B37" s="2" t="inlineStr">
        <is>
          <t>玉米空 09-07</t>
        </is>
      </c>
      <c r="C37" s="10" t="n">
        <v>3</v>
      </c>
      <c r="D37" s="33" t="n">
        <v>-0.04</v>
      </c>
    </row>
    <row r="38">
      <c r="A38" s="2" t="n">
        <v>36</v>
      </c>
      <c r="B38" s="2" t="inlineStr">
        <is>
          <t>豆油多 08-26</t>
        </is>
      </c>
      <c r="C38" s="10" t="n">
        <v>3</v>
      </c>
      <c r="D38" s="33" t="n">
        <v>0.04</v>
      </c>
    </row>
    <row r="39">
      <c r="A39" s="2" t="n">
        <v>37</v>
      </c>
      <c r="B39" s="2" t="inlineStr">
        <is>
          <t>甲醇多 09-07</t>
        </is>
      </c>
      <c r="C39" s="10" t="n">
        <v>3</v>
      </c>
      <c r="D39" s="33" t="n">
        <v>0.06</v>
      </c>
    </row>
    <row r="40">
      <c r="A40" s="2" t="n">
        <v>38</v>
      </c>
      <c r="B40" s="2" t="inlineStr">
        <is>
          <t>菜粕空 09-09</t>
        </is>
      </c>
      <c r="C40" s="10" t="n">
        <v>2</v>
      </c>
      <c r="D40" s="33" t="n">
        <v>-0.22</v>
      </c>
    </row>
    <row r="41">
      <c r="A41" s="2" t="n">
        <v>39</v>
      </c>
      <c r="B41" s="2" t="inlineStr">
        <is>
          <t>PVC多 09-09</t>
        </is>
      </c>
      <c r="C41" s="10" t="n">
        <v>3</v>
      </c>
      <c r="D41" s="33" t="n">
        <v>-0.1</v>
      </c>
    </row>
    <row r="42">
      <c r="A42" s="2" t="n">
        <v>40</v>
      </c>
      <c r="B42" s="2" t="inlineStr">
        <is>
          <t>豆油空 09-09</t>
        </is>
      </c>
      <c r="C42" s="10" t="n">
        <v>3</v>
      </c>
      <c r="D42" s="33" t="n">
        <v>0.22</v>
      </c>
    </row>
    <row r="43">
      <c r="A43" s="2" t="n">
        <v>41</v>
      </c>
      <c r="B43" s="2" t="inlineStr">
        <is>
          <t>PVC多 09-16</t>
        </is>
      </c>
      <c r="C43" s="10" t="n">
        <v>3</v>
      </c>
      <c r="D43" s="33" t="n">
        <v>-0.28</v>
      </c>
    </row>
    <row r="44">
      <c r="A44" s="2" t="n">
        <v>42</v>
      </c>
      <c r="B44" s="2" t="inlineStr">
        <is>
          <t>棉花多 09-08</t>
        </is>
      </c>
      <c r="C44" s="10" t="n">
        <v>2</v>
      </c>
      <c r="D44" s="33" t="n">
        <v>-0.71</v>
      </c>
    </row>
    <row r="45">
      <c r="A45" s="2" t="n">
        <v>43</v>
      </c>
      <c r="B45" s="2" t="inlineStr">
        <is>
          <t>棕榈油多 09-15</t>
        </is>
      </c>
      <c r="C45" s="10" t="n">
        <v>3</v>
      </c>
      <c r="D45" s="33" t="n">
        <v>0.21</v>
      </c>
    </row>
    <row r="46">
      <c r="A46" s="2" t="n">
        <v>44</v>
      </c>
      <c r="B46" s="2" t="inlineStr">
        <is>
          <t>塑料多 09-22</t>
        </is>
      </c>
      <c r="C46" s="10" t="n">
        <v>2</v>
      </c>
      <c r="D46" s="33" t="n">
        <v>0.07000000000000001</v>
      </c>
    </row>
    <row r="47">
      <c r="A47" s="2" t="n">
        <v>45</v>
      </c>
      <c r="B47" s="2" t="inlineStr">
        <is>
          <t>甲醇多 09-22</t>
        </is>
      </c>
      <c r="C47" s="10" t="n">
        <v>2</v>
      </c>
      <c r="D47" s="33" t="n">
        <v>0.34</v>
      </c>
    </row>
    <row r="48">
      <c r="A48" s="2" t="n">
        <v>46</v>
      </c>
      <c r="B48" s="2" t="inlineStr">
        <is>
          <t>聚丙烯多 09-22</t>
        </is>
      </c>
      <c r="C48" s="10" t="n">
        <v>2</v>
      </c>
      <c r="D48" s="33" t="n">
        <v>0.34</v>
      </c>
    </row>
    <row r="49">
      <c r="A49" s="2" t="n">
        <v>47</v>
      </c>
      <c r="B49" s="2" t="inlineStr">
        <is>
          <t>PVC多 09-22</t>
        </is>
      </c>
      <c r="C49" s="10" t="n">
        <v>2</v>
      </c>
      <c r="D49" s="33" t="n">
        <v>0.34</v>
      </c>
    </row>
    <row r="50">
      <c r="A50" s="2" t="n">
        <v>48</v>
      </c>
      <c r="B50" s="2" t="inlineStr">
        <is>
          <t>沪铝多 09-22</t>
        </is>
      </c>
      <c r="C50" s="10" t="n">
        <v>3</v>
      </c>
      <c r="D50" s="33" t="n">
        <v>-0.02</v>
      </c>
    </row>
    <row r="51">
      <c r="A51" s="2" t="n">
        <v>49</v>
      </c>
      <c r="B51" s="2" t="inlineStr">
        <is>
          <t>棕榈油多 09-24</t>
        </is>
      </c>
      <c r="C51" s="10" t="n">
        <v>3</v>
      </c>
      <c r="D51" s="33" t="n">
        <v>-0.1</v>
      </c>
    </row>
    <row r="52">
      <c r="A52" s="2" t="n">
        <v>50</v>
      </c>
      <c r="B52" s="2" t="inlineStr">
        <is>
          <t>玉米空 09-09</t>
        </is>
      </c>
      <c r="C52" s="10" t="n">
        <v>3</v>
      </c>
      <c r="D52" s="33" t="n">
        <v>-0.47</v>
      </c>
    </row>
    <row r="53">
      <c r="A53" s="2" t="n">
        <v>51</v>
      </c>
      <c r="B53" s="2" t="inlineStr">
        <is>
          <t>菜粕多 09-17</t>
        </is>
      </c>
      <c r="C53" s="10" t="n">
        <v>3</v>
      </c>
      <c r="D53" s="33" t="n">
        <v>-0.86</v>
      </c>
    </row>
    <row r="54">
      <c r="A54" s="2" t="n">
        <v>52</v>
      </c>
      <c r="B54" s="2" t="inlineStr">
        <is>
          <t>沪金空 09-23</t>
        </is>
      </c>
      <c r="C54" s="10" t="n">
        <v>3</v>
      </c>
      <c r="D54" s="33" t="n">
        <v>0.28</v>
      </c>
    </row>
    <row r="55">
      <c r="A55" s="2" t="n">
        <v>53</v>
      </c>
      <c r="B55" s="2" t="inlineStr">
        <is>
          <t>燃料油多 09-28</t>
        </is>
      </c>
      <c r="C55" s="10" t="n">
        <v>3</v>
      </c>
      <c r="D55" s="33" t="n">
        <v>-0.37</v>
      </c>
    </row>
    <row r="56">
      <c r="A56" s="2" t="n">
        <v>54</v>
      </c>
      <c r="B56" s="2" t="inlineStr">
        <is>
          <t>棉花多 09-30</t>
        </is>
      </c>
      <c r="C56" s="10" t="n">
        <v>2</v>
      </c>
      <c r="D56" s="33" t="n">
        <v>0</v>
      </c>
    </row>
    <row r="57">
      <c r="A57" s="2" t="n">
        <v>55</v>
      </c>
      <c r="B57" s="2" t="inlineStr">
        <is>
          <t>棕榈油多 09-30</t>
        </is>
      </c>
      <c r="C57" s="10" t="n">
        <v>2</v>
      </c>
      <c r="D57" s="33" t="n">
        <v>0.06</v>
      </c>
    </row>
    <row r="58">
      <c r="A58" s="2" t="n">
        <v>56</v>
      </c>
      <c r="B58" s="2" t="inlineStr">
        <is>
          <t>塑料多 09-30</t>
        </is>
      </c>
      <c r="C58" s="10" t="n">
        <v>2</v>
      </c>
      <c r="D58" s="33" t="n">
        <v>-0.06</v>
      </c>
    </row>
    <row r="59">
      <c r="A59" s="2" t="n">
        <v>57</v>
      </c>
      <c r="B59" s="2" t="inlineStr">
        <is>
          <t>螺纹钢多 09-30</t>
        </is>
      </c>
      <c r="C59" s="10" t="n">
        <v>3</v>
      </c>
      <c r="D59" s="33" t="n">
        <v>0.07000000000000001</v>
      </c>
    </row>
    <row r="60">
      <c r="A60" s="2" t="n">
        <v>58</v>
      </c>
      <c r="B60" s="2" t="inlineStr">
        <is>
          <t>棕榈油多 10-11</t>
        </is>
      </c>
      <c r="C60" s="10" t="n">
        <v>3</v>
      </c>
      <c r="D60" s="33" t="n">
        <v>-0.06</v>
      </c>
    </row>
    <row r="61">
      <c r="A61" s="2" t="n">
        <v>59</v>
      </c>
      <c r="B61" s="2" t="inlineStr">
        <is>
          <t>棕榈油多 10-13</t>
        </is>
      </c>
      <c r="C61" s="10" t="n">
        <v>3</v>
      </c>
      <c r="D61" s="33" t="n">
        <v>-0.24</v>
      </c>
    </row>
    <row r="62">
      <c r="A62" s="2" t="n">
        <v>60</v>
      </c>
      <c r="B62" s="2" t="inlineStr">
        <is>
          <t>沪镍多 09-23</t>
        </is>
      </c>
      <c r="C62" s="10" t="n">
        <v>2</v>
      </c>
      <c r="D62" s="33" t="n">
        <v>0.34</v>
      </c>
    </row>
    <row r="63">
      <c r="A63" s="2" t="n">
        <v>61</v>
      </c>
      <c r="B63" s="2" t="inlineStr">
        <is>
          <t>豆粕空 10-12</t>
        </is>
      </c>
      <c r="C63" s="10" t="n">
        <v>3</v>
      </c>
      <c r="D63" s="33" t="n">
        <v>0.38</v>
      </c>
    </row>
    <row r="64">
      <c r="A64" s="2" t="n">
        <v>62</v>
      </c>
      <c r="B64" s="2" t="inlineStr">
        <is>
          <t>棕榈油多 10-15</t>
        </is>
      </c>
      <c r="C64" s="10" t="n">
        <v>3</v>
      </c>
      <c r="D64" s="33" t="n">
        <v>0.13</v>
      </c>
    </row>
    <row r="65">
      <c r="A65" s="2" t="n">
        <v>63</v>
      </c>
      <c r="B65" s="2" t="inlineStr">
        <is>
          <t>PTA多 10-15</t>
        </is>
      </c>
      <c r="C65" s="10" t="n">
        <v>3</v>
      </c>
      <c r="D65" s="33" t="n">
        <v>0.1</v>
      </c>
    </row>
    <row r="66">
      <c r="A66" s="2" t="n">
        <v>64</v>
      </c>
      <c r="B66" s="2" t="inlineStr">
        <is>
          <t>聚丙烯空 10-14</t>
        </is>
      </c>
      <c r="C66" s="10" t="n">
        <v>2</v>
      </c>
      <c r="D66" s="33" t="n">
        <v>0.05</v>
      </c>
    </row>
    <row r="67">
      <c r="A67" s="2" t="n">
        <v>65</v>
      </c>
      <c r="B67" s="2" t="inlineStr">
        <is>
          <t>菜粕空 10-15</t>
        </is>
      </c>
      <c r="C67" s="10" t="n">
        <v>3</v>
      </c>
      <c r="D67" s="33" t="n">
        <v>0.17</v>
      </c>
    </row>
    <row r="68">
      <c r="A68" s="2" t="n">
        <v>66</v>
      </c>
      <c r="B68" s="2" t="inlineStr">
        <is>
          <t>棉花多 10-18</t>
        </is>
      </c>
      <c r="C68" s="10" t="n">
        <v>2</v>
      </c>
      <c r="D68" s="33" t="n">
        <v>-0.03</v>
      </c>
    </row>
    <row r="69">
      <c r="A69" s="2" t="n">
        <v>67</v>
      </c>
      <c r="B69" s="2" t="inlineStr">
        <is>
          <t>铁矿石多 10-11</t>
        </is>
      </c>
      <c r="C69" s="10" t="n">
        <v>2</v>
      </c>
      <c r="D69" s="33" t="n">
        <v>-0.6</v>
      </c>
    </row>
    <row r="70">
      <c r="A70" s="2" t="n">
        <v>68</v>
      </c>
      <c r="B70" s="2" t="inlineStr">
        <is>
          <t>棕榈油多 10-19</t>
        </is>
      </c>
      <c r="C70" s="10" t="n">
        <v>3</v>
      </c>
      <c r="D70" s="33" t="n">
        <v>0.15</v>
      </c>
    </row>
    <row r="71">
      <c r="A71" s="2" t="n">
        <v>69</v>
      </c>
      <c r="B71" s="2" t="inlineStr">
        <is>
          <t>螺纹钢多 10-19</t>
        </is>
      </c>
      <c r="C71" s="10" t="n">
        <v>2</v>
      </c>
      <c r="D71" s="33" t="n">
        <v>-0.77</v>
      </c>
    </row>
    <row r="72">
      <c r="A72" s="2" t="n">
        <v>70</v>
      </c>
      <c r="B72" s="2" t="inlineStr">
        <is>
          <t>豆油多 10-20</t>
        </is>
      </c>
      <c r="C72" s="10" t="n">
        <v>3</v>
      </c>
      <c r="D72" s="33" t="n">
        <v>-0.03</v>
      </c>
    </row>
    <row r="73">
      <c r="A73" s="2" t="n">
        <v>71</v>
      </c>
      <c r="B73" s="2" t="inlineStr">
        <is>
          <t>沪银空 09-30</t>
        </is>
      </c>
      <c r="C73" s="10" t="n">
        <v>3</v>
      </c>
      <c r="D73" s="33" t="n">
        <v>-0.47</v>
      </c>
    </row>
    <row r="74">
      <c r="A74" s="2" t="n">
        <v>72</v>
      </c>
      <c r="B74" s="2" t="inlineStr">
        <is>
          <t>玉米多 10-22</t>
        </is>
      </c>
      <c r="C74" s="10" t="n">
        <v>3</v>
      </c>
      <c r="D74" s="33" t="n">
        <v>0.45</v>
      </c>
    </row>
    <row r="75">
      <c r="A75" s="2" t="n">
        <v>73</v>
      </c>
      <c r="B75" s="2" t="inlineStr">
        <is>
          <t>甲醇空 10-22</t>
        </is>
      </c>
      <c r="C75" s="10" t="n">
        <v>2</v>
      </c>
      <c r="D75" s="33" t="n">
        <v>0.09</v>
      </c>
    </row>
    <row r="76">
      <c r="A76" s="2" t="n">
        <v>74</v>
      </c>
      <c r="B76" s="2" t="inlineStr">
        <is>
          <t>聚丙烯空 10-22</t>
        </is>
      </c>
      <c r="C76" s="10" t="n">
        <v>2</v>
      </c>
      <c r="D76" s="33" t="n">
        <v>0.08</v>
      </c>
    </row>
    <row r="77">
      <c r="A77" s="2" t="n">
        <v>75</v>
      </c>
      <c r="B77" s="2" t="inlineStr">
        <is>
          <t>螺纹钢空 10-25</t>
        </is>
      </c>
      <c r="C77" s="10" t="n">
        <v>2</v>
      </c>
      <c r="D77" s="33" t="n">
        <v>0.17</v>
      </c>
    </row>
    <row r="78">
      <c r="A78" s="2" t="n">
        <v>76</v>
      </c>
      <c r="B78" s="2" t="inlineStr">
        <is>
          <t>甲醇空 10-26</t>
        </is>
      </c>
      <c r="C78" s="10" t="n">
        <v>2</v>
      </c>
      <c r="D78" s="33" t="n">
        <v>0.32</v>
      </c>
    </row>
    <row r="79">
      <c r="A79" s="2" t="n">
        <v>77</v>
      </c>
      <c r="B79" s="2" t="inlineStr">
        <is>
          <t>白糖多 10-26</t>
        </is>
      </c>
      <c r="C79" s="10" t="n">
        <v>2</v>
      </c>
      <c r="D79" s="33" t="n">
        <v>0.06</v>
      </c>
    </row>
    <row r="80">
      <c r="A80" s="2" t="n">
        <v>78</v>
      </c>
      <c r="B80" s="2" t="inlineStr">
        <is>
          <t>豆粕多 10-25</t>
        </is>
      </c>
      <c r="C80" s="10" t="n">
        <v>2</v>
      </c>
      <c r="D80" s="33" t="n">
        <v>-0.3</v>
      </c>
    </row>
    <row r="81">
      <c r="A81" s="2" t="n">
        <v>79</v>
      </c>
      <c r="B81" s="2" t="inlineStr">
        <is>
          <t>PTA空 10-28</t>
        </is>
      </c>
      <c r="C81" s="10" t="n">
        <v>2</v>
      </c>
      <c r="D81" s="33" t="n">
        <v>0.05</v>
      </c>
    </row>
    <row r="82">
      <c r="A82" s="2" t="n">
        <v>80</v>
      </c>
      <c r="B82" s="2" t="inlineStr">
        <is>
          <t>豆油多 10-29</t>
        </is>
      </c>
      <c r="C82" s="10" t="n">
        <v>3</v>
      </c>
      <c r="D82" s="33" t="n">
        <v>-0.19</v>
      </c>
    </row>
    <row r="83">
      <c r="A83" s="2" t="n">
        <v>81</v>
      </c>
      <c r="B83" s="2" t="inlineStr">
        <is>
          <t>螺纹钢空 10-29</t>
        </is>
      </c>
      <c r="C83" s="10" t="n">
        <v>3</v>
      </c>
      <c r="D83" s="33" t="n">
        <v>0.4</v>
      </c>
    </row>
    <row r="84">
      <c r="A84" s="2" t="n">
        <v>82</v>
      </c>
      <c r="B84" s="2" t="inlineStr">
        <is>
          <t>豆粕空 10-29</t>
        </is>
      </c>
      <c r="C84" s="10" t="n">
        <v>3</v>
      </c>
      <c r="D84" s="33" t="n">
        <v>0.5600000000000001</v>
      </c>
    </row>
    <row r="85">
      <c r="A85" s="2" t="n">
        <v>83</v>
      </c>
      <c r="B85" s="2" t="inlineStr">
        <is>
          <t>聚丙烯空 11-02</t>
        </is>
      </c>
      <c r="C85" s="10" t="n">
        <v>2</v>
      </c>
      <c r="D85" s="33" t="n">
        <v>-0.19</v>
      </c>
    </row>
    <row r="86">
      <c r="A86" s="2" t="n">
        <v>84</v>
      </c>
      <c r="B86" s="2" t="inlineStr">
        <is>
          <t>棕榈油多 10-29</t>
        </is>
      </c>
      <c r="C86" s="10" t="n">
        <v>3</v>
      </c>
      <c r="D86" s="33" t="n">
        <v>-0.23</v>
      </c>
    </row>
    <row r="87">
      <c r="A87" s="2" t="n">
        <v>85</v>
      </c>
      <c r="B87" s="2" t="inlineStr">
        <is>
          <t>螺纹钢空 11-03</t>
        </is>
      </c>
      <c r="C87" s="10" t="n">
        <v>2</v>
      </c>
      <c r="D87" s="33" t="n">
        <v>0.17</v>
      </c>
    </row>
    <row r="88">
      <c r="A88" s="2" t="n">
        <v>86</v>
      </c>
      <c r="B88" s="2" t="inlineStr">
        <is>
          <t>白糖多 11-02</t>
        </is>
      </c>
      <c r="C88" s="10" t="n">
        <v>2</v>
      </c>
      <c r="D88" s="33" t="n">
        <v>0.26</v>
      </c>
    </row>
    <row r="89">
      <c r="A89" s="2" t="n">
        <v>87</v>
      </c>
      <c r="B89" s="2" t="inlineStr">
        <is>
          <t>热卷空 11-05</t>
        </is>
      </c>
      <c r="C89" s="10" t="n">
        <v>3</v>
      </c>
      <c r="D89" s="33" t="n">
        <v>0.1</v>
      </c>
    </row>
    <row r="90">
      <c r="A90" s="2" t="n">
        <v>88</v>
      </c>
      <c r="B90" s="2" t="inlineStr">
        <is>
          <t>玉米多 11-08</t>
        </is>
      </c>
      <c r="C90" s="10" t="n">
        <v>2</v>
      </c>
      <c r="D90" s="33" t="n">
        <v>0.16</v>
      </c>
    </row>
    <row r="91">
      <c r="A91" s="2" t="n">
        <v>89</v>
      </c>
      <c r="B91" s="2" t="inlineStr">
        <is>
          <t>螺纹钢空 11-05</t>
        </is>
      </c>
      <c r="C91" s="10" t="n">
        <v>2</v>
      </c>
      <c r="D91" s="33" t="n">
        <v>0.01</v>
      </c>
    </row>
    <row r="92">
      <c r="A92" s="2" t="n">
        <v>90</v>
      </c>
      <c r="B92" s="2" t="inlineStr">
        <is>
          <t>热卷空 11-10</t>
        </is>
      </c>
      <c r="C92" s="10" t="n">
        <v>3</v>
      </c>
      <c r="D92" s="33" t="n">
        <v>-0.18</v>
      </c>
    </row>
    <row r="93">
      <c r="A93" s="2" t="n">
        <v>91</v>
      </c>
      <c r="B93" s="2" t="inlineStr">
        <is>
          <t>白糖多 11-12</t>
        </is>
      </c>
      <c r="C93" s="10" t="n">
        <v>3</v>
      </c>
      <c r="D93" s="33" t="n">
        <v>-0.04</v>
      </c>
    </row>
    <row r="94">
      <c r="A94" s="2" t="n">
        <v>92</v>
      </c>
      <c r="B94" s="2" t="inlineStr">
        <is>
          <t>沥青空 11-09</t>
        </is>
      </c>
      <c r="C94" s="10" t="n">
        <v>2</v>
      </c>
      <c r="D94" s="33" t="n">
        <v>-0.39</v>
      </c>
    </row>
    <row r="95">
      <c r="A95" s="2" t="n">
        <v>93</v>
      </c>
      <c r="B95" s="2" t="inlineStr">
        <is>
          <t>沪银多 11-11</t>
        </is>
      </c>
      <c r="C95" s="10" t="n">
        <v>3</v>
      </c>
      <c r="D95" s="33" t="n">
        <v>-0.04</v>
      </c>
    </row>
    <row r="96">
      <c r="A96" s="2" t="n">
        <v>94</v>
      </c>
      <c r="B96" s="2" t="inlineStr">
        <is>
          <t>PTA空 11-11</t>
        </is>
      </c>
      <c r="C96" s="10" t="n">
        <v>3</v>
      </c>
      <c r="D96" s="33" t="n">
        <v>0.03</v>
      </c>
    </row>
    <row r="97">
      <c r="A97" s="2" t="n">
        <v>95</v>
      </c>
      <c r="B97" s="2" t="inlineStr">
        <is>
          <t>甲醇空 11-05</t>
        </is>
      </c>
      <c r="C97" s="10" t="n">
        <v>3</v>
      </c>
      <c r="D97" s="33" t="n">
        <v>0.26</v>
      </c>
    </row>
    <row r="98">
      <c r="A98" s="2" t="n">
        <v>96</v>
      </c>
      <c r="B98" s="2" t="inlineStr">
        <is>
          <t>乙二醇空 11-18</t>
        </is>
      </c>
      <c r="C98" s="10" t="n">
        <v>3</v>
      </c>
      <c r="D98" s="33" t="n">
        <v>-0.11</v>
      </c>
    </row>
    <row r="99">
      <c r="A99" s="2" t="n">
        <v>97</v>
      </c>
      <c r="B99" s="2" t="inlineStr">
        <is>
          <t>热卷空 11-18</t>
        </is>
      </c>
      <c r="C99" s="10" t="n">
        <v>3</v>
      </c>
      <c r="D99" s="33" t="n">
        <v>-0.12</v>
      </c>
    </row>
    <row r="100">
      <c r="A100" s="2" t="n">
        <v>98</v>
      </c>
      <c r="B100" s="2" t="inlineStr">
        <is>
          <t>沪锌多 11-22</t>
        </is>
      </c>
      <c r="C100" s="10" t="n">
        <v>2</v>
      </c>
      <c r="D100" s="33" t="n">
        <v>0.4</v>
      </c>
    </row>
    <row r="101">
      <c r="A101" s="2" t="n">
        <v>99</v>
      </c>
      <c r="B101" s="2" t="inlineStr">
        <is>
          <t>铁矿石空 11-18</t>
        </is>
      </c>
      <c r="C101" s="10" t="n">
        <v>3</v>
      </c>
      <c r="D101" s="33" t="n">
        <v>-0.78</v>
      </c>
    </row>
    <row r="102">
      <c r="A102" s="2" t="n">
        <v>100</v>
      </c>
      <c r="B102" s="2" t="inlineStr">
        <is>
          <t>菜粕多 11-23</t>
        </is>
      </c>
      <c r="C102" s="10" t="n">
        <v>3</v>
      </c>
      <c r="D102" s="33" t="n">
        <v>0.02</v>
      </c>
    </row>
    <row r="103">
      <c r="A103" s="2" t="n">
        <v>101</v>
      </c>
      <c r="B103" s="2" t="inlineStr">
        <is>
          <t>PTA空 11-23</t>
        </is>
      </c>
      <c r="C103" s="10" t="n">
        <v>3</v>
      </c>
      <c r="D103" s="33" t="n">
        <v>0.36</v>
      </c>
    </row>
    <row r="104">
      <c r="A104" s="2" t="n">
        <v>102</v>
      </c>
      <c r="B104" s="2" t="inlineStr">
        <is>
          <t>PVC空 11-16</t>
        </is>
      </c>
      <c r="C104" s="10" t="n">
        <v>2</v>
      </c>
      <c r="D104" s="33" t="n">
        <v>-0.09</v>
      </c>
    </row>
    <row r="105">
      <c r="A105" s="2" t="n">
        <v>103</v>
      </c>
      <c r="B105" s="2" t="inlineStr">
        <is>
          <t>沪铝空 11-29</t>
        </is>
      </c>
      <c r="C105" s="10" t="n">
        <v>2</v>
      </c>
      <c r="D105" s="33" t="n">
        <v>0.06</v>
      </c>
    </row>
    <row r="106">
      <c r="A106" s="2" t="n">
        <v>104</v>
      </c>
      <c r="B106" s="2" t="inlineStr">
        <is>
          <t>螺纹钢空 11-15</t>
        </is>
      </c>
      <c r="C106" s="10" t="n">
        <v>2</v>
      </c>
      <c r="D106" s="33" t="n">
        <v>-0.36</v>
      </c>
    </row>
    <row r="107">
      <c r="A107" s="2" t="n">
        <v>105</v>
      </c>
      <c r="B107" s="2" t="inlineStr">
        <is>
          <t>玉米多 11-19</t>
        </is>
      </c>
      <c r="C107" s="10" t="n">
        <v>3</v>
      </c>
      <c r="D107" s="33" t="n">
        <v>-0.27</v>
      </c>
    </row>
    <row r="108">
      <c r="A108" s="2" t="n">
        <v>106</v>
      </c>
      <c r="B108" s="2" t="inlineStr">
        <is>
          <t>棕榈油多 11-25</t>
        </is>
      </c>
      <c r="C108" s="10" t="n">
        <v>3</v>
      </c>
      <c r="D108" s="33" t="n">
        <v>-0.55</v>
      </c>
    </row>
    <row r="109">
      <c r="A109" s="2" t="n">
        <v>107</v>
      </c>
      <c r="B109" s="2" t="inlineStr">
        <is>
          <t>棕榈油多 12-03</t>
        </is>
      </c>
      <c r="C109" s="10" t="n">
        <v>3</v>
      </c>
      <c r="D109" s="33" t="n">
        <v>-0.01</v>
      </c>
    </row>
    <row r="110">
      <c r="A110" s="2" t="n">
        <v>108</v>
      </c>
      <c r="B110" s="2" t="inlineStr">
        <is>
          <t>菜粕多 12-03</t>
        </is>
      </c>
      <c r="C110" s="10" t="n">
        <v>3</v>
      </c>
      <c r="D110" s="33" t="n">
        <v>-0.07000000000000001</v>
      </c>
    </row>
    <row r="111">
      <c r="A111" s="2" t="n">
        <v>109</v>
      </c>
      <c r="B111" s="2" t="inlineStr">
        <is>
          <t>沪银空 11-30</t>
        </is>
      </c>
      <c r="C111" s="10" t="n">
        <v>3</v>
      </c>
      <c r="D111" s="33" t="n">
        <v>0.16</v>
      </c>
    </row>
    <row r="112">
      <c r="A112" s="2" t="n">
        <v>110</v>
      </c>
      <c r="B112" s="2" t="inlineStr">
        <is>
          <t>棉花多 12-06</t>
        </is>
      </c>
      <c r="C112" s="10" t="n">
        <v>2</v>
      </c>
      <c r="D112" s="33" t="n">
        <v>0.07000000000000001</v>
      </c>
    </row>
    <row r="113">
      <c r="A113" s="2" t="n">
        <v>111</v>
      </c>
      <c r="B113" s="2" t="inlineStr">
        <is>
          <t>白糖空 12-03</t>
        </is>
      </c>
      <c r="C113" s="10" t="n">
        <v>2</v>
      </c>
      <c r="D113" s="33" t="n">
        <v>0.53</v>
      </c>
    </row>
    <row r="114">
      <c r="A114" s="2" t="n">
        <v>112</v>
      </c>
      <c r="B114" s="2" t="inlineStr">
        <is>
          <t>甲醇多 12-06</t>
        </is>
      </c>
      <c r="C114" s="10" t="n">
        <v>2</v>
      </c>
      <c r="D114" s="33" t="n">
        <v>-0.2</v>
      </c>
    </row>
    <row r="115">
      <c r="A115" s="2" t="n">
        <v>113</v>
      </c>
      <c r="B115" s="2" t="inlineStr">
        <is>
          <t>沪银空 12-09</t>
        </is>
      </c>
      <c r="C115" s="10" t="n">
        <v>3</v>
      </c>
      <c r="D115" s="33" t="n">
        <v>0.18</v>
      </c>
    </row>
    <row r="116">
      <c r="A116" s="2" t="n">
        <v>114</v>
      </c>
      <c r="B116" s="2" t="inlineStr">
        <is>
          <t>玉米多 12-10</t>
        </is>
      </c>
      <c r="C116" s="10" t="n">
        <v>2</v>
      </c>
      <c r="D116" s="33" t="n">
        <v>0.26</v>
      </c>
    </row>
    <row r="117">
      <c r="A117" s="2" t="n">
        <v>115</v>
      </c>
      <c r="B117" s="2" t="inlineStr">
        <is>
          <t>棉花多 12-13</t>
        </is>
      </c>
      <c r="C117" s="10" t="n">
        <v>2</v>
      </c>
      <c r="D117" s="33" t="n">
        <v>-0.07000000000000001</v>
      </c>
    </row>
    <row r="118">
      <c r="A118" s="2" t="n">
        <v>116</v>
      </c>
      <c r="B118" s="2" t="inlineStr">
        <is>
          <t>甲醇多 12-13</t>
        </is>
      </c>
      <c r="C118" s="10" t="n">
        <v>2</v>
      </c>
      <c r="D118" s="33" t="n">
        <v>0.06</v>
      </c>
    </row>
    <row r="119">
      <c r="A119" s="2" t="n">
        <v>117</v>
      </c>
      <c r="B119" s="2" t="inlineStr">
        <is>
          <t>塑料空 10-29</t>
        </is>
      </c>
      <c r="C119" s="10" t="n">
        <v>3</v>
      </c>
      <c r="D119" s="33" t="n">
        <v>-0.16</v>
      </c>
    </row>
    <row r="120">
      <c r="A120" s="2" t="n">
        <v>118</v>
      </c>
      <c r="B120" s="2" t="inlineStr">
        <is>
          <t>热卷空 11-29</t>
        </is>
      </c>
      <c r="C120" s="10" t="n">
        <v>2</v>
      </c>
      <c r="D120" s="33" t="n">
        <v>-0.39</v>
      </c>
    </row>
    <row r="121">
      <c r="A121" s="2" t="n">
        <v>119</v>
      </c>
      <c r="B121" s="2" t="inlineStr">
        <is>
          <t>白糖空 12-14</t>
        </is>
      </c>
      <c r="C121" s="10" t="n">
        <v>3</v>
      </c>
      <c r="D121" s="33" t="n">
        <v>0.39</v>
      </c>
    </row>
    <row r="122">
      <c r="A122" s="2" t="n">
        <v>120</v>
      </c>
      <c r="B122" s="2" t="inlineStr">
        <is>
          <t>沪铝多 12-17</t>
        </is>
      </c>
      <c r="C122" s="10" t="n">
        <v>3</v>
      </c>
      <c r="D122" s="33" t="n">
        <v>0.15</v>
      </c>
    </row>
    <row r="123">
      <c r="A123" s="2" t="n">
        <v>121</v>
      </c>
      <c r="B123" s="2" t="inlineStr">
        <is>
          <t>沥青空 12-15</t>
        </is>
      </c>
      <c r="C123" s="10" t="n">
        <v>2</v>
      </c>
      <c r="D123" s="33" t="n">
        <v>-0.7</v>
      </c>
    </row>
    <row r="124">
      <c r="A124" s="2" t="n">
        <v>122</v>
      </c>
      <c r="B124" s="2" t="inlineStr">
        <is>
          <t>热卷多 12-16</t>
        </is>
      </c>
      <c r="C124" s="10" t="n">
        <v>3</v>
      </c>
      <c r="D124" s="33" t="n">
        <v>-0.26</v>
      </c>
    </row>
    <row r="125">
      <c r="A125" s="2" t="n">
        <v>123</v>
      </c>
      <c r="B125" s="2" t="inlineStr">
        <is>
          <t>沪金空 12-15</t>
        </is>
      </c>
      <c r="C125" s="10" t="n">
        <v>2</v>
      </c>
      <c r="D125" s="33" t="n">
        <v>-0.63</v>
      </c>
    </row>
    <row r="126">
      <c r="A126" s="2" t="n">
        <v>124</v>
      </c>
      <c r="B126" s="2" t="inlineStr">
        <is>
          <t>棕榈油空 12-15</t>
        </is>
      </c>
      <c r="C126" s="10" t="n">
        <v>2</v>
      </c>
      <c r="D126" s="33" t="n">
        <v>-0.51</v>
      </c>
    </row>
    <row r="127">
      <c r="A127" s="2" t="n">
        <v>125</v>
      </c>
      <c r="B127" s="2" t="inlineStr">
        <is>
          <t>白糖多 12-23</t>
        </is>
      </c>
      <c r="C127" s="10" t="n">
        <v>2</v>
      </c>
      <c r="D127" s="33" t="n">
        <v>0.02</v>
      </c>
    </row>
    <row r="128">
      <c r="A128" s="2" t="n">
        <v>126</v>
      </c>
      <c r="B128" s="2" t="inlineStr">
        <is>
          <t>沪铝多 12-23</t>
        </is>
      </c>
      <c r="C128" s="10" t="n">
        <v>2</v>
      </c>
      <c r="D128" s="33" t="n">
        <v>-0.29</v>
      </c>
    </row>
    <row r="129">
      <c r="A129" s="2" t="n">
        <v>127</v>
      </c>
      <c r="B129" s="2" t="inlineStr">
        <is>
          <t>棉花多 12-23</t>
        </is>
      </c>
      <c r="C129" s="10" t="n">
        <v>3</v>
      </c>
      <c r="D129" s="33" t="n">
        <v>0.15</v>
      </c>
    </row>
    <row r="130">
      <c r="A130" s="2" t="n">
        <v>128</v>
      </c>
      <c r="B130" s="2" t="inlineStr">
        <is>
          <t>螺纹钢多 12-16</t>
        </is>
      </c>
      <c r="C130" s="10" t="n">
        <v>3</v>
      </c>
      <c r="D130" s="33" t="n">
        <v>-0.47</v>
      </c>
    </row>
    <row r="131">
      <c r="A131" s="2" t="n">
        <v>129</v>
      </c>
      <c r="B131" s="2" t="inlineStr">
        <is>
          <t>PVC多 12-24</t>
        </is>
      </c>
      <c r="C131" s="10" t="n">
        <v>2</v>
      </c>
      <c r="D131" s="33" t="n">
        <v>-0.02</v>
      </c>
    </row>
    <row r="132">
      <c r="A132" s="2" t="n">
        <v>130</v>
      </c>
      <c r="B132" s="2" t="inlineStr">
        <is>
          <t>PTA多 12-29</t>
        </is>
      </c>
      <c r="C132" s="10" t="n">
        <v>3</v>
      </c>
      <c r="D132" s="33" t="n">
        <v>0.1</v>
      </c>
    </row>
    <row r="133">
      <c r="A133" s="2" t="n">
        <v>131</v>
      </c>
      <c r="B133" s="2" t="inlineStr">
        <is>
          <t>豆油多 12-30</t>
        </is>
      </c>
      <c r="C133" s="10" t="n">
        <v>2</v>
      </c>
      <c r="D133" s="33" t="n">
        <v>0.06</v>
      </c>
    </row>
    <row r="134">
      <c r="A134" s="2" t="n">
        <v>132</v>
      </c>
      <c r="B134" s="2" t="inlineStr">
        <is>
          <t>豆粕多 11-16</t>
        </is>
      </c>
      <c r="C134" s="10" t="n">
        <v>3</v>
      </c>
      <c r="D134" s="33" t="n">
        <v>1.06</v>
      </c>
    </row>
    <row r="135">
      <c r="A135" s="2" t="n">
        <v>133</v>
      </c>
      <c r="B135" s="2" t="inlineStr">
        <is>
          <t>棕榈油空 12-29</t>
        </is>
      </c>
      <c r="C135" s="10" t="n">
        <v>2</v>
      </c>
      <c r="D135" s="33" t="n">
        <v>-0.34</v>
      </c>
    </row>
    <row r="136">
      <c r="A136" s="2" t="n">
        <v>134</v>
      </c>
      <c r="B136" s="2" t="inlineStr">
        <is>
          <t>PTA多 01-04</t>
        </is>
      </c>
      <c r="C136" s="10" t="n">
        <v>3</v>
      </c>
      <c r="D136" s="33" t="n">
        <v>0.17</v>
      </c>
    </row>
    <row r="137">
      <c r="A137" s="2" t="n">
        <v>135</v>
      </c>
      <c r="B137" s="2" t="inlineStr">
        <is>
          <t>沪铝空 12-27</t>
        </is>
      </c>
      <c r="C137" s="10" t="n">
        <v>2</v>
      </c>
      <c r="D137" s="33" t="n">
        <v>-0.51</v>
      </c>
    </row>
    <row r="138">
      <c r="A138" s="2" t="n">
        <v>136</v>
      </c>
      <c r="B138" s="2" t="inlineStr">
        <is>
          <t>塑料多 12-24</t>
        </is>
      </c>
      <c r="C138" s="10" t="n">
        <v>3</v>
      </c>
      <c r="D138" s="33" t="n">
        <v>0.24</v>
      </c>
    </row>
    <row r="139">
      <c r="A139" s="2" t="n">
        <v>137</v>
      </c>
      <c r="B139" s="2" t="inlineStr">
        <is>
          <t>沪银多 12-28</t>
        </is>
      </c>
      <c r="C139" s="10" t="n">
        <v>3</v>
      </c>
      <c r="D139" s="33" t="n">
        <v>-0.8</v>
      </c>
    </row>
    <row r="140">
      <c r="A140" s="2" t="n">
        <v>138</v>
      </c>
      <c r="B140" s="2" t="inlineStr">
        <is>
          <t>铁矿石空 12-28</t>
        </is>
      </c>
      <c r="C140" s="10" t="n">
        <v>2</v>
      </c>
      <c r="D140" s="33" t="n">
        <v>-0.5600000000000001</v>
      </c>
    </row>
    <row r="141">
      <c r="A141" s="2" t="n">
        <v>139</v>
      </c>
      <c r="B141" s="2" t="inlineStr">
        <is>
          <t>棉花多 01-04</t>
        </is>
      </c>
      <c r="C141" s="10" t="n">
        <v>3</v>
      </c>
      <c r="D141" s="33" t="n">
        <v>0.27</v>
      </c>
    </row>
    <row r="142">
      <c r="A142" s="2" t="n">
        <v>140</v>
      </c>
      <c r="B142" s="2" t="inlineStr">
        <is>
          <t>热卷多 01-05</t>
        </is>
      </c>
      <c r="C142" s="10" t="n">
        <v>2</v>
      </c>
      <c r="D142" s="33" t="n">
        <v>0.33</v>
      </c>
    </row>
    <row r="143">
      <c r="A143" s="2" t="n">
        <v>141</v>
      </c>
      <c r="B143" s="2" t="inlineStr">
        <is>
          <t>豆油多 01-06</t>
        </is>
      </c>
      <c r="C143" s="10" t="n">
        <v>2</v>
      </c>
      <c r="D143" s="33" t="n">
        <v>0.07000000000000001</v>
      </c>
    </row>
    <row r="144">
      <c r="A144" s="2" t="n">
        <v>142</v>
      </c>
      <c r="B144" s="2" t="inlineStr">
        <is>
          <t>沥青多 01-04</t>
        </is>
      </c>
      <c r="C144" s="10" t="n">
        <v>3</v>
      </c>
      <c r="D144" s="33" t="n">
        <v>0.14</v>
      </c>
    </row>
    <row r="145">
      <c r="A145" s="2" t="n">
        <v>143</v>
      </c>
      <c r="B145" s="2" t="inlineStr">
        <is>
          <t>棕榈油多 01-04</t>
        </is>
      </c>
      <c r="C145" s="10" t="n">
        <v>3</v>
      </c>
      <c r="D145" s="33" t="n">
        <v>0.19</v>
      </c>
    </row>
    <row r="146">
      <c r="A146" s="2" t="n">
        <v>144</v>
      </c>
      <c r="B146" s="2" t="inlineStr">
        <is>
          <t>PTA多 01-11</t>
        </is>
      </c>
      <c r="C146" s="10" t="n">
        <v>2</v>
      </c>
      <c r="D146" s="33" t="n">
        <v>-0.06</v>
      </c>
    </row>
    <row r="147">
      <c r="A147" s="2" t="n">
        <v>145</v>
      </c>
      <c r="B147" s="2" t="inlineStr">
        <is>
          <t>棉花多 01-11</t>
        </is>
      </c>
      <c r="C147" s="10" t="n">
        <v>2</v>
      </c>
      <c r="D147" s="33" t="n">
        <v>0.17</v>
      </c>
    </row>
    <row r="148">
      <c r="A148" s="2" t="n">
        <v>146</v>
      </c>
      <c r="B148" s="2" t="inlineStr">
        <is>
          <t>沥青多 01-12</t>
        </is>
      </c>
      <c r="C148" s="10" t="n">
        <v>3</v>
      </c>
      <c r="D148" s="33" t="n">
        <v>-0.13</v>
      </c>
    </row>
    <row r="149">
      <c r="A149" s="2" t="n">
        <v>147</v>
      </c>
      <c r="B149" s="2" t="inlineStr">
        <is>
          <t>棕榈油多 01-12</t>
        </is>
      </c>
      <c r="C149" s="10" t="n">
        <v>3</v>
      </c>
      <c r="D149" s="33" t="n">
        <v>0.11</v>
      </c>
    </row>
    <row r="150">
      <c r="A150" s="2" t="n">
        <v>148</v>
      </c>
      <c r="B150" s="2" t="inlineStr">
        <is>
          <t>PVC多 01-07</t>
        </is>
      </c>
      <c r="C150" s="10" t="n">
        <v>2</v>
      </c>
      <c r="D150" s="33" t="n">
        <v>0.43</v>
      </c>
    </row>
    <row r="151">
      <c r="A151" s="2" t="n">
        <v>149</v>
      </c>
      <c r="B151" s="2" t="inlineStr">
        <is>
          <t>塑料多 01-13</t>
        </is>
      </c>
      <c r="C151" s="10" t="n">
        <v>3</v>
      </c>
      <c r="D151" s="33" t="n">
        <v>0.16</v>
      </c>
    </row>
    <row r="152">
      <c r="A152" s="2" t="n">
        <v>150</v>
      </c>
      <c r="B152" s="2" t="inlineStr">
        <is>
          <t>螺纹钢多 01-13</t>
        </is>
      </c>
      <c r="C152" s="10" t="n">
        <v>3</v>
      </c>
      <c r="D152" s="33" t="n">
        <v>-0.23</v>
      </c>
    </row>
    <row r="153">
      <c r="A153" s="2" t="n">
        <v>151</v>
      </c>
      <c r="B153" s="2" t="inlineStr">
        <is>
          <t>PTA多 01-13</t>
        </is>
      </c>
      <c r="C153" s="10" t="n">
        <v>3</v>
      </c>
      <c r="D153" s="33" t="n">
        <v>0.17</v>
      </c>
    </row>
    <row r="154">
      <c r="A154" s="2" t="n">
        <v>152</v>
      </c>
      <c r="B154" s="2" t="inlineStr">
        <is>
          <t>热卷多 01-14</t>
        </is>
      </c>
      <c r="C154" s="10" t="n">
        <v>3</v>
      </c>
      <c r="D154" s="33" t="n">
        <v>-0.24</v>
      </c>
    </row>
    <row r="155">
      <c r="A155" s="2" t="n">
        <v>153</v>
      </c>
      <c r="B155" s="2" t="inlineStr">
        <is>
          <t>豆粕多 01-05</t>
        </is>
      </c>
      <c r="C155" s="10" t="n">
        <v>3</v>
      </c>
      <c r="D155" s="33" t="n">
        <v>-0.59</v>
      </c>
    </row>
    <row r="156">
      <c r="A156" s="2" t="n">
        <v>154</v>
      </c>
      <c r="B156" s="2" t="inlineStr">
        <is>
          <t>沪镍多 01-10</t>
        </is>
      </c>
      <c r="C156" s="10" t="n">
        <v>3</v>
      </c>
      <c r="D156" s="33" t="n">
        <v>0.93</v>
      </c>
    </row>
    <row r="157">
      <c r="A157" s="2" t="n">
        <v>155</v>
      </c>
      <c r="B157" s="2" t="inlineStr">
        <is>
          <t>白糖多 01-17</t>
        </is>
      </c>
      <c r="C157" s="10" t="n">
        <v>3</v>
      </c>
      <c r="D157" s="33" t="n">
        <v>0</v>
      </c>
    </row>
    <row r="158">
      <c r="A158" s="2" t="n">
        <v>156</v>
      </c>
      <c r="B158" s="2" t="inlineStr">
        <is>
          <t>豆油多 01-14</t>
        </is>
      </c>
      <c r="C158" s="10" t="n">
        <v>3</v>
      </c>
      <c r="D158" s="33" t="n">
        <v>0.06</v>
      </c>
    </row>
    <row r="159">
      <c r="A159" s="2" t="n">
        <v>157</v>
      </c>
      <c r="B159" s="2" t="inlineStr">
        <is>
          <t>沪铝多 01-19</t>
        </is>
      </c>
      <c r="C159" s="10" t="n">
        <v>3</v>
      </c>
      <c r="D159" s="33" t="n">
        <v>-0.1</v>
      </c>
    </row>
    <row r="160">
      <c r="A160" s="2" t="n">
        <v>158</v>
      </c>
      <c r="B160" s="2" t="inlineStr">
        <is>
          <t>塑料多 01-19</t>
        </is>
      </c>
      <c r="C160" s="10" t="n">
        <v>3</v>
      </c>
      <c r="D160" s="33" t="n">
        <v>0.07000000000000001</v>
      </c>
    </row>
    <row r="161">
      <c r="A161" s="2" t="n">
        <v>159</v>
      </c>
      <c r="B161" s="2" t="inlineStr">
        <is>
          <t>燃料油多 01-18</t>
        </is>
      </c>
      <c r="C161" s="10" t="n">
        <v>3</v>
      </c>
      <c r="D161" s="33" t="n">
        <v>0.16</v>
      </c>
    </row>
    <row r="162">
      <c r="A162" s="2" t="n">
        <v>160</v>
      </c>
      <c r="B162" s="2" t="inlineStr">
        <is>
          <t>沥青多 01-18</t>
        </is>
      </c>
      <c r="C162" s="10" t="n">
        <v>3</v>
      </c>
      <c r="D162" s="33" t="n">
        <v>0.31</v>
      </c>
    </row>
    <row r="163">
      <c r="A163" s="2" t="n">
        <v>161</v>
      </c>
      <c r="B163" s="2" t="inlineStr">
        <is>
          <t>棉花多 01-19</t>
        </is>
      </c>
      <c r="C163" s="10" t="n">
        <v>3</v>
      </c>
      <c r="D163" s="33" t="n">
        <v>-0.22</v>
      </c>
    </row>
    <row r="164">
      <c r="A164" s="2" t="n">
        <v>162</v>
      </c>
      <c r="B164" s="2" t="inlineStr">
        <is>
          <t>豆油多 01-21</t>
        </is>
      </c>
      <c r="C164" s="10" t="n">
        <v>3</v>
      </c>
      <c r="D164" s="33" t="n">
        <v>-0.15</v>
      </c>
    </row>
    <row r="165">
      <c r="A165" s="2" t="n">
        <v>163</v>
      </c>
      <c r="B165" s="2" t="inlineStr">
        <is>
          <t>棕榈油多 01-14</t>
        </is>
      </c>
      <c r="C165" s="10" t="n">
        <v>3</v>
      </c>
      <c r="D165" s="33" t="n">
        <v>0.8100000000000001</v>
      </c>
    </row>
    <row r="166">
      <c r="A166" s="2" t="n">
        <v>164</v>
      </c>
      <c r="B166" s="2" t="inlineStr">
        <is>
          <t>豆粕空 01-18</t>
        </is>
      </c>
      <c r="C166" s="10" t="n">
        <v>2</v>
      </c>
      <c r="D166" s="33" t="n">
        <v>-0.66</v>
      </c>
    </row>
    <row r="167">
      <c r="A167" s="2" t="n">
        <v>165</v>
      </c>
      <c r="B167" s="2" t="inlineStr">
        <is>
          <t>铁矿石多 01-25</t>
        </is>
      </c>
      <c r="C167" s="10" t="n">
        <v>3</v>
      </c>
      <c r="D167" s="33" t="n">
        <v>0.01</v>
      </c>
    </row>
    <row r="168">
      <c r="A168" s="2" t="n">
        <v>166</v>
      </c>
      <c r="B168" s="2" t="inlineStr">
        <is>
          <t>纯碱多 01-24</t>
        </is>
      </c>
      <c r="C168" s="10" t="n">
        <v>3</v>
      </c>
      <c r="D168" s="33" t="n">
        <v>0.8100000000000001</v>
      </c>
    </row>
    <row r="169">
      <c r="A169" s="2" t="n">
        <v>167</v>
      </c>
      <c r="B169" s="2" t="inlineStr">
        <is>
          <t>菜粕多 01-27</t>
        </is>
      </c>
      <c r="C169" s="10" t="n">
        <v>3</v>
      </c>
      <c r="D169" s="33" t="n">
        <v>0</v>
      </c>
    </row>
    <row r="170">
      <c r="A170" s="2" t="n">
        <v>168</v>
      </c>
      <c r="B170" s="2" t="inlineStr">
        <is>
          <t>沪铝多 01-21</t>
        </is>
      </c>
      <c r="C170" s="10" t="n">
        <v>3</v>
      </c>
      <c r="D170" s="33" t="n">
        <v>0.47</v>
      </c>
    </row>
    <row r="171">
      <c r="A171" s="2" t="n">
        <v>169</v>
      </c>
      <c r="B171" s="2" t="inlineStr">
        <is>
          <t>甲醇空 01-24</t>
        </is>
      </c>
      <c r="C171" s="10" t="n">
        <v>2</v>
      </c>
      <c r="D171" s="33" t="n">
        <v>-0.76</v>
      </c>
    </row>
    <row r="172">
      <c r="A172" s="2" t="n">
        <v>170</v>
      </c>
      <c r="B172" s="2" t="inlineStr">
        <is>
          <t>PTA空 01-25</t>
        </is>
      </c>
      <c r="C172" s="10" t="n">
        <v>2</v>
      </c>
      <c r="D172" s="33" t="n">
        <v>-0.9</v>
      </c>
    </row>
    <row r="173">
      <c r="A173" s="2" t="n">
        <v>171</v>
      </c>
      <c r="B173" s="2" t="inlineStr">
        <is>
          <t>豆油多 01-27</t>
        </is>
      </c>
      <c r="C173" s="10" t="n">
        <v>3</v>
      </c>
      <c r="D173" s="33" t="n">
        <v>0.47</v>
      </c>
    </row>
    <row r="174">
      <c r="A174" s="2" t="n">
        <v>172</v>
      </c>
      <c r="B174" s="2" t="inlineStr">
        <is>
          <t>热卷多 01-21</t>
        </is>
      </c>
      <c r="C174" s="10" t="n">
        <v>3</v>
      </c>
      <c r="D174" s="33" t="n">
        <v>0.57</v>
      </c>
    </row>
    <row r="175">
      <c r="A175" s="2" t="n">
        <v>173</v>
      </c>
      <c r="B175" s="2" t="inlineStr">
        <is>
          <t>棉花多 01-27</t>
        </is>
      </c>
      <c r="C175" s="10" t="n">
        <v>3</v>
      </c>
      <c r="D175" s="33" t="n">
        <v>-0.03</v>
      </c>
    </row>
    <row r="176">
      <c r="A176" s="2" t="n">
        <v>174</v>
      </c>
      <c r="B176" s="2" t="inlineStr">
        <is>
          <t>PVC多 02-08</t>
        </is>
      </c>
      <c r="C176" s="10" t="n">
        <v>3</v>
      </c>
      <c r="D176" s="33" t="n">
        <v>-0.1</v>
      </c>
    </row>
    <row r="177">
      <c r="A177" s="2" t="n">
        <v>175</v>
      </c>
      <c r="B177" s="2" t="inlineStr">
        <is>
          <t>豆粕多 02-08</t>
        </is>
      </c>
      <c r="C177" s="10" t="n">
        <v>3</v>
      </c>
      <c r="D177" s="33" t="n">
        <v>0.47</v>
      </c>
    </row>
    <row r="178">
      <c r="A178" s="2" t="n">
        <v>176</v>
      </c>
      <c r="B178" s="2" t="inlineStr">
        <is>
          <t>沪铝多 02-09</t>
        </is>
      </c>
      <c r="C178" s="10" t="n">
        <v>3</v>
      </c>
      <c r="D178" s="33" t="n">
        <v>0.18</v>
      </c>
    </row>
    <row r="179">
      <c r="A179" s="2" t="n">
        <v>177</v>
      </c>
      <c r="B179" s="2" t="inlineStr">
        <is>
          <t>甲醇空 02-09</t>
        </is>
      </c>
      <c r="C179" s="10" t="n">
        <v>2</v>
      </c>
      <c r="D179" s="33" t="n">
        <v>-0.03</v>
      </c>
    </row>
    <row r="180">
      <c r="A180" s="2" t="n">
        <v>178</v>
      </c>
      <c r="B180" s="2" t="inlineStr">
        <is>
          <t>塑料多 01-26</t>
        </is>
      </c>
      <c r="C180" s="10" t="n">
        <v>3</v>
      </c>
      <c r="D180" s="33" t="n">
        <v>-0.2</v>
      </c>
    </row>
    <row r="181">
      <c r="A181" s="2" t="n">
        <v>179</v>
      </c>
      <c r="B181" s="2" t="inlineStr">
        <is>
          <t>纯碱多 02-10</t>
        </is>
      </c>
      <c r="C181" s="10" t="n">
        <v>3</v>
      </c>
      <c r="D181" s="33" t="n">
        <v>-0.55</v>
      </c>
    </row>
    <row r="182">
      <c r="A182" s="2" t="n">
        <v>180</v>
      </c>
      <c r="B182" s="2" t="inlineStr">
        <is>
          <t>铁矿石多 02-10</t>
        </is>
      </c>
      <c r="C182" s="10" t="n">
        <v>2</v>
      </c>
      <c r="D182" s="33" t="n">
        <v>-0.82</v>
      </c>
    </row>
    <row r="183">
      <c r="A183" s="2" t="n">
        <v>181</v>
      </c>
      <c r="B183" s="2" t="inlineStr">
        <is>
          <t>PVC多 02-10</t>
        </is>
      </c>
      <c r="C183" s="10" t="n">
        <v>3</v>
      </c>
      <c r="D183" s="33" t="n">
        <v>-0.85</v>
      </c>
    </row>
    <row r="184">
      <c r="A184" s="2" t="n">
        <v>182</v>
      </c>
      <c r="B184" s="2" t="inlineStr">
        <is>
          <t>沥青多 01-28</t>
        </is>
      </c>
      <c r="C184" s="10" t="n">
        <v>3</v>
      </c>
      <c r="D184" s="33" t="n">
        <v>-0.64</v>
      </c>
    </row>
    <row r="185">
      <c r="A185" s="2" t="n">
        <v>183</v>
      </c>
      <c r="B185" s="2" t="inlineStr">
        <is>
          <t>沪银多 02-14</t>
        </is>
      </c>
      <c r="C185" s="10" t="n">
        <v>2</v>
      </c>
      <c r="D185" s="33" t="n">
        <v>-0.12</v>
      </c>
    </row>
    <row r="186">
      <c r="A186" s="2" t="n">
        <v>184</v>
      </c>
      <c r="B186" s="2" t="inlineStr">
        <is>
          <t>棕榈油多 02-14</t>
        </is>
      </c>
      <c r="C186" s="10" t="n">
        <v>3</v>
      </c>
      <c r="D186" s="33" t="n">
        <v>0.35</v>
      </c>
    </row>
    <row r="187">
      <c r="A187" s="2" t="n">
        <v>185</v>
      </c>
      <c r="B187" s="2" t="inlineStr">
        <is>
          <t>豆油多 02-14</t>
        </is>
      </c>
      <c r="C187" s="10" t="n">
        <v>3</v>
      </c>
      <c r="D187" s="33" t="n">
        <v>0.26</v>
      </c>
    </row>
    <row r="188">
      <c r="A188" s="2" t="n">
        <v>186</v>
      </c>
      <c r="B188" s="2" t="inlineStr">
        <is>
          <t>玻璃空 02-17</t>
        </is>
      </c>
      <c r="C188" s="10" t="n">
        <v>2</v>
      </c>
      <c r="D188" s="33" t="n">
        <v>0.01</v>
      </c>
    </row>
    <row r="189">
      <c r="A189" s="2" t="n">
        <v>187</v>
      </c>
      <c r="B189" s="2" t="inlineStr">
        <is>
          <t>菜粕多 02-17</t>
        </is>
      </c>
      <c r="C189" s="10" t="n">
        <v>3</v>
      </c>
      <c r="D189" s="33" t="n">
        <v>0.01</v>
      </c>
    </row>
    <row r="190">
      <c r="A190" s="2" t="n">
        <v>188</v>
      </c>
      <c r="B190" s="2" t="inlineStr">
        <is>
          <t>豆粕多 02-21</t>
        </is>
      </c>
      <c r="C190" s="10" t="n">
        <v>2</v>
      </c>
      <c r="D190" s="33" t="n">
        <v>0.19</v>
      </c>
    </row>
    <row r="191">
      <c r="A191" s="2" t="n">
        <v>189</v>
      </c>
      <c r="B191" s="2" t="inlineStr">
        <is>
          <t>沪铝多 02-22</t>
        </is>
      </c>
      <c r="C191" s="10" t="n">
        <v>3</v>
      </c>
      <c r="D191" s="33" t="n">
        <v>-0.06</v>
      </c>
    </row>
    <row r="192">
      <c r="A192" s="2" t="n">
        <v>190</v>
      </c>
      <c r="B192" s="2" t="inlineStr">
        <is>
          <t>菜粕多 02-22</t>
        </is>
      </c>
      <c r="C192" s="10" t="n">
        <v>3</v>
      </c>
      <c r="D192" s="33" t="n">
        <v>0.15</v>
      </c>
    </row>
    <row r="193">
      <c r="A193" s="2" t="n">
        <v>191</v>
      </c>
      <c r="B193" s="2" t="inlineStr">
        <is>
          <t>玻璃空 02-24</t>
        </is>
      </c>
      <c r="C193" s="10" t="n">
        <v>2</v>
      </c>
      <c r="D193" s="33" t="n">
        <v>0.15</v>
      </c>
    </row>
    <row r="194">
      <c r="A194" s="2" t="n">
        <v>192</v>
      </c>
      <c r="B194" s="2" t="inlineStr">
        <is>
          <t>豆油多 02-24</t>
        </is>
      </c>
      <c r="C194" s="10" t="n">
        <v>3</v>
      </c>
      <c r="D194" s="33" t="n">
        <v>-0.21</v>
      </c>
    </row>
    <row r="195">
      <c r="A195" s="2" t="n">
        <v>193</v>
      </c>
      <c r="B195" s="2" t="inlineStr">
        <is>
          <t>塑料空 02-17</t>
        </is>
      </c>
      <c r="C195" s="10" t="n">
        <v>2</v>
      </c>
      <c r="D195" s="33" t="n">
        <v>-0.35</v>
      </c>
    </row>
    <row r="196">
      <c r="A196" s="2" t="n">
        <v>194</v>
      </c>
      <c r="B196" s="2" t="inlineStr">
        <is>
          <t>玉米多 01-25</t>
        </is>
      </c>
      <c r="C196" s="10" t="n">
        <v>3</v>
      </c>
      <c r="D196" s="33" t="n">
        <v>1.71</v>
      </c>
    </row>
    <row r="197">
      <c r="A197" s="2" t="n">
        <v>195</v>
      </c>
      <c r="B197" s="2" t="inlineStr">
        <is>
          <t>聚丙烯空 02-22</t>
        </is>
      </c>
      <c r="C197" s="10" t="n">
        <v>2</v>
      </c>
      <c r="D197" s="33" t="n">
        <v>-0.74</v>
      </c>
    </row>
    <row r="198">
      <c r="A198" s="2" t="n">
        <v>196</v>
      </c>
      <c r="B198" s="2" t="inlineStr">
        <is>
          <t>棕榈油多 03-01</t>
        </is>
      </c>
      <c r="C198" s="10" t="n">
        <v>3</v>
      </c>
      <c r="D198" s="33" t="n">
        <v>0.05</v>
      </c>
    </row>
    <row r="199">
      <c r="A199" s="2" t="n">
        <v>197</v>
      </c>
      <c r="B199" s="2" t="inlineStr">
        <is>
          <t>沪锌空 02-24</t>
        </is>
      </c>
      <c r="C199" s="10" t="n">
        <v>2</v>
      </c>
      <c r="D199" s="33" t="n">
        <v>-0.5</v>
      </c>
    </row>
    <row r="200">
      <c r="A200" s="2" t="n">
        <v>198</v>
      </c>
      <c r="B200" s="2" t="inlineStr">
        <is>
          <t>乙二醇空 02-28</t>
        </is>
      </c>
      <c r="C200" s="10" t="n">
        <v>2</v>
      </c>
      <c r="D200" s="33" t="n">
        <v>-0.9</v>
      </c>
    </row>
    <row r="201">
      <c r="A201" s="2" t="n">
        <v>199</v>
      </c>
      <c r="B201" s="2" t="inlineStr">
        <is>
          <t>聚丙烯多 03-02</t>
        </is>
      </c>
      <c r="C201" s="10" t="n">
        <v>3</v>
      </c>
      <c r="D201" s="33" t="n">
        <v>0.46</v>
      </c>
    </row>
    <row r="202">
      <c r="A202" s="2" t="n">
        <v>200</v>
      </c>
      <c r="B202" s="2" t="inlineStr">
        <is>
          <t>棕榈油多 03-03</t>
        </is>
      </c>
      <c r="C202" s="10" t="n">
        <v>3</v>
      </c>
      <c r="D202" s="33" t="n">
        <v>-0.52</v>
      </c>
    </row>
    <row r="203">
      <c r="A203" s="2" t="n">
        <v>201</v>
      </c>
      <c r="B203" s="2" t="inlineStr">
        <is>
          <t>燃料油多 02-15</t>
        </is>
      </c>
      <c r="C203" s="10" t="n">
        <v>3</v>
      </c>
      <c r="D203" s="33" t="n">
        <v>3.5</v>
      </c>
    </row>
    <row r="204">
      <c r="A204" s="2" t="n">
        <v>202</v>
      </c>
      <c r="B204" s="2" t="inlineStr">
        <is>
          <t>塑料多 03-02</t>
        </is>
      </c>
      <c r="C204" s="10" t="n">
        <v>2</v>
      </c>
      <c r="D204" s="33" t="n">
        <v>0.41</v>
      </c>
    </row>
    <row r="205">
      <c r="A205" s="2" t="n">
        <v>203</v>
      </c>
      <c r="B205" s="2" t="inlineStr">
        <is>
          <t>聚丙烯多 03-04</t>
        </is>
      </c>
      <c r="C205" s="10" t="n">
        <v>3</v>
      </c>
      <c r="D205" s="33" t="n">
        <v>0.5600000000000001</v>
      </c>
    </row>
    <row r="206">
      <c r="A206" s="2" t="n">
        <v>204</v>
      </c>
      <c r="B206" s="2" t="inlineStr">
        <is>
          <t>菜粕多 03-02</t>
        </is>
      </c>
      <c r="C206" s="10" t="n">
        <v>3</v>
      </c>
      <c r="D206" s="33" t="n">
        <v>0.85</v>
      </c>
    </row>
    <row r="207">
      <c r="A207" s="2" t="n">
        <v>205</v>
      </c>
      <c r="B207" s="2" t="inlineStr">
        <is>
          <t>玉米多 03-03</t>
        </is>
      </c>
      <c r="C207" s="10" t="n">
        <v>3</v>
      </c>
      <c r="D207" s="33" t="n">
        <v>-0.04</v>
      </c>
    </row>
    <row r="208">
      <c r="A208" s="2" t="n">
        <v>206</v>
      </c>
      <c r="B208" s="2" t="inlineStr">
        <is>
          <t>玻璃空 03-03</t>
        </is>
      </c>
      <c r="C208" s="10" t="n">
        <v>3</v>
      </c>
      <c r="D208" s="33" t="n">
        <v>0.11</v>
      </c>
    </row>
    <row r="209">
      <c r="A209" s="2" t="n">
        <v>207</v>
      </c>
      <c r="B209" s="2" t="inlineStr">
        <is>
          <t>沥青多 03-08</t>
        </is>
      </c>
      <c r="C209" s="10" t="n">
        <v>2</v>
      </c>
      <c r="D209" s="33" t="n">
        <v>0.16</v>
      </c>
    </row>
    <row r="210">
      <c r="A210" s="2" t="n">
        <v>208</v>
      </c>
      <c r="B210" s="2" t="inlineStr">
        <is>
          <t>豆粕多 03-08</t>
        </is>
      </c>
      <c r="C210" s="10" t="n">
        <v>3</v>
      </c>
      <c r="D210" s="33" t="n">
        <v>0.04</v>
      </c>
    </row>
    <row r="211">
      <c r="A211" s="2" t="n">
        <v>209</v>
      </c>
      <c r="B211" s="2" t="inlineStr">
        <is>
          <t>螺纹钢多 03-07</t>
        </is>
      </c>
      <c r="C211" s="10" t="n">
        <v>2</v>
      </c>
      <c r="D211" s="33" t="n">
        <v>-0.78</v>
      </c>
    </row>
    <row r="212">
      <c r="A212" s="2" t="n">
        <v>210</v>
      </c>
      <c r="B212" s="2" t="inlineStr">
        <is>
          <t>PTA多 03-03</t>
        </is>
      </c>
      <c r="C212" s="10" t="n">
        <v>2</v>
      </c>
      <c r="D212" s="33" t="n">
        <v>-0.43</v>
      </c>
    </row>
    <row r="213">
      <c r="A213" s="2" t="n">
        <v>211</v>
      </c>
      <c r="B213" s="2" t="inlineStr">
        <is>
          <t>热卷空 03-10</t>
        </is>
      </c>
      <c r="C213" s="10" t="n">
        <v>3</v>
      </c>
      <c r="D213" s="33" t="n">
        <v>0.38</v>
      </c>
    </row>
    <row r="214">
      <c r="A214" s="2" t="n">
        <v>212</v>
      </c>
      <c r="B214" s="2" t="inlineStr">
        <is>
          <t>白糖空 03-10</t>
        </is>
      </c>
      <c r="C214" s="10" t="n">
        <v>2</v>
      </c>
      <c r="D214" s="33" t="n">
        <v>0.35</v>
      </c>
    </row>
    <row r="215">
      <c r="A215" s="2" t="n">
        <v>213</v>
      </c>
      <c r="B215" s="2" t="inlineStr">
        <is>
          <t>玻璃空 03-14</t>
        </is>
      </c>
      <c r="C215" s="10" t="n">
        <v>2</v>
      </c>
      <c r="D215" s="33" t="n">
        <v>0.06</v>
      </c>
    </row>
    <row r="216">
      <c r="A216" s="2" t="n">
        <v>214</v>
      </c>
      <c r="B216" s="2" t="inlineStr">
        <is>
          <t>豆粕多 03-14</t>
        </is>
      </c>
      <c r="C216" s="10" t="n">
        <v>3</v>
      </c>
      <c r="D216" s="33" t="n">
        <v>-0.03</v>
      </c>
    </row>
    <row r="217">
      <c r="A217" s="2" t="n">
        <v>215</v>
      </c>
      <c r="B217" s="2" t="inlineStr">
        <is>
          <t>螺纹钢多 03-16</t>
        </is>
      </c>
      <c r="C217" s="10" t="n">
        <v>3</v>
      </c>
      <c r="D217" s="33" t="n">
        <v>-0.04</v>
      </c>
    </row>
    <row r="218">
      <c r="A218" s="2" t="n">
        <v>216</v>
      </c>
      <c r="B218" s="2" t="inlineStr">
        <is>
          <t>玻璃空 03-17</t>
        </is>
      </c>
      <c r="C218" s="10" t="n">
        <v>2</v>
      </c>
      <c r="D218" s="33" t="n">
        <v>0.11</v>
      </c>
    </row>
    <row r="219">
      <c r="A219" s="2" t="n">
        <v>217</v>
      </c>
      <c r="B219" s="2" t="inlineStr">
        <is>
          <t>玉米多 03-21</t>
        </is>
      </c>
      <c r="C219" s="10" t="n">
        <v>2</v>
      </c>
      <c r="D219" s="33" t="n">
        <v>0.09</v>
      </c>
    </row>
    <row r="220">
      <c r="A220" s="2" t="n">
        <v>218</v>
      </c>
      <c r="B220" s="2" t="inlineStr">
        <is>
          <t>乙二醇空 03-22</t>
        </is>
      </c>
      <c r="C220" s="10" t="n">
        <v>2</v>
      </c>
      <c r="D220" s="33" t="n">
        <v>0.01</v>
      </c>
    </row>
    <row r="221">
      <c r="A221" s="2" t="n">
        <v>219</v>
      </c>
      <c r="B221" s="2" t="inlineStr">
        <is>
          <t>菜粕多 03-18</t>
        </is>
      </c>
      <c r="C221" s="10" t="n">
        <v>3</v>
      </c>
      <c r="D221" s="33" t="n">
        <v>0.24</v>
      </c>
    </row>
    <row r="222">
      <c r="A222" s="2" t="n">
        <v>220</v>
      </c>
      <c r="B222" s="2" t="inlineStr">
        <is>
          <t>塑料多 03-18</t>
        </is>
      </c>
      <c r="C222" s="10" t="n">
        <v>3</v>
      </c>
      <c r="D222" s="33" t="n">
        <v>0.24</v>
      </c>
    </row>
    <row r="223">
      <c r="A223" s="2" t="n">
        <v>221</v>
      </c>
      <c r="B223" s="2" t="inlineStr">
        <is>
          <t>PVC多 03-24</t>
        </is>
      </c>
      <c r="C223" s="10" t="n">
        <v>2</v>
      </c>
      <c r="D223" s="33" t="n">
        <v>0.19</v>
      </c>
    </row>
    <row r="224">
      <c r="A224" s="2" t="n">
        <v>222</v>
      </c>
      <c r="B224" s="2" t="inlineStr">
        <is>
          <t>棉花多 03-28</t>
        </is>
      </c>
      <c r="C224" s="10" t="n">
        <v>2</v>
      </c>
      <c r="D224" s="33" t="n">
        <v>-0.1</v>
      </c>
    </row>
    <row r="225">
      <c r="A225" s="2" t="n">
        <v>223</v>
      </c>
      <c r="B225" s="2" t="inlineStr">
        <is>
          <t>豆粕多 03-22</t>
        </is>
      </c>
      <c r="C225" s="10" t="n">
        <v>3</v>
      </c>
      <c r="D225" s="33" t="n">
        <v>-0.45</v>
      </c>
    </row>
    <row r="226">
      <c r="A226" s="2" t="n">
        <v>224</v>
      </c>
      <c r="B226" s="2" t="inlineStr">
        <is>
          <t>PVC多 03-29</t>
        </is>
      </c>
      <c r="C226" s="10" t="n">
        <v>2</v>
      </c>
      <c r="D226" s="33" t="n">
        <v>0.08</v>
      </c>
    </row>
    <row r="227">
      <c r="A227" s="2" t="n">
        <v>225</v>
      </c>
      <c r="B227" s="2" t="inlineStr">
        <is>
          <t>聚丙烯多 03-23</t>
        </is>
      </c>
      <c r="C227" s="10" t="n">
        <v>2</v>
      </c>
      <c r="D227" s="33" t="n">
        <v>-0.19</v>
      </c>
    </row>
    <row r="228">
      <c r="A228" s="2" t="n">
        <v>226</v>
      </c>
      <c r="B228" s="2" t="inlineStr">
        <is>
          <t>沪银多 03-17</t>
        </is>
      </c>
      <c r="C228" s="10" t="n">
        <v>3</v>
      </c>
      <c r="D228" s="33" t="n">
        <v>-0.35</v>
      </c>
    </row>
    <row r="229">
      <c r="A229" s="2" t="n">
        <v>227</v>
      </c>
      <c r="B229" s="2" t="inlineStr">
        <is>
          <t>沪锌多 03-25</t>
        </is>
      </c>
      <c r="C229" s="10" t="n">
        <v>3</v>
      </c>
      <c r="D229" s="33" t="n">
        <v>0.36</v>
      </c>
    </row>
    <row r="230">
      <c r="A230" s="2" t="n">
        <v>228</v>
      </c>
      <c r="B230" s="2" t="inlineStr">
        <is>
          <t>纯碱多 03-30</t>
        </is>
      </c>
      <c r="C230" s="10" t="n">
        <v>3</v>
      </c>
      <c r="D230" s="33" t="n">
        <v>-0.19</v>
      </c>
    </row>
    <row r="231">
      <c r="A231" s="2" t="n">
        <v>229</v>
      </c>
      <c r="B231" s="2" t="inlineStr">
        <is>
          <t>沪铝空 03-31</t>
        </is>
      </c>
      <c r="C231" s="10" t="n">
        <v>2</v>
      </c>
      <c r="D231" s="33" t="n">
        <v>0.45</v>
      </c>
    </row>
    <row r="232">
      <c r="A232" s="2" t="n">
        <v>230</v>
      </c>
      <c r="B232" s="2" t="inlineStr">
        <is>
          <t>乙二醇空 04-07</t>
        </is>
      </c>
      <c r="C232" s="10" t="n">
        <v>3</v>
      </c>
      <c r="D232" s="33" t="n">
        <v>0.04</v>
      </c>
    </row>
    <row r="233">
      <c r="A233" s="2" t="n">
        <v>231</v>
      </c>
      <c r="B233" s="2" t="inlineStr">
        <is>
          <t>沪锌多 04-07</t>
        </is>
      </c>
      <c r="C233" s="10" t="n">
        <v>2</v>
      </c>
      <c r="D233" s="33" t="n">
        <v>0.03</v>
      </c>
    </row>
    <row r="234">
      <c r="A234" s="2" t="n">
        <v>232</v>
      </c>
      <c r="B234" s="2" t="inlineStr">
        <is>
          <t>螺纹钢多 04-06</t>
        </is>
      </c>
      <c r="C234" s="10" t="n">
        <v>2</v>
      </c>
      <c r="D234" s="33" t="n">
        <v>-0.77</v>
      </c>
    </row>
    <row r="235">
      <c r="A235" s="2" t="n">
        <v>233</v>
      </c>
      <c r="B235" s="2" t="inlineStr">
        <is>
          <t>沪铝空 04-11</t>
        </is>
      </c>
      <c r="C235" s="10" t="n">
        <v>3</v>
      </c>
      <c r="D235" s="33" t="n">
        <v>-0.31</v>
      </c>
    </row>
    <row r="236">
      <c r="A236" s="2" t="n">
        <v>234</v>
      </c>
      <c r="B236" s="2" t="inlineStr">
        <is>
          <t>棕榈油多 03-11</t>
        </is>
      </c>
      <c r="C236" s="10" t="n">
        <v>3</v>
      </c>
      <c r="D236" s="33" t="n">
        <v>0.15</v>
      </c>
    </row>
    <row r="237">
      <c r="A237" s="2" t="n">
        <v>235</v>
      </c>
      <c r="B237" s="2" t="inlineStr">
        <is>
          <t>纯碱多 04-13</t>
        </is>
      </c>
      <c r="C237" s="10" t="n">
        <v>2</v>
      </c>
      <c r="D237" s="33" t="n">
        <v>0.08</v>
      </c>
    </row>
    <row r="238">
      <c r="A238" s="2" t="n">
        <v>236</v>
      </c>
      <c r="B238" s="2" t="inlineStr">
        <is>
          <t>沪金多 04-15</t>
        </is>
      </c>
      <c r="C238" s="10" t="n">
        <v>3</v>
      </c>
      <c r="D238" s="33" t="n">
        <v>-0.05</v>
      </c>
    </row>
    <row r="239">
      <c r="A239" s="2" t="n">
        <v>237</v>
      </c>
      <c r="B239" s="2" t="inlineStr">
        <is>
          <t>PTA多 04-18</t>
        </is>
      </c>
      <c r="C239" s="10" t="n">
        <v>2</v>
      </c>
      <c r="D239" s="33" t="n">
        <v>-0.01</v>
      </c>
    </row>
    <row r="240">
      <c r="A240" s="2" t="n">
        <v>238</v>
      </c>
      <c r="B240" s="2" t="inlineStr">
        <is>
          <t>沪锌多 04-11</t>
        </is>
      </c>
      <c r="C240" s="10" t="n">
        <v>3</v>
      </c>
      <c r="D240" s="33" t="n">
        <v>0.71</v>
      </c>
    </row>
    <row r="241">
      <c r="A241" s="2" t="n">
        <v>239</v>
      </c>
      <c r="B241" s="2" t="inlineStr">
        <is>
          <t>聚丙烯多 04-18</t>
        </is>
      </c>
      <c r="C241" s="10" t="n">
        <v>2</v>
      </c>
      <c r="D241" s="33" t="n">
        <v>-0.22</v>
      </c>
    </row>
    <row r="242">
      <c r="A242" s="2" t="n">
        <v>240</v>
      </c>
      <c r="B242" s="2" t="inlineStr">
        <is>
          <t>白糖多 04-14</t>
        </is>
      </c>
      <c r="C242" s="10" t="n">
        <v>3</v>
      </c>
      <c r="D242" s="33" t="n">
        <v>-0.59</v>
      </c>
    </row>
    <row r="243">
      <c r="A243" s="2" t="n">
        <v>241</v>
      </c>
      <c r="B243" s="2" t="inlineStr">
        <is>
          <t>聚丙烯空 04-22</t>
        </is>
      </c>
      <c r="C243" s="10" t="n">
        <v>2</v>
      </c>
      <c r="D243" s="33" t="n">
        <v>0.48</v>
      </c>
    </row>
    <row r="244">
      <c r="A244" s="2" t="n">
        <v>242</v>
      </c>
      <c r="B244" s="2" t="inlineStr">
        <is>
          <t>乙二醇空 04-11</t>
        </is>
      </c>
      <c r="C244" s="10" t="n">
        <v>3</v>
      </c>
      <c r="D244" s="33" t="n">
        <v>0.51</v>
      </c>
    </row>
    <row r="245">
      <c r="A245" s="2" t="n">
        <v>243</v>
      </c>
      <c r="B245" s="2" t="inlineStr">
        <is>
          <t>棕榈油多 04-26</t>
        </is>
      </c>
      <c r="C245" s="10" t="n">
        <v>3</v>
      </c>
      <c r="D245" s="33" t="n">
        <v>0.38</v>
      </c>
    </row>
    <row r="246">
      <c r="A246" s="2" t="n">
        <v>244</v>
      </c>
      <c r="B246" s="2" t="inlineStr">
        <is>
          <t>甲醇空 04-27</t>
        </is>
      </c>
      <c r="C246" s="10" t="n">
        <v>2</v>
      </c>
      <c r="D246" s="33" t="n">
        <v>-0.07000000000000001</v>
      </c>
    </row>
    <row r="247">
      <c r="A247" s="2" t="n">
        <v>245</v>
      </c>
      <c r="B247" s="2" t="inlineStr">
        <is>
          <t>螺纹钢空 04-11</t>
        </is>
      </c>
      <c r="C247" s="10" t="n">
        <v>2</v>
      </c>
      <c r="D247" s="33" t="n">
        <v>-0.09</v>
      </c>
    </row>
    <row r="248">
      <c r="A248" s="2" t="n">
        <v>246</v>
      </c>
      <c r="B248" s="2" t="inlineStr">
        <is>
          <t>棉花多 04-19</t>
        </is>
      </c>
      <c r="C248" s="10" t="n">
        <v>3</v>
      </c>
      <c r="D248" s="33" t="n">
        <v>0.57</v>
      </c>
    </row>
    <row r="249">
      <c r="A249" s="2" t="n">
        <v>247</v>
      </c>
      <c r="B249" s="2" t="inlineStr">
        <is>
          <t>甲醇多 05-05</t>
        </is>
      </c>
      <c r="C249" s="10" t="n">
        <v>2</v>
      </c>
      <c r="D249" s="33" t="n">
        <v>-0.13</v>
      </c>
    </row>
    <row r="250">
      <c r="A250" s="2" t="n">
        <v>248</v>
      </c>
      <c r="B250" s="2" t="inlineStr">
        <is>
          <t>螺纹钢多 04-29</t>
        </is>
      </c>
      <c r="C250" s="10" t="n">
        <v>2</v>
      </c>
      <c r="D250" s="33" t="n">
        <v>-0.68</v>
      </c>
    </row>
    <row r="251">
      <c r="A251" s="2" t="n">
        <v>249</v>
      </c>
      <c r="B251" s="2" t="inlineStr">
        <is>
          <t>菜粕多 04-29</t>
        </is>
      </c>
      <c r="C251" s="10" t="n">
        <v>3</v>
      </c>
      <c r="D251" s="33" t="n">
        <v>-0.74</v>
      </c>
    </row>
    <row r="252">
      <c r="A252" s="2" t="n">
        <v>250</v>
      </c>
      <c r="B252" s="2" t="inlineStr">
        <is>
          <t>PTA多 05-06</t>
        </is>
      </c>
      <c r="C252" s="10" t="n">
        <v>3</v>
      </c>
      <c r="D252" s="33" t="n">
        <v>-0.2</v>
      </c>
    </row>
    <row r="253">
      <c r="A253" s="2" t="n">
        <v>251</v>
      </c>
      <c r="B253" s="2" t="inlineStr">
        <is>
          <t>沪锌空 05-06</t>
        </is>
      </c>
      <c r="C253" s="10" t="n">
        <v>2</v>
      </c>
      <c r="D253" s="33" t="n">
        <v>0.41</v>
      </c>
    </row>
    <row r="254">
      <c r="A254" s="2" t="n">
        <v>252</v>
      </c>
      <c r="B254" s="2" t="inlineStr">
        <is>
          <t>豆油多 04-29</t>
        </is>
      </c>
      <c r="C254" s="10" t="n">
        <v>3</v>
      </c>
      <c r="D254" s="33" t="n">
        <v>-0.21</v>
      </c>
    </row>
    <row r="255">
      <c r="A255" s="2" t="n">
        <v>253</v>
      </c>
      <c r="B255" s="2" t="inlineStr">
        <is>
          <t>沪银空 05-11</t>
        </is>
      </c>
      <c r="C255" s="10" t="n">
        <v>3</v>
      </c>
      <c r="D255" s="33" t="n">
        <v>0.24</v>
      </c>
    </row>
    <row r="256">
      <c r="A256" s="2" t="n">
        <v>254</v>
      </c>
      <c r="B256" s="2" t="inlineStr">
        <is>
          <t>沪锌空 05-12</t>
        </is>
      </c>
      <c r="C256" s="10" t="n">
        <v>3</v>
      </c>
      <c r="D256" s="33" t="n">
        <v>-0.1</v>
      </c>
    </row>
    <row r="257">
      <c r="A257" s="2" t="n">
        <v>255</v>
      </c>
      <c r="B257" s="2" t="inlineStr">
        <is>
          <t>PTA多 05-13</t>
        </is>
      </c>
      <c r="C257" s="10" t="n">
        <v>2</v>
      </c>
      <c r="D257" s="33" t="n">
        <v>0.01</v>
      </c>
    </row>
    <row r="258">
      <c r="A258" s="2" t="n">
        <v>256</v>
      </c>
      <c r="B258" s="2" t="inlineStr">
        <is>
          <t>沪银空 05-16</t>
        </is>
      </c>
      <c r="C258" s="10" t="n">
        <v>2</v>
      </c>
      <c r="D258" s="33" t="n">
        <v>-0.19</v>
      </c>
    </row>
    <row r="259">
      <c r="A259" s="2" t="n">
        <v>257</v>
      </c>
      <c r="B259" s="2" t="inlineStr">
        <is>
          <t>沪金多 05-06</t>
        </is>
      </c>
      <c r="C259" s="10" t="n">
        <v>3</v>
      </c>
      <c r="D259" s="33" t="n">
        <v>-0.71</v>
      </c>
    </row>
    <row r="260">
      <c r="A260" s="2" t="n">
        <v>258</v>
      </c>
      <c r="B260" s="2" t="inlineStr">
        <is>
          <t>沥青多 05-13</t>
        </is>
      </c>
      <c r="C260" s="10" t="n">
        <v>3</v>
      </c>
      <c r="D260" s="33" t="n">
        <v>0.06</v>
      </c>
    </row>
    <row r="261">
      <c r="A261" s="2" t="n">
        <v>259</v>
      </c>
      <c r="B261" s="2" t="inlineStr">
        <is>
          <t>白糖空 05-13</t>
        </is>
      </c>
      <c r="C261" s="10" t="n">
        <v>2</v>
      </c>
      <c r="D261" s="33" t="n">
        <v>-0.9</v>
      </c>
    </row>
    <row r="262">
      <c r="A262" s="2" t="n">
        <v>260</v>
      </c>
      <c r="B262" s="2" t="inlineStr">
        <is>
          <t>豆粕多 05-13</t>
        </is>
      </c>
      <c r="C262" s="10" t="n">
        <v>3</v>
      </c>
      <c r="D262" s="33" t="n">
        <v>0.39</v>
      </c>
    </row>
    <row r="263">
      <c r="A263" s="2" t="n">
        <v>261</v>
      </c>
      <c r="B263" s="2" t="inlineStr">
        <is>
          <t>沪锌空 05-19</t>
        </is>
      </c>
      <c r="C263" s="10" t="n">
        <v>2</v>
      </c>
      <c r="D263" s="33" t="n">
        <v>0.09</v>
      </c>
    </row>
    <row r="264">
      <c r="A264" s="2" t="n">
        <v>262</v>
      </c>
      <c r="B264" s="2" t="inlineStr">
        <is>
          <t>PTA多 05-20</t>
        </is>
      </c>
      <c r="C264" s="10" t="n">
        <v>3</v>
      </c>
      <c r="D264" s="33" t="n">
        <v>-0.03</v>
      </c>
    </row>
    <row r="265">
      <c r="A265" s="2" t="n">
        <v>263</v>
      </c>
      <c r="B265" s="2" t="inlineStr">
        <is>
          <t>玉米多 05-17</t>
        </is>
      </c>
      <c r="C265" s="10" t="n">
        <v>2</v>
      </c>
      <c r="D265" s="33" t="n">
        <v>-0.73</v>
      </c>
    </row>
    <row r="266">
      <c r="A266" s="2" t="n">
        <v>264</v>
      </c>
      <c r="B266" s="2" t="inlineStr">
        <is>
          <t>沥青多 05-23</t>
        </is>
      </c>
      <c r="C266" s="10" t="n">
        <v>3</v>
      </c>
      <c r="D266" s="33" t="n">
        <v>0.11</v>
      </c>
    </row>
    <row r="267">
      <c r="A267" s="2" t="n">
        <v>265</v>
      </c>
      <c r="B267" s="2" t="inlineStr">
        <is>
          <t>豆油多 05-20</t>
        </is>
      </c>
      <c r="C267" s="10" t="n">
        <v>3</v>
      </c>
      <c r="D267" s="33" t="n">
        <v>0.19</v>
      </c>
    </row>
    <row r="268">
      <c r="A268" s="2" t="n">
        <v>266</v>
      </c>
      <c r="B268" s="2" t="inlineStr">
        <is>
          <t>塑料空 04-28</t>
        </is>
      </c>
      <c r="C268" s="10" t="n">
        <v>2</v>
      </c>
      <c r="D268" s="33" t="n">
        <v>-0.31</v>
      </c>
    </row>
    <row r="269">
      <c r="A269" s="2" t="n">
        <v>267</v>
      </c>
      <c r="B269" s="2" t="inlineStr">
        <is>
          <t>PTA多 05-25</t>
        </is>
      </c>
      <c r="C269" s="10" t="n">
        <v>3</v>
      </c>
      <c r="D269" s="33" t="n">
        <v>-0.05</v>
      </c>
    </row>
    <row r="270">
      <c r="A270" s="2" t="n">
        <v>268</v>
      </c>
      <c r="B270" s="2" t="inlineStr">
        <is>
          <t>白糖多 05-26</t>
        </is>
      </c>
      <c r="C270" s="10" t="n">
        <v>2</v>
      </c>
      <c r="D270" s="33" t="n">
        <v>0.27</v>
      </c>
    </row>
    <row r="271">
      <c r="A271" s="2" t="n">
        <v>269</v>
      </c>
      <c r="B271" s="2" t="inlineStr">
        <is>
          <t>玻璃空 05-18</t>
        </is>
      </c>
      <c r="C271" s="10" t="n">
        <v>3</v>
      </c>
      <c r="D271" s="33" t="n">
        <v>0.05</v>
      </c>
    </row>
    <row r="272">
      <c r="A272" s="2" t="n">
        <v>270</v>
      </c>
      <c r="B272" s="2" t="inlineStr">
        <is>
          <t>沥青多 05-26</t>
        </is>
      </c>
      <c r="C272" s="10" t="n">
        <v>3</v>
      </c>
      <c r="D272" s="33" t="n">
        <v>0.3</v>
      </c>
    </row>
    <row r="273">
      <c r="A273" s="2" t="n">
        <v>271</v>
      </c>
      <c r="B273" s="2" t="inlineStr">
        <is>
          <t>沪铝多 05-27</t>
        </is>
      </c>
      <c r="C273" s="10" t="n">
        <v>3</v>
      </c>
      <c r="D273" s="33" t="n">
        <v>0.05</v>
      </c>
    </row>
    <row r="274">
      <c r="A274" s="2" t="n">
        <v>272</v>
      </c>
      <c r="B274" s="2" t="inlineStr">
        <is>
          <t>PTA多 05-30</t>
        </is>
      </c>
      <c r="C274" s="10" t="n">
        <v>3</v>
      </c>
      <c r="D274" s="33" t="n">
        <v>0.17</v>
      </c>
    </row>
    <row r="275">
      <c r="A275" s="2" t="n">
        <v>273</v>
      </c>
      <c r="B275" s="2" t="inlineStr">
        <is>
          <t>甲醇多 05-26</t>
        </is>
      </c>
      <c r="C275" s="10" t="n">
        <v>2</v>
      </c>
      <c r="D275" s="33" t="n">
        <v>0.24</v>
      </c>
    </row>
    <row r="276">
      <c r="A276" s="2" t="n">
        <v>274</v>
      </c>
      <c r="B276" s="2" t="inlineStr">
        <is>
          <t>PVC空 05-26</t>
        </is>
      </c>
      <c r="C276" s="10" t="n">
        <v>3</v>
      </c>
      <c r="D276" s="33" t="n">
        <v>-0.72</v>
      </c>
    </row>
    <row r="277">
      <c r="A277" s="2" t="n">
        <v>275</v>
      </c>
      <c r="B277" s="2" t="inlineStr">
        <is>
          <t>沥青多 06-06</t>
        </is>
      </c>
      <c r="C277" s="10" t="n">
        <v>3</v>
      </c>
      <c r="D277" s="33" t="n">
        <v>0.16</v>
      </c>
    </row>
    <row r="278">
      <c r="A278" s="2" t="n">
        <v>276</v>
      </c>
      <c r="B278" s="2" t="inlineStr">
        <is>
          <t>塑料多 06-06</t>
        </is>
      </c>
      <c r="C278" s="10" t="n">
        <v>2</v>
      </c>
      <c r="D278" s="33" t="n">
        <v>0.07000000000000001</v>
      </c>
    </row>
    <row r="279">
      <c r="A279" s="2" t="n">
        <v>277</v>
      </c>
      <c r="B279" s="2" t="inlineStr">
        <is>
          <t>白糖多 05-30</t>
        </is>
      </c>
      <c r="C279" s="10" t="n">
        <v>3</v>
      </c>
      <c r="D279" s="33" t="n">
        <v>0.1</v>
      </c>
    </row>
    <row r="280">
      <c r="A280" s="2" t="n">
        <v>278</v>
      </c>
      <c r="B280" s="2" t="inlineStr">
        <is>
          <t>棉花空 06-08</t>
        </is>
      </c>
      <c r="C280" s="10" t="n">
        <v>2</v>
      </c>
      <c r="D280" s="33" t="n">
        <v>-0.07000000000000001</v>
      </c>
    </row>
    <row r="281">
      <c r="A281" s="2" t="n">
        <v>279</v>
      </c>
      <c r="B281" s="2" t="inlineStr">
        <is>
          <t>PTA多 06-07</t>
        </is>
      </c>
      <c r="C281" s="10" t="n">
        <v>3</v>
      </c>
      <c r="D281" s="33" t="n">
        <v>0.18</v>
      </c>
    </row>
    <row r="282">
      <c r="A282" s="2" t="n">
        <v>280</v>
      </c>
      <c r="B282" s="2" t="inlineStr">
        <is>
          <t>棕榈油多 05-13</t>
        </is>
      </c>
      <c r="C282" s="10" t="n">
        <v>3</v>
      </c>
      <c r="D282" s="33" t="n">
        <v>-0.21</v>
      </c>
    </row>
    <row r="283">
      <c r="A283" s="2" t="n">
        <v>281</v>
      </c>
      <c r="B283" s="2" t="inlineStr">
        <is>
          <t>棉花空 06-10</t>
        </is>
      </c>
      <c r="C283" s="10" t="n">
        <v>3</v>
      </c>
      <c r="D283" s="33" t="n">
        <v>-0.02</v>
      </c>
    </row>
    <row r="284">
      <c r="A284" s="2" t="n">
        <v>282</v>
      </c>
      <c r="B284" s="2" t="inlineStr">
        <is>
          <t>塑料多 06-10</t>
        </is>
      </c>
      <c r="C284" s="10" t="n">
        <v>2</v>
      </c>
      <c r="D284" s="33" t="n">
        <v>-0.39</v>
      </c>
    </row>
    <row r="285">
      <c r="A285" s="2" t="n">
        <v>283</v>
      </c>
      <c r="B285" s="2" t="inlineStr">
        <is>
          <t>纯碱多 05-30</t>
        </is>
      </c>
      <c r="C285" s="10" t="n">
        <v>3</v>
      </c>
      <c r="D285" s="33" t="n">
        <v>-0.32</v>
      </c>
    </row>
    <row r="286">
      <c r="A286" s="2" t="n">
        <v>284</v>
      </c>
      <c r="B286" s="2" t="inlineStr">
        <is>
          <t>聚丙烯多 06-07</t>
        </is>
      </c>
      <c r="C286" s="10" t="n">
        <v>3</v>
      </c>
      <c r="D286" s="33" t="n">
        <v>-0.5</v>
      </c>
    </row>
    <row r="287">
      <c r="A287" s="2" t="n">
        <v>285</v>
      </c>
      <c r="B287" s="2" t="inlineStr">
        <is>
          <t>热卷多 06-08</t>
        </is>
      </c>
      <c r="C287" s="10" t="n">
        <v>2</v>
      </c>
      <c r="D287" s="33" t="n">
        <v>-0.65</v>
      </c>
    </row>
    <row r="288">
      <c r="A288" s="2" t="n">
        <v>286</v>
      </c>
      <c r="B288" s="2" t="inlineStr">
        <is>
          <t>沥青多 06-14</t>
        </is>
      </c>
      <c r="C288" s="10" t="n">
        <v>3</v>
      </c>
      <c r="D288" s="33" t="n">
        <v>-0.55</v>
      </c>
    </row>
    <row r="289">
      <c r="A289" s="2" t="n">
        <v>287</v>
      </c>
      <c r="B289" s="2" t="inlineStr">
        <is>
          <t>玉米空 05-30</t>
        </is>
      </c>
      <c r="C289" s="10" t="n">
        <v>3</v>
      </c>
      <c r="D289" s="33" t="n">
        <v>0.4</v>
      </c>
    </row>
    <row r="290">
      <c r="A290" s="2" t="n">
        <v>288</v>
      </c>
      <c r="B290" s="2" t="inlineStr">
        <is>
          <t>甲醇多 06-10</t>
        </is>
      </c>
      <c r="C290" s="10" t="n">
        <v>3</v>
      </c>
      <c r="D290" s="33" t="n">
        <v>-0.64</v>
      </c>
    </row>
    <row r="291">
      <c r="A291" s="2" t="n">
        <v>289</v>
      </c>
      <c r="B291" s="2" t="inlineStr">
        <is>
          <t>PVC空 06-15</t>
        </is>
      </c>
      <c r="C291" s="10" t="n">
        <v>2</v>
      </c>
      <c r="D291" s="33" t="n">
        <v>0.32</v>
      </c>
    </row>
    <row r="292">
      <c r="A292" s="2" t="n">
        <v>290</v>
      </c>
      <c r="B292" s="2" t="inlineStr">
        <is>
          <t>乙二醇空 06-17</t>
        </is>
      </c>
      <c r="C292" s="10" t="n">
        <v>2</v>
      </c>
      <c r="D292" s="33" t="n">
        <v>0.57</v>
      </c>
    </row>
    <row r="293">
      <c r="A293" s="2" t="n">
        <v>291</v>
      </c>
      <c r="B293" s="2" t="inlineStr">
        <is>
          <t>沪银空 05-31</t>
        </is>
      </c>
      <c r="C293" s="10" t="n">
        <v>3</v>
      </c>
      <c r="D293" s="33" t="n">
        <v>0.1</v>
      </c>
    </row>
    <row r="294">
      <c r="A294" s="2" t="n">
        <v>292</v>
      </c>
      <c r="B294" s="2" t="inlineStr">
        <is>
          <t>玉米多 06-16</t>
        </is>
      </c>
      <c r="C294" s="10" t="n">
        <v>2</v>
      </c>
      <c r="D294" s="33" t="n">
        <v>-0.61</v>
      </c>
    </row>
    <row r="295">
      <c r="A295" s="2" t="n">
        <v>293</v>
      </c>
      <c r="B295" s="2" t="inlineStr">
        <is>
          <t>热卷空 06-20</t>
        </is>
      </c>
      <c r="C295" s="10" t="n">
        <v>2</v>
      </c>
      <c r="D295" s="33" t="n">
        <v>-0.26</v>
      </c>
    </row>
    <row r="296">
      <c r="A296" s="2" t="n">
        <v>294</v>
      </c>
      <c r="B296" s="2" t="inlineStr">
        <is>
          <t>PVC空 06-22</t>
        </is>
      </c>
      <c r="C296" s="10" t="n">
        <v>3</v>
      </c>
      <c r="D296" s="33" t="n">
        <v>-0.24</v>
      </c>
    </row>
    <row r="297">
      <c r="A297" s="2" t="n">
        <v>295</v>
      </c>
      <c r="B297" s="2" t="inlineStr">
        <is>
          <t>沪铜空 06-23</t>
        </is>
      </c>
      <c r="C297" s="10" t="n">
        <v>3</v>
      </c>
      <c r="D297" s="33" t="n">
        <v>0.55</v>
      </c>
    </row>
    <row r="298">
      <c r="A298" s="2" t="n">
        <v>296</v>
      </c>
      <c r="B298" s="2" t="inlineStr">
        <is>
          <t>铁矿石空 06-24</t>
        </is>
      </c>
      <c r="C298" s="10" t="n">
        <v>3</v>
      </c>
      <c r="D298" s="33" t="n">
        <v>-0.37</v>
      </c>
    </row>
    <row r="299">
      <c r="A299" s="2" t="n">
        <v>297</v>
      </c>
      <c r="B299" s="2" t="inlineStr">
        <is>
          <t>沪银空 06-23</t>
        </is>
      </c>
      <c r="C299" s="10" t="n">
        <v>3</v>
      </c>
      <c r="D299" s="33" t="n">
        <v>0.36</v>
      </c>
    </row>
    <row r="300">
      <c r="A300" s="2" t="n">
        <v>298</v>
      </c>
      <c r="B300" s="2" t="inlineStr">
        <is>
          <t>乙二醇空 06-23</t>
        </is>
      </c>
      <c r="C300" s="10" t="n">
        <v>3</v>
      </c>
      <c r="D300" s="33" t="n">
        <v>0.63</v>
      </c>
    </row>
    <row r="301">
      <c r="A301" s="2" t="n">
        <v>299</v>
      </c>
      <c r="B301" s="2" t="inlineStr">
        <is>
          <t>沥青多 06-28</t>
        </is>
      </c>
      <c r="C301" s="10" t="n">
        <v>2</v>
      </c>
      <c r="D301" s="33" t="n">
        <v>-0.26</v>
      </c>
    </row>
    <row r="302">
      <c r="A302" s="2" t="n">
        <v>300</v>
      </c>
      <c r="B302" s="2" t="inlineStr">
        <is>
          <t>PVC空 06-24</t>
        </is>
      </c>
      <c r="C302" s="10" t="n">
        <v>3</v>
      </c>
      <c r="D302" s="33" t="n">
        <v>0.75</v>
      </c>
    </row>
    <row r="303">
      <c r="A303" s="2" t="n">
        <v>301</v>
      </c>
      <c r="B303" s="2" t="inlineStr">
        <is>
          <t>PTA空 07-01</t>
        </is>
      </c>
      <c r="C303" s="10" t="n">
        <v>3</v>
      </c>
      <c r="D303" s="33" t="n">
        <v>-0.07000000000000001</v>
      </c>
    </row>
    <row r="304">
      <c r="A304" s="2" t="n">
        <v>302</v>
      </c>
      <c r="B304" s="2" t="inlineStr">
        <is>
          <t>螺纹钢空 07-04</t>
        </is>
      </c>
      <c r="C304" s="10" t="n">
        <v>3</v>
      </c>
      <c r="D304" s="33" t="n">
        <v>-0.06</v>
      </c>
    </row>
    <row r="305">
      <c r="A305" s="2" t="n">
        <v>303</v>
      </c>
      <c r="B305" s="2" t="inlineStr">
        <is>
          <t>沪铝空 07-05</t>
        </is>
      </c>
      <c r="C305" s="10" t="n">
        <v>3</v>
      </c>
      <c r="D305" s="33" t="n">
        <v>-0.01</v>
      </c>
    </row>
    <row r="306">
      <c r="A306" s="2" t="n">
        <v>304</v>
      </c>
      <c r="B306" s="2" t="inlineStr">
        <is>
          <t>豆油空 07-05</t>
        </is>
      </c>
      <c r="C306" s="10" t="n">
        <v>3</v>
      </c>
      <c r="D306" s="33" t="n">
        <v>-0.02</v>
      </c>
    </row>
    <row r="307">
      <c r="A307" s="2" t="n">
        <v>305</v>
      </c>
      <c r="B307" s="2" t="inlineStr">
        <is>
          <t>甲醇空 07-08</t>
        </is>
      </c>
      <c r="C307" s="10" t="n">
        <v>3</v>
      </c>
      <c r="D307" s="33" t="n">
        <v>0.3</v>
      </c>
    </row>
    <row r="308">
      <c r="A308" s="2" t="n">
        <v>306</v>
      </c>
      <c r="B308" s="2" t="inlineStr">
        <is>
          <t>沪锌空 06-30</t>
        </is>
      </c>
      <c r="C308" s="10" t="n">
        <v>3</v>
      </c>
      <c r="D308" s="33" t="n">
        <v>-0.09</v>
      </c>
    </row>
    <row r="309">
      <c r="A309" s="2" t="n">
        <v>307</v>
      </c>
      <c r="B309" s="2" t="inlineStr">
        <is>
          <t>热卷空 07-05</t>
        </is>
      </c>
      <c r="C309" s="10" t="n">
        <v>3</v>
      </c>
      <c r="D309" s="33" t="n">
        <v>0.61</v>
      </c>
    </row>
    <row r="310">
      <c r="A310" s="2" t="n">
        <v>308</v>
      </c>
      <c r="B310" s="2" t="inlineStr">
        <is>
          <t>PVC空 07-07</t>
        </is>
      </c>
      <c r="C310" s="10" t="n">
        <v>3</v>
      </c>
      <c r="D310" s="33" t="n">
        <v>0.45</v>
      </c>
    </row>
    <row r="311">
      <c r="A311" s="2" t="n">
        <v>309</v>
      </c>
      <c r="B311" s="2" t="inlineStr">
        <is>
          <t>燃料油空 07-11</t>
        </is>
      </c>
      <c r="C311" s="10" t="n">
        <v>3</v>
      </c>
      <c r="D311" s="33" t="n">
        <v>0.3</v>
      </c>
    </row>
    <row r="312">
      <c r="A312" s="2" t="n">
        <v>310</v>
      </c>
      <c r="B312" s="2" t="inlineStr">
        <is>
          <t>沪铝空 07-12</t>
        </is>
      </c>
      <c r="C312" s="10" t="n">
        <v>3</v>
      </c>
      <c r="D312" s="33" t="n">
        <v>0.21</v>
      </c>
    </row>
    <row r="313">
      <c r="A313" s="2" t="n">
        <v>311</v>
      </c>
      <c r="B313" s="2" t="inlineStr">
        <is>
          <t>沪银空 07-08</t>
        </is>
      </c>
      <c r="C313" s="10" t="n">
        <v>3</v>
      </c>
      <c r="D313" s="33" t="n">
        <v>0.03</v>
      </c>
    </row>
    <row r="314">
      <c r="A314" s="2" t="n">
        <v>312</v>
      </c>
      <c r="B314" s="2" t="inlineStr">
        <is>
          <t>乙二醇空 07-12</t>
        </is>
      </c>
      <c r="C314" s="10" t="n">
        <v>3</v>
      </c>
      <c r="D314" s="33" t="n">
        <v>-0.01</v>
      </c>
    </row>
    <row r="315">
      <c r="A315" s="2" t="n">
        <v>313</v>
      </c>
      <c r="B315" s="2" t="inlineStr">
        <is>
          <t>纯碱空 07-12</t>
        </is>
      </c>
      <c r="C315" s="10" t="n">
        <v>3</v>
      </c>
      <c r="D315" s="33" t="n">
        <v>-0.01</v>
      </c>
    </row>
    <row r="316">
      <c r="A316" s="2" t="n">
        <v>314</v>
      </c>
      <c r="B316" s="2" t="inlineStr">
        <is>
          <t>沪铝空 07-14</t>
        </is>
      </c>
      <c r="C316" s="10" t="n">
        <v>2</v>
      </c>
      <c r="D316" s="33" t="n">
        <v>0.05</v>
      </c>
    </row>
    <row r="317">
      <c r="A317" s="2" t="n">
        <v>315</v>
      </c>
      <c r="B317" s="2" t="inlineStr">
        <is>
          <t>PVC空 07-14</t>
        </is>
      </c>
      <c r="C317" s="10" t="n">
        <v>3</v>
      </c>
      <c r="D317" s="33" t="n">
        <v>0.25</v>
      </c>
    </row>
    <row r="318">
      <c r="A318" s="2" t="n">
        <v>316</v>
      </c>
      <c r="B318" s="2" t="inlineStr">
        <is>
          <t>聚丙烯空 07-14</t>
        </is>
      </c>
      <c r="C318" s="10" t="n">
        <v>3</v>
      </c>
      <c r="D318" s="33" t="n">
        <v>-0.15</v>
      </c>
    </row>
    <row r="319">
      <c r="A319" s="2" t="n">
        <v>317</v>
      </c>
      <c r="B319" s="2" t="inlineStr">
        <is>
          <t>白糖空 06-23</t>
        </is>
      </c>
      <c r="C319" s="10" t="n">
        <v>3</v>
      </c>
      <c r="D319" s="33" t="n">
        <v>-0.03</v>
      </c>
    </row>
    <row r="320">
      <c r="A320" s="2" t="n">
        <v>318</v>
      </c>
      <c r="B320" s="2" t="inlineStr">
        <is>
          <t>玻璃空 07-14</t>
        </is>
      </c>
      <c r="C320" s="10" t="n">
        <v>3</v>
      </c>
      <c r="D320" s="33" t="n">
        <v>0.2</v>
      </c>
    </row>
    <row r="321">
      <c r="A321" s="2" t="n">
        <v>319</v>
      </c>
      <c r="B321" s="2" t="inlineStr">
        <is>
          <t>热卷空 07-18</t>
        </is>
      </c>
      <c r="C321" s="10" t="n">
        <v>2</v>
      </c>
      <c r="D321" s="33" t="n">
        <v>0.05</v>
      </c>
    </row>
    <row r="322">
      <c r="A322" s="2" t="n">
        <v>320</v>
      </c>
      <c r="B322" s="2" t="inlineStr">
        <is>
          <t>沪银空 07-15</t>
        </is>
      </c>
      <c r="C322" s="10" t="n">
        <v>3</v>
      </c>
      <c r="D322" s="33" t="n">
        <v>-0.07000000000000001</v>
      </c>
    </row>
    <row r="323">
      <c r="A323" s="2" t="n">
        <v>321</v>
      </c>
      <c r="B323" s="2" t="inlineStr">
        <is>
          <t>聚丙烯空 07-20</t>
        </is>
      </c>
      <c r="C323" s="10" t="n">
        <v>2</v>
      </c>
      <c r="D323" s="33" t="n">
        <v>0.15</v>
      </c>
    </row>
    <row r="324">
      <c r="A324" s="2" t="n">
        <v>322</v>
      </c>
      <c r="B324" s="2" t="inlineStr">
        <is>
          <t>沪金空 07-21</t>
        </is>
      </c>
      <c r="C324" s="10" t="n">
        <v>3</v>
      </c>
      <c r="D324" s="33" t="n">
        <v>-0.15</v>
      </c>
    </row>
    <row r="325">
      <c r="A325" s="2" t="n">
        <v>323</v>
      </c>
      <c r="B325" s="2" t="inlineStr">
        <is>
          <t>沥青空 07-15</t>
        </is>
      </c>
      <c r="C325" s="10" t="n">
        <v>3</v>
      </c>
      <c r="D325" s="33" t="n">
        <v>-0.26</v>
      </c>
    </row>
    <row r="326">
      <c r="A326" s="2" t="n">
        <v>324</v>
      </c>
      <c r="B326" s="2" t="inlineStr">
        <is>
          <t>PTA空 07-15</t>
        </is>
      </c>
      <c r="C326" s="10" t="n">
        <v>3</v>
      </c>
      <c r="D326" s="33" t="n">
        <v>-0.43</v>
      </c>
    </row>
    <row r="327">
      <c r="A327" s="2" t="n">
        <v>325</v>
      </c>
      <c r="B327" s="2" t="inlineStr">
        <is>
          <t>玉米空 07-22</t>
        </is>
      </c>
      <c r="C327" s="10" t="n">
        <v>3</v>
      </c>
      <c r="D327" s="33" t="n">
        <v>-0.84</v>
      </c>
    </row>
    <row r="328">
      <c r="A328" s="2" t="n">
        <v>326</v>
      </c>
      <c r="B328" s="2" t="inlineStr">
        <is>
          <t>沪锌多 07-26</t>
        </is>
      </c>
      <c r="C328" s="10" t="n">
        <v>2</v>
      </c>
      <c r="D328" s="33" t="n">
        <v>0.5</v>
      </c>
    </row>
    <row r="329">
      <c r="A329" s="2" t="n">
        <v>327</v>
      </c>
      <c r="B329" s="2" t="inlineStr">
        <is>
          <t>豆粕空 07-13</t>
        </is>
      </c>
      <c r="C329" s="10" t="n">
        <v>3</v>
      </c>
      <c r="D329" s="33" t="n">
        <v>-0.4</v>
      </c>
    </row>
    <row r="330">
      <c r="A330" s="2" t="n">
        <v>328</v>
      </c>
      <c r="B330" s="2" t="inlineStr">
        <is>
          <t>螺纹钢多 07-27</t>
        </is>
      </c>
      <c r="C330" s="10" t="n">
        <v>3</v>
      </c>
      <c r="D330" s="33" t="n">
        <v>0.36</v>
      </c>
    </row>
    <row r="331">
      <c r="A331" s="2" t="n">
        <v>329</v>
      </c>
      <c r="B331" s="2" t="inlineStr">
        <is>
          <t>PVC多 07-28</t>
        </is>
      </c>
      <c r="C331" s="10" t="n">
        <v>3</v>
      </c>
      <c r="D331" s="33" t="n">
        <v>0.08</v>
      </c>
    </row>
    <row r="332">
      <c r="A332" s="2" t="n">
        <v>330</v>
      </c>
      <c r="B332" s="2" t="inlineStr">
        <is>
          <t>沪镍多 08-01</t>
        </is>
      </c>
      <c r="C332" s="10" t="n">
        <v>3</v>
      </c>
      <c r="D332" s="33" t="n">
        <v>-0.17</v>
      </c>
    </row>
    <row r="333">
      <c r="A333" s="2" t="n">
        <v>331</v>
      </c>
      <c r="B333" s="2" t="inlineStr">
        <is>
          <t>沪铝空 07-25</t>
        </is>
      </c>
      <c r="C333" s="10" t="n">
        <v>3</v>
      </c>
      <c r="D333" s="33" t="n">
        <v>-0.28</v>
      </c>
    </row>
    <row r="334">
      <c r="A334" s="2" t="n">
        <v>332</v>
      </c>
      <c r="B334" s="2" t="inlineStr">
        <is>
          <t>沪锌多 08-01</t>
        </is>
      </c>
      <c r="C334" s="10" t="n">
        <v>3</v>
      </c>
      <c r="D334" s="33" t="n">
        <v>-0.2</v>
      </c>
    </row>
    <row r="335">
      <c r="A335" s="2" t="n">
        <v>333</v>
      </c>
      <c r="B335" s="2" t="inlineStr">
        <is>
          <t>豆粕多 08-01</t>
        </is>
      </c>
      <c r="C335" s="10" t="n">
        <v>3</v>
      </c>
      <c r="D335" s="33" t="n">
        <v>0.32</v>
      </c>
    </row>
    <row r="336">
      <c r="A336" s="2" t="n">
        <v>334</v>
      </c>
      <c r="B336" s="2" t="inlineStr">
        <is>
          <t>玻璃多 08-02</t>
        </is>
      </c>
      <c r="C336" s="10" t="n">
        <v>3</v>
      </c>
      <c r="D336" s="33" t="n">
        <v>0.11</v>
      </c>
    </row>
    <row r="337">
      <c r="A337" s="2" t="n">
        <v>335</v>
      </c>
      <c r="B337" s="2" t="inlineStr">
        <is>
          <t>螺纹钢多 08-02</t>
        </is>
      </c>
      <c r="C337" s="10" t="n">
        <v>2</v>
      </c>
      <c r="D337" s="33" t="n">
        <v>0.09</v>
      </c>
    </row>
    <row r="338">
      <c r="A338" s="2" t="n">
        <v>336</v>
      </c>
      <c r="B338" s="2" t="inlineStr">
        <is>
          <t>沪镍多 08-05</t>
        </is>
      </c>
      <c r="C338" s="10" t="n">
        <v>3</v>
      </c>
      <c r="D338" s="33" t="n">
        <v>0.09</v>
      </c>
    </row>
    <row r="339">
      <c r="A339" s="2" t="n">
        <v>337</v>
      </c>
      <c r="B339" s="2" t="inlineStr">
        <is>
          <t>乙二醇空 08-10</t>
        </is>
      </c>
      <c r="C339" s="10" t="n">
        <v>2</v>
      </c>
      <c r="D339" s="33" t="n">
        <v>-0.14</v>
      </c>
    </row>
    <row r="340">
      <c r="A340" s="2" t="n">
        <v>338</v>
      </c>
      <c r="B340" s="2" t="inlineStr">
        <is>
          <t>豆粕多 08-10</t>
        </is>
      </c>
      <c r="C340" s="10" t="n">
        <v>2</v>
      </c>
      <c r="D340" s="33" t="n">
        <v>-0.07000000000000001</v>
      </c>
    </row>
    <row r="341">
      <c r="A341" s="2" t="n">
        <v>339</v>
      </c>
      <c r="B341" s="2" t="inlineStr">
        <is>
          <t>棕榈油空 08-03</t>
        </is>
      </c>
      <c r="C341" s="10" t="n">
        <v>3</v>
      </c>
      <c r="D341" s="33" t="n">
        <v>-0.47</v>
      </c>
    </row>
    <row r="342">
      <c r="A342" s="2" t="n">
        <v>340</v>
      </c>
      <c r="B342" s="2" t="inlineStr">
        <is>
          <t>玻璃多 08-09</t>
        </is>
      </c>
      <c r="C342" s="10" t="n">
        <v>2</v>
      </c>
      <c r="D342" s="33" t="n">
        <v>-0.26</v>
      </c>
    </row>
    <row r="343">
      <c r="A343" s="2" t="n">
        <v>341</v>
      </c>
      <c r="B343" s="2" t="inlineStr">
        <is>
          <t>玉米多 08-10</t>
        </is>
      </c>
      <c r="C343" s="10" t="n">
        <v>3</v>
      </c>
      <c r="D343" s="33" t="n">
        <v>0.12</v>
      </c>
    </row>
    <row r="344">
      <c r="A344" s="2" t="n">
        <v>342</v>
      </c>
      <c r="B344" s="2" t="inlineStr">
        <is>
          <t>豆油多 08-11</t>
        </is>
      </c>
      <c r="C344" s="10" t="n">
        <v>3</v>
      </c>
      <c r="D344" s="33" t="n">
        <v>0.06</v>
      </c>
    </row>
    <row r="345">
      <c r="A345" s="2" t="n">
        <v>343</v>
      </c>
      <c r="B345" s="2" t="inlineStr">
        <is>
          <t>棉花多 08-09</t>
        </is>
      </c>
      <c r="C345" s="10" t="n">
        <v>2</v>
      </c>
      <c r="D345" s="33" t="n">
        <v>0.5600000000000001</v>
      </c>
    </row>
    <row r="346">
      <c r="A346" s="2" t="n">
        <v>344</v>
      </c>
      <c r="B346" s="2" t="inlineStr">
        <is>
          <t>聚丙烯多 07-29</t>
        </is>
      </c>
      <c r="C346" s="10" t="n">
        <v>2</v>
      </c>
      <c r="D346" s="33" t="n">
        <v>-0.54</v>
      </c>
    </row>
    <row r="347">
      <c r="A347" s="2" t="n">
        <v>345</v>
      </c>
      <c r="B347" s="2" t="inlineStr">
        <is>
          <t>热卷多 08-12</t>
        </is>
      </c>
      <c r="C347" s="10" t="n">
        <v>2</v>
      </c>
      <c r="D347" s="33" t="n">
        <v>-0.49</v>
      </c>
    </row>
    <row r="348">
      <c r="A348" s="2" t="n">
        <v>346</v>
      </c>
      <c r="B348" s="2" t="inlineStr">
        <is>
          <t>纯碱空 08-16</t>
        </is>
      </c>
      <c r="C348" s="10" t="n">
        <v>2</v>
      </c>
      <c r="D348" s="33" t="n">
        <v>0.12</v>
      </c>
    </row>
    <row r="349">
      <c r="A349" s="2" t="n">
        <v>347</v>
      </c>
      <c r="B349" s="2" t="inlineStr">
        <is>
          <t>乙二醇空 08-16</t>
        </is>
      </c>
      <c r="C349" s="10" t="n">
        <v>3</v>
      </c>
      <c r="D349" s="33" t="n">
        <v>-0.07000000000000001</v>
      </c>
    </row>
    <row r="350">
      <c r="A350" s="2" t="n">
        <v>348</v>
      </c>
      <c r="B350" s="2" t="inlineStr">
        <is>
          <t>沪铝多 08-22</t>
        </is>
      </c>
      <c r="C350" s="10" t="n">
        <v>2</v>
      </c>
      <c r="D350" s="33" t="n">
        <v>0.33</v>
      </c>
    </row>
    <row r="351">
      <c r="A351" s="2" t="n">
        <v>349</v>
      </c>
      <c r="B351" s="2" t="inlineStr">
        <is>
          <t>纯碱空 08-19</t>
        </is>
      </c>
      <c r="C351" s="10" t="n">
        <v>2</v>
      </c>
      <c r="D351" s="33" t="n">
        <v>-0.27</v>
      </c>
    </row>
    <row r="352">
      <c r="A352" s="2" t="n">
        <v>350</v>
      </c>
      <c r="B352" s="2" t="inlineStr">
        <is>
          <t>热卷空 08-17</t>
        </is>
      </c>
      <c r="C352" s="10" t="n">
        <v>2</v>
      </c>
      <c r="D352" s="33" t="n">
        <v>-0.55</v>
      </c>
    </row>
    <row r="353">
      <c r="A353" s="2" t="n">
        <v>351</v>
      </c>
      <c r="B353" s="2" t="inlineStr">
        <is>
          <t>塑料空 08-16</t>
        </is>
      </c>
      <c r="C353" s="10" t="n">
        <v>3</v>
      </c>
      <c r="D353" s="33" t="n">
        <v>-0.14</v>
      </c>
    </row>
    <row r="354">
      <c r="A354" s="2" t="n">
        <v>352</v>
      </c>
      <c r="B354" s="2" t="inlineStr">
        <is>
          <t>聚丙烯空 08-19</t>
        </is>
      </c>
      <c r="C354" s="10" t="n">
        <v>2</v>
      </c>
      <c r="D354" s="33" t="n">
        <v>-0.72</v>
      </c>
    </row>
    <row r="355">
      <c r="A355" s="2" t="n">
        <v>353</v>
      </c>
      <c r="B355" s="2" t="inlineStr">
        <is>
          <t>沪金多 08-10</t>
        </is>
      </c>
      <c r="C355" s="10" t="n">
        <v>3</v>
      </c>
      <c r="D355" s="33" t="n">
        <v>-0.49</v>
      </c>
    </row>
    <row r="356">
      <c r="A356" s="2" t="n">
        <v>354</v>
      </c>
      <c r="B356" s="2" t="inlineStr">
        <is>
          <t>白糖空 08-22</t>
        </is>
      </c>
      <c r="C356" s="10" t="n">
        <v>3</v>
      </c>
      <c r="D356" s="33" t="n">
        <v>0.12</v>
      </c>
    </row>
    <row r="357">
      <c r="A357" s="2" t="n">
        <v>355</v>
      </c>
      <c r="B357" s="2" t="inlineStr">
        <is>
          <t>PVC空 08-29</t>
        </is>
      </c>
      <c r="C357" s="10" t="n">
        <v>2</v>
      </c>
      <c r="D357" s="33" t="n">
        <v>0.08</v>
      </c>
    </row>
    <row r="358">
      <c r="A358" s="2" t="n">
        <v>356</v>
      </c>
      <c r="B358" s="2" t="inlineStr">
        <is>
          <t>玻璃空 08-25</t>
        </is>
      </c>
      <c r="C358" s="10" t="n">
        <v>3</v>
      </c>
      <c r="D358" s="33" t="n">
        <v>0.17</v>
      </c>
    </row>
    <row r="359">
      <c r="A359" s="2" t="n">
        <v>357</v>
      </c>
      <c r="B359" s="2" t="inlineStr">
        <is>
          <t>沪锌多 08-25</t>
        </is>
      </c>
      <c r="C359" s="10" t="n">
        <v>3</v>
      </c>
      <c r="D359" s="33" t="n">
        <v>-0.72</v>
      </c>
    </row>
    <row r="360">
      <c r="A360" s="2" t="n">
        <v>358</v>
      </c>
      <c r="B360" s="2" t="inlineStr">
        <is>
          <t>沪银空 09-01</t>
        </is>
      </c>
      <c r="C360" s="10" t="n">
        <v>3</v>
      </c>
      <c r="D360" s="33" t="n">
        <v>-0.16</v>
      </c>
    </row>
    <row r="361">
      <c r="A361" s="2" t="n">
        <v>359</v>
      </c>
      <c r="B361" s="2" t="inlineStr">
        <is>
          <t>乙二醇空 08-25</t>
        </is>
      </c>
      <c r="C361" s="10" t="n">
        <v>3</v>
      </c>
      <c r="D361" s="33" t="n">
        <v>-0.77</v>
      </c>
    </row>
    <row r="362">
      <c r="A362" s="2" t="n">
        <v>360</v>
      </c>
      <c r="B362" s="2" t="inlineStr">
        <is>
          <t>甲醇多 09-05</t>
        </is>
      </c>
      <c r="C362" s="10" t="n">
        <v>2</v>
      </c>
      <c r="D362" s="33" t="n">
        <v>0.21</v>
      </c>
    </row>
    <row r="363">
      <c r="A363" s="2" t="n">
        <v>361</v>
      </c>
      <c r="B363" s="2" t="inlineStr">
        <is>
          <t>沪锌多 09-08</t>
        </is>
      </c>
      <c r="C363" s="10" t="n">
        <v>2</v>
      </c>
      <c r="D363" s="33" t="n">
        <v>0.33</v>
      </c>
    </row>
    <row r="364">
      <c r="A364" s="2" t="n">
        <v>362</v>
      </c>
      <c r="B364" s="2" t="inlineStr">
        <is>
          <t>菜粕空 09-06</t>
        </is>
      </c>
      <c r="C364" s="10" t="n">
        <v>2</v>
      </c>
      <c r="D364" s="33" t="n">
        <v>-0.84</v>
      </c>
    </row>
    <row r="365">
      <c r="A365" s="2" t="n">
        <v>363</v>
      </c>
      <c r="B365" s="2" t="inlineStr">
        <is>
          <t>燃料油空 09-08</t>
        </is>
      </c>
      <c r="C365" s="10" t="n">
        <v>3</v>
      </c>
      <c r="D365" s="33" t="n">
        <v>-0.2</v>
      </c>
    </row>
    <row r="366">
      <c r="A366" s="2" t="n">
        <v>364</v>
      </c>
      <c r="B366" s="2" t="inlineStr">
        <is>
          <t>棉花空 08-19</t>
        </is>
      </c>
      <c r="C366" s="10" t="n">
        <v>2</v>
      </c>
      <c r="D366" s="33" t="n">
        <v>-0.04</v>
      </c>
    </row>
    <row r="367">
      <c r="A367" s="2" t="n">
        <v>365</v>
      </c>
      <c r="B367" s="2" t="inlineStr">
        <is>
          <t>沪锌多 09-14</t>
        </is>
      </c>
      <c r="C367" s="10" t="n">
        <v>3</v>
      </c>
      <c r="D367" s="33" t="n">
        <v>-0.14</v>
      </c>
    </row>
    <row r="368">
      <c r="A368" s="2" t="n">
        <v>366</v>
      </c>
      <c r="B368" s="2" t="inlineStr">
        <is>
          <t>燃料油空 09-16</t>
        </is>
      </c>
      <c r="C368" s="10" t="n">
        <v>2</v>
      </c>
      <c r="D368" s="33" t="n">
        <v>0.13</v>
      </c>
    </row>
    <row r="369">
      <c r="A369" s="2" t="n">
        <v>367</v>
      </c>
      <c r="B369" s="2" t="inlineStr">
        <is>
          <t>纯碱空 09-07</t>
        </is>
      </c>
      <c r="C369" s="10" t="n">
        <v>3</v>
      </c>
      <c r="D369" s="33" t="n">
        <v>-0.61</v>
      </c>
    </row>
    <row r="370">
      <c r="A370" s="2" t="n">
        <v>368</v>
      </c>
      <c r="B370" s="2" t="inlineStr">
        <is>
          <t>白糖空 09-19</t>
        </is>
      </c>
      <c r="C370" s="10" t="n">
        <v>2</v>
      </c>
      <c r="D370" s="33" t="n">
        <v>0.26</v>
      </c>
    </row>
    <row r="371">
      <c r="A371" s="2" t="n">
        <v>369</v>
      </c>
      <c r="B371" s="2" t="inlineStr">
        <is>
          <t>沪铝空 09-20</t>
        </is>
      </c>
      <c r="C371" s="10" t="n">
        <v>3</v>
      </c>
      <c r="D371" s="33" t="n">
        <v>0.29</v>
      </c>
    </row>
    <row r="372">
      <c r="A372" s="2" t="n">
        <v>370</v>
      </c>
      <c r="B372" s="2" t="inlineStr">
        <is>
          <t>玉米多 08-16</t>
        </is>
      </c>
      <c r="C372" s="10" t="n">
        <v>3</v>
      </c>
      <c r="D372" s="33" t="n">
        <v>0.3</v>
      </c>
    </row>
    <row r="373">
      <c r="A373" s="2" t="n">
        <v>371</v>
      </c>
      <c r="B373" s="2" t="inlineStr">
        <is>
          <t>棉花空 09-20</t>
        </is>
      </c>
      <c r="C373" s="10" t="n">
        <v>3</v>
      </c>
      <c r="D373" s="33" t="n">
        <v>0.66</v>
      </c>
    </row>
    <row r="374">
      <c r="A374" s="2" t="n">
        <v>372</v>
      </c>
      <c r="B374" s="2" t="inlineStr">
        <is>
          <t>甲醇多 09-16</t>
        </is>
      </c>
      <c r="C374" s="10" t="n">
        <v>2</v>
      </c>
      <c r="D374" s="33" t="n">
        <v>0.49</v>
      </c>
    </row>
    <row r="375">
      <c r="A375" s="2" t="n">
        <v>373</v>
      </c>
      <c r="B375" s="2" t="inlineStr">
        <is>
          <t>硅铁空 09-16</t>
        </is>
      </c>
      <c r="C375" s="10" t="n">
        <v>2</v>
      </c>
      <c r="D375" s="33" t="n">
        <v>-0.61</v>
      </c>
    </row>
    <row r="376">
      <c r="A376" s="2" t="n">
        <v>374</v>
      </c>
      <c r="B376" s="2" t="inlineStr">
        <is>
          <t>燃料油空 09-27</t>
        </is>
      </c>
      <c r="C376" s="10" t="n">
        <v>2</v>
      </c>
      <c r="D376" s="33" t="n">
        <v>-0.78</v>
      </c>
    </row>
    <row r="377">
      <c r="A377" s="2" t="n">
        <v>375</v>
      </c>
      <c r="B377" s="2" t="inlineStr">
        <is>
          <t>PTA空 09-28</t>
        </is>
      </c>
      <c r="C377" s="10" t="n">
        <v>2</v>
      </c>
      <c r="D377" s="33" t="n">
        <v>-0.93</v>
      </c>
    </row>
    <row r="378">
      <c r="A378" s="2" t="n">
        <v>376</v>
      </c>
      <c r="B378" s="2" t="inlineStr">
        <is>
          <t>纯碱多 09-29</t>
        </is>
      </c>
      <c r="C378" s="10" t="n">
        <v>2</v>
      </c>
      <c r="D378" s="33" t="n">
        <v>0.13</v>
      </c>
    </row>
    <row r="379">
      <c r="A379" s="2" t="n">
        <v>377</v>
      </c>
      <c r="B379" s="2" t="inlineStr">
        <is>
          <t>PTA空 10-13</t>
        </is>
      </c>
      <c r="C379" s="10" t="n">
        <v>2</v>
      </c>
      <c r="D379" s="33" t="n">
        <v>-0.01</v>
      </c>
    </row>
    <row r="380">
      <c r="A380" s="2" t="n">
        <v>378</v>
      </c>
      <c r="B380" s="2" t="inlineStr">
        <is>
          <t>热卷空 10-13</t>
        </is>
      </c>
      <c r="C380" s="10" t="n">
        <v>3</v>
      </c>
      <c r="D380" s="33" t="n">
        <v>0.09</v>
      </c>
    </row>
    <row r="381">
      <c r="A381" s="2" t="n">
        <v>379</v>
      </c>
      <c r="B381" s="2" t="inlineStr">
        <is>
          <t>豆粕多 08-12</t>
        </is>
      </c>
      <c r="C381" s="10" t="n">
        <v>3</v>
      </c>
      <c r="D381" s="33" t="n">
        <v>0.97</v>
      </c>
    </row>
    <row r="382">
      <c r="A382" s="2" t="n">
        <v>380</v>
      </c>
      <c r="B382" s="2" t="inlineStr">
        <is>
          <t>沥青多 10-12</t>
        </is>
      </c>
      <c r="C382" s="10" t="n">
        <v>2</v>
      </c>
      <c r="D382" s="33" t="n">
        <v>-0.43</v>
      </c>
    </row>
    <row r="383">
      <c r="A383" s="2" t="n">
        <v>381</v>
      </c>
      <c r="B383" s="2" t="inlineStr">
        <is>
          <t>沪铝空 10-17</t>
        </is>
      </c>
      <c r="C383" s="10" t="n">
        <v>2</v>
      </c>
      <c r="D383" s="33" t="n">
        <v>-0.03</v>
      </c>
    </row>
    <row r="384">
      <c r="A384" s="2" t="n">
        <v>382</v>
      </c>
      <c r="B384" s="2" t="inlineStr">
        <is>
          <t>螺纹钢空 10-17</t>
        </is>
      </c>
      <c r="C384" s="10" t="n">
        <v>2</v>
      </c>
      <c r="D384" s="33" t="n">
        <v>0.32</v>
      </c>
    </row>
    <row r="385">
      <c r="A385" s="2" t="n">
        <v>383</v>
      </c>
      <c r="B385" s="2" t="inlineStr">
        <is>
          <t>豆油多 10-18</t>
        </is>
      </c>
      <c r="C385" s="10" t="n">
        <v>3</v>
      </c>
      <c r="D385" s="33" t="n">
        <v>0.11</v>
      </c>
    </row>
    <row r="386">
      <c r="A386" s="2" t="n">
        <v>384</v>
      </c>
      <c r="B386" s="2" t="inlineStr">
        <is>
          <t>乙二醇空 10-18</t>
        </is>
      </c>
      <c r="C386" s="10" t="n">
        <v>3</v>
      </c>
      <c r="D386" s="33" t="n">
        <v>0.01</v>
      </c>
    </row>
    <row r="387">
      <c r="A387" s="2" t="n">
        <v>385</v>
      </c>
      <c r="B387" s="2" t="inlineStr">
        <is>
          <t>棉花空 10-19</t>
        </is>
      </c>
      <c r="C387" s="10" t="n">
        <v>3</v>
      </c>
      <c r="D387" s="33" t="n">
        <v>0.19</v>
      </c>
    </row>
    <row r="388">
      <c r="A388" s="2" t="n">
        <v>386</v>
      </c>
      <c r="B388" s="2" t="inlineStr">
        <is>
          <t>棕榈油多 10-20</t>
        </is>
      </c>
      <c r="C388" s="10" t="n">
        <v>2</v>
      </c>
      <c r="D388" s="33" t="n">
        <v>-0.03</v>
      </c>
    </row>
    <row r="389">
      <c r="A389" s="2" t="n">
        <v>387</v>
      </c>
      <c r="B389" s="2" t="inlineStr">
        <is>
          <t>纯碱空 10-20</t>
        </is>
      </c>
      <c r="C389" s="10" t="n">
        <v>2</v>
      </c>
      <c r="D389" s="33" t="n">
        <v>0.05</v>
      </c>
    </row>
    <row r="390">
      <c r="A390" s="2" t="n">
        <v>388</v>
      </c>
      <c r="B390" s="2" t="inlineStr">
        <is>
          <t>豆油多 10-21</t>
        </is>
      </c>
      <c r="C390" s="10" t="n">
        <v>3</v>
      </c>
      <c r="D390" s="33" t="n">
        <v>-0.08</v>
      </c>
    </row>
    <row r="391">
      <c r="A391" s="2" t="n">
        <v>389</v>
      </c>
      <c r="B391" s="2" t="inlineStr">
        <is>
          <t>沪银多 09-30</t>
        </is>
      </c>
      <c r="C391" s="10" t="n">
        <v>3</v>
      </c>
      <c r="D391" s="33" t="n">
        <v>-0.02</v>
      </c>
    </row>
    <row r="392">
      <c r="A392" s="2" t="n">
        <v>390</v>
      </c>
      <c r="B392" s="2" t="inlineStr">
        <is>
          <t>PTA空 10-24</t>
        </is>
      </c>
      <c r="C392" s="10" t="n">
        <v>2</v>
      </c>
      <c r="D392" s="33" t="n">
        <v>0.12</v>
      </c>
    </row>
    <row r="393">
      <c r="A393" s="2" t="n">
        <v>391</v>
      </c>
      <c r="B393" s="2" t="inlineStr">
        <is>
          <t>螺纹钢空 10-25</t>
        </is>
      </c>
      <c r="C393" s="10" t="n">
        <v>2</v>
      </c>
      <c r="D393" s="33" t="n">
        <v>-0.02</v>
      </c>
    </row>
    <row r="394">
      <c r="A394" s="2" t="n">
        <v>392</v>
      </c>
      <c r="B394" s="2" t="inlineStr">
        <is>
          <t>玉米多 10-26</t>
        </is>
      </c>
      <c r="C394" s="10" t="n">
        <v>2</v>
      </c>
      <c r="D394" s="33" t="n">
        <v>0.02</v>
      </c>
    </row>
    <row r="395">
      <c r="A395" s="2" t="n">
        <v>393</v>
      </c>
      <c r="B395" s="2" t="inlineStr">
        <is>
          <t>塑料空 10-21</t>
        </is>
      </c>
      <c r="C395" s="10" t="n">
        <v>3</v>
      </c>
      <c r="D395" s="33" t="n">
        <v>-0.01</v>
      </c>
    </row>
    <row r="396">
      <c r="A396" s="2" t="n">
        <v>394</v>
      </c>
      <c r="B396" s="2" t="inlineStr">
        <is>
          <t>沥青空 10-20</t>
        </is>
      </c>
      <c r="C396" s="10" t="n">
        <v>2</v>
      </c>
      <c r="D396" s="33" t="n">
        <v>0.35</v>
      </c>
    </row>
    <row r="397">
      <c r="A397" s="2" t="n">
        <v>395</v>
      </c>
      <c r="B397" s="2" t="inlineStr">
        <is>
          <t>热卷空 10-20</t>
        </is>
      </c>
      <c r="C397" s="10" t="n">
        <v>3</v>
      </c>
      <c r="D397" s="33" t="n">
        <v>0.7</v>
      </c>
    </row>
    <row r="398">
      <c r="A398" s="2" t="n">
        <v>396</v>
      </c>
      <c r="B398" s="2" t="inlineStr">
        <is>
          <t>聚丙烯空 10-18</t>
        </is>
      </c>
      <c r="C398" s="10" t="n">
        <v>3</v>
      </c>
      <c r="D398" s="33" t="n">
        <v>0.15</v>
      </c>
    </row>
    <row r="399">
      <c r="A399" s="2" t="n">
        <v>397</v>
      </c>
      <c r="B399" s="2" t="inlineStr">
        <is>
          <t>燃料油空 10-17</t>
        </is>
      </c>
      <c r="C399" s="10" t="n">
        <v>3</v>
      </c>
      <c r="D399" s="33" t="n">
        <v>-0.52</v>
      </c>
    </row>
    <row r="400">
      <c r="A400" s="2" t="n">
        <v>398</v>
      </c>
      <c r="B400" s="2" t="inlineStr">
        <is>
          <t>乙二醇空 10-24</t>
        </is>
      </c>
      <c r="C400" s="10" t="n">
        <v>3</v>
      </c>
      <c r="D400" s="33" t="n">
        <v>0.52</v>
      </c>
    </row>
    <row r="401">
      <c r="A401" s="2" t="n">
        <v>399</v>
      </c>
      <c r="B401" s="2" t="inlineStr">
        <is>
          <t>锰硅空 10-26</t>
        </is>
      </c>
      <c r="C401" s="10" t="n">
        <v>3</v>
      </c>
      <c r="D401" s="33" t="n">
        <v>-0.39</v>
      </c>
    </row>
    <row r="402">
      <c r="A402" s="2" t="n">
        <v>400</v>
      </c>
      <c r="B402" s="2" t="inlineStr">
        <is>
          <t>铁矿石多 11-02</t>
        </is>
      </c>
      <c r="C402" s="10" t="n">
        <v>2</v>
      </c>
      <c r="D402" s="33" t="n">
        <v>0.07000000000000001</v>
      </c>
    </row>
    <row r="403">
      <c r="A403" s="2" t="n">
        <v>401</v>
      </c>
      <c r="B403" s="2" t="inlineStr">
        <is>
          <t>沥青空 11-03</t>
        </is>
      </c>
      <c r="C403" s="10" t="n">
        <v>2</v>
      </c>
      <c r="D403" s="33" t="n">
        <v>-0.04</v>
      </c>
    </row>
    <row r="404">
      <c r="A404" s="2" t="n">
        <v>402</v>
      </c>
      <c r="B404" s="2" t="inlineStr">
        <is>
          <t>聚丙烯空 11-07</t>
        </is>
      </c>
      <c r="C404" s="10" t="n">
        <v>3</v>
      </c>
      <c r="D404" s="33" t="n">
        <v>-0.23</v>
      </c>
    </row>
    <row r="405">
      <c r="A405" s="2" t="n">
        <v>403</v>
      </c>
      <c r="B405" s="2" t="inlineStr">
        <is>
          <t>沪银多 11-08</t>
        </is>
      </c>
      <c r="C405" s="10" t="n">
        <v>2</v>
      </c>
      <c r="D405" s="33" t="n">
        <v>0.41</v>
      </c>
    </row>
    <row r="406">
      <c r="A406" s="2" t="n">
        <v>404</v>
      </c>
      <c r="B406" s="2" t="inlineStr">
        <is>
          <t>沪锌多 11-08</t>
        </is>
      </c>
      <c r="C406" s="10" t="n">
        <v>2</v>
      </c>
      <c r="D406" s="33" t="n">
        <v>0.07000000000000001</v>
      </c>
    </row>
    <row r="407">
      <c r="A407" s="2" t="n">
        <v>405</v>
      </c>
      <c r="B407" s="2" t="inlineStr">
        <is>
          <t>沪银多 11-10</t>
        </is>
      </c>
      <c r="C407" s="10" t="n">
        <v>2</v>
      </c>
      <c r="D407" s="33" t="n">
        <v>0.11</v>
      </c>
    </row>
    <row r="408">
      <c r="A408" s="2" t="n">
        <v>406</v>
      </c>
      <c r="B408" s="2" t="inlineStr">
        <is>
          <t>铁矿石多 11-09</t>
        </is>
      </c>
      <c r="C408" s="10" t="n">
        <v>2</v>
      </c>
      <c r="D408" s="33" t="n">
        <v>0.28</v>
      </c>
    </row>
    <row r="409">
      <c r="A409" s="2" t="n">
        <v>407</v>
      </c>
      <c r="B409" s="2" t="inlineStr">
        <is>
          <t>PTA空 11-10</t>
        </is>
      </c>
      <c r="C409" s="10" t="n">
        <v>3</v>
      </c>
      <c r="D409" s="33" t="n">
        <v>-0.28</v>
      </c>
    </row>
    <row r="410">
      <c r="A410" s="2" t="n">
        <v>408</v>
      </c>
      <c r="B410" s="2" t="inlineStr">
        <is>
          <t>沪铜多 11-11</t>
        </is>
      </c>
      <c r="C410" s="10" t="n">
        <v>3</v>
      </c>
      <c r="D410" s="33" t="n">
        <v>-0.11</v>
      </c>
    </row>
    <row r="411">
      <c r="A411" s="2" t="n">
        <v>409</v>
      </c>
      <c r="B411" s="2" t="inlineStr">
        <is>
          <t>豆油多 11-02</t>
        </is>
      </c>
      <c r="C411" s="10" t="n">
        <v>3</v>
      </c>
      <c r="D411" s="33" t="n">
        <v>-0.42</v>
      </c>
    </row>
    <row r="412">
      <c r="A412" s="2" t="n">
        <v>410</v>
      </c>
      <c r="B412" s="2" t="inlineStr">
        <is>
          <t>螺纹钢多 11-11</t>
        </is>
      </c>
      <c r="C412" s="10" t="n">
        <v>2</v>
      </c>
      <c r="D412" s="33" t="n">
        <v>0.22</v>
      </c>
    </row>
    <row r="413">
      <c r="A413" s="2" t="n">
        <v>411</v>
      </c>
      <c r="B413" s="2" t="inlineStr">
        <is>
          <t>玉米多 10-31</t>
        </is>
      </c>
      <c r="C413" s="10" t="n">
        <v>2</v>
      </c>
      <c r="D413" s="33" t="n">
        <v>-0.57</v>
      </c>
    </row>
    <row r="414">
      <c r="A414" s="2" t="n">
        <v>412</v>
      </c>
      <c r="B414" s="2" t="inlineStr">
        <is>
          <t>聚丙烯多 11-09</t>
        </is>
      </c>
      <c r="C414" s="10" t="n">
        <v>2</v>
      </c>
      <c r="D414" s="33" t="n">
        <v>0.27</v>
      </c>
    </row>
    <row r="415">
      <c r="A415" s="2" t="n">
        <v>413</v>
      </c>
      <c r="B415" s="2" t="inlineStr">
        <is>
          <t>热卷多 11-15</t>
        </is>
      </c>
      <c r="C415" s="10" t="n">
        <v>2</v>
      </c>
      <c r="D415" s="33" t="n">
        <v>0.16</v>
      </c>
    </row>
    <row r="416">
      <c r="A416" s="2" t="n">
        <v>414</v>
      </c>
      <c r="B416" s="2" t="inlineStr">
        <is>
          <t>棕榈油多 10-25</t>
        </is>
      </c>
      <c r="C416" s="10" t="n">
        <v>2</v>
      </c>
      <c r="D416" s="33" t="n">
        <v>-0.36</v>
      </c>
    </row>
    <row r="417">
      <c r="A417" s="2" t="n">
        <v>415</v>
      </c>
      <c r="B417" s="2" t="inlineStr">
        <is>
          <t>沥青空 11-09</t>
        </is>
      </c>
      <c r="C417" s="10" t="n">
        <v>2</v>
      </c>
      <c r="D417" s="33" t="n">
        <v>-0.07000000000000001</v>
      </c>
    </row>
    <row r="418">
      <c r="A418" s="2" t="n">
        <v>416</v>
      </c>
      <c r="B418" s="2" t="inlineStr">
        <is>
          <t>菜粕多 11-10</t>
        </is>
      </c>
      <c r="C418" s="10" t="n">
        <v>2</v>
      </c>
      <c r="D418" s="33" t="n">
        <v>-0.82</v>
      </c>
    </row>
    <row r="419">
      <c r="A419" s="2" t="n">
        <v>417</v>
      </c>
      <c r="B419" s="2" t="inlineStr">
        <is>
          <t>铁矿石多 11-15</t>
        </is>
      </c>
      <c r="C419" s="10" t="n">
        <v>2</v>
      </c>
      <c r="D419" s="33" t="n">
        <v>0.22</v>
      </c>
    </row>
    <row r="420">
      <c r="A420" s="2" t="n">
        <v>418</v>
      </c>
      <c r="B420" s="2" t="inlineStr">
        <is>
          <t>螺纹钢多 11-16</t>
        </is>
      </c>
      <c r="C420" s="10" t="n">
        <v>2</v>
      </c>
      <c r="D420" s="33" t="n">
        <v>-0.09</v>
      </c>
    </row>
    <row r="421">
      <c r="A421" s="2" t="n">
        <v>419</v>
      </c>
      <c r="B421" s="2" t="inlineStr">
        <is>
          <t>玉米空 11-16</t>
        </is>
      </c>
      <c r="C421" s="10" t="n">
        <v>2</v>
      </c>
      <c r="D421" s="33" t="n">
        <v>0.12</v>
      </c>
    </row>
    <row r="422">
      <c r="A422" s="2" t="n">
        <v>420</v>
      </c>
      <c r="B422" s="2" t="inlineStr">
        <is>
          <t>白糖多 11-17</t>
        </is>
      </c>
      <c r="C422" s="10" t="n">
        <v>2</v>
      </c>
      <c r="D422" s="33" t="n">
        <v>-0.24</v>
      </c>
    </row>
    <row r="423">
      <c r="A423" s="2" t="n">
        <v>421</v>
      </c>
      <c r="B423" s="2" t="inlineStr">
        <is>
          <t>沪铝多 11-18</t>
        </is>
      </c>
      <c r="C423" s="10" t="n">
        <v>3</v>
      </c>
      <c r="D423" s="33" t="n">
        <v>-0.18</v>
      </c>
    </row>
    <row r="424">
      <c r="A424" s="2" t="n">
        <v>422</v>
      </c>
      <c r="B424" s="2" t="inlineStr">
        <is>
          <t>铁矿石多 11-18</t>
        </is>
      </c>
      <c r="C424" s="10" t="n">
        <v>2</v>
      </c>
      <c r="D424" s="33" t="n">
        <v>-0.08</v>
      </c>
    </row>
    <row r="425">
      <c r="A425" s="2" t="n">
        <v>423</v>
      </c>
      <c r="B425" s="2" t="inlineStr">
        <is>
          <t>纯碱多 11-16</t>
        </is>
      </c>
      <c r="C425" s="10" t="n">
        <v>3</v>
      </c>
      <c r="D425" s="33" t="n">
        <v>0.13</v>
      </c>
    </row>
    <row r="426">
      <c r="A426" s="2" t="n">
        <v>424</v>
      </c>
      <c r="B426" s="2" t="inlineStr">
        <is>
          <t>棉花多 11-17</t>
        </is>
      </c>
      <c r="C426" s="10" t="n">
        <v>2</v>
      </c>
      <c r="D426" s="33" t="n">
        <v>-0.03</v>
      </c>
    </row>
    <row r="427">
      <c r="A427" s="2" t="n">
        <v>425</v>
      </c>
      <c r="B427" s="2" t="inlineStr">
        <is>
          <t>玻璃空 10-31</t>
        </is>
      </c>
      <c r="C427" s="10" t="n">
        <v>3</v>
      </c>
      <c r="D427" s="33" t="n">
        <v>-0.75</v>
      </c>
    </row>
    <row r="428">
      <c r="A428" s="2" t="n">
        <v>426</v>
      </c>
      <c r="B428" s="2" t="inlineStr">
        <is>
          <t>沪锌空 11-22</t>
        </is>
      </c>
      <c r="C428" s="10" t="n">
        <v>2</v>
      </c>
      <c r="D428" s="33" t="n">
        <v>-0.12</v>
      </c>
    </row>
    <row r="429">
      <c r="A429" s="2" t="n">
        <v>427</v>
      </c>
      <c r="B429" s="2" t="inlineStr">
        <is>
          <t>纯碱多 11-23</t>
        </is>
      </c>
      <c r="C429" s="10" t="n">
        <v>3</v>
      </c>
      <c r="D429" s="33" t="n">
        <v>0.36</v>
      </c>
    </row>
    <row r="430">
      <c r="A430" s="2" t="n">
        <v>428</v>
      </c>
      <c r="B430" s="2" t="inlineStr">
        <is>
          <t>沪铝多 11-24</t>
        </is>
      </c>
      <c r="C430" s="10" t="n">
        <v>3</v>
      </c>
      <c r="D430" s="33" t="n">
        <v>0.05</v>
      </c>
    </row>
    <row r="431">
      <c r="A431" s="2" t="n">
        <v>429</v>
      </c>
      <c r="B431" s="2" t="inlineStr">
        <is>
          <t>铁矿石多 11-28</t>
        </is>
      </c>
      <c r="C431" s="10" t="n">
        <v>2</v>
      </c>
      <c r="D431" s="33" t="n">
        <v>0.11</v>
      </c>
    </row>
    <row r="432">
      <c r="A432" s="2" t="n">
        <v>430</v>
      </c>
      <c r="B432" s="2" t="inlineStr">
        <is>
          <t>沪金多 11-17</t>
        </is>
      </c>
      <c r="C432" s="10" t="n">
        <v>3</v>
      </c>
      <c r="D432" s="33" t="n">
        <v>-0.09</v>
      </c>
    </row>
    <row r="433">
      <c r="A433" s="2" t="n">
        <v>431</v>
      </c>
      <c r="B433" s="2" t="inlineStr">
        <is>
          <t>棉花多 11-29</t>
        </is>
      </c>
      <c r="C433" s="10" t="n">
        <v>2</v>
      </c>
      <c r="D433" s="33" t="n">
        <v>0.23</v>
      </c>
    </row>
    <row r="434">
      <c r="A434" s="2" t="n">
        <v>432</v>
      </c>
      <c r="B434" s="2" t="inlineStr">
        <is>
          <t>塑料多 11-30</t>
        </is>
      </c>
      <c r="C434" s="10" t="n">
        <v>2</v>
      </c>
      <c r="D434" s="33" t="n">
        <v>0.09</v>
      </c>
    </row>
    <row r="435">
      <c r="A435" s="2" t="n">
        <v>433</v>
      </c>
      <c r="B435" s="2" t="inlineStr">
        <is>
          <t>乙二醇多 12-01</t>
        </is>
      </c>
      <c r="C435" s="10" t="n">
        <v>2</v>
      </c>
      <c r="D435" s="33" t="n">
        <v>0.17</v>
      </c>
    </row>
    <row r="436">
      <c r="A436" s="2" t="n">
        <v>434</v>
      </c>
      <c r="B436" s="2" t="inlineStr">
        <is>
          <t>热卷多 11-28</t>
        </is>
      </c>
      <c r="C436" s="10" t="n">
        <v>3</v>
      </c>
      <c r="D436" s="33" t="n">
        <v>0.55</v>
      </c>
    </row>
    <row r="437">
      <c r="A437" s="2" t="n">
        <v>435</v>
      </c>
      <c r="B437" s="2" t="inlineStr">
        <is>
          <t>螺纹钢多 11-29</t>
        </is>
      </c>
      <c r="C437" s="10" t="n">
        <v>3</v>
      </c>
      <c r="D437" s="33" t="n">
        <v>0.39</v>
      </c>
    </row>
    <row r="438">
      <c r="A438" s="2" t="n">
        <v>436</v>
      </c>
      <c r="B438" s="2" t="inlineStr">
        <is>
          <t>玉米空 11-30</t>
        </is>
      </c>
      <c r="C438" s="10" t="n">
        <v>3</v>
      </c>
      <c r="D438" s="33" t="n">
        <v>0.46</v>
      </c>
    </row>
    <row r="439">
      <c r="A439" s="2" t="n">
        <v>437</v>
      </c>
      <c r="B439" s="2" t="inlineStr">
        <is>
          <t>燃料油空 12-02</t>
        </is>
      </c>
      <c r="C439" s="10" t="n">
        <v>2</v>
      </c>
      <c r="D439" s="33" t="n">
        <v>0.13</v>
      </c>
    </row>
    <row r="440">
      <c r="A440" s="2" t="n">
        <v>438</v>
      </c>
      <c r="B440" s="2" t="inlineStr">
        <is>
          <t>沪锌多 11-25</t>
        </is>
      </c>
      <c r="C440" s="10" t="n">
        <v>3</v>
      </c>
      <c r="D440" s="33" t="n">
        <v>0.46</v>
      </c>
    </row>
    <row r="441">
      <c r="A441" s="2" t="n">
        <v>439</v>
      </c>
      <c r="B441" s="2" t="inlineStr">
        <is>
          <t>棕榈油空 12-02</t>
        </is>
      </c>
      <c r="C441" s="10" t="n">
        <v>2</v>
      </c>
      <c r="D441" s="33" t="n">
        <v>0.21</v>
      </c>
    </row>
    <row r="442">
      <c r="A442" s="2" t="n">
        <v>440</v>
      </c>
      <c r="B442" s="2" t="inlineStr">
        <is>
          <t>铁矿石多 12-05</t>
        </is>
      </c>
      <c r="C442" s="10" t="n">
        <v>3</v>
      </c>
      <c r="D442" s="33" t="n">
        <v>-0.15</v>
      </c>
    </row>
    <row r="443">
      <c r="A443" s="2" t="n">
        <v>441</v>
      </c>
      <c r="B443" s="2" t="inlineStr">
        <is>
          <t>塑料多 12-05</t>
        </is>
      </c>
      <c r="C443" s="10" t="n">
        <v>2</v>
      </c>
      <c r="D443" s="33" t="n">
        <v>0.1</v>
      </c>
    </row>
    <row r="444">
      <c r="A444" s="2" t="n">
        <v>442</v>
      </c>
      <c r="B444" s="2" t="inlineStr">
        <is>
          <t>沪金多 12-02</t>
        </is>
      </c>
      <c r="C444" s="10" t="n">
        <v>3</v>
      </c>
      <c r="D444" s="33" t="n">
        <v>0.01</v>
      </c>
    </row>
    <row r="445">
      <c r="A445" s="2" t="n">
        <v>443</v>
      </c>
      <c r="B445" s="2" t="inlineStr">
        <is>
          <t>甲醇空 11-10</t>
        </is>
      </c>
      <c r="C445" s="10" t="n">
        <v>2</v>
      </c>
      <c r="D445" s="33" t="n">
        <v>-0.78</v>
      </c>
    </row>
    <row r="446">
      <c r="A446" s="2" t="n">
        <v>444</v>
      </c>
      <c r="B446" s="2" t="inlineStr">
        <is>
          <t>PTA空 11-28</t>
        </is>
      </c>
      <c r="C446" s="10" t="n">
        <v>2</v>
      </c>
      <c r="D446" s="33" t="n">
        <v>-0.51</v>
      </c>
    </row>
    <row r="447">
      <c r="A447" s="2" t="n">
        <v>445</v>
      </c>
      <c r="B447" s="2" t="inlineStr">
        <is>
          <t>豆粕多 11-30</t>
        </is>
      </c>
      <c r="C447" s="10" t="n">
        <v>3</v>
      </c>
      <c r="D447" s="33" t="n">
        <v>0.16</v>
      </c>
    </row>
    <row r="448">
      <c r="A448" s="2" t="n">
        <v>446</v>
      </c>
      <c r="B448" s="2" t="inlineStr">
        <is>
          <t>棉花多 12-07</t>
        </is>
      </c>
      <c r="C448" s="10" t="n">
        <v>3</v>
      </c>
      <c r="D448" s="33" t="n">
        <v>0.63</v>
      </c>
    </row>
    <row r="449">
      <c r="A449" s="2" t="n">
        <v>447</v>
      </c>
      <c r="B449" s="2" t="inlineStr">
        <is>
          <t>PVC多 12-14</t>
        </is>
      </c>
      <c r="C449" s="10" t="n">
        <v>3</v>
      </c>
      <c r="D449" s="33" t="n">
        <v>0.19</v>
      </c>
    </row>
    <row r="450">
      <c r="A450" s="2" t="n">
        <v>448</v>
      </c>
      <c r="B450" s="2" t="inlineStr">
        <is>
          <t>铁矿石空 12-07</t>
        </is>
      </c>
      <c r="C450" s="10" t="n">
        <v>2</v>
      </c>
      <c r="D450" s="33" t="n">
        <v>-0.72</v>
      </c>
    </row>
    <row r="451">
      <c r="A451" s="2" t="n">
        <v>449</v>
      </c>
      <c r="B451" s="2" t="inlineStr">
        <is>
          <t>热卷多 12-07</t>
        </is>
      </c>
      <c r="C451" s="10" t="n">
        <v>3</v>
      </c>
      <c r="D451" s="33" t="n">
        <v>0.38</v>
      </c>
    </row>
    <row r="452">
      <c r="A452" s="2" t="n">
        <v>450</v>
      </c>
      <c r="B452" s="2" t="inlineStr">
        <is>
          <t>沪铝多 12-05</t>
        </is>
      </c>
      <c r="C452" s="10" t="n">
        <v>2</v>
      </c>
      <c r="D452" s="33" t="n">
        <v>-0.67</v>
      </c>
    </row>
    <row r="453">
      <c r="A453" s="2" t="n">
        <v>451</v>
      </c>
      <c r="B453" s="2" t="inlineStr">
        <is>
          <t>螺纹钢多 12-15</t>
        </is>
      </c>
      <c r="C453" s="10" t="n">
        <v>3</v>
      </c>
      <c r="D453" s="33" t="n">
        <v>-0.53</v>
      </c>
    </row>
    <row r="454">
      <c r="A454" s="2" t="n">
        <v>452</v>
      </c>
      <c r="B454" s="2" t="inlineStr">
        <is>
          <t>沪锌空 12-19</t>
        </is>
      </c>
      <c r="C454" s="10" t="n">
        <v>2</v>
      </c>
      <c r="D454" s="33" t="n">
        <v>0.17</v>
      </c>
    </row>
    <row r="455">
      <c r="A455" s="2" t="n">
        <v>453</v>
      </c>
      <c r="B455" s="2" t="inlineStr">
        <is>
          <t>燃料油空 12-06</t>
        </is>
      </c>
      <c r="C455" s="10" t="n">
        <v>3</v>
      </c>
      <c r="D455" s="33" t="n">
        <v>-0.49</v>
      </c>
    </row>
    <row r="456">
      <c r="A456" s="2" t="n">
        <v>454</v>
      </c>
      <c r="B456" s="2" t="inlineStr">
        <is>
          <t>纯碱多 12-14</t>
        </is>
      </c>
      <c r="C456" s="10" t="n">
        <v>3</v>
      </c>
      <c r="D456" s="33" t="n">
        <v>-0.1</v>
      </c>
    </row>
    <row r="457">
      <c r="A457" s="2" t="n">
        <v>455</v>
      </c>
      <c r="B457" s="2" t="inlineStr">
        <is>
          <t>沪银多 12-21</t>
        </is>
      </c>
      <c r="C457" s="10" t="n">
        <v>3</v>
      </c>
      <c r="D457" s="33" t="n">
        <v>-0.14</v>
      </c>
    </row>
    <row r="458">
      <c r="A458" s="2" t="n">
        <v>456</v>
      </c>
      <c r="B458" s="2" t="inlineStr">
        <is>
          <t>沥青多 12-23</t>
        </is>
      </c>
      <c r="C458" s="10" t="n">
        <v>2</v>
      </c>
      <c r="D458" s="33" t="n">
        <v>0.01</v>
      </c>
    </row>
    <row r="459">
      <c r="A459" s="2" t="n">
        <v>457</v>
      </c>
      <c r="B459" s="2" t="inlineStr">
        <is>
          <t>螺纹钢多 12-21</t>
        </is>
      </c>
      <c r="C459" s="10" t="n">
        <v>3</v>
      </c>
      <c r="D459" s="33" t="n">
        <v>0.06</v>
      </c>
    </row>
    <row r="460">
      <c r="A460" s="2" t="n">
        <v>458</v>
      </c>
      <c r="B460" s="2" t="inlineStr">
        <is>
          <t>玉米空 12-19</t>
        </is>
      </c>
      <c r="C460" s="10" t="n">
        <v>3</v>
      </c>
      <c r="D460" s="33" t="n">
        <v>-0.21</v>
      </c>
    </row>
    <row r="461">
      <c r="A461" s="2" t="n">
        <v>459</v>
      </c>
      <c r="B461" s="2" t="inlineStr">
        <is>
          <t>白糖多 12-22</t>
        </is>
      </c>
      <c r="C461" s="10" t="n">
        <v>3</v>
      </c>
      <c r="D461" s="33" t="n">
        <v>-0.12</v>
      </c>
    </row>
    <row r="462">
      <c r="A462" s="2" t="n">
        <v>460</v>
      </c>
      <c r="B462" s="2" t="inlineStr">
        <is>
          <t>沪镍多 12-22</t>
        </is>
      </c>
      <c r="C462" s="10" t="n">
        <v>3</v>
      </c>
      <c r="D462" s="33" t="n">
        <v>0.43</v>
      </c>
    </row>
    <row r="463">
      <c r="A463" s="2" t="n">
        <v>461</v>
      </c>
      <c r="B463" s="2" t="inlineStr">
        <is>
          <t>棕榈油空 12-22</t>
        </is>
      </c>
      <c r="C463" s="10" t="n">
        <v>3</v>
      </c>
      <c r="D463" s="33" t="n">
        <v>-0.46</v>
      </c>
    </row>
    <row r="464">
      <c r="A464" s="2" t="n">
        <v>462</v>
      </c>
      <c r="B464" s="2" t="inlineStr">
        <is>
          <t>菜粕多 12-27</t>
        </is>
      </c>
      <c r="C464" s="10" t="n">
        <v>3</v>
      </c>
      <c r="D464" s="33" t="n">
        <v>-0.02</v>
      </c>
    </row>
    <row r="465">
      <c r="A465" s="2" t="n">
        <v>463</v>
      </c>
      <c r="B465" s="2" t="inlineStr">
        <is>
          <t>纯碱多 12-28</t>
        </is>
      </c>
      <c r="C465" s="10" t="n">
        <v>2</v>
      </c>
      <c r="D465" s="33" t="n">
        <v>-0.07000000000000001</v>
      </c>
    </row>
    <row r="466">
      <c r="A466" s="2" t="n">
        <v>464</v>
      </c>
      <c r="B466" s="2" t="inlineStr">
        <is>
          <t>棉花多 12-28</t>
        </is>
      </c>
      <c r="C466" s="10" t="n">
        <v>3</v>
      </c>
      <c r="D466" s="33" t="n">
        <v>0.1</v>
      </c>
    </row>
    <row r="467">
      <c r="A467" s="2" t="n">
        <v>465</v>
      </c>
      <c r="B467" s="2" t="inlineStr">
        <is>
          <t>PTA多 12-21</t>
        </is>
      </c>
      <c r="C467" s="10" t="n">
        <v>2</v>
      </c>
      <c r="D467" s="33" t="n">
        <v>-0.39</v>
      </c>
    </row>
    <row r="468">
      <c r="A468" s="2" t="n">
        <v>466</v>
      </c>
      <c r="B468" s="2" t="inlineStr">
        <is>
          <t>沥青多 12-29</t>
        </is>
      </c>
      <c r="C468" s="10" t="n">
        <v>3</v>
      </c>
      <c r="D468" s="33" t="n">
        <v>-0.29</v>
      </c>
    </row>
    <row r="469">
      <c r="A469" s="2" t="n">
        <v>467</v>
      </c>
      <c r="B469" s="2" t="inlineStr">
        <is>
          <t>菜粕多 12-30</t>
        </is>
      </c>
      <c r="C469" s="10" t="n">
        <v>3</v>
      </c>
      <c r="D469" s="33" t="n">
        <v>-0.39</v>
      </c>
    </row>
    <row r="470">
      <c r="A470" s="2" t="n">
        <v>468</v>
      </c>
      <c r="B470" s="2" t="inlineStr">
        <is>
          <t>豆粕多 12-29</t>
        </is>
      </c>
      <c r="C470" s="10" t="n">
        <v>2</v>
      </c>
      <c r="D470" s="33" t="n">
        <v>-0.42</v>
      </c>
    </row>
    <row r="471">
      <c r="A471" s="2" t="n">
        <v>469</v>
      </c>
      <c r="B471" s="2" t="inlineStr">
        <is>
          <t>玻璃多 12-30</t>
        </is>
      </c>
      <c r="C471" s="10" t="n">
        <v>3</v>
      </c>
      <c r="D471" s="33" t="n">
        <v>0.29</v>
      </c>
    </row>
    <row r="472">
      <c r="A472" s="2" t="n">
        <v>470</v>
      </c>
      <c r="B472" s="2" t="inlineStr">
        <is>
          <t>沪镍多 12-30</t>
        </is>
      </c>
      <c r="C472" s="10" t="n">
        <v>3</v>
      </c>
      <c r="D472" s="33" t="n">
        <v>-0.48</v>
      </c>
    </row>
    <row r="473">
      <c r="A473" s="2" t="n">
        <v>471</v>
      </c>
      <c r="B473" s="2" t="inlineStr">
        <is>
          <t>纯碱多 01-04</t>
        </is>
      </c>
      <c r="C473" s="10" t="n">
        <v>3</v>
      </c>
      <c r="D473" s="33" t="n">
        <v>0.12</v>
      </c>
    </row>
    <row r="474">
      <c r="A474" s="2" t="n">
        <v>472</v>
      </c>
      <c r="B474" s="2" t="inlineStr">
        <is>
          <t>塑料多 12-15</t>
        </is>
      </c>
      <c r="C474" s="10" t="n">
        <v>3</v>
      </c>
      <c r="D474" s="33" t="n">
        <v>-0.9</v>
      </c>
    </row>
    <row r="475">
      <c r="A475" s="2" t="n">
        <v>473</v>
      </c>
      <c r="B475" s="2" t="inlineStr">
        <is>
          <t>玻璃多 01-09</t>
        </is>
      </c>
      <c r="C475" s="10" t="n">
        <v>3</v>
      </c>
      <c r="D475" s="33" t="n">
        <v>-0.23</v>
      </c>
    </row>
    <row r="476">
      <c r="A476" s="2" t="n">
        <v>474</v>
      </c>
      <c r="B476" s="2" t="inlineStr">
        <is>
          <t>沪锌空 12-22</t>
        </is>
      </c>
      <c r="C476" s="10" t="n">
        <v>2</v>
      </c>
      <c r="D476" s="33" t="n">
        <v>-0.37</v>
      </c>
    </row>
    <row r="477">
      <c r="A477" s="2" t="n">
        <v>475</v>
      </c>
      <c r="B477" s="2" t="inlineStr">
        <is>
          <t>白糖多 01-03</t>
        </is>
      </c>
      <c r="C477" s="10" t="n">
        <v>2</v>
      </c>
      <c r="D477" s="33" t="n">
        <v>-0.87</v>
      </c>
    </row>
    <row r="478">
      <c r="A478" s="2" t="n">
        <v>476</v>
      </c>
      <c r="B478" s="2" t="inlineStr">
        <is>
          <t>沪铜多 01-12</t>
        </is>
      </c>
      <c r="C478" s="10" t="n">
        <v>3</v>
      </c>
      <c r="D478" s="33" t="n">
        <v>-0.01</v>
      </c>
    </row>
    <row r="479">
      <c r="A479" s="2" t="n">
        <v>477</v>
      </c>
      <c r="B479" s="2" t="inlineStr">
        <is>
          <t>沥青多 01-13</t>
        </is>
      </c>
      <c r="C479" s="10" t="n">
        <v>3</v>
      </c>
      <c r="D479" s="33" t="n">
        <v>-0.07000000000000001</v>
      </c>
    </row>
    <row r="480">
      <c r="A480" s="2" t="n">
        <v>478</v>
      </c>
      <c r="B480" s="2" t="inlineStr">
        <is>
          <t>菜粕多 01-13</t>
        </is>
      </c>
      <c r="C480" s="10" t="n">
        <v>3</v>
      </c>
      <c r="D480" s="33" t="n">
        <v>-0.09</v>
      </c>
    </row>
    <row r="481">
      <c r="A481" s="2" t="n">
        <v>479</v>
      </c>
      <c r="B481" s="2" t="inlineStr">
        <is>
          <t>沪铝多 01-12</t>
        </is>
      </c>
      <c r="C481" s="10" t="n">
        <v>2</v>
      </c>
      <c r="D481" s="33" t="n">
        <v>0.67</v>
      </c>
    </row>
    <row r="482">
      <c r="A482" s="2" t="n">
        <v>480</v>
      </c>
      <c r="B482" s="2" t="inlineStr">
        <is>
          <t>甲醇空 01-09</t>
        </is>
      </c>
      <c r="C482" s="10" t="n">
        <v>2</v>
      </c>
      <c r="D482" s="33" t="n">
        <v>-0.73</v>
      </c>
    </row>
    <row r="483">
      <c r="A483" s="2" t="n">
        <v>481</v>
      </c>
      <c r="B483" s="2" t="inlineStr">
        <is>
          <t>热卷多 01-13</t>
        </is>
      </c>
      <c r="C483" s="10" t="n">
        <v>3</v>
      </c>
      <c r="D483" s="33" t="n">
        <v>0.2</v>
      </c>
    </row>
    <row r="484">
      <c r="A484" s="2" t="n">
        <v>482</v>
      </c>
      <c r="B484" s="2" t="inlineStr">
        <is>
          <t>玻璃多 01-18</t>
        </is>
      </c>
      <c r="C484" s="10" t="n">
        <v>3</v>
      </c>
      <c r="D484" s="33" t="n">
        <v>0.07000000000000001</v>
      </c>
    </row>
    <row r="485">
      <c r="A485" s="2" t="n">
        <v>483</v>
      </c>
      <c r="B485" s="2" t="inlineStr">
        <is>
          <t>纯碱多 01-19</t>
        </is>
      </c>
      <c r="C485" s="10" t="n">
        <v>3</v>
      </c>
      <c r="D485" s="33" t="n">
        <v>0.13</v>
      </c>
    </row>
    <row r="486">
      <c r="A486" s="2" t="n">
        <v>484</v>
      </c>
      <c r="B486" s="2" t="inlineStr">
        <is>
          <t>PTA多 01-19</t>
        </is>
      </c>
      <c r="C486" s="10" t="n">
        <v>2</v>
      </c>
      <c r="D486" s="33" t="n">
        <v>0.29</v>
      </c>
    </row>
    <row r="487">
      <c r="A487" s="2" t="n">
        <v>485</v>
      </c>
      <c r="B487" s="2" t="inlineStr">
        <is>
          <t>玻璃多 01-20</t>
        </is>
      </c>
      <c r="C487" s="10" t="n">
        <v>3</v>
      </c>
      <c r="D487" s="33" t="n">
        <v>-0.91</v>
      </c>
    </row>
    <row r="488">
      <c r="A488" s="2" t="n">
        <v>486</v>
      </c>
      <c r="B488" s="2" t="inlineStr">
        <is>
          <t>沪金多 01-12</t>
        </is>
      </c>
      <c r="C488" s="10" t="n">
        <v>3</v>
      </c>
      <c r="D488" s="33" t="n">
        <v>0.42</v>
      </c>
    </row>
    <row r="489">
      <c r="A489" s="2" t="n">
        <v>487</v>
      </c>
      <c r="B489" s="2" t="inlineStr">
        <is>
          <t>棉花多 01-06</t>
        </is>
      </c>
      <c r="C489" s="10" t="n">
        <v>3</v>
      </c>
      <c r="D489" s="33" t="n">
        <v>0.97</v>
      </c>
    </row>
    <row r="490">
      <c r="A490" s="2" t="n">
        <v>488</v>
      </c>
      <c r="B490" s="2" t="inlineStr">
        <is>
          <t>纯碱多 02-01</t>
        </is>
      </c>
      <c r="C490" s="10" t="n">
        <v>3</v>
      </c>
      <c r="D490" s="33" t="n">
        <v>-0.19</v>
      </c>
    </row>
    <row r="491">
      <c r="A491" s="2" t="n">
        <v>489</v>
      </c>
      <c r="B491" s="2" t="inlineStr">
        <is>
          <t>甲醇多 01-20</t>
        </is>
      </c>
      <c r="C491" s="10" t="n">
        <v>2</v>
      </c>
      <c r="D491" s="33" t="n">
        <v>-0.8100000000000001</v>
      </c>
    </row>
    <row r="492">
      <c r="A492" s="2" t="n">
        <v>490</v>
      </c>
      <c r="B492" s="2" t="inlineStr">
        <is>
          <t>热卷多 01-30</t>
        </is>
      </c>
      <c r="C492" s="10" t="n">
        <v>3</v>
      </c>
      <c r="D492" s="33" t="n">
        <v>-0.96</v>
      </c>
    </row>
    <row r="493">
      <c r="A493" s="2" t="n">
        <v>491</v>
      </c>
      <c r="B493" s="2" t="inlineStr">
        <is>
          <t>螺纹钢多 01-30</t>
        </is>
      </c>
      <c r="C493" s="10" t="n">
        <v>2</v>
      </c>
      <c r="D493" s="33" t="n">
        <v>-0.76</v>
      </c>
    </row>
    <row r="494">
      <c r="A494" s="2" t="n">
        <v>492</v>
      </c>
      <c r="B494" s="2" t="inlineStr">
        <is>
          <t>沪金多 02-01</t>
        </is>
      </c>
      <c r="C494" s="10" t="n">
        <v>3</v>
      </c>
      <c r="D494" s="33" t="n">
        <v>-0.21</v>
      </c>
    </row>
    <row r="495">
      <c r="A495" s="2" t="n">
        <v>493</v>
      </c>
      <c r="B495" s="2" t="inlineStr">
        <is>
          <t>沪铝多 01-19</t>
        </is>
      </c>
      <c r="C495" s="10" t="n">
        <v>3</v>
      </c>
      <c r="D495" s="33" t="n">
        <v>0.06</v>
      </c>
    </row>
    <row r="496">
      <c r="A496" s="2" t="n">
        <v>494</v>
      </c>
      <c r="B496" s="2" t="inlineStr">
        <is>
          <t>纯碱多 02-03</t>
        </is>
      </c>
      <c r="C496" s="10" t="n">
        <v>3</v>
      </c>
      <c r="D496" s="33" t="n">
        <v>-0.18</v>
      </c>
    </row>
    <row r="497">
      <c r="A497" s="2" t="n">
        <v>495</v>
      </c>
      <c r="B497" s="2" t="inlineStr">
        <is>
          <t>玻璃空 02-07</t>
        </is>
      </c>
      <c r="C497" s="10" t="n">
        <v>2</v>
      </c>
      <c r="D497" s="33" t="n">
        <v>0.06</v>
      </c>
    </row>
    <row r="498">
      <c r="A498" s="2" t="n">
        <v>496</v>
      </c>
      <c r="B498" s="2" t="inlineStr">
        <is>
          <t>白糖空 02-07</t>
        </is>
      </c>
      <c r="C498" s="10" t="n">
        <v>2</v>
      </c>
      <c r="D498" s="33" t="n">
        <v>-0.09</v>
      </c>
    </row>
    <row r="499">
      <c r="A499" s="2" t="n">
        <v>497</v>
      </c>
      <c r="B499" s="2" t="inlineStr">
        <is>
          <t>铁矿石多 12-28</t>
        </is>
      </c>
      <c r="C499" s="10" t="n">
        <v>3</v>
      </c>
      <c r="D499" s="33" t="n">
        <v>0.52</v>
      </c>
    </row>
    <row r="500">
      <c r="A500" s="2" t="n">
        <v>498</v>
      </c>
      <c r="B500" s="2" t="inlineStr">
        <is>
          <t>甲醇空 02-08</t>
        </is>
      </c>
      <c r="C500" s="10" t="n">
        <v>3</v>
      </c>
      <c r="D500" s="33" t="n">
        <v>0.4</v>
      </c>
    </row>
    <row r="501">
      <c r="A501" s="2" t="n">
        <v>499</v>
      </c>
      <c r="B501" s="2" t="inlineStr">
        <is>
          <t>沪铝空 02-15</t>
        </is>
      </c>
      <c r="C501" s="10" t="n">
        <v>2</v>
      </c>
      <c r="D501" s="33" t="n">
        <v>-0.41</v>
      </c>
    </row>
    <row r="502">
      <c r="A502" s="2" t="n">
        <v>500</v>
      </c>
      <c r="B502" s="2" t="inlineStr">
        <is>
          <t>玻璃空 02-17</t>
        </is>
      </c>
      <c r="C502" s="10" t="n">
        <v>2</v>
      </c>
      <c r="D502" s="33" t="n">
        <v>-0.29</v>
      </c>
    </row>
    <row r="503">
      <c r="A503" s="2" t="n">
        <v>501</v>
      </c>
      <c r="B503" s="2" t="inlineStr">
        <is>
          <t>沪锌空 02-09</t>
        </is>
      </c>
      <c r="C503" s="10" t="n">
        <v>3</v>
      </c>
      <c r="D503" s="33" t="n">
        <v>-0.18</v>
      </c>
    </row>
    <row r="504">
      <c r="A504" s="2" t="n">
        <v>502</v>
      </c>
      <c r="B504" s="2" t="inlineStr">
        <is>
          <t>沪银空 02-13</t>
        </is>
      </c>
      <c r="C504" s="10" t="n">
        <v>3</v>
      </c>
      <c r="D504" s="33" t="n">
        <v>-0.06</v>
      </c>
    </row>
    <row r="505">
      <c r="A505" s="2" t="n">
        <v>503</v>
      </c>
      <c r="B505" s="2" t="inlineStr">
        <is>
          <t>沪铝多 02-20</t>
        </is>
      </c>
      <c r="C505" s="10" t="n">
        <v>2</v>
      </c>
      <c r="D505" s="33" t="n">
        <v>-0.14</v>
      </c>
    </row>
    <row r="506">
      <c r="A506" s="2" t="n">
        <v>504</v>
      </c>
      <c r="B506" s="2" t="inlineStr">
        <is>
          <t>豆油多 02-16</t>
        </is>
      </c>
      <c r="C506" s="10" t="n">
        <v>3</v>
      </c>
      <c r="D506" s="33" t="n">
        <v>0.37</v>
      </c>
    </row>
    <row r="507">
      <c r="A507" s="2" t="n">
        <v>505</v>
      </c>
      <c r="B507" s="2" t="inlineStr">
        <is>
          <t>PVC多 02-23</t>
        </is>
      </c>
      <c r="C507" s="10" t="n">
        <v>2</v>
      </c>
      <c r="D507" s="33" t="n">
        <v>0.1</v>
      </c>
    </row>
    <row r="508">
      <c r="A508" s="2" t="n">
        <v>506</v>
      </c>
      <c r="B508" s="2" t="inlineStr">
        <is>
          <t>铁矿石多 02-20</t>
        </is>
      </c>
      <c r="C508" s="10" t="n">
        <v>3</v>
      </c>
      <c r="D508" s="33" t="n">
        <v>-0.18</v>
      </c>
    </row>
    <row r="509">
      <c r="A509" s="2" t="n">
        <v>507</v>
      </c>
      <c r="B509" s="2" t="inlineStr">
        <is>
          <t>沪银空 02-27</t>
        </is>
      </c>
      <c r="C509" s="10" t="n">
        <v>3</v>
      </c>
      <c r="D509" s="33" t="n">
        <v>0.01</v>
      </c>
    </row>
    <row r="510">
      <c r="A510" s="2" t="n">
        <v>508</v>
      </c>
      <c r="B510" s="2" t="inlineStr">
        <is>
          <t>玉米多 02-20</t>
        </is>
      </c>
      <c r="C510" s="10" t="n">
        <v>3</v>
      </c>
      <c r="D510" s="33" t="n">
        <v>-0.29</v>
      </c>
    </row>
    <row r="511">
      <c r="A511" s="2" t="n">
        <v>509</v>
      </c>
      <c r="B511" s="2" t="inlineStr">
        <is>
          <t>PTA多 02-28</t>
        </is>
      </c>
      <c r="C511" s="10" t="n">
        <v>2</v>
      </c>
      <c r="D511" s="33" t="n">
        <v>0.34</v>
      </c>
    </row>
    <row r="512">
      <c r="A512" s="2" t="n">
        <v>510</v>
      </c>
      <c r="B512" s="2" t="inlineStr">
        <is>
          <t>沪镍空 02-24</t>
        </is>
      </c>
      <c r="C512" s="10" t="n">
        <v>3</v>
      </c>
      <c r="D512" s="33" t="n">
        <v>0.45</v>
      </c>
    </row>
    <row r="513">
      <c r="A513" s="2" t="n">
        <v>511</v>
      </c>
      <c r="B513" s="2" t="inlineStr">
        <is>
          <t>玻璃多 02-21</t>
        </is>
      </c>
      <c r="C513" s="10" t="n">
        <v>2</v>
      </c>
      <c r="D513" s="33" t="n">
        <v>0.26</v>
      </c>
    </row>
    <row r="514">
      <c r="A514" s="2" t="n">
        <v>512</v>
      </c>
      <c r="B514" s="2" t="inlineStr">
        <is>
          <t>棉花空 02-24</t>
        </is>
      </c>
      <c r="C514" s="10" t="n">
        <v>3</v>
      </c>
      <c r="D514" s="33" t="n">
        <v>-0.74</v>
      </c>
    </row>
    <row r="515">
      <c r="A515" s="2" t="n">
        <v>513</v>
      </c>
      <c r="B515" s="2" t="inlineStr">
        <is>
          <t>铁矿石多 03-01</t>
        </is>
      </c>
      <c r="C515" s="10" t="n">
        <v>3</v>
      </c>
      <c r="D515" s="33" t="n">
        <v>-0.18</v>
      </c>
    </row>
    <row r="516">
      <c r="A516" s="2" t="n">
        <v>514</v>
      </c>
      <c r="B516" s="2" t="inlineStr">
        <is>
          <t>燃料油多 03-02</t>
        </is>
      </c>
      <c r="C516" s="10" t="n">
        <v>2</v>
      </c>
      <c r="D516" s="33" t="n">
        <v>0.16</v>
      </c>
    </row>
    <row r="517">
      <c r="A517" s="2" t="n">
        <v>515</v>
      </c>
      <c r="B517" s="2" t="inlineStr">
        <is>
          <t>PVC多 03-03</t>
        </is>
      </c>
      <c r="C517" s="10" t="n">
        <v>2</v>
      </c>
      <c r="D517" s="33" t="n">
        <v>0.14</v>
      </c>
    </row>
    <row r="518">
      <c r="A518" s="2" t="n">
        <v>516</v>
      </c>
      <c r="B518" s="2" t="inlineStr">
        <is>
          <t>螺纹钢多 03-03</t>
        </is>
      </c>
      <c r="C518" s="10" t="n">
        <v>3</v>
      </c>
      <c r="D518" s="33" t="n">
        <v>0.21</v>
      </c>
    </row>
    <row r="519">
      <c r="A519" s="2" t="n">
        <v>517</v>
      </c>
      <c r="B519" s="2" t="inlineStr">
        <is>
          <t>沪锌空 03-06</t>
        </is>
      </c>
      <c r="C519" s="10" t="n">
        <v>2</v>
      </c>
      <c r="D519" s="33" t="n">
        <v>0.02</v>
      </c>
    </row>
    <row r="520">
      <c r="A520" s="2" t="n">
        <v>518</v>
      </c>
      <c r="B520" s="2" t="inlineStr">
        <is>
          <t>沪铝空 02-23</t>
        </is>
      </c>
      <c r="C520" s="10" t="n">
        <v>3</v>
      </c>
      <c r="D520" s="33" t="n">
        <v>0.45</v>
      </c>
    </row>
    <row r="521">
      <c r="A521" s="2" t="n">
        <v>519</v>
      </c>
      <c r="B521" s="2" t="inlineStr">
        <is>
          <t>热卷多 03-03</t>
        </is>
      </c>
      <c r="C521" s="10" t="n">
        <v>3</v>
      </c>
      <c r="D521" s="33" t="n">
        <v>0.22</v>
      </c>
    </row>
    <row r="522">
      <c r="A522" s="2" t="n">
        <v>520</v>
      </c>
      <c r="B522" s="2" t="inlineStr">
        <is>
          <t>白糖多 03-08</t>
        </is>
      </c>
      <c r="C522" s="10" t="n">
        <v>2</v>
      </c>
      <c r="D522" s="33" t="n">
        <v>0.68</v>
      </c>
    </row>
    <row r="523">
      <c r="A523" s="2" t="n">
        <v>521</v>
      </c>
      <c r="B523" s="2" t="inlineStr">
        <is>
          <t>塑料多 02-17</t>
        </is>
      </c>
      <c r="C523" s="10" t="n">
        <v>3</v>
      </c>
      <c r="D523" s="33" t="n">
        <v>-0.08</v>
      </c>
    </row>
    <row r="524">
      <c r="A524" s="2" t="n">
        <v>522</v>
      </c>
      <c r="B524" s="2" t="inlineStr">
        <is>
          <t>铁矿石多 03-07</t>
        </is>
      </c>
      <c r="C524" s="10" t="n">
        <v>3</v>
      </c>
      <c r="D524" s="33" t="n">
        <v>0.27</v>
      </c>
    </row>
    <row r="525">
      <c r="A525" s="2" t="n">
        <v>523</v>
      </c>
      <c r="B525" s="2" t="inlineStr">
        <is>
          <t>PTA多 03-08</t>
        </is>
      </c>
      <c r="C525" s="10" t="n">
        <v>2</v>
      </c>
      <c r="D525" s="33" t="n">
        <v>0</v>
      </c>
    </row>
    <row r="526">
      <c r="A526" s="2" t="n">
        <v>524</v>
      </c>
      <c r="B526" s="2" t="inlineStr">
        <is>
          <t>沪银空 03-02</t>
        </is>
      </c>
      <c r="C526" s="10" t="n">
        <v>2</v>
      </c>
      <c r="D526" s="33" t="n">
        <v>-0.74</v>
      </c>
    </row>
    <row r="527">
      <c r="A527" s="2" t="n">
        <v>525</v>
      </c>
      <c r="B527" s="2" t="inlineStr">
        <is>
          <t>沪金多 03-06</t>
        </is>
      </c>
      <c r="C527" s="10" t="n">
        <v>3</v>
      </c>
      <c r="D527" s="33" t="n">
        <v>0.66</v>
      </c>
    </row>
    <row r="528">
      <c r="A528" s="2" t="n">
        <v>526</v>
      </c>
      <c r="B528" s="2" t="inlineStr">
        <is>
          <t>沪镍空 03-08</t>
        </is>
      </c>
      <c r="C528" s="10" t="n">
        <v>3</v>
      </c>
      <c r="D528" s="33" t="n">
        <v>0.45</v>
      </c>
    </row>
    <row r="529">
      <c r="A529" s="2" t="n">
        <v>527</v>
      </c>
      <c r="B529" s="2" t="inlineStr">
        <is>
          <t>沥青空 03-10</t>
        </is>
      </c>
      <c r="C529" s="10" t="n">
        <v>2</v>
      </c>
      <c r="D529" s="33" t="n">
        <v>0.24</v>
      </c>
    </row>
    <row r="530">
      <c r="A530" s="2" t="n">
        <v>528</v>
      </c>
      <c r="B530" s="2" t="inlineStr">
        <is>
          <t>螺纹钢多 03-10</t>
        </is>
      </c>
      <c r="C530" s="10" t="n">
        <v>3</v>
      </c>
      <c r="D530" s="33" t="n">
        <v>0.23</v>
      </c>
    </row>
    <row r="531">
      <c r="A531" s="2" t="n">
        <v>529</v>
      </c>
      <c r="B531" s="2" t="inlineStr">
        <is>
          <t>白糖多 03-13</t>
        </is>
      </c>
      <c r="C531" s="10" t="n">
        <v>2</v>
      </c>
      <c r="D531" s="33" t="n">
        <v>-0.6899999999999999</v>
      </c>
    </row>
    <row r="532">
      <c r="A532" s="2" t="n">
        <v>530</v>
      </c>
      <c r="B532" s="2" t="inlineStr">
        <is>
          <t>菜粕多 03-07</t>
        </is>
      </c>
      <c r="C532" s="10" t="n">
        <v>2</v>
      </c>
      <c r="D532" s="33" t="n">
        <v>-0.64</v>
      </c>
    </row>
    <row r="533">
      <c r="A533" s="2" t="n">
        <v>531</v>
      </c>
      <c r="B533" s="2" t="inlineStr">
        <is>
          <t>铁矿石多 03-15</t>
        </is>
      </c>
      <c r="C533" s="10" t="n">
        <v>3</v>
      </c>
      <c r="D533" s="33" t="n">
        <v>0.05</v>
      </c>
    </row>
    <row r="534">
      <c r="A534" s="2" t="n">
        <v>532</v>
      </c>
      <c r="B534" s="2" t="inlineStr">
        <is>
          <t>豆油空 03-15</t>
        </is>
      </c>
      <c r="C534" s="10" t="n">
        <v>3</v>
      </c>
      <c r="D534" s="33" t="n">
        <v>0.24</v>
      </c>
    </row>
    <row r="535">
      <c r="A535" s="2" t="n">
        <v>533</v>
      </c>
      <c r="B535" s="2" t="inlineStr">
        <is>
          <t>燃料油空 03-16</t>
        </is>
      </c>
      <c r="C535" s="10" t="n">
        <v>3</v>
      </c>
      <c r="D535" s="33" t="n">
        <v>0.06</v>
      </c>
    </row>
    <row r="536">
      <c r="A536" s="2" t="n">
        <v>534</v>
      </c>
      <c r="B536" s="2" t="inlineStr">
        <is>
          <t>沪金多 03-16</t>
        </is>
      </c>
      <c r="C536" s="10" t="n">
        <v>3</v>
      </c>
      <c r="D536" s="33" t="n">
        <v>0.97</v>
      </c>
    </row>
    <row r="537">
      <c r="A537" s="2" t="n">
        <v>535</v>
      </c>
      <c r="B537" s="2" t="inlineStr">
        <is>
          <t>乙二醇空 03-09</t>
        </is>
      </c>
      <c r="C537" s="10" t="n">
        <v>3</v>
      </c>
      <c r="D537" s="33" t="n">
        <v>0.54</v>
      </c>
    </row>
    <row r="538">
      <c r="A538" s="2" t="n">
        <v>536</v>
      </c>
      <c r="B538" s="2" t="inlineStr">
        <is>
          <t>菜粕空 03-17</t>
        </is>
      </c>
      <c r="C538" s="10" t="n">
        <v>3</v>
      </c>
      <c r="D538" s="33" t="n">
        <v>0.5</v>
      </c>
    </row>
    <row r="539">
      <c r="A539" s="2" t="n">
        <v>537</v>
      </c>
      <c r="B539" s="2" t="inlineStr">
        <is>
          <t>塑料空 03-15</t>
        </is>
      </c>
      <c r="C539" s="10" t="n">
        <v>2</v>
      </c>
      <c r="D539" s="33" t="n">
        <v>0.27</v>
      </c>
    </row>
    <row r="540">
      <c r="A540" s="2" t="n">
        <v>538</v>
      </c>
      <c r="B540" s="2" t="inlineStr">
        <is>
          <t>聚丙烯空 03-15</t>
        </is>
      </c>
      <c r="C540" s="10" t="n">
        <v>3</v>
      </c>
      <c r="D540" s="33" t="n">
        <v>0.3</v>
      </c>
    </row>
    <row r="541">
      <c r="A541" s="2" t="n">
        <v>539</v>
      </c>
      <c r="B541" s="2" t="inlineStr">
        <is>
          <t>豆油空 03-20</t>
        </is>
      </c>
      <c r="C541" s="10" t="n">
        <v>3</v>
      </c>
      <c r="D541" s="33" t="n">
        <v>0.59</v>
      </c>
    </row>
    <row r="542">
      <c r="A542" s="2" t="n">
        <v>540</v>
      </c>
      <c r="B542" s="2" t="inlineStr">
        <is>
          <t>燃料油空 03-20</t>
        </is>
      </c>
      <c r="C542" s="10" t="n">
        <v>3</v>
      </c>
      <c r="D542" s="33" t="n">
        <v>-0.06</v>
      </c>
    </row>
    <row r="543">
      <c r="A543" s="2" t="n">
        <v>541</v>
      </c>
      <c r="B543" s="2" t="inlineStr">
        <is>
          <t>沪锌空 03-20</t>
        </is>
      </c>
      <c r="C543" s="10" t="n">
        <v>3</v>
      </c>
      <c r="D543" s="33" t="n">
        <v>-0.19</v>
      </c>
    </row>
    <row r="544">
      <c r="A544" s="2" t="n">
        <v>542</v>
      </c>
      <c r="B544" s="2" t="inlineStr">
        <is>
          <t>棕榈油空 03-23</t>
        </is>
      </c>
      <c r="C544" s="10" t="n">
        <v>3</v>
      </c>
      <c r="D544" s="33" t="n">
        <v>-0.2</v>
      </c>
    </row>
    <row r="545">
      <c r="A545" s="2" t="n">
        <v>543</v>
      </c>
      <c r="B545" s="2" t="inlineStr">
        <is>
          <t>玉米空 03-16</t>
        </is>
      </c>
      <c r="C545" s="10" t="n">
        <v>2</v>
      </c>
      <c r="D545" s="33" t="n">
        <v>1.77</v>
      </c>
    </row>
    <row r="546">
      <c r="A546" s="2" t="n">
        <v>544</v>
      </c>
      <c r="B546" s="2" t="inlineStr">
        <is>
          <t>沪银多 03-23</t>
        </is>
      </c>
      <c r="C546" s="10" t="n">
        <v>3</v>
      </c>
      <c r="D546" s="33" t="n">
        <v>0.06</v>
      </c>
    </row>
    <row r="547">
      <c r="A547" s="2" t="n">
        <v>545</v>
      </c>
      <c r="B547" s="2" t="inlineStr">
        <is>
          <t>豆油空 03-24</t>
        </is>
      </c>
      <c r="C547" s="10" t="n">
        <v>3</v>
      </c>
      <c r="D547" s="33" t="n">
        <v>-0.21</v>
      </c>
    </row>
    <row r="548">
      <c r="A548" s="2" t="n">
        <v>546</v>
      </c>
      <c r="B548" s="2" t="inlineStr">
        <is>
          <t>沪金多 03-24</t>
        </is>
      </c>
      <c r="C548" s="10" t="n">
        <v>3</v>
      </c>
      <c r="D548" s="33" t="n">
        <v>-0.2</v>
      </c>
    </row>
    <row r="549">
      <c r="A549" s="2" t="n">
        <v>547</v>
      </c>
      <c r="B549" s="2" t="inlineStr">
        <is>
          <t>菜粕空 03-24</t>
        </is>
      </c>
      <c r="C549" s="10" t="n">
        <v>3</v>
      </c>
      <c r="D549" s="33" t="n">
        <v>-0.14</v>
      </c>
    </row>
    <row r="550">
      <c r="A550" s="2" t="n">
        <v>548</v>
      </c>
      <c r="B550" s="2" t="inlineStr">
        <is>
          <t>白糖多 03-28</t>
        </is>
      </c>
      <c r="C550" s="10" t="n">
        <v>3</v>
      </c>
      <c r="D550" s="33" t="n">
        <v>0.64</v>
      </c>
    </row>
    <row r="551">
      <c r="A551" s="2" t="n">
        <v>549</v>
      </c>
      <c r="B551" s="2" t="inlineStr">
        <is>
          <t>玻璃多 03-28</t>
        </is>
      </c>
      <c r="C551" s="10" t="n">
        <v>3</v>
      </c>
      <c r="D551" s="33" t="n">
        <v>-0.24</v>
      </c>
    </row>
    <row r="552">
      <c r="A552" s="2" t="n">
        <v>550</v>
      </c>
      <c r="B552" s="2" t="inlineStr">
        <is>
          <t>沪银多 03-29</t>
        </is>
      </c>
      <c r="C552" s="10" t="n">
        <v>3</v>
      </c>
      <c r="D552" s="33" t="n">
        <v>0.34</v>
      </c>
    </row>
    <row r="553">
      <c r="A553" s="2" t="n">
        <v>551</v>
      </c>
      <c r="B553" s="2" t="inlineStr">
        <is>
          <t>燃料油多 03-30</t>
        </is>
      </c>
      <c r="C553" s="10" t="n">
        <v>2</v>
      </c>
      <c r="D553" s="33" t="n">
        <v>0.02</v>
      </c>
    </row>
    <row r="554">
      <c r="A554" s="2" t="n">
        <v>552</v>
      </c>
      <c r="B554" s="2" t="inlineStr">
        <is>
          <t>乙二醇空 03-24</t>
        </is>
      </c>
      <c r="C554" s="10" t="n">
        <v>3</v>
      </c>
      <c r="D554" s="33" t="n">
        <v>-0.85</v>
      </c>
    </row>
    <row r="555">
      <c r="A555" s="2" t="n">
        <v>553</v>
      </c>
      <c r="B555" s="2" t="inlineStr">
        <is>
          <t>豆粕空 03-24</t>
        </is>
      </c>
      <c r="C555" s="10" t="n">
        <v>3</v>
      </c>
      <c r="D555" s="33" t="n">
        <v>-0.8100000000000001</v>
      </c>
    </row>
    <row r="556">
      <c r="A556" s="2" t="n">
        <v>554</v>
      </c>
      <c r="B556" s="2" t="inlineStr">
        <is>
          <t>沥青多 03-31</t>
        </is>
      </c>
      <c r="C556" s="10" t="n">
        <v>2</v>
      </c>
      <c r="D556" s="33" t="n">
        <v>0.65</v>
      </c>
    </row>
    <row r="557">
      <c r="A557" s="2" t="n">
        <v>555</v>
      </c>
      <c r="B557" s="2" t="inlineStr">
        <is>
          <t>菜粕空 03-31</t>
        </is>
      </c>
      <c r="C557" s="10" t="n">
        <v>3</v>
      </c>
      <c r="D557" s="33" t="n">
        <v>-0.74</v>
      </c>
    </row>
    <row r="558">
      <c r="A558" s="2" t="n">
        <v>556</v>
      </c>
      <c r="B558" s="2" t="inlineStr">
        <is>
          <t>玉米空 04-03</t>
        </is>
      </c>
      <c r="C558" s="10" t="n">
        <v>2</v>
      </c>
      <c r="D558" s="33" t="n">
        <v>0.08</v>
      </c>
    </row>
    <row r="559">
      <c r="A559" s="2" t="n">
        <v>557</v>
      </c>
      <c r="B559" s="2" t="inlineStr">
        <is>
          <t>硅铁空 04-03</t>
        </is>
      </c>
      <c r="C559" s="10" t="n">
        <v>2</v>
      </c>
      <c r="D559" s="33" t="n">
        <v>0.24</v>
      </c>
    </row>
    <row r="560">
      <c r="A560" s="2" t="n">
        <v>558</v>
      </c>
      <c r="B560" s="2" t="inlineStr">
        <is>
          <t>甲醇空 02-28</t>
        </is>
      </c>
      <c r="C560" s="10" t="n">
        <v>2</v>
      </c>
      <c r="D560" s="33" t="n">
        <v>1.74</v>
      </c>
    </row>
    <row r="561">
      <c r="A561" s="2" t="n">
        <v>559</v>
      </c>
      <c r="B561" s="2" t="inlineStr">
        <is>
          <t>棕榈油多 03-30</t>
        </is>
      </c>
      <c r="C561" s="10" t="n">
        <v>2</v>
      </c>
      <c r="D561" s="33" t="n">
        <v>-0.02</v>
      </c>
    </row>
    <row r="562">
      <c r="A562" s="2" t="n">
        <v>560</v>
      </c>
      <c r="B562" s="2" t="inlineStr">
        <is>
          <t>沪金多 03-31</t>
        </is>
      </c>
      <c r="C562" s="10" t="n">
        <v>3</v>
      </c>
      <c r="D562" s="33" t="n">
        <v>0.07000000000000001</v>
      </c>
    </row>
    <row r="563">
      <c r="A563" s="2" t="n">
        <v>561</v>
      </c>
      <c r="B563" s="2" t="inlineStr">
        <is>
          <t>短纤多 04-04</t>
        </is>
      </c>
      <c r="C563" s="10" t="n">
        <v>2</v>
      </c>
      <c r="D563" s="33" t="n">
        <v>-0.32</v>
      </c>
    </row>
    <row r="564">
      <c r="A564" s="2" t="n">
        <v>562</v>
      </c>
      <c r="B564" s="2" t="inlineStr">
        <is>
          <t>沪铝空 04-10</t>
        </is>
      </c>
      <c r="C564" s="10" t="n">
        <v>3</v>
      </c>
      <c r="D564" s="33" t="n">
        <v>0.21</v>
      </c>
    </row>
    <row r="565">
      <c r="A565" s="2" t="n">
        <v>563</v>
      </c>
      <c r="B565" s="2" t="inlineStr">
        <is>
          <t>燃料油多 04-11</t>
        </is>
      </c>
      <c r="C565" s="10" t="n">
        <v>2</v>
      </c>
      <c r="D565" s="33" t="n">
        <v>0.28</v>
      </c>
    </row>
    <row r="566">
      <c r="A566" s="2" t="n">
        <v>564</v>
      </c>
      <c r="B566" s="2" t="inlineStr">
        <is>
          <t>沥青多 04-11</t>
        </is>
      </c>
      <c r="C566" s="10" t="n">
        <v>2</v>
      </c>
      <c r="D566" s="33" t="n">
        <v>0.35</v>
      </c>
    </row>
    <row r="567">
      <c r="A567" s="2" t="n">
        <v>565</v>
      </c>
      <c r="B567" s="2" t="inlineStr">
        <is>
          <t>菜粕空 04-12</t>
        </is>
      </c>
      <c r="C567" s="10" t="n">
        <v>3</v>
      </c>
      <c r="D567" s="33" t="n">
        <v>-0.24</v>
      </c>
    </row>
    <row r="568">
      <c r="A568" s="2" t="n">
        <v>566</v>
      </c>
      <c r="B568" s="2" t="inlineStr">
        <is>
          <t>白糖多 04-03</t>
        </is>
      </c>
      <c r="C568" s="10" t="n">
        <v>3</v>
      </c>
      <c r="D568" s="33" t="n">
        <v>0.78</v>
      </c>
    </row>
    <row r="569">
      <c r="A569" s="2" t="n">
        <v>567</v>
      </c>
      <c r="B569" s="2" t="inlineStr">
        <is>
          <t>沪银多 04-06</t>
        </is>
      </c>
      <c r="C569" s="10" t="n">
        <v>3</v>
      </c>
      <c r="D569" s="33" t="n">
        <v>0.71</v>
      </c>
    </row>
    <row r="570">
      <c r="A570" s="2" t="n">
        <v>568</v>
      </c>
      <c r="B570" s="2" t="inlineStr">
        <is>
          <t>玻璃多 04-06</t>
        </is>
      </c>
      <c r="C570" s="10" t="n">
        <v>3</v>
      </c>
      <c r="D570" s="33" t="n">
        <v>0.48</v>
      </c>
    </row>
    <row r="571">
      <c r="A571" s="2" t="n">
        <v>569</v>
      </c>
      <c r="B571" s="2" t="inlineStr">
        <is>
          <t>尿素空 04-13</t>
        </is>
      </c>
      <c r="C571" s="10" t="n">
        <v>3</v>
      </c>
      <c r="D571" s="33" t="n">
        <v>0.14</v>
      </c>
    </row>
    <row r="572">
      <c r="A572" s="2" t="n">
        <v>570</v>
      </c>
      <c r="B572" s="2" t="inlineStr">
        <is>
          <t>螺纹钢空 04-14</t>
        </is>
      </c>
      <c r="C572" s="10" t="n">
        <v>2</v>
      </c>
      <c r="D572" s="33" t="n">
        <v>-0.2</v>
      </c>
    </row>
    <row r="573">
      <c r="A573" s="2" t="n">
        <v>571</v>
      </c>
      <c r="B573" s="2" t="inlineStr">
        <is>
          <t>棕榈油空 04-14</t>
        </is>
      </c>
      <c r="C573" s="10" t="n">
        <v>2</v>
      </c>
      <c r="D573" s="33" t="n">
        <v>-0.3</v>
      </c>
    </row>
    <row r="574">
      <c r="A574" s="2" t="n">
        <v>572</v>
      </c>
      <c r="B574" s="2" t="inlineStr">
        <is>
          <t>玻璃多 04-18</t>
        </is>
      </c>
      <c r="C574" s="10" t="n">
        <v>3</v>
      </c>
      <c r="D574" s="33" t="n">
        <v>0.02</v>
      </c>
    </row>
    <row r="575">
      <c r="A575" s="2" t="n">
        <v>573</v>
      </c>
      <c r="B575" s="2" t="inlineStr">
        <is>
          <t>沥青多 04-14</t>
        </is>
      </c>
      <c r="C575" s="10" t="n">
        <v>2</v>
      </c>
      <c r="D575" s="33" t="n">
        <v>-0.8100000000000001</v>
      </c>
    </row>
    <row r="576">
      <c r="A576" s="2" t="n">
        <v>574</v>
      </c>
      <c r="B576" s="2" t="inlineStr">
        <is>
          <t>螺纹钢多 04-18</t>
        </is>
      </c>
      <c r="C576" s="10" t="n">
        <v>2</v>
      </c>
      <c r="D576" s="33" t="n">
        <v>-0.5600000000000001</v>
      </c>
    </row>
    <row r="577">
      <c r="A577" s="2" t="n">
        <v>575</v>
      </c>
      <c r="B577" s="2" t="inlineStr">
        <is>
          <t>玻璃多 04-20</t>
        </is>
      </c>
      <c r="C577" s="10" t="n">
        <v>3</v>
      </c>
      <c r="D577" s="33" t="n">
        <v>-0.39</v>
      </c>
    </row>
    <row r="578">
      <c r="A578" s="2" t="n">
        <v>576</v>
      </c>
      <c r="B578" s="2" t="inlineStr">
        <is>
          <t>甲醇多 04-20</t>
        </is>
      </c>
      <c r="C578" s="10" t="n">
        <v>2</v>
      </c>
      <c r="D578" s="33" t="n">
        <v>0.03</v>
      </c>
    </row>
    <row r="579">
      <c r="A579" s="2" t="n">
        <v>577</v>
      </c>
      <c r="B579" s="2" t="inlineStr">
        <is>
          <t>聚丙烯多 04-19</t>
        </is>
      </c>
      <c r="C579" s="10" t="n">
        <v>2</v>
      </c>
      <c r="D579" s="33" t="n">
        <v>-0.05</v>
      </c>
    </row>
    <row r="580">
      <c r="A580" s="2" t="n">
        <v>578</v>
      </c>
      <c r="B580" s="2" t="inlineStr">
        <is>
          <t>PVC空 04-04</t>
        </is>
      </c>
      <c r="C580" s="10" t="n">
        <v>2</v>
      </c>
      <c r="D580" s="33" t="n">
        <v>0.43</v>
      </c>
    </row>
    <row r="581">
      <c r="A581" s="2" t="n">
        <v>579</v>
      </c>
      <c r="B581" s="2" t="inlineStr">
        <is>
          <t>塑料多 04-14</t>
        </is>
      </c>
      <c r="C581" s="10" t="n">
        <v>3</v>
      </c>
      <c r="D581" s="33" t="n">
        <v>0.44</v>
      </c>
    </row>
    <row r="582">
      <c r="A582" s="2" t="n">
        <v>580</v>
      </c>
      <c r="B582" s="2" t="inlineStr">
        <is>
          <t>白糖多 04-19</t>
        </is>
      </c>
      <c r="C582" s="10" t="n">
        <v>3</v>
      </c>
      <c r="D582" s="33" t="n">
        <v>0.18</v>
      </c>
    </row>
    <row r="583">
      <c r="A583" s="2" t="n">
        <v>581</v>
      </c>
      <c r="B583" s="2" t="inlineStr">
        <is>
          <t>螺纹钢空 04-21</t>
        </is>
      </c>
      <c r="C583" s="10" t="n">
        <v>3</v>
      </c>
      <c r="D583" s="33" t="n">
        <v>0.36</v>
      </c>
    </row>
    <row r="584">
      <c r="A584" s="2" t="n">
        <v>582</v>
      </c>
      <c r="B584" s="2" t="inlineStr">
        <is>
          <t>热卷空 04-25</t>
        </is>
      </c>
      <c r="C584" s="10" t="n">
        <v>3</v>
      </c>
      <c r="D584" s="33" t="n">
        <v>0</v>
      </c>
    </row>
    <row r="585">
      <c r="A585" s="2" t="n">
        <v>583</v>
      </c>
      <c r="B585" s="2" t="inlineStr">
        <is>
          <t>沪锌空 04-25</t>
        </is>
      </c>
      <c r="C585" s="10" t="n">
        <v>3</v>
      </c>
      <c r="D585" s="33" t="n">
        <v>0.15</v>
      </c>
    </row>
    <row r="586">
      <c r="A586" s="2" t="n">
        <v>584</v>
      </c>
      <c r="B586" s="2" t="inlineStr">
        <is>
          <t>纯碱空 04-20</t>
        </is>
      </c>
      <c r="C586" s="10" t="n">
        <v>2</v>
      </c>
      <c r="D586" s="33" t="n">
        <v>0.51</v>
      </c>
    </row>
    <row r="587">
      <c r="A587" s="2" t="n">
        <v>585</v>
      </c>
      <c r="B587" s="2" t="inlineStr">
        <is>
          <t>玻璃多 04-25</t>
        </is>
      </c>
      <c r="C587" s="10" t="n">
        <v>3</v>
      </c>
      <c r="D587" s="33" t="n">
        <v>-0.26</v>
      </c>
    </row>
    <row r="588">
      <c r="A588" s="2" t="n">
        <v>586</v>
      </c>
      <c r="B588" s="2" t="inlineStr">
        <is>
          <t>短纤空 04-26</t>
        </is>
      </c>
      <c r="C588" s="10" t="n">
        <v>2</v>
      </c>
      <c r="D588" s="33" t="n">
        <v>0.08</v>
      </c>
    </row>
    <row r="589">
      <c r="A589" s="2" t="n">
        <v>587</v>
      </c>
      <c r="B589" s="2" t="inlineStr">
        <is>
          <t>铁矿石空 04-27</t>
        </is>
      </c>
      <c r="C589" s="10" t="n">
        <v>3</v>
      </c>
      <c r="D589" s="33" t="n">
        <v>0.19</v>
      </c>
    </row>
    <row r="590">
      <c r="A590" s="2" t="n">
        <v>588</v>
      </c>
      <c r="B590" s="2" t="inlineStr">
        <is>
          <t>棉花多 05-04</t>
        </is>
      </c>
      <c r="C590" s="10" t="n">
        <v>2</v>
      </c>
      <c r="D590" s="33" t="n">
        <v>0.24</v>
      </c>
    </row>
    <row r="591">
      <c r="A591" s="2" t="n">
        <v>589</v>
      </c>
      <c r="B591" s="2" t="inlineStr">
        <is>
          <t>豆粕空 04-10</t>
        </is>
      </c>
      <c r="C591" s="10" t="n">
        <v>3</v>
      </c>
      <c r="D591" s="33" t="n">
        <v>0.17</v>
      </c>
    </row>
    <row r="592">
      <c r="A592" s="2" t="n">
        <v>590</v>
      </c>
      <c r="B592" s="2" t="inlineStr">
        <is>
          <t>热卷空 04-28</t>
        </is>
      </c>
      <c r="C592" s="10" t="n">
        <v>3</v>
      </c>
      <c r="D592" s="33" t="n">
        <v>-0.5</v>
      </c>
    </row>
    <row r="593">
      <c r="A593" s="2" t="n">
        <v>591</v>
      </c>
      <c r="B593" s="2" t="inlineStr">
        <is>
          <t>棕榈油空 04-28</t>
        </is>
      </c>
      <c r="C593" s="10" t="n">
        <v>3</v>
      </c>
      <c r="D593" s="33" t="n">
        <v>-0.67</v>
      </c>
    </row>
    <row r="594">
      <c r="A594" s="2" t="n">
        <v>592</v>
      </c>
      <c r="B594" s="2" t="inlineStr">
        <is>
          <t>沪锌空 04-28</t>
        </is>
      </c>
      <c r="C594" s="10" t="n">
        <v>3</v>
      </c>
      <c r="D594" s="33" t="n">
        <v>-0.17</v>
      </c>
    </row>
    <row r="595">
      <c r="A595" s="2" t="n">
        <v>593</v>
      </c>
      <c r="B595" s="2" t="inlineStr">
        <is>
          <t>玉米空 05-05</t>
        </is>
      </c>
      <c r="C595" s="10" t="n">
        <v>2</v>
      </c>
      <c r="D595" s="33" t="n">
        <v>-0.32</v>
      </c>
    </row>
    <row r="596">
      <c r="A596" s="2" t="n">
        <v>594</v>
      </c>
      <c r="B596" s="2" t="inlineStr">
        <is>
          <t>PVC空 04-27</t>
        </is>
      </c>
      <c r="C596" s="10" t="n">
        <v>2</v>
      </c>
      <c r="D596" s="33" t="n">
        <v>0.55</v>
      </c>
    </row>
    <row r="597">
      <c r="A597" s="2" t="n">
        <v>595</v>
      </c>
      <c r="B597" s="2" t="inlineStr">
        <is>
          <t>硅铁空 05-09</t>
        </is>
      </c>
      <c r="C597" s="10" t="n">
        <v>2</v>
      </c>
      <c r="D597" s="33" t="n">
        <v>0.1</v>
      </c>
    </row>
    <row r="598">
      <c r="A598" s="2" t="n">
        <v>596</v>
      </c>
      <c r="B598" s="2" t="inlineStr">
        <is>
          <t>纯碱空 05-09</t>
        </is>
      </c>
      <c r="C598" s="10" t="n">
        <v>3</v>
      </c>
      <c r="D598" s="33" t="n">
        <v>0.5</v>
      </c>
    </row>
    <row r="599">
      <c r="A599" s="2" t="n">
        <v>597</v>
      </c>
      <c r="B599" s="2" t="inlineStr">
        <is>
          <t>沪铜空 05-11</t>
        </is>
      </c>
      <c r="C599" s="10" t="n">
        <v>3</v>
      </c>
      <c r="D599" s="33" t="n">
        <v>0.07000000000000001</v>
      </c>
    </row>
    <row r="600">
      <c r="A600" s="2" t="n">
        <v>598</v>
      </c>
      <c r="B600" s="2" t="inlineStr">
        <is>
          <t>豆油空 04-28</t>
        </is>
      </c>
      <c r="C600" s="10" t="n">
        <v>3</v>
      </c>
      <c r="D600" s="33" t="n">
        <v>0.25</v>
      </c>
    </row>
    <row r="601">
      <c r="A601" s="2" t="n">
        <v>599</v>
      </c>
      <c r="B601" s="2" t="inlineStr">
        <is>
          <t>玻璃空 05-09</t>
        </is>
      </c>
      <c r="C601" s="10" t="n">
        <v>2</v>
      </c>
      <c r="D601" s="33" t="n">
        <v>0.27</v>
      </c>
    </row>
    <row r="602">
      <c r="A602" s="2" t="n">
        <v>600</v>
      </c>
      <c r="B602" s="2" t="inlineStr">
        <is>
          <t>沪铝空 05-12</t>
        </is>
      </c>
      <c r="C602" s="10" t="n">
        <v>3</v>
      </c>
      <c r="D602" s="33" t="n">
        <v>-0.16</v>
      </c>
    </row>
    <row r="603">
      <c r="A603" s="2" t="n">
        <v>601</v>
      </c>
      <c r="B603" s="2" t="inlineStr">
        <is>
          <t>沪锌空 05-12</t>
        </is>
      </c>
      <c r="C603" s="10" t="n">
        <v>3</v>
      </c>
      <c r="D603" s="33" t="n">
        <v>-0.11</v>
      </c>
    </row>
    <row r="604">
      <c r="A604" s="2" t="n">
        <v>602</v>
      </c>
      <c r="B604" s="2" t="inlineStr">
        <is>
          <t>PTA空 05-10</t>
        </is>
      </c>
      <c r="C604" s="10" t="n">
        <v>3</v>
      </c>
      <c r="D604" s="33" t="n">
        <v>0.53</v>
      </c>
    </row>
    <row r="605">
      <c r="A605" s="2" t="n">
        <v>603</v>
      </c>
      <c r="B605" s="2" t="inlineStr">
        <is>
          <t>硅铁空 05-16</t>
        </is>
      </c>
      <c r="C605" s="10" t="n">
        <v>3</v>
      </c>
      <c r="D605" s="33" t="n">
        <v>-0.03</v>
      </c>
    </row>
    <row r="606">
      <c r="A606" s="2" t="n">
        <v>604</v>
      </c>
      <c r="B606" s="2" t="inlineStr">
        <is>
          <t>沪锌空 05-16</t>
        </is>
      </c>
      <c r="C606" s="10" t="n">
        <v>3</v>
      </c>
      <c r="D606" s="33" t="n">
        <v>0.61</v>
      </c>
    </row>
    <row r="607">
      <c r="A607" s="2" t="n">
        <v>605</v>
      </c>
      <c r="B607" s="2" t="inlineStr">
        <is>
          <t>聚丙烯空 05-15</t>
        </is>
      </c>
      <c r="C607" s="10" t="n">
        <v>3</v>
      </c>
      <c r="D607" s="33" t="n">
        <v>0.59</v>
      </c>
    </row>
    <row r="608">
      <c r="A608" s="2" t="n">
        <v>606</v>
      </c>
      <c r="B608" s="2" t="inlineStr">
        <is>
          <t>乙二醇空 05-23</t>
        </is>
      </c>
      <c r="C608" s="10" t="n">
        <v>3</v>
      </c>
      <c r="D608" s="33" t="n">
        <v>0.19</v>
      </c>
    </row>
    <row r="609">
      <c r="A609" s="2" t="n">
        <v>607</v>
      </c>
      <c r="B609" s="2" t="inlineStr">
        <is>
          <t>尿素空 05-24</t>
        </is>
      </c>
      <c r="C609" s="10" t="n">
        <v>3</v>
      </c>
      <c r="D609" s="33" t="n">
        <v>-0.12</v>
      </c>
    </row>
    <row r="610">
      <c r="A610" s="2" t="n">
        <v>608</v>
      </c>
      <c r="B610" s="2" t="inlineStr">
        <is>
          <t>PVC空 05-24</t>
        </is>
      </c>
      <c r="C610" s="10" t="n">
        <v>3</v>
      </c>
      <c r="D610" s="33" t="n">
        <v>-0.23</v>
      </c>
    </row>
    <row r="611">
      <c r="A611" s="2" t="n">
        <v>609</v>
      </c>
      <c r="B611" s="2" t="inlineStr">
        <is>
          <t>白糖多 05-08</t>
        </is>
      </c>
      <c r="C611" s="10" t="n">
        <v>3</v>
      </c>
      <c r="D611" s="33" t="n">
        <v>-0.14</v>
      </c>
    </row>
    <row r="612">
      <c r="A612" s="2" t="n">
        <v>610</v>
      </c>
      <c r="B612" s="2" t="inlineStr">
        <is>
          <t>玉米空 05-10</t>
        </is>
      </c>
      <c r="C612" s="10" t="n">
        <v>3</v>
      </c>
      <c r="D612" s="33" t="n">
        <v>-0.37</v>
      </c>
    </row>
    <row r="613">
      <c r="A613" s="2" t="n">
        <v>611</v>
      </c>
      <c r="B613" s="2" t="inlineStr">
        <is>
          <t>沪铝空 05-23</t>
        </is>
      </c>
      <c r="C613" s="10" t="n">
        <v>3</v>
      </c>
      <c r="D613" s="33" t="n">
        <v>-0.28</v>
      </c>
    </row>
    <row r="614">
      <c r="A614" s="2" t="n">
        <v>612</v>
      </c>
      <c r="B614" s="2" t="inlineStr">
        <is>
          <t>纯碱空 05-25</t>
        </is>
      </c>
      <c r="C614" s="10" t="n">
        <v>3</v>
      </c>
      <c r="D614" s="33" t="n">
        <v>-0.17</v>
      </c>
    </row>
    <row r="615">
      <c r="A615" s="2" t="n">
        <v>613</v>
      </c>
      <c r="B615" s="2" t="inlineStr">
        <is>
          <t>沪铝多 05-26</t>
        </is>
      </c>
      <c r="C615" s="10" t="n">
        <v>2</v>
      </c>
      <c r="D615" s="33" t="n">
        <v>-0.09</v>
      </c>
    </row>
    <row r="616">
      <c r="A616" s="2" t="n">
        <v>614</v>
      </c>
      <c r="B616" s="2" t="inlineStr">
        <is>
          <t>尿素空 05-26</t>
        </is>
      </c>
      <c r="C616" s="10" t="n">
        <v>3</v>
      </c>
      <c r="D616" s="33" t="n">
        <v>0.06</v>
      </c>
    </row>
    <row r="617">
      <c r="A617" s="2" t="n">
        <v>615</v>
      </c>
      <c r="B617" s="2" t="inlineStr">
        <is>
          <t>豆粕空 05-29</t>
        </is>
      </c>
      <c r="C617" s="10" t="n">
        <v>2</v>
      </c>
      <c r="D617" s="33" t="n">
        <v>0.04</v>
      </c>
    </row>
    <row r="618">
      <c r="A618" s="2" t="n">
        <v>616</v>
      </c>
      <c r="B618" s="2" t="inlineStr">
        <is>
          <t>纯碱空 05-30</t>
        </is>
      </c>
      <c r="C618" s="10" t="n">
        <v>3</v>
      </c>
      <c r="D618" s="33" t="n">
        <v>-0.09</v>
      </c>
    </row>
    <row r="619">
      <c r="A619" s="2" t="n">
        <v>617</v>
      </c>
      <c r="B619" s="2" t="inlineStr">
        <is>
          <t>豆油空 05-17</t>
        </is>
      </c>
      <c r="C619" s="10" t="n">
        <v>3</v>
      </c>
      <c r="D619" s="33" t="n">
        <v>0.32</v>
      </c>
    </row>
    <row r="620">
      <c r="A620" s="2" t="n">
        <v>618</v>
      </c>
      <c r="B620" s="2" t="inlineStr">
        <is>
          <t>玉米多 05-31</t>
        </is>
      </c>
      <c r="C620" s="10" t="n">
        <v>2</v>
      </c>
      <c r="D620" s="33" t="n">
        <v>0.23</v>
      </c>
    </row>
    <row r="621">
      <c r="A621" s="2" t="n">
        <v>619</v>
      </c>
      <c r="B621" s="2" t="inlineStr">
        <is>
          <t>乙二醇空 05-31</t>
        </is>
      </c>
      <c r="C621" s="10" t="n">
        <v>3</v>
      </c>
      <c r="D621" s="33" t="n">
        <v>-0.37</v>
      </c>
    </row>
    <row r="622">
      <c r="A622" s="2" t="n">
        <v>620</v>
      </c>
      <c r="B622" s="2" t="inlineStr">
        <is>
          <t>玻璃空 05-29</t>
        </is>
      </c>
      <c r="C622" s="10" t="n">
        <v>3</v>
      </c>
      <c r="D622" s="33" t="n">
        <v>-0.61</v>
      </c>
    </row>
    <row r="623">
      <c r="A623" s="2" t="n">
        <v>621</v>
      </c>
      <c r="B623" s="2" t="inlineStr">
        <is>
          <t>沪锌空 06-01</t>
        </is>
      </c>
      <c r="C623" s="10" t="n">
        <v>2</v>
      </c>
      <c r="D623" s="33" t="n">
        <v>0.12</v>
      </c>
    </row>
    <row r="624">
      <c r="A624" s="2" t="n">
        <v>622</v>
      </c>
      <c r="B624" s="2" t="inlineStr">
        <is>
          <t>PTA多 05-18</t>
        </is>
      </c>
      <c r="C624" s="10" t="n">
        <v>2</v>
      </c>
      <c r="D624" s="33" t="n">
        <v>0.33</v>
      </c>
    </row>
    <row r="625">
      <c r="A625" s="2" t="n">
        <v>623</v>
      </c>
      <c r="B625" s="2" t="inlineStr">
        <is>
          <t>锰硅空 05-26</t>
        </is>
      </c>
      <c r="C625" s="10" t="n">
        <v>2</v>
      </c>
      <c r="D625" s="33" t="n">
        <v>0.18</v>
      </c>
    </row>
    <row r="626">
      <c r="A626" s="2" t="n">
        <v>624</v>
      </c>
      <c r="B626" s="2" t="inlineStr">
        <is>
          <t>沥青多 06-05</t>
        </is>
      </c>
      <c r="C626" s="10" t="n">
        <v>2</v>
      </c>
      <c r="D626" s="33" t="n">
        <v>-0.07000000000000001</v>
      </c>
    </row>
    <row r="627">
      <c r="A627" s="2" t="n">
        <v>625</v>
      </c>
      <c r="B627" s="2" t="inlineStr">
        <is>
          <t>沪银空 05-30</t>
        </is>
      </c>
      <c r="C627" s="10" t="n">
        <v>3</v>
      </c>
      <c r="D627" s="33" t="n">
        <v>-0.52</v>
      </c>
    </row>
    <row r="628">
      <c r="A628" s="2" t="n">
        <v>626</v>
      </c>
      <c r="B628" s="2" t="inlineStr">
        <is>
          <t>铁矿石多 06-06</t>
        </is>
      </c>
      <c r="C628" s="10" t="n">
        <v>2</v>
      </c>
      <c r="D628" s="33" t="n">
        <v>0.22</v>
      </c>
    </row>
    <row r="629">
      <c r="A629" s="2" t="n">
        <v>627</v>
      </c>
      <c r="B629" s="2" t="inlineStr">
        <is>
          <t>沪银多 06-08</t>
        </is>
      </c>
      <c r="C629" s="10" t="n">
        <v>2</v>
      </c>
      <c r="D629" s="33" t="n">
        <v>0.37</v>
      </c>
    </row>
    <row r="630">
      <c r="A630" s="2" t="n">
        <v>628</v>
      </c>
      <c r="B630" s="2" t="inlineStr">
        <is>
          <t>沪铝多 06-08</t>
        </is>
      </c>
      <c r="C630" s="10" t="n">
        <v>2</v>
      </c>
      <c r="D630" s="33" t="n">
        <v>0.2</v>
      </c>
    </row>
    <row r="631">
      <c r="A631" s="2" t="n">
        <v>629</v>
      </c>
      <c r="B631" s="2" t="inlineStr">
        <is>
          <t>玻璃多 06-08</t>
        </is>
      </c>
      <c r="C631" s="10" t="n">
        <v>2</v>
      </c>
      <c r="D631" s="33" t="n">
        <v>0.05</v>
      </c>
    </row>
    <row r="632">
      <c r="A632" s="2" t="n">
        <v>630</v>
      </c>
      <c r="B632" s="2" t="inlineStr">
        <is>
          <t>沪锌多 06-13</t>
        </is>
      </c>
      <c r="C632" s="10" t="n">
        <v>2</v>
      </c>
      <c r="D632" s="33" t="n">
        <v>0.1</v>
      </c>
    </row>
    <row r="633">
      <c r="A633" s="2" t="n">
        <v>631</v>
      </c>
      <c r="B633" s="2" t="inlineStr">
        <is>
          <t>玉米多 06-02</t>
        </is>
      </c>
      <c r="C633" s="10" t="n">
        <v>2</v>
      </c>
      <c r="D633" s="33" t="n">
        <v>0.5</v>
      </c>
    </row>
    <row r="634">
      <c r="A634" s="2" t="n">
        <v>632</v>
      </c>
      <c r="B634" s="2" t="inlineStr">
        <is>
          <t>菜油空 06-08</t>
        </is>
      </c>
      <c r="C634" s="10" t="n">
        <v>3</v>
      </c>
      <c r="D634" s="33" t="n">
        <v>-0.89</v>
      </c>
    </row>
    <row r="635">
      <c r="A635" s="2" t="n">
        <v>633</v>
      </c>
      <c r="B635" s="2" t="inlineStr">
        <is>
          <t>热卷多 06-15</t>
        </is>
      </c>
      <c r="C635" s="10" t="n">
        <v>2</v>
      </c>
      <c r="D635" s="33" t="n">
        <v>0.14</v>
      </c>
    </row>
    <row r="636">
      <c r="A636" s="2" t="n">
        <v>634</v>
      </c>
      <c r="B636" s="2" t="inlineStr">
        <is>
          <t>苯乙烯空 06-15</t>
        </is>
      </c>
      <c r="C636" s="10" t="n">
        <v>2</v>
      </c>
      <c r="D636" s="33" t="n">
        <v>-0.27</v>
      </c>
    </row>
    <row r="637">
      <c r="A637" s="2" t="n">
        <v>635</v>
      </c>
      <c r="B637" s="2" t="inlineStr">
        <is>
          <t>玉米多 06-19</t>
        </is>
      </c>
      <c r="C637" s="10" t="n">
        <v>3</v>
      </c>
      <c r="D637" s="33" t="n">
        <v>0.43</v>
      </c>
    </row>
    <row r="638">
      <c r="A638" s="2" t="n">
        <v>636</v>
      </c>
      <c r="B638" s="2" t="inlineStr">
        <is>
          <t>棉花空 06-26</t>
        </is>
      </c>
      <c r="C638" s="10" t="n">
        <v>2</v>
      </c>
      <c r="D638" s="33" t="n">
        <v>-0.04</v>
      </c>
    </row>
    <row r="639">
      <c r="A639" s="2" t="n">
        <v>637</v>
      </c>
      <c r="B639" s="2" t="inlineStr">
        <is>
          <t>尿素空 06-05</t>
        </is>
      </c>
      <c r="C639" s="10" t="n">
        <v>3</v>
      </c>
      <c r="D639" s="33" t="n">
        <v>-0.17</v>
      </c>
    </row>
    <row r="640">
      <c r="A640" s="2" t="n">
        <v>638</v>
      </c>
      <c r="B640" s="2" t="inlineStr">
        <is>
          <t>沥青空 06-27</t>
        </is>
      </c>
      <c r="C640" s="10" t="n">
        <v>2</v>
      </c>
      <c r="D640" s="33" t="n">
        <v>0</v>
      </c>
    </row>
    <row r="641">
      <c r="A641" s="2" t="n">
        <v>639</v>
      </c>
      <c r="B641" s="2" t="inlineStr">
        <is>
          <t>聚丙烯空 06-06</t>
        </is>
      </c>
      <c r="C641" s="10" t="n">
        <v>3</v>
      </c>
      <c r="D641" s="33" t="n">
        <v>-0.41</v>
      </c>
    </row>
    <row r="642">
      <c r="A642" s="2" t="n">
        <v>640</v>
      </c>
      <c r="B642" s="2" t="inlineStr">
        <is>
          <t>沪铜多 06-16</t>
        </is>
      </c>
      <c r="C642" s="10" t="n">
        <v>3</v>
      </c>
      <c r="D642" s="33" t="n">
        <v>-0.36</v>
      </c>
    </row>
    <row r="643">
      <c r="A643" s="2" t="n">
        <v>641</v>
      </c>
      <c r="B643" s="2" t="inlineStr">
        <is>
          <t>菜油多 06-16</t>
        </is>
      </c>
      <c r="C643" s="10" t="n">
        <v>2</v>
      </c>
      <c r="D643" s="33" t="n">
        <v>0.8100000000000001</v>
      </c>
    </row>
    <row r="644">
      <c r="A644" s="2" t="n">
        <v>642</v>
      </c>
      <c r="B644" s="2" t="inlineStr">
        <is>
          <t>铁矿石多 06-19</t>
        </is>
      </c>
      <c r="C644" s="10" t="n">
        <v>3</v>
      </c>
      <c r="D644" s="33" t="n">
        <v>0.09</v>
      </c>
    </row>
    <row r="645">
      <c r="A645" s="2" t="n">
        <v>643</v>
      </c>
      <c r="B645" s="2" t="inlineStr">
        <is>
          <t>棕榈油多 06-29</t>
        </is>
      </c>
      <c r="C645" s="10" t="n">
        <v>3</v>
      </c>
      <c r="D645" s="33" t="n">
        <v>0.44</v>
      </c>
    </row>
    <row r="646">
      <c r="A646" s="2" t="n">
        <v>644</v>
      </c>
      <c r="B646" s="2" t="inlineStr">
        <is>
          <t>菜粕多 06-30</t>
        </is>
      </c>
      <c r="C646" s="10" t="n">
        <v>3</v>
      </c>
      <c r="D646" s="33" t="n">
        <v>0.99</v>
      </c>
    </row>
    <row r="647">
      <c r="A647" s="2" t="n">
        <v>645</v>
      </c>
      <c r="B647" s="2" t="inlineStr">
        <is>
          <t>沪锌空 06-28</t>
        </is>
      </c>
      <c r="C647" s="10" t="n">
        <v>2</v>
      </c>
      <c r="D647" s="33" t="n">
        <v>-0.16</v>
      </c>
    </row>
    <row r="648">
      <c r="A648" s="2" t="n">
        <v>646</v>
      </c>
      <c r="B648" s="2" t="inlineStr">
        <is>
          <t>苯乙烯多 07-03</t>
        </is>
      </c>
      <c r="C648" s="10" t="n">
        <v>2</v>
      </c>
      <c r="D648" s="33" t="n">
        <v>0.03</v>
      </c>
    </row>
    <row r="649">
      <c r="A649" s="2" t="n">
        <v>647</v>
      </c>
      <c r="B649" s="2" t="inlineStr">
        <is>
          <t>豆油多 07-03</t>
        </is>
      </c>
      <c r="C649" s="10" t="n">
        <v>3</v>
      </c>
      <c r="D649" s="33" t="n">
        <v>-0.18</v>
      </c>
    </row>
    <row r="650">
      <c r="A650" s="2" t="n">
        <v>648</v>
      </c>
      <c r="B650" s="2" t="inlineStr">
        <is>
          <t>棕榈油多 07-04</t>
        </is>
      </c>
      <c r="C650" s="10" t="n">
        <v>2</v>
      </c>
      <c r="D650" s="33" t="n">
        <v>0</v>
      </c>
    </row>
    <row r="651">
      <c r="A651" s="2" t="n">
        <v>649</v>
      </c>
      <c r="B651" s="2" t="inlineStr">
        <is>
          <t>白糖空 06-28</t>
        </is>
      </c>
      <c r="C651" s="10" t="n">
        <v>2</v>
      </c>
      <c r="D651" s="33" t="n">
        <v>-0.4</v>
      </c>
    </row>
    <row r="652">
      <c r="A652" s="2" t="n">
        <v>650</v>
      </c>
      <c r="B652" s="2" t="inlineStr">
        <is>
          <t>玉米多 07-04</t>
        </is>
      </c>
      <c r="C652" s="10" t="n">
        <v>3</v>
      </c>
      <c r="D652" s="33" t="n">
        <v>0.34</v>
      </c>
    </row>
    <row r="653">
      <c r="A653" s="2" t="n">
        <v>651</v>
      </c>
      <c r="B653" s="2" t="inlineStr">
        <is>
          <t>塑料多 07-05</t>
        </is>
      </c>
      <c r="C653" s="10" t="n">
        <v>3</v>
      </c>
      <c r="D653" s="33" t="n">
        <v>0.05</v>
      </c>
    </row>
    <row r="654">
      <c r="A654" s="2" t="n">
        <v>652</v>
      </c>
      <c r="B654" s="2" t="inlineStr">
        <is>
          <t>纯碱空 06-06</t>
        </is>
      </c>
      <c r="C654" s="10" t="n">
        <v>3</v>
      </c>
      <c r="D654" s="33" t="n">
        <v>-0.27</v>
      </c>
    </row>
    <row r="655">
      <c r="A655" s="2" t="n">
        <v>653</v>
      </c>
      <c r="B655" s="2" t="inlineStr">
        <is>
          <t>乙二醇空 06-09</t>
        </is>
      </c>
      <c r="C655" s="10" t="n">
        <v>3</v>
      </c>
      <c r="D655" s="33" t="n">
        <v>-0.25</v>
      </c>
    </row>
    <row r="656">
      <c r="A656" s="2" t="n">
        <v>654</v>
      </c>
      <c r="B656" s="2" t="inlineStr">
        <is>
          <t>玻璃空 06-26</t>
        </is>
      </c>
      <c r="C656" s="10" t="n">
        <v>2</v>
      </c>
      <c r="D656" s="33" t="n">
        <v>-0.6899999999999999</v>
      </c>
    </row>
    <row r="657">
      <c r="A657" s="2" t="n">
        <v>655</v>
      </c>
      <c r="B657" s="2" t="inlineStr">
        <is>
          <t>菜油多 07-06</t>
        </is>
      </c>
      <c r="C657" s="10" t="n">
        <v>2</v>
      </c>
      <c r="D657" s="33" t="n">
        <v>-0.09</v>
      </c>
    </row>
    <row r="658">
      <c r="A658" s="2" t="n">
        <v>656</v>
      </c>
      <c r="B658" s="2" t="inlineStr">
        <is>
          <t>PTA多 07-06</t>
        </is>
      </c>
      <c r="C658" s="10" t="n">
        <v>3</v>
      </c>
      <c r="D658" s="33" t="n">
        <v>0.5</v>
      </c>
    </row>
    <row r="659">
      <c r="A659" s="2" t="n">
        <v>657</v>
      </c>
      <c r="B659" s="2" t="inlineStr">
        <is>
          <t>硅铁多 06-27</t>
        </is>
      </c>
      <c r="C659" s="10" t="n">
        <v>2</v>
      </c>
      <c r="D659" s="33" t="n">
        <v>-0.37</v>
      </c>
    </row>
    <row r="660">
      <c r="A660" s="2" t="n">
        <v>658</v>
      </c>
      <c r="B660" s="2" t="inlineStr">
        <is>
          <t>甲醇多 06-30</t>
        </is>
      </c>
      <c r="C660" s="10" t="n">
        <v>3</v>
      </c>
      <c r="D660" s="33" t="n">
        <v>0.09</v>
      </c>
    </row>
    <row r="661">
      <c r="A661" s="2" t="n">
        <v>659</v>
      </c>
      <c r="B661" s="2" t="inlineStr">
        <is>
          <t>苯乙烯多 07-05</t>
        </is>
      </c>
      <c r="C661" s="10" t="n">
        <v>3</v>
      </c>
      <c r="D661" s="33" t="n">
        <v>0.3</v>
      </c>
    </row>
    <row r="662">
      <c r="A662" s="2" t="n">
        <v>660</v>
      </c>
      <c r="B662" s="2" t="inlineStr">
        <is>
          <t>沪锌空 07-07</t>
        </is>
      </c>
      <c r="C662" s="10" t="n">
        <v>2</v>
      </c>
      <c r="D662" s="33" t="n">
        <v>0.02</v>
      </c>
    </row>
    <row r="663">
      <c r="A663" s="2" t="n">
        <v>661</v>
      </c>
      <c r="B663" s="2" t="inlineStr">
        <is>
          <t>棉花空 06-28</t>
        </is>
      </c>
      <c r="C663" s="10" t="n">
        <v>2</v>
      </c>
      <c r="D663" s="33" t="n">
        <v>-0.79</v>
      </c>
    </row>
    <row r="664">
      <c r="A664" s="2" t="n">
        <v>662</v>
      </c>
      <c r="B664" s="2" t="inlineStr">
        <is>
          <t>塑料多 07-07</t>
        </is>
      </c>
      <c r="C664" s="10" t="n">
        <v>3</v>
      </c>
      <c r="D664" s="33" t="n">
        <v>0.17</v>
      </c>
    </row>
    <row r="665">
      <c r="A665" s="2" t="n">
        <v>663</v>
      </c>
      <c r="B665" s="2" t="inlineStr">
        <is>
          <t>白糖空 07-07</t>
        </is>
      </c>
      <c r="C665" s="10" t="n">
        <v>2</v>
      </c>
      <c r="D665" s="33" t="n">
        <v>-0.03</v>
      </c>
    </row>
    <row r="666">
      <c r="A666" s="2" t="n">
        <v>664</v>
      </c>
      <c r="B666" s="2" t="inlineStr">
        <is>
          <t>纯碱多 07-10</t>
        </is>
      </c>
      <c r="C666" s="10" t="n">
        <v>3</v>
      </c>
      <c r="D666" s="33" t="n">
        <v>0.43</v>
      </c>
    </row>
    <row r="667">
      <c r="A667" s="2" t="n">
        <v>665</v>
      </c>
      <c r="B667" s="2" t="inlineStr">
        <is>
          <t>燃料油多 07-11</t>
        </is>
      </c>
      <c r="C667" s="10" t="n">
        <v>3</v>
      </c>
      <c r="D667" s="33" t="n">
        <v>-0.05</v>
      </c>
    </row>
    <row r="668">
      <c r="A668" s="2" t="n">
        <v>666</v>
      </c>
      <c r="B668" s="2" t="inlineStr">
        <is>
          <t>锰硅空 06-07</t>
        </is>
      </c>
      <c r="C668" s="10" t="n">
        <v>3</v>
      </c>
      <c r="D668" s="33" t="n">
        <v>-0.6</v>
      </c>
    </row>
    <row r="669">
      <c r="A669" s="2" t="n">
        <v>667</v>
      </c>
      <c r="B669" s="2" t="inlineStr">
        <is>
          <t>沪金空 06-29</t>
        </is>
      </c>
      <c r="C669" s="10" t="n">
        <v>2</v>
      </c>
      <c r="D669" s="33" t="n">
        <v>-0.71</v>
      </c>
    </row>
    <row r="670">
      <c r="A670" s="2" t="n">
        <v>668</v>
      </c>
      <c r="B670" s="2" t="inlineStr">
        <is>
          <t>玉米多 07-07</t>
        </is>
      </c>
      <c r="C670" s="10" t="n">
        <v>3</v>
      </c>
      <c r="D670" s="33" t="n">
        <v>-0.5600000000000001</v>
      </c>
    </row>
    <row r="671">
      <c r="A671" s="2" t="n">
        <v>669</v>
      </c>
      <c r="B671" s="2" t="inlineStr">
        <is>
          <t>菜油多 07-11</t>
        </is>
      </c>
      <c r="C671" s="10" t="n">
        <v>3</v>
      </c>
      <c r="D671" s="33" t="n">
        <v>0.29</v>
      </c>
    </row>
    <row r="672">
      <c r="A672" s="2" t="n">
        <v>670</v>
      </c>
      <c r="B672" s="2" t="inlineStr">
        <is>
          <t>铁矿石空 07-03</t>
        </is>
      </c>
      <c r="C672" s="10" t="n">
        <v>2</v>
      </c>
      <c r="D672" s="33" t="n">
        <v>-0.22</v>
      </c>
    </row>
    <row r="673">
      <c r="A673" s="2" t="n">
        <v>671</v>
      </c>
      <c r="B673" s="2" t="inlineStr">
        <is>
          <t>菜粕多 07-07</t>
        </is>
      </c>
      <c r="C673" s="10" t="n">
        <v>3</v>
      </c>
      <c r="D673" s="33" t="n">
        <v>0.44</v>
      </c>
    </row>
    <row r="674">
      <c r="A674" s="2" t="n">
        <v>672</v>
      </c>
      <c r="B674" s="2" t="inlineStr">
        <is>
          <t>沥青多 07-13</t>
        </is>
      </c>
      <c r="C674" s="10" t="n">
        <v>3</v>
      </c>
      <c r="D674" s="33" t="n">
        <v>0.12</v>
      </c>
    </row>
    <row r="675">
      <c r="A675" s="2" t="n">
        <v>673</v>
      </c>
      <c r="B675" s="2" t="inlineStr">
        <is>
          <t>聚丙烯多 07-13</t>
        </is>
      </c>
      <c r="C675" s="10" t="n">
        <v>2</v>
      </c>
      <c r="D675" s="33" t="n">
        <v>0.37</v>
      </c>
    </row>
    <row r="676">
      <c r="A676" s="2" t="n">
        <v>674</v>
      </c>
      <c r="B676" s="2" t="inlineStr">
        <is>
          <t>PTA多 07-12</t>
        </is>
      </c>
      <c r="C676" s="10" t="n">
        <v>3</v>
      </c>
      <c r="D676" s="33" t="n">
        <v>-0.36</v>
      </c>
    </row>
    <row r="677">
      <c r="A677" s="2" t="n">
        <v>675</v>
      </c>
      <c r="B677" s="2" t="inlineStr">
        <is>
          <t>塑料多 07-14</t>
        </is>
      </c>
      <c r="C677" s="10" t="n">
        <v>3</v>
      </c>
      <c r="D677" s="33" t="n">
        <v>-0.68</v>
      </c>
    </row>
    <row r="678">
      <c r="A678" s="2" t="n">
        <v>676</v>
      </c>
      <c r="B678" s="2" t="inlineStr">
        <is>
          <t>纸浆多 07-05</t>
        </is>
      </c>
      <c r="C678" s="10" t="n">
        <v>2</v>
      </c>
      <c r="D678" s="33" t="n">
        <v>-0.5</v>
      </c>
    </row>
    <row r="679">
      <c r="A679" s="2" t="n">
        <v>677</v>
      </c>
      <c r="B679" s="2" t="inlineStr">
        <is>
          <t>玉米空 07-13</t>
        </is>
      </c>
      <c r="C679" s="10" t="n">
        <v>2</v>
      </c>
      <c r="D679" s="33" t="n">
        <v>0.32</v>
      </c>
    </row>
    <row r="680">
      <c r="A680" s="2" t="n">
        <v>678</v>
      </c>
      <c r="B680" s="2" t="inlineStr">
        <is>
          <t>苯乙烯多 07-17</t>
        </is>
      </c>
      <c r="C680" s="10" t="n">
        <v>2</v>
      </c>
      <c r="D680" s="33" t="n">
        <v>0.16</v>
      </c>
    </row>
    <row r="681">
      <c r="A681" s="2" t="n">
        <v>679</v>
      </c>
      <c r="B681" s="2" t="inlineStr">
        <is>
          <t>沪锌空 07-17</t>
        </is>
      </c>
      <c r="C681" s="10" t="n">
        <v>3</v>
      </c>
      <c r="D681" s="33" t="n">
        <v>-0.11</v>
      </c>
    </row>
    <row r="682">
      <c r="A682" s="2" t="n">
        <v>680</v>
      </c>
      <c r="B682" s="2" t="inlineStr">
        <is>
          <t>纯碱多 07-14</t>
        </is>
      </c>
      <c r="C682" s="10" t="n">
        <v>3</v>
      </c>
      <c r="D682" s="33" t="n">
        <v>0.29</v>
      </c>
    </row>
    <row r="683">
      <c r="A683" s="2" t="n">
        <v>681</v>
      </c>
      <c r="B683" s="2" t="inlineStr">
        <is>
          <t>菜粕多 07-17</t>
        </is>
      </c>
      <c r="C683" s="10" t="n">
        <v>2</v>
      </c>
      <c r="D683" s="33" t="n">
        <v>0.07000000000000001</v>
      </c>
    </row>
    <row r="684">
      <c r="A684" s="2" t="n">
        <v>682</v>
      </c>
      <c r="B684" s="2" t="inlineStr">
        <is>
          <t>沥青多 07-18</t>
        </is>
      </c>
      <c r="C684" s="10" t="n">
        <v>3</v>
      </c>
      <c r="D684" s="33" t="n">
        <v>0.09</v>
      </c>
    </row>
    <row r="685">
      <c r="A685" s="2" t="n">
        <v>683</v>
      </c>
      <c r="B685" s="2" t="inlineStr">
        <is>
          <t>豆粕多 07-13</t>
        </is>
      </c>
      <c r="C685" s="10" t="n">
        <v>3</v>
      </c>
      <c r="D685" s="33" t="n">
        <v>0.49</v>
      </c>
    </row>
    <row r="686">
      <c r="A686" s="2" t="n">
        <v>684</v>
      </c>
      <c r="B686" s="2" t="inlineStr">
        <is>
          <t>沪银多 07-19</t>
        </is>
      </c>
      <c r="C686" s="10" t="n">
        <v>3</v>
      </c>
      <c r="D686" s="33" t="n">
        <v>-0.4</v>
      </c>
    </row>
    <row r="687">
      <c r="A687" s="2" t="n">
        <v>685</v>
      </c>
      <c r="B687" s="2" t="inlineStr">
        <is>
          <t>乙二醇多 07-19</t>
        </is>
      </c>
      <c r="C687" s="10" t="n">
        <v>3</v>
      </c>
      <c r="D687" s="33" t="n">
        <v>0</v>
      </c>
    </row>
    <row r="688">
      <c r="A688" s="2" t="n">
        <v>686</v>
      </c>
      <c r="B688" s="2" t="inlineStr">
        <is>
          <t>PVC多 07-18</t>
        </is>
      </c>
      <c r="C688" s="10" t="n">
        <v>3</v>
      </c>
      <c r="D688" s="33" t="n">
        <v>0.42</v>
      </c>
    </row>
    <row r="689">
      <c r="A689" s="2" t="n">
        <v>687</v>
      </c>
      <c r="B689" s="2" t="inlineStr">
        <is>
          <t>燃料油多 07-24</t>
        </is>
      </c>
      <c r="C689" s="10" t="n">
        <v>3</v>
      </c>
      <c r="D689" s="33" t="n">
        <v>0.12</v>
      </c>
    </row>
    <row r="690">
      <c r="A690" s="2" t="n">
        <v>688</v>
      </c>
      <c r="B690" s="2" t="inlineStr">
        <is>
          <t>纸浆多 07-25</t>
        </is>
      </c>
      <c r="C690" s="10" t="n">
        <v>3</v>
      </c>
      <c r="D690" s="33" t="n">
        <v>0.17</v>
      </c>
    </row>
    <row r="691">
      <c r="A691" s="2" t="n">
        <v>689</v>
      </c>
      <c r="B691" s="2" t="inlineStr">
        <is>
          <t>纯碱多 07-26</t>
        </is>
      </c>
      <c r="C691" s="10" t="n">
        <v>2</v>
      </c>
      <c r="D691" s="33" t="n">
        <v>-0.01</v>
      </c>
    </row>
    <row r="692">
      <c r="A692" s="2" t="n">
        <v>690</v>
      </c>
      <c r="B692" s="2" t="inlineStr">
        <is>
          <t>沥青多 07-27</t>
        </is>
      </c>
      <c r="C692" s="10" t="n">
        <v>2</v>
      </c>
      <c r="D692" s="33" t="n">
        <v>0.08</v>
      </c>
    </row>
    <row r="693">
      <c r="A693" s="2" t="n">
        <v>691</v>
      </c>
      <c r="B693" s="2" t="inlineStr">
        <is>
          <t>塑料多 07-25</t>
        </is>
      </c>
      <c r="C693" s="10" t="n">
        <v>3</v>
      </c>
      <c r="D693" s="33" t="n">
        <v>0.45</v>
      </c>
    </row>
    <row r="694">
      <c r="A694" s="2" t="n">
        <v>692</v>
      </c>
      <c r="B694" s="2" t="inlineStr">
        <is>
          <t>尿素多 07-28</t>
        </is>
      </c>
      <c r="C694" s="10" t="n">
        <v>3</v>
      </c>
      <c r="D694" s="33" t="n">
        <v>-0.09</v>
      </c>
    </row>
    <row r="695">
      <c r="A695" s="2" t="n">
        <v>693</v>
      </c>
      <c r="B695" s="2" t="inlineStr">
        <is>
          <t>PTA多 07-25</t>
        </is>
      </c>
      <c r="C695" s="10" t="n">
        <v>3</v>
      </c>
      <c r="D695" s="33" t="n">
        <v>0.45</v>
      </c>
    </row>
    <row r="696">
      <c r="A696" s="2" t="n">
        <v>694</v>
      </c>
      <c r="B696" s="2" t="inlineStr">
        <is>
          <t>豆粕多 07-27</t>
        </is>
      </c>
      <c r="C696" s="10" t="n">
        <v>3</v>
      </c>
      <c r="D696" s="33" t="n">
        <v>-0.01</v>
      </c>
    </row>
    <row r="697">
      <c r="A697" s="2" t="n">
        <v>695</v>
      </c>
      <c r="B697" s="2" t="inlineStr">
        <is>
          <t>苯乙烯多 07-31</t>
        </is>
      </c>
      <c r="C697" s="10" t="n">
        <v>3</v>
      </c>
      <c r="D697" s="33" t="n">
        <v>-0.11</v>
      </c>
    </row>
    <row r="698">
      <c r="A698" s="2" t="n">
        <v>696</v>
      </c>
      <c r="B698" s="2" t="inlineStr">
        <is>
          <t>聚丙烯多 07-31</t>
        </is>
      </c>
      <c r="C698" s="10" t="n">
        <v>2</v>
      </c>
      <c r="D698" s="33" t="n">
        <v>-0.01</v>
      </c>
    </row>
    <row r="699">
      <c r="A699" s="2" t="n">
        <v>697</v>
      </c>
      <c r="B699" s="2" t="inlineStr">
        <is>
          <t>棉花多 07-26</t>
        </is>
      </c>
      <c r="C699" s="10" t="n">
        <v>2</v>
      </c>
      <c r="D699" s="33" t="n">
        <v>0.23</v>
      </c>
    </row>
    <row r="700">
      <c r="A700" s="2" t="n">
        <v>698</v>
      </c>
      <c r="B700" s="2" t="inlineStr">
        <is>
          <t>沪银多 08-01</t>
        </is>
      </c>
      <c r="C700" s="10" t="n">
        <v>3</v>
      </c>
      <c r="D700" s="33" t="n">
        <v>0.02</v>
      </c>
    </row>
    <row r="701">
      <c r="A701" s="2" t="n">
        <v>699</v>
      </c>
      <c r="B701" s="2" t="inlineStr">
        <is>
          <t>PVC多 08-01</t>
        </is>
      </c>
      <c r="C701" s="10" t="n">
        <v>3</v>
      </c>
      <c r="D701" s="33" t="n">
        <v>0.2</v>
      </c>
    </row>
    <row r="702">
      <c r="A702" s="2" t="n">
        <v>700</v>
      </c>
      <c r="B702" s="2" t="inlineStr">
        <is>
          <t>短纤多 07-06</t>
        </is>
      </c>
      <c r="C702" s="10" t="n">
        <v>2</v>
      </c>
      <c r="D702" s="33" t="n">
        <v>0.43</v>
      </c>
    </row>
    <row r="703">
      <c r="A703" s="2" t="n">
        <v>701</v>
      </c>
      <c r="B703" s="2" t="inlineStr">
        <is>
          <t>燃料油多 07-27</t>
        </is>
      </c>
      <c r="C703" s="10" t="n">
        <v>3</v>
      </c>
      <c r="D703" s="33" t="n">
        <v>0.91</v>
      </c>
    </row>
    <row r="704">
      <c r="A704" s="2" t="n">
        <v>702</v>
      </c>
      <c r="B704" s="2" t="inlineStr">
        <is>
          <t>塑料多 08-02</t>
        </is>
      </c>
      <c r="C704" s="10" t="n">
        <v>2</v>
      </c>
      <c r="D704" s="33" t="n">
        <v>-0.41</v>
      </c>
    </row>
    <row r="705">
      <c r="A705" s="2" t="n">
        <v>703</v>
      </c>
      <c r="B705" s="2" t="inlineStr">
        <is>
          <t>玉米空 08-01</t>
        </is>
      </c>
      <c r="C705" s="10" t="n">
        <v>2</v>
      </c>
      <c r="D705" s="33" t="n">
        <v>-0.73</v>
      </c>
    </row>
    <row r="706">
      <c r="A706" s="2" t="n">
        <v>704</v>
      </c>
      <c r="B706" s="2" t="inlineStr">
        <is>
          <t>玉米多 08-04</t>
        </is>
      </c>
      <c r="C706" s="10" t="n">
        <v>2</v>
      </c>
      <c r="D706" s="33" t="n">
        <v>0</v>
      </c>
    </row>
    <row r="707">
      <c r="A707" s="2" t="n">
        <v>705</v>
      </c>
      <c r="B707" s="2" t="inlineStr">
        <is>
          <t>棕榈油多 07-17</t>
        </is>
      </c>
      <c r="C707" s="10" t="n">
        <v>3</v>
      </c>
      <c r="D707" s="33" t="n">
        <v>-0.27</v>
      </c>
    </row>
    <row r="708">
      <c r="A708" s="2" t="n">
        <v>706</v>
      </c>
      <c r="B708" s="2" t="inlineStr">
        <is>
          <t>菜粕多 08-03</t>
        </is>
      </c>
      <c r="C708" s="10" t="n">
        <v>2</v>
      </c>
      <c r="D708" s="33" t="n">
        <v>0.04</v>
      </c>
    </row>
    <row r="709">
      <c r="A709" s="2" t="n">
        <v>707</v>
      </c>
      <c r="B709" s="2" t="inlineStr">
        <is>
          <t>苯乙烯多 08-04</t>
        </is>
      </c>
      <c r="C709" s="10" t="n">
        <v>3</v>
      </c>
      <c r="D709" s="33" t="n">
        <v>0.11</v>
      </c>
    </row>
    <row r="710">
      <c r="A710" s="2" t="n">
        <v>708</v>
      </c>
      <c r="B710" s="2" t="inlineStr">
        <is>
          <t>玉米多 08-10</t>
        </is>
      </c>
      <c r="C710" s="10" t="n">
        <v>2</v>
      </c>
      <c r="D710" s="33" t="n">
        <v>-0.34</v>
      </c>
    </row>
    <row r="711">
      <c r="A711" s="2" t="n">
        <v>709</v>
      </c>
      <c r="B711" s="2" t="inlineStr">
        <is>
          <t>沪锌空 08-03</t>
        </is>
      </c>
      <c r="C711" s="10" t="n">
        <v>2</v>
      </c>
      <c r="D711" s="33" t="n">
        <v>0.46</v>
      </c>
    </row>
    <row r="712">
      <c r="A712" s="2" t="n">
        <v>710</v>
      </c>
      <c r="B712" s="2" t="inlineStr">
        <is>
          <t>棉花多 08-11</t>
        </is>
      </c>
      <c r="C712" s="10" t="n">
        <v>2</v>
      </c>
      <c r="D712" s="33" t="n">
        <v>-0.07000000000000001</v>
      </c>
    </row>
    <row r="713">
      <c r="A713" s="2" t="n">
        <v>711</v>
      </c>
      <c r="B713" s="2" t="inlineStr">
        <is>
          <t>纸浆多 08-02</t>
        </is>
      </c>
      <c r="C713" s="10" t="n">
        <v>3</v>
      </c>
      <c r="D713" s="33" t="n">
        <v>-0.87</v>
      </c>
    </row>
    <row r="714">
      <c r="A714" s="2" t="n">
        <v>712</v>
      </c>
      <c r="B714" s="2" t="inlineStr">
        <is>
          <t>热卷空 08-09</t>
        </is>
      </c>
      <c r="C714" s="10" t="n">
        <v>3</v>
      </c>
      <c r="D714" s="33" t="n">
        <v>0.17</v>
      </c>
    </row>
    <row r="715">
      <c r="A715" s="2" t="n">
        <v>713</v>
      </c>
      <c r="B715" s="2" t="inlineStr">
        <is>
          <t>燃料油多 08-11</t>
        </is>
      </c>
      <c r="C715" s="10" t="n">
        <v>3</v>
      </c>
      <c r="D715" s="33" t="n">
        <v>-0.47</v>
      </c>
    </row>
    <row r="716">
      <c r="A716" s="2" t="n">
        <v>714</v>
      </c>
      <c r="B716" s="2" t="inlineStr">
        <is>
          <t>玉米空 08-14</t>
        </is>
      </c>
      <c r="C716" s="10" t="n">
        <v>2</v>
      </c>
      <c r="D716" s="33" t="n">
        <v>0.58</v>
      </c>
    </row>
    <row r="717">
      <c r="A717" s="2" t="n">
        <v>715</v>
      </c>
      <c r="B717" s="2" t="inlineStr">
        <is>
          <t>苯乙烯多 08-17</t>
        </is>
      </c>
      <c r="C717" s="10" t="n">
        <v>3</v>
      </c>
      <c r="D717" s="33" t="n">
        <v>0.12</v>
      </c>
    </row>
    <row r="718">
      <c r="A718" s="2" t="n">
        <v>716</v>
      </c>
      <c r="B718" s="2" t="inlineStr">
        <is>
          <t>甲醇空 08-07</t>
        </is>
      </c>
      <c r="C718" s="10" t="n">
        <v>2</v>
      </c>
      <c r="D718" s="33" t="n">
        <v>-0.68</v>
      </c>
    </row>
    <row r="719">
      <c r="A719" s="2" t="n">
        <v>717</v>
      </c>
      <c r="B719" s="2" t="inlineStr">
        <is>
          <t>豆粕多 08-14</t>
        </is>
      </c>
      <c r="C719" s="10" t="n">
        <v>3</v>
      </c>
      <c r="D719" s="33" t="n">
        <v>0.79</v>
      </c>
    </row>
    <row r="720">
      <c r="A720" s="2" t="n">
        <v>718</v>
      </c>
      <c r="B720" s="2" t="inlineStr">
        <is>
          <t>玉米空 08-17</t>
        </is>
      </c>
      <c r="C720" s="10" t="n">
        <v>2</v>
      </c>
      <c r="D720" s="33" t="n">
        <v>-0.25</v>
      </c>
    </row>
    <row r="721">
      <c r="A721" s="2" t="n">
        <v>719</v>
      </c>
      <c r="B721" s="2" t="inlineStr">
        <is>
          <t>燃料油多 08-17</t>
        </is>
      </c>
      <c r="C721" s="10" t="n">
        <v>3</v>
      </c>
      <c r="D721" s="33" t="n">
        <v>0.46</v>
      </c>
    </row>
    <row r="722">
      <c r="A722" s="2" t="n">
        <v>720</v>
      </c>
      <c r="B722" s="2" t="inlineStr">
        <is>
          <t>菜粕多 08-17</t>
        </is>
      </c>
      <c r="C722" s="10" t="n">
        <v>3</v>
      </c>
      <c r="D722" s="33" t="n">
        <v>0.07000000000000001</v>
      </c>
    </row>
    <row r="723">
      <c r="A723" s="2" t="n">
        <v>721</v>
      </c>
      <c r="B723" s="2" t="inlineStr">
        <is>
          <t>沪锌多 08-23</t>
        </is>
      </c>
      <c r="C723" s="10" t="n">
        <v>2</v>
      </c>
      <c r="D723" s="33" t="n">
        <v>0.16</v>
      </c>
    </row>
    <row r="724">
      <c r="A724" s="2" t="n">
        <v>722</v>
      </c>
      <c r="B724" s="2" t="inlineStr">
        <is>
          <t>纯碱多 08-18</t>
        </is>
      </c>
      <c r="C724" s="10" t="n">
        <v>2</v>
      </c>
      <c r="D724" s="33" t="n">
        <v>1.11</v>
      </c>
    </row>
    <row r="725">
      <c r="A725" s="2" t="n">
        <v>723</v>
      </c>
      <c r="B725" s="2" t="inlineStr">
        <is>
          <t>沪银多 08-24</t>
        </is>
      </c>
      <c r="C725" s="10" t="n">
        <v>2</v>
      </c>
      <c r="D725" s="33" t="n">
        <v>-0.06</v>
      </c>
    </row>
    <row r="726">
      <c r="A726" s="2" t="n">
        <v>724</v>
      </c>
      <c r="B726" s="2" t="inlineStr">
        <is>
          <t>菜粕多 08-25</t>
        </is>
      </c>
      <c r="C726" s="10" t="n">
        <v>3</v>
      </c>
      <c r="D726" s="33" t="n">
        <v>0.01</v>
      </c>
    </row>
    <row r="727">
      <c r="A727" s="2" t="n">
        <v>725</v>
      </c>
      <c r="B727" s="2" t="inlineStr">
        <is>
          <t>尿素多 08-15</t>
        </is>
      </c>
      <c r="C727" s="10" t="n">
        <v>2</v>
      </c>
      <c r="D727" s="33" t="n">
        <v>0.03</v>
      </c>
    </row>
    <row r="728">
      <c r="A728" s="2" t="n">
        <v>726</v>
      </c>
      <c r="B728" s="2" t="inlineStr">
        <is>
          <t>甲醇多 08-23</t>
        </is>
      </c>
      <c r="C728" s="10" t="n">
        <v>2</v>
      </c>
      <c r="D728" s="33" t="n">
        <v>0.02</v>
      </c>
    </row>
    <row r="729">
      <c r="A729" s="2" t="n">
        <v>727</v>
      </c>
      <c r="B729" s="2" t="inlineStr">
        <is>
          <t>沪锌多 08-28</t>
        </is>
      </c>
      <c r="C729" s="10" t="n">
        <v>2</v>
      </c>
      <c r="D729" s="33" t="n">
        <v>0.09</v>
      </c>
    </row>
    <row r="730">
      <c r="A730" s="2" t="n">
        <v>728</v>
      </c>
      <c r="B730" s="2" t="inlineStr">
        <is>
          <t>豆粕多 08-29</t>
        </is>
      </c>
      <c r="C730" s="10" t="n">
        <v>3</v>
      </c>
      <c r="D730" s="33" t="n">
        <v>-0.02</v>
      </c>
    </row>
    <row r="731">
      <c r="A731" s="2" t="n">
        <v>729</v>
      </c>
      <c r="B731" s="2" t="inlineStr">
        <is>
          <t>苯乙烯多 08-23</t>
        </is>
      </c>
      <c r="C731" s="10" t="n">
        <v>3</v>
      </c>
      <c r="D731" s="33" t="n">
        <v>0.34</v>
      </c>
    </row>
    <row r="732">
      <c r="A732" s="2" t="n">
        <v>730</v>
      </c>
      <c r="B732" s="2" t="inlineStr">
        <is>
          <t>白糖多 08-25</t>
        </is>
      </c>
      <c r="C732" s="10" t="n">
        <v>3</v>
      </c>
      <c r="D732" s="33" t="n">
        <v>0.38</v>
      </c>
    </row>
    <row r="733">
      <c r="A733" s="2" t="n">
        <v>731</v>
      </c>
      <c r="B733" s="2" t="inlineStr">
        <is>
          <t>沪银多 08-30</t>
        </is>
      </c>
      <c r="C733" s="10" t="n">
        <v>3</v>
      </c>
      <c r="D733" s="33" t="n">
        <v>-0.17</v>
      </c>
    </row>
    <row r="734">
      <c r="A734" s="2" t="n">
        <v>732</v>
      </c>
      <c r="B734" s="2" t="inlineStr">
        <is>
          <t>纯碱多 08-31</t>
        </is>
      </c>
      <c r="C734" s="10" t="n">
        <v>2</v>
      </c>
      <c r="D734" s="33" t="n">
        <v>0.32</v>
      </c>
    </row>
    <row r="735">
      <c r="A735" s="2" t="n">
        <v>733</v>
      </c>
      <c r="B735" s="2" t="inlineStr">
        <is>
          <t>塑料多 08-04</t>
        </is>
      </c>
      <c r="C735" s="10" t="n">
        <v>3</v>
      </c>
      <c r="D735" s="33" t="n">
        <v>0.71</v>
      </c>
    </row>
    <row r="736">
      <c r="A736" s="2" t="n">
        <v>734</v>
      </c>
      <c r="B736" s="2" t="inlineStr">
        <is>
          <t>热卷空 08-21</t>
        </is>
      </c>
      <c r="C736" s="10" t="n">
        <v>2</v>
      </c>
      <c r="D736" s="33" t="n">
        <v>-0.64</v>
      </c>
    </row>
    <row r="737">
      <c r="A737" s="2" t="n">
        <v>735</v>
      </c>
      <c r="B737" s="2" t="inlineStr">
        <is>
          <t>菜粕多 08-29</t>
        </is>
      </c>
      <c r="C737" s="10" t="n">
        <v>3</v>
      </c>
      <c r="D737" s="33" t="n">
        <v>-0.32</v>
      </c>
    </row>
    <row r="738">
      <c r="A738" s="2" t="n">
        <v>736</v>
      </c>
      <c r="B738" s="2" t="inlineStr">
        <is>
          <t>沥青多 08-01</t>
        </is>
      </c>
      <c r="C738" s="10" t="n">
        <v>3</v>
      </c>
      <c r="D738" s="33" t="n">
        <v>0.7</v>
      </c>
    </row>
    <row r="739">
      <c r="A739" s="2" t="n">
        <v>737</v>
      </c>
      <c r="B739" s="2" t="inlineStr">
        <is>
          <t>沪锌多 08-31</t>
        </is>
      </c>
      <c r="C739" s="10" t="n">
        <v>3</v>
      </c>
      <c r="D739" s="33" t="n">
        <v>0.37</v>
      </c>
    </row>
    <row r="740">
      <c r="A740" s="2" t="n">
        <v>738</v>
      </c>
      <c r="B740" s="2" t="inlineStr">
        <is>
          <t>聚丙烯多 09-01</t>
        </is>
      </c>
      <c r="C740" s="10" t="n">
        <v>3</v>
      </c>
      <c r="D740" s="33" t="n">
        <v>0.07000000000000001</v>
      </c>
    </row>
    <row r="741">
      <c r="A741" s="2" t="n">
        <v>739</v>
      </c>
      <c r="B741" s="2" t="inlineStr">
        <is>
          <t>沥青多 09-06</t>
        </is>
      </c>
      <c r="C741" s="10" t="n">
        <v>3</v>
      </c>
      <c r="D741" s="33" t="n">
        <v>-0.13</v>
      </c>
    </row>
    <row r="742">
      <c r="A742" s="2" t="n">
        <v>740</v>
      </c>
      <c r="B742" s="2" t="inlineStr">
        <is>
          <t>菜油多 08-30</t>
        </is>
      </c>
      <c r="C742" s="10" t="n">
        <v>3</v>
      </c>
      <c r="D742" s="33" t="n">
        <v>-0.55</v>
      </c>
    </row>
    <row r="743">
      <c r="A743" s="2" t="n">
        <v>741</v>
      </c>
      <c r="B743" s="2" t="inlineStr">
        <is>
          <t>沪铝多 09-07</t>
        </is>
      </c>
      <c r="C743" s="10" t="n">
        <v>2</v>
      </c>
      <c r="D743" s="33" t="n">
        <v>-0.21</v>
      </c>
    </row>
    <row r="744">
      <c r="A744" s="2" t="n">
        <v>742</v>
      </c>
      <c r="B744" s="2" t="inlineStr">
        <is>
          <t>菜粕多 09-07</t>
        </is>
      </c>
      <c r="C744" s="10" t="n">
        <v>3</v>
      </c>
      <c r="D744" s="33" t="n">
        <v>-0.52</v>
      </c>
    </row>
    <row r="745">
      <c r="A745" s="2" t="n">
        <v>743</v>
      </c>
      <c r="B745" s="2" t="inlineStr">
        <is>
          <t>沪铜多 08-29</t>
        </is>
      </c>
      <c r="C745" s="10" t="n">
        <v>3</v>
      </c>
      <c r="D745" s="33" t="n">
        <v>-0.29</v>
      </c>
    </row>
    <row r="746">
      <c r="A746" s="2" t="n">
        <v>744</v>
      </c>
      <c r="B746" s="2" t="inlineStr">
        <is>
          <t>沪金多 09-05</t>
        </is>
      </c>
      <c r="C746" s="10" t="n">
        <v>3</v>
      </c>
      <c r="D746" s="33" t="n">
        <v>0.23</v>
      </c>
    </row>
    <row r="747">
      <c r="A747" s="2" t="n">
        <v>745</v>
      </c>
      <c r="B747" s="2" t="inlineStr">
        <is>
          <t>豆粕多 09-07</t>
        </is>
      </c>
      <c r="C747" s="10" t="n">
        <v>2</v>
      </c>
      <c r="D747" s="33" t="n">
        <v>-0.15</v>
      </c>
    </row>
    <row r="748">
      <c r="A748" s="2" t="n">
        <v>746</v>
      </c>
      <c r="B748" s="2" t="inlineStr">
        <is>
          <t>棕榈油空 09-11</t>
        </is>
      </c>
      <c r="C748" s="10" t="n">
        <v>3</v>
      </c>
      <c r="D748" s="33" t="n">
        <v>-0.03</v>
      </c>
    </row>
    <row r="749">
      <c r="A749" s="2" t="n">
        <v>747</v>
      </c>
      <c r="B749" s="2" t="inlineStr">
        <is>
          <t>聚丙烯多 09-12</t>
        </is>
      </c>
      <c r="C749" s="10" t="n">
        <v>3</v>
      </c>
      <c r="D749" s="33" t="n">
        <v>-0.1</v>
      </c>
    </row>
    <row r="750">
      <c r="A750" s="2" t="n">
        <v>748</v>
      </c>
      <c r="B750" s="2" t="inlineStr">
        <is>
          <t>苯乙烯多 09-07</t>
        </is>
      </c>
      <c r="C750" s="10" t="n">
        <v>3</v>
      </c>
      <c r="D750" s="33" t="n">
        <v>0.79</v>
      </c>
    </row>
    <row r="751">
      <c r="A751" s="2" t="n">
        <v>749</v>
      </c>
      <c r="B751" s="2" t="inlineStr">
        <is>
          <t>豆粕空 09-12</t>
        </is>
      </c>
      <c r="C751" s="10" t="n">
        <v>2</v>
      </c>
      <c r="D751" s="33" t="n">
        <v>-0.01</v>
      </c>
    </row>
    <row r="752">
      <c r="A752" s="2" t="n">
        <v>750</v>
      </c>
      <c r="B752" s="2" t="inlineStr">
        <is>
          <t>沪金多 09-13</t>
        </is>
      </c>
      <c r="C752" s="10" t="n">
        <v>3</v>
      </c>
      <c r="D752" s="33" t="n">
        <v>0.17</v>
      </c>
    </row>
    <row r="753">
      <c r="A753" s="2" t="n">
        <v>751</v>
      </c>
      <c r="B753" s="2" t="inlineStr">
        <is>
          <t>白糖多 09-08</t>
        </is>
      </c>
      <c r="C753" s="10" t="n">
        <v>3</v>
      </c>
      <c r="D753" s="33" t="n">
        <v>-0.74</v>
      </c>
    </row>
    <row r="754">
      <c r="A754" s="2" t="n">
        <v>752</v>
      </c>
      <c r="B754" s="2" t="inlineStr">
        <is>
          <t>燃料油多 09-14</t>
        </is>
      </c>
      <c r="C754" s="10" t="n">
        <v>3</v>
      </c>
      <c r="D754" s="33" t="n">
        <v>-0.45</v>
      </c>
    </row>
    <row r="755">
      <c r="A755" s="2" t="n">
        <v>753</v>
      </c>
      <c r="B755" s="2" t="inlineStr">
        <is>
          <t>棉花多 09-15</t>
        </is>
      </c>
      <c r="C755" s="10" t="n">
        <v>2</v>
      </c>
      <c r="D755" s="33" t="n">
        <v>0.15</v>
      </c>
    </row>
    <row r="756">
      <c r="A756" s="2" t="n">
        <v>754</v>
      </c>
      <c r="B756" s="2" t="inlineStr">
        <is>
          <t>沪锌多 09-15</t>
        </is>
      </c>
      <c r="C756" s="10" t="n">
        <v>3</v>
      </c>
      <c r="D756" s="33" t="n">
        <v>-0.12</v>
      </c>
    </row>
    <row r="757">
      <c r="A757" s="2" t="n">
        <v>755</v>
      </c>
      <c r="B757" s="2" t="inlineStr">
        <is>
          <t>棕榈油空 09-13</t>
        </is>
      </c>
      <c r="C757" s="10" t="n">
        <v>3</v>
      </c>
      <c r="D757" s="33" t="n">
        <v>0.45</v>
      </c>
    </row>
    <row r="758">
      <c r="A758" s="2" t="n">
        <v>756</v>
      </c>
      <c r="B758" s="2" t="inlineStr">
        <is>
          <t>乙二醇多 09-18</t>
        </is>
      </c>
      <c r="C758" s="10" t="n">
        <v>3</v>
      </c>
      <c r="D758" s="33" t="n">
        <v>-0.37</v>
      </c>
    </row>
    <row r="759">
      <c r="A759" s="2" t="n">
        <v>757</v>
      </c>
      <c r="B759" s="2" t="inlineStr">
        <is>
          <t>锰硅多 09-18</t>
        </is>
      </c>
      <c r="C759" s="10" t="n">
        <v>2</v>
      </c>
      <c r="D759" s="33" t="n">
        <v>-0.31</v>
      </c>
    </row>
    <row r="760">
      <c r="A760" s="2" t="n">
        <v>758</v>
      </c>
      <c r="B760" s="2" t="inlineStr">
        <is>
          <t>沪银多 09-20</t>
        </is>
      </c>
      <c r="C760" s="10" t="n">
        <v>2</v>
      </c>
      <c r="D760" s="33" t="n">
        <v>0.1</v>
      </c>
    </row>
    <row r="761">
      <c r="A761" s="2" t="n">
        <v>759</v>
      </c>
      <c r="B761" s="2" t="inlineStr">
        <is>
          <t>尿素多 09-18</t>
        </is>
      </c>
      <c r="C761" s="10" t="n">
        <v>2</v>
      </c>
      <c r="D761" s="33" t="n">
        <v>-0.25</v>
      </c>
    </row>
    <row r="762">
      <c r="A762" s="2" t="n">
        <v>760</v>
      </c>
      <c r="B762" s="2" t="inlineStr">
        <is>
          <t>PVC多 09-15</t>
        </is>
      </c>
      <c r="C762" s="10" t="n">
        <v>2</v>
      </c>
      <c r="D762" s="33" t="n">
        <v>-0.59</v>
      </c>
    </row>
    <row r="763">
      <c r="A763" s="2" t="n">
        <v>761</v>
      </c>
      <c r="B763" s="2" t="inlineStr">
        <is>
          <t>聚丙烯多 09-19</t>
        </is>
      </c>
      <c r="C763" s="10" t="n">
        <v>3</v>
      </c>
      <c r="D763" s="33" t="n">
        <v>-0.89</v>
      </c>
    </row>
    <row r="764">
      <c r="A764" s="2" t="n">
        <v>762</v>
      </c>
      <c r="B764" s="2" t="inlineStr">
        <is>
          <t>沪铝多 09-22</t>
        </is>
      </c>
      <c r="C764" s="10" t="n">
        <v>3</v>
      </c>
      <c r="D764" s="33" t="n">
        <v>-0.11</v>
      </c>
    </row>
    <row r="765">
      <c r="A765" s="2" t="n">
        <v>763</v>
      </c>
      <c r="B765" s="2" t="inlineStr">
        <is>
          <t>沪铜空 09-26</t>
        </is>
      </c>
      <c r="C765" s="10" t="n">
        <v>3</v>
      </c>
      <c r="D765" s="33" t="n">
        <v>0.06</v>
      </c>
    </row>
    <row r="766">
      <c r="A766" s="2" t="n">
        <v>764</v>
      </c>
      <c r="B766" s="2" t="inlineStr">
        <is>
          <t>菜油空 09-13</t>
        </is>
      </c>
      <c r="C766" s="10" t="n">
        <v>2</v>
      </c>
      <c r="D766" s="33" t="n">
        <v>-0.1</v>
      </c>
    </row>
    <row r="767">
      <c r="A767" s="2" t="n">
        <v>765</v>
      </c>
      <c r="B767" s="2" t="inlineStr">
        <is>
          <t>PVC空 09-27</t>
        </is>
      </c>
      <c r="C767" s="10" t="n">
        <v>2</v>
      </c>
      <c r="D767" s="33" t="n">
        <v>-0.02</v>
      </c>
    </row>
    <row r="768">
      <c r="A768" s="2" t="n">
        <v>766</v>
      </c>
      <c r="B768" s="2" t="inlineStr">
        <is>
          <t>玻璃多 09-22</t>
        </is>
      </c>
      <c r="C768" s="10" t="n">
        <v>2</v>
      </c>
      <c r="D768" s="33" t="n">
        <v>-0.1</v>
      </c>
    </row>
    <row r="769">
      <c r="A769" s="2" t="n">
        <v>767</v>
      </c>
      <c r="B769" s="2" t="inlineStr">
        <is>
          <t>铁矿石多 09-05</t>
        </is>
      </c>
      <c r="C769" s="10" t="n">
        <v>3</v>
      </c>
      <c r="D769" s="33" t="n">
        <v>-0.33</v>
      </c>
    </row>
    <row r="770">
      <c r="A770" s="2" t="n">
        <v>768</v>
      </c>
      <c r="B770" s="2" t="inlineStr">
        <is>
          <t>纯碱空 09-28</t>
        </is>
      </c>
      <c r="C770" s="10" t="n">
        <v>2</v>
      </c>
      <c r="D770" s="33" t="n">
        <v>0.07000000000000001</v>
      </c>
    </row>
    <row r="771">
      <c r="A771" s="2" t="n">
        <v>769</v>
      </c>
      <c r="B771" s="2" t="inlineStr">
        <is>
          <t>沪锌空 09-28</t>
        </is>
      </c>
      <c r="C771" s="10" t="n">
        <v>2</v>
      </c>
      <c r="D771" s="33" t="n">
        <v>0.19</v>
      </c>
    </row>
    <row r="772">
      <c r="A772" s="2" t="n">
        <v>770</v>
      </c>
      <c r="B772" s="2" t="inlineStr">
        <is>
          <t>沪镍空 10-09</t>
        </is>
      </c>
      <c r="C772" s="10" t="n">
        <v>3</v>
      </c>
      <c r="D772" s="33" t="n">
        <v>0.02</v>
      </c>
    </row>
    <row r="773">
      <c r="A773" s="2" t="n">
        <v>771</v>
      </c>
      <c r="B773" s="2" t="inlineStr">
        <is>
          <t>豆油空 09-21</t>
        </is>
      </c>
      <c r="C773" s="10" t="n">
        <v>3</v>
      </c>
      <c r="D773" s="33" t="n">
        <v>-0.31</v>
      </c>
    </row>
    <row r="774">
      <c r="A774" s="2" t="n">
        <v>772</v>
      </c>
      <c r="B774" s="2" t="inlineStr">
        <is>
          <t>菜粕空 10-12</t>
        </is>
      </c>
      <c r="C774" s="10" t="n">
        <v>2</v>
      </c>
      <c r="D774" s="33" t="n">
        <v>-0.07000000000000001</v>
      </c>
    </row>
    <row r="775">
      <c r="A775" s="2" t="n">
        <v>773</v>
      </c>
      <c r="B775" s="2" t="inlineStr">
        <is>
          <t>PVC空 10-09</t>
        </is>
      </c>
      <c r="C775" s="10" t="n">
        <v>3</v>
      </c>
      <c r="D775" s="33" t="n">
        <v>0.27</v>
      </c>
    </row>
    <row r="776">
      <c r="A776" s="2" t="n">
        <v>774</v>
      </c>
      <c r="B776" s="2" t="inlineStr">
        <is>
          <t>玉米空 10-16</t>
        </is>
      </c>
      <c r="C776" s="10" t="n">
        <v>2</v>
      </c>
      <c r="D776" s="33" t="n">
        <v>0.25</v>
      </c>
    </row>
    <row r="777">
      <c r="A777" s="2" t="n">
        <v>775</v>
      </c>
      <c r="B777" s="2" t="inlineStr">
        <is>
          <t>燃料油空 09-20</t>
        </is>
      </c>
      <c r="C777" s="10" t="n">
        <v>2</v>
      </c>
      <c r="D777" s="33" t="n">
        <v>0.47</v>
      </c>
    </row>
    <row r="778">
      <c r="A778" s="2" t="n">
        <v>776</v>
      </c>
      <c r="B778" s="2" t="inlineStr">
        <is>
          <t>豆油多 10-13</t>
        </is>
      </c>
      <c r="C778" s="10" t="n">
        <v>2</v>
      </c>
      <c r="D778" s="33" t="n">
        <v>0.01</v>
      </c>
    </row>
    <row r="779">
      <c r="A779" s="2" t="n">
        <v>777</v>
      </c>
      <c r="B779" s="2" t="inlineStr">
        <is>
          <t>锰硅空 10-10</t>
        </is>
      </c>
      <c r="C779" s="10" t="n">
        <v>2</v>
      </c>
      <c r="D779" s="33" t="n">
        <v>0.27</v>
      </c>
    </row>
    <row r="780">
      <c r="A780" s="2" t="n">
        <v>778</v>
      </c>
      <c r="B780" s="2" t="inlineStr">
        <is>
          <t>塑料空 10-18</t>
        </is>
      </c>
      <c r="C780" s="10" t="n">
        <v>2</v>
      </c>
      <c r="D780" s="33" t="n">
        <v>-0.03</v>
      </c>
    </row>
    <row r="781">
      <c r="A781" s="2" t="n">
        <v>779</v>
      </c>
      <c r="B781" s="2" t="inlineStr">
        <is>
          <t>PTA空 10-18</t>
        </is>
      </c>
      <c r="C781" s="10" t="n">
        <v>2</v>
      </c>
      <c r="D781" s="33" t="n">
        <v>0.05</v>
      </c>
    </row>
    <row r="782">
      <c r="A782" s="2" t="n">
        <v>780</v>
      </c>
      <c r="B782" s="2" t="inlineStr">
        <is>
          <t>PVC空 10-18</t>
        </is>
      </c>
      <c r="C782" s="10" t="n">
        <v>3</v>
      </c>
      <c r="D782" s="33" t="n">
        <v>-0.21</v>
      </c>
    </row>
    <row r="783">
      <c r="A783" s="2" t="n">
        <v>781</v>
      </c>
      <c r="B783" s="2" t="inlineStr">
        <is>
          <t>沪铜空 10-13</t>
        </is>
      </c>
      <c r="C783" s="10" t="n">
        <v>3</v>
      </c>
      <c r="D783" s="33" t="n">
        <v>0.29</v>
      </c>
    </row>
    <row r="784">
      <c r="A784" s="2" t="n">
        <v>782</v>
      </c>
      <c r="B784" s="2" t="inlineStr">
        <is>
          <t>纯碱多 10-16</t>
        </is>
      </c>
      <c r="C784" s="10" t="n">
        <v>2</v>
      </c>
      <c r="D784" s="33" t="n">
        <v>-0.21</v>
      </c>
    </row>
    <row r="785">
      <c r="A785" s="2" t="n">
        <v>783</v>
      </c>
      <c r="B785" s="2" t="inlineStr">
        <is>
          <t>豆油多 10-19</t>
        </is>
      </c>
      <c r="C785" s="10" t="n">
        <v>2</v>
      </c>
      <c r="D785" s="33" t="n">
        <v>-0.35</v>
      </c>
    </row>
    <row r="786">
      <c r="A786" s="2" t="n">
        <v>784</v>
      </c>
      <c r="B786" s="2" t="inlineStr">
        <is>
          <t>棕榈油空 10-11</t>
        </is>
      </c>
      <c r="C786" s="10" t="n">
        <v>2</v>
      </c>
      <c r="D786" s="33" t="n">
        <v>-0.07000000000000001</v>
      </c>
    </row>
    <row r="787">
      <c r="A787" s="2" t="n">
        <v>785</v>
      </c>
      <c r="B787" s="2" t="inlineStr">
        <is>
          <t>纯碱空 10-23</t>
        </is>
      </c>
      <c r="C787" s="10" t="n">
        <v>3</v>
      </c>
      <c r="D787" s="33" t="n">
        <v>-0.01</v>
      </c>
    </row>
    <row r="788">
      <c r="A788" s="2" t="n">
        <v>786</v>
      </c>
      <c r="B788" s="2" t="inlineStr">
        <is>
          <t>纸浆多 10-16</t>
        </is>
      </c>
      <c r="C788" s="10" t="n">
        <v>2</v>
      </c>
      <c r="D788" s="33" t="n">
        <v>-0.63</v>
      </c>
    </row>
    <row r="789">
      <c r="A789" s="2" t="n">
        <v>787</v>
      </c>
      <c r="B789" s="2" t="inlineStr">
        <is>
          <t>乙二醇空 10-20</t>
        </is>
      </c>
      <c r="C789" s="10" t="n">
        <v>3</v>
      </c>
      <c r="D789" s="33" t="n">
        <v>-0.51</v>
      </c>
    </row>
    <row r="790">
      <c r="A790" s="2" t="n">
        <v>788</v>
      </c>
      <c r="B790" s="2" t="inlineStr">
        <is>
          <t>沪金多 10-20</t>
        </is>
      </c>
      <c r="C790" s="10" t="n">
        <v>3</v>
      </c>
      <c r="D790" s="33" t="n">
        <v>0.12</v>
      </c>
    </row>
    <row r="791">
      <c r="A791" s="2" t="n">
        <v>789</v>
      </c>
      <c r="B791" s="2" t="inlineStr">
        <is>
          <t>PTA多 10-26</t>
        </is>
      </c>
      <c r="C791" s="10" t="n">
        <v>2</v>
      </c>
      <c r="D791" s="33" t="n">
        <v>0.28</v>
      </c>
    </row>
    <row r="792">
      <c r="A792" s="2" t="n">
        <v>790</v>
      </c>
      <c r="B792" s="2" t="inlineStr">
        <is>
          <t>聚丙烯空 10-18</t>
        </is>
      </c>
      <c r="C792" s="10" t="n">
        <v>3</v>
      </c>
      <c r="D792" s="33" t="n">
        <v>-0.67</v>
      </c>
    </row>
    <row r="793">
      <c r="A793" s="2" t="n">
        <v>791</v>
      </c>
      <c r="B793" s="2" t="inlineStr">
        <is>
          <t>豆粕多 10-19</t>
        </is>
      </c>
      <c r="C793" s="10" t="n">
        <v>3</v>
      </c>
      <c r="D793" s="33" t="n">
        <v>0.17</v>
      </c>
    </row>
    <row r="794">
      <c r="A794" s="2" t="n">
        <v>792</v>
      </c>
      <c r="B794" s="2" t="inlineStr">
        <is>
          <t>棉花空 10-23</t>
        </is>
      </c>
      <c r="C794" s="10" t="n">
        <v>3</v>
      </c>
      <c r="D794" s="33" t="n">
        <v>0.48</v>
      </c>
    </row>
    <row r="795">
      <c r="A795" s="2" t="n">
        <v>793</v>
      </c>
      <c r="B795" s="2" t="inlineStr">
        <is>
          <t>热卷多 10-31</t>
        </is>
      </c>
      <c r="C795" s="10" t="n">
        <v>2</v>
      </c>
      <c r="D795" s="33" t="n">
        <v>0.1</v>
      </c>
    </row>
    <row r="796">
      <c r="A796" s="2" t="n">
        <v>794</v>
      </c>
      <c r="B796" s="2" t="inlineStr">
        <is>
          <t>菜油空 10-31</t>
        </is>
      </c>
      <c r="C796" s="10" t="n">
        <v>2</v>
      </c>
      <c r="D796" s="33" t="n">
        <v>0</v>
      </c>
    </row>
    <row r="797">
      <c r="A797" s="2" t="n">
        <v>795</v>
      </c>
      <c r="B797" s="2" t="inlineStr">
        <is>
          <t>纯碱空 10-26</t>
        </is>
      </c>
      <c r="C797" s="10" t="n">
        <v>3</v>
      </c>
      <c r="D797" s="33" t="n">
        <v>-0.92</v>
      </c>
    </row>
    <row r="798">
      <c r="A798" s="2" t="n">
        <v>796</v>
      </c>
      <c r="B798" s="2" t="inlineStr">
        <is>
          <t>铁矿石多 10-31</t>
        </is>
      </c>
      <c r="C798" s="10" t="n">
        <v>3</v>
      </c>
      <c r="D798" s="33" t="n">
        <v>0.27</v>
      </c>
    </row>
    <row r="799">
      <c r="A799" s="2" t="n">
        <v>797</v>
      </c>
      <c r="B799" s="2" t="inlineStr">
        <is>
          <t>沪镍空 11-01</t>
        </is>
      </c>
      <c r="C799" s="10" t="n">
        <v>3</v>
      </c>
      <c r="D799" s="33" t="n">
        <v>-0.12</v>
      </c>
    </row>
    <row r="800">
      <c r="A800" s="2" t="n">
        <v>798</v>
      </c>
      <c r="B800" s="2" t="inlineStr">
        <is>
          <t>玉米空 10-19</t>
        </is>
      </c>
      <c r="C800" s="10" t="n">
        <v>3</v>
      </c>
      <c r="D800" s="33" t="n">
        <v>-0.63</v>
      </c>
    </row>
    <row r="801">
      <c r="A801" s="2" t="n">
        <v>799</v>
      </c>
      <c r="B801" s="2" t="inlineStr">
        <is>
          <t>热卷多 11-02</t>
        </is>
      </c>
      <c r="C801" s="10" t="n">
        <v>3</v>
      </c>
      <c r="D801" s="33" t="n">
        <v>0.27</v>
      </c>
    </row>
    <row r="802">
      <c r="A802" s="2" t="n">
        <v>800</v>
      </c>
      <c r="B802" s="2" t="inlineStr">
        <is>
          <t>聚丙烯多 11-03</t>
        </is>
      </c>
      <c r="C802" s="10" t="n">
        <v>2</v>
      </c>
      <c r="D802" s="33" t="n">
        <v>0.1</v>
      </c>
    </row>
    <row r="803">
      <c r="A803" s="2" t="n">
        <v>801</v>
      </c>
      <c r="B803" s="2" t="inlineStr">
        <is>
          <t>白糖空 10-17</t>
        </is>
      </c>
      <c r="C803" s="10" t="n">
        <v>2</v>
      </c>
      <c r="D803" s="33" t="n">
        <v>-0.38</v>
      </c>
    </row>
    <row r="804">
      <c r="A804" s="2" t="n">
        <v>802</v>
      </c>
      <c r="B804" s="2" t="inlineStr">
        <is>
          <t>硅铁空 10-18</t>
        </is>
      </c>
      <c r="C804" s="10" t="n">
        <v>2</v>
      </c>
      <c r="D804" s="33" t="n">
        <v>-0.62</v>
      </c>
    </row>
    <row r="805">
      <c r="A805" s="2" t="n">
        <v>803</v>
      </c>
      <c r="B805" s="2" t="inlineStr">
        <is>
          <t>沪镍空 11-07</t>
        </is>
      </c>
      <c r="C805" s="10" t="n">
        <v>3</v>
      </c>
      <c r="D805" s="33" t="n">
        <v>-0.07000000000000001</v>
      </c>
    </row>
    <row r="806">
      <c r="A806" s="2" t="n">
        <v>804</v>
      </c>
      <c r="B806" s="2" t="inlineStr">
        <is>
          <t>苯乙烯空 11-08</t>
        </is>
      </c>
      <c r="C806" s="10" t="n">
        <v>2</v>
      </c>
      <c r="D806" s="33" t="n">
        <v>-0.1</v>
      </c>
    </row>
    <row r="807">
      <c r="A807" s="2" t="n">
        <v>805</v>
      </c>
      <c r="B807" s="2" t="inlineStr">
        <is>
          <t>PTA空 11-08</t>
        </is>
      </c>
      <c r="C807" s="10" t="n">
        <v>2</v>
      </c>
      <c r="D807" s="33" t="n">
        <v>-0.01</v>
      </c>
    </row>
    <row r="808">
      <c r="A808" s="2" t="n">
        <v>806</v>
      </c>
      <c r="B808" s="2" t="inlineStr">
        <is>
          <t>豆粕多 11-02</t>
        </is>
      </c>
      <c r="C808" s="10" t="n">
        <v>3</v>
      </c>
      <c r="D808" s="33" t="n">
        <v>0.15</v>
      </c>
    </row>
    <row r="809">
      <c r="A809" s="2" t="n">
        <v>807</v>
      </c>
      <c r="B809" s="2" t="inlineStr">
        <is>
          <t>铁矿石多 11-06</t>
        </is>
      </c>
      <c r="C809" s="10" t="n">
        <v>3</v>
      </c>
      <c r="D809" s="33" t="n">
        <v>0.41</v>
      </c>
    </row>
    <row r="810">
      <c r="A810" s="2" t="n">
        <v>808</v>
      </c>
      <c r="B810" s="2" t="inlineStr">
        <is>
          <t>菜粕多 11-09</t>
        </is>
      </c>
      <c r="C810" s="10" t="n">
        <v>3</v>
      </c>
      <c r="D810" s="33" t="n">
        <v>-0.47</v>
      </c>
    </row>
    <row r="811">
      <c r="A811" s="2" t="n">
        <v>809</v>
      </c>
      <c r="B811" s="2" t="inlineStr">
        <is>
          <t>尿素多 10-30</t>
        </is>
      </c>
      <c r="C811" s="10" t="n">
        <v>3</v>
      </c>
      <c r="D811" s="33" t="n">
        <v>0.06</v>
      </c>
    </row>
    <row r="812">
      <c r="A812" s="2" t="n">
        <v>810</v>
      </c>
      <c r="B812" s="2" t="inlineStr">
        <is>
          <t>苯乙烯空 11-10</t>
        </is>
      </c>
      <c r="C812" s="10" t="n">
        <v>3</v>
      </c>
      <c r="D812" s="33" t="n">
        <v>0.11</v>
      </c>
    </row>
    <row r="813">
      <c r="A813" s="2" t="n">
        <v>811</v>
      </c>
      <c r="B813" s="2" t="inlineStr">
        <is>
          <t>螺纹钢多 11-10</t>
        </is>
      </c>
      <c r="C813" s="10" t="n">
        <v>3</v>
      </c>
      <c r="D813" s="33" t="n">
        <v>-0.12</v>
      </c>
    </row>
    <row r="814">
      <c r="A814" s="2" t="n">
        <v>812</v>
      </c>
      <c r="B814" s="2" t="inlineStr">
        <is>
          <t>沪镍空 11-13</t>
        </is>
      </c>
      <c r="C814" s="10" t="n">
        <v>3</v>
      </c>
      <c r="D814" s="33" t="n">
        <v>0.02</v>
      </c>
    </row>
    <row r="815">
      <c r="A815" s="2" t="n">
        <v>813</v>
      </c>
      <c r="B815" s="2" t="inlineStr">
        <is>
          <t>纯碱多 11-13</t>
        </is>
      </c>
      <c r="C815" s="10" t="n">
        <v>2</v>
      </c>
      <c r="D815" s="33" t="n">
        <v>-0.05</v>
      </c>
    </row>
    <row r="816">
      <c r="A816" s="2" t="n">
        <v>814</v>
      </c>
      <c r="B816" s="2" t="inlineStr">
        <is>
          <t>沪银空 10-24</t>
        </is>
      </c>
      <c r="C816" s="10" t="n">
        <v>3</v>
      </c>
      <c r="D816" s="33" t="n">
        <v>-0.25</v>
      </c>
    </row>
    <row r="817">
      <c r="A817" s="2" t="n">
        <v>815</v>
      </c>
      <c r="B817" s="2" t="inlineStr">
        <is>
          <t>菜粕多 11-15</t>
        </is>
      </c>
      <c r="C817" s="10" t="n">
        <v>3</v>
      </c>
      <c r="D817" s="33" t="n">
        <v>-0.05</v>
      </c>
    </row>
    <row r="818">
      <c r="A818" s="2" t="n">
        <v>816</v>
      </c>
      <c r="B818" s="2" t="inlineStr">
        <is>
          <t>豆粕多 11-15</t>
        </is>
      </c>
      <c r="C818" s="10" t="n">
        <v>2</v>
      </c>
      <c r="D818" s="33" t="n">
        <v>-0.55</v>
      </c>
    </row>
    <row r="819">
      <c r="A819" s="2" t="n">
        <v>817</v>
      </c>
      <c r="B819" s="2" t="inlineStr">
        <is>
          <t>铁矿石多 11-14</t>
        </is>
      </c>
      <c r="C819" s="10" t="n">
        <v>3</v>
      </c>
      <c r="D819" s="33" t="n">
        <v>-0.05</v>
      </c>
    </row>
    <row r="820">
      <c r="A820" s="2" t="n">
        <v>818</v>
      </c>
      <c r="B820" s="2" t="inlineStr">
        <is>
          <t>玻璃多 11-17</t>
        </is>
      </c>
      <c r="C820" s="10" t="n">
        <v>2</v>
      </c>
      <c r="D820" s="33" t="n">
        <v>0.22</v>
      </c>
    </row>
    <row r="821">
      <c r="A821" s="2" t="n">
        <v>819</v>
      </c>
      <c r="B821" s="2" t="inlineStr">
        <is>
          <t>PVC多 11-06</t>
        </is>
      </c>
      <c r="C821" s="10" t="n">
        <v>3</v>
      </c>
      <c r="D821" s="33" t="n">
        <v>-0.92</v>
      </c>
    </row>
    <row r="822">
      <c r="A822" s="2" t="n">
        <v>820</v>
      </c>
      <c r="B822" s="2" t="inlineStr">
        <is>
          <t>菜油空 11-07</t>
        </is>
      </c>
      <c r="C822" s="10" t="n">
        <v>3</v>
      </c>
      <c r="D822" s="33" t="n">
        <v>-0.09</v>
      </c>
    </row>
    <row r="823">
      <c r="A823" s="2" t="n">
        <v>821</v>
      </c>
      <c r="B823" s="2" t="inlineStr">
        <is>
          <t>乙二醇多 11-16</t>
        </is>
      </c>
      <c r="C823" s="10" t="n">
        <v>2</v>
      </c>
      <c r="D823" s="33" t="n">
        <v>-0.8100000000000001</v>
      </c>
    </row>
    <row r="824">
      <c r="A824" s="2" t="n">
        <v>822</v>
      </c>
      <c r="B824" s="2" t="inlineStr">
        <is>
          <t>白糖多 11-08</t>
        </is>
      </c>
      <c r="C824" s="10" t="n">
        <v>3</v>
      </c>
      <c r="D824" s="33" t="n">
        <v>-0.39</v>
      </c>
    </row>
    <row r="825">
      <c r="A825" s="2" t="n">
        <v>823</v>
      </c>
      <c r="B825" s="2" t="inlineStr">
        <is>
          <t>沪镍空 11-21</t>
        </is>
      </c>
      <c r="C825" s="10" t="n">
        <v>3</v>
      </c>
      <c r="D825" s="33" t="n">
        <v>0.33</v>
      </c>
    </row>
    <row r="826">
      <c r="A826" s="2" t="n">
        <v>824</v>
      </c>
      <c r="B826" s="2" t="inlineStr">
        <is>
          <t>热卷多 11-07</t>
        </is>
      </c>
      <c r="C826" s="10" t="n">
        <v>3</v>
      </c>
      <c r="D826" s="33" t="n">
        <v>0.92</v>
      </c>
    </row>
    <row r="827">
      <c r="A827" s="2" t="n">
        <v>825</v>
      </c>
      <c r="B827" s="2" t="inlineStr">
        <is>
          <t>棉花空 11-13</t>
        </is>
      </c>
      <c r="C827" s="10" t="n">
        <v>3</v>
      </c>
      <c r="D827" s="33" t="n">
        <v>0.31</v>
      </c>
    </row>
    <row r="828">
      <c r="A828" s="2" t="n">
        <v>826</v>
      </c>
      <c r="B828" s="2" t="inlineStr">
        <is>
          <t>PTA空 11-13</t>
        </is>
      </c>
      <c r="C828" s="10" t="n">
        <v>2</v>
      </c>
      <c r="D828" s="33" t="n">
        <v>0.09</v>
      </c>
    </row>
    <row r="829">
      <c r="A829" s="2" t="n">
        <v>827</v>
      </c>
      <c r="B829" s="2" t="inlineStr">
        <is>
          <t>苯乙烯空 11-21</t>
        </is>
      </c>
      <c r="C829" s="10" t="n">
        <v>2</v>
      </c>
      <c r="D829" s="33" t="n">
        <v>0.17</v>
      </c>
    </row>
    <row r="830">
      <c r="A830" s="2" t="n">
        <v>828</v>
      </c>
      <c r="B830" s="2" t="inlineStr">
        <is>
          <t>沥青空 11-23</t>
        </is>
      </c>
      <c r="C830" s="10" t="n">
        <v>2</v>
      </c>
      <c r="D830" s="33" t="n">
        <v>-0.05</v>
      </c>
    </row>
    <row r="831">
      <c r="A831" s="2" t="n">
        <v>829</v>
      </c>
      <c r="B831" s="2" t="inlineStr">
        <is>
          <t>纯碱多 11-20</t>
        </is>
      </c>
      <c r="C831" s="10" t="n">
        <v>3</v>
      </c>
      <c r="D831" s="33" t="n">
        <v>0.93</v>
      </c>
    </row>
    <row r="832">
      <c r="A832" s="2" t="n">
        <v>830</v>
      </c>
      <c r="B832" s="2" t="inlineStr">
        <is>
          <t>沪银空 11-21</t>
        </is>
      </c>
      <c r="C832" s="10" t="n">
        <v>2</v>
      </c>
      <c r="D832" s="33" t="n">
        <v>-0.67</v>
      </c>
    </row>
    <row r="833">
      <c r="A833" s="2" t="n">
        <v>831</v>
      </c>
      <c r="B833" s="2" t="inlineStr">
        <is>
          <t>玉米多 11-21</t>
        </is>
      </c>
      <c r="C833" s="10" t="n">
        <v>2</v>
      </c>
      <c r="D833" s="33" t="n">
        <v>-0.96</v>
      </c>
    </row>
    <row r="834">
      <c r="A834" s="2" t="n">
        <v>832</v>
      </c>
      <c r="B834" s="2" t="inlineStr">
        <is>
          <t>螺纹钢多 11-22</t>
        </is>
      </c>
      <c r="C834" s="10" t="n">
        <v>3</v>
      </c>
      <c r="D834" s="33" t="n">
        <v>-0.53</v>
      </c>
    </row>
    <row r="835">
      <c r="A835" s="2" t="n">
        <v>833</v>
      </c>
      <c r="B835" s="2" t="inlineStr">
        <is>
          <t>PTA空 11-27</t>
        </is>
      </c>
      <c r="C835" s="10" t="n">
        <v>2</v>
      </c>
      <c r="D835" s="33" t="n">
        <v>0.16</v>
      </c>
    </row>
    <row r="836">
      <c r="A836" s="2" t="n">
        <v>834</v>
      </c>
      <c r="B836" s="2" t="inlineStr">
        <is>
          <t>塑料空 11-28</t>
        </is>
      </c>
      <c r="C836" s="10" t="n">
        <v>3</v>
      </c>
      <c r="D836" s="33" t="n">
        <v>0.06</v>
      </c>
    </row>
    <row r="837">
      <c r="A837" s="2" t="n">
        <v>835</v>
      </c>
      <c r="B837" s="2" t="inlineStr">
        <is>
          <t>玻璃多 11-29</t>
        </is>
      </c>
      <c r="C837" s="10" t="n">
        <v>2</v>
      </c>
      <c r="D837" s="33" t="n">
        <v>-0.15</v>
      </c>
    </row>
    <row r="838">
      <c r="A838" s="2" t="n">
        <v>836</v>
      </c>
      <c r="B838" s="2" t="inlineStr">
        <is>
          <t>聚丙烯空 11-29</t>
        </is>
      </c>
      <c r="C838" s="10" t="n">
        <v>2</v>
      </c>
      <c r="D838" s="33" t="n">
        <v>-0.26</v>
      </c>
    </row>
    <row r="839">
      <c r="A839" s="2" t="n">
        <v>837</v>
      </c>
      <c r="B839" s="2" t="inlineStr">
        <is>
          <t>苯乙烯空 11-29</t>
        </is>
      </c>
      <c r="C839" s="10" t="n">
        <v>2</v>
      </c>
      <c r="D839" s="33" t="n">
        <v>0.2</v>
      </c>
    </row>
    <row r="840">
      <c r="A840" s="2" t="n">
        <v>838</v>
      </c>
      <c r="B840" s="2" t="inlineStr">
        <is>
          <t>纯碱多 11-30</t>
        </is>
      </c>
      <c r="C840" s="10" t="n">
        <v>3</v>
      </c>
      <c r="D840" s="33" t="n">
        <v>0.23</v>
      </c>
    </row>
    <row r="841">
      <c r="A841" s="2" t="n">
        <v>839</v>
      </c>
      <c r="B841" s="2" t="inlineStr">
        <is>
          <t>甲醇多 12-01</t>
        </is>
      </c>
      <c r="C841" s="10" t="n">
        <v>2</v>
      </c>
      <c r="D841" s="33" t="n">
        <v>-0.4</v>
      </c>
    </row>
    <row r="842">
      <c r="A842" s="2" t="n">
        <v>840</v>
      </c>
      <c r="B842" s="2" t="inlineStr">
        <is>
          <t>沪银多 12-04</t>
        </is>
      </c>
      <c r="C842" s="10" t="n">
        <v>3</v>
      </c>
      <c r="D842" s="33" t="n">
        <v>-0.5</v>
      </c>
    </row>
    <row r="843">
      <c r="A843" s="2" t="n">
        <v>841</v>
      </c>
      <c r="B843" s="2" t="inlineStr">
        <is>
          <t>沪镍空 12-04</t>
        </is>
      </c>
      <c r="C843" s="10" t="n">
        <v>3</v>
      </c>
      <c r="D843" s="33" t="n">
        <v>0.14</v>
      </c>
    </row>
    <row r="844">
      <c r="A844" s="2" t="n">
        <v>842</v>
      </c>
      <c r="B844" s="2" t="inlineStr">
        <is>
          <t>沪铜多 11-22</t>
        </is>
      </c>
      <c r="C844" s="10" t="n">
        <v>3</v>
      </c>
      <c r="D844" s="33" t="n">
        <v>-0.12</v>
      </c>
    </row>
    <row r="845">
      <c r="A845" s="2" t="n">
        <v>843</v>
      </c>
      <c r="B845" s="2" t="inlineStr">
        <is>
          <t>豆油多 11-22</t>
        </is>
      </c>
      <c r="C845" s="10" t="n">
        <v>3</v>
      </c>
      <c r="D845" s="33" t="n">
        <v>-0.8100000000000001</v>
      </c>
    </row>
    <row r="846">
      <c r="A846" s="2" t="n">
        <v>844</v>
      </c>
      <c r="B846" s="2" t="inlineStr">
        <is>
          <t>棕榈油空 12-06</t>
        </is>
      </c>
      <c r="C846" s="10" t="n">
        <v>2</v>
      </c>
      <c r="D846" s="33" t="n">
        <v>0.07000000000000001</v>
      </c>
    </row>
    <row r="847">
      <c r="A847" s="2" t="n">
        <v>845</v>
      </c>
      <c r="B847" s="2" t="inlineStr">
        <is>
          <t>白糖空 12-06</t>
        </is>
      </c>
      <c r="C847" s="10" t="n">
        <v>2</v>
      </c>
      <c r="D847" s="33" t="n">
        <v>0.13</v>
      </c>
    </row>
    <row r="848">
      <c r="A848" s="2" t="n">
        <v>846</v>
      </c>
      <c r="B848" s="2" t="inlineStr">
        <is>
          <t>棉花空 11-24</t>
        </is>
      </c>
      <c r="C848" s="10" t="n">
        <v>3</v>
      </c>
      <c r="D848" s="33" t="n">
        <v>-0.38</v>
      </c>
    </row>
    <row r="849">
      <c r="A849" s="2" t="n">
        <v>847</v>
      </c>
      <c r="B849" s="2" t="inlineStr">
        <is>
          <t>铁矿石多 11-24</t>
        </is>
      </c>
      <c r="C849" s="10" t="n">
        <v>3</v>
      </c>
      <c r="D849" s="33" t="n">
        <v>0.34</v>
      </c>
    </row>
    <row r="850">
      <c r="A850" s="2" t="n">
        <v>848</v>
      </c>
      <c r="B850" s="2" t="inlineStr">
        <is>
          <t>硅铁空 12-05</t>
        </is>
      </c>
      <c r="C850" s="10" t="n">
        <v>2</v>
      </c>
      <c r="D850" s="33" t="n">
        <v>-0.93</v>
      </c>
    </row>
    <row r="851">
      <c r="A851" s="2" t="n">
        <v>849</v>
      </c>
      <c r="B851" s="2" t="inlineStr">
        <is>
          <t>玉米多 12-06</t>
        </is>
      </c>
      <c r="C851" s="10" t="n">
        <v>2</v>
      </c>
      <c r="D851" s="33" t="n">
        <v>-0.01</v>
      </c>
    </row>
    <row r="852">
      <c r="A852" s="2" t="n">
        <v>850</v>
      </c>
      <c r="B852" s="2" t="inlineStr">
        <is>
          <t>菜粕多 11-24</t>
        </is>
      </c>
      <c r="C852" s="10" t="n">
        <v>2</v>
      </c>
      <c r="D852" s="33" t="n">
        <v>0.04</v>
      </c>
    </row>
    <row r="853">
      <c r="A853" s="2" t="n">
        <v>851</v>
      </c>
      <c r="B853" s="2" t="inlineStr">
        <is>
          <t>锰硅空 11-29</t>
        </is>
      </c>
      <c r="C853" s="10" t="n">
        <v>3</v>
      </c>
      <c r="D853" s="33" t="n">
        <v>-0.2</v>
      </c>
    </row>
    <row r="854">
      <c r="A854" s="2" t="n">
        <v>852</v>
      </c>
      <c r="B854" s="2" t="inlineStr">
        <is>
          <t>沪锌空 12-04</t>
        </is>
      </c>
      <c r="C854" s="10" t="n">
        <v>3</v>
      </c>
      <c r="D854" s="33" t="n">
        <v>0.04</v>
      </c>
    </row>
    <row r="855">
      <c r="A855" s="2" t="n">
        <v>853</v>
      </c>
      <c r="B855" s="2" t="inlineStr">
        <is>
          <t>塑料空 12-04</t>
        </is>
      </c>
      <c r="C855" s="10" t="n">
        <v>3</v>
      </c>
      <c r="D855" s="33" t="n">
        <v>-0.71</v>
      </c>
    </row>
    <row r="856">
      <c r="A856" s="2" t="n">
        <v>854</v>
      </c>
      <c r="B856" s="2" t="inlineStr">
        <is>
          <t>玻璃空 12-12</t>
        </is>
      </c>
      <c r="C856" s="10" t="n">
        <v>2</v>
      </c>
      <c r="D856" s="33" t="n">
        <v>0.19</v>
      </c>
    </row>
    <row r="857">
      <c r="A857" s="2" t="n">
        <v>855</v>
      </c>
      <c r="B857" s="2" t="inlineStr">
        <is>
          <t>铁矿石多 12-12</t>
        </is>
      </c>
      <c r="C857" s="10" t="n">
        <v>2</v>
      </c>
      <c r="D857" s="33" t="n">
        <v>-0.22</v>
      </c>
    </row>
    <row r="858">
      <c r="A858" s="2" t="n">
        <v>856</v>
      </c>
      <c r="B858" s="2" t="inlineStr">
        <is>
          <t>PTA空 12-13</t>
        </is>
      </c>
      <c r="C858" s="10" t="n">
        <v>3</v>
      </c>
      <c r="D858" s="33" t="n">
        <v>0.12</v>
      </c>
    </row>
    <row r="859">
      <c r="A859" s="2" t="n">
        <v>857</v>
      </c>
      <c r="B859" s="2" t="inlineStr">
        <is>
          <t>豆油空 12-14</t>
        </is>
      </c>
      <c r="C859" s="10" t="n">
        <v>3</v>
      </c>
      <c r="D859" s="33" t="n">
        <v>0.1</v>
      </c>
    </row>
    <row r="860">
      <c r="A860" s="2" t="n">
        <v>858</v>
      </c>
      <c r="B860" s="2" t="inlineStr">
        <is>
          <t>豆粕空 12-04</t>
        </is>
      </c>
      <c r="C860" s="10" t="n">
        <v>2</v>
      </c>
      <c r="D860" s="33" t="n">
        <v>-0.02</v>
      </c>
    </row>
    <row r="861">
      <c r="A861" s="2" t="n">
        <v>859</v>
      </c>
      <c r="B861" s="2" t="inlineStr">
        <is>
          <t>沪铝空 12-06</t>
        </is>
      </c>
      <c r="C861" s="10" t="n">
        <v>2</v>
      </c>
      <c r="D861" s="33" t="n">
        <v>-0.65</v>
      </c>
    </row>
    <row r="862">
      <c r="A862" s="2" t="n">
        <v>860</v>
      </c>
      <c r="B862" s="2" t="inlineStr">
        <is>
          <t>玉米空 12-12</t>
        </is>
      </c>
      <c r="C862" s="10" t="n">
        <v>3</v>
      </c>
      <c r="D862" s="33" t="n">
        <v>1.12</v>
      </c>
    </row>
    <row r="863">
      <c r="A863" s="2" t="n">
        <v>861</v>
      </c>
      <c r="B863" s="2" t="inlineStr">
        <is>
          <t>棕榈油多 12-12</t>
        </is>
      </c>
      <c r="C863" s="10" t="n">
        <v>2</v>
      </c>
      <c r="D863" s="33" t="n">
        <v>-0.03</v>
      </c>
    </row>
    <row r="864">
      <c r="A864" s="2" t="n">
        <v>862</v>
      </c>
      <c r="B864" s="2" t="inlineStr">
        <is>
          <t>甲醇多 12-07</t>
        </is>
      </c>
      <c r="C864" s="10" t="n">
        <v>2</v>
      </c>
      <c r="D864" s="33" t="n">
        <v>-0.29</v>
      </c>
    </row>
    <row r="865">
      <c r="A865" s="2" t="n">
        <v>863</v>
      </c>
      <c r="B865" s="2" t="inlineStr">
        <is>
          <t>乙二醇多 12-19</t>
        </is>
      </c>
      <c r="C865" s="10" t="n">
        <v>2</v>
      </c>
      <c r="D865" s="33" t="n">
        <v>0.67</v>
      </c>
    </row>
    <row r="866">
      <c r="A866" s="2" t="n">
        <v>864</v>
      </c>
      <c r="B866" s="2" t="inlineStr">
        <is>
          <t>棕榈油多 12-19</t>
        </is>
      </c>
      <c r="C866" s="10" t="n">
        <v>2</v>
      </c>
      <c r="D866" s="33" t="n">
        <v>0.06</v>
      </c>
    </row>
    <row r="867">
      <c r="A867" s="2" t="n">
        <v>865</v>
      </c>
      <c r="B867" s="2" t="inlineStr">
        <is>
          <t>PVC空 12-05</t>
        </is>
      </c>
      <c r="C867" s="10" t="n">
        <v>3</v>
      </c>
      <c r="D867" s="33" t="n">
        <v>-0.84</v>
      </c>
    </row>
    <row r="868">
      <c r="A868" s="2" t="n">
        <v>866</v>
      </c>
      <c r="B868" s="2" t="inlineStr">
        <is>
          <t>菜油空 12-14</t>
        </is>
      </c>
      <c r="C868" s="10" t="n">
        <v>3</v>
      </c>
      <c r="D868" s="33" t="n">
        <v>0.03</v>
      </c>
    </row>
    <row r="869">
      <c r="A869" s="2" t="n">
        <v>867</v>
      </c>
      <c r="B869" s="2" t="inlineStr">
        <is>
          <t>玉米空 12-20</t>
        </is>
      </c>
      <c r="C869" s="10" t="n">
        <v>2</v>
      </c>
      <c r="D869" s="33" t="n">
        <v>-0.05</v>
      </c>
    </row>
    <row r="870">
      <c r="A870" s="2" t="n">
        <v>868</v>
      </c>
      <c r="B870" s="2" t="inlineStr">
        <is>
          <t>豆粕空 12-20</t>
        </is>
      </c>
      <c r="C870" s="10" t="n">
        <v>3</v>
      </c>
      <c r="D870" s="33" t="n">
        <v>0.2</v>
      </c>
    </row>
    <row r="871">
      <c r="A871" s="2" t="n">
        <v>869</v>
      </c>
      <c r="B871" s="2" t="inlineStr">
        <is>
          <t>白糖空 12-13</t>
        </is>
      </c>
      <c r="C871" s="10" t="n">
        <v>3</v>
      </c>
      <c r="D871" s="33" t="n">
        <v>0.23</v>
      </c>
    </row>
    <row r="872">
      <c r="A872" s="2" t="n">
        <v>870</v>
      </c>
      <c r="B872" s="2" t="inlineStr">
        <is>
          <t>菜粕多 12-12</t>
        </is>
      </c>
      <c r="C872" s="10" t="n">
        <v>2</v>
      </c>
      <c r="D872" s="33" t="n">
        <v>-0.46</v>
      </c>
    </row>
    <row r="873">
      <c r="A873" s="2" t="n">
        <v>871</v>
      </c>
      <c r="B873" s="2" t="inlineStr">
        <is>
          <t>锰硅空 12-13</t>
        </is>
      </c>
      <c r="C873" s="10" t="n">
        <v>2</v>
      </c>
      <c r="D873" s="33" t="n">
        <v>-0.09</v>
      </c>
    </row>
    <row r="874">
      <c r="A874" s="2" t="n">
        <v>872</v>
      </c>
      <c r="B874" s="2" t="inlineStr">
        <is>
          <t>硅铁空 12-14</t>
        </is>
      </c>
      <c r="C874" s="10" t="n">
        <v>2</v>
      </c>
      <c r="D874" s="33" t="n">
        <v>0.2</v>
      </c>
    </row>
    <row r="875">
      <c r="A875" s="2" t="n">
        <v>873</v>
      </c>
      <c r="B875" s="2" t="inlineStr">
        <is>
          <t>沪铝多 12-25</t>
        </is>
      </c>
      <c r="C875" s="10" t="n">
        <v>3</v>
      </c>
      <c r="D875" s="33" t="n">
        <v>0.13</v>
      </c>
    </row>
    <row r="876">
      <c r="A876" s="2" t="n">
        <v>874</v>
      </c>
      <c r="B876" s="2" t="inlineStr">
        <is>
          <t>螺纹钢多 12-08</t>
        </is>
      </c>
      <c r="C876" s="10" t="n">
        <v>3</v>
      </c>
      <c r="D876" s="33" t="n">
        <v>-0.09</v>
      </c>
    </row>
    <row r="877">
      <c r="A877" s="2" t="n">
        <v>875</v>
      </c>
      <c r="B877" s="2" t="inlineStr">
        <is>
          <t>沪铜多 12-11</t>
        </is>
      </c>
      <c r="C877" s="10" t="n">
        <v>3</v>
      </c>
      <c r="D877" s="33" t="n">
        <v>0.68</v>
      </c>
    </row>
    <row r="878">
      <c r="A878" s="2" t="n">
        <v>876</v>
      </c>
      <c r="B878" s="2" t="inlineStr">
        <is>
          <t>菜油空 12-22</t>
        </is>
      </c>
      <c r="C878" s="10" t="n">
        <v>3</v>
      </c>
      <c r="D878" s="33" t="n">
        <v>-0.27</v>
      </c>
    </row>
    <row r="879">
      <c r="A879" s="2" t="n">
        <v>877</v>
      </c>
      <c r="B879" s="2" t="inlineStr">
        <is>
          <t>塑料多 12-25</t>
        </is>
      </c>
      <c r="C879" s="10" t="n">
        <v>3</v>
      </c>
      <c r="D879" s="33" t="n">
        <v>0.21</v>
      </c>
    </row>
    <row r="880">
      <c r="A880" s="2" t="n">
        <v>878</v>
      </c>
      <c r="B880" s="2" t="inlineStr">
        <is>
          <t>棉花多 12-21</t>
        </is>
      </c>
      <c r="C880" s="10" t="n">
        <v>3</v>
      </c>
      <c r="D880" s="33" t="n">
        <v>0.45</v>
      </c>
    </row>
    <row r="881">
      <c r="A881" s="2" t="n">
        <v>879</v>
      </c>
      <c r="B881" s="2" t="inlineStr">
        <is>
          <t>沪锌多 12-27</t>
        </is>
      </c>
      <c r="C881" s="10" t="n">
        <v>3</v>
      </c>
      <c r="D881" s="33" t="n">
        <v>0.14</v>
      </c>
    </row>
    <row r="882">
      <c r="A882" s="2" t="n">
        <v>880</v>
      </c>
      <c r="B882" s="2" t="inlineStr">
        <is>
          <t>沪铜多 12-28</t>
        </is>
      </c>
      <c r="C882" s="10" t="n">
        <v>2</v>
      </c>
      <c r="D882" s="33" t="n">
        <v>-0.03</v>
      </c>
    </row>
    <row r="883">
      <c r="A883" s="2" t="n">
        <v>881</v>
      </c>
      <c r="B883" s="2" t="inlineStr">
        <is>
          <t>纯碱多 12-21</t>
        </is>
      </c>
      <c r="C883" s="10" t="n">
        <v>2</v>
      </c>
      <c r="D883" s="33" t="n">
        <v>-0.27</v>
      </c>
    </row>
    <row r="884">
      <c r="A884" s="2" t="n">
        <v>882</v>
      </c>
      <c r="B884" s="2" t="inlineStr">
        <is>
          <t>燃料油多 12-26</t>
        </is>
      </c>
      <c r="C884" s="10" t="n">
        <v>2</v>
      </c>
      <c r="D884" s="33" t="n">
        <v>-0.36</v>
      </c>
    </row>
    <row r="885">
      <c r="A885" s="2" t="n">
        <v>883</v>
      </c>
      <c r="B885" s="2" t="inlineStr">
        <is>
          <t>PTA多 12-28</t>
        </is>
      </c>
      <c r="C885" s="10" t="n">
        <v>3</v>
      </c>
      <c r="D885" s="33" t="n">
        <v>-0.12</v>
      </c>
    </row>
    <row r="886">
      <c r="A886" s="2" t="n">
        <v>884</v>
      </c>
      <c r="B886" s="2" t="inlineStr">
        <is>
          <t>苯乙烯多 12-27</t>
        </is>
      </c>
      <c r="C886" s="10" t="n">
        <v>3</v>
      </c>
      <c r="D886" s="33" t="n">
        <v>-0.05</v>
      </c>
    </row>
    <row r="887">
      <c r="A887" s="2" t="n">
        <v>885</v>
      </c>
      <c r="B887" s="2" t="inlineStr">
        <is>
          <t>菜粕多 12-28</t>
        </is>
      </c>
      <c r="C887" s="10" t="n">
        <v>3</v>
      </c>
      <c r="D887" s="33" t="n">
        <v>-0.85</v>
      </c>
    </row>
    <row r="888">
      <c r="A888" s="2" t="n">
        <v>886</v>
      </c>
      <c r="B888" s="2" t="inlineStr">
        <is>
          <t>菜油空 12-29</t>
        </is>
      </c>
      <c r="C888" s="10" t="n">
        <v>2</v>
      </c>
      <c r="D888" s="33" t="n">
        <v>0.31</v>
      </c>
    </row>
    <row r="889">
      <c r="A889" s="2" t="n">
        <v>887</v>
      </c>
      <c r="B889" s="2" t="inlineStr">
        <is>
          <t>纯碱空 01-02</t>
        </is>
      </c>
      <c r="C889" s="10" t="n">
        <v>3</v>
      </c>
      <c r="D889" s="33" t="n">
        <v>-0.2</v>
      </c>
    </row>
    <row r="890">
      <c r="A890" s="2" t="n">
        <v>888</v>
      </c>
      <c r="B890" s="2" t="inlineStr">
        <is>
          <t>聚丙烯多 12-22</t>
        </is>
      </c>
      <c r="C890" s="10" t="n">
        <v>2</v>
      </c>
      <c r="D890" s="33" t="n">
        <v>-0.74</v>
      </c>
    </row>
    <row r="891">
      <c r="A891" s="2" t="n">
        <v>889</v>
      </c>
      <c r="B891" s="2" t="inlineStr">
        <is>
          <t>乙二醇多 01-03</t>
        </is>
      </c>
      <c r="C891" s="10" t="n">
        <v>2</v>
      </c>
      <c r="D891" s="33" t="n">
        <v>0.3</v>
      </c>
    </row>
    <row r="892">
      <c r="A892" s="2" t="n">
        <v>890</v>
      </c>
      <c r="B892" s="2" t="inlineStr">
        <is>
          <t>沪铝多 12-27</t>
        </is>
      </c>
      <c r="C892" s="10" t="n">
        <v>3</v>
      </c>
      <c r="D892" s="33" t="n">
        <v>-0.57</v>
      </c>
    </row>
    <row r="893">
      <c r="A893" s="2" t="n">
        <v>891</v>
      </c>
      <c r="B893" s="2" t="inlineStr">
        <is>
          <t>热卷多 01-02</t>
        </is>
      </c>
      <c r="C893" s="10" t="n">
        <v>3</v>
      </c>
      <c r="D893" s="33" t="n">
        <v>-0.59</v>
      </c>
    </row>
    <row r="894">
      <c r="A894" s="2" t="n">
        <v>892</v>
      </c>
      <c r="B894" s="2" t="inlineStr">
        <is>
          <t>菜油空 01-04</t>
        </is>
      </c>
      <c r="C894" s="10" t="n">
        <v>2</v>
      </c>
      <c r="D894" s="33" t="n">
        <v>0.14</v>
      </c>
    </row>
    <row r="895">
      <c r="A895" s="2" t="n">
        <v>893</v>
      </c>
      <c r="B895" s="2" t="inlineStr">
        <is>
          <t>纯碱空 01-04</t>
        </is>
      </c>
      <c r="C895" s="10" t="n">
        <v>3</v>
      </c>
      <c r="D895" s="33" t="n">
        <v>0.13</v>
      </c>
    </row>
    <row r="896">
      <c r="A896" s="2" t="n">
        <v>894</v>
      </c>
      <c r="B896" s="2" t="inlineStr">
        <is>
          <t>沥青空 12-13</t>
        </is>
      </c>
      <c r="C896" s="10" t="n">
        <v>2</v>
      </c>
      <c r="D896" s="33" t="n">
        <v>0.3</v>
      </c>
    </row>
    <row r="897">
      <c r="A897" s="2" t="n">
        <v>895</v>
      </c>
      <c r="B897" s="2" t="inlineStr">
        <is>
          <t>沪锌多 01-02</t>
        </is>
      </c>
      <c r="C897" s="10" t="n">
        <v>3</v>
      </c>
      <c r="D897" s="33" t="n">
        <v>-0.41</v>
      </c>
    </row>
    <row r="898">
      <c r="A898" s="2" t="n">
        <v>896</v>
      </c>
      <c r="B898" s="2" t="inlineStr">
        <is>
          <t>硅铁空 01-08</t>
        </is>
      </c>
      <c r="C898" s="10" t="n">
        <v>2</v>
      </c>
      <c r="D898" s="33" t="n">
        <v>0</v>
      </c>
    </row>
    <row r="899">
      <c r="A899" s="2" t="n">
        <v>897</v>
      </c>
      <c r="B899" s="2" t="inlineStr">
        <is>
          <t>棕榈油空 01-04</t>
        </is>
      </c>
      <c r="C899" s="10" t="n">
        <v>2</v>
      </c>
      <c r="D899" s="33" t="n">
        <v>-0.48</v>
      </c>
    </row>
    <row r="900">
      <c r="A900" s="2" t="n">
        <v>898</v>
      </c>
      <c r="B900" s="2" t="inlineStr">
        <is>
          <t>纯碱空 01-09</t>
        </is>
      </c>
      <c r="C900" s="10" t="n">
        <v>3</v>
      </c>
      <c r="D900" s="33" t="n">
        <v>0.18</v>
      </c>
    </row>
    <row r="901">
      <c r="A901" s="2" t="n">
        <v>899</v>
      </c>
      <c r="B901" s="2" t="inlineStr">
        <is>
          <t>聚丙烯空 01-08</t>
        </is>
      </c>
      <c r="C901" s="10" t="n">
        <v>3</v>
      </c>
      <c r="D901" s="33" t="n">
        <v>0.18</v>
      </c>
    </row>
    <row r="902">
      <c r="A902" s="2" t="n">
        <v>900</v>
      </c>
      <c r="B902" s="2" t="inlineStr">
        <is>
          <t>菜粕空 01-11</t>
        </is>
      </c>
      <c r="C902" s="10" t="n">
        <v>3</v>
      </c>
      <c r="D902" s="33" t="n">
        <v>0.07000000000000001</v>
      </c>
    </row>
    <row r="903">
      <c r="A903" s="2" t="n">
        <v>901</v>
      </c>
      <c r="B903" s="2" t="inlineStr">
        <is>
          <t>棉花多 01-03</t>
        </is>
      </c>
      <c r="C903" s="10" t="n">
        <v>2</v>
      </c>
      <c r="D903" s="33" t="n">
        <v>-0.32</v>
      </c>
    </row>
    <row r="904">
      <c r="A904" s="2" t="n">
        <v>902</v>
      </c>
      <c r="B904" s="2" t="inlineStr">
        <is>
          <t>豆粕空 01-05</t>
        </is>
      </c>
      <c r="C904" s="10" t="n">
        <v>3</v>
      </c>
      <c r="D904" s="33" t="n">
        <v>0.83</v>
      </c>
    </row>
    <row r="905">
      <c r="A905" s="2" t="n">
        <v>903</v>
      </c>
      <c r="B905" s="2" t="inlineStr">
        <is>
          <t>沪镍空 01-05</t>
        </is>
      </c>
      <c r="C905" s="10" t="n">
        <v>2</v>
      </c>
      <c r="D905" s="33" t="n">
        <v>-0.39</v>
      </c>
    </row>
    <row r="906">
      <c r="A906" s="2" t="n">
        <v>904</v>
      </c>
      <c r="B906" s="2" t="inlineStr">
        <is>
          <t>硅铁空 01-10</t>
        </is>
      </c>
      <c r="C906" s="10" t="n">
        <v>2</v>
      </c>
      <c r="D906" s="33" t="n">
        <v>-0.05</v>
      </c>
    </row>
    <row r="907">
      <c r="A907" s="2" t="n">
        <v>905</v>
      </c>
      <c r="B907" s="2" t="inlineStr">
        <is>
          <t>苯乙烯空 01-08</t>
        </is>
      </c>
      <c r="C907" s="10" t="n">
        <v>2</v>
      </c>
      <c r="D907" s="33" t="n">
        <v>-0.63</v>
      </c>
    </row>
    <row r="908">
      <c r="A908" s="2" t="n">
        <v>906</v>
      </c>
      <c r="B908" s="2" t="inlineStr">
        <is>
          <t>纯碱空 01-12</t>
        </is>
      </c>
      <c r="C908" s="10" t="n">
        <v>3</v>
      </c>
      <c r="D908" s="33" t="n">
        <v>-0.38</v>
      </c>
    </row>
    <row r="909">
      <c r="A909" s="2" t="n">
        <v>907</v>
      </c>
      <c r="B909" s="2" t="inlineStr">
        <is>
          <t>沪锌多 01-11</t>
        </is>
      </c>
      <c r="C909" s="10" t="n">
        <v>3</v>
      </c>
      <c r="D909" s="33" t="n">
        <v>-0.04</v>
      </c>
    </row>
    <row r="910">
      <c r="A910" s="2" t="n">
        <v>908</v>
      </c>
      <c r="B910" s="2" t="inlineStr">
        <is>
          <t>白糖多 01-16</t>
        </is>
      </c>
      <c r="C910" s="10" t="n">
        <v>2</v>
      </c>
      <c r="D910" s="33" t="n">
        <v>0.12</v>
      </c>
    </row>
    <row r="911">
      <c r="A911" s="2" t="n">
        <v>909</v>
      </c>
      <c r="B911" s="2" t="inlineStr">
        <is>
          <t>沪铜空 01-16</t>
        </is>
      </c>
      <c r="C911" s="10" t="n">
        <v>2</v>
      </c>
      <c r="D911" s="33" t="n">
        <v>0.07000000000000001</v>
      </c>
    </row>
    <row r="912">
      <c r="A912" s="2" t="n">
        <v>910</v>
      </c>
      <c r="B912" s="2" t="inlineStr">
        <is>
          <t>豆粕空 01-16</t>
        </is>
      </c>
      <c r="C912" s="10" t="n">
        <v>3</v>
      </c>
      <c r="D912" s="33" t="n">
        <v>0.34</v>
      </c>
    </row>
    <row r="913">
      <c r="A913" s="2" t="n">
        <v>911</v>
      </c>
      <c r="B913" s="2" t="inlineStr">
        <is>
          <t>乙二醇多 01-17</t>
        </is>
      </c>
      <c r="C913" s="10" t="n">
        <v>2</v>
      </c>
      <c r="D913" s="33" t="n">
        <v>0.01</v>
      </c>
    </row>
    <row r="914">
      <c r="A914" s="2" t="n">
        <v>912</v>
      </c>
      <c r="B914" s="2" t="inlineStr">
        <is>
          <t>棉花空 01-15</t>
        </is>
      </c>
      <c r="C914" s="10" t="n">
        <v>2</v>
      </c>
      <c r="D914" s="33" t="n">
        <v>-0.77</v>
      </c>
    </row>
    <row r="915">
      <c r="A915" s="2" t="n">
        <v>913</v>
      </c>
      <c r="B915" s="2" t="inlineStr">
        <is>
          <t>聚丙烯多 01-16</t>
        </is>
      </c>
      <c r="C915" s="10" t="n">
        <v>2</v>
      </c>
      <c r="D915" s="33" t="n">
        <v>-0.11</v>
      </c>
    </row>
    <row r="916">
      <c r="A916" s="2" t="n">
        <v>914</v>
      </c>
      <c r="B916" s="2" t="inlineStr">
        <is>
          <t>白糖多 01-18</t>
        </is>
      </c>
      <c r="C916" s="10" t="n">
        <v>2</v>
      </c>
      <c r="D916" s="33" t="n">
        <v>0.16</v>
      </c>
    </row>
    <row r="917">
      <c r="A917" s="2" t="n">
        <v>915</v>
      </c>
      <c r="B917" s="2" t="inlineStr">
        <is>
          <t>PTA多 01-18</t>
        </is>
      </c>
      <c r="C917" s="10" t="n">
        <v>2</v>
      </c>
      <c r="D917" s="33" t="n">
        <v>0.18</v>
      </c>
    </row>
    <row r="918">
      <c r="A918" s="2" t="n">
        <v>916</v>
      </c>
      <c r="B918" s="2" t="inlineStr">
        <is>
          <t>沪锌空 01-18</t>
        </is>
      </c>
      <c r="C918" s="10" t="n">
        <v>2</v>
      </c>
      <c r="D918" s="33" t="n">
        <v>0.04</v>
      </c>
    </row>
    <row r="919">
      <c r="A919" s="2" t="n">
        <v>917</v>
      </c>
      <c r="B919" s="2" t="inlineStr">
        <is>
          <t>菜粕空 01-17</t>
        </is>
      </c>
      <c r="C919" s="10" t="n">
        <v>3</v>
      </c>
      <c r="D919" s="33" t="n">
        <v>0.12</v>
      </c>
    </row>
    <row r="920">
      <c r="A920" s="2" t="n">
        <v>918</v>
      </c>
      <c r="B920" s="2" t="inlineStr">
        <is>
          <t>沪铝空 01-22</t>
        </is>
      </c>
      <c r="C920" s="10" t="n">
        <v>2</v>
      </c>
      <c r="D920" s="33" t="n">
        <v>-0.5600000000000001</v>
      </c>
    </row>
    <row r="921">
      <c r="A921" s="2" t="n">
        <v>919</v>
      </c>
      <c r="B921" s="2" t="inlineStr">
        <is>
          <t>苯乙烯多 01-22</t>
        </is>
      </c>
      <c r="C921" s="10" t="n">
        <v>2</v>
      </c>
      <c r="D921" s="33" t="n">
        <v>0.17</v>
      </c>
    </row>
    <row r="922">
      <c r="A922" s="2" t="n">
        <v>920</v>
      </c>
      <c r="B922" s="2" t="inlineStr">
        <is>
          <t>螺纹钢空 01-17</t>
        </is>
      </c>
      <c r="C922" s="10" t="n">
        <v>2</v>
      </c>
      <c r="D922" s="33" t="n">
        <v>-0.8100000000000001</v>
      </c>
    </row>
    <row r="923">
      <c r="A923" s="2" t="n">
        <v>921</v>
      </c>
      <c r="B923" s="2" t="inlineStr">
        <is>
          <t>棕榈油多 01-19</t>
        </is>
      </c>
      <c r="C923" s="10" t="n">
        <v>2</v>
      </c>
      <c r="D923" s="33" t="n">
        <v>0</v>
      </c>
    </row>
    <row r="924">
      <c r="A924" s="2" t="n">
        <v>922</v>
      </c>
      <c r="B924" s="2" t="inlineStr">
        <is>
          <t>PTA多 01-24</t>
        </is>
      </c>
      <c r="C924" s="10" t="n">
        <v>3</v>
      </c>
      <c r="D924" s="33" t="n">
        <v>-0.14</v>
      </c>
    </row>
    <row r="925">
      <c r="A925" s="2" t="n">
        <v>923</v>
      </c>
      <c r="B925" s="2" t="inlineStr">
        <is>
          <t>白糖多 01-24</t>
        </is>
      </c>
      <c r="C925" s="10" t="n">
        <v>3</v>
      </c>
      <c r="D925" s="33" t="n">
        <v>-0.26</v>
      </c>
    </row>
    <row r="926">
      <c r="A926" s="2" t="n">
        <v>924</v>
      </c>
      <c r="B926" s="2" t="inlineStr">
        <is>
          <t>沪银空 01-19</t>
        </is>
      </c>
      <c r="C926" s="10" t="n">
        <v>3</v>
      </c>
      <c r="D926" s="33" t="n">
        <v>-0.03</v>
      </c>
    </row>
    <row r="927">
      <c r="A927" s="2" t="n">
        <v>925</v>
      </c>
      <c r="B927" s="2" t="inlineStr">
        <is>
          <t>豆粕空 01-26</t>
        </is>
      </c>
      <c r="C927" s="10" t="n">
        <v>3</v>
      </c>
      <c r="D927" s="33" t="n">
        <v>0.21</v>
      </c>
    </row>
    <row r="928">
      <c r="A928" s="2" t="n">
        <v>926</v>
      </c>
      <c r="B928" s="2" t="inlineStr">
        <is>
          <t>PTA多 01-26</t>
        </is>
      </c>
      <c r="C928" s="10" t="n">
        <v>2</v>
      </c>
      <c r="D928" s="33" t="n">
        <v>-0.01</v>
      </c>
    </row>
    <row r="929">
      <c r="A929" s="2" t="n">
        <v>927</v>
      </c>
      <c r="B929" s="2" t="inlineStr">
        <is>
          <t>菜粕空 01-25</t>
        </is>
      </c>
      <c r="C929" s="10" t="n">
        <v>3</v>
      </c>
      <c r="D929" s="33" t="n">
        <v>0.39</v>
      </c>
    </row>
    <row r="930">
      <c r="A930" s="2" t="n">
        <v>928</v>
      </c>
      <c r="B930" s="2" t="inlineStr">
        <is>
          <t>豆粕空 01-30</t>
        </is>
      </c>
      <c r="C930" s="10" t="n">
        <v>3</v>
      </c>
      <c r="D930" s="33" t="n">
        <v>-0.26</v>
      </c>
    </row>
    <row r="931">
      <c r="A931" s="2" t="n">
        <v>929</v>
      </c>
      <c r="B931" s="2" t="inlineStr">
        <is>
          <t>豆油空 01-30</t>
        </is>
      </c>
      <c r="C931" s="10" t="n">
        <v>2</v>
      </c>
      <c r="D931" s="33" t="n">
        <v>-0.02</v>
      </c>
    </row>
    <row r="932">
      <c r="A932" s="2" t="n">
        <v>930</v>
      </c>
      <c r="B932" s="2" t="inlineStr">
        <is>
          <t>玉米空 01-22</t>
        </is>
      </c>
      <c r="C932" s="10" t="n">
        <v>2</v>
      </c>
      <c r="D932" s="33" t="n">
        <v>-0.75</v>
      </c>
    </row>
    <row r="933">
      <c r="A933" s="2" t="n">
        <v>931</v>
      </c>
      <c r="B933" s="2" t="inlineStr">
        <is>
          <t>白糖多 01-29</t>
        </is>
      </c>
      <c r="C933" s="10" t="n">
        <v>3</v>
      </c>
      <c r="D933" s="33" t="n">
        <v>-0.11</v>
      </c>
    </row>
    <row r="934">
      <c r="A934" s="2" t="n">
        <v>932</v>
      </c>
      <c r="B934" s="2" t="inlineStr">
        <is>
          <t>沪铝空 01-30</t>
        </is>
      </c>
      <c r="C934" s="10" t="n">
        <v>2</v>
      </c>
      <c r="D934" s="33" t="n">
        <v>0.14</v>
      </c>
    </row>
    <row r="935">
      <c r="A935" s="2" t="n">
        <v>933</v>
      </c>
      <c r="B935" s="2" t="inlineStr">
        <is>
          <t>热卷空 01-31</t>
        </is>
      </c>
      <c r="C935" s="10" t="n">
        <v>2</v>
      </c>
      <c r="D935" s="33" t="n">
        <v>0.01</v>
      </c>
    </row>
    <row r="936">
      <c r="A936" s="2" t="n">
        <v>934</v>
      </c>
      <c r="B936" s="2" t="inlineStr">
        <is>
          <t>沪镍多 01-26</t>
        </is>
      </c>
      <c r="C936" s="10" t="n">
        <v>2</v>
      </c>
      <c r="D936" s="33" t="n">
        <v>-0.64</v>
      </c>
    </row>
    <row r="937">
      <c r="A937" s="2" t="n">
        <v>935</v>
      </c>
      <c r="B937" s="2" t="inlineStr">
        <is>
          <t>沪银多 01-29</t>
        </is>
      </c>
      <c r="C937" s="10" t="n">
        <v>3</v>
      </c>
      <c r="D937" s="33" t="n">
        <v>-0.37</v>
      </c>
    </row>
    <row r="938">
      <c r="A938" s="2" t="n">
        <v>936</v>
      </c>
      <c r="B938" s="2" t="inlineStr">
        <is>
          <t>沪铜多 01-31</t>
        </is>
      </c>
      <c r="C938" s="10" t="n">
        <v>2</v>
      </c>
      <c r="D938" s="33" t="n">
        <v>-0.47</v>
      </c>
    </row>
    <row r="939">
      <c r="A939" s="2" t="n">
        <v>937</v>
      </c>
      <c r="B939" s="2" t="inlineStr">
        <is>
          <t>苯乙烯多 02-01</t>
        </is>
      </c>
      <c r="C939" s="10" t="n">
        <v>3</v>
      </c>
      <c r="D939" s="33" t="n">
        <v>-0.05</v>
      </c>
    </row>
    <row r="940">
      <c r="A940" s="2" t="n">
        <v>938</v>
      </c>
      <c r="B940" s="2" t="inlineStr">
        <is>
          <t>沪铝空 02-06</t>
        </is>
      </c>
      <c r="C940" s="10" t="n">
        <v>3</v>
      </c>
      <c r="D940" s="33" t="n">
        <v>-0.01</v>
      </c>
    </row>
    <row r="941">
      <c r="A941" s="2" t="n">
        <v>939</v>
      </c>
      <c r="B941" s="2" t="inlineStr">
        <is>
          <t>苯乙烯多 02-06</t>
        </is>
      </c>
      <c r="C941" s="10" t="n">
        <v>3</v>
      </c>
      <c r="D941" s="33" t="n">
        <v>0.31</v>
      </c>
    </row>
    <row r="942">
      <c r="A942" s="2" t="n">
        <v>940</v>
      </c>
      <c r="B942" s="2" t="inlineStr">
        <is>
          <t>菜粕空 02-07</t>
        </is>
      </c>
      <c r="C942" s="10" t="n">
        <v>3</v>
      </c>
      <c r="D942" s="33" t="n">
        <v>-0.27</v>
      </c>
    </row>
    <row r="943">
      <c r="A943" s="2" t="n">
        <v>941</v>
      </c>
      <c r="B943" s="2" t="inlineStr">
        <is>
          <t>PTA多 02-07</t>
        </is>
      </c>
      <c r="C943" s="10" t="n">
        <v>2</v>
      </c>
      <c r="D943" s="33" t="n">
        <v>0</v>
      </c>
    </row>
    <row r="944">
      <c r="A944" s="2" t="n">
        <v>942</v>
      </c>
      <c r="B944" s="2" t="inlineStr">
        <is>
          <t>白糖多 02-06</t>
        </is>
      </c>
      <c r="C944" s="10" t="n">
        <v>3</v>
      </c>
      <c r="D944" s="33" t="n">
        <v>-0.07000000000000001</v>
      </c>
    </row>
    <row r="945">
      <c r="A945" s="2" t="n">
        <v>943</v>
      </c>
      <c r="B945" s="2" t="inlineStr">
        <is>
          <t>玻璃多 01-29</t>
        </is>
      </c>
      <c r="C945" s="10" t="n">
        <v>2</v>
      </c>
      <c r="D945" s="33" t="n">
        <v>-0.53</v>
      </c>
    </row>
    <row r="946">
      <c r="A946" s="2" t="n">
        <v>944</v>
      </c>
      <c r="B946" s="2" t="inlineStr">
        <is>
          <t>棕榈油空 02-02</t>
        </is>
      </c>
      <c r="C946" s="10" t="n">
        <v>3</v>
      </c>
      <c r="D946" s="33" t="n">
        <v>-0.5600000000000001</v>
      </c>
    </row>
    <row r="947">
      <c r="A947" s="2" t="n">
        <v>945</v>
      </c>
      <c r="B947" s="2" t="inlineStr">
        <is>
          <t>沪锌空 02-08</t>
        </is>
      </c>
      <c r="C947" s="10" t="n">
        <v>3</v>
      </c>
      <c r="D947" s="33" t="n">
        <v>0.27</v>
      </c>
    </row>
    <row r="948">
      <c r="A948" s="2" t="n">
        <v>946</v>
      </c>
      <c r="B948" s="2" t="inlineStr">
        <is>
          <t>PTA多 02-19</t>
        </is>
      </c>
      <c r="C948" s="10" t="n">
        <v>3</v>
      </c>
      <c r="D948" s="33" t="n">
        <v>-0.26</v>
      </c>
    </row>
    <row r="949">
      <c r="A949" s="2" t="n">
        <v>947</v>
      </c>
      <c r="B949" s="2" t="inlineStr">
        <is>
          <t>玻璃空 02-20</t>
        </is>
      </c>
      <c r="C949" s="10" t="n">
        <v>2</v>
      </c>
      <c r="D949" s="33" t="n">
        <v>0.1</v>
      </c>
    </row>
    <row r="950">
      <c r="A950" s="2" t="n">
        <v>948</v>
      </c>
      <c r="B950" s="2" t="inlineStr">
        <is>
          <t>棕榈油多 02-20</t>
        </is>
      </c>
      <c r="C950" s="10" t="n">
        <v>2</v>
      </c>
      <c r="D950" s="33" t="n">
        <v>0.12</v>
      </c>
    </row>
    <row r="951">
      <c r="A951" s="2" t="n">
        <v>949</v>
      </c>
      <c r="B951" s="2" t="inlineStr">
        <is>
          <t>玉米多 02-06</t>
        </is>
      </c>
      <c r="C951" s="10" t="n">
        <v>2</v>
      </c>
      <c r="D951" s="33" t="n">
        <v>0.65</v>
      </c>
    </row>
    <row r="952">
      <c r="A952" s="2" t="n">
        <v>950</v>
      </c>
      <c r="B952" s="2" t="inlineStr">
        <is>
          <t>沪镍空 02-07</t>
        </is>
      </c>
      <c r="C952" s="10" t="n">
        <v>3</v>
      </c>
      <c r="D952" s="33" t="n">
        <v>-0.62</v>
      </c>
    </row>
    <row r="953">
      <c r="A953" s="2" t="n">
        <v>951</v>
      </c>
      <c r="B953" s="2" t="inlineStr">
        <is>
          <t>沪铝空 02-20</t>
        </is>
      </c>
      <c r="C953" s="10" t="n">
        <v>3</v>
      </c>
      <c r="D953" s="33" t="n">
        <v>-0.19</v>
      </c>
    </row>
    <row r="954">
      <c r="A954" s="2" t="n">
        <v>952</v>
      </c>
      <c r="B954" s="2" t="inlineStr">
        <is>
          <t>沪镍多 02-22</t>
        </is>
      </c>
      <c r="C954" s="10" t="n">
        <v>2</v>
      </c>
      <c r="D954" s="33" t="n">
        <v>0.32</v>
      </c>
    </row>
    <row r="955">
      <c r="A955" s="2" t="n">
        <v>953</v>
      </c>
      <c r="B955" s="2" t="inlineStr">
        <is>
          <t>沪锌多 02-22</t>
        </is>
      </c>
      <c r="C955" s="10" t="n">
        <v>2</v>
      </c>
      <c r="D955" s="33" t="n">
        <v>0.01</v>
      </c>
    </row>
    <row r="956">
      <c r="A956" s="2" t="n">
        <v>954</v>
      </c>
      <c r="B956" s="2" t="inlineStr">
        <is>
          <t>玉米多 02-23</t>
        </is>
      </c>
      <c r="C956" s="10" t="n">
        <v>2</v>
      </c>
      <c r="D956" s="33" t="n">
        <v>0.01</v>
      </c>
    </row>
    <row r="957">
      <c r="A957" s="2" t="n">
        <v>955</v>
      </c>
      <c r="B957" s="2" t="inlineStr">
        <is>
          <t>甲醇多 02-23</t>
        </is>
      </c>
      <c r="C957" s="10" t="n">
        <v>3</v>
      </c>
      <c r="D957" s="33" t="n">
        <v>-0.02</v>
      </c>
    </row>
    <row r="958">
      <c r="A958" s="2" t="n">
        <v>956</v>
      </c>
      <c r="B958" s="2" t="inlineStr">
        <is>
          <t>纯碱空 02-26</t>
        </is>
      </c>
      <c r="C958" s="10" t="n">
        <v>3</v>
      </c>
      <c r="D958" s="33" t="n">
        <v>-0.1</v>
      </c>
    </row>
    <row r="959">
      <c r="A959" s="2" t="n">
        <v>957</v>
      </c>
      <c r="B959" s="2" t="inlineStr">
        <is>
          <t>沪锌多 02-26</t>
        </is>
      </c>
      <c r="C959" s="10" t="n">
        <v>3</v>
      </c>
      <c r="D959" s="33" t="n">
        <v>0.17</v>
      </c>
    </row>
    <row r="960">
      <c r="A960" s="2" t="n">
        <v>958</v>
      </c>
      <c r="B960" s="2" t="inlineStr">
        <is>
          <t>甲醇多 02-27</t>
        </is>
      </c>
      <c r="C960" s="10" t="n">
        <v>3</v>
      </c>
      <c r="D960" s="33" t="n">
        <v>-0.08</v>
      </c>
    </row>
    <row r="961">
      <c r="A961" s="2" t="n">
        <v>959</v>
      </c>
      <c r="B961" s="2" t="inlineStr">
        <is>
          <t>豆粕空 02-07</t>
        </is>
      </c>
      <c r="C961" s="10" t="n">
        <v>2</v>
      </c>
      <c r="D961" s="33" t="n">
        <v>-0.71</v>
      </c>
    </row>
    <row r="962">
      <c r="A962" s="2" t="n">
        <v>960</v>
      </c>
      <c r="B962" s="2" t="inlineStr">
        <is>
          <t>螺纹钢空 02-29</t>
        </is>
      </c>
      <c r="C962" s="10" t="n">
        <v>3</v>
      </c>
      <c r="D962" s="33" t="n">
        <v>0.14</v>
      </c>
    </row>
    <row r="963">
      <c r="A963" s="2" t="n">
        <v>961</v>
      </c>
      <c r="B963" s="2" t="inlineStr">
        <is>
          <t>豆油多 02-29</t>
        </is>
      </c>
      <c r="C963" s="10" t="n">
        <v>3</v>
      </c>
      <c r="D963" s="33" t="n">
        <v>0.27</v>
      </c>
    </row>
    <row r="964">
      <c r="A964" s="2" t="n">
        <v>962</v>
      </c>
      <c r="B964" s="2" t="inlineStr">
        <is>
          <t>沪金多 02-02</t>
        </is>
      </c>
      <c r="C964" s="10" t="n">
        <v>3</v>
      </c>
      <c r="D964" s="33" t="n">
        <v>0.63</v>
      </c>
    </row>
    <row r="965">
      <c r="A965" s="2" t="n">
        <v>963</v>
      </c>
      <c r="B965" s="2" t="inlineStr">
        <is>
          <t>热卷空 02-26</t>
        </is>
      </c>
      <c r="C965" s="10" t="n">
        <v>3</v>
      </c>
      <c r="D965" s="33" t="n">
        <v>0.05</v>
      </c>
    </row>
    <row r="966">
      <c r="A966" s="2" t="n">
        <v>964</v>
      </c>
      <c r="B966" s="2" t="inlineStr">
        <is>
          <t>棕榈油空 02-26</t>
        </is>
      </c>
      <c r="C966" s="10" t="n">
        <v>2</v>
      </c>
      <c r="D966" s="33" t="n">
        <v>-0.62</v>
      </c>
    </row>
    <row r="967">
      <c r="A967" s="2" t="n">
        <v>965</v>
      </c>
      <c r="B967" s="2" t="inlineStr">
        <is>
          <t>豆油多 03-04</t>
        </is>
      </c>
      <c r="C967" s="10" t="n">
        <v>3</v>
      </c>
      <c r="D967" s="33" t="n">
        <v>0.35</v>
      </c>
    </row>
    <row r="968">
      <c r="A968" s="2" t="n">
        <v>966</v>
      </c>
      <c r="B968" s="2" t="inlineStr">
        <is>
          <t>玻璃空 03-06</t>
        </is>
      </c>
      <c r="C968" s="10" t="n">
        <v>2</v>
      </c>
      <c r="D968" s="33" t="n">
        <v>0.2</v>
      </c>
    </row>
    <row r="969">
      <c r="A969" s="2" t="n">
        <v>967</v>
      </c>
      <c r="B969" s="2" t="inlineStr">
        <is>
          <t>螺纹钢空 03-06</t>
        </is>
      </c>
      <c r="C969" s="10" t="n">
        <v>3</v>
      </c>
      <c r="D969" s="33" t="n">
        <v>0.01</v>
      </c>
    </row>
    <row r="970">
      <c r="A970" s="2" t="n">
        <v>968</v>
      </c>
      <c r="B970" s="2" t="inlineStr">
        <is>
          <t>沪铝空 02-28</t>
        </is>
      </c>
      <c r="C970" s="10" t="n">
        <v>2</v>
      </c>
      <c r="D970" s="33" t="n">
        <v>-0.65</v>
      </c>
    </row>
    <row r="971">
      <c r="A971" s="2" t="n">
        <v>969</v>
      </c>
      <c r="B971" s="2" t="inlineStr">
        <is>
          <t>沪铜空 02-28</t>
        </is>
      </c>
      <c r="C971" s="10" t="n">
        <v>2</v>
      </c>
      <c r="D971" s="33" t="n">
        <v>-0.68</v>
      </c>
    </row>
    <row r="972">
      <c r="A972" s="2" t="n">
        <v>970</v>
      </c>
      <c r="B972" s="2" t="inlineStr">
        <is>
          <t>菜粕多 03-07</t>
        </is>
      </c>
      <c r="C972" s="10" t="n">
        <v>2</v>
      </c>
      <c r="D972" s="33" t="n">
        <v>0.4</v>
      </c>
    </row>
    <row r="973">
      <c r="A973" s="2" t="n">
        <v>971</v>
      </c>
      <c r="B973" s="2" t="inlineStr">
        <is>
          <t>豆油多 03-07</t>
        </is>
      </c>
      <c r="C973" s="10" t="n">
        <v>2</v>
      </c>
      <c r="D973" s="33" t="n">
        <v>0.29</v>
      </c>
    </row>
    <row r="974">
      <c r="A974" s="2" t="n">
        <v>972</v>
      </c>
      <c r="B974" s="2" t="inlineStr">
        <is>
          <t>沪金多 03-05</t>
        </is>
      </c>
      <c r="C974" s="10" t="n">
        <v>3</v>
      </c>
      <c r="D974" s="33" t="n">
        <v>0.61</v>
      </c>
    </row>
    <row r="975">
      <c r="A975" s="2" t="n">
        <v>973</v>
      </c>
      <c r="B975" s="2" t="inlineStr">
        <is>
          <t>菜粕多 03-11</t>
        </is>
      </c>
      <c r="C975" s="10" t="n">
        <v>3</v>
      </c>
      <c r="D975" s="33" t="n">
        <v>0.41</v>
      </c>
    </row>
    <row r="976">
      <c r="A976" s="2" t="n">
        <v>974</v>
      </c>
      <c r="B976" s="2" t="inlineStr">
        <is>
          <t>沪铝多 03-08</t>
        </is>
      </c>
      <c r="C976" s="10" t="n">
        <v>3</v>
      </c>
      <c r="D976" s="33" t="n">
        <v>0.01</v>
      </c>
    </row>
    <row r="977">
      <c r="A977" s="2" t="n">
        <v>975</v>
      </c>
      <c r="B977" s="2" t="inlineStr">
        <is>
          <t>螺纹钢空 03-08</t>
        </is>
      </c>
      <c r="C977" s="10" t="n">
        <v>3</v>
      </c>
      <c r="D977" s="33" t="n">
        <v>0.61</v>
      </c>
    </row>
    <row r="978">
      <c r="A978" s="2" t="n">
        <v>976</v>
      </c>
      <c r="B978" s="2" t="inlineStr">
        <is>
          <t>玻璃空 03-11</t>
        </is>
      </c>
      <c r="C978" s="10" t="n">
        <v>3</v>
      </c>
      <c r="D978" s="33" t="n">
        <v>0</v>
      </c>
    </row>
    <row r="979">
      <c r="A979" s="2" t="n">
        <v>977</v>
      </c>
      <c r="B979" s="2" t="inlineStr">
        <is>
          <t>棕榈油多 03-07</t>
        </is>
      </c>
      <c r="C979" s="10" t="n">
        <v>3</v>
      </c>
      <c r="D979" s="33" t="n">
        <v>1.31</v>
      </c>
    </row>
    <row r="980">
      <c r="A980" s="2" t="n">
        <v>978</v>
      </c>
      <c r="B980" s="2" t="inlineStr">
        <is>
          <t>热卷空 03-06</t>
        </is>
      </c>
      <c r="C980" s="10" t="n">
        <v>3</v>
      </c>
      <c r="D980" s="33" t="n">
        <v>0.25</v>
      </c>
    </row>
    <row r="981">
      <c r="A981" s="2" t="n">
        <v>979</v>
      </c>
      <c r="B981" s="2" t="inlineStr">
        <is>
          <t>沪镍多 03-13</t>
        </is>
      </c>
      <c r="C981" s="10" t="n">
        <v>3</v>
      </c>
      <c r="D981" s="33" t="n">
        <v>-0.22</v>
      </c>
    </row>
    <row r="982">
      <c r="A982" s="2" t="n">
        <v>980</v>
      </c>
      <c r="B982" s="2" t="inlineStr">
        <is>
          <t>菜粕多 03-14</t>
        </is>
      </c>
      <c r="C982" s="10" t="n">
        <v>3</v>
      </c>
      <c r="D982" s="33" t="n">
        <v>0.41</v>
      </c>
    </row>
    <row r="983">
      <c r="A983" s="2" t="n">
        <v>981</v>
      </c>
      <c r="B983" s="2" t="inlineStr">
        <is>
          <t>沪铝多 03-18</t>
        </is>
      </c>
      <c r="C983" s="10" t="n">
        <v>2</v>
      </c>
      <c r="D983" s="33" t="n">
        <v>-0.15</v>
      </c>
    </row>
    <row r="984">
      <c r="A984" s="2" t="n">
        <v>982</v>
      </c>
      <c r="B984" s="2" t="inlineStr">
        <is>
          <t>豆油多 03-13</t>
        </is>
      </c>
      <c r="C984" s="10" t="n">
        <v>3</v>
      </c>
      <c r="D984" s="33" t="n">
        <v>0.5</v>
      </c>
    </row>
    <row r="985">
      <c r="A985" s="2" t="n">
        <v>983</v>
      </c>
      <c r="B985" s="2" t="inlineStr">
        <is>
          <t>苯乙烯多 02-19</t>
        </is>
      </c>
      <c r="C985" s="10" t="n">
        <v>3</v>
      </c>
      <c r="D985" s="33" t="n">
        <v>-0.22</v>
      </c>
    </row>
    <row r="986">
      <c r="A986" s="2" t="n">
        <v>984</v>
      </c>
      <c r="B986" s="2" t="inlineStr">
        <is>
          <t>沪铜多 03-18</t>
        </is>
      </c>
      <c r="C986" s="10" t="n">
        <v>3</v>
      </c>
      <c r="D986" s="33" t="n">
        <v>0.03</v>
      </c>
    </row>
    <row r="987">
      <c r="A987" s="2" t="n">
        <v>985</v>
      </c>
      <c r="B987" s="2" t="inlineStr">
        <is>
          <t>菜粕多 03-20</t>
        </is>
      </c>
      <c r="C987" s="10" t="n">
        <v>3</v>
      </c>
      <c r="D987" s="33" t="n">
        <v>0.24</v>
      </c>
    </row>
    <row r="988">
      <c r="A988" s="2" t="n">
        <v>986</v>
      </c>
      <c r="B988" s="2" t="inlineStr">
        <is>
          <t>沪银多 03-12</t>
        </is>
      </c>
      <c r="C988" s="10" t="n">
        <v>3</v>
      </c>
      <c r="D988" s="33" t="n">
        <v>0.72</v>
      </c>
    </row>
    <row r="989">
      <c r="A989" s="2" t="n">
        <v>987</v>
      </c>
      <c r="B989" s="2" t="inlineStr">
        <is>
          <t>豆粕多 03-19</t>
        </is>
      </c>
      <c r="C989" s="10" t="n">
        <v>3</v>
      </c>
      <c r="D989" s="33" t="n">
        <v>-0.26</v>
      </c>
    </row>
    <row r="990">
      <c r="A990" s="2" t="n">
        <v>988</v>
      </c>
      <c r="B990" s="2" t="inlineStr">
        <is>
          <t>沪镍空 03-19</t>
        </is>
      </c>
      <c r="C990" s="10" t="n">
        <v>2</v>
      </c>
      <c r="D990" s="33" t="n">
        <v>0.37</v>
      </c>
    </row>
    <row r="991">
      <c r="A991" s="2" t="n">
        <v>989</v>
      </c>
      <c r="B991" s="2" t="inlineStr">
        <is>
          <t>沪铝多 03-20</t>
        </is>
      </c>
      <c r="C991" s="10" t="n">
        <v>3</v>
      </c>
      <c r="D991" s="33" t="n">
        <v>0.29</v>
      </c>
    </row>
    <row r="992">
      <c r="A992" s="2" t="n">
        <v>990</v>
      </c>
      <c r="B992" s="2" t="inlineStr">
        <is>
          <t>沪金多 03-21</t>
        </is>
      </c>
      <c r="C992" s="10" t="n">
        <v>3</v>
      </c>
      <c r="D992" s="33" t="n">
        <v>-0.1</v>
      </c>
    </row>
    <row r="993">
      <c r="A993" s="2" t="n">
        <v>991</v>
      </c>
      <c r="B993" s="2" t="inlineStr">
        <is>
          <t>塑料多 03-21</t>
        </is>
      </c>
      <c r="C993" s="10" t="n">
        <v>3</v>
      </c>
      <c r="D993" s="33" t="n">
        <v>-0.43</v>
      </c>
    </row>
    <row r="994">
      <c r="A994" s="2" t="n">
        <v>992</v>
      </c>
      <c r="B994" s="2" t="inlineStr">
        <is>
          <t>菜粕多 03-22</t>
        </is>
      </c>
      <c r="C994" s="10" t="n">
        <v>2</v>
      </c>
      <c r="D994" s="33" t="n">
        <v>-0.36</v>
      </c>
    </row>
    <row r="995">
      <c r="A995" s="2" t="n">
        <v>993</v>
      </c>
      <c r="B995" s="2" t="inlineStr">
        <is>
          <t>玻璃空 03-25</t>
        </is>
      </c>
      <c r="C995" s="10" t="n">
        <v>3</v>
      </c>
      <c r="D995" s="33" t="n">
        <v>0.01</v>
      </c>
    </row>
    <row r="996">
      <c r="A996" s="2" t="n">
        <v>994</v>
      </c>
      <c r="B996" s="2" t="inlineStr">
        <is>
          <t>热卷空 03-25</t>
        </is>
      </c>
      <c r="C996" s="10" t="n">
        <v>3</v>
      </c>
      <c r="D996" s="33" t="n">
        <v>0.37</v>
      </c>
    </row>
    <row r="997">
      <c r="A997" s="2" t="n">
        <v>995</v>
      </c>
      <c r="B997" s="2" t="inlineStr">
        <is>
          <t>铁矿石空 03-26</t>
        </is>
      </c>
      <c r="C997" s="10" t="n">
        <v>3</v>
      </c>
      <c r="D997" s="33" t="n">
        <v>0.08</v>
      </c>
    </row>
    <row r="998">
      <c r="A998" s="2" t="n">
        <v>996</v>
      </c>
      <c r="B998" s="2" t="inlineStr">
        <is>
          <t>螺纹钢空 03-26</t>
        </is>
      </c>
      <c r="C998" s="10" t="n">
        <v>3</v>
      </c>
      <c r="D998" s="33" t="n">
        <v>0.06</v>
      </c>
    </row>
    <row r="999">
      <c r="A999" s="2" t="n">
        <v>997</v>
      </c>
      <c r="B999" s="2" t="inlineStr">
        <is>
          <t>沪金多 03-27</t>
        </is>
      </c>
      <c r="C999" s="10" t="n">
        <v>3</v>
      </c>
      <c r="D999" s="33" t="n">
        <v>0.09</v>
      </c>
    </row>
    <row r="1000">
      <c r="A1000" s="2" t="n">
        <v>998</v>
      </c>
      <c r="B1000" s="2" t="inlineStr">
        <is>
          <t>热卷空 03-27</t>
        </is>
      </c>
      <c r="C1000" s="10" t="n">
        <v>3</v>
      </c>
      <c r="D1000" s="33" t="n">
        <v>0.1</v>
      </c>
    </row>
    <row r="1001">
      <c r="A1001" s="2" t="n">
        <v>999</v>
      </c>
      <c r="B1001" s="2" t="inlineStr">
        <is>
          <t>豆油多 03-21</t>
        </is>
      </c>
      <c r="C1001" s="10" t="n">
        <v>3</v>
      </c>
      <c r="D1001" s="33" t="n">
        <v>-0.33</v>
      </c>
    </row>
    <row r="1002">
      <c r="A1002" s="2" t="n">
        <v>1000</v>
      </c>
      <c r="B1002" s="2" t="inlineStr">
        <is>
          <t>菜粕空 03-28</t>
        </is>
      </c>
      <c r="C1002" s="10" t="n">
        <v>2</v>
      </c>
      <c r="D1002" s="33" t="n">
        <v>-0.15</v>
      </c>
    </row>
    <row r="1003">
      <c r="A1003" s="2" t="n">
        <v>1001</v>
      </c>
      <c r="B1003" s="2" t="inlineStr">
        <is>
          <t>棕榈油多 03-25</t>
        </is>
      </c>
      <c r="C1003" s="10" t="n">
        <v>3</v>
      </c>
      <c r="D1003" s="33" t="n">
        <v>-0.14</v>
      </c>
    </row>
    <row r="1004">
      <c r="A1004" s="2" t="n">
        <v>1002</v>
      </c>
      <c r="B1004" s="2" t="inlineStr">
        <is>
          <t>甲醇空 03-28</t>
        </is>
      </c>
      <c r="C1004" s="10" t="n">
        <v>2</v>
      </c>
      <c r="D1004" s="33" t="n">
        <v>-0.41</v>
      </c>
    </row>
    <row r="1005">
      <c r="A1005" s="2" t="n">
        <v>1003</v>
      </c>
      <c r="B1005" s="2" t="inlineStr">
        <is>
          <t>螺纹钢空 03-28</t>
        </is>
      </c>
      <c r="C1005" s="10" t="n">
        <v>3</v>
      </c>
      <c r="D1005" s="33" t="n">
        <v>0.08</v>
      </c>
    </row>
    <row r="1006">
      <c r="A1006" s="2" t="n">
        <v>1004</v>
      </c>
      <c r="B1006" s="2" t="inlineStr">
        <is>
          <t>白糖多 03-29</t>
        </is>
      </c>
      <c r="C1006" s="10" t="n">
        <v>2</v>
      </c>
      <c r="D1006" s="33" t="n">
        <v>0.47</v>
      </c>
    </row>
    <row r="1007">
      <c r="A1007" s="2" t="n">
        <v>1005</v>
      </c>
      <c r="B1007" s="2" t="inlineStr">
        <is>
          <t>纯碱多 03-29</t>
        </is>
      </c>
      <c r="C1007" s="10" t="n">
        <v>2</v>
      </c>
      <c r="D1007" s="33" t="n">
        <v>0.09</v>
      </c>
    </row>
    <row r="1008">
      <c r="A1008" s="2" t="n">
        <v>1006</v>
      </c>
      <c r="B1008" s="2" t="inlineStr">
        <is>
          <t>沪银多 04-01</t>
        </is>
      </c>
      <c r="C1008" s="10" t="n">
        <v>3</v>
      </c>
      <c r="D1008" s="33" t="n">
        <v>0.17</v>
      </c>
    </row>
    <row r="1009">
      <c r="A1009" s="2" t="n">
        <v>1007</v>
      </c>
      <c r="B1009" s="2" t="inlineStr">
        <is>
          <t>沪铝多 03-26</t>
        </is>
      </c>
      <c r="C1009" s="10" t="n">
        <v>3</v>
      </c>
      <c r="D1009" s="33" t="n">
        <v>0.74</v>
      </c>
    </row>
    <row r="1010">
      <c r="A1010" s="2" t="n">
        <v>1008</v>
      </c>
      <c r="B1010" s="2" t="inlineStr">
        <is>
          <t>玉米空 03-26</t>
        </is>
      </c>
      <c r="C1010" s="10" t="n">
        <v>3</v>
      </c>
      <c r="D1010" s="33" t="n">
        <v>-0.55</v>
      </c>
    </row>
    <row r="1011">
      <c r="A1011" s="2" t="n">
        <v>1009</v>
      </c>
      <c r="B1011" s="2" t="inlineStr">
        <is>
          <t>热卷空 03-29</t>
        </is>
      </c>
      <c r="C1011" s="10" t="n">
        <v>3</v>
      </c>
      <c r="D1011" s="33" t="n">
        <v>-0.62</v>
      </c>
    </row>
    <row r="1012">
      <c r="A1012" s="2" t="n">
        <v>1010</v>
      </c>
      <c r="B1012" s="2" t="inlineStr">
        <is>
          <t>沪金多 04-01</t>
        </is>
      </c>
      <c r="C1012" s="10" t="n">
        <v>3</v>
      </c>
      <c r="D1012" s="33" t="n">
        <v>1.01</v>
      </c>
    </row>
    <row r="1013">
      <c r="A1013" s="2" t="n">
        <v>1011</v>
      </c>
      <c r="B1013" s="2" t="inlineStr">
        <is>
          <t>苯乙烯多 04-08</t>
        </is>
      </c>
      <c r="C1013" s="10" t="n">
        <v>2</v>
      </c>
      <c r="D1013" s="33" t="n">
        <v>0.13</v>
      </c>
    </row>
    <row r="1014">
      <c r="A1014" s="2" t="n">
        <v>1012</v>
      </c>
      <c r="B1014" s="2" t="inlineStr">
        <is>
          <t>玻璃空 03-28</t>
        </is>
      </c>
      <c r="C1014" s="10" t="n">
        <v>3</v>
      </c>
      <c r="D1014" s="33" t="n">
        <v>-0.68</v>
      </c>
    </row>
    <row r="1015">
      <c r="A1015" s="2" t="n">
        <v>1013</v>
      </c>
      <c r="B1015" s="2" t="inlineStr">
        <is>
          <t>沪镍多 04-02</t>
        </is>
      </c>
      <c r="C1015" s="10" t="n">
        <v>2</v>
      </c>
      <c r="D1015" s="33" t="n">
        <v>0.62</v>
      </c>
    </row>
    <row r="1016">
      <c r="A1016" s="2" t="n">
        <v>1014</v>
      </c>
      <c r="B1016" s="2" t="inlineStr">
        <is>
          <t>PVC空 04-03</t>
        </is>
      </c>
      <c r="C1016" s="10" t="n">
        <v>2</v>
      </c>
      <c r="D1016" s="33" t="n">
        <v>-0.19</v>
      </c>
    </row>
    <row r="1017">
      <c r="A1017" s="2" t="n">
        <v>1015</v>
      </c>
      <c r="B1017" s="2" t="inlineStr">
        <is>
          <t>甲醇空 04-08</t>
        </is>
      </c>
      <c r="C1017" s="10" t="n">
        <v>2</v>
      </c>
      <c r="D1017" s="33" t="n">
        <v>-0.23</v>
      </c>
    </row>
    <row r="1018">
      <c r="A1018" s="2" t="n">
        <v>1016</v>
      </c>
      <c r="B1018" s="2" t="inlineStr">
        <is>
          <t>沪铜多 04-09</t>
        </is>
      </c>
      <c r="C1018" s="10" t="n">
        <v>3</v>
      </c>
      <c r="D1018" s="33" t="n">
        <v>0.02</v>
      </c>
    </row>
    <row r="1019">
      <c r="A1019" s="2" t="n">
        <v>1017</v>
      </c>
      <c r="B1019" s="2" t="inlineStr">
        <is>
          <t>玉米空 04-09</t>
        </is>
      </c>
      <c r="C1019" s="10" t="n">
        <v>3</v>
      </c>
      <c r="D1019" s="33" t="n">
        <v>-0.03</v>
      </c>
    </row>
    <row r="1020">
      <c r="A1020" s="2" t="n">
        <v>1018</v>
      </c>
      <c r="B1020" s="2" t="inlineStr">
        <is>
          <t>白糖多 04-08</t>
        </is>
      </c>
      <c r="C1020" s="10" t="n">
        <v>2</v>
      </c>
      <c r="D1020" s="33" t="n">
        <v>-0.18</v>
      </c>
    </row>
    <row r="1021">
      <c r="A1021" s="2" t="n">
        <v>1019</v>
      </c>
      <c r="B1021" s="2" t="inlineStr">
        <is>
          <t>沪锌多 04-10</t>
        </is>
      </c>
      <c r="C1021" s="10" t="n">
        <v>3</v>
      </c>
      <c r="D1021" s="33" t="n">
        <v>0.42</v>
      </c>
    </row>
    <row r="1022">
      <c r="A1022" s="2" t="n">
        <v>1020</v>
      </c>
      <c r="B1022" s="2" t="inlineStr">
        <is>
          <t>白糖空 04-11</t>
        </is>
      </c>
      <c r="C1022" s="10" t="n">
        <v>2</v>
      </c>
      <c r="D1022" s="33" t="n">
        <v>0.13</v>
      </c>
    </row>
    <row r="1023">
      <c r="A1023" s="2" t="n">
        <v>1021</v>
      </c>
      <c r="B1023" s="2" t="inlineStr">
        <is>
          <t>沪银多 04-03</t>
        </is>
      </c>
      <c r="C1023" s="10" t="n">
        <v>3</v>
      </c>
      <c r="D1023" s="33" t="n">
        <v>1.28</v>
      </c>
    </row>
    <row r="1024">
      <c r="A1024" s="2" t="n">
        <v>1022</v>
      </c>
      <c r="B1024" s="2" t="inlineStr">
        <is>
          <t>沪铝多 04-10</t>
        </is>
      </c>
      <c r="C1024" s="10" t="n">
        <v>3</v>
      </c>
      <c r="D1024" s="33" t="n">
        <v>0.26</v>
      </c>
    </row>
    <row r="1025">
      <c r="A1025" s="2" t="n">
        <v>1023</v>
      </c>
      <c r="B1025" s="2" t="inlineStr">
        <is>
          <t>热卷多 04-09</t>
        </is>
      </c>
      <c r="C1025" s="10" t="n">
        <v>3</v>
      </c>
      <c r="D1025" s="33" t="n">
        <v>0.04</v>
      </c>
    </row>
    <row r="1026">
      <c r="A1026" s="2" t="n">
        <v>1024</v>
      </c>
      <c r="B1026" s="2" t="inlineStr">
        <is>
          <t>塑料多 04-10</t>
        </is>
      </c>
      <c r="C1026" s="10" t="n">
        <v>3</v>
      </c>
      <c r="D1026" s="33" t="n">
        <v>0.06</v>
      </c>
    </row>
    <row r="1027">
      <c r="A1027" s="2" t="n">
        <v>1025</v>
      </c>
      <c r="B1027" s="2" t="inlineStr">
        <is>
          <t>苯乙烯多 04-15</t>
        </is>
      </c>
      <c r="C1027" s="10" t="n">
        <v>2</v>
      </c>
      <c r="D1027" s="33" t="n">
        <v>0.17</v>
      </c>
    </row>
    <row r="1028">
      <c r="A1028" s="2" t="n">
        <v>1026</v>
      </c>
      <c r="B1028" s="2" t="inlineStr">
        <is>
          <t>菜粕多 04-15</t>
        </is>
      </c>
      <c r="C1028" s="10" t="n">
        <v>2</v>
      </c>
      <c r="D1028" s="33" t="n">
        <v>0.28</v>
      </c>
    </row>
    <row r="1029">
      <c r="A1029" s="2" t="n">
        <v>1027</v>
      </c>
      <c r="B1029" s="2" t="inlineStr">
        <is>
          <t>沪锌多 04-15</t>
        </is>
      </c>
      <c r="C1029" s="10" t="n">
        <v>2</v>
      </c>
      <c r="D1029" s="33" t="n">
        <v>-0.24</v>
      </c>
    </row>
    <row r="1030">
      <c r="A1030" s="2" t="n">
        <v>1028</v>
      </c>
      <c r="B1030" s="2" t="inlineStr">
        <is>
          <t>白糖空 04-16</t>
        </is>
      </c>
      <c r="C1030" s="10" t="n">
        <v>2</v>
      </c>
      <c r="D1030" s="33" t="n">
        <v>-0.05</v>
      </c>
    </row>
    <row r="1031">
      <c r="A1031" s="2" t="n">
        <v>1029</v>
      </c>
      <c r="B1031" s="2" t="inlineStr">
        <is>
          <t>PVC空 04-16</t>
        </is>
      </c>
      <c r="C1031" s="10" t="n">
        <v>3</v>
      </c>
      <c r="D1031" s="33" t="n">
        <v>-0.21</v>
      </c>
    </row>
    <row r="1032">
      <c r="A1032" s="2" t="n">
        <v>1030</v>
      </c>
      <c r="B1032" s="2" t="inlineStr">
        <is>
          <t>螺纹钢多 04-11</t>
        </is>
      </c>
      <c r="C1032" s="10" t="n">
        <v>2</v>
      </c>
      <c r="D1032" s="33" t="n">
        <v>0.27</v>
      </c>
    </row>
    <row r="1033">
      <c r="A1033" s="2" t="n">
        <v>1031</v>
      </c>
      <c r="B1033" s="2" t="inlineStr">
        <is>
          <t>沪银多 04-17</t>
        </is>
      </c>
      <c r="C1033" s="10" t="n">
        <v>3</v>
      </c>
      <c r="D1033" s="33" t="n">
        <v>0.05</v>
      </c>
    </row>
    <row r="1034">
      <c r="A1034" s="2" t="n">
        <v>1032</v>
      </c>
      <c r="B1034" s="2" t="inlineStr">
        <is>
          <t>苯乙烯多 04-17</t>
        </is>
      </c>
      <c r="C1034" s="10" t="n">
        <v>2</v>
      </c>
      <c r="D1034" s="33" t="n">
        <v>0.2</v>
      </c>
    </row>
    <row r="1035">
      <c r="A1035" s="2" t="n">
        <v>1033</v>
      </c>
      <c r="B1035" s="2" t="inlineStr">
        <is>
          <t>纯碱多 04-17</t>
        </is>
      </c>
      <c r="C1035" s="10" t="n">
        <v>2</v>
      </c>
      <c r="D1035" s="33" t="n">
        <v>0.54</v>
      </c>
    </row>
    <row r="1036">
      <c r="A1036" s="2" t="n">
        <v>1034</v>
      </c>
      <c r="B1036" s="2" t="inlineStr">
        <is>
          <t>沪铜多 04-18</t>
        </is>
      </c>
      <c r="C1036" s="10" t="n">
        <v>3</v>
      </c>
      <c r="D1036" s="33" t="n">
        <v>0.14</v>
      </c>
    </row>
    <row r="1037">
      <c r="A1037" s="2" t="n">
        <v>1035</v>
      </c>
      <c r="B1037" s="2" t="inlineStr">
        <is>
          <t>塑料多 04-18</t>
        </is>
      </c>
      <c r="C1037" s="10" t="n">
        <v>3</v>
      </c>
      <c r="D1037" s="33" t="n">
        <v>0.18</v>
      </c>
    </row>
    <row r="1038">
      <c r="A1038" s="2" t="n">
        <v>1036</v>
      </c>
      <c r="B1038" s="2" t="inlineStr">
        <is>
          <t>沪锌多 04-18</t>
        </is>
      </c>
      <c r="C1038" s="10" t="n">
        <v>3</v>
      </c>
      <c r="D1038" s="33" t="n">
        <v>-0.11</v>
      </c>
    </row>
    <row r="1039">
      <c r="A1039" s="2" t="n">
        <v>1037</v>
      </c>
      <c r="B1039" s="2" t="inlineStr">
        <is>
          <t>沪银多 04-19</t>
        </is>
      </c>
      <c r="C1039" s="10" t="n">
        <v>2</v>
      </c>
      <c r="D1039" s="33" t="n">
        <v>-0.32</v>
      </c>
    </row>
    <row r="1040">
      <c r="A1040" s="2" t="n">
        <v>1038</v>
      </c>
      <c r="B1040" s="2" t="inlineStr">
        <is>
          <t>甲醇多 04-18</t>
        </is>
      </c>
      <c r="C1040" s="10" t="n">
        <v>2</v>
      </c>
      <c r="D1040" s="33" t="n">
        <v>-0.53</v>
      </c>
    </row>
    <row r="1041">
      <c r="A1041" s="2" t="n">
        <v>1039</v>
      </c>
      <c r="B1041" s="2" t="inlineStr">
        <is>
          <t>白糖空 04-19</t>
        </is>
      </c>
      <c r="C1041" s="10" t="n">
        <v>3</v>
      </c>
      <c r="D1041" s="33" t="n">
        <v>0.07000000000000001</v>
      </c>
    </row>
    <row r="1042">
      <c r="A1042" s="2" t="n">
        <v>1040</v>
      </c>
      <c r="B1042" s="2" t="inlineStr">
        <is>
          <t>玻璃空 04-16</t>
        </is>
      </c>
      <c r="C1042" s="10" t="n">
        <v>2</v>
      </c>
      <c r="D1042" s="33" t="n">
        <v>-0.9</v>
      </c>
    </row>
    <row r="1043">
      <c r="A1043" s="2" t="n">
        <v>1041</v>
      </c>
      <c r="B1043" s="2" t="inlineStr">
        <is>
          <t>锰硅多 04-23</t>
        </is>
      </c>
      <c r="C1043" s="10" t="n">
        <v>2</v>
      </c>
      <c r="D1043" s="33" t="n">
        <v>1.41</v>
      </c>
    </row>
    <row r="1044">
      <c r="A1044" s="2" t="n">
        <v>1042</v>
      </c>
      <c r="B1044" s="2" t="inlineStr">
        <is>
          <t>玉米空 04-15</t>
        </is>
      </c>
      <c r="C1044" s="10" t="n">
        <v>3</v>
      </c>
      <c r="D1044" s="33" t="n">
        <v>0.5600000000000001</v>
      </c>
    </row>
    <row r="1045">
      <c r="A1045" s="2" t="n">
        <v>1043</v>
      </c>
      <c r="B1045" s="2" t="inlineStr">
        <is>
          <t>棕榈油空 04-22</t>
        </is>
      </c>
      <c r="C1045" s="10" t="n">
        <v>3</v>
      </c>
      <c r="D1045" s="33" t="n">
        <v>-0.12</v>
      </c>
    </row>
    <row r="1046">
      <c r="A1046" s="2" t="n">
        <v>1044</v>
      </c>
      <c r="B1046" s="2" t="inlineStr">
        <is>
          <t>锰硅多 04-26</t>
        </is>
      </c>
      <c r="C1046" s="10" t="n">
        <v>2</v>
      </c>
      <c r="D1046" s="33" t="n">
        <v>0.48</v>
      </c>
    </row>
    <row r="1047">
      <c r="A1047" s="2" t="n">
        <v>1045</v>
      </c>
      <c r="B1047" s="2" t="inlineStr">
        <is>
          <t>螺纹钢多 04-24</t>
        </is>
      </c>
      <c r="C1047" s="10" t="n">
        <v>3</v>
      </c>
      <c r="D1047" s="33" t="n">
        <v>-0.14</v>
      </c>
    </row>
    <row r="1048">
      <c r="A1048" s="2" t="n">
        <v>1046</v>
      </c>
      <c r="B1048" s="2" t="inlineStr">
        <is>
          <t>沪锌多 04-29</t>
        </is>
      </c>
      <c r="C1048" s="10" t="n">
        <v>3</v>
      </c>
      <c r="D1048" s="33" t="n">
        <v>0.25</v>
      </c>
    </row>
    <row r="1049">
      <c r="A1049" s="2" t="n">
        <v>1047</v>
      </c>
      <c r="B1049" s="2" t="inlineStr">
        <is>
          <t>沪铜多 04-24</t>
        </is>
      </c>
      <c r="C1049" s="10" t="n">
        <v>3</v>
      </c>
      <c r="D1049" s="33" t="n">
        <v>0.43</v>
      </c>
    </row>
    <row r="1050">
      <c r="A1050" s="2" t="n">
        <v>1048</v>
      </c>
      <c r="B1050" s="2" t="inlineStr">
        <is>
          <t>菜粕多 04-25</t>
        </is>
      </c>
      <c r="C1050" s="10" t="n">
        <v>3</v>
      </c>
      <c r="D1050" s="33" t="n">
        <v>0.25</v>
      </c>
    </row>
    <row r="1051">
      <c r="A1051" s="2" t="n">
        <v>1049</v>
      </c>
      <c r="B1051" s="2" t="inlineStr">
        <is>
          <t>白糖空 04-29</t>
        </is>
      </c>
      <c r="C1051" s="10" t="n">
        <v>2</v>
      </c>
      <c r="D1051" s="33" t="n">
        <v>-0.58</v>
      </c>
    </row>
    <row r="1052">
      <c r="A1052" s="2" t="n">
        <v>1050</v>
      </c>
      <c r="B1052" s="2" t="inlineStr">
        <is>
          <t>玉米空 04-30</t>
        </is>
      </c>
      <c r="C1052" s="10" t="n">
        <v>2</v>
      </c>
      <c r="D1052" s="33" t="n">
        <v>-0.83</v>
      </c>
    </row>
    <row r="1053">
      <c r="A1053" s="2" t="n">
        <v>1051</v>
      </c>
      <c r="B1053" s="2" t="inlineStr">
        <is>
          <t>豆粕多 05-06</t>
        </is>
      </c>
      <c r="C1053" s="10" t="n">
        <v>3</v>
      </c>
      <c r="D1053" s="33" t="n">
        <v>0.5600000000000001</v>
      </c>
    </row>
    <row r="1054">
      <c r="A1054" s="2" t="n">
        <v>1052</v>
      </c>
      <c r="B1054" s="2" t="inlineStr">
        <is>
          <t>棉花空 04-26</t>
        </is>
      </c>
      <c r="C1054" s="10" t="n">
        <v>3</v>
      </c>
      <c r="D1054" s="33" t="n">
        <v>0.79</v>
      </c>
    </row>
    <row r="1055">
      <c r="A1055" s="2" t="n">
        <v>1053</v>
      </c>
      <c r="B1055" s="2" t="inlineStr">
        <is>
          <t>工业硅空 05-08</t>
        </is>
      </c>
      <c r="C1055" s="10" t="n">
        <v>3</v>
      </c>
      <c r="D1055" s="33" t="n">
        <v>-0.24</v>
      </c>
    </row>
    <row r="1056">
      <c r="A1056" s="2" t="n">
        <v>1054</v>
      </c>
      <c r="B1056" s="2" t="inlineStr">
        <is>
          <t>热卷空 05-08</t>
        </is>
      </c>
      <c r="C1056" s="10" t="n">
        <v>2</v>
      </c>
      <c r="D1056" s="33" t="n">
        <v>-0.06</v>
      </c>
    </row>
    <row r="1057">
      <c r="A1057" s="2" t="n">
        <v>1055</v>
      </c>
      <c r="B1057" s="2" t="inlineStr">
        <is>
          <t>工业硅空 05-10</t>
        </is>
      </c>
      <c r="C1057" s="10" t="n">
        <v>2</v>
      </c>
      <c r="D1057" s="33" t="n">
        <v>-0.04</v>
      </c>
    </row>
    <row r="1058">
      <c r="A1058" s="2" t="n">
        <v>1056</v>
      </c>
      <c r="B1058" s="2" t="inlineStr">
        <is>
          <t>锰硅多 04-30</t>
        </is>
      </c>
      <c r="C1058" s="10" t="n">
        <v>3</v>
      </c>
      <c r="D1058" s="33" t="n">
        <v>1.16</v>
      </c>
    </row>
    <row r="1059">
      <c r="A1059" s="2" t="n">
        <v>1057</v>
      </c>
      <c r="B1059" s="2" t="inlineStr">
        <is>
          <t>纯碱多 05-06</t>
        </is>
      </c>
      <c r="C1059" s="10" t="n">
        <v>2</v>
      </c>
      <c r="D1059" s="33" t="n">
        <v>0.07000000000000001</v>
      </c>
    </row>
    <row r="1060">
      <c r="A1060" s="2" t="n">
        <v>1058</v>
      </c>
      <c r="B1060" s="2" t="inlineStr">
        <is>
          <t>苯乙烯空 05-09</t>
        </is>
      </c>
      <c r="C1060" s="10" t="n">
        <v>2</v>
      </c>
      <c r="D1060" s="33" t="n">
        <v>-0.53</v>
      </c>
    </row>
    <row r="1061">
      <c r="A1061" s="2" t="n">
        <v>1059</v>
      </c>
      <c r="B1061" s="2" t="inlineStr">
        <is>
          <t>燃料油多 05-10</t>
        </is>
      </c>
      <c r="C1061" s="10" t="n">
        <v>2</v>
      </c>
      <c r="D1061" s="33" t="n">
        <v>0.18</v>
      </c>
    </row>
    <row r="1062">
      <c r="A1062" s="2" t="n">
        <v>1060</v>
      </c>
      <c r="B1062" s="2" t="inlineStr">
        <is>
          <t>棕榈油空 05-10</t>
        </is>
      </c>
      <c r="C1062" s="10" t="n">
        <v>3</v>
      </c>
      <c r="D1062" s="33" t="n">
        <v>-0.6899999999999999</v>
      </c>
    </row>
    <row r="1063">
      <c r="A1063" s="2" t="n">
        <v>1061</v>
      </c>
      <c r="B1063" s="2" t="inlineStr">
        <is>
          <t>菜油多 05-14</t>
        </is>
      </c>
      <c r="C1063" s="10" t="n">
        <v>2</v>
      </c>
      <c r="D1063" s="33" t="n">
        <v>0.11</v>
      </c>
    </row>
    <row r="1064">
      <c r="A1064" s="2" t="n">
        <v>1062</v>
      </c>
      <c r="B1064" s="2" t="inlineStr">
        <is>
          <t>棉花空 05-15</t>
        </is>
      </c>
      <c r="C1064" s="10" t="n">
        <v>3</v>
      </c>
      <c r="D1064" s="33" t="n">
        <v>-0.65</v>
      </c>
    </row>
    <row r="1065">
      <c r="A1065" s="2" t="n">
        <v>1063</v>
      </c>
      <c r="B1065" s="2" t="inlineStr">
        <is>
          <t>PTA空 05-15</t>
        </is>
      </c>
      <c r="C1065" s="10" t="n">
        <v>2</v>
      </c>
      <c r="D1065" s="33" t="n">
        <v>-0.86</v>
      </c>
    </row>
    <row r="1066">
      <c r="A1066" s="2" t="n">
        <v>1064</v>
      </c>
      <c r="B1066" s="2" t="inlineStr">
        <is>
          <t>沪银多 05-17</t>
        </is>
      </c>
      <c r="C1066" s="10" t="n">
        <v>3</v>
      </c>
      <c r="D1066" s="33" t="n">
        <v>0.7</v>
      </c>
    </row>
    <row r="1067">
      <c r="A1067" s="2" t="n">
        <v>1065</v>
      </c>
      <c r="B1067" s="2" t="inlineStr">
        <is>
          <t>螺纹钢多 05-21</t>
        </is>
      </c>
      <c r="C1067" s="10" t="n">
        <v>2</v>
      </c>
      <c r="D1067" s="33" t="n">
        <v>0.32</v>
      </c>
    </row>
    <row r="1068">
      <c r="A1068" s="2" t="n">
        <v>1066</v>
      </c>
      <c r="B1068" s="2" t="inlineStr">
        <is>
          <t>沪铝多 05-20</t>
        </is>
      </c>
      <c r="C1068" s="10" t="n">
        <v>3</v>
      </c>
      <c r="D1068" s="33" t="n">
        <v>-0.04</v>
      </c>
    </row>
    <row r="1069">
      <c r="A1069" s="2" t="n">
        <v>1067</v>
      </c>
      <c r="B1069" s="2" t="inlineStr">
        <is>
          <t>工业硅多 05-21</t>
        </is>
      </c>
      <c r="C1069" s="10" t="n">
        <v>3</v>
      </c>
      <c r="D1069" s="33" t="n">
        <v>0.55</v>
      </c>
    </row>
    <row r="1070">
      <c r="A1070" s="2" t="n">
        <v>1068</v>
      </c>
      <c r="B1070" s="2" t="inlineStr">
        <is>
          <t>玻璃多 05-24</t>
        </is>
      </c>
      <c r="C1070" s="10" t="n">
        <v>2</v>
      </c>
      <c r="D1070" s="33" t="n">
        <v>-0.09</v>
      </c>
    </row>
    <row r="1071">
      <c r="A1071" s="2" t="n">
        <v>1069</v>
      </c>
      <c r="B1071" s="2" t="inlineStr">
        <is>
          <t>沪锌多 05-24</t>
        </is>
      </c>
      <c r="C1071" s="10" t="n">
        <v>3</v>
      </c>
      <c r="D1071" s="33" t="n">
        <v>0.06</v>
      </c>
    </row>
    <row r="1072">
      <c r="A1072" s="2" t="n">
        <v>1070</v>
      </c>
      <c r="B1072" s="2" t="inlineStr">
        <is>
          <t>菜粕多 05-08</t>
        </is>
      </c>
      <c r="C1072" s="10" t="n">
        <v>2</v>
      </c>
      <c r="D1072" s="33" t="n">
        <v>-0.43</v>
      </c>
    </row>
    <row r="1073">
      <c r="A1073" s="2" t="n">
        <v>1071</v>
      </c>
      <c r="B1073" s="2" t="inlineStr">
        <is>
          <t>PTA多 05-21</t>
        </is>
      </c>
      <c r="C1073" s="10" t="n">
        <v>2</v>
      </c>
      <c r="D1073" s="33" t="n">
        <v>0.3</v>
      </c>
    </row>
    <row r="1074">
      <c r="A1074" s="2" t="n">
        <v>1072</v>
      </c>
      <c r="B1074" s="2" t="inlineStr">
        <is>
          <t>沪银多 05-28</t>
        </is>
      </c>
      <c r="C1074" s="10" t="n">
        <v>3</v>
      </c>
      <c r="D1074" s="33" t="n">
        <v>0.19</v>
      </c>
    </row>
    <row r="1075">
      <c r="A1075" s="2" t="n">
        <v>1073</v>
      </c>
      <c r="B1075" s="2" t="inlineStr">
        <is>
          <t>沪锌多 05-29</t>
        </is>
      </c>
      <c r="C1075" s="10" t="n">
        <v>3</v>
      </c>
      <c r="D1075" s="33" t="n">
        <v>-0.21</v>
      </c>
    </row>
    <row r="1076">
      <c r="A1076" s="2" t="n">
        <v>1074</v>
      </c>
      <c r="B1076" s="2" t="inlineStr">
        <is>
          <t>沪铝多 05-28</t>
        </is>
      </c>
      <c r="C1076" s="10" t="n">
        <v>3</v>
      </c>
      <c r="D1076" s="33" t="n">
        <v>-0.06</v>
      </c>
    </row>
    <row r="1077">
      <c r="A1077" s="2" t="n">
        <v>1075</v>
      </c>
      <c r="B1077" s="2" t="inlineStr">
        <is>
          <t>热卷空 05-30</t>
        </is>
      </c>
      <c r="C1077" s="10" t="n">
        <v>3</v>
      </c>
      <c r="D1077" s="33" t="n">
        <v>0.42</v>
      </c>
    </row>
    <row r="1078">
      <c r="A1078" s="2" t="n">
        <v>1076</v>
      </c>
      <c r="B1078" s="2" t="inlineStr">
        <is>
          <t>豆粕空 05-31</t>
        </is>
      </c>
      <c r="C1078" s="10" t="n">
        <v>2</v>
      </c>
      <c r="D1078" s="33" t="n">
        <v>0.3</v>
      </c>
    </row>
    <row r="1079">
      <c r="A1079" s="2" t="n">
        <v>1077</v>
      </c>
      <c r="B1079" s="2" t="inlineStr">
        <is>
          <t>螺纹钢空 05-31</t>
        </is>
      </c>
      <c r="C1079" s="10" t="n">
        <v>3</v>
      </c>
      <c r="D1079" s="33" t="n">
        <v>0.24</v>
      </c>
    </row>
    <row r="1080">
      <c r="A1080" s="2" t="n">
        <v>1078</v>
      </c>
      <c r="B1080" s="2" t="inlineStr">
        <is>
          <t>碳酸锂空 05-31</t>
        </is>
      </c>
      <c r="C1080" s="10" t="n">
        <v>3</v>
      </c>
      <c r="D1080" s="33" t="n">
        <v>0.42</v>
      </c>
    </row>
    <row r="1081">
      <c r="A1081" s="2" t="n">
        <v>1079</v>
      </c>
      <c r="B1081" s="2" t="inlineStr">
        <is>
          <t>铁矿石空 06-03</t>
        </is>
      </c>
      <c r="C1081" s="10" t="n">
        <v>3</v>
      </c>
      <c r="D1081" s="33" t="n">
        <v>0.17</v>
      </c>
    </row>
    <row r="1082">
      <c r="A1082" s="2" t="n">
        <v>1080</v>
      </c>
      <c r="B1082" s="2" t="inlineStr">
        <is>
          <t>PVC多 05-30</t>
        </is>
      </c>
      <c r="C1082" s="10" t="n">
        <v>3</v>
      </c>
      <c r="D1082" s="33" t="n">
        <v>-0.84</v>
      </c>
    </row>
    <row r="1083">
      <c r="A1083" s="2" t="n">
        <v>1081</v>
      </c>
      <c r="B1083" s="2" t="inlineStr">
        <is>
          <t>纯碱空 06-04</t>
        </is>
      </c>
      <c r="C1083" s="10" t="n">
        <v>2</v>
      </c>
      <c r="D1083" s="33" t="n">
        <v>-0.01</v>
      </c>
    </row>
    <row r="1084">
      <c r="A1084" s="2" t="n">
        <v>1082</v>
      </c>
      <c r="B1084" s="2" t="inlineStr">
        <is>
          <t>碳酸锂空 06-06</t>
        </is>
      </c>
      <c r="C1084" s="10" t="n">
        <v>2</v>
      </c>
      <c r="D1084" s="33" t="n">
        <v>0.2</v>
      </c>
    </row>
    <row r="1085">
      <c r="A1085" s="2" t="n">
        <v>1083</v>
      </c>
      <c r="B1085" s="2" t="inlineStr">
        <is>
          <t>沪银多 06-07</t>
        </is>
      </c>
      <c r="C1085" s="10" t="n">
        <v>3</v>
      </c>
      <c r="D1085" s="33" t="n">
        <v>-0.09</v>
      </c>
    </row>
    <row r="1086">
      <c r="A1086" s="2" t="n">
        <v>1084</v>
      </c>
      <c r="B1086" s="2" t="inlineStr">
        <is>
          <t>甲醇空 06-06</t>
        </is>
      </c>
      <c r="C1086" s="10" t="n">
        <v>3</v>
      </c>
      <c r="D1086" s="33" t="n">
        <v>-0.03</v>
      </c>
    </row>
    <row r="1087">
      <c r="A1087" s="2" t="n">
        <v>1085</v>
      </c>
      <c r="B1087" s="2" t="inlineStr">
        <is>
          <t>菜粕空 06-07</t>
        </is>
      </c>
      <c r="C1087" s="10" t="n">
        <v>3</v>
      </c>
      <c r="D1087" s="33" t="n">
        <v>0.07000000000000001</v>
      </c>
    </row>
    <row r="1088">
      <c r="A1088" s="2" t="n">
        <v>1086</v>
      </c>
      <c r="B1088" s="2" t="inlineStr">
        <is>
          <t>纯碱空 06-11</t>
        </is>
      </c>
      <c r="C1088" s="10" t="n">
        <v>2</v>
      </c>
      <c r="D1088" s="33" t="n">
        <v>-0.02</v>
      </c>
    </row>
    <row r="1089">
      <c r="A1089" s="2" t="n">
        <v>1087</v>
      </c>
      <c r="B1089" s="2" t="inlineStr">
        <is>
          <t>棉花空 06-11</t>
        </is>
      </c>
      <c r="C1089" s="10" t="n">
        <v>2</v>
      </c>
      <c r="D1089" s="33" t="n">
        <v>0.33</v>
      </c>
    </row>
    <row r="1090">
      <c r="A1090" s="2" t="n">
        <v>1088</v>
      </c>
      <c r="B1090" s="2" t="inlineStr">
        <is>
          <t>热卷空 06-12</t>
        </is>
      </c>
      <c r="C1090" s="10" t="n">
        <v>2</v>
      </c>
      <c r="D1090" s="33" t="n">
        <v>-0.02</v>
      </c>
    </row>
    <row r="1091">
      <c r="A1091" s="2" t="n">
        <v>1089</v>
      </c>
      <c r="B1091" s="2" t="inlineStr">
        <is>
          <t>甲醇空 06-13</t>
        </is>
      </c>
      <c r="C1091" s="10" t="n">
        <v>3</v>
      </c>
      <c r="D1091" s="33" t="n">
        <v>0.07000000000000001</v>
      </c>
    </row>
    <row r="1092">
      <c r="A1092" s="2" t="n">
        <v>1090</v>
      </c>
      <c r="B1092" s="2" t="inlineStr">
        <is>
          <t>玻璃空 06-13</t>
        </is>
      </c>
      <c r="C1092" s="10" t="n">
        <v>2</v>
      </c>
      <c r="D1092" s="33" t="n">
        <v>0.34</v>
      </c>
    </row>
    <row r="1093">
      <c r="A1093" s="2" t="n">
        <v>1091</v>
      </c>
      <c r="B1093" s="2" t="inlineStr">
        <is>
          <t>棉花空 06-14</t>
        </is>
      </c>
      <c r="C1093" s="10" t="n">
        <v>3</v>
      </c>
      <c r="D1093" s="33" t="n">
        <v>0.62</v>
      </c>
    </row>
    <row r="1094">
      <c r="A1094" s="2" t="n">
        <v>1092</v>
      </c>
      <c r="B1094" s="2" t="inlineStr">
        <is>
          <t>碳酸锂空 06-14</t>
        </is>
      </c>
      <c r="C1094" s="10" t="n">
        <v>3</v>
      </c>
      <c r="D1094" s="33" t="n">
        <v>0.08</v>
      </c>
    </row>
    <row r="1095">
      <c r="A1095" s="2" t="n">
        <v>1093</v>
      </c>
      <c r="B1095" s="2" t="inlineStr">
        <is>
          <t>沪镍空 06-14</t>
        </is>
      </c>
      <c r="C1095" s="10" t="n">
        <v>3</v>
      </c>
      <c r="D1095" s="33" t="n">
        <v>0.11</v>
      </c>
    </row>
    <row r="1096">
      <c r="A1096" s="2" t="n">
        <v>1094</v>
      </c>
      <c r="B1096" s="2" t="inlineStr">
        <is>
          <t>碳酸锂空 06-18</t>
        </is>
      </c>
      <c r="C1096" s="10" t="n">
        <v>3</v>
      </c>
      <c r="D1096" s="33" t="n">
        <v>-0.07000000000000001</v>
      </c>
    </row>
    <row r="1097">
      <c r="A1097" s="2" t="n">
        <v>1095</v>
      </c>
      <c r="B1097" s="2" t="inlineStr">
        <is>
          <t>纯碱空 06-18</t>
        </is>
      </c>
      <c r="C1097" s="10" t="n">
        <v>3</v>
      </c>
      <c r="D1097" s="33" t="n">
        <v>-0.01</v>
      </c>
    </row>
    <row r="1098">
      <c r="A1098" s="2" t="n">
        <v>1096</v>
      </c>
      <c r="B1098" s="2" t="inlineStr">
        <is>
          <t>铁矿石空 06-11</t>
        </is>
      </c>
      <c r="C1098" s="10" t="n">
        <v>3</v>
      </c>
      <c r="D1098" s="33" t="n">
        <v>-0.08</v>
      </c>
    </row>
    <row r="1099">
      <c r="A1099" s="2" t="n">
        <v>1097</v>
      </c>
      <c r="B1099" s="2" t="inlineStr">
        <is>
          <t>热卷空 06-17</t>
        </is>
      </c>
      <c r="C1099" s="10" t="n">
        <v>2</v>
      </c>
      <c r="D1099" s="33" t="n">
        <v>0.19</v>
      </c>
    </row>
    <row r="1100">
      <c r="A1100" s="2" t="n">
        <v>1098</v>
      </c>
      <c r="B1100" s="2" t="inlineStr">
        <is>
          <t>玉米空 06-20</t>
        </is>
      </c>
      <c r="C1100" s="10" t="n">
        <v>2</v>
      </c>
      <c r="D1100" s="33" t="n">
        <v>0.04</v>
      </c>
    </row>
    <row r="1101">
      <c r="A1101" s="2" t="n">
        <v>1099</v>
      </c>
      <c r="B1101" s="2" t="inlineStr">
        <is>
          <t>菜粕空 06-20</t>
        </is>
      </c>
      <c r="C1101" s="10" t="n">
        <v>2</v>
      </c>
      <c r="D1101" s="33" t="n">
        <v>-0.05</v>
      </c>
    </row>
    <row r="1102">
      <c r="A1102" s="2" t="n">
        <v>1100</v>
      </c>
      <c r="B1102" s="2" t="inlineStr">
        <is>
          <t>玻璃空 06-19</t>
        </is>
      </c>
      <c r="C1102" s="10" t="n">
        <v>3</v>
      </c>
      <c r="D1102" s="33" t="n">
        <v>0.31</v>
      </c>
    </row>
    <row r="1103">
      <c r="A1103" s="2" t="n">
        <v>1101</v>
      </c>
      <c r="B1103" s="2" t="inlineStr">
        <is>
          <t>纯碱空 06-24</t>
        </is>
      </c>
      <c r="C1103" s="10" t="n">
        <v>3</v>
      </c>
      <c r="D1103" s="33" t="n">
        <v>-0.02</v>
      </c>
    </row>
    <row r="1104">
      <c r="A1104" s="2" t="n">
        <v>1102</v>
      </c>
      <c r="B1104" s="2" t="inlineStr">
        <is>
          <t>锰硅空 06-25</t>
        </is>
      </c>
      <c r="C1104" s="10" t="n">
        <v>2</v>
      </c>
      <c r="D1104" s="33" t="n">
        <v>0.09</v>
      </c>
    </row>
    <row r="1105">
      <c r="A1105" s="2" t="n">
        <v>1103</v>
      </c>
      <c r="B1105" s="2" t="inlineStr">
        <is>
          <t>铁矿石多 06-26</t>
        </is>
      </c>
      <c r="C1105" s="10" t="n">
        <v>2</v>
      </c>
      <c r="D1105" s="33" t="n">
        <v>0</v>
      </c>
    </row>
    <row r="1106">
      <c r="A1106" s="2" t="n">
        <v>1104</v>
      </c>
      <c r="B1106" s="2" t="inlineStr">
        <is>
          <t>碳酸锂空 06-27</t>
        </is>
      </c>
      <c r="C1106" s="10" t="n">
        <v>3</v>
      </c>
      <c r="D1106" s="33" t="n">
        <v>-0.03</v>
      </c>
    </row>
    <row r="1107">
      <c r="A1107" s="2" t="n">
        <v>1105</v>
      </c>
      <c r="B1107" s="2" t="inlineStr">
        <is>
          <t>苯乙烯多 06-28</t>
        </is>
      </c>
      <c r="C1107" s="10" t="n">
        <v>2</v>
      </c>
      <c r="D1107" s="33" t="n">
        <v>-0.08</v>
      </c>
    </row>
    <row r="1108">
      <c r="A1108" s="2" t="n">
        <v>1106</v>
      </c>
      <c r="B1108" s="2" t="inlineStr">
        <is>
          <t>甲醇空 06-21</t>
        </is>
      </c>
      <c r="C1108" s="10" t="n">
        <v>3</v>
      </c>
      <c r="D1108" s="33" t="n">
        <v>-0.6899999999999999</v>
      </c>
    </row>
    <row r="1109">
      <c r="A1109" s="2" t="n">
        <v>1107</v>
      </c>
      <c r="B1109" s="2" t="inlineStr">
        <is>
          <t>锰硅空 07-01</t>
        </is>
      </c>
      <c r="C1109" s="10" t="n">
        <v>3</v>
      </c>
      <c r="D1109" s="33" t="n">
        <v>-0.01</v>
      </c>
    </row>
    <row r="1110">
      <c r="A1110" s="2" t="n">
        <v>1108</v>
      </c>
      <c r="B1110" s="2" t="inlineStr">
        <is>
          <t>铁矿石多 07-02</t>
        </is>
      </c>
      <c r="C1110" s="10" t="n">
        <v>3</v>
      </c>
      <c r="D1110" s="33" t="n">
        <v>0.3</v>
      </c>
    </row>
    <row r="1111">
      <c r="A1111" s="2" t="n">
        <v>1109</v>
      </c>
      <c r="B1111" s="2" t="inlineStr">
        <is>
          <t>PVC空 06-26</t>
        </is>
      </c>
      <c r="C1111" s="10" t="n">
        <v>3</v>
      </c>
      <c r="D1111" s="33" t="n">
        <v>0.1</v>
      </c>
    </row>
    <row r="1112">
      <c r="A1112" s="2" t="n">
        <v>1110</v>
      </c>
      <c r="B1112" s="2" t="inlineStr">
        <is>
          <t>沪锌多 07-03</t>
        </is>
      </c>
      <c r="C1112" s="10" t="n">
        <v>2</v>
      </c>
      <c r="D1112" s="33" t="n">
        <v>-0.04</v>
      </c>
    </row>
    <row r="1113">
      <c r="A1113" s="2" t="n">
        <v>1111</v>
      </c>
      <c r="B1113" s="2" t="inlineStr">
        <is>
          <t>热卷多 07-01</t>
        </is>
      </c>
      <c r="C1113" s="10" t="n">
        <v>2</v>
      </c>
      <c r="D1113" s="33" t="n">
        <v>-0.53</v>
      </c>
    </row>
    <row r="1114">
      <c r="A1114" s="2" t="n">
        <v>1112</v>
      </c>
      <c r="B1114" s="2" t="inlineStr">
        <is>
          <t>纯碱多 07-03</t>
        </is>
      </c>
      <c r="C1114" s="10" t="n">
        <v>2</v>
      </c>
      <c r="D1114" s="33" t="n">
        <v>-0.6899999999999999</v>
      </c>
    </row>
    <row r="1115">
      <c r="A1115" s="2" t="n">
        <v>1113</v>
      </c>
      <c r="B1115" s="2" t="inlineStr">
        <is>
          <t>工业硅空 07-04</t>
        </is>
      </c>
      <c r="C1115" s="10" t="n">
        <v>3</v>
      </c>
      <c r="D1115" s="33" t="n">
        <v>0.1</v>
      </c>
    </row>
    <row r="1116">
      <c r="A1116" s="2" t="n">
        <v>1114</v>
      </c>
      <c r="B1116" s="2" t="inlineStr">
        <is>
          <t>乙二醇多 07-08</t>
        </is>
      </c>
      <c r="C1116" s="10" t="n">
        <v>2</v>
      </c>
      <c r="D1116" s="33" t="n">
        <v>0.11</v>
      </c>
    </row>
    <row r="1117">
      <c r="A1117" s="2" t="n">
        <v>1115</v>
      </c>
      <c r="B1117" s="2" t="inlineStr">
        <is>
          <t>玻璃空 07-05</t>
        </is>
      </c>
      <c r="C1117" s="10" t="n">
        <v>3</v>
      </c>
      <c r="D1117" s="33" t="n">
        <v>0.49</v>
      </c>
    </row>
    <row r="1118">
      <c r="A1118" s="2" t="n">
        <v>1116</v>
      </c>
      <c r="B1118" s="2" t="inlineStr">
        <is>
          <t>燃料油多 07-05</t>
        </is>
      </c>
      <c r="C1118" s="10" t="n">
        <v>3</v>
      </c>
      <c r="D1118" s="33" t="n">
        <v>-0.77</v>
      </c>
    </row>
    <row r="1119">
      <c r="A1119" s="2" t="n">
        <v>1117</v>
      </c>
      <c r="B1119" s="2" t="inlineStr">
        <is>
          <t>豆油空 07-09</t>
        </is>
      </c>
      <c r="C1119" s="10" t="n">
        <v>2</v>
      </c>
      <c r="D1119" s="33" t="n">
        <v>0.36</v>
      </c>
    </row>
    <row r="1120">
      <c r="A1120" s="2" t="n">
        <v>1118</v>
      </c>
      <c r="B1120" s="2" t="inlineStr">
        <is>
          <t>沪银多 07-10</t>
        </is>
      </c>
      <c r="C1120" s="10" t="n">
        <v>2</v>
      </c>
      <c r="D1120" s="33" t="n">
        <v>0.03</v>
      </c>
    </row>
    <row r="1121">
      <c r="A1121" s="2" t="n">
        <v>1119</v>
      </c>
      <c r="B1121" s="2" t="inlineStr">
        <is>
          <t>乙二醇多 07-10</t>
        </is>
      </c>
      <c r="C1121" s="10" t="n">
        <v>3</v>
      </c>
      <c r="D1121" s="33" t="n">
        <v>0.52</v>
      </c>
    </row>
    <row r="1122">
      <c r="A1122" s="2" t="n">
        <v>1120</v>
      </c>
      <c r="B1122" s="2" t="inlineStr">
        <is>
          <t>工业硅空 07-10</t>
        </is>
      </c>
      <c r="C1122" s="10" t="n">
        <v>3</v>
      </c>
      <c r="D1122" s="33" t="n">
        <v>0.29</v>
      </c>
    </row>
    <row r="1123">
      <c r="A1123" s="2" t="n">
        <v>1121</v>
      </c>
      <c r="B1123" s="2" t="inlineStr">
        <is>
          <t>PVC空 07-08</t>
        </is>
      </c>
      <c r="C1123" s="10" t="n">
        <v>3</v>
      </c>
      <c r="D1123" s="33" t="n">
        <v>0.16</v>
      </c>
    </row>
    <row r="1124">
      <c r="A1124" s="2" t="n">
        <v>1122</v>
      </c>
      <c r="B1124" s="2" t="inlineStr">
        <is>
          <t>工业硅空 07-12</t>
        </is>
      </c>
      <c r="C1124" s="10" t="n">
        <v>3</v>
      </c>
      <c r="D1124" s="33" t="n">
        <v>0.37</v>
      </c>
    </row>
    <row r="1125">
      <c r="A1125" s="2" t="n">
        <v>1123</v>
      </c>
      <c r="B1125" s="2" t="inlineStr">
        <is>
          <t>沪铝空 07-16</t>
        </is>
      </c>
      <c r="C1125" s="10" t="n">
        <v>2</v>
      </c>
      <c r="D1125" s="33" t="n">
        <v>0.06</v>
      </c>
    </row>
    <row r="1126">
      <c r="A1126" s="2" t="n">
        <v>1124</v>
      </c>
      <c r="B1126" s="2" t="inlineStr">
        <is>
          <t>聚丙烯空 07-10</t>
        </is>
      </c>
      <c r="C1126" s="10" t="n">
        <v>2</v>
      </c>
      <c r="D1126" s="33" t="n">
        <v>-0.06</v>
      </c>
    </row>
    <row r="1127">
      <c r="A1127" s="2" t="n">
        <v>1125</v>
      </c>
      <c r="B1127" s="2" t="inlineStr">
        <is>
          <t>沪金多 06-21</t>
        </is>
      </c>
      <c r="C1127" s="10" t="n">
        <v>3</v>
      </c>
      <c r="D1127" s="33" t="n">
        <v>0.24</v>
      </c>
    </row>
    <row r="1128">
      <c r="A1128" s="2" t="n">
        <v>1126</v>
      </c>
      <c r="B1128" s="2" t="inlineStr">
        <is>
          <t>锰硅空 07-16</t>
        </is>
      </c>
      <c r="C1128" s="10" t="n">
        <v>3</v>
      </c>
      <c r="D1128" s="33" t="n">
        <v>-0.04</v>
      </c>
    </row>
    <row r="1129">
      <c r="A1129" s="2" t="n">
        <v>1127</v>
      </c>
      <c r="B1129" s="2" t="inlineStr">
        <is>
          <t>沪铝空 07-18</t>
        </is>
      </c>
      <c r="C1129" s="10" t="n">
        <v>2</v>
      </c>
      <c r="D1129" s="33" t="n">
        <v>0.01</v>
      </c>
    </row>
    <row r="1130">
      <c r="A1130" s="2" t="n">
        <v>1128</v>
      </c>
      <c r="B1130" s="2" t="inlineStr">
        <is>
          <t>螺纹钢空 06-18</t>
        </is>
      </c>
      <c r="C1130" s="10" t="n">
        <v>3</v>
      </c>
      <c r="D1130" s="33" t="n">
        <v>1.17</v>
      </c>
    </row>
    <row r="1131">
      <c r="A1131" s="2" t="n">
        <v>1129</v>
      </c>
      <c r="B1131" s="2" t="inlineStr">
        <is>
          <t>苯乙烯空 07-17</t>
        </is>
      </c>
      <c r="C1131" s="10" t="n">
        <v>2</v>
      </c>
      <c r="D1131" s="33" t="n">
        <v>0.23</v>
      </c>
    </row>
    <row r="1132">
      <c r="A1132" s="2" t="n">
        <v>1130</v>
      </c>
      <c r="B1132" s="2" t="inlineStr">
        <is>
          <t>玻璃空 07-22</t>
        </is>
      </c>
      <c r="C1132" s="10" t="n">
        <v>3</v>
      </c>
      <c r="D1132" s="33" t="n">
        <v>0.18</v>
      </c>
    </row>
    <row r="1133">
      <c r="A1133" s="2" t="n">
        <v>1131</v>
      </c>
      <c r="B1133" s="2" t="inlineStr">
        <is>
          <t>菜油多 07-22</t>
        </is>
      </c>
      <c r="C1133" s="10" t="n">
        <v>2</v>
      </c>
      <c r="D1133" s="33" t="n">
        <v>0.05</v>
      </c>
    </row>
    <row r="1134">
      <c r="A1134" s="2" t="n">
        <v>1132</v>
      </c>
      <c r="B1134" s="2" t="inlineStr">
        <is>
          <t>豆粕空 07-11</t>
        </is>
      </c>
      <c r="C1134" s="10" t="n">
        <v>3</v>
      </c>
      <c r="D1134" s="33" t="n">
        <v>0.21</v>
      </c>
    </row>
    <row r="1135">
      <c r="A1135" s="2" t="n">
        <v>1133</v>
      </c>
      <c r="B1135" s="2" t="inlineStr">
        <is>
          <t>燃料油多 07-18</t>
        </is>
      </c>
      <c r="C1135" s="10" t="n">
        <v>2</v>
      </c>
      <c r="D1135" s="33" t="n">
        <v>-0.64</v>
      </c>
    </row>
    <row r="1136">
      <c r="A1136" s="2" t="n">
        <v>1134</v>
      </c>
      <c r="B1136" s="2" t="inlineStr">
        <is>
          <t>纯碱空 07-22</t>
        </is>
      </c>
      <c r="C1136" s="10" t="n">
        <v>3</v>
      </c>
      <c r="D1136" s="33" t="n">
        <v>0.12</v>
      </c>
    </row>
    <row r="1137">
      <c r="A1137" s="2" t="n">
        <v>1135</v>
      </c>
      <c r="B1137" s="2" t="inlineStr">
        <is>
          <t>PVC空 07-15</t>
        </is>
      </c>
      <c r="C1137" s="10" t="n">
        <v>3</v>
      </c>
      <c r="D1137" s="33" t="n">
        <v>0.45</v>
      </c>
    </row>
    <row r="1138">
      <c r="A1138" s="2" t="n">
        <v>1136</v>
      </c>
      <c r="B1138" s="2" t="inlineStr">
        <is>
          <t>甲醇多 07-24</t>
        </is>
      </c>
      <c r="C1138" s="10" t="n">
        <v>2</v>
      </c>
      <c r="D1138" s="33" t="n">
        <v>0</v>
      </c>
    </row>
    <row r="1139">
      <c r="A1139" s="2" t="n">
        <v>1137</v>
      </c>
      <c r="B1139" s="2" t="inlineStr">
        <is>
          <t>玉米空 07-15</t>
        </is>
      </c>
      <c r="C1139" s="10" t="n">
        <v>3</v>
      </c>
      <c r="D1139" s="33" t="n">
        <v>0.64</v>
      </c>
    </row>
    <row r="1140">
      <c r="A1140" s="2" t="n">
        <v>1138</v>
      </c>
      <c r="B1140" s="2" t="inlineStr">
        <is>
          <t>沪镍空 07-23</t>
        </is>
      </c>
      <c r="C1140" s="10" t="n">
        <v>2</v>
      </c>
      <c r="D1140" s="33" t="n">
        <v>0.07000000000000001</v>
      </c>
    </row>
    <row r="1141">
      <c r="A1141" s="2" t="n">
        <v>1139</v>
      </c>
      <c r="B1141" s="2" t="inlineStr">
        <is>
          <t>聚丙烯多 07-18</t>
        </is>
      </c>
      <c r="C1141" s="10" t="n">
        <v>2</v>
      </c>
      <c r="D1141" s="33" t="n">
        <v>-0.8</v>
      </c>
    </row>
    <row r="1142">
      <c r="A1142" s="2" t="n">
        <v>1140</v>
      </c>
      <c r="B1142" s="2" t="inlineStr">
        <is>
          <t>塑料空 07-23</t>
        </is>
      </c>
      <c r="C1142" s="10" t="n">
        <v>3</v>
      </c>
      <c r="D1142" s="33" t="n">
        <v>0.26</v>
      </c>
    </row>
    <row r="1143">
      <c r="A1143" s="2" t="n">
        <v>1141</v>
      </c>
      <c r="B1143" s="2" t="inlineStr">
        <is>
          <t>玻璃空 07-26</t>
        </is>
      </c>
      <c r="C1143" s="10" t="n">
        <v>3</v>
      </c>
      <c r="D1143" s="33" t="n">
        <v>0.13</v>
      </c>
    </row>
    <row r="1144">
      <c r="A1144" s="2" t="n">
        <v>1142</v>
      </c>
      <c r="B1144" s="2" t="inlineStr">
        <is>
          <t>PVC空 07-29</t>
        </is>
      </c>
      <c r="C1144" s="10" t="n">
        <v>3</v>
      </c>
      <c r="D1144" s="33" t="n">
        <v>-0.01</v>
      </c>
    </row>
    <row r="1145">
      <c r="A1145" s="2" t="n">
        <v>1143</v>
      </c>
      <c r="B1145" s="2" t="inlineStr">
        <is>
          <t>豆粕空 07-31</t>
        </is>
      </c>
      <c r="C1145" s="10" t="n">
        <v>3</v>
      </c>
      <c r="D1145" s="33" t="n">
        <v>0.07000000000000001</v>
      </c>
    </row>
    <row r="1146">
      <c r="A1146" s="2" t="n">
        <v>1144</v>
      </c>
      <c r="B1146" s="2" t="inlineStr">
        <is>
          <t>纯碱空 07-31</t>
        </is>
      </c>
      <c r="C1146" s="10" t="n">
        <v>3</v>
      </c>
      <c r="D1146" s="33" t="n">
        <v>-0.21</v>
      </c>
    </row>
    <row r="1147">
      <c r="A1147" s="2" t="n">
        <v>1145</v>
      </c>
      <c r="B1147" s="2" t="inlineStr">
        <is>
          <t>锰硅空 08-01</t>
        </is>
      </c>
      <c r="C1147" s="10" t="n">
        <v>3</v>
      </c>
      <c r="D1147" s="33" t="n">
        <v>-0.12</v>
      </c>
    </row>
    <row r="1148">
      <c r="A1148" s="2" t="n">
        <v>1146</v>
      </c>
      <c r="B1148" s="2" t="inlineStr">
        <is>
          <t>工业硅空 07-19</t>
        </is>
      </c>
      <c r="C1148" s="10" t="n">
        <v>3</v>
      </c>
      <c r="D1148" s="33" t="n">
        <v>0.13</v>
      </c>
    </row>
    <row r="1149">
      <c r="A1149" s="2" t="n">
        <v>1147</v>
      </c>
      <c r="B1149" s="2" t="inlineStr">
        <is>
          <t>豆油空 07-15</t>
        </is>
      </c>
      <c r="C1149" s="10" t="n">
        <v>3</v>
      </c>
      <c r="D1149" s="33" t="n">
        <v>0.4</v>
      </c>
    </row>
    <row r="1150">
      <c r="A1150" s="2" t="n">
        <v>1148</v>
      </c>
      <c r="B1150" s="2" t="inlineStr">
        <is>
          <t>玉米空 08-01</t>
        </is>
      </c>
      <c r="C1150" s="10" t="n">
        <v>3</v>
      </c>
      <c r="D1150" s="33" t="n">
        <v>0.93</v>
      </c>
    </row>
    <row r="1151">
      <c r="A1151" s="2" t="n">
        <v>1149</v>
      </c>
      <c r="B1151" s="2" t="inlineStr">
        <is>
          <t>PTA空 08-06</t>
        </is>
      </c>
      <c r="C1151" s="10" t="n">
        <v>3</v>
      </c>
      <c r="D1151" s="33" t="n">
        <v>-0.03</v>
      </c>
    </row>
    <row r="1152">
      <c r="A1152" s="2" t="n">
        <v>1150</v>
      </c>
      <c r="B1152" s="2" t="inlineStr">
        <is>
          <t>玻璃空 08-05</t>
        </is>
      </c>
      <c r="C1152" s="10" t="n">
        <v>3</v>
      </c>
      <c r="D1152" s="33" t="n">
        <v>0.38</v>
      </c>
    </row>
    <row r="1153">
      <c r="A1153" s="2" t="n">
        <v>1151</v>
      </c>
      <c r="B1153" s="2" t="inlineStr">
        <is>
          <t>锰硅空 08-06</t>
        </is>
      </c>
      <c r="C1153" s="10" t="n">
        <v>3</v>
      </c>
      <c r="D1153" s="33" t="n">
        <v>0.29</v>
      </c>
    </row>
    <row r="1154">
      <c r="A1154" s="2" t="n">
        <v>1152</v>
      </c>
      <c r="B1154" s="2" t="inlineStr">
        <is>
          <t>菜粕空 08-07</t>
        </is>
      </c>
      <c r="C1154" s="10" t="n">
        <v>3</v>
      </c>
      <c r="D1154" s="33" t="n">
        <v>0.11</v>
      </c>
    </row>
    <row r="1155">
      <c r="A1155" s="2" t="n">
        <v>1153</v>
      </c>
      <c r="B1155" s="2" t="inlineStr">
        <is>
          <t>聚丙烯空 08-09</t>
        </is>
      </c>
      <c r="C1155" s="10" t="n">
        <v>2</v>
      </c>
      <c r="D1155" s="33" t="n">
        <v>-0.1</v>
      </c>
    </row>
    <row r="1156">
      <c r="A1156" s="2" t="n">
        <v>1154</v>
      </c>
      <c r="B1156" s="2" t="inlineStr">
        <is>
          <t>沪镍空 08-12</t>
        </is>
      </c>
      <c r="C1156" s="10" t="n">
        <v>2</v>
      </c>
      <c r="D1156" s="33" t="n">
        <v>0.11</v>
      </c>
    </row>
    <row r="1157">
      <c r="A1157" s="2" t="n">
        <v>1155</v>
      </c>
      <c r="B1157" s="2" t="inlineStr">
        <is>
          <t>菜油空 08-13</t>
        </is>
      </c>
      <c r="C1157" s="10" t="n">
        <v>2</v>
      </c>
      <c r="D1157" s="33" t="n">
        <v>0.11</v>
      </c>
    </row>
    <row r="1158">
      <c r="A1158" s="2" t="n">
        <v>1156</v>
      </c>
      <c r="B1158" s="2" t="inlineStr">
        <is>
          <t>沪银空 08-08</t>
        </is>
      </c>
      <c r="C1158" s="10" t="n">
        <v>3</v>
      </c>
      <c r="D1158" s="33" t="n">
        <v>-0.24</v>
      </c>
    </row>
    <row r="1159">
      <c r="A1159" s="2" t="n">
        <v>1157</v>
      </c>
      <c r="B1159" s="2" t="inlineStr">
        <is>
          <t>沪铝空 07-31</t>
        </is>
      </c>
      <c r="C1159" s="10" t="n">
        <v>3</v>
      </c>
      <c r="D1159" s="33" t="n">
        <v>-0.25</v>
      </c>
    </row>
    <row r="1160">
      <c r="A1160" s="2" t="n">
        <v>1158</v>
      </c>
      <c r="B1160" s="2" t="inlineStr">
        <is>
          <t>纯碱空 08-06</t>
        </is>
      </c>
      <c r="C1160" s="10" t="n">
        <v>3</v>
      </c>
      <c r="D1160" s="33" t="n">
        <v>0.86</v>
      </c>
    </row>
    <row r="1161">
      <c r="A1161" s="2" t="n">
        <v>1159</v>
      </c>
      <c r="B1161" s="2" t="inlineStr">
        <is>
          <t>锰硅空 08-19</t>
        </is>
      </c>
      <c r="C1161" s="10" t="n">
        <v>3</v>
      </c>
      <c r="D1161" s="33" t="n">
        <v>0.03</v>
      </c>
    </row>
    <row r="1162">
      <c r="A1162" s="2" t="n">
        <v>1160</v>
      </c>
      <c r="B1162" s="2" t="inlineStr">
        <is>
          <t>碳酸锂空 07-12</t>
        </is>
      </c>
      <c r="C1162" s="10" t="n">
        <v>2</v>
      </c>
      <c r="D1162" s="33" t="n">
        <v>1.21</v>
      </c>
    </row>
    <row r="1163">
      <c r="A1163" s="2" t="n">
        <v>1161</v>
      </c>
      <c r="B1163" s="2" t="inlineStr">
        <is>
          <t>PTA空 08-08</t>
        </is>
      </c>
      <c r="C1163" s="10" t="n">
        <v>3</v>
      </c>
      <c r="D1163" s="33" t="n">
        <v>0.75</v>
      </c>
    </row>
    <row r="1164">
      <c r="A1164" s="2" t="n">
        <v>1162</v>
      </c>
      <c r="B1164" s="2" t="inlineStr">
        <is>
          <t>玻璃空 08-16</t>
        </is>
      </c>
      <c r="C1164" s="10" t="n">
        <v>3</v>
      </c>
      <c r="D1164" s="33" t="n">
        <v>-0.42</v>
      </c>
    </row>
    <row r="1165">
      <c r="A1165" s="2" t="n">
        <v>1163</v>
      </c>
      <c r="B1165" s="2" t="inlineStr">
        <is>
          <t>白糖多 08-13</t>
        </is>
      </c>
      <c r="C1165" s="10" t="n">
        <v>2</v>
      </c>
      <c r="D1165" s="33" t="n">
        <v>-0.85</v>
      </c>
    </row>
    <row r="1166">
      <c r="A1166" s="2" t="n">
        <v>1164</v>
      </c>
      <c r="B1166" s="2" t="inlineStr">
        <is>
          <t>沪银多 08-15</t>
        </is>
      </c>
      <c r="C1166" s="10" t="n">
        <v>2</v>
      </c>
      <c r="D1166" s="33" t="n">
        <v>0.71</v>
      </c>
    </row>
    <row r="1167">
      <c r="A1167" s="2" t="n">
        <v>1165</v>
      </c>
      <c r="B1167" s="2" t="inlineStr">
        <is>
          <t>玻璃空 08-22</t>
        </is>
      </c>
      <c r="C1167" s="10" t="n">
        <v>3</v>
      </c>
      <c r="D1167" s="33" t="n">
        <v>0.09</v>
      </c>
    </row>
    <row r="1168">
      <c r="A1168" s="2" t="n">
        <v>1166</v>
      </c>
      <c r="B1168" s="2" t="inlineStr">
        <is>
          <t>沪铝多 08-23</t>
        </is>
      </c>
      <c r="C1168" s="10" t="n">
        <v>3</v>
      </c>
      <c r="D1168" s="33" t="n">
        <v>-0.17</v>
      </c>
    </row>
    <row r="1169">
      <c r="A1169" s="2" t="n">
        <v>1167</v>
      </c>
      <c r="B1169" s="2" t="inlineStr">
        <is>
          <t>工业硅空 08-26</t>
        </is>
      </c>
      <c r="C1169" s="10" t="n">
        <v>3</v>
      </c>
      <c r="D1169" s="33" t="n">
        <v>-0.68</v>
      </c>
    </row>
    <row r="1170">
      <c r="A1170" s="2" t="n">
        <v>1168</v>
      </c>
      <c r="B1170" s="2" t="inlineStr">
        <is>
          <t>棕榈油多 08-27</t>
        </is>
      </c>
      <c r="C1170" s="10" t="n">
        <v>2</v>
      </c>
      <c r="D1170" s="33" t="n">
        <v>-0.12</v>
      </c>
    </row>
    <row r="1171">
      <c r="A1171" s="2" t="n">
        <v>1169</v>
      </c>
      <c r="B1171" s="2" t="inlineStr">
        <is>
          <t>锰硅空 08-22</t>
        </is>
      </c>
      <c r="C1171" s="10" t="n">
        <v>3</v>
      </c>
      <c r="D1171" s="33" t="n">
        <v>0.02</v>
      </c>
    </row>
    <row r="1172">
      <c r="A1172" s="2" t="n">
        <v>1170</v>
      </c>
      <c r="B1172" s="2" t="inlineStr">
        <is>
          <t>玉米多 08-27</t>
        </is>
      </c>
      <c r="C1172" s="10" t="n">
        <v>2</v>
      </c>
      <c r="D1172" s="33" t="n">
        <v>-0.71</v>
      </c>
    </row>
    <row r="1173">
      <c r="A1173" s="2" t="n">
        <v>1171</v>
      </c>
      <c r="B1173" s="2" t="inlineStr">
        <is>
          <t>沪锌多 08-28</t>
        </is>
      </c>
      <c r="C1173" s="10" t="n">
        <v>3</v>
      </c>
      <c r="D1173" s="33" t="n">
        <v>-0.14</v>
      </c>
    </row>
    <row r="1174">
      <c r="A1174" s="2" t="n">
        <v>1172</v>
      </c>
      <c r="B1174" s="2" t="inlineStr">
        <is>
          <t>PVC空 08-30</t>
        </is>
      </c>
      <c r="C1174" s="10" t="n">
        <v>3</v>
      </c>
      <c r="D1174" s="33" t="n">
        <v>0.37</v>
      </c>
    </row>
    <row r="1175">
      <c r="A1175" s="2" t="n">
        <v>1173</v>
      </c>
      <c r="B1175" s="2" t="inlineStr">
        <is>
          <t>菜粕空 08-15</t>
        </is>
      </c>
      <c r="C1175" s="10" t="n">
        <v>3</v>
      </c>
      <c r="D1175" s="33" t="n">
        <v>-0.47</v>
      </c>
    </row>
    <row r="1176">
      <c r="A1176" s="2" t="n">
        <v>1174</v>
      </c>
      <c r="B1176" s="2" t="inlineStr">
        <is>
          <t>豆粕空 08-19</t>
        </is>
      </c>
      <c r="C1176" s="10" t="n">
        <v>3</v>
      </c>
      <c r="D1176" s="33" t="n">
        <v>-0.6899999999999999</v>
      </c>
    </row>
    <row r="1177">
      <c r="A1177" s="2" t="n">
        <v>1175</v>
      </c>
      <c r="B1177" s="2" t="inlineStr">
        <is>
          <t>铁矿石空 08-30</t>
        </is>
      </c>
      <c r="C1177" s="10" t="n">
        <v>2</v>
      </c>
      <c r="D1177" s="33" t="n">
        <v>0.51</v>
      </c>
    </row>
    <row r="1178">
      <c r="A1178" s="2" t="n">
        <v>1176</v>
      </c>
      <c r="B1178" s="2" t="inlineStr">
        <is>
          <t>甲醇空 08-30</t>
        </is>
      </c>
      <c r="C1178" s="10" t="n">
        <v>2</v>
      </c>
      <c r="D1178" s="33" t="n">
        <v>0.58</v>
      </c>
    </row>
    <row r="1179">
      <c r="A1179" s="2" t="n">
        <v>1177</v>
      </c>
      <c r="B1179" s="2" t="inlineStr">
        <is>
          <t>PTA空 08-29</t>
        </is>
      </c>
      <c r="C1179" s="10" t="n">
        <v>3</v>
      </c>
      <c r="D1179" s="33" t="n">
        <v>1.07</v>
      </c>
    </row>
    <row r="1180">
      <c r="A1180" s="2" t="n">
        <v>1178</v>
      </c>
      <c r="B1180" s="2" t="inlineStr">
        <is>
          <t>菜粕多 09-03</t>
        </is>
      </c>
      <c r="C1180" s="10" t="n">
        <v>2</v>
      </c>
      <c r="D1180" s="33" t="n">
        <v>0.2</v>
      </c>
    </row>
    <row r="1181">
      <c r="A1181" s="2" t="n">
        <v>1179</v>
      </c>
      <c r="B1181" s="2" t="inlineStr">
        <is>
          <t>塑料空 08-16</t>
        </is>
      </c>
      <c r="C1181" s="10" t="n">
        <v>3</v>
      </c>
      <c r="D1181" s="33" t="n">
        <v>0.46</v>
      </c>
    </row>
    <row r="1182">
      <c r="A1182" s="2" t="n">
        <v>1180</v>
      </c>
      <c r="B1182" s="2" t="inlineStr">
        <is>
          <t>沪金多 08-21</t>
        </is>
      </c>
      <c r="C1182" s="10" t="n">
        <v>3</v>
      </c>
      <c r="D1182" s="33" t="n">
        <v>-0.11</v>
      </c>
    </row>
    <row r="1183">
      <c r="A1183" s="2" t="n">
        <v>1181</v>
      </c>
      <c r="B1183" s="2" t="inlineStr">
        <is>
          <t>热卷空 09-02</t>
        </is>
      </c>
      <c r="C1183" s="10" t="n">
        <v>3</v>
      </c>
      <c r="D1183" s="33" t="n">
        <v>0.67</v>
      </c>
    </row>
    <row r="1184">
      <c r="A1184" s="2" t="n">
        <v>1182</v>
      </c>
      <c r="B1184" s="2" t="inlineStr">
        <is>
          <t>PVC空 09-05</t>
        </is>
      </c>
      <c r="C1184" s="10" t="n">
        <v>3</v>
      </c>
      <c r="D1184" s="33" t="n">
        <v>-0.06</v>
      </c>
    </row>
    <row r="1185">
      <c r="A1185" s="2" t="n">
        <v>1183</v>
      </c>
      <c r="B1185" s="2" t="inlineStr">
        <is>
          <t>甲醇空 09-06</t>
        </is>
      </c>
      <c r="C1185" s="10" t="n">
        <v>3</v>
      </c>
      <c r="D1185" s="33" t="n">
        <v>0.15</v>
      </c>
    </row>
    <row r="1186">
      <c r="A1186" s="2" t="n">
        <v>1184</v>
      </c>
      <c r="B1186" s="2" t="inlineStr">
        <is>
          <t>螺纹钢空 09-06</t>
        </is>
      </c>
      <c r="C1186" s="10" t="n">
        <v>3</v>
      </c>
      <c r="D1186" s="33" t="n">
        <v>-0.36</v>
      </c>
    </row>
    <row r="1187">
      <c r="A1187" s="2" t="n">
        <v>1185</v>
      </c>
      <c r="B1187" s="2" t="inlineStr">
        <is>
          <t>PVC空 09-10</t>
        </is>
      </c>
      <c r="C1187" s="10" t="n">
        <v>2</v>
      </c>
      <c r="D1187" s="33" t="n">
        <v>-0.17</v>
      </c>
    </row>
    <row r="1188">
      <c r="A1188" s="2" t="n">
        <v>1186</v>
      </c>
      <c r="B1188" s="2" t="inlineStr">
        <is>
          <t>白糖空 08-26</t>
        </is>
      </c>
      <c r="C1188" s="10" t="n">
        <v>2</v>
      </c>
      <c r="D1188" s="33" t="n">
        <v>-0.43</v>
      </c>
    </row>
    <row r="1189">
      <c r="A1189" s="2" t="n">
        <v>1187</v>
      </c>
      <c r="B1189" s="2" t="inlineStr">
        <is>
          <t>锰硅空 09-04</t>
        </is>
      </c>
      <c r="C1189" s="10" t="n">
        <v>3</v>
      </c>
      <c r="D1189" s="33" t="n">
        <v>0.17</v>
      </c>
    </row>
    <row r="1190">
      <c r="A1190" s="2" t="n">
        <v>1188</v>
      </c>
      <c r="B1190" s="2" t="inlineStr">
        <is>
          <t>菜粕多 09-06</t>
        </is>
      </c>
      <c r="C1190" s="10" t="n">
        <v>3</v>
      </c>
      <c r="D1190" s="33" t="n">
        <v>-0.07000000000000001</v>
      </c>
    </row>
    <row r="1191">
      <c r="A1191" s="2" t="n">
        <v>1189</v>
      </c>
      <c r="B1191" s="2" t="inlineStr">
        <is>
          <t>聚丙烯空 09-11</t>
        </is>
      </c>
      <c r="C1191" s="10" t="n">
        <v>2</v>
      </c>
      <c r="D1191" s="33" t="n">
        <v>-0.12</v>
      </c>
    </row>
    <row r="1192">
      <c r="A1192" s="2" t="n">
        <v>1190</v>
      </c>
      <c r="B1192" s="2" t="inlineStr">
        <is>
          <t>沪锌多 09-12</t>
        </is>
      </c>
      <c r="C1192" s="10" t="n">
        <v>2</v>
      </c>
      <c r="D1192" s="33" t="n">
        <v>0.09</v>
      </c>
    </row>
    <row r="1193">
      <c r="A1193" s="2" t="n">
        <v>1191</v>
      </c>
      <c r="B1193" s="2" t="inlineStr">
        <is>
          <t>热卷空 09-09</t>
        </is>
      </c>
      <c r="C1193" s="10" t="n">
        <v>2</v>
      </c>
      <c r="D1193" s="33" t="n">
        <v>-0.17</v>
      </c>
    </row>
    <row r="1194">
      <c r="A1194" s="2" t="n">
        <v>1192</v>
      </c>
      <c r="B1194" s="2" t="inlineStr">
        <is>
          <t>玉米空 09-12</t>
        </is>
      </c>
      <c r="C1194" s="10" t="n">
        <v>2</v>
      </c>
      <c r="D1194" s="33" t="n">
        <v>0.02</v>
      </c>
    </row>
    <row r="1195">
      <c r="A1195" s="2" t="n">
        <v>1193</v>
      </c>
      <c r="B1195" s="2" t="inlineStr">
        <is>
          <t>纯碱空 09-12</t>
        </is>
      </c>
      <c r="C1195" s="10" t="n">
        <v>3</v>
      </c>
      <c r="D1195" s="33" t="n">
        <v>0.13</v>
      </c>
    </row>
    <row r="1196">
      <c r="A1196" s="2" t="n">
        <v>1194</v>
      </c>
      <c r="B1196" s="2" t="inlineStr">
        <is>
          <t>白糖多 09-12</t>
        </is>
      </c>
      <c r="C1196" s="10" t="n">
        <v>2</v>
      </c>
      <c r="D1196" s="33" t="n">
        <v>0.17</v>
      </c>
    </row>
    <row r="1197">
      <c r="A1197" s="2" t="n">
        <v>1195</v>
      </c>
      <c r="B1197" s="2" t="inlineStr">
        <is>
          <t>玻璃空 09-13</t>
        </is>
      </c>
      <c r="C1197" s="10" t="n">
        <v>3</v>
      </c>
      <c r="D1197" s="33" t="n">
        <v>-0.1</v>
      </c>
    </row>
    <row r="1198">
      <c r="A1198" s="2" t="n">
        <v>1196</v>
      </c>
      <c r="B1198" s="2" t="inlineStr">
        <is>
          <t>棕榈油空 08-29</t>
        </is>
      </c>
      <c r="C1198" s="10" t="n">
        <v>2</v>
      </c>
      <c r="D1198" s="33" t="n">
        <v>-0.33</v>
      </c>
    </row>
    <row r="1199">
      <c r="A1199" s="2" t="n">
        <v>1197</v>
      </c>
      <c r="B1199" s="2" t="inlineStr">
        <is>
          <t>铁矿石多 09-12</t>
        </is>
      </c>
      <c r="C1199" s="10" t="n">
        <v>3</v>
      </c>
      <c r="D1199" s="33" t="n">
        <v>-0.19</v>
      </c>
    </row>
    <row r="1200">
      <c r="A1200" s="2" t="n">
        <v>1198</v>
      </c>
      <c r="B1200" s="2" t="inlineStr">
        <is>
          <t>锰硅空 09-13</t>
        </is>
      </c>
      <c r="C1200" s="10" t="n">
        <v>3</v>
      </c>
      <c r="D1200" s="33" t="n">
        <v>-0.23</v>
      </c>
    </row>
    <row r="1201">
      <c r="A1201" s="2" t="n">
        <v>1199</v>
      </c>
      <c r="B1201" s="2" t="inlineStr">
        <is>
          <t>聚丙烯空 09-18</t>
        </is>
      </c>
      <c r="C1201" s="10" t="n">
        <v>3</v>
      </c>
      <c r="D1201" s="33" t="n">
        <v>-0.25</v>
      </c>
    </row>
    <row r="1202">
      <c r="A1202" s="2" t="n">
        <v>1200</v>
      </c>
      <c r="B1202" s="2" t="inlineStr">
        <is>
          <t>豆粕多 09-06</t>
        </is>
      </c>
      <c r="C1202" s="10" t="n">
        <v>2</v>
      </c>
      <c r="D1202" s="33" t="n">
        <v>-0.42</v>
      </c>
    </row>
    <row r="1203">
      <c r="A1203" s="2" t="n">
        <v>1201</v>
      </c>
      <c r="B1203" s="2" t="inlineStr">
        <is>
          <t>豆油多 09-06</t>
        </is>
      </c>
      <c r="C1203" s="10" t="n">
        <v>3</v>
      </c>
      <c r="D1203" s="33" t="n">
        <v>0.47</v>
      </c>
    </row>
    <row r="1204">
      <c r="A1204" s="2" t="n">
        <v>1202</v>
      </c>
      <c r="B1204" s="2" t="inlineStr">
        <is>
          <t>沪银多 09-19</t>
        </is>
      </c>
      <c r="C1204" s="10" t="n">
        <v>3</v>
      </c>
      <c r="D1204" s="33" t="n">
        <v>0.09</v>
      </c>
    </row>
    <row r="1205">
      <c r="A1205" s="2" t="n">
        <v>1203</v>
      </c>
      <c r="B1205" s="2" t="inlineStr">
        <is>
          <t>PVC空 09-19</t>
        </is>
      </c>
      <c r="C1205" s="10" t="n">
        <v>2</v>
      </c>
      <c r="D1205" s="33" t="n">
        <v>0.18</v>
      </c>
    </row>
    <row r="1206">
      <c r="A1206" s="2" t="n">
        <v>1204</v>
      </c>
      <c r="B1206" s="2" t="inlineStr">
        <is>
          <t>玉米空 09-19</t>
        </is>
      </c>
      <c r="C1206" s="10" t="n">
        <v>3</v>
      </c>
      <c r="D1206" s="33" t="n">
        <v>0.37</v>
      </c>
    </row>
    <row r="1207">
      <c r="A1207" s="2" t="n">
        <v>1205</v>
      </c>
      <c r="B1207" s="2" t="inlineStr">
        <is>
          <t>甲醇空 09-20</t>
        </is>
      </c>
      <c r="C1207" s="10" t="n">
        <v>3</v>
      </c>
      <c r="D1207" s="33" t="n">
        <v>0.28</v>
      </c>
    </row>
    <row r="1208">
      <c r="A1208" s="2" t="n">
        <v>1206</v>
      </c>
      <c r="B1208" s="2" t="inlineStr">
        <is>
          <t>螺纹钢空 09-20</t>
        </is>
      </c>
      <c r="C1208" s="10" t="n">
        <v>2</v>
      </c>
      <c r="D1208" s="33" t="n">
        <v>0.23</v>
      </c>
    </row>
    <row r="1209">
      <c r="A1209" s="2" t="n">
        <v>1207</v>
      </c>
      <c r="B1209" s="2" t="inlineStr">
        <is>
          <t>聚丙烯空 09-23</t>
        </is>
      </c>
      <c r="C1209" s="10" t="n">
        <v>3</v>
      </c>
      <c r="D1209" s="33" t="n">
        <v>-0.47</v>
      </c>
    </row>
    <row r="1210">
      <c r="A1210" s="2" t="n">
        <v>1208</v>
      </c>
      <c r="B1210" s="2" t="inlineStr">
        <is>
          <t>白糖多 09-23</t>
        </is>
      </c>
      <c r="C1210" s="10" t="n">
        <v>2</v>
      </c>
      <c r="D1210" s="33" t="n">
        <v>0.03</v>
      </c>
    </row>
    <row r="1211">
      <c r="A1211" s="2" t="n">
        <v>1209</v>
      </c>
      <c r="B1211" s="2" t="inlineStr">
        <is>
          <t>沪金多 09-20</t>
        </is>
      </c>
      <c r="C1211" s="10" t="n">
        <v>3</v>
      </c>
      <c r="D1211" s="33" t="n">
        <v>0.21</v>
      </c>
    </row>
    <row r="1212">
      <c r="A1212" s="2" t="n">
        <v>1210</v>
      </c>
      <c r="B1212" s="2" t="inlineStr">
        <is>
          <t>热卷空 09-23</t>
        </is>
      </c>
      <c r="C1212" s="10" t="n">
        <v>3</v>
      </c>
      <c r="D1212" s="33" t="n">
        <v>-0.55</v>
      </c>
    </row>
    <row r="1213">
      <c r="A1213" s="2" t="n">
        <v>1211</v>
      </c>
      <c r="B1213" s="2" t="inlineStr">
        <is>
          <t>菜粕多 09-24</t>
        </is>
      </c>
      <c r="C1213" s="10" t="n">
        <v>3</v>
      </c>
      <c r="D1213" s="33" t="n">
        <v>-0.24</v>
      </c>
    </row>
    <row r="1214">
      <c r="A1214" s="2" t="n">
        <v>1212</v>
      </c>
      <c r="B1214" s="2" t="inlineStr">
        <is>
          <t>塑料空 09-23</t>
        </is>
      </c>
      <c r="C1214" s="10" t="n">
        <v>2</v>
      </c>
      <c r="D1214" s="33" t="n">
        <v>-0.95</v>
      </c>
    </row>
    <row r="1215">
      <c r="A1215" s="2" t="n">
        <v>1213</v>
      </c>
      <c r="B1215" s="2" t="inlineStr">
        <is>
          <t>沪铝多 09-25</t>
        </is>
      </c>
      <c r="C1215" s="10" t="n">
        <v>2</v>
      </c>
      <c r="D1215" s="33" t="n">
        <v>0.45</v>
      </c>
    </row>
    <row r="1216">
      <c r="A1216" s="2" t="n">
        <v>1214</v>
      </c>
      <c r="B1216" s="2" t="inlineStr">
        <is>
          <t>甲醇多 09-25</t>
        </is>
      </c>
      <c r="C1216" s="10" t="n">
        <v>2</v>
      </c>
      <c r="D1216" s="33" t="n">
        <v>0.75</v>
      </c>
    </row>
    <row r="1217">
      <c r="A1217" s="2" t="n">
        <v>1215</v>
      </c>
      <c r="B1217" s="2" t="inlineStr">
        <is>
          <t>白糖多 09-25</t>
        </is>
      </c>
      <c r="C1217" s="10" t="n">
        <v>3</v>
      </c>
      <c r="D1217" s="33" t="n">
        <v>0.03</v>
      </c>
    </row>
    <row r="1218">
      <c r="A1218" s="2" t="n">
        <v>1216</v>
      </c>
      <c r="B1218" s="2" t="inlineStr">
        <is>
          <t>菜粕多 09-26</t>
        </is>
      </c>
      <c r="C1218" s="10" t="n">
        <v>2</v>
      </c>
      <c r="D1218" s="33" t="n">
        <v>0.05</v>
      </c>
    </row>
    <row r="1219">
      <c r="A1219" s="2" t="n">
        <v>1217</v>
      </c>
      <c r="B1219" s="2" t="inlineStr">
        <is>
          <t>碳酸锂空 09-23</t>
        </is>
      </c>
      <c r="C1219" s="10" t="n">
        <v>2</v>
      </c>
      <c r="D1219" s="33" t="n">
        <v>-0.87</v>
      </c>
    </row>
    <row r="1220">
      <c r="A1220" s="2" t="n">
        <v>1218</v>
      </c>
      <c r="B1220" s="2" t="inlineStr">
        <is>
          <t>棉花多 09-27</t>
        </is>
      </c>
      <c r="C1220" s="10" t="n">
        <v>3</v>
      </c>
      <c r="D1220" s="33" t="n">
        <v>-0.21</v>
      </c>
    </row>
    <row r="1221">
      <c r="A1221" s="2" t="n">
        <v>1219</v>
      </c>
      <c r="B1221" s="2" t="inlineStr">
        <is>
          <t>沪银多 09-30</t>
        </is>
      </c>
      <c r="C1221" s="10" t="n">
        <v>2</v>
      </c>
      <c r="D1221" s="33" t="n">
        <v>-0.23</v>
      </c>
    </row>
    <row r="1222">
      <c r="A1222" s="2" t="n">
        <v>1220</v>
      </c>
      <c r="B1222" s="2" t="inlineStr">
        <is>
          <t>沪锌多 09-30</t>
        </is>
      </c>
      <c r="C1222" s="10" t="n">
        <v>3</v>
      </c>
      <c r="D1222" s="33" t="n">
        <v>-0.24</v>
      </c>
    </row>
    <row r="1223">
      <c r="A1223" s="2" t="n">
        <v>1221</v>
      </c>
      <c r="B1223" s="2" t="inlineStr">
        <is>
          <t>豆油多 09-26</t>
        </is>
      </c>
      <c r="C1223" s="10" t="n">
        <v>3</v>
      </c>
      <c r="D1223" s="33" t="n">
        <v>-0.1</v>
      </c>
    </row>
    <row r="1224">
      <c r="A1224" s="2" t="n">
        <v>1222</v>
      </c>
      <c r="B1224" s="2" t="inlineStr">
        <is>
          <t>沪铝多 10-08</t>
        </is>
      </c>
      <c r="C1224" s="10" t="n">
        <v>3</v>
      </c>
      <c r="D1224" s="33" t="n">
        <v>-0.02</v>
      </c>
    </row>
    <row r="1225">
      <c r="A1225" s="2" t="n">
        <v>1223</v>
      </c>
      <c r="B1225" s="2" t="inlineStr">
        <is>
          <t>白糖多 10-08</t>
        </is>
      </c>
      <c r="C1225" s="10" t="n">
        <v>3</v>
      </c>
      <c r="D1225" s="33" t="n">
        <v>-0.38</v>
      </c>
    </row>
    <row r="1226">
      <c r="A1226" s="2" t="n">
        <v>1224</v>
      </c>
      <c r="B1226" s="2" t="inlineStr">
        <is>
          <t>沪镍多 10-09</t>
        </is>
      </c>
      <c r="C1226" s="10" t="n">
        <v>3</v>
      </c>
      <c r="D1226" s="33" t="n">
        <v>0.1</v>
      </c>
    </row>
    <row r="1227">
      <c r="A1227" s="2" t="n">
        <v>1225</v>
      </c>
      <c r="B1227" s="2" t="inlineStr">
        <is>
          <t>塑料多 10-11</t>
        </is>
      </c>
      <c r="C1227" s="10" t="n">
        <v>3</v>
      </c>
      <c r="D1227" s="33" t="n">
        <v>-0.02</v>
      </c>
    </row>
    <row r="1228">
      <c r="A1228" s="2" t="n">
        <v>1226</v>
      </c>
      <c r="B1228" s="2" t="inlineStr">
        <is>
          <t>豆油多 10-11</t>
        </is>
      </c>
      <c r="C1228" s="10" t="n">
        <v>3</v>
      </c>
      <c r="D1228" s="33" t="n">
        <v>-0.11</v>
      </c>
    </row>
    <row r="1229">
      <c r="A1229" s="2" t="n">
        <v>1227</v>
      </c>
      <c r="B1229" s="2" t="inlineStr">
        <is>
          <t>沪锌多 10-11</t>
        </is>
      </c>
      <c r="C1229" s="10" t="n">
        <v>3</v>
      </c>
      <c r="D1229" s="33" t="n">
        <v>-0.25</v>
      </c>
    </row>
    <row r="1230">
      <c r="A1230" s="2" t="n">
        <v>1228</v>
      </c>
      <c r="B1230" s="2" t="inlineStr">
        <is>
          <t>沪银多 10-14</t>
        </is>
      </c>
      <c r="C1230" s="10" t="n">
        <v>3</v>
      </c>
      <c r="D1230" s="33" t="n">
        <v>0.14</v>
      </c>
    </row>
    <row r="1231">
      <c r="A1231" s="2" t="n">
        <v>1229</v>
      </c>
      <c r="B1231" s="2" t="inlineStr">
        <is>
          <t>沪金多 10-14</t>
        </is>
      </c>
      <c r="C1231" s="10" t="n">
        <v>3</v>
      </c>
      <c r="D1231" s="33" t="n">
        <v>0.44</v>
      </c>
    </row>
    <row r="1232">
      <c r="A1232" s="2" t="n">
        <v>1230</v>
      </c>
      <c r="B1232" s="2" t="inlineStr">
        <is>
          <t>锰硅空 10-16</t>
        </is>
      </c>
      <c r="C1232" s="10" t="n">
        <v>2</v>
      </c>
      <c r="D1232" s="33" t="n">
        <v>0.29</v>
      </c>
    </row>
    <row r="1233">
      <c r="A1233" s="2" t="n">
        <v>1231</v>
      </c>
      <c r="B1233" s="2" t="inlineStr">
        <is>
          <t>白糖多 10-14</t>
        </is>
      </c>
      <c r="C1233" s="10" t="n">
        <v>3</v>
      </c>
      <c r="D1233" s="33" t="n">
        <v>-0.26</v>
      </c>
    </row>
    <row r="1234">
      <c r="A1234" s="2" t="n">
        <v>1232</v>
      </c>
      <c r="B1234" s="2" t="inlineStr">
        <is>
          <t>聚丙烯空 10-17</t>
        </is>
      </c>
      <c r="C1234" s="10" t="n">
        <v>2</v>
      </c>
      <c r="D1234" s="33" t="n">
        <v>-0.17</v>
      </c>
    </row>
    <row r="1235">
      <c r="A1235" s="2" t="n">
        <v>1233</v>
      </c>
      <c r="B1235" s="2" t="inlineStr">
        <is>
          <t>沪银多 10-18</t>
        </is>
      </c>
      <c r="C1235" s="10" t="n">
        <v>3</v>
      </c>
      <c r="D1235" s="33" t="n">
        <v>0.5600000000000001</v>
      </c>
    </row>
    <row r="1236">
      <c r="A1236" s="2" t="n">
        <v>1234</v>
      </c>
      <c r="B1236" s="2" t="inlineStr">
        <is>
          <t>甲醇空 10-21</t>
        </is>
      </c>
      <c r="C1236" s="10" t="n">
        <v>2</v>
      </c>
      <c r="D1236" s="33" t="n">
        <v>-0.2</v>
      </c>
    </row>
    <row r="1237">
      <c r="A1237" s="2" t="n">
        <v>1235</v>
      </c>
      <c r="B1237" s="2" t="inlineStr">
        <is>
          <t>棕榈油多 10-21</t>
        </is>
      </c>
      <c r="C1237" s="10" t="n">
        <v>3</v>
      </c>
      <c r="D1237" s="33" t="n">
        <v>0.1</v>
      </c>
    </row>
    <row r="1238">
      <c r="A1238" s="2" t="n">
        <v>1236</v>
      </c>
      <c r="B1238" s="2" t="inlineStr">
        <is>
          <t>PTA空 10-21</t>
        </is>
      </c>
      <c r="C1238" s="10" t="n">
        <v>2</v>
      </c>
      <c r="D1238" s="33" t="n">
        <v>-0.06</v>
      </c>
    </row>
    <row r="1239">
      <c r="A1239" s="2" t="n">
        <v>1237</v>
      </c>
      <c r="B1239" s="2" t="inlineStr">
        <is>
          <t>豆油多 10-16</t>
        </is>
      </c>
      <c r="C1239" s="10" t="n">
        <v>3</v>
      </c>
      <c r="D1239" s="33" t="n">
        <v>0.34</v>
      </c>
    </row>
    <row r="1240">
      <c r="A1240" s="2" t="n">
        <v>1238</v>
      </c>
      <c r="B1240" s="2" t="inlineStr">
        <is>
          <t>沪锌多 10-21</t>
        </is>
      </c>
      <c r="C1240" s="10" t="n">
        <v>3</v>
      </c>
      <c r="D1240" s="33" t="n">
        <v>0.4</v>
      </c>
    </row>
    <row r="1241">
      <c r="A1241" s="2" t="n">
        <v>1239</v>
      </c>
      <c r="B1241" s="2" t="inlineStr">
        <is>
          <t>锰硅空 10-22</t>
        </is>
      </c>
      <c r="C1241" s="10" t="n">
        <v>2</v>
      </c>
      <c r="D1241" s="33" t="n">
        <v>-0.35</v>
      </c>
    </row>
    <row r="1242">
      <c r="A1242" s="2" t="n">
        <v>1240</v>
      </c>
      <c r="B1242" s="2" t="inlineStr">
        <is>
          <t>纯碱多 10-24</t>
        </is>
      </c>
      <c r="C1242" s="10" t="n">
        <v>3</v>
      </c>
      <c r="D1242" s="33" t="n">
        <v>-0.15</v>
      </c>
    </row>
    <row r="1243">
      <c r="A1243" s="2" t="n">
        <v>1241</v>
      </c>
      <c r="B1243" s="2" t="inlineStr">
        <is>
          <t>热卷空 10-17</t>
        </is>
      </c>
      <c r="C1243" s="10" t="n">
        <v>2</v>
      </c>
      <c r="D1243" s="33" t="n">
        <v>-0.35</v>
      </c>
    </row>
    <row r="1244">
      <c r="A1244" s="2" t="n">
        <v>1242</v>
      </c>
      <c r="B1244" s="2" t="inlineStr">
        <is>
          <t>沪铝多 10-22</t>
        </is>
      </c>
      <c r="C1244" s="10" t="n">
        <v>3</v>
      </c>
      <c r="D1244" s="33" t="n">
        <v>-0.04</v>
      </c>
    </row>
    <row r="1245">
      <c r="A1245" s="2" t="n">
        <v>1243</v>
      </c>
      <c r="B1245" s="2" t="inlineStr">
        <is>
          <t>棉花空 10-25</t>
        </is>
      </c>
      <c r="C1245" s="10" t="n">
        <v>2</v>
      </c>
      <c r="D1245" s="33" t="n">
        <v>0.17</v>
      </c>
    </row>
    <row r="1246">
      <c r="A1246" s="2" t="n">
        <v>1244</v>
      </c>
      <c r="B1246" s="2" t="inlineStr">
        <is>
          <t>玉米空 10-21</t>
        </is>
      </c>
      <c r="C1246" s="10" t="n">
        <v>3</v>
      </c>
      <c r="D1246" s="33" t="n">
        <v>-0.6899999999999999</v>
      </c>
    </row>
    <row r="1247">
      <c r="A1247" s="2" t="n">
        <v>1245</v>
      </c>
      <c r="B1247" s="2" t="inlineStr">
        <is>
          <t>棉花空 10-30</t>
        </is>
      </c>
      <c r="C1247" s="10" t="n">
        <v>3</v>
      </c>
      <c r="D1247" s="33" t="n">
        <v>0.05</v>
      </c>
    </row>
    <row r="1248">
      <c r="A1248" s="2" t="n">
        <v>1246</v>
      </c>
      <c r="B1248" s="2" t="inlineStr">
        <is>
          <t>沪金多 10-28</t>
        </is>
      </c>
      <c r="C1248" s="10" t="n">
        <v>3</v>
      </c>
      <c r="D1248" s="33" t="n">
        <v>0.15</v>
      </c>
    </row>
    <row r="1249">
      <c r="A1249" s="2" t="n">
        <v>1247</v>
      </c>
      <c r="B1249" s="2" t="inlineStr">
        <is>
          <t>白糖空 10-22</t>
        </is>
      </c>
      <c r="C1249" s="10" t="n">
        <v>2</v>
      </c>
      <c r="D1249" s="33" t="n">
        <v>0.03</v>
      </c>
    </row>
    <row r="1250">
      <c r="A1250" s="2" t="n">
        <v>1248</v>
      </c>
      <c r="B1250" s="2" t="inlineStr">
        <is>
          <t>棕榈油多 10-31</t>
        </is>
      </c>
      <c r="C1250" s="10" t="n">
        <v>3</v>
      </c>
      <c r="D1250" s="33" t="n">
        <v>0.32</v>
      </c>
    </row>
    <row r="1251">
      <c r="A1251" s="2" t="n">
        <v>1249</v>
      </c>
      <c r="B1251" s="2" t="inlineStr">
        <is>
          <t>碳酸锂多 11-04</t>
        </is>
      </c>
      <c r="C1251" s="10" t="n">
        <v>2</v>
      </c>
      <c r="D1251" s="33" t="n">
        <v>0.03</v>
      </c>
    </row>
    <row r="1252">
      <c r="A1252" s="2" t="n">
        <v>1250</v>
      </c>
      <c r="B1252" s="2" t="inlineStr">
        <is>
          <t>豆油多 11-07</t>
        </is>
      </c>
      <c r="C1252" s="10" t="n">
        <v>3</v>
      </c>
      <c r="D1252" s="33" t="n">
        <v>0.06</v>
      </c>
    </row>
    <row r="1253">
      <c r="A1253" s="2" t="n">
        <v>1251</v>
      </c>
      <c r="B1253" s="2" t="inlineStr">
        <is>
          <t>沪铝多 11-08</t>
        </is>
      </c>
      <c r="C1253" s="10" t="n">
        <v>3</v>
      </c>
      <c r="D1253" s="33" t="n">
        <v>-0.1</v>
      </c>
    </row>
    <row r="1254">
      <c r="A1254" s="2" t="n">
        <v>1252</v>
      </c>
      <c r="B1254" s="2" t="inlineStr">
        <is>
          <t>菜油多 10-28</t>
        </is>
      </c>
      <c r="C1254" s="10" t="n">
        <v>2</v>
      </c>
      <c r="D1254" s="33" t="n">
        <v>-0.18</v>
      </c>
    </row>
    <row r="1255">
      <c r="A1255" s="2" t="n">
        <v>1253</v>
      </c>
      <c r="B1255" s="2" t="inlineStr">
        <is>
          <t>棕榈油多 11-05</t>
        </is>
      </c>
      <c r="C1255" s="10" t="n">
        <v>3</v>
      </c>
      <c r="D1255" s="33" t="n">
        <v>0.15</v>
      </c>
    </row>
    <row r="1256">
      <c r="A1256" s="2" t="n">
        <v>1254</v>
      </c>
      <c r="B1256" s="2" t="inlineStr">
        <is>
          <t>甲醇空 11-06</t>
        </is>
      </c>
      <c r="C1256" s="10" t="n">
        <v>3</v>
      </c>
      <c r="D1256" s="33" t="n">
        <v>-0.1</v>
      </c>
    </row>
    <row r="1257">
      <c r="A1257" s="2" t="n">
        <v>1255</v>
      </c>
      <c r="B1257" s="2" t="inlineStr">
        <is>
          <t>锰硅多 11-04</t>
        </is>
      </c>
      <c r="C1257" s="10" t="n">
        <v>2</v>
      </c>
      <c r="D1257" s="33" t="n">
        <v>-0.6</v>
      </c>
    </row>
    <row r="1258">
      <c r="A1258" s="2" t="n">
        <v>1256</v>
      </c>
      <c r="B1258" s="2" t="inlineStr">
        <is>
          <t>玻璃多 11-07</t>
        </is>
      </c>
      <c r="C1258" s="10" t="n">
        <v>2</v>
      </c>
      <c r="D1258" s="33" t="n">
        <v>-0.52</v>
      </c>
    </row>
    <row r="1259">
      <c r="A1259" s="2" t="n">
        <v>1257</v>
      </c>
      <c r="B1259" s="2" t="inlineStr">
        <is>
          <t>PVC空 11-15</t>
        </is>
      </c>
      <c r="C1259" s="10" t="n">
        <v>2</v>
      </c>
      <c r="D1259" s="33" t="n">
        <v>0.03</v>
      </c>
    </row>
    <row r="1260">
      <c r="A1260" s="2" t="n">
        <v>1258</v>
      </c>
      <c r="B1260" s="2" t="inlineStr">
        <is>
          <t>玻璃空 11-15</t>
        </is>
      </c>
      <c r="C1260" s="10" t="n">
        <v>3</v>
      </c>
      <c r="D1260" s="33" t="n">
        <v>0.03</v>
      </c>
    </row>
    <row r="1261">
      <c r="A1261" s="2" t="n">
        <v>1259</v>
      </c>
      <c r="B1261" s="2" t="inlineStr">
        <is>
          <t>棕榈油多 11-19</t>
        </is>
      </c>
      <c r="C1261" s="10" t="n">
        <v>3</v>
      </c>
      <c r="D1261" s="33" t="n">
        <v>0.03</v>
      </c>
    </row>
    <row r="1262">
      <c r="A1262" s="2" t="n">
        <v>1260</v>
      </c>
      <c r="B1262" s="2" t="inlineStr">
        <is>
          <t>PTA多 11-19</t>
        </is>
      </c>
      <c r="C1262" s="10" t="n">
        <v>2</v>
      </c>
      <c r="D1262" s="33" t="n">
        <v>0.11</v>
      </c>
    </row>
    <row r="1263">
      <c r="A1263" s="2" t="n">
        <v>1261</v>
      </c>
      <c r="B1263" s="2" t="inlineStr">
        <is>
          <t>铁矿石空 11-01</t>
        </is>
      </c>
      <c r="C1263" s="10" t="n">
        <v>2</v>
      </c>
      <c r="D1263" s="33" t="n">
        <v>0.05</v>
      </c>
    </row>
    <row r="1264">
      <c r="A1264" s="2" t="n">
        <v>1262</v>
      </c>
      <c r="B1264" s="2" t="inlineStr">
        <is>
          <t>菜粕空 11-21</t>
        </is>
      </c>
      <c r="C1264" s="10" t="n">
        <v>3</v>
      </c>
      <c r="D1264" s="33" t="n">
        <v>0.2</v>
      </c>
    </row>
    <row r="1265">
      <c r="A1265" s="2" t="n">
        <v>1263</v>
      </c>
      <c r="B1265" s="2" t="inlineStr">
        <is>
          <t>塑料多 10-24</t>
        </is>
      </c>
      <c r="C1265" s="10" t="n">
        <v>3</v>
      </c>
      <c r="D1265" s="33" t="n">
        <v>0.9</v>
      </c>
    </row>
    <row r="1266">
      <c r="A1266" s="2" t="n">
        <v>1264</v>
      </c>
      <c r="B1266" s="2" t="inlineStr">
        <is>
          <t>PVC空 11-22</t>
        </is>
      </c>
      <c r="C1266" s="10" t="n">
        <v>3</v>
      </c>
      <c r="D1266" s="33" t="n">
        <v>-0.13</v>
      </c>
    </row>
    <row r="1267">
      <c r="A1267" s="2" t="n">
        <v>1265</v>
      </c>
      <c r="B1267" s="2" t="inlineStr">
        <is>
          <t>沪镍空 10-31</t>
        </is>
      </c>
      <c r="C1267" s="10" t="n">
        <v>2</v>
      </c>
      <c r="D1267" s="33" t="n">
        <v>-0.49</v>
      </c>
    </row>
    <row r="1268">
      <c r="A1268" s="2" t="n">
        <v>1266</v>
      </c>
      <c r="B1268" s="2" t="inlineStr">
        <is>
          <t>工业硅空 11-18</t>
        </is>
      </c>
      <c r="C1268" s="10" t="n">
        <v>3</v>
      </c>
      <c r="D1268" s="33" t="n">
        <v>0.71</v>
      </c>
    </row>
    <row r="1269">
      <c r="A1269" s="2" t="n">
        <v>1267</v>
      </c>
      <c r="B1269" s="2" t="inlineStr">
        <is>
          <t>豆油空 11-22</t>
        </is>
      </c>
      <c r="C1269" s="10" t="n">
        <v>2</v>
      </c>
      <c r="D1269" s="33" t="n">
        <v>-0.08</v>
      </c>
    </row>
    <row r="1270">
      <c r="A1270" s="2" t="n">
        <v>1268</v>
      </c>
      <c r="B1270" s="2" t="inlineStr">
        <is>
          <t>玻璃空 11-25</t>
        </is>
      </c>
      <c r="C1270" s="10" t="n">
        <v>3</v>
      </c>
      <c r="D1270" s="33" t="n">
        <v>0</v>
      </c>
    </row>
    <row r="1271">
      <c r="A1271" s="2" t="n">
        <v>1269</v>
      </c>
      <c r="B1271" s="2" t="inlineStr">
        <is>
          <t>菜粕空 11-26</t>
        </is>
      </c>
      <c r="C1271" s="10" t="n">
        <v>2</v>
      </c>
      <c r="D1271" s="33" t="n">
        <v>-0.05</v>
      </c>
    </row>
    <row r="1272">
      <c r="A1272" s="2" t="n">
        <v>1270</v>
      </c>
      <c r="B1272" s="2" t="inlineStr">
        <is>
          <t>沥青多 11-20</t>
        </is>
      </c>
      <c r="C1272" s="10" t="n">
        <v>3</v>
      </c>
      <c r="D1272" s="33" t="n">
        <v>0.75</v>
      </c>
    </row>
    <row r="1273">
      <c r="A1273" s="2" t="n">
        <v>1271</v>
      </c>
      <c r="B1273" s="2" t="inlineStr">
        <is>
          <t>工业硅空 11-28</t>
        </is>
      </c>
      <c r="C1273" s="10" t="n">
        <v>2</v>
      </c>
      <c r="D1273" s="33" t="n">
        <v>-0.45</v>
      </c>
    </row>
    <row r="1274">
      <c r="A1274" s="2" t="n">
        <v>1272</v>
      </c>
      <c r="B1274" s="2" t="inlineStr">
        <is>
          <t>聚丙烯空 11-15</t>
        </is>
      </c>
      <c r="C1274" s="10" t="n">
        <v>2</v>
      </c>
      <c r="D1274" s="33" t="n">
        <v>-0.54</v>
      </c>
    </row>
    <row r="1275">
      <c r="A1275" s="2" t="n">
        <v>1273</v>
      </c>
      <c r="B1275" s="2" t="inlineStr">
        <is>
          <t>PVC空 11-26</t>
        </is>
      </c>
      <c r="C1275" s="10" t="n">
        <v>3</v>
      </c>
      <c r="D1275" s="33" t="n">
        <v>0.34</v>
      </c>
    </row>
    <row r="1276">
      <c r="A1276" s="2" t="n">
        <v>1274</v>
      </c>
      <c r="B1276" s="2" t="inlineStr">
        <is>
          <t>白糖多 11-29</t>
        </is>
      </c>
      <c r="C1276" s="10" t="n">
        <v>2</v>
      </c>
      <c r="D1276" s="33" t="n">
        <v>-0.11</v>
      </c>
    </row>
    <row r="1277">
      <c r="A1277" s="2" t="n">
        <v>1275</v>
      </c>
      <c r="B1277" s="2" t="inlineStr">
        <is>
          <t>棉花空 11-20</t>
        </is>
      </c>
      <c r="C1277" s="10" t="n">
        <v>3</v>
      </c>
      <c r="D1277" s="33" t="n">
        <v>0.05</v>
      </c>
    </row>
    <row r="1278">
      <c r="A1278" s="2" t="n">
        <v>1276</v>
      </c>
      <c r="B1278" s="2" t="inlineStr">
        <is>
          <t>PTA多 11-22</t>
        </is>
      </c>
      <c r="C1278" s="10" t="n">
        <v>2</v>
      </c>
      <c r="D1278" s="33" t="n">
        <v>-0.17</v>
      </c>
    </row>
    <row r="1279">
      <c r="A1279" s="2" t="n">
        <v>1277</v>
      </c>
      <c r="B1279" s="2" t="inlineStr">
        <is>
          <t>棕榈油多 11-26</t>
        </is>
      </c>
      <c r="C1279" s="10" t="n">
        <v>3</v>
      </c>
      <c r="D1279" s="33" t="n">
        <v>0.65</v>
      </c>
    </row>
    <row r="1280">
      <c r="A1280" s="2" t="n">
        <v>1278</v>
      </c>
      <c r="B1280" s="2" t="inlineStr">
        <is>
          <t>玉米空 12-02</t>
        </is>
      </c>
      <c r="C1280" s="10" t="n">
        <v>3</v>
      </c>
      <c r="D1280" s="33" t="n">
        <v>0.77</v>
      </c>
    </row>
    <row r="1281">
      <c r="A1281" s="2" t="n">
        <v>1279</v>
      </c>
      <c r="B1281" s="2" t="inlineStr">
        <is>
          <t>碳酸锂空 12-03</t>
        </is>
      </c>
      <c r="C1281" s="10" t="n">
        <v>2</v>
      </c>
      <c r="D1281" s="33" t="n">
        <v>0.18</v>
      </c>
    </row>
    <row r="1282">
      <c r="A1282" s="2" t="n">
        <v>1280</v>
      </c>
      <c r="B1282" s="2" t="inlineStr">
        <is>
          <t>菜粕空 12-03</t>
        </is>
      </c>
      <c r="C1282" s="10" t="n">
        <v>3</v>
      </c>
      <c r="D1282" s="33" t="n">
        <v>0.35</v>
      </c>
    </row>
    <row r="1283">
      <c r="A1283" s="2" t="n">
        <v>1281</v>
      </c>
      <c r="B1283" s="2" t="inlineStr">
        <is>
          <t>PVC空 12-03</t>
        </is>
      </c>
      <c r="C1283" s="10" t="n">
        <v>3</v>
      </c>
      <c r="D1283" s="33" t="n">
        <v>0.27</v>
      </c>
    </row>
    <row r="1284">
      <c r="A1284" s="2" t="n">
        <v>1282</v>
      </c>
      <c r="B1284" s="2" t="inlineStr">
        <is>
          <t>螺纹钢多 11-21</t>
        </is>
      </c>
      <c r="C1284" s="10" t="n">
        <v>2</v>
      </c>
      <c r="D1284" s="33" t="n">
        <v>-0.37</v>
      </c>
    </row>
    <row r="1285">
      <c r="A1285" s="2" t="n">
        <v>1283</v>
      </c>
      <c r="B1285" s="2" t="inlineStr">
        <is>
          <t>沪锌多 11-27</t>
        </is>
      </c>
      <c r="C1285" s="10" t="n">
        <v>2</v>
      </c>
      <c r="D1285" s="33" t="n">
        <v>-0.15</v>
      </c>
    </row>
    <row r="1286">
      <c r="A1286" s="2" t="n">
        <v>1284</v>
      </c>
      <c r="B1286" s="2" t="inlineStr">
        <is>
          <t>碳酸锂空 12-05</t>
        </is>
      </c>
      <c r="C1286" s="10" t="n">
        <v>2</v>
      </c>
      <c r="D1286" s="33" t="n">
        <v>-0.01</v>
      </c>
    </row>
    <row r="1287">
      <c r="A1287" s="2" t="n">
        <v>1285</v>
      </c>
      <c r="B1287" s="2" t="inlineStr">
        <is>
          <t>沥青多 12-02</t>
        </is>
      </c>
      <c r="C1287" s="10" t="n">
        <v>3</v>
      </c>
      <c r="D1287" s="33" t="n">
        <v>-0.44</v>
      </c>
    </row>
    <row r="1288">
      <c r="A1288" s="2" t="n">
        <v>1286</v>
      </c>
      <c r="B1288" s="2" t="inlineStr">
        <is>
          <t>沪镍多 12-09</t>
        </is>
      </c>
      <c r="C1288" s="10" t="n">
        <v>2</v>
      </c>
      <c r="D1288" s="33" t="n">
        <v>-0.02</v>
      </c>
    </row>
    <row r="1289">
      <c r="A1289" s="2" t="n">
        <v>1287</v>
      </c>
      <c r="B1289" s="2" t="inlineStr">
        <is>
          <t>锰硅多 11-22</t>
        </is>
      </c>
      <c r="C1289" s="10" t="n">
        <v>3</v>
      </c>
      <c r="D1289" s="33" t="n">
        <v>-0.07000000000000001</v>
      </c>
    </row>
    <row r="1290">
      <c r="A1290" s="2" t="n">
        <v>1288</v>
      </c>
      <c r="B1290" s="2" t="inlineStr">
        <is>
          <t>豆油空 12-04</t>
        </is>
      </c>
      <c r="C1290" s="10" t="n">
        <v>3</v>
      </c>
      <c r="D1290" s="33" t="n">
        <v>-0.1</v>
      </c>
    </row>
    <row r="1291">
      <c r="A1291" s="2" t="n">
        <v>1289</v>
      </c>
      <c r="B1291" s="2" t="inlineStr">
        <is>
          <t>沪银空 12-09</t>
        </is>
      </c>
      <c r="C1291" s="10" t="n">
        <v>2</v>
      </c>
      <c r="D1291" s="33" t="n">
        <v>0.19</v>
      </c>
    </row>
    <row r="1292">
      <c r="A1292" s="2" t="n">
        <v>1290</v>
      </c>
      <c r="B1292" s="2" t="inlineStr">
        <is>
          <t>棕榈油空 12-12</t>
        </is>
      </c>
      <c r="C1292" s="10" t="n">
        <v>2</v>
      </c>
      <c r="D1292" s="33" t="n">
        <v>0.01</v>
      </c>
    </row>
    <row r="1293">
      <c r="A1293" s="2" t="n">
        <v>1291</v>
      </c>
      <c r="B1293" s="2" t="inlineStr">
        <is>
          <t>工业硅空 12-12</t>
        </is>
      </c>
      <c r="C1293" s="10" t="n">
        <v>2</v>
      </c>
      <c r="D1293" s="33" t="n">
        <v>0.12</v>
      </c>
    </row>
    <row r="1294">
      <c r="A1294" s="2" t="n">
        <v>1292</v>
      </c>
      <c r="B1294" s="2" t="inlineStr">
        <is>
          <t>沥青多 12-13</t>
        </is>
      </c>
      <c r="C1294" s="10" t="n">
        <v>2</v>
      </c>
      <c r="D1294" s="33" t="n">
        <v>-0.04</v>
      </c>
    </row>
    <row r="1295">
      <c r="A1295" s="2" t="n">
        <v>1293</v>
      </c>
      <c r="B1295" s="2" t="inlineStr">
        <is>
          <t>碳酸锂空 12-13</t>
        </is>
      </c>
      <c r="C1295" s="10" t="n">
        <v>3</v>
      </c>
      <c r="D1295" s="33" t="n">
        <v>-0.07000000000000001</v>
      </c>
    </row>
    <row r="1296">
      <c r="A1296" s="2" t="n">
        <v>1294</v>
      </c>
      <c r="B1296" s="2" t="inlineStr">
        <is>
          <t>沪银空 12-16</t>
        </is>
      </c>
      <c r="C1296" s="10" t="n">
        <v>2</v>
      </c>
      <c r="D1296" s="33" t="n">
        <v>0.05</v>
      </c>
    </row>
    <row r="1297">
      <c r="A1297" s="2" t="n">
        <v>1295</v>
      </c>
      <c r="B1297" s="2" t="inlineStr">
        <is>
          <t>菜粕空 12-09</t>
        </is>
      </c>
      <c r="C1297" s="10" t="n">
        <v>3</v>
      </c>
      <c r="D1297" s="33" t="n">
        <v>0.19</v>
      </c>
    </row>
    <row r="1298">
      <c r="A1298" s="2" t="n">
        <v>1296</v>
      </c>
      <c r="B1298" s="2" t="inlineStr">
        <is>
          <t>燃料油多 12-17</t>
        </is>
      </c>
      <c r="C1298" s="10" t="n">
        <v>3</v>
      </c>
      <c r="D1298" s="33" t="n">
        <v>0.05</v>
      </c>
    </row>
    <row r="1299">
      <c r="A1299" s="2" t="n">
        <v>1297</v>
      </c>
      <c r="B1299" s="2" t="inlineStr">
        <is>
          <t>沪锌多 12-10</t>
        </is>
      </c>
      <c r="C1299" s="10" t="n">
        <v>3</v>
      </c>
      <c r="D1299" s="33" t="n">
        <v>-0.39</v>
      </c>
    </row>
    <row r="1300">
      <c r="A1300" s="2" t="n">
        <v>1298</v>
      </c>
      <c r="B1300" s="2" t="inlineStr">
        <is>
          <t>热卷多 12-11</t>
        </is>
      </c>
      <c r="C1300" s="10" t="n">
        <v>2</v>
      </c>
      <c r="D1300" s="33" t="n">
        <v>-0.85</v>
      </c>
    </row>
    <row r="1301">
      <c r="A1301" s="2" t="n">
        <v>1299</v>
      </c>
      <c r="B1301" s="2" t="inlineStr">
        <is>
          <t>豆油空 12-17</t>
        </is>
      </c>
      <c r="C1301" s="10" t="n">
        <v>2</v>
      </c>
      <c r="D1301" s="33" t="n">
        <v>0.87</v>
      </c>
    </row>
    <row r="1302">
      <c r="A1302" s="2" t="n">
        <v>1300</v>
      </c>
      <c r="B1302" s="2" t="inlineStr">
        <is>
          <t>碳酸锂空 12-18</t>
        </is>
      </c>
      <c r="C1302" s="10" t="n">
        <v>3</v>
      </c>
      <c r="D1302" s="33" t="n">
        <v>0.06</v>
      </c>
    </row>
    <row r="1303">
      <c r="A1303" s="2" t="n">
        <v>1301</v>
      </c>
      <c r="B1303" s="2" t="inlineStr">
        <is>
          <t>豆粕空 12-05</t>
        </is>
      </c>
      <c r="C1303" s="10" t="n">
        <v>3</v>
      </c>
      <c r="D1303" s="33" t="n">
        <v>0.22</v>
      </c>
    </row>
    <row r="1304">
      <c r="A1304" s="2" t="n">
        <v>1302</v>
      </c>
      <c r="B1304" s="2" t="inlineStr">
        <is>
          <t>玉米空 12-19</t>
        </is>
      </c>
      <c r="C1304" s="10" t="n">
        <v>2</v>
      </c>
      <c r="D1304" s="33" t="n">
        <v>-0.12</v>
      </c>
    </row>
    <row r="1305">
      <c r="A1305" s="2" t="n">
        <v>1303</v>
      </c>
      <c r="B1305" s="2" t="inlineStr">
        <is>
          <t>工业硅空 12-19</t>
        </is>
      </c>
      <c r="C1305" s="10" t="n">
        <v>3</v>
      </c>
      <c r="D1305" s="33" t="n">
        <v>-0.1</v>
      </c>
    </row>
    <row r="1306">
      <c r="A1306" s="2" t="n">
        <v>1304</v>
      </c>
      <c r="B1306" s="2" t="inlineStr">
        <is>
          <t>棉花空 12-04</t>
        </is>
      </c>
      <c r="C1306" s="10" t="n">
        <v>3</v>
      </c>
      <c r="D1306" s="33" t="n">
        <v>1.29</v>
      </c>
    </row>
    <row r="1307">
      <c r="A1307" s="2" t="n">
        <v>1305</v>
      </c>
      <c r="B1307" s="2" t="inlineStr">
        <is>
          <t>PTA空 12-20</t>
        </is>
      </c>
      <c r="C1307" s="10" t="n">
        <v>2</v>
      </c>
      <c r="D1307" s="33" t="n">
        <v>-0.07000000000000001</v>
      </c>
    </row>
    <row r="1308">
      <c r="A1308" s="2" t="n">
        <v>1306</v>
      </c>
      <c r="B1308" s="2" t="inlineStr">
        <is>
          <t>燃料油多 12-23</t>
        </is>
      </c>
      <c r="C1308" s="10" t="n">
        <v>2</v>
      </c>
      <c r="D1308" s="33" t="n">
        <v>0.08</v>
      </c>
    </row>
    <row r="1309">
      <c r="A1309" s="2" t="n">
        <v>1307</v>
      </c>
      <c r="B1309" s="2" t="inlineStr">
        <is>
          <t>玉米多 12-24</t>
        </is>
      </c>
      <c r="C1309" s="10" t="n">
        <v>3</v>
      </c>
      <c r="D1309" s="33" t="n">
        <v>0.16</v>
      </c>
    </row>
    <row r="1310">
      <c r="A1310" s="2" t="n">
        <v>1308</v>
      </c>
      <c r="B1310" s="2" t="inlineStr">
        <is>
          <t>铁矿石空 12-20</t>
        </is>
      </c>
      <c r="C1310" s="10" t="n">
        <v>2</v>
      </c>
      <c r="D1310" s="33" t="n">
        <v>-0.07000000000000001</v>
      </c>
    </row>
    <row r="1311">
      <c r="A1311" s="2" t="n">
        <v>1309</v>
      </c>
      <c r="B1311" s="2" t="inlineStr">
        <is>
          <t>聚丙烯空 12-25</t>
        </is>
      </c>
      <c r="C1311" s="10" t="n">
        <v>3</v>
      </c>
      <c r="D1311" s="33" t="n">
        <v>0.21</v>
      </c>
    </row>
    <row r="1312">
      <c r="A1312" s="2" t="n">
        <v>1310</v>
      </c>
      <c r="B1312" s="2" t="inlineStr">
        <is>
          <t>玉米多 12-26</t>
        </is>
      </c>
      <c r="C1312" s="10" t="n">
        <v>2</v>
      </c>
      <c r="D1312" s="33" t="n">
        <v>0.39</v>
      </c>
    </row>
    <row r="1313">
      <c r="A1313" s="2" t="n">
        <v>1311</v>
      </c>
      <c r="B1313" s="2" t="inlineStr">
        <is>
          <t>玻璃空 12-26</t>
        </is>
      </c>
      <c r="C1313" s="10" t="n">
        <v>2</v>
      </c>
      <c r="D1313" s="33" t="n">
        <v>0.06</v>
      </c>
    </row>
    <row r="1314">
      <c r="A1314" s="2" t="n">
        <v>1312</v>
      </c>
      <c r="B1314" s="2" t="inlineStr">
        <is>
          <t>沥青多 12-17</t>
        </is>
      </c>
      <c r="C1314" s="10" t="n">
        <v>2</v>
      </c>
      <c r="D1314" s="33" t="n">
        <v>0.66</v>
      </c>
    </row>
    <row r="1315">
      <c r="A1315" s="2" t="n">
        <v>1313</v>
      </c>
      <c r="B1315" s="2" t="inlineStr">
        <is>
          <t>甲醇空 12-20</t>
        </is>
      </c>
      <c r="C1315" s="10" t="n">
        <v>2</v>
      </c>
      <c r="D1315" s="33" t="n">
        <v>-0.89</v>
      </c>
    </row>
    <row r="1316">
      <c r="A1316" s="2" t="n">
        <v>1314</v>
      </c>
      <c r="B1316" s="2" t="inlineStr">
        <is>
          <t>锰硅空 12-23</t>
        </is>
      </c>
      <c r="C1316" s="10" t="n">
        <v>3</v>
      </c>
      <c r="D1316" s="33" t="n">
        <v>0.23</v>
      </c>
    </row>
    <row r="1317">
      <c r="A1317" s="2" t="n">
        <v>1315</v>
      </c>
      <c r="B1317" s="2" t="inlineStr">
        <is>
          <t>棕榈油空 12-25</t>
        </is>
      </c>
      <c r="C1317" s="10" t="n">
        <v>3</v>
      </c>
      <c r="D1317" s="33" t="n">
        <v>-0.05</v>
      </c>
    </row>
    <row r="1318">
      <c r="A1318" s="2" t="n">
        <v>1316</v>
      </c>
      <c r="B1318" s="2" t="inlineStr">
        <is>
          <t>工业硅空 12-26</t>
        </is>
      </c>
      <c r="C1318" s="10" t="n">
        <v>3</v>
      </c>
      <c r="D1318" s="33" t="n">
        <v>-0.01</v>
      </c>
    </row>
    <row r="1319">
      <c r="A1319" s="2" t="n">
        <v>1317</v>
      </c>
      <c r="B1319" s="2" t="inlineStr">
        <is>
          <t>沪铝空 12-27</t>
        </is>
      </c>
      <c r="C1319" s="10" t="n">
        <v>2</v>
      </c>
      <c r="D1319" s="33" t="n">
        <v>-0.01</v>
      </c>
    </row>
    <row r="1320">
      <c r="A1320" s="2" t="n">
        <v>1318</v>
      </c>
      <c r="B1320" s="2" t="inlineStr">
        <is>
          <t>沪铜多 12-23</t>
        </is>
      </c>
      <c r="C1320" s="10" t="n">
        <v>2</v>
      </c>
      <c r="D1320" s="33" t="n">
        <v>-0.49</v>
      </c>
    </row>
    <row r="1321">
      <c r="A1321" s="2" t="n">
        <v>1319</v>
      </c>
      <c r="B1321" s="2" t="inlineStr">
        <is>
          <t>豆粕多 12-31</t>
        </is>
      </c>
      <c r="C1321" s="10" t="n">
        <v>2</v>
      </c>
      <c r="D1321" s="33" t="n">
        <v>-0.05</v>
      </c>
    </row>
    <row r="1322">
      <c r="A1322" s="2" t="n">
        <v>1320</v>
      </c>
      <c r="B1322" s="2" t="inlineStr">
        <is>
          <t>棕榈油空 12-31</t>
        </is>
      </c>
      <c r="C1322" s="10" t="n">
        <v>2</v>
      </c>
      <c r="D1322" s="33" t="n">
        <v>0.19</v>
      </c>
    </row>
    <row r="1323">
      <c r="A1323" s="2" t="n">
        <v>1321</v>
      </c>
      <c r="B1323" s="2" t="inlineStr">
        <is>
          <t>工业硅空 12-31</t>
        </is>
      </c>
      <c r="C1323" s="10" t="n">
        <v>2</v>
      </c>
      <c r="D1323" s="33" t="n">
        <v>-0.07000000000000001</v>
      </c>
    </row>
    <row r="1324">
      <c r="A1324" s="2" t="n">
        <v>1322</v>
      </c>
      <c r="B1324" s="2" t="inlineStr">
        <is>
          <t>沪锌多 12-25</t>
        </is>
      </c>
      <c r="C1324" s="10" t="n">
        <v>2</v>
      </c>
      <c r="D1324" s="33" t="n">
        <v>-0.4</v>
      </c>
    </row>
    <row r="1325">
      <c r="A1325" s="2" t="n">
        <v>1323</v>
      </c>
      <c r="B1325" s="2" t="inlineStr">
        <is>
          <t>甲醇多 12-30</t>
        </is>
      </c>
      <c r="C1325" s="10" t="n">
        <v>3</v>
      </c>
      <c r="D1325" s="33" t="n">
        <v>-0.6</v>
      </c>
    </row>
    <row r="1326">
      <c r="A1326" s="2" t="n">
        <v>1324</v>
      </c>
      <c r="B1326" s="2" t="inlineStr">
        <is>
          <t>豆油空 12-23</t>
        </is>
      </c>
      <c r="C1326" s="10" t="n">
        <v>3</v>
      </c>
      <c r="D1326" s="33" t="n">
        <v>0.03</v>
      </c>
    </row>
    <row r="1327">
      <c r="A1327" s="2" t="n">
        <v>1325</v>
      </c>
      <c r="B1327" s="2" t="inlineStr">
        <is>
          <t>塑料空 12-27</t>
        </is>
      </c>
      <c r="C1327" s="10" t="n">
        <v>2</v>
      </c>
      <c r="D1327" s="33" t="n">
        <v>0.93</v>
      </c>
    </row>
    <row r="1328">
      <c r="A1328" s="2" t="n">
        <v>1326</v>
      </c>
      <c r="B1328" s="2" t="inlineStr">
        <is>
          <t>沪镍空 01-06</t>
        </is>
      </c>
      <c r="C1328" s="10" t="n">
        <v>2</v>
      </c>
      <c r="D1328" s="33" t="n">
        <v>-0.17</v>
      </c>
    </row>
    <row r="1329">
      <c r="A1329" s="2" t="n">
        <v>1327</v>
      </c>
      <c r="B1329" s="2" t="inlineStr">
        <is>
          <t>锰硅空 01-06</t>
        </is>
      </c>
      <c r="C1329" s="10" t="n">
        <v>3</v>
      </c>
      <c r="D1329" s="33" t="n">
        <v>0.12</v>
      </c>
    </row>
    <row r="1330">
      <c r="A1330" s="2" t="n">
        <v>1328</v>
      </c>
      <c r="B1330" s="2" t="inlineStr">
        <is>
          <t>沪银空 12-30</t>
        </is>
      </c>
      <c r="C1330" s="10" t="n">
        <v>3</v>
      </c>
      <c r="D1330" s="33" t="n">
        <v>-0.34</v>
      </c>
    </row>
    <row r="1331">
      <c r="A1331" s="2" t="n">
        <v>1329</v>
      </c>
      <c r="B1331" s="2" t="inlineStr">
        <is>
          <t>工业硅空 01-07</t>
        </is>
      </c>
      <c r="C1331" s="10" t="n">
        <v>2</v>
      </c>
      <c r="D1331" s="33" t="n">
        <v>0.07000000000000001</v>
      </c>
    </row>
    <row r="1332">
      <c r="A1332" s="2" t="n">
        <v>1330</v>
      </c>
      <c r="B1332" s="2" t="inlineStr">
        <is>
          <t>沥青多 01-09</t>
        </is>
      </c>
      <c r="C1332" s="10" t="n">
        <v>3</v>
      </c>
      <c r="D1332" s="33" t="n">
        <v>0.13</v>
      </c>
    </row>
    <row r="1333">
      <c r="A1333" s="2" t="n">
        <v>1331</v>
      </c>
      <c r="B1333" s="2" t="inlineStr">
        <is>
          <t>螺纹钢空 01-10</t>
        </is>
      </c>
      <c r="C1333" s="10" t="n">
        <v>2</v>
      </c>
      <c r="D1333" s="33" t="n">
        <v>-0.29</v>
      </c>
    </row>
    <row r="1334">
      <c r="A1334" s="2" t="n">
        <v>1332</v>
      </c>
      <c r="B1334" s="2" t="inlineStr">
        <is>
          <t>PVC空 12-19</t>
        </is>
      </c>
      <c r="C1334" s="10" t="n">
        <v>3</v>
      </c>
      <c r="D1334" s="33" t="n">
        <v>0.19</v>
      </c>
    </row>
    <row r="1335">
      <c r="A1335" s="2" t="n">
        <v>1333</v>
      </c>
      <c r="B1335" s="2" t="inlineStr">
        <is>
          <t>热卷空 12-27</t>
        </is>
      </c>
      <c r="C1335" s="10" t="n">
        <v>3</v>
      </c>
      <c r="D1335" s="33" t="n">
        <v>-0.14</v>
      </c>
    </row>
    <row r="1336">
      <c r="A1336" s="2" t="n">
        <v>1334</v>
      </c>
      <c r="B1336" s="2" t="inlineStr">
        <is>
          <t>菜粕多 01-13</t>
        </is>
      </c>
      <c r="C1336" s="10" t="n">
        <v>2</v>
      </c>
      <c r="D1336" s="33" t="n">
        <v>0.12</v>
      </c>
    </row>
    <row r="1337">
      <c r="A1337" s="2" t="n">
        <v>1335</v>
      </c>
      <c r="B1337" s="2" t="inlineStr">
        <is>
          <t>纯碱空 01-07</t>
        </is>
      </c>
      <c r="C1337" s="10" t="n">
        <v>3</v>
      </c>
      <c r="D1337" s="33" t="n">
        <v>-0.55</v>
      </c>
    </row>
    <row r="1338">
      <c r="A1338" s="2" t="n">
        <v>1336</v>
      </c>
      <c r="B1338" s="2" t="inlineStr">
        <is>
          <t>玉米多 01-10</t>
        </is>
      </c>
      <c r="C1338" s="10" t="n">
        <v>3</v>
      </c>
      <c r="D1338" s="33" t="n">
        <v>0.38</v>
      </c>
    </row>
    <row r="1339">
      <c r="A1339" s="2" t="n">
        <v>1337</v>
      </c>
      <c r="B1339" s="2" t="inlineStr">
        <is>
          <t>沪锌空 01-14</t>
        </is>
      </c>
      <c r="C1339" s="10" t="n">
        <v>2</v>
      </c>
      <c r="D1339" s="33" t="n">
        <v>0.28</v>
      </c>
    </row>
    <row r="1340">
      <c r="A1340" s="2" t="n">
        <v>1338</v>
      </c>
      <c r="B1340" s="2" t="inlineStr">
        <is>
          <t>豆粕多 01-14</t>
        </is>
      </c>
      <c r="C1340" s="10" t="n">
        <v>3</v>
      </c>
      <c r="D1340" s="33" t="n">
        <v>0.1</v>
      </c>
    </row>
    <row r="1341">
      <c r="A1341" s="2" t="n">
        <v>1339</v>
      </c>
      <c r="B1341" s="2" t="inlineStr">
        <is>
          <t>棉花多 01-16</t>
        </is>
      </c>
      <c r="C1341" s="10" t="n">
        <v>2</v>
      </c>
      <c r="D1341" s="33" t="n">
        <v>0.21</v>
      </c>
    </row>
    <row r="1342">
      <c r="A1342" s="2" t="n">
        <v>1340</v>
      </c>
      <c r="B1342" s="2" t="inlineStr">
        <is>
          <t>沥青多 01-15</t>
        </is>
      </c>
      <c r="C1342" s="10" t="n">
        <v>3</v>
      </c>
      <c r="D1342" s="33" t="n">
        <v>-0.38</v>
      </c>
    </row>
    <row r="1343">
      <c r="A1343" s="2" t="n">
        <v>1341</v>
      </c>
      <c r="B1343" s="2" t="inlineStr">
        <is>
          <t>沪铜多 01-16</t>
        </is>
      </c>
      <c r="C1343" s="10" t="n">
        <v>3</v>
      </c>
      <c r="D1343" s="33" t="n">
        <v>-0.3</v>
      </c>
    </row>
    <row r="1344">
      <c r="A1344" s="2" t="n">
        <v>1342</v>
      </c>
      <c r="B1344" s="2" t="inlineStr">
        <is>
          <t>纯碱多 01-16</t>
        </is>
      </c>
      <c r="C1344" s="10" t="n">
        <v>2</v>
      </c>
      <c r="D1344" s="33" t="n">
        <v>0.09</v>
      </c>
    </row>
    <row r="1345">
      <c r="A1345" s="2" t="n">
        <v>1343</v>
      </c>
      <c r="B1345" s="2" t="inlineStr">
        <is>
          <t>玻璃多 01-17</t>
        </is>
      </c>
      <c r="C1345" s="10" t="n">
        <v>2</v>
      </c>
      <c r="D1345" s="33" t="n">
        <v>-0.26</v>
      </c>
    </row>
    <row r="1346">
      <c r="A1346" s="2" t="n">
        <v>1344</v>
      </c>
      <c r="B1346" s="2" t="inlineStr">
        <is>
          <t>工业硅空 01-16</t>
        </is>
      </c>
      <c r="C1346" s="10" t="n">
        <v>2</v>
      </c>
      <c r="D1346" s="33" t="n">
        <v>0.19</v>
      </c>
    </row>
    <row r="1347">
      <c r="A1347" s="2" t="n">
        <v>1345</v>
      </c>
      <c r="B1347" s="2" t="inlineStr">
        <is>
          <t>铁矿石多 01-17</t>
        </is>
      </c>
      <c r="C1347" s="10" t="n">
        <v>2</v>
      </c>
      <c r="D1347" s="33" t="n">
        <v>0.03</v>
      </c>
    </row>
    <row r="1348">
      <c r="A1348" s="2" t="n">
        <v>1346</v>
      </c>
      <c r="B1348" s="2" t="inlineStr">
        <is>
          <t>塑料空 01-20</t>
        </is>
      </c>
      <c r="C1348" s="10" t="n">
        <v>3</v>
      </c>
      <c r="D1348" s="33" t="n">
        <v>0.04</v>
      </c>
    </row>
    <row r="1349">
      <c r="A1349" s="2" t="n">
        <v>1347</v>
      </c>
      <c r="B1349" s="2" t="inlineStr">
        <is>
          <t>菜粕多 01-20</t>
        </is>
      </c>
      <c r="C1349" s="10" t="n">
        <v>3</v>
      </c>
      <c r="D1349" s="33" t="n">
        <v>0.06</v>
      </c>
    </row>
    <row r="1350">
      <c r="A1350" s="2" t="n">
        <v>1348</v>
      </c>
      <c r="B1350" s="2" t="inlineStr">
        <is>
          <t>锰硅多 01-20</t>
        </is>
      </c>
      <c r="C1350" s="10" t="n">
        <v>2</v>
      </c>
      <c r="D1350" s="33" t="n">
        <v>-0.31</v>
      </c>
    </row>
    <row r="1351">
      <c r="A1351" s="2" t="n">
        <v>1349</v>
      </c>
      <c r="B1351" s="2" t="inlineStr">
        <is>
          <t>豆粕多 01-22</t>
        </is>
      </c>
      <c r="C1351" s="10" t="n">
        <v>2</v>
      </c>
      <c r="D1351" s="33" t="n">
        <v>-0.06</v>
      </c>
    </row>
    <row r="1352">
      <c r="A1352" s="2" t="n">
        <v>1350</v>
      </c>
      <c r="B1352" s="2" t="inlineStr">
        <is>
          <t>棉花多 01-20</t>
        </is>
      </c>
      <c r="C1352" s="10" t="n">
        <v>2</v>
      </c>
      <c r="D1352" s="33" t="n">
        <v>-0.19</v>
      </c>
    </row>
    <row r="1353">
      <c r="A1353" s="2" t="n">
        <v>1351</v>
      </c>
      <c r="B1353" s="2" t="inlineStr">
        <is>
          <t>沪金多 01-22</t>
        </is>
      </c>
      <c r="C1353" s="10" t="n">
        <v>3</v>
      </c>
      <c r="D1353" s="33" t="n">
        <v>0.07000000000000001</v>
      </c>
    </row>
    <row r="1354">
      <c r="A1354" s="2" t="n">
        <v>1352</v>
      </c>
      <c r="B1354" s="2" t="inlineStr">
        <is>
          <t>棕榈油空 01-23</t>
        </is>
      </c>
      <c r="C1354" s="10" t="n">
        <v>2</v>
      </c>
      <c r="D1354" s="33" t="n">
        <v>0.02</v>
      </c>
    </row>
    <row r="1355">
      <c r="A1355" s="2" t="n">
        <v>1353</v>
      </c>
      <c r="B1355" s="2" t="inlineStr">
        <is>
          <t>塑料空 01-22</t>
        </is>
      </c>
      <c r="C1355" s="10" t="n">
        <v>3</v>
      </c>
      <c r="D1355" s="33" t="n">
        <v>-0.05</v>
      </c>
    </row>
    <row r="1356">
      <c r="A1356" s="2" t="n">
        <v>1354</v>
      </c>
      <c r="B1356" s="2" t="inlineStr">
        <is>
          <t>玉米多 01-16</t>
        </is>
      </c>
      <c r="C1356" s="10" t="n">
        <v>3</v>
      </c>
      <c r="D1356" s="33" t="n">
        <v>0.18</v>
      </c>
    </row>
    <row r="1357">
      <c r="A1357" s="2" t="n">
        <v>1355</v>
      </c>
      <c r="B1357" s="2" t="inlineStr">
        <is>
          <t>沪金多 02-05</t>
        </is>
      </c>
      <c r="C1357" s="10" t="n">
        <v>3</v>
      </c>
      <c r="D1357" s="33" t="n">
        <v>-0.08</v>
      </c>
    </row>
    <row r="1358">
      <c r="A1358" s="2" t="n">
        <v>1356</v>
      </c>
      <c r="B1358" s="2" t="inlineStr">
        <is>
          <t>沪铜多 02-06</t>
        </is>
      </c>
      <c r="C1358" s="10" t="n">
        <v>3</v>
      </c>
      <c r="D1358" s="33" t="n">
        <v>0.33</v>
      </c>
    </row>
    <row r="1359">
      <c r="A1359" s="2" t="n">
        <v>1357</v>
      </c>
      <c r="B1359" s="2" t="inlineStr">
        <is>
          <t>甲醇多 02-07</t>
        </is>
      </c>
      <c r="C1359" s="10" t="n">
        <v>2</v>
      </c>
      <c r="D1359" s="33" t="n">
        <v>0.14</v>
      </c>
    </row>
    <row r="1360">
      <c r="A1360" s="2" t="n">
        <v>1358</v>
      </c>
      <c r="B1360" s="2" t="inlineStr">
        <is>
          <t>沪铝空 01-22</t>
        </is>
      </c>
      <c r="C1360" s="10" t="n">
        <v>2</v>
      </c>
      <c r="D1360" s="33" t="n">
        <v>-0.63</v>
      </c>
    </row>
    <row r="1361">
      <c r="A1361" s="2" t="n">
        <v>1359</v>
      </c>
      <c r="B1361" s="2" t="inlineStr">
        <is>
          <t>热卷多 01-24</t>
        </is>
      </c>
      <c r="C1361" s="10" t="n">
        <v>2</v>
      </c>
      <c r="D1361" s="33" t="n">
        <v>-0.58</v>
      </c>
    </row>
    <row r="1362">
      <c r="A1362" s="2" t="n">
        <v>1360</v>
      </c>
      <c r="B1362" s="2" t="inlineStr">
        <is>
          <t>沪金多 02-10</t>
        </is>
      </c>
      <c r="C1362" s="10" t="n">
        <v>3</v>
      </c>
      <c r="D1362" s="33" t="n">
        <v>0.12</v>
      </c>
    </row>
    <row r="1363">
      <c r="A1363" s="2" t="n">
        <v>1361</v>
      </c>
      <c r="B1363" s="2" t="inlineStr">
        <is>
          <t>豆粕多 01-24</t>
        </is>
      </c>
      <c r="C1363" s="10" t="n">
        <v>3</v>
      </c>
      <c r="D1363" s="33" t="n">
        <v>0.15</v>
      </c>
    </row>
    <row r="1364">
      <c r="A1364" s="2" t="n">
        <v>1362</v>
      </c>
      <c r="B1364" s="2" t="inlineStr">
        <is>
          <t>玉米多 02-07</t>
        </is>
      </c>
      <c r="C1364" s="10" t="n">
        <v>3</v>
      </c>
      <c r="D1364" s="33" t="n">
        <v>0.27</v>
      </c>
    </row>
    <row r="1365">
      <c r="A1365" s="2" t="n">
        <v>1363</v>
      </c>
      <c r="B1365" s="2" t="inlineStr">
        <is>
          <t>聚丙烯多 02-10</t>
        </is>
      </c>
      <c r="C1365" s="10" t="n">
        <v>3</v>
      </c>
      <c r="D1365" s="33" t="n">
        <v>0.21</v>
      </c>
    </row>
    <row r="1366">
      <c r="A1366" s="2" t="n">
        <v>1364</v>
      </c>
      <c r="B1366" s="2" t="inlineStr">
        <is>
          <t>沪银空 02-11</t>
        </is>
      </c>
      <c r="C1366" s="10" t="n">
        <v>2</v>
      </c>
      <c r="D1366" s="33" t="n">
        <v>-0.08</v>
      </c>
    </row>
    <row r="1367">
      <c r="A1367" s="2" t="n">
        <v>1365</v>
      </c>
      <c r="B1367" s="2" t="inlineStr">
        <is>
          <t>PVC多 02-11</t>
        </is>
      </c>
      <c r="C1367" s="10" t="n">
        <v>2</v>
      </c>
      <c r="D1367" s="33" t="n">
        <v>0.17</v>
      </c>
    </row>
    <row r="1368">
      <c r="A1368" s="2" t="n">
        <v>1366</v>
      </c>
      <c r="B1368" s="2" t="inlineStr">
        <is>
          <t>工业硅空 02-05</t>
        </is>
      </c>
      <c r="C1368" s="10" t="n">
        <v>3</v>
      </c>
      <c r="D1368" s="33" t="n">
        <v>0.03</v>
      </c>
    </row>
    <row r="1369">
      <c r="A1369" s="2" t="n">
        <v>1367</v>
      </c>
      <c r="B1369" s="2" t="inlineStr">
        <is>
          <t>铁矿石多 02-07</t>
        </is>
      </c>
      <c r="C1369" s="10" t="n">
        <v>3</v>
      </c>
      <c r="D1369" s="33" t="n">
        <v>-0.19</v>
      </c>
    </row>
    <row r="1370">
      <c r="A1370" s="2" t="n">
        <v>1368</v>
      </c>
      <c r="B1370" s="2" t="inlineStr">
        <is>
          <t>棕榈油多 02-12</t>
        </is>
      </c>
      <c r="C1370" s="10" t="n">
        <v>3</v>
      </c>
      <c r="D1370" s="33" t="n">
        <v>-0.05</v>
      </c>
    </row>
    <row r="1371">
      <c r="A1371" s="2" t="n">
        <v>1369</v>
      </c>
      <c r="B1371" s="2" t="inlineStr">
        <is>
          <t>纯碱多 01-24</t>
        </is>
      </c>
      <c r="C1371" s="10" t="n">
        <v>2</v>
      </c>
      <c r="D1371" s="33" t="n">
        <v>0.03</v>
      </c>
    </row>
    <row r="1372">
      <c r="A1372" s="2" t="n">
        <v>1370</v>
      </c>
      <c r="B1372" s="2" t="inlineStr">
        <is>
          <t>豆粕空 02-12</t>
        </is>
      </c>
      <c r="C1372" s="10" t="n">
        <v>2</v>
      </c>
      <c r="D1372" s="33" t="n">
        <v>-0.06</v>
      </c>
    </row>
    <row r="1373">
      <c r="A1373" s="2" t="n">
        <v>1371</v>
      </c>
      <c r="B1373" s="2" t="inlineStr">
        <is>
          <t>沪金多 02-13</t>
        </is>
      </c>
      <c r="C1373" s="10" t="n">
        <v>3</v>
      </c>
      <c r="D1373" s="33" t="n">
        <v>-0.29</v>
      </c>
    </row>
    <row r="1374">
      <c r="A1374" s="2" t="n">
        <v>1372</v>
      </c>
      <c r="B1374" s="2" t="inlineStr">
        <is>
          <t>沪铝多 02-14</t>
        </is>
      </c>
      <c r="C1374" s="10" t="n">
        <v>2</v>
      </c>
      <c r="D1374" s="33" t="n">
        <v>-0.18</v>
      </c>
    </row>
    <row r="1375">
      <c r="A1375" s="2" t="n">
        <v>1373</v>
      </c>
      <c r="B1375" s="2" t="inlineStr">
        <is>
          <t>菜粕多 02-11</t>
        </is>
      </c>
      <c r="C1375" s="10" t="n">
        <v>2</v>
      </c>
      <c r="D1375" s="33" t="n">
        <v>0.38</v>
      </c>
    </row>
    <row r="1376">
      <c r="A1376" s="2" t="n">
        <v>1374</v>
      </c>
      <c r="B1376" s="2" t="inlineStr">
        <is>
          <t>棕榈油多 02-19</t>
        </is>
      </c>
      <c r="C1376" s="10" t="n">
        <v>3</v>
      </c>
      <c r="D1376" s="33" t="n">
        <v>-0.03</v>
      </c>
    </row>
    <row r="1377">
      <c r="A1377" s="2" t="n">
        <v>1375</v>
      </c>
      <c r="B1377" s="2" t="inlineStr">
        <is>
          <t>工业硅空 02-21</t>
        </is>
      </c>
      <c r="C1377" s="10" t="n">
        <v>3</v>
      </c>
      <c r="D1377" s="33" t="n">
        <v>-0.02</v>
      </c>
    </row>
    <row r="1378">
      <c r="A1378" s="2" t="n">
        <v>1376</v>
      </c>
      <c r="B1378" s="2" t="inlineStr">
        <is>
          <t>沪镍空 01-24</t>
        </is>
      </c>
      <c r="C1378" s="10" t="n">
        <v>2</v>
      </c>
      <c r="D1378" s="33" t="n">
        <v>0.01</v>
      </c>
    </row>
    <row r="1379">
      <c r="A1379" s="2" t="n">
        <v>1377</v>
      </c>
      <c r="B1379" s="2" t="inlineStr">
        <is>
          <t>沥青多 01-24</t>
        </is>
      </c>
      <c r="C1379" s="10" t="n">
        <v>2</v>
      </c>
      <c r="D1379" s="33" t="n">
        <v>-0.15</v>
      </c>
    </row>
    <row r="1380">
      <c r="A1380" s="2" t="n">
        <v>1378</v>
      </c>
      <c r="B1380" s="2" t="inlineStr">
        <is>
          <t>碳酸锂多 01-27</t>
        </is>
      </c>
      <c r="C1380" s="10" t="n">
        <v>2</v>
      </c>
      <c r="D1380" s="33" t="n">
        <v>-0.45</v>
      </c>
    </row>
    <row r="1381">
      <c r="A1381" s="2" t="n">
        <v>1379</v>
      </c>
      <c r="B1381" s="2" t="inlineStr">
        <is>
          <t>工业硅空 02-25</t>
        </is>
      </c>
      <c r="C1381" s="10" t="n">
        <v>3</v>
      </c>
      <c r="D1381" s="33" t="n">
        <v>0.17</v>
      </c>
    </row>
    <row r="1382">
      <c r="A1382" s="2" t="n">
        <v>1380</v>
      </c>
      <c r="B1382" s="2" t="inlineStr">
        <is>
          <t>棉花多 02-18</t>
        </is>
      </c>
      <c r="C1382" s="10" t="n">
        <v>2</v>
      </c>
      <c r="D1382" s="33" t="n">
        <v>-0.63</v>
      </c>
    </row>
    <row r="1383">
      <c r="A1383" s="2" t="n">
        <v>1381</v>
      </c>
      <c r="B1383" s="2" t="inlineStr">
        <is>
          <t>甲醇空 02-18</t>
        </is>
      </c>
      <c r="C1383" s="10" t="n">
        <v>2</v>
      </c>
      <c r="D1383" s="33" t="n">
        <v>-0.36</v>
      </c>
    </row>
    <row r="1384">
      <c r="A1384" s="2" t="n">
        <v>1382</v>
      </c>
      <c r="B1384" s="2" t="inlineStr">
        <is>
          <t>白糖多 02-18</t>
        </is>
      </c>
      <c r="C1384" s="10" t="n">
        <v>3</v>
      </c>
      <c r="D1384" s="33" t="n">
        <v>-0.34</v>
      </c>
    </row>
    <row r="1385">
      <c r="A1385" s="2" t="n">
        <v>1383</v>
      </c>
      <c r="B1385" s="2" t="inlineStr">
        <is>
          <t>铁矿石多 02-21</t>
        </is>
      </c>
      <c r="C1385" s="10" t="n">
        <v>2</v>
      </c>
      <c r="D1385" s="33" t="n">
        <v>-0.46</v>
      </c>
    </row>
    <row r="1386">
      <c r="A1386" s="2" t="n">
        <v>1384</v>
      </c>
      <c r="B1386" s="2" t="inlineStr">
        <is>
          <t>工业硅空 02-28</t>
        </is>
      </c>
      <c r="C1386" s="10" t="n">
        <v>2</v>
      </c>
      <c r="D1386" s="33" t="n">
        <v>-0.11</v>
      </c>
    </row>
    <row r="1387">
      <c r="A1387" s="2" t="n">
        <v>1385</v>
      </c>
      <c r="B1387" s="2" t="inlineStr">
        <is>
          <t>工业硅空 03-04</t>
        </is>
      </c>
      <c r="C1387" s="10" t="n">
        <v>3</v>
      </c>
      <c r="D1387" s="33" t="n">
        <v>0.28</v>
      </c>
    </row>
    <row r="1388">
      <c r="A1388" s="2" t="n">
        <v>1386</v>
      </c>
      <c r="B1388" s="2" t="inlineStr">
        <is>
          <t>沪铝多 02-20</t>
        </is>
      </c>
      <c r="C1388" s="10" t="n">
        <v>2</v>
      </c>
      <c r="D1388" s="33" t="n">
        <v>0</v>
      </c>
    </row>
    <row r="1389">
      <c r="A1389" s="2" t="n">
        <v>1387</v>
      </c>
      <c r="B1389" s="2" t="inlineStr">
        <is>
          <t>甲醇空 03-05</t>
        </is>
      </c>
      <c r="C1389" s="10" t="n">
        <v>3</v>
      </c>
      <c r="D1389" s="33" t="n">
        <v>0.2</v>
      </c>
    </row>
    <row r="1390">
      <c r="A1390" s="2" t="n">
        <v>1388</v>
      </c>
      <c r="B1390" s="2" t="inlineStr">
        <is>
          <t>玻璃空 02-12</t>
        </is>
      </c>
      <c r="C1390" s="10" t="n">
        <v>3</v>
      </c>
      <c r="D1390" s="33" t="n">
        <v>1.13</v>
      </c>
    </row>
    <row r="1391">
      <c r="A1391" s="2" t="n">
        <v>1389</v>
      </c>
      <c r="B1391" s="2" t="inlineStr">
        <is>
          <t>豆油空 02-12</t>
        </is>
      </c>
      <c r="C1391" s="10" t="n">
        <v>2</v>
      </c>
      <c r="D1391" s="33" t="n">
        <v>-0.2</v>
      </c>
    </row>
    <row r="1392">
      <c r="A1392" s="2" t="n">
        <v>1390</v>
      </c>
      <c r="B1392" s="2" t="inlineStr">
        <is>
          <t>螺纹钢多 02-21</t>
        </is>
      </c>
      <c r="C1392" s="10" t="n">
        <v>3</v>
      </c>
      <c r="D1392" s="33" t="n">
        <v>-0.85</v>
      </c>
    </row>
    <row r="1393">
      <c r="A1393" s="2" t="n">
        <v>1391</v>
      </c>
      <c r="B1393" s="2" t="inlineStr">
        <is>
          <t>工业硅空 03-07</t>
        </is>
      </c>
      <c r="C1393" s="10" t="n">
        <v>3</v>
      </c>
      <c r="D1393" s="33" t="n">
        <v>0.35</v>
      </c>
    </row>
    <row r="1394">
      <c r="A1394" s="2" t="n">
        <v>1392</v>
      </c>
      <c r="B1394" s="2" t="inlineStr">
        <is>
          <t>玻璃空 03-10</t>
        </is>
      </c>
      <c r="C1394" s="10" t="n">
        <v>3</v>
      </c>
      <c r="D1394" s="33" t="n">
        <v>-0.01</v>
      </c>
    </row>
    <row r="1395">
      <c r="A1395" s="2" t="n">
        <v>1393</v>
      </c>
      <c r="B1395" s="2" t="inlineStr">
        <is>
          <t>铁矿石空 03-10</t>
        </is>
      </c>
      <c r="C1395" s="10" t="n">
        <v>2</v>
      </c>
      <c r="D1395" s="33" t="n">
        <v>0.03</v>
      </c>
    </row>
    <row r="1396">
      <c r="A1396" s="2" t="n">
        <v>1394</v>
      </c>
      <c r="B1396" s="2" t="inlineStr">
        <is>
          <t>螺纹钢空 03-12</t>
        </is>
      </c>
      <c r="C1396" s="10" t="n">
        <v>2</v>
      </c>
      <c r="D1396" s="33" t="n">
        <v>-0.18</v>
      </c>
    </row>
    <row r="1397">
      <c r="A1397" s="2" t="n">
        <v>1395</v>
      </c>
      <c r="B1397" s="2" t="inlineStr">
        <is>
          <t>硅铁空 03-12</t>
        </is>
      </c>
      <c r="C1397" s="10" t="n">
        <v>3</v>
      </c>
      <c r="D1397" s="33" t="n">
        <v>-0.77</v>
      </c>
    </row>
    <row r="1398">
      <c r="A1398" s="2" t="n">
        <v>1396</v>
      </c>
      <c r="B1398" s="2" t="inlineStr">
        <is>
          <t>沪镍多 03-13</t>
        </is>
      </c>
      <c r="C1398" s="10" t="n">
        <v>2</v>
      </c>
      <c r="D1398" s="33" t="n">
        <v>0.12</v>
      </c>
    </row>
    <row r="1399">
      <c r="A1399" s="2" t="n">
        <v>1397</v>
      </c>
      <c r="B1399" s="2" t="inlineStr">
        <is>
          <t>工业硅空 03-13</t>
        </is>
      </c>
      <c r="C1399" s="10" t="n">
        <v>3</v>
      </c>
      <c r="D1399" s="33" t="n">
        <v>0.41</v>
      </c>
    </row>
    <row r="1400">
      <c r="A1400" s="2" t="n">
        <v>1398</v>
      </c>
      <c r="B1400" s="2" t="inlineStr">
        <is>
          <t>玉米多 03-03</t>
        </is>
      </c>
      <c r="C1400" s="10" t="n">
        <v>2</v>
      </c>
      <c r="D1400" s="33" t="n">
        <v>-0.64</v>
      </c>
    </row>
    <row r="1401">
      <c r="A1401" s="2" t="n">
        <v>1399</v>
      </c>
      <c r="B1401" s="2" t="inlineStr">
        <is>
          <t>碳酸锂空 03-03</t>
        </is>
      </c>
      <c r="C1401" s="10" t="n">
        <v>3</v>
      </c>
      <c r="D1401" s="33" t="n">
        <v>0.82</v>
      </c>
    </row>
    <row r="1402">
      <c r="A1402" s="2" t="n">
        <v>1400</v>
      </c>
      <c r="B1402" s="2" t="inlineStr">
        <is>
          <t>塑料空 03-17</t>
        </is>
      </c>
      <c r="C1402" s="10" t="n">
        <v>3</v>
      </c>
      <c r="D1402" s="33" t="n">
        <v>0.33</v>
      </c>
    </row>
    <row r="1403">
      <c r="A1403" s="2" t="n">
        <v>1401</v>
      </c>
      <c r="B1403" s="2" t="inlineStr">
        <is>
          <t>螺纹钢空 03-18</t>
        </is>
      </c>
      <c r="C1403" s="10" t="n">
        <v>3</v>
      </c>
      <c r="D1403" s="33" t="n">
        <v>0.13</v>
      </c>
    </row>
    <row r="1404">
      <c r="A1404" s="2" t="n">
        <v>1402</v>
      </c>
      <c r="B1404" s="2" t="inlineStr">
        <is>
          <t>工业硅空 03-20</t>
        </is>
      </c>
      <c r="C1404" s="10" t="n">
        <v>3</v>
      </c>
      <c r="D1404" s="33" t="n">
        <v>-0.1</v>
      </c>
    </row>
    <row r="1405">
      <c r="A1405" s="2" t="n">
        <v>1403</v>
      </c>
      <c r="B1405" s="2" t="inlineStr">
        <is>
          <t>PVC空 03-12</t>
        </is>
      </c>
      <c r="C1405" s="10" t="n">
        <v>3</v>
      </c>
      <c r="D1405" s="33" t="n">
        <v>-0.72</v>
      </c>
    </row>
    <row r="1406">
      <c r="A1406" s="2" t="n">
        <v>1404</v>
      </c>
      <c r="B1406" s="2" t="inlineStr">
        <is>
          <t>鸡蛋空 03-17</t>
        </is>
      </c>
      <c r="C1406" s="10" t="n">
        <v>3</v>
      </c>
      <c r="D1406" s="33" t="n">
        <v>0.13</v>
      </c>
    </row>
    <row r="1407">
      <c r="A1407" s="2" t="n">
        <v>1405</v>
      </c>
      <c r="B1407" s="2" t="inlineStr">
        <is>
          <t>碳酸锂空 03-24</t>
        </is>
      </c>
      <c r="C1407" s="10" t="n">
        <v>3</v>
      </c>
      <c r="D1407" s="33" t="n">
        <v>-0.03</v>
      </c>
    </row>
    <row r="1408">
      <c r="A1408" s="2" t="n">
        <v>1406</v>
      </c>
      <c r="B1408" s="2" t="inlineStr">
        <is>
          <t>PTA空 03-04</t>
        </is>
      </c>
      <c r="C1408" s="10" t="n">
        <v>3</v>
      </c>
      <c r="D1408" s="33" t="n">
        <v>-0.33</v>
      </c>
    </row>
    <row r="1409">
      <c r="A1409" s="2" t="n">
        <v>1407</v>
      </c>
      <c r="B1409" s="2" t="inlineStr">
        <is>
          <t>白糖多 03-18</t>
        </is>
      </c>
      <c r="C1409" s="10" t="n">
        <v>3</v>
      </c>
      <c r="D1409" s="33" t="n">
        <v>-0.19</v>
      </c>
    </row>
    <row r="1410">
      <c r="A1410" s="2" t="n">
        <v>1408</v>
      </c>
      <c r="B1410" s="2" t="inlineStr">
        <is>
          <t>玉米空 03-26</t>
        </is>
      </c>
      <c r="C1410" s="10" t="n">
        <v>2</v>
      </c>
      <c r="D1410" s="33" t="n">
        <v>-0.07000000000000001</v>
      </c>
    </row>
    <row r="1411">
      <c r="A1411" s="2" t="n">
        <v>1409</v>
      </c>
      <c r="B1411" s="2" t="inlineStr">
        <is>
          <t>工业硅空 03-26</t>
        </is>
      </c>
      <c r="C1411" s="10" t="n">
        <v>3</v>
      </c>
      <c r="D1411" s="33" t="n">
        <v>-0.3</v>
      </c>
    </row>
    <row r="1412">
      <c r="A1412" s="2" t="n">
        <v>1410</v>
      </c>
      <c r="B1412" s="2" t="inlineStr">
        <is>
          <t>热卷空 03-20</t>
        </is>
      </c>
      <c r="C1412" s="10" t="n">
        <v>3</v>
      </c>
      <c r="D1412" s="33" t="n">
        <v>0.12</v>
      </c>
    </row>
    <row r="1413">
      <c r="A1413" s="2" t="n">
        <v>1411</v>
      </c>
      <c r="B1413" s="2" t="inlineStr">
        <is>
          <t>锰硅空 03-20</t>
        </is>
      </c>
      <c r="C1413" s="10" t="n">
        <v>2</v>
      </c>
      <c r="D1413" s="33" t="n">
        <v>0.15</v>
      </c>
    </row>
    <row r="1414">
      <c r="A1414" s="2" t="n">
        <v>1412</v>
      </c>
      <c r="B1414" s="2" t="inlineStr">
        <is>
          <t>铁矿石空 03-21</t>
        </is>
      </c>
      <c r="C1414" s="10" t="n">
        <v>2</v>
      </c>
      <c r="D1414" s="33" t="n">
        <v>-0.26</v>
      </c>
    </row>
    <row r="1415">
      <c r="A1415" s="2" t="n">
        <v>1413</v>
      </c>
      <c r="B1415" s="2" t="inlineStr">
        <is>
          <t>沪银多 03-26</t>
        </is>
      </c>
      <c r="C1415" s="10" t="n">
        <v>3</v>
      </c>
      <c r="D1415" s="33" t="n">
        <v>0.3</v>
      </c>
    </row>
    <row r="1416">
      <c r="A1416" s="2" t="n">
        <v>1414</v>
      </c>
      <c r="B1416" s="2" t="inlineStr">
        <is>
          <t>PTA空 03-28</t>
        </is>
      </c>
      <c r="C1416" s="10" t="n">
        <v>2</v>
      </c>
      <c r="D1416" s="33" t="n">
        <v>0.2</v>
      </c>
    </row>
    <row r="1417">
      <c r="A1417" s="2" t="n">
        <v>1415</v>
      </c>
      <c r="B1417" s="2" t="inlineStr">
        <is>
          <t>沪金多 03-31</t>
        </is>
      </c>
      <c r="C1417" s="10" t="n">
        <v>3</v>
      </c>
      <c r="D1417" s="33" t="n">
        <v>0.15</v>
      </c>
    </row>
    <row r="1418">
      <c r="A1418" s="2" t="n">
        <v>1416</v>
      </c>
      <c r="B1418" s="2" t="inlineStr">
        <is>
          <t>菜粕空 03-14</t>
        </is>
      </c>
      <c r="C1418" s="10" t="n">
        <v>2</v>
      </c>
      <c r="D1418" s="33" t="n">
        <v>0.5</v>
      </c>
    </row>
    <row r="1419">
      <c r="A1419" s="2" t="n">
        <v>1417</v>
      </c>
      <c r="B1419" s="2" t="inlineStr">
        <is>
          <t>玉米空 03-28</t>
        </is>
      </c>
      <c r="C1419" s="10" t="n">
        <v>2</v>
      </c>
      <c r="D1419" s="33" t="n">
        <v>-0.6899999999999999</v>
      </c>
    </row>
    <row r="1420">
      <c r="A1420" s="2" t="n">
        <v>1418</v>
      </c>
      <c r="B1420" s="2" t="inlineStr">
        <is>
          <t>燃料油多 03-28</t>
        </is>
      </c>
      <c r="C1420" s="10" t="n">
        <v>2</v>
      </c>
      <c r="D1420" s="33" t="n">
        <v>-0.82</v>
      </c>
    </row>
    <row r="1421">
      <c r="A1421" s="2" t="n">
        <v>1419</v>
      </c>
      <c r="B1421" s="2" t="inlineStr">
        <is>
          <t>沪锌空 04-07</t>
        </is>
      </c>
      <c r="C1421" s="10" t="n">
        <v>2</v>
      </c>
      <c r="D1421" s="33" t="n">
        <v>0.05</v>
      </c>
    </row>
    <row r="1422">
      <c r="A1422" s="2" t="n">
        <v>1420</v>
      </c>
      <c r="B1422" s="2" t="inlineStr">
        <is>
          <t>苯乙烯空 03-25</t>
        </is>
      </c>
      <c r="C1422" s="10" t="n">
        <v>2</v>
      </c>
      <c r="D1422" s="33" t="n">
        <v>1.46</v>
      </c>
    </row>
    <row r="1423">
      <c r="A1423" s="2" t="n">
        <v>1421</v>
      </c>
      <c r="B1423" s="2" t="inlineStr">
        <is>
          <t>玻璃多 03-27</t>
        </is>
      </c>
      <c r="C1423" s="10" t="n">
        <v>2</v>
      </c>
      <c r="D1423" s="33" t="n">
        <v>-0.42</v>
      </c>
    </row>
    <row r="1424">
      <c r="A1424" s="2" t="n">
        <v>1422</v>
      </c>
      <c r="B1424" s="2" t="inlineStr">
        <is>
          <t>沪铜空 04-08</t>
        </is>
      </c>
      <c r="C1424" s="10" t="n">
        <v>3</v>
      </c>
      <c r="D1424" s="33" t="n">
        <v>0.21</v>
      </c>
    </row>
    <row r="1425">
      <c r="A1425" s="2" t="n">
        <v>1423</v>
      </c>
      <c r="B1425" s="2" t="inlineStr">
        <is>
          <t>玻璃空 04-09</t>
        </is>
      </c>
      <c r="C1425" s="10" t="n">
        <v>3</v>
      </c>
      <c r="D1425" s="33" t="n">
        <v>0.04</v>
      </c>
    </row>
    <row r="1426">
      <c r="A1426" s="2" t="n">
        <v>1424</v>
      </c>
      <c r="B1426" s="2" t="inlineStr">
        <is>
          <t>铁矿石空 04-10</t>
        </is>
      </c>
      <c r="C1426" s="10" t="n">
        <v>2</v>
      </c>
      <c r="D1426" s="33" t="n">
        <v>0.03</v>
      </c>
    </row>
    <row r="1427">
      <c r="A1427" s="2" t="n">
        <v>1425</v>
      </c>
      <c r="B1427" s="2" t="inlineStr">
        <is>
          <t>PTA多 04-11</t>
        </is>
      </c>
      <c r="C1427" s="10" t="n">
        <v>2</v>
      </c>
      <c r="D1427" s="33" t="n">
        <v>-0.17</v>
      </c>
    </row>
    <row r="1428">
      <c r="A1428" s="2" t="n">
        <v>1426</v>
      </c>
      <c r="B1428" s="2" t="inlineStr">
        <is>
          <t>玻璃空 04-14</t>
        </is>
      </c>
      <c r="C1428" s="10" t="n">
        <v>3</v>
      </c>
      <c r="D1428" s="33" t="n">
        <v>0.19</v>
      </c>
    </row>
    <row r="1429">
      <c r="A1429" s="2" t="n">
        <v>1427</v>
      </c>
      <c r="B1429" s="2" t="inlineStr">
        <is>
          <t>碳酸锂空 04-11</t>
        </is>
      </c>
      <c r="C1429" s="10" t="n">
        <v>3</v>
      </c>
      <c r="D1429" s="33" t="n">
        <v>0.09</v>
      </c>
    </row>
    <row r="1430">
      <c r="A1430" s="2" t="n">
        <v>1428</v>
      </c>
      <c r="B1430" s="2" t="inlineStr">
        <is>
          <t>甲醇空 04-15</t>
        </is>
      </c>
      <c r="C1430" s="10" t="n">
        <v>3</v>
      </c>
      <c r="D1430" s="33" t="n">
        <v>0.05</v>
      </c>
    </row>
    <row r="1431">
      <c r="A1431" s="2" t="n">
        <v>1429</v>
      </c>
      <c r="B1431" s="2" t="inlineStr">
        <is>
          <t>工业硅空 04-17</t>
        </is>
      </c>
      <c r="C1431" s="10" t="n">
        <v>2</v>
      </c>
      <c r="D1431" s="33" t="n">
        <v>0.36</v>
      </c>
    </row>
    <row r="1432">
      <c r="A1432" s="2" t="n">
        <v>1430</v>
      </c>
      <c r="B1432" s="2" t="inlineStr">
        <is>
          <t>沪锌空 04-17</t>
        </is>
      </c>
      <c r="C1432" s="10" t="n">
        <v>2</v>
      </c>
      <c r="D1432" s="33" t="n">
        <v>-0.05</v>
      </c>
    </row>
    <row r="1433">
      <c r="A1433" s="2" t="n">
        <v>1431</v>
      </c>
      <c r="B1433" s="2" t="inlineStr">
        <is>
          <t>沪银多 04-10</t>
        </is>
      </c>
      <c r="C1433" s="10" t="n">
        <v>2</v>
      </c>
      <c r="D1433" s="33" t="n">
        <v>0.51</v>
      </c>
    </row>
    <row r="1434">
      <c r="A1434" s="2" t="n">
        <v>1432</v>
      </c>
      <c r="B1434" s="2" t="inlineStr">
        <is>
          <t>螺纹钢空 04-17</t>
        </is>
      </c>
      <c r="C1434" s="10" t="n">
        <v>3</v>
      </c>
      <c r="D1434" s="33" t="n">
        <v>-0.13</v>
      </c>
    </row>
    <row r="1435">
      <c r="A1435" s="2" t="n">
        <v>1433</v>
      </c>
      <c r="B1435" s="2" t="inlineStr">
        <is>
          <t>硅铁空 04-17</t>
        </is>
      </c>
      <c r="C1435" s="10" t="n">
        <v>3</v>
      </c>
      <c r="D1435" s="33" t="n">
        <v>-0.06</v>
      </c>
    </row>
    <row r="1436">
      <c r="A1436" s="2" t="n">
        <v>1434</v>
      </c>
      <c r="B1436" s="2" t="inlineStr">
        <is>
          <t>碳酸锂空 04-18</t>
        </is>
      </c>
      <c r="C1436" s="10" t="n">
        <v>3</v>
      </c>
      <c r="D1436" s="33" t="n">
        <v>0.64</v>
      </c>
    </row>
    <row r="1437">
      <c r="A1437" s="2" t="n">
        <v>1435</v>
      </c>
      <c r="B1437" s="2" t="inlineStr">
        <is>
          <t>锰硅空 04-18</t>
        </is>
      </c>
      <c r="C1437" s="10" t="n">
        <v>2</v>
      </c>
      <c r="D1437" s="33" t="n">
        <v>0.3</v>
      </c>
    </row>
    <row r="1438">
      <c r="A1438" s="2" t="n">
        <v>1436</v>
      </c>
      <c r="B1438" s="2" t="inlineStr">
        <is>
          <t>螺纹钢空 04-22</t>
        </is>
      </c>
      <c r="C1438" s="10" t="n">
        <v>3</v>
      </c>
      <c r="D1438" s="33" t="n">
        <v>-0.34</v>
      </c>
    </row>
    <row r="1439">
      <c r="A1439" s="2" t="n">
        <v>1437</v>
      </c>
      <c r="B1439" s="2" t="inlineStr">
        <is>
          <t>苯乙烯多 04-21</t>
        </is>
      </c>
      <c r="C1439" s="10" t="n">
        <v>2</v>
      </c>
      <c r="D1439" s="33" t="n">
        <v>-0.05</v>
      </c>
    </row>
    <row r="1440">
      <c r="A1440" s="2" t="n">
        <v>1438</v>
      </c>
      <c r="B1440" s="2" t="inlineStr">
        <is>
          <t>豆油空 04-10</t>
        </is>
      </c>
      <c r="C1440" s="10" t="n">
        <v>2</v>
      </c>
      <c r="D1440" s="33" t="n">
        <v>-0.63</v>
      </c>
    </row>
    <row r="1441">
      <c r="A1441" s="2" t="n">
        <v>1439</v>
      </c>
      <c r="B1441" s="2" t="inlineStr">
        <is>
          <t>PVC空 04-22</t>
        </is>
      </c>
      <c r="C1441" s="10" t="n">
        <v>3</v>
      </c>
      <c r="D1441" s="33" t="n">
        <v>-0.09</v>
      </c>
    </row>
    <row r="1442">
      <c r="A1442" s="2" t="n">
        <v>1440</v>
      </c>
      <c r="B1442" s="2" t="inlineStr">
        <is>
          <t>螺纹钢空 04-25</t>
        </is>
      </c>
      <c r="C1442" s="10" t="n">
        <v>2</v>
      </c>
      <c r="D1442" s="33" t="n">
        <v>-0.14</v>
      </c>
    </row>
    <row r="1443">
      <c r="A1443" s="2" t="n">
        <v>1441</v>
      </c>
      <c r="B1443" s="2" t="inlineStr">
        <is>
          <t>纯碱空 03-27</t>
        </is>
      </c>
      <c r="C1443" s="10" t="n">
        <v>3</v>
      </c>
      <c r="D1443" s="33" t="n">
        <v>0.83</v>
      </c>
    </row>
    <row r="1444">
      <c r="A1444" s="2" t="n">
        <v>1442</v>
      </c>
      <c r="B1444" s="2" t="inlineStr">
        <is>
          <t>沪铝多 04-25</t>
        </is>
      </c>
      <c r="C1444" s="10" t="n">
        <v>2</v>
      </c>
      <c r="D1444" s="33" t="n">
        <v>-0.02</v>
      </c>
    </row>
    <row r="1445">
      <c r="A1445" s="2" t="n">
        <v>1443</v>
      </c>
      <c r="B1445" s="2" t="inlineStr">
        <is>
          <t>白糖空 03-27</t>
        </is>
      </c>
      <c r="C1445" s="10" t="n">
        <v>2</v>
      </c>
      <c r="D1445" s="33" t="n">
        <v>0.34</v>
      </c>
    </row>
    <row r="1446">
      <c r="A1446" s="2" t="n">
        <v>1444</v>
      </c>
      <c r="B1446" s="2" t="inlineStr">
        <is>
          <t>棉花空 04-09</t>
        </is>
      </c>
      <c r="C1446" s="10" t="n">
        <v>3</v>
      </c>
      <c r="D1446" s="33" t="n">
        <v>-0.14</v>
      </c>
    </row>
    <row r="1447">
      <c r="A1447" s="2" t="n">
        <v>1445</v>
      </c>
      <c r="B1447" s="2" t="inlineStr">
        <is>
          <t>碳酸锂空 04-23</t>
        </is>
      </c>
      <c r="C1447" s="10" t="n">
        <v>3</v>
      </c>
      <c r="D1447" s="33" t="n">
        <v>0.57</v>
      </c>
    </row>
    <row r="1448">
      <c r="A1448" s="2" t="n">
        <v>1446</v>
      </c>
      <c r="B1448" s="2" t="inlineStr">
        <is>
          <t>锰硅空 04-25</t>
        </is>
      </c>
      <c r="C1448" s="10" t="n">
        <v>3</v>
      </c>
      <c r="D1448" s="33" t="n">
        <v>0.2</v>
      </c>
    </row>
    <row r="1449">
      <c r="A1449" s="2" t="n">
        <v>1447</v>
      </c>
      <c r="B1449" s="2" t="inlineStr">
        <is>
          <t>纯碱多 04-29</t>
        </is>
      </c>
      <c r="C1449" s="10" t="n">
        <v>2</v>
      </c>
      <c r="D1449" s="33" t="n">
        <v>-0.23</v>
      </c>
    </row>
    <row r="1450">
      <c r="A1450" s="2" t="n">
        <v>1448</v>
      </c>
      <c r="B1450" s="2" t="inlineStr">
        <is>
          <t>燃料油多 04-15</t>
        </is>
      </c>
      <c r="C1450" s="10" t="n">
        <v>2</v>
      </c>
      <c r="D1450" s="33" t="n">
        <v>-0.28</v>
      </c>
    </row>
    <row r="1451">
      <c r="A1451" s="2" t="n">
        <v>1449</v>
      </c>
      <c r="B1451" s="2" t="inlineStr">
        <is>
          <t>玻璃空 04-25</t>
        </is>
      </c>
      <c r="C1451" s="10" t="n">
        <v>3</v>
      </c>
      <c r="D1451" s="33" t="n">
        <v>0.44</v>
      </c>
    </row>
    <row r="1452">
      <c r="A1452" s="2" t="n">
        <v>1450</v>
      </c>
      <c r="B1452" s="2" t="inlineStr">
        <is>
          <t>铁矿石空 04-30</t>
        </is>
      </c>
      <c r="C1452" s="10" t="n">
        <v>3</v>
      </c>
      <c r="D1452" s="33" t="n">
        <v>0.21</v>
      </c>
    </row>
    <row r="1453">
      <c r="A1453" s="2" t="n">
        <v>1451</v>
      </c>
      <c r="B1453" s="2" t="inlineStr">
        <is>
          <t>沪镍空 04-30</t>
        </is>
      </c>
      <c r="C1453" s="10" t="n">
        <v>3</v>
      </c>
      <c r="D1453" s="33" t="n">
        <v>-0.01</v>
      </c>
    </row>
    <row r="1454">
      <c r="A1454" s="2" t="n">
        <v>1452</v>
      </c>
      <c r="B1454" s="2" t="inlineStr">
        <is>
          <t>塑料空 05-07</t>
        </is>
      </c>
      <c r="C1454" s="10" t="n">
        <v>2</v>
      </c>
      <c r="D1454" s="33" t="n">
        <v>0.06</v>
      </c>
    </row>
    <row r="1455">
      <c r="A1455" s="2" t="n">
        <v>1453</v>
      </c>
      <c r="B1455" s="2" t="inlineStr">
        <is>
          <t>硅铁空 05-07</t>
        </is>
      </c>
      <c r="C1455" s="10" t="n">
        <v>2</v>
      </c>
      <c r="D1455" s="33" t="n">
        <v>-0.19</v>
      </c>
    </row>
    <row r="1456">
      <c r="A1456" s="2" t="n">
        <v>1454</v>
      </c>
      <c r="B1456" s="2" t="inlineStr">
        <is>
          <t>PTA多 04-21</t>
        </is>
      </c>
      <c r="C1456" s="10" t="n">
        <v>2</v>
      </c>
      <c r="D1456" s="33" t="n">
        <v>0.5</v>
      </c>
    </row>
    <row r="1457">
      <c r="A1457" s="2" t="n">
        <v>1455</v>
      </c>
      <c r="B1457" s="2" t="inlineStr">
        <is>
          <t>沪银多 05-06</t>
        </is>
      </c>
      <c r="C1457" s="10" t="n">
        <v>3</v>
      </c>
      <c r="D1457" s="33" t="n">
        <v>-0.01</v>
      </c>
    </row>
    <row r="1458">
      <c r="A1458" s="2" t="n">
        <v>1456</v>
      </c>
      <c r="B1458" s="2" t="inlineStr">
        <is>
          <t>玻璃空 05-08</t>
        </is>
      </c>
      <c r="C1458" s="10" t="n">
        <v>3</v>
      </c>
      <c r="D1458" s="33" t="n">
        <v>0.12</v>
      </c>
    </row>
    <row r="1459">
      <c r="A1459" s="2" t="n">
        <v>1457</v>
      </c>
      <c r="B1459" s="2" t="inlineStr">
        <is>
          <t>甲醇空 05-08</t>
        </is>
      </c>
      <c r="C1459" s="10" t="n">
        <v>3</v>
      </c>
      <c r="D1459" s="33" t="n">
        <v>-0.47</v>
      </c>
    </row>
    <row r="1460">
      <c r="A1460" s="2" t="n">
        <v>1458</v>
      </c>
      <c r="B1460" s="2" t="inlineStr">
        <is>
          <t>PTA多 05-12</t>
        </is>
      </c>
      <c r="C1460" s="10" t="n">
        <v>3</v>
      </c>
      <c r="D1460" s="33" t="n">
        <v>0.28</v>
      </c>
    </row>
    <row r="1461">
      <c r="A1461" s="2" t="n">
        <v>1459</v>
      </c>
      <c r="B1461" s="2" t="inlineStr">
        <is>
          <t>玻璃空 05-13</t>
        </is>
      </c>
      <c r="C1461" s="10" t="n">
        <v>3</v>
      </c>
      <c r="D1461" s="33" t="n">
        <v>-0.37</v>
      </c>
    </row>
    <row r="1462">
      <c r="A1462" s="2" t="n">
        <v>1460</v>
      </c>
      <c r="B1462" s="2" t="inlineStr">
        <is>
          <t>工业硅空 05-13</t>
        </is>
      </c>
      <c r="C1462" s="10" t="n">
        <v>3</v>
      </c>
      <c r="D1462" s="33" t="n">
        <v>-0.28</v>
      </c>
    </row>
    <row r="1463">
      <c r="A1463" s="2" t="n">
        <v>1461</v>
      </c>
      <c r="B1463" s="2" t="inlineStr">
        <is>
          <t>豆粕空 05-07</t>
        </is>
      </c>
      <c r="C1463" s="10" t="n">
        <v>3</v>
      </c>
      <c r="D1463" s="33" t="n">
        <v>-0.05</v>
      </c>
    </row>
    <row r="1464">
      <c r="A1464" s="2" t="n">
        <v>1462</v>
      </c>
      <c r="B1464" s="2" t="inlineStr">
        <is>
          <t>碳酸锂空 05-13</t>
        </is>
      </c>
      <c r="C1464" s="10" t="n">
        <v>3</v>
      </c>
      <c r="D1464" s="33" t="n">
        <v>-0.05</v>
      </c>
    </row>
    <row r="1465">
      <c r="A1465" s="2" t="n">
        <v>1463</v>
      </c>
      <c r="B1465" s="2" t="inlineStr">
        <is>
          <t>沪铝多 05-15</t>
        </is>
      </c>
      <c r="C1465" s="10" t="n">
        <v>2</v>
      </c>
      <c r="D1465" s="33" t="n">
        <v>-0.02</v>
      </c>
    </row>
    <row r="1466">
      <c r="A1466" s="2" t="n">
        <v>1464</v>
      </c>
      <c r="B1466" s="2" t="inlineStr">
        <is>
          <t>苯乙烯多 05-15</t>
        </is>
      </c>
      <c r="C1466" s="10" t="n">
        <v>2</v>
      </c>
      <c r="D1466" s="33" t="n">
        <v>-0.13</v>
      </c>
    </row>
    <row r="1467">
      <c r="A1467" s="2" t="n">
        <v>1465</v>
      </c>
      <c r="B1467" s="2" t="inlineStr">
        <is>
          <t>螺纹钢空 05-16</t>
        </is>
      </c>
      <c r="C1467" s="10" t="n">
        <v>2</v>
      </c>
      <c r="D1467" s="33" t="n">
        <v>0.06</v>
      </c>
    </row>
    <row r="1468">
      <c r="A1468" s="2" t="n">
        <v>1466</v>
      </c>
      <c r="B1468" s="2" t="inlineStr">
        <is>
          <t>工业硅空 05-16</t>
        </is>
      </c>
      <c r="C1468" s="10" t="n">
        <v>3</v>
      </c>
      <c r="D1468" s="33" t="n">
        <v>0.02</v>
      </c>
    </row>
    <row r="1469">
      <c r="A1469" s="2" t="n">
        <v>1467</v>
      </c>
      <c r="B1469" s="2" t="inlineStr">
        <is>
          <t>玉米多 04-30</t>
        </is>
      </c>
      <c r="C1469" s="10" t="n">
        <v>3</v>
      </c>
      <c r="D1469" s="33" t="n">
        <v>-0.99</v>
      </c>
    </row>
    <row r="1470">
      <c r="A1470" s="2" t="n">
        <v>1468</v>
      </c>
      <c r="B1470" s="2" t="inlineStr">
        <is>
          <t>棉花多 05-13</t>
        </is>
      </c>
      <c r="C1470" s="10" t="n">
        <v>3</v>
      </c>
      <c r="D1470" s="33" t="n">
        <v>0.1</v>
      </c>
    </row>
    <row r="1471">
      <c r="A1471" s="2" t="n">
        <v>1469</v>
      </c>
      <c r="B1471" s="2" t="inlineStr">
        <is>
          <t>菜油多 04-24</t>
        </is>
      </c>
      <c r="C1471" s="10" t="n">
        <v>3</v>
      </c>
      <c r="D1471" s="33" t="n">
        <v>0.05</v>
      </c>
    </row>
    <row r="1472">
      <c r="A1472" s="2" t="n">
        <v>1470</v>
      </c>
      <c r="B1472" s="2" t="inlineStr">
        <is>
          <t>碳酸锂空 05-16</t>
        </is>
      </c>
      <c r="C1472" s="10" t="n">
        <v>3</v>
      </c>
      <c r="D1472" s="33" t="n">
        <v>0.14</v>
      </c>
    </row>
    <row r="1473">
      <c r="A1473" s="2" t="n">
        <v>1471</v>
      </c>
      <c r="B1473" s="2" t="inlineStr">
        <is>
          <t>燃料油多 05-20</t>
        </is>
      </c>
      <c r="C1473" s="10" t="n">
        <v>2</v>
      </c>
      <c r="D1473" s="33" t="n">
        <v>0.2</v>
      </c>
    </row>
    <row r="1474">
      <c r="A1474" s="2" t="n">
        <v>1472</v>
      </c>
      <c r="B1474" s="2" t="inlineStr">
        <is>
          <t>硅铁空 05-20</t>
        </is>
      </c>
      <c r="C1474" s="10" t="n">
        <v>3</v>
      </c>
      <c r="D1474" s="33" t="n">
        <v>0.09</v>
      </c>
    </row>
    <row r="1475">
      <c r="A1475" s="2" t="n">
        <v>1473</v>
      </c>
      <c r="B1475" s="2" t="inlineStr">
        <is>
          <t>沪铝多 05-21</t>
        </is>
      </c>
      <c r="C1475" s="10" t="n">
        <v>2</v>
      </c>
      <c r="D1475" s="33" t="n">
        <v>0.06</v>
      </c>
    </row>
    <row r="1476">
      <c r="A1476" s="2" t="n">
        <v>1474</v>
      </c>
      <c r="B1476" s="2" t="inlineStr">
        <is>
          <t>聚丙烯空 05-20</t>
        </is>
      </c>
      <c r="C1476" s="10" t="n">
        <v>3</v>
      </c>
      <c r="D1476" s="33" t="n">
        <v>0.46</v>
      </c>
    </row>
    <row r="1477">
      <c r="A1477" s="2" t="n">
        <v>1475</v>
      </c>
      <c r="B1477" s="2" t="inlineStr">
        <is>
          <t>工业硅空 05-21</t>
        </is>
      </c>
      <c r="C1477" s="10" t="n">
        <v>3</v>
      </c>
      <c r="D1477" s="33" t="n">
        <v>-0.01</v>
      </c>
    </row>
    <row r="1478">
      <c r="A1478" s="2" t="n">
        <v>1476</v>
      </c>
      <c r="B1478" s="2" t="inlineStr">
        <is>
          <t>菜粕空 05-12</t>
        </is>
      </c>
      <c r="C1478" s="10" t="n">
        <v>2</v>
      </c>
      <c r="D1478" s="33" t="n">
        <v>-0.19</v>
      </c>
    </row>
    <row r="1479">
      <c r="A1479" s="2" t="n">
        <v>1477</v>
      </c>
      <c r="B1479" s="2" t="inlineStr">
        <is>
          <t>铁矿石空 05-19</t>
        </is>
      </c>
      <c r="C1479" s="10" t="n">
        <v>2</v>
      </c>
      <c r="D1479" s="33" t="n">
        <v>0.32</v>
      </c>
    </row>
    <row r="1480">
      <c r="A1480" s="2" t="n">
        <v>1478</v>
      </c>
      <c r="B1480" s="2" t="inlineStr">
        <is>
          <t>纯碱空 05-20</t>
        </is>
      </c>
      <c r="C1480" s="10" t="n">
        <v>3</v>
      </c>
      <c r="D1480" s="33" t="n">
        <v>0.2</v>
      </c>
    </row>
    <row r="1481">
      <c r="A1481" s="2" t="n">
        <v>1479</v>
      </c>
      <c r="B1481" s="2" t="inlineStr">
        <is>
          <t>螺纹钢空 05-21</t>
        </is>
      </c>
      <c r="C1481" s="10" t="n">
        <v>3</v>
      </c>
      <c r="D1481" s="33" t="n">
        <v>0.41</v>
      </c>
    </row>
    <row r="1482">
      <c r="A1482" s="2" t="n">
        <v>1480</v>
      </c>
      <c r="B1482" s="2" t="inlineStr">
        <is>
          <t>碳酸锂空 05-23</t>
        </is>
      </c>
      <c r="C1482" s="10" t="n">
        <v>3</v>
      </c>
      <c r="D1482" s="33" t="n">
        <v>0.19</v>
      </c>
    </row>
    <row r="1483">
      <c r="A1483" s="2" t="n">
        <v>1481</v>
      </c>
      <c r="B1483" s="2" t="inlineStr">
        <is>
          <t>塑料空 05-23</t>
        </is>
      </c>
      <c r="C1483" s="10" t="n">
        <v>3</v>
      </c>
      <c r="D1483" s="33" t="n">
        <v>-0.04</v>
      </c>
    </row>
    <row r="1484">
      <c r="A1484" s="2" t="n">
        <v>1482</v>
      </c>
      <c r="B1484" s="2" t="inlineStr">
        <is>
          <t>工业硅空 05-26</t>
        </is>
      </c>
      <c r="C1484" s="10" t="n">
        <v>3</v>
      </c>
      <c r="D1484" s="33" t="n">
        <v>0.24</v>
      </c>
    </row>
    <row r="1485">
      <c r="A1485" s="2" t="n">
        <v>1483</v>
      </c>
      <c r="B1485" s="2" t="inlineStr">
        <is>
          <t>沪锌多 04-24</t>
        </is>
      </c>
      <c r="C1485" s="10" t="n">
        <v>2</v>
      </c>
      <c r="D1485" s="33" t="n">
        <v>-0.1</v>
      </c>
    </row>
    <row r="1486">
      <c r="A1486" s="2" t="n">
        <v>1484</v>
      </c>
      <c r="B1486" s="2" t="inlineStr">
        <is>
          <t>聚丙烯空 05-26</t>
        </is>
      </c>
      <c r="C1486" s="10" t="n">
        <v>3</v>
      </c>
      <c r="D1486" s="33" t="n">
        <v>0.14</v>
      </c>
    </row>
    <row r="1487">
      <c r="A1487" s="2" t="n">
        <v>1485</v>
      </c>
      <c r="B1487" s="2" t="inlineStr">
        <is>
          <t>纯碱空 05-27</t>
        </is>
      </c>
      <c r="C1487" s="10" t="n">
        <v>3</v>
      </c>
      <c r="D1487" s="33" t="n">
        <v>0.23</v>
      </c>
    </row>
    <row r="1488">
      <c r="A1488" s="2" t="n">
        <v>1486</v>
      </c>
      <c r="B1488" s="2" t="inlineStr">
        <is>
          <t>菜粕多 05-26</t>
        </is>
      </c>
      <c r="C1488" s="10" t="n">
        <v>3</v>
      </c>
      <c r="D1488" s="33" t="n">
        <v>0.46</v>
      </c>
    </row>
    <row r="1489">
      <c r="A1489" s="2" t="n">
        <v>1487</v>
      </c>
      <c r="B1489" s="2" t="inlineStr">
        <is>
          <t>PTA空 05-26</t>
        </is>
      </c>
      <c r="C1489" s="10" t="n">
        <v>2</v>
      </c>
      <c r="D1489" s="33" t="n">
        <v>0.07000000000000001</v>
      </c>
    </row>
    <row r="1490">
      <c r="A1490" s="2" t="n">
        <v>1488</v>
      </c>
      <c r="B1490" s="2" t="inlineStr">
        <is>
          <t>碳酸锂空 05-29</t>
        </is>
      </c>
      <c r="C1490" s="10" t="n">
        <v>3</v>
      </c>
      <c r="D1490" s="33" t="n">
        <v>-0.2</v>
      </c>
    </row>
    <row r="1491">
      <c r="A1491" s="2" t="n">
        <v>1489</v>
      </c>
      <c r="B1491" s="2" t="inlineStr">
        <is>
          <t>螺纹钢空 05-29</t>
        </is>
      </c>
      <c r="C1491" s="10" t="n">
        <v>2</v>
      </c>
      <c r="D1491" s="33" t="n">
        <v>0.14</v>
      </c>
    </row>
    <row r="1492">
      <c r="A1492" s="2" t="n">
        <v>1490</v>
      </c>
      <c r="B1492" s="2" t="inlineStr">
        <is>
          <t>锰硅空 05-27</t>
        </is>
      </c>
      <c r="C1492" s="10" t="n">
        <v>2</v>
      </c>
      <c r="D1492" s="33" t="n">
        <v>0.46</v>
      </c>
    </row>
    <row r="1493">
      <c r="A1493" s="2" t="n">
        <v>1491</v>
      </c>
      <c r="B1493" s="2" t="inlineStr">
        <is>
          <t>纯碱空 05-30</t>
        </is>
      </c>
      <c r="C1493" s="10" t="n">
        <v>2</v>
      </c>
      <c r="D1493" s="33" t="n">
        <v>0</v>
      </c>
    </row>
    <row r="1494">
      <c r="A1494" s="2" t="n">
        <v>1492</v>
      </c>
      <c r="B1494" s="2" t="inlineStr">
        <is>
          <t>棕榈油空 05-26</t>
        </is>
      </c>
      <c r="C1494" s="10" t="n">
        <v>3</v>
      </c>
      <c r="D1494" s="33" t="n">
        <v>-0.34</v>
      </c>
    </row>
    <row r="1495">
      <c r="A1495" s="2" t="n">
        <v>1493</v>
      </c>
      <c r="B1495" s="2" t="inlineStr">
        <is>
          <t>工业硅空 05-30</t>
        </is>
      </c>
      <c r="C1495" s="10" t="n">
        <v>3</v>
      </c>
      <c r="D1495" s="33" t="n">
        <v>0.06</v>
      </c>
    </row>
    <row r="1496">
      <c r="A1496" s="2" t="n">
        <v>1494</v>
      </c>
      <c r="B1496" s="2" t="inlineStr">
        <is>
          <t>焦煤空 05-28</t>
        </is>
      </c>
      <c r="C1496" s="10" t="n">
        <v>3</v>
      </c>
      <c r="D1496" s="33" t="n">
        <v>-0.04</v>
      </c>
    </row>
    <row r="1497">
      <c r="A1497" s="2" t="n">
        <v>1495</v>
      </c>
      <c r="B1497" s="2" t="inlineStr">
        <is>
          <t>塑料空 06-03</t>
        </is>
      </c>
      <c r="C1497" s="10" t="n">
        <v>2</v>
      </c>
      <c r="D1497" s="33" t="n">
        <v>-0.36</v>
      </c>
    </row>
    <row r="1498">
      <c r="A1498" s="2" t="n">
        <v>1496</v>
      </c>
      <c r="B1498" s="2" t="inlineStr">
        <is>
          <t>棉花多 06-06</t>
        </is>
      </c>
      <c r="C1498" s="10" t="n">
        <v>3</v>
      </c>
      <c r="D1498" s="33" t="n">
        <v>0.42</v>
      </c>
    </row>
    <row r="1499">
      <c r="A1499" s="2" t="n">
        <v>1497</v>
      </c>
      <c r="B1499" s="2" t="inlineStr">
        <is>
          <t>锰硅空 06-04</t>
        </is>
      </c>
      <c r="C1499" s="10" t="n">
        <v>3</v>
      </c>
      <c r="D1499" s="33" t="n">
        <v>0.12</v>
      </c>
    </row>
    <row r="1500">
      <c r="A1500" s="2" t="n">
        <v>1498</v>
      </c>
      <c r="B1500" s="2" t="inlineStr">
        <is>
          <t>豆粕多 06-09</t>
        </is>
      </c>
      <c r="C1500" s="10" t="n">
        <v>3</v>
      </c>
      <c r="D1500" s="33" t="n">
        <v>0.24</v>
      </c>
    </row>
    <row r="1501">
      <c r="A1501" s="2" t="n">
        <v>1499</v>
      </c>
      <c r="B1501" s="2" t="inlineStr">
        <is>
          <t>菜粕多 06-13</t>
        </is>
      </c>
      <c r="C1501" s="10" t="n">
        <v>2</v>
      </c>
      <c r="D1501" s="33" t="n">
        <v>-0.04</v>
      </c>
    </row>
    <row r="1502">
      <c r="A1502" s="2" t="n">
        <v>1500</v>
      </c>
      <c r="B1502" s="2" t="inlineStr">
        <is>
          <t>白糖空 06-10</t>
        </is>
      </c>
      <c r="C1502" s="10" t="n">
        <v>3</v>
      </c>
      <c r="D1502" s="33" t="n">
        <v>0.31</v>
      </c>
    </row>
    <row r="1503">
      <c r="A1503" s="2" t="n">
        <v>1501</v>
      </c>
      <c r="B1503" s="2" t="inlineStr">
        <is>
          <t>焦煤多 06-16</t>
        </is>
      </c>
      <c r="C1503" s="10" t="n">
        <v>3</v>
      </c>
      <c r="D1503" s="33" t="n">
        <v>-0.04</v>
      </c>
    </row>
    <row r="1504">
      <c r="A1504" s="2" t="n">
        <v>1502</v>
      </c>
      <c r="B1504" s="2" t="inlineStr">
        <is>
          <t>沪锌多 06-11</t>
        </is>
      </c>
      <c r="C1504" s="10" t="n">
        <v>2</v>
      </c>
      <c r="D1504" s="33" t="n">
        <v>-0.04</v>
      </c>
    </row>
    <row r="1505">
      <c r="A1505" s="2" t="n">
        <v>1503</v>
      </c>
      <c r="B1505" s="2" t="inlineStr">
        <is>
          <t>塑料多 06-16</t>
        </is>
      </c>
      <c r="C1505" s="10" t="n">
        <v>2</v>
      </c>
      <c r="D1505" s="33" t="n">
        <v>0.38</v>
      </c>
    </row>
    <row r="1506">
      <c r="A1506" s="2" t="n">
        <v>1504</v>
      </c>
      <c r="B1506" s="2" t="inlineStr">
        <is>
          <t>甲醇多 06-16</t>
        </is>
      </c>
      <c r="C1506" s="10" t="n">
        <v>2</v>
      </c>
      <c r="D1506" s="33" t="n">
        <v>0.46</v>
      </c>
    </row>
    <row r="1507">
      <c r="A1507" s="2" t="n">
        <v>1505</v>
      </c>
      <c r="B1507" s="2" t="inlineStr">
        <is>
          <t>硅铁空 06-05</t>
        </is>
      </c>
      <c r="C1507" s="10" t="n">
        <v>3</v>
      </c>
      <c r="D1507" s="33" t="n">
        <v>-0.51</v>
      </c>
    </row>
    <row r="1508">
      <c r="A1508" s="2" t="n">
        <v>1506</v>
      </c>
      <c r="B1508" s="2" t="inlineStr">
        <is>
          <t>沪铝多 06-04</t>
        </is>
      </c>
      <c r="C1508" s="10" t="n">
        <v>3</v>
      </c>
      <c r="D1508" s="33" t="n">
        <v>0.87</v>
      </c>
    </row>
    <row r="1509">
      <c r="A1509" s="2" t="n">
        <v>1507</v>
      </c>
      <c r="B1509" s="2" t="inlineStr">
        <is>
          <t>沪银多 06-11</t>
        </is>
      </c>
      <c r="C1509" s="10" t="n">
        <v>2</v>
      </c>
      <c r="D1509" s="33" t="n">
        <v>-0.3</v>
      </c>
    </row>
    <row r="1510">
      <c r="A1510" s="2" t="n">
        <v>1508</v>
      </c>
      <c r="B1510" s="2" t="inlineStr">
        <is>
          <t>锰硅空 06-13</t>
        </is>
      </c>
      <c r="C1510" s="10" t="n">
        <v>2</v>
      </c>
      <c r="D1510" s="33" t="n">
        <v>-0.32</v>
      </c>
    </row>
    <row r="1511">
      <c r="A1511" s="2" t="n">
        <v>1509</v>
      </c>
      <c r="B1511" s="2" t="inlineStr">
        <is>
          <t>聚丙烯多 06-18</t>
        </is>
      </c>
      <c r="C1511" s="10" t="n">
        <v>2</v>
      </c>
      <c r="D1511" s="33" t="n">
        <v>0.12</v>
      </c>
    </row>
    <row r="1512">
      <c r="A1512" s="2" t="n">
        <v>1510</v>
      </c>
      <c r="B1512" s="2" t="inlineStr">
        <is>
          <t>硅铁多 06-19</t>
        </is>
      </c>
      <c r="C1512" s="10" t="n">
        <v>2</v>
      </c>
      <c r="D1512" s="33" t="n">
        <v>-0.13</v>
      </c>
    </row>
    <row r="1513">
      <c r="A1513" s="2" t="n">
        <v>1511</v>
      </c>
      <c r="B1513" s="2" t="inlineStr">
        <is>
          <t>PTA多 06-19</t>
        </is>
      </c>
      <c r="C1513" s="10" t="n">
        <v>2</v>
      </c>
      <c r="D1513" s="33" t="n">
        <v>-0.06</v>
      </c>
    </row>
    <row r="1514">
      <c r="A1514" s="2" t="n">
        <v>1512</v>
      </c>
      <c r="B1514" s="2" t="inlineStr">
        <is>
          <t>玻璃空 05-22</t>
        </is>
      </c>
      <c r="C1514" s="10" t="n">
        <v>3</v>
      </c>
      <c r="D1514" s="33" t="n">
        <v>0.08</v>
      </c>
    </row>
    <row r="1515">
      <c r="A1515" s="2" t="n">
        <v>1513</v>
      </c>
      <c r="B1515" s="2" t="inlineStr">
        <is>
          <t>甲醇多 06-20</t>
        </is>
      </c>
      <c r="C1515" s="10" t="n">
        <v>3</v>
      </c>
      <c r="D1515" s="33" t="n">
        <v>-0.66</v>
      </c>
    </row>
    <row r="1516">
      <c r="A1516" s="2" t="n">
        <v>1514</v>
      </c>
      <c r="B1516" s="2" t="inlineStr">
        <is>
          <t>聚丙烯多 06-23</t>
        </is>
      </c>
      <c r="C1516" s="10" t="n">
        <v>2</v>
      </c>
      <c r="D1516" s="33" t="n">
        <v>-0.74</v>
      </c>
    </row>
    <row r="1517">
      <c r="A1517" s="2" t="n">
        <v>1515</v>
      </c>
      <c r="B1517" s="2" t="inlineStr">
        <is>
          <t>豆粕多 06-16</t>
        </is>
      </c>
      <c r="C1517" s="10" t="n">
        <v>3</v>
      </c>
      <c r="D1517" s="33" t="n">
        <v>-0.55</v>
      </c>
    </row>
    <row r="1518">
      <c r="A1518" s="2" t="n">
        <v>1516</v>
      </c>
      <c r="B1518" s="2" t="inlineStr">
        <is>
          <t>焦煤多 06-20</t>
        </is>
      </c>
      <c r="C1518" s="10" t="n">
        <v>3</v>
      </c>
      <c r="D1518" s="33" t="n">
        <v>0.14</v>
      </c>
    </row>
    <row r="1519">
      <c r="A1519" s="2" t="n">
        <v>1517</v>
      </c>
      <c r="B1519" s="2" t="inlineStr">
        <is>
          <t>沥青多 06-23</t>
        </is>
      </c>
      <c r="C1519" s="10" t="n">
        <v>3</v>
      </c>
      <c r="D1519" s="33" t="n">
        <v>-0.95</v>
      </c>
    </row>
    <row r="1520">
      <c r="A1520" s="2" t="n">
        <v>1518</v>
      </c>
      <c r="B1520" s="2" t="inlineStr">
        <is>
          <t>沪铜多 06-24</t>
        </is>
      </c>
      <c r="C1520" s="10" t="n">
        <v>2</v>
      </c>
      <c r="D1520" s="33" t="n">
        <v>0.17</v>
      </c>
    </row>
    <row r="1521">
      <c r="A1521" s="2" t="n">
        <v>1519</v>
      </c>
      <c r="B1521" s="2" t="inlineStr">
        <is>
          <t>工业硅空 06-12</t>
        </is>
      </c>
      <c r="C1521" s="10" t="n">
        <v>2</v>
      </c>
      <c r="D1521" s="33" t="n">
        <v>-0.55</v>
      </c>
    </row>
    <row r="1522">
      <c r="A1522" s="2" t="n">
        <v>1520</v>
      </c>
      <c r="B1522" s="2" t="inlineStr">
        <is>
          <t>螺纹钢空 06-13</t>
        </is>
      </c>
      <c r="C1522" s="10" t="n">
        <v>2</v>
      </c>
      <c r="D1522" s="33" t="n">
        <v>-0.34</v>
      </c>
    </row>
    <row r="1523">
      <c r="A1523" s="2" t="n">
        <v>1521</v>
      </c>
      <c r="B1523" s="2" t="inlineStr">
        <is>
          <t>沪铝多 06-26</t>
        </is>
      </c>
      <c r="C1523" s="10" t="n">
        <v>3</v>
      </c>
      <c r="D1523" s="33" t="n">
        <v>0.24</v>
      </c>
    </row>
    <row r="1524">
      <c r="A1524" s="2" t="n">
        <v>1522</v>
      </c>
      <c r="B1524" s="2" t="inlineStr">
        <is>
          <t>焦煤多 06-26</t>
        </is>
      </c>
      <c r="C1524" s="10" t="n">
        <v>3</v>
      </c>
      <c r="D1524" s="33" t="n">
        <v>0.27</v>
      </c>
    </row>
    <row r="1525">
      <c r="A1525" s="2" t="n">
        <v>1523</v>
      </c>
      <c r="B1525" s="2" t="inlineStr">
        <is>
          <t>棕榈油多 06-23</t>
        </is>
      </c>
      <c r="C1525" s="10" t="n">
        <v>2</v>
      </c>
      <c r="D1525" s="33" t="n">
        <v>-0.04</v>
      </c>
    </row>
    <row r="1526">
      <c r="A1526" s="2" t="n">
        <v>1524</v>
      </c>
      <c r="B1526" s="2" t="inlineStr">
        <is>
          <t>菜油多 07-02</t>
        </is>
      </c>
      <c r="C1526" s="10" t="n">
        <v>3</v>
      </c>
      <c r="D1526" s="33" t="n">
        <v>-0.03</v>
      </c>
    </row>
    <row r="1527">
      <c r="A1527" s="2" t="n">
        <v>1525</v>
      </c>
      <c r="B1527" s="2" t="inlineStr">
        <is>
          <t>PTA多 06-30</t>
        </is>
      </c>
      <c r="C1527" s="10" t="n">
        <v>2</v>
      </c>
      <c r="D1527" s="33" t="n">
        <v>-0.27</v>
      </c>
    </row>
    <row r="1528">
      <c r="A1528" s="2" t="n">
        <v>1526</v>
      </c>
      <c r="B1528" s="2" t="inlineStr">
        <is>
          <t>螺纹钢多 07-01</t>
        </is>
      </c>
      <c r="C1528" s="10" t="n">
        <v>3</v>
      </c>
      <c r="D1528" s="33" t="n">
        <v>0.76</v>
      </c>
    </row>
    <row r="1529">
      <c r="A1529" s="2" t="n">
        <v>1527</v>
      </c>
      <c r="B1529" s="2" t="inlineStr">
        <is>
          <t>白糖多 06-30</t>
        </is>
      </c>
      <c r="C1529" s="10" t="n">
        <v>2</v>
      </c>
      <c r="D1529" s="33" t="n">
        <v>-0.11</v>
      </c>
    </row>
    <row r="1530">
      <c r="A1530" s="2" t="n">
        <v>1528</v>
      </c>
      <c r="B1530" s="2" t="inlineStr">
        <is>
          <t>沪铜多 07-01</t>
        </is>
      </c>
      <c r="C1530" s="10" t="n">
        <v>3</v>
      </c>
      <c r="D1530" s="33" t="n">
        <v>-0.51</v>
      </c>
    </row>
    <row r="1531">
      <c r="A1531" s="2" t="n">
        <v>1529</v>
      </c>
      <c r="B1531" s="2" t="inlineStr">
        <is>
          <t>棕榈油多 07-04</t>
        </is>
      </c>
      <c r="C1531" s="10" t="n">
        <v>3</v>
      </c>
      <c r="D1531" s="33" t="n">
        <v>0.68</v>
      </c>
    </row>
    <row r="1532">
      <c r="A1532" s="2" t="n">
        <v>1530</v>
      </c>
      <c r="B1532" s="2" t="inlineStr">
        <is>
          <t>热卷多 07-02</t>
        </is>
      </c>
      <c r="C1532" s="10" t="n">
        <v>3</v>
      </c>
      <c r="D1532" s="33" t="n">
        <v>0.6</v>
      </c>
    </row>
    <row r="1533">
      <c r="A1533" s="2" t="n">
        <v>1531</v>
      </c>
      <c r="B1533" s="2" t="inlineStr">
        <is>
          <t>硅铁空 07-07</t>
        </is>
      </c>
      <c r="C1533" s="10" t="n">
        <v>2</v>
      </c>
      <c r="D1533" s="33" t="n">
        <v>-0.79</v>
      </c>
    </row>
    <row r="1534">
      <c r="A1534" s="2" t="n">
        <v>1532</v>
      </c>
      <c r="B1534" s="2" t="inlineStr">
        <is>
          <t>铁矿石多 07-09</t>
        </is>
      </c>
      <c r="C1534" s="10" t="n">
        <v>3</v>
      </c>
      <c r="D1534" s="33" t="n">
        <v>0.82</v>
      </c>
    </row>
    <row r="1535">
      <c r="A1535" s="2" t="n">
        <v>1533</v>
      </c>
      <c r="B1535" s="2" t="inlineStr">
        <is>
          <t>焦煤多 07-09</t>
        </is>
      </c>
      <c r="C1535" s="10" t="n">
        <v>2</v>
      </c>
      <c r="D1535" s="33" t="n">
        <v>0.31</v>
      </c>
    </row>
    <row r="1536">
      <c r="A1536" s="2" t="n">
        <v>1534</v>
      </c>
      <c r="B1536" s="2" t="inlineStr">
        <is>
          <t>菜粕多 07-03</t>
        </is>
      </c>
      <c r="C1536" s="10" t="n">
        <v>3</v>
      </c>
      <c r="D1536" s="33" t="n">
        <v>0.19</v>
      </c>
    </row>
    <row r="1537">
      <c r="A1537" s="2" t="n">
        <v>1535</v>
      </c>
      <c r="B1537" s="2" t="inlineStr">
        <is>
          <t>沪铝多 07-10</t>
        </is>
      </c>
      <c r="C1537" s="10" t="n">
        <v>2</v>
      </c>
      <c r="D1537" s="33" t="n">
        <v>0.01</v>
      </c>
    </row>
    <row r="1538">
      <c r="A1538" s="2" t="n">
        <v>1536</v>
      </c>
      <c r="B1538" s="2" t="inlineStr">
        <is>
          <t>塑料多 07-10</t>
        </is>
      </c>
      <c r="C1538" s="10" t="n">
        <v>2</v>
      </c>
      <c r="D1538" s="33" t="n">
        <v>-0.12</v>
      </c>
    </row>
    <row r="1539">
      <c r="A1539" s="2" t="n">
        <v>1537</v>
      </c>
      <c r="B1539" s="2" t="inlineStr">
        <is>
          <t>螺纹钢多 07-10</t>
        </is>
      </c>
      <c r="C1539" s="10" t="n">
        <v>3</v>
      </c>
      <c r="D1539" s="33" t="n">
        <v>0.16</v>
      </c>
    </row>
    <row r="1540">
      <c r="A1540" s="2" t="n">
        <v>1538</v>
      </c>
      <c r="B1540" s="2" t="inlineStr">
        <is>
          <t>玉米空 07-07</t>
        </is>
      </c>
      <c r="C1540" s="10" t="n">
        <v>2</v>
      </c>
      <c r="D1540" s="33" t="n">
        <v>0.43</v>
      </c>
    </row>
    <row r="1541">
      <c r="A1541" s="2" t="n">
        <v>1539</v>
      </c>
      <c r="B1541" s="2" t="inlineStr">
        <is>
          <t>苯乙烯空 06-17</t>
        </is>
      </c>
      <c r="C1541" s="10" t="n">
        <v>3</v>
      </c>
      <c r="D1541" s="33" t="n">
        <v>-0.15</v>
      </c>
    </row>
    <row r="1542">
      <c r="A1542" s="2" t="n">
        <v>1540</v>
      </c>
      <c r="B1542" s="2" t="inlineStr">
        <is>
          <t>甲醇空 06-30</t>
        </is>
      </c>
      <c r="C1542" s="10" t="n">
        <v>2</v>
      </c>
      <c r="D1542" s="33" t="n">
        <v>-0.02</v>
      </c>
    </row>
    <row r="1543">
      <c r="A1543" s="2" t="n">
        <v>1541</v>
      </c>
      <c r="B1543" s="2" t="inlineStr">
        <is>
          <t>燃料油空 07-11</t>
        </is>
      </c>
      <c r="C1543" s="10" t="n">
        <v>3</v>
      </c>
      <c r="D1543" s="33" t="n">
        <v>0.14</v>
      </c>
    </row>
    <row r="1544">
      <c r="A1544" s="2" t="n">
        <v>1542</v>
      </c>
      <c r="B1544" s="2" t="inlineStr">
        <is>
          <t>玉米空 07-15</t>
        </is>
      </c>
      <c r="C1544" s="10" t="n">
        <v>2</v>
      </c>
      <c r="D1544" s="33" t="n">
        <v>0.05</v>
      </c>
    </row>
    <row r="1545">
      <c r="A1545" s="2" t="n">
        <v>1543</v>
      </c>
      <c r="B1545" s="2" t="inlineStr">
        <is>
          <t>铁矿石多 07-11</t>
        </is>
      </c>
      <c r="C1545" s="10" t="n">
        <v>3</v>
      </c>
      <c r="D1545" s="33" t="n">
        <v>0.55</v>
      </c>
    </row>
    <row r="1546">
      <c r="A1546" s="2" t="n">
        <v>1544</v>
      </c>
      <c r="B1546" s="2" t="inlineStr">
        <is>
          <t>碳酸锂多 07-11</t>
        </is>
      </c>
      <c r="C1546" s="10" t="n">
        <v>2</v>
      </c>
      <c r="D1546" s="33" t="n">
        <v>0.73</v>
      </c>
    </row>
    <row r="1547">
      <c r="A1547" s="2" t="n">
        <v>1545</v>
      </c>
      <c r="B1547" s="2" t="inlineStr">
        <is>
          <t>棕榈油多 07-14</t>
        </is>
      </c>
      <c r="C1547" s="10" t="n">
        <v>3</v>
      </c>
      <c r="D1547" s="33" t="n">
        <v>0.61</v>
      </c>
    </row>
    <row r="1548">
      <c r="A1548" s="2" t="n">
        <v>1546</v>
      </c>
      <c r="B1548" s="2" t="inlineStr">
        <is>
          <t>白糖多 07-17</t>
        </is>
      </c>
      <c r="C1548" s="10" t="n">
        <v>3</v>
      </c>
      <c r="D1548" s="33" t="n">
        <v>-0.11</v>
      </c>
    </row>
    <row r="1549">
      <c r="A1549" s="2" t="n">
        <v>1547</v>
      </c>
      <c r="B1549" s="2" t="inlineStr">
        <is>
          <t>PTA空 07-04</t>
        </is>
      </c>
      <c r="C1549" s="10" t="n">
        <v>2</v>
      </c>
      <c r="D1549" s="33" t="n">
        <v>-0.21</v>
      </c>
    </row>
    <row r="1550">
      <c r="A1550" s="2" t="n">
        <v>1548</v>
      </c>
      <c r="B1550" s="2" t="inlineStr">
        <is>
          <t>玉米空 07-17</t>
        </is>
      </c>
      <c r="C1550" s="10" t="n">
        <v>3</v>
      </c>
      <c r="D1550" s="33" t="n">
        <v>-0.35</v>
      </c>
    </row>
    <row r="1551">
      <c r="A1551" s="2" t="n">
        <v>1549</v>
      </c>
      <c r="B1551" s="2" t="inlineStr">
        <is>
          <t>铁矿石多 07-18</t>
        </is>
      </c>
      <c r="C1551" s="10" t="n">
        <v>2</v>
      </c>
      <c r="D1551" s="33" t="n">
        <v>0.45</v>
      </c>
    </row>
    <row r="1552">
      <c r="A1552" s="2" t="n">
        <v>1550</v>
      </c>
      <c r="B1552" s="2" t="inlineStr">
        <is>
          <t>玻璃多 07-17</t>
        </is>
      </c>
      <c r="C1552" s="10" t="n">
        <v>2</v>
      </c>
      <c r="D1552" s="33" t="n">
        <v>1.58</v>
      </c>
    </row>
    <row r="1553">
      <c r="A1553" s="2" t="n">
        <v>1551</v>
      </c>
      <c r="B1553" s="2" t="inlineStr">
        <is>
          <t>螺纹钢多 07-18</t>
        </is>
      </c>
      <c r="C1553" s="10" t="n">
        <v>3</v>
      </c>
      <c r="D1553" s="33" t="n">
        <v>1.33</v>
      </c>
    </row>
    <row r="1554">
      <c r="A1554" s="2" t="n">
        <v>1552</v>
      </c>
      <c r="B1554" s="2" t="inlineStr">
        <is>
          <t>PTA多 07-21</t>
        </is>
      </c>
      <c r="C1554" s="10" t="n">
        <v>2</v>
      </c>
      <c r="D1554" s="33" t="n">
        <v>0.07000000000000001</v>
      </c>
    </row>
    <row r="1555">
      <c r="A1555" s="2" t="n">
        <v>1553</v>
      </c>
      <c r="B1555" s="2" t="inlineStr">
        <is>
          <t>豆粕多 07-22</t>
        </is>
      </c>
      <c r="C1555" s="10" t="n">
        <v>2</v>
      </c>
      <c r="D1555" s="33" t="n">
        <v>-0.58</v>
      </c>
    </row>
    <row r="1556">
      <c r="A1556" s="2" t="n">
        <v>1554</v>
      </c>
      <c r="B1556" s="2" t="inlineStr">
        <is>
          <t>铁矿石多 07-24</t>
        </is>
      </c>
      <c r="C1556" s="10" t="n">
        <v>2</v>
      </c>
      <c r="D1556" s="33" t="n">
        <v>-0.12</v>
      </c>
    </row>
    <row r="1557">
      <c r="A1557" s="2" t="n">
        <v>1555</v>
      </c>
      <c r="B1557" s="2" t="inlineStr">
        <is>
          <t>热卷多 07-18</t>
        </is>
      </c>
      <c r="C1557" s="10" t="n">
        <v>3</v>
      </c>
      <c r="D1557" s="33" t="n">
        <v>0.64</v>
      </c>
    </row>
    <row r="1558">
      <c r="A1558" s="2" t="n">
        <v>1556</v>
      </c>
      <c r="B1558" s="2" t="inlineStr">
        <is>
          <t>沪锌空 07-25</t>
        </is>
      </c>
      <c r="C1558" s="10" t="n">
        <v>2</v>
      </c>
      <c r="D1558" s="33" t="n">
        <v>0.26</v>
      </c>
    </row>
    <row r="1559">
      <c r="A1559" s="2" t="n">
        <v>1557</v>
      </c>
      <c r="B1559" s="2" t="inlineStr">
        <is>
          <t>PVC多 06-27</t>
        </is>
      </c>
      <c r="C1559" s="10" t="n">
        <v>3</v>
      </c>
      <c r="D1559" s="33" t="n">
        <v>0.7</v>
      </c>
    </row>
    <row r="1560">
      <c r="A1560" s="2" t="n">
        <v>1558</v>
      </c>
      <c r="B1560" s="2" t="inlineStr">
        <is>
          <t>沪镍多 07-25</t>
        </is>
      </c>
      <c r="C1560" s="10" t="n">
        <v>2</v>
      </c>
      <c r="D1560" s="33" t="n">
        <v>-0.44</v>
      </c>
    </row>
    <row r="1561">
      <c r="A1561" s="2" t="n">
        <v>1559</v>
      </c>
      <c r="B1561" s="2" t="inlineStr">
        <is>
          <t>棉花空 07-31</t>
        </is>
      </c>
      <c r="C1561" s="10" t="n">
        <v>3</v>
      </c>
      <c r="D1561" s="33" t="n">
        <v>0.16</v>
      </c>
    </row>
    <row r="1562">
      <c r="A1562" s="2" t="n">
        <v>1560</v>
      </c>
      <c r="B1562" s="2" t="inlineStr">
        <is>
          <t>沪铝多 07-21</t>
        </is>
      </c>
      <c r="C1562" s="10" t="n">
        <v>3</v>
      </c>
      <c r="D1562" s="33" t="n">
        <v>-0.71</v>
      </c>
    </row>
    <row r="1563">
      <c r="A1563" s="2" t="n">
        <v>1561</v>
      </c>
      <c r="B1563" s="2" t="inlineStr">
        <is>
          <t>聚丙烯多 07-25</t>
        </is>
      </c>
      <c r="C1563" s="10" t="n">
        <v>2</v>
      </c>
      <c r="D1563" s="33" t="n">
        <v>-0.92</v>
      </c>
    </row>
    <row r="1564">
      <c r="A1564" s="2" t="n">
        <v>1562</v>
      </c>
      <c r="B1564" s="2" t="inlineStr">
        <is>
          <t>玻璃空 08-04</t>
        </is>
      </c>
      <c r="C1564" s="10" t="n">
        <v>2</v>
      </c>
      <c r="D1564" s="33" t="n">
        <v>0.02</v>
      </c>
    </row>
    <row r="1565">
      <c r="A1565" s="2" t="n">
        <v>1563</v>
      </c>
      <c r="B1565" s="2" t="inlineStr">
        <is>
          <t>鸡蛋空 08-04</t>
        </is>
      </c>
      <c r="C1565" s="10" t="n">
        <v>2</v>
      </c>
      <c r="D1565" s="33" t="n">
        <v>0.17</v>
      </c>
    </row>
    <row r="1566">
      <c r="A1566" s="2" t="n">
        <v>1564</v>
      </c>
      <c r="B1566" s="2" t="inlineStr">
        <is>
          <t>PTA空 08-05</t>
        </is>
      </c>
      <c r="C1566" s="10" t="n">
        <v>2</v>
      </c>
      <c r="D1566" s="33" t="n">
        <v>-0.04</v>
      </c>
    </row>
    <row r="1567">
      <c r="A1567" s="2" t="n">
        <v>1565</v>
      </c>
      <c r="B1567" s="2" t="inlineStr">
        <is>
          <t>螺纹钢多 08-06</t>
        </is>
      </c>
      <c r="C1567" s="10" t="n">
        <v>2</v>
      </c>
      <c r="D1567" s="33" t="n">
        <v>-0.08</v>
      </c>
    </row>
    <row r="1568">
      <c r="A1568" s="2" t="n">
        <v>1566</v>
      </c>
      <c r="B1568" s="2" t="inlineStr">
        <is>
          <t>沪镍多 08-07</t>
        </is>
      </c>
      <c r="C1568" s="10" t="n">
        <v>2</v>
      </c>
      <c r="D1568" s="33" t="n">
        <v>0.07000000000000001</v>
      </c>
    </row>
    <row r="1569">
      <c r="A1569" s="2" t="n">
        <v>1567</v>
      </c>
      <c r="B1569" s="2" t="inlineStr">
        <is>
          <t>豆油多 07-18</t>
        </is>
      </c>
      <c r="C1569" s="10" t="n">
        <v>3</v>
      </c>
      <c r="D1569" s="33" t="n">
        <v>1.49</v>
      </c>
    </row>
    <row r="1570">
      <c r="A1570" s="2" t="n">
        <v>1568</v>
      </c>
      <c r="B1570" s="2" t="inlineStr">
        <is>
          <t>豆粕多 08-01</t>
        </is>
      </c>
      <c r="C1570" s="10" t="n">
        <v>2</v>
      </c>
      <c r="D1570" s="33" t="n">
        <v>0.46</v>
      </c>
    </row>
    <row r="1571">
      <c r="A1571" s="2" t="n">
        <v>1569</v>
      </c>
      <c r="B1571" s="2" t="inlineStr">
        <is>
          <t>玻璃空 08-08</t>
        </is>
      </c>
      <c r="C1571" s="10" t="n">
        <v>2</v>
      </c>
      <c r="D1571" s="33" t="n">
        <v>-0.06</v>
      </c>
    </row>
    <row r="1572">
      <c r="A1572" s="2" t="n">
        <v>1570</v>
      </c>
      <c r="B1572" s="2" t="inlineStr">
        <is>
          <t>棉花空 08-04</t>
        </is>
      </c>
      <c r="C1572" s="10" t="n">
        <v>2</v>
      </c>
      <c r="D1572" s="33" t="n">
        <v>-0.63</v>
      </c>
    </row>
    <row r="1573">
      <c r="A1573" s="2" t="n">
        <v>1571</v>
      </c>
      <c r="B1573" s="2" t="inlineStr">
        <is>
          <t>鸡蛋空 08-11</t>
        </is>
      </c>
      <c r="C1573" s="10" t="n">
        <v>3</v>
      </c>
      <c r="D1573" s="33" t="n">
        <v>-0.02</v>
      </c>
    </row>
    <row r="1574">
      <c r="A1574" s="2" t="n">
        <v>1572</v>
      </c>
      <c r="B1574" s="2" t="inlineStr">
        <is>
          <t>焦煤多 08-12</t>
        </is>
      </c>
      <c r="C1574" s="10" t="n">
        <v>3</v>
      </c>
      <c r="D1574" s="33" t="n">
        <v>-0.14</v>
      </c>
    </row>
    <row r="1575">
      <c r="A1575" s="2" t="n">
        <v>1573</v>
      </c>
      <c r="B1575" s="2" t="inlineStr">
        <is>
          <t>菜粕多 08-12</t>
        </is>
      </c>
      <c r="C1575" s="10" t="n">
        <v>2</v>
      </c>
      <c r="D1575" s="33" t="n">
        <v>0</v>
      </c>
    </row>
    <row r="1576">
      <c r="A1576" s="2" t="n">
        <v>1574</v>
      </c>
      <c r="B1576" s="2" t="inlineStr">
        <is>
          <t>塑料空 07-31</t>
        </is>
      </c>
      <c r="C1576" s="10" t="n">
        <v>2</v>
      </c>
      <c r="D1576" s="33" t="n">
        <v>0.21</v>
      </c>
    </row>
    <row r="1577">
      <c r="A1577" s="2" t="n">
        <v>1575</v>
      </c>
      <c r="B1577" s="2" t="inlineStr">
        <is>
          <t>苯乙烯空 08-08</t>
        </is>
      </c>
      <c r="C1577" s="10" t="n">
        <v>3</v>
      </c>
      <c r="D1577" s="33" t="n">
        <v>0.05</v>
      </c>
    </row>
    <row r="1578">
      <c r="A1578" s="2" t="n">
        <v>1576</v>
      </c>
      <c r="B1578" s="2" t="inlineStr">
        <is>
          <t>玻璃空 08-13</t>
        </is>
      </c>
      <c r="C1578" s="10" t="n">
        <v>3</v>
      </c>
      <c r="D1578" s="33" t="n">
        <v>-0.03</v>
      </c>
    </row>
    <row r="1579">
      <c r="A1579" s="2" t="n">
        <v>1577</v>
      </c>
      <c r="B1579" s="2" t="inlineStr">
        <is>
          <t>燃料油空 08-13</t>
        </is>
      </c>
      <c r="C1579" s="10" t="n">
        <v>3</v>
      </c>
      <c r="D1579" s="33" t="n">
        <v>0.26</v>
      </c>
    </row>
    <row r="1580">
      <c r="A1580" s="2" t="n">
        <v>1578</v>
      </c>
      <c r="B1580" s="2" t="inlineStr">
        <is>
          <t>沪铝空 08-14</t>
        </is>
      </c>
      <c r="C1580" s="10" t="n">
        <v>3</v>
      </c>
      <c r="D1580" s="33" t="n">
        <v>0.19</v>
      </c>
    </row>
    <row r="1581">
      <c r="A1581" s="2" t="n">
        <v>1579</v>
      </c>
      <c r="B1581" s="2" t="inlineStr">
        <is>
          <t>硅铁多 08-06</t>
        </is>
      </c>
      <c r="C1581" s="10" t="n">
        <v>2</v>
      </c>
      <c r="D1581" s="33" t="n">
        <v>-0.41</v>
      </c>
    </row>
    <row r="1582">
      <c r="A1582" s="2" t="n">
        <v>1580</v>
      </c>
      <c r="B1582" s="2" t="inlineStr">
        <is>
          <t>豆油多 08-14</t>
        </is>
      </c>
      <c r="C1582" s="10" t="n">
        <v>2</v>
      </c>
      <c r="D1582" s="33" t="n">
        <v>0.05</v>
      </c>
    </row>
    <row r="1583">
      <c r="A1583" s="2" t="n">
        <v>1581</v>
      </c>
      <c r="B1583" s="2" t="inlineStr">
        <is>
          <t>玉米空 07-29</t>
        </is>
      </c>
      <c r="C1583" s="10" t="n">
        <v>3</v>
      </c>
      <c r="D1583" s="33" t="n">
        <v>1.16</v>
      </c>
    </row>
    <row r="1584">
      <c r="A1584" s="2" t="n">
        <v>1582</v>
      </c>
      <c r="B1584" s="2" t="inlineStr">
        <is>
          <t>锰硅空 07-31</t>
        </is>
      </c>
      <c r="C1584" s="10" t="n">
        <v>2</v>
      </c>
      <c r="D1584" s="33" t="n">
        <v>0.35</v>
      </c>
    </row>
    <row r="1585">
      <c r="A1585" s="2" t="n">
        <v>1583</v>
      </c>
      <c r="B1585" s="2" t="inlineStr">
        <is>
          <t>铁矿石多 08-12</t>
        </is>
      </c>
      <c r="C1585" s="10" t="n">
        <v>2</v>
      </c>
      <c r="D1585" s="33" t="n">
        <v>-0.77</v>
      </c>
    </row>
    <row r="1586">
      <c r="A1586" s="2" t="n">
        <v>1584</v>
      </c>
      <c r="B1586" s="2" t="inlineStr">
        <is>
          <t>沪镍多 08-13</t>
        </is>
      </c>
      <c r="C1586" s="10" t="n">
        <v>2</v>
      </c>
      <c r="D1586" s="33" t="n">
        <v>-0.5600000000000001</v>
      </c>
    </row>
    <row r="1587">
      <c r="A1587" s="2" t="n">
        <v>1585</v>
      </c>
      <c r="B1587" s="2" t="inlineStr">
        <is>
          <t>棕榈油多 08-15</t>
        </is>
      </c>
      <c r="C1587" s="10" t="n">
        <v>2</v>
      </c>
      <c r="D1587" s="33" t="n">
        <v>0.03</v>
      </c>
    </row>
    <row r="1588">
      <c r="A1588" s="2" t="n">
        <v>1586</v>
      </c>
      <c r="B1588" s="2" t="inlineStr">
        <is>
          <t>沪铝空 08-19</t>
        </is>
      </c>
      <c r="C1588" s="10" t="n">
        <v>2</v>
      </c>
      <c r="D1588" s="33" t="n">
        <v>0.01</v>
      </c>
    </row>
    <row r="1589">
      <c r="A1589" s="2" t="n">
        <v>1587</v>
      </c>
      <c r="B1589" s="2" t="inlineStr">
        <is>
          <t>PVC空 08-19</t>
        </is>
      </c>
      <c r="C1589" s="10" t="n">
        <v>3</v>
      </c>
      <c r="D1589" s="33" t="n">
        <v>-0.01</v>
      </c>
    </row>
    <row r="1590">
      <c r="A1590" s="2" t="n">
        <v>1588</v>
      </c>
      <c r="B1590" s="2" t="inlineStr">
        <is>
          <t>硅铁空 08-20</t>
        </is>
      </c>
      <c r="C1590" s="10" t="n">
        <v>2</v>
      </c>
      <c r="D1590" s="33" t="n">
        <v>-0.02</v>
      </c>
    </row>
    <row r="1591">
      <c r="A1591" s="2" t="n">
        <v>1589</v>
      </c>
      <c r="B1591" s="2" t="inlineStr">
        <is>
          <t>热卷多 08-05</t>
        </is>
      </c>
      <c r="C1591" s="10" t="n">
        <v>3</v>
      </c>
      <c r="D1591" s="33" t="n">
        <v>-0.38</v>
      </c>
    </row>
    <row r="1592">
      <c r="A1592" s="2" t="n">
        <v>1590</v>
      </c>
      <c r="B1592" s="2" t="inlineStr">
        <is>
          <t>鸡蛋空 08-14</t>
        </is>
      </c>
      <c r="C1592" s="10" t="n">
        <v>3</v>
      </c>
      <c r="D1592" s="33" t="n">
        <v>1.04</v>
      </c>
    </row>
    <row r="1593">
      <c r="A1593" s="2" t="n">
        <v>1591</v>
      </c>
      <c r="B1593" s="2" t="inlineStr">
        <is>
          <t>棉花空 08-20</t>
        </is>
      </c>
      <c r="C1593" s="10" t="n">
        <v>3</v>
      </c>
      <c r="D1593" s="33" t="n">
        <v>-0.12</v>
      </c>
    </row>
    <row r="1594">
      <c r="A1594" s="2" t="n">
        <v>1592</v>
      </c>
      <c r="B1594" s="2" t="inlineStr">
        <is>
          <t>锰硅空 08-22</t>
        </is>
      </c>
      <c r="C1594" s="10" t="n">
        <v>2</v>
      </c>
      <c r="D1594" s="33" t="n">
        <v>0.07000000000000001</v>
      </c>
    </row>
    <row r="1595">
      <c r="A1595" s="2" t="n">
        <v>1593</v>
      </c>
      <c r="B1595" s="2" t="inlineStr">
        <is>
          <t>豆粕多 08-19</t>
        </is>
      </c>
      <c r="C1595" s="10" t="n">
        <v>3</v>
      </c>
      <c r="D1595" s="33" t="n">
        <v>-0.84</v>
      </c>
    </row>
    <row r="1596">
      <c r="A1596" s="2" t="n">
        <v>1594</v>
      </c>
      <c r="B1596" s="2" t="inlineStr">
        <is>
          <t>沪镍空 08-20</t>
        </is>
      </c>
      <c r="C1596" s="10" t="n">
        <v>3</v>
      </c>
      <c r="D1596" s="33" t="n">
        <v>-0.26</v>
      </c>
    </row>
    <row r="1597">
      <c r="A1597" s="2" t="n">
        <v>1595</v>
      </c>
      <c r="B1597" s="2" t="inlineStr">
        <is>
          <t>聚丙烯空 08-22</t>
        </is>
      </c>
      <c r="C1597" s="10" t="n">
        <v>3</v>
      </c>
      <c r="D1597" s="33" t="n">
        <v>0.11</v>
      </c>
    </row>
    <row r="1598">
      <c r="A1598" s="2" t="n">
        <v>1596</v>
      </c>
      <c r="B1598" s="2" t="inlineStr">
        <is>
          <t>锰硅空 08-27</t>
        </is>
      </c>
      <c r="C1598" s="10" t="n">
        <v>3</v>
      </c>
      <c r="D1598" s="33" t="n">
        <v>-0.07000000000000001</v>
      </c>
    </row>
    <row r="1599">
      <c r="A1599" s="2" t="n">
        <v>1597</v>
      </c>
      <c r="B1599" s="2" t="inlineStr">
        <is>
          <t>棉花多 08-26</t>
        </is>
      </c>
      <c r="C1599" s="10" t="n">
        <v>3</v>
      </c>
      <c r="D1599" s="33" t="n">
        <v>-0.35</v>
      </c>
    </row>
    <row r="1600">
      <c r="A1600" s="2" t="n">
        <v>1598</v>
      </c>
      <c r="B1600" s="2" t="inlineStr">
        <is>
          <t>硅铁空 08-27</t>
        </is>
      </c>
      <c r="C1600" s="10" t="n">
        <v>2</v>
      </c>
      <c r="D1600" s="33" t="n">
        <v>0.29</v>
      </c>
    </row>
    <row r="1601">
      <c r="A1601" s="2" t="n">
        <v>1599</v>
      </c>
      <c r="B1601" s="2" t="inlineStr">
        <is>
          <t>鸡蛋空 08-28</t>
        </is>
      </c>
      <c r="C1601" s="10" t="n">
        <v>3</v>
      </c>
      <c r="D1601" s="33" t="n">
        <v>0.05</v>
      </c>
    </row>
    <row r="1602">
      <c r="A1602" s="2" t="n">
        <v>1600</v>
      </c>
      <c r="B1602" s="2" t="inlineStr">
        <is>
          <t>甲醇空 08-28</t>
        </is>
      </c>
      <c r="C1602" s="10" t="n">
        <v>3</v>
      </c>
      <c r="D1602" s="33" t="n">
        <v>-0.12</v>
      </c>
    </row>
    <row r="1603">
      <c r="A1603" s="2" t="n">
        <v>1601</v>
      </c>
      <c r="B1603" s="2" t="inlineStr">
        <is>
          <t>热卷空 08-29</t>
        </is>
      </c>
      <c r="C1603" s="10" t="n">
        <v>3</v>
      </c>
      <c r="D1603" s="33" t="n">
        <v>0.34</v>
      </c>
    </row>
    <row r="1604">
      <c r="A1604" s="2" t="n">
        <v>1602</v>
      </c>
      <c r="B1604" s="2" t="inlineStr">
        <is>
          <t>PVC空 09-01</t>
        </is>
      </c>
      <c r="C1604" s="10" t="n">
        <v>2</v>
      </c>
      <c r="D1604" s="33" t="n">
        <v>-0.03</v>
      </c>
    </row>
    <row r="1605">
      <c r="A1605" s="2" t="n">
        <v>1603</v>
      </c>
      <c r="B1605" s="2" t="inlineStr">
        <is>
          <t>螺纹钢空 08-27</t>
        </is>
      </c>
      <c r="C1605" s="10" t="n">
        <v>3</v>
      </c>
      <c r="D1605" s="33" t="n">
        <v>0.5600000000000001</v>
      </c>
    </row>
    <row r="1606">
      <c r="A1606" s="2" t="n">
        <v>1604</v>
      </c>
      <c r="B1606" s="2" t="inlineStr">
        <is>
          <t>苯乙烯空 08-29</t>
        </is>
      </c>
      <c r="C1606" s="10" t="n">
        <v>3</v>
      </c>
      <c r="D1606" s="33" t="n">
        <v>0.15</v>
      </c>
    </row>
    <row r="1607">
      <c r="A1607" s="2" t="n">
        <v>1605</v>
      </c>
      <c r="B1607" s="2" t="inlineStr">
        <is>
          <t>甲醇空 09-02</t>
        </is>
      </c>
      <c r="C1607" s="10" t="n">
        <v>2</v>
      </c>
      <c r="D1607" s="33" t="n">
        <v>-0.08</v>
      </c>
    </row>
    <row r="1608">
      <c r="A1608" s="2" t="n">
        <v>1606</v>
      </c>
      <c r="B1608" s="2" t="inlineStr">
        <is>
          <t>聚丙烯空 09-01</t>
        </is>
      </c>
      <c r="C1608" s="10" t="n">
        <v>3</v>
      </c>
      <c r="D1608" s="33" t="n">
        <v>0.04</v>
      </c>
    </row>
    <row r="1609">
      <c r="A1609" s="2" t="n">
        <v>1607</v>
      </c>
      <c r="B1609" s="2" t="inlineStr">
        <is>
          <t>锰硅空 09-01</t>
        </is>
      </c>
      <c r="C1609" s="10" t="n">
        <v>3</v>
      </c>
      <c r="D1609" s="33" t="n">
        <v>-0.31</v>
      </c>
    </row>
    <row r="1610">
      <c r="A1610" s="2" t="n">
        <v>1608</v>
      </c>
      <c r="B1610" s="2" t="inlineStr">
        <is>
          <t>苯乙烯空 09-04</t>
        </is>
      </c>
      <c r="C1610" s="10" t="n">
        <v>3</v>
      </c>
      <c r="D1610" s="33" t="n">
        <v>-0.38</v>
      </c>
    </row>
    <row r="1611">
      <c r="A1611" s="2" t="n">
        <v>1609</v>
      </c>
      <c r="B1611" s="2" t="inlineStr">
        <is>
          <t>碳酸锂空 09-03</t>
        </is>
      </c>
      <c r="C1611" s="10" t="n">
        <v>3</v>
      </c>
      <c r="D1611" s="33" t="n">
        <v>0.05</v>
      </c>
    </row>
    <row r="1612">
      <c r="A1612" s="2" t="n">
        <v>1610</v>
      </c>
      <c r="B1612" s="2" t="inlineStr">
        <is>
          <t>PVC空 09-03</t>
        </is>
      </c>
      <c r="C1612" s="10" t="n">
        <v>3</v>
      </c>
      <c r="D1612" s="33" t="n">
        <v>-0.07000000000000001</v>
      </c>
    </row>
    <row r="1613">
      <c r="A1613" s="2" t="n">
        <v>1611</v>
      </c>
      <c r="B1613" s="2" t="inlineStr">
        <is>
          <t>沪金多 09-05</t>
        </is>
      </c>
      <c r="C1613" s="10" t="n">
        <v>3</v>
      </c>
      <c r="D1613" s="33" t="n">
        <v>0.31</v>
      </c>
    </row>
    <row r="1614">
      <c r="A1614" s="2" t="n">
        <v>1612</v>
      </c>
      <c r="B1614" s="2" t="inlineStr">
        <is>
          <t>铁矿石多 09-10</t>
        </is>
      </c>
      <c r="C1614" s="10" t="n">
        <v>2</v>
      </c>
      <c r="D1614" s="33" t="n">
        <v>-0.18</v>
      </c>
    </row>
    <row r="1615">
      <c r="A1615" s="2" t="n">
        <v>1613</v>
      </c>
      <c r="B1615" s="2" t="inlineStr">
        <is>
          <t>焦煤空 09-09</t>
        </is>
      </c>
      <c r="C1615" s="10" t="n">
        <v>3</v>
      </c>
      <c r="D1615" s="33" t="n">
        <v>-0.17</v>
      </c>
    </row>
    <row r="1616">
      <c r="A1616" s="2" t="n">
        <v>1614</v>
      </c>
      <c r="B1616" s="2" t="inlineStr">
        <is>
          <t>沪锌多 09-10</t>
        </is>
      </c>
      <c r="C1616" s="10" t="n">
        <v>2</v>
      </c>
      <c r="D1616" s="33" t="n">
        <v>0.15</v>
      </c>
    </row>
    <row r="1617">
      <c r="A1617" s="2" t="n">
        <v>1615</v>
      </c>
      <c r="B1617" s="2" t="inlineStr">
        <is>
          <t>菜油多 09-11</t>
        </is>
      </c>
      <c r="C1617" s="10" t="n">
        <v>2</v>
      </c>
      <c r="D1617" s="33" t="n">
        <v>-0.07000000000000001</v>
      </c>
    </row>
    <row r="1618">
      <c r="A1618" s="2" t="n">
        <v>1616</v>
      </c>
      <c r="B1618" s="2" t="inlineStr">
        <is>
          <t>硅铁空 09-03</t>
        </is>
      </c>
      <c r="C1618" s="10" t="n">
        <v>3</v>
      </c>
      <c r="D1618" s="33" t="n">
        <v>-0.76</v>
      </c>
    </row>
    <row r="1619">
      <c r="A1619" s="2" t="n">
        <v>1617</v>
      </c>
      <c r="B1619" s="2" t="inlineStr">
        <is>
          <t>玉米多 09-08</t>
        </is>
      </c>
      <c r="C1619" s="10" t="n">
        <v>2</v>
      </c>
      <c r="D1619" s="33" t="n">
        <v>-0.87</v>
      </c>
    </row>
    <row r="1620">
      <c r="A1620" s="2" t="n">
        <v>1618</v>
      </c>
      <c r="B1620" s="2" t="inlineStr">
        <is>
          <t>沪铝多 09-11</t>
        </is>
      </c>
      <c r="C1620" s="10" t="n">
        <v>3</v>
      </c>
      <c r="D1620" s="33" t="n">
        <v>0.15</v>
      </c>
    </row>
    <row r="1621">
      <c r="A1621" s="2" t="n">
        <v>1619</v>
      </c>
      <c r="B1621" s="2" t="inlineStr">
        <is>
          <t>苯乙烯空 09-12</t>
        </is>
      </c>
      <c r="C1621" s="10" t="n">
        <v>3</v>
      </c>
      <c r="D1621" s="33" t="n">
        <v>-0.05</v>
      </c>
    </row>
    <row r="1622">
      <c r="A1622" s="2" t="n">
        <v>1620</v>
      </c>
      <c r="B1622" s="2" t="inlineStr">
        <is>
          <t>菜粕空 09-15</t>
        </is>
      </c>
      <c r="C1622" s="10" t="n">
        <v>3</v>
      </c>
      <c r="D1622" s="33" t="n">
        <v>-0.1</v>
      </c>
    </row>
    <row r="1623">
      <c r="A1623" s="2" t="n">
        <v>1621</v>
      </c>
      <c r="B1623" s="2" t="inlineStr">
        <is>
          <t>聚丙烯空 09-10</t>
        </is>
      </c>
      <c r="C1623" s="10" t="n">
        <v>3</v>
      </c>
      <c r="D1623" s="33" t="n">
        <v>-0.23</v>
      </c>
    </row>
    <row r="1624">
      <c r="A1624" s="2" t="n">
        <v>1622</v>
      </c>
      <c r="B1624" s="2" t="inlineStr">
        <is>
          <t>豆粕多 09-11</t>
        </is>
      </c>
      <c r="C1624" s="10" t="n">
        <v>2</v>
      </c>
      <c r="D1624" s="33" t="n">
        <v>-0.8100000000000001</v>
      </c>
    </row>
    <row r="1625">
      <c r="A1625" s="2" t="n">
        <v>1623</v>
      </c>
      <c r="B1625" s="2" t="inlineStr">
        <is>
          <t>铁矿石多 09-16</t>
        </is>
      </c>
      <c r="C1625" s="10" t="n">
        <v>2</v>
      </c>
      <c r="D1625" s="33" t="n">
        <v>0.01</v>
      </c>
    </row>
    <row r="1626">
      <c r="A1626" s="2" t="n">
        <v>1624</v>
      </c>
      <c r="B1626" s="2" t="inlineStr">
        <is>
          <t>玻璃空 09-11</t>
        </is>
      </c>
      <c r="C1626" s="10" t="n">
        <v>3</v>
      </c>
      <c r="D1626" s="33" t="n">
        <v>-0.21</v>
      </c>
    </row>
    <row r="1627">
      <c r="A1627" s="2" t="n">
        <v>1625</v>
      </c>
      <c r="B1627" s="2" t="inlineStr">
        <is>
          <t>工业硅多 09-17</t>
        </is>
      </c>
      <c r="C1627" s="10" t="n">
        <v>2</v>
      </c>
      <c r="D1627" s="33" t="n">
        <v>-0.01</v>
      </c>
    </row>
    <row r="1628">
      <c r="A1628" s="2" t="n">
        <v>1626</v>
      </c>
      <c r="B1628" s="2" t="inlineStr">
        <is>
          <t>螺纹钢空 09-11</t>
        </is>
      </c>
      <c r="C1628" s="10" t="n">
        <v>3</v>
      </c>
      <c r="D1628" s="33" t="n">
        <v>-0.83</v>
      </c>
    </row>
    <row r="1629">
      <c r="A1629" s="2" t="n">
        <v>1627</v>
      </c>
      <c r="B1629" s="2" t="inlineStr">
        <is>
          <t>沪银多 09-16</t>
        </is>
      </c>
      <c r="C1629" s="10" t="n">
        <v>3</v>
      </c>
      <c r="D1629" s="33" t="n">
        <v>0.25</v>
      </c>
    </row>
    <row r="1630">
      <c r="A1630" s="2" t="n">
        <v>1628</v>
      </c>
      <c r="B1630" s="2" t="inlineStr">
        <is>
          <t>PTA多 09-17</t>
        </is>
      </c>
      <c r="C1630" s="10" t="n">
        <v>2</v>
      </c>
      <c r="D1630" s="33" t="n">
        <v>-0.76</v>
      </c>
    </row>
    <row r="1631">
      <c r="A1631" s="2" t="n">
        <v>1629</v>
      </c>
      <c r="B1631" s="2" t="inlineStr">
        <is>
          <t>甲醇空 09-18</t>
        </is>
      </c>
      <c r="C1631" s="10" t="n">
        <v>3</v>
      </c>
      <c r="D1631" s="33" t="n">
        <v>0.02</v>
      </c>
    </row>
    <row r="1632">
      <c r="A1632" s="2" t="n">
        <v>1630</v>
      </c>
      <c r="B1632" s="2" t="inlineStr">
        <is>
          <t>聚丙烯空 09-19</t>
        </is>
      </c>
      <c r="C1632" s="10" t="n">
        <v>3</v>
      </c>
      <c r="D1632" s="33" t="n">
        <v>0.3</v>
      </c>
    </row>
    <row r="1633">
      <c r="A1633" s="2" t="n">
        <v>1631</v>
      </c>
      <c r="B1633" s="2" t="inlineStr">
        <is>
          <t>苯乙烯空 09-23</t>
        </is>
      </c>
      <c r="C1633" s="10" t="n">
        <v>3</v>
      </c>
      <c r="D1633" s="33" t="n">
        <v>-0.1</v>
      </c>
    </row>
    <row r="1634">
      <c r="A1634" s="2" t="n">
        <v>1632</v>
      </c>
      <c r="B1634" s="2" t="inlineStr">
        <is>
          <t>沥青多 09-17</t>
        </is>
      </c>
      <c r="C1634" s="10" t="n">
        <v>2</v>
      </c>
      <c r="D1634" s="33" t="n">
        <v>0.03</v>
      </c>
    </row>
    <row r="1635">
      <c r="A1635" s="2" t="n">
        <v>1633</v>
      </c>
      <c r="B1635" s="2" t="inlineStr">
        <is>
          <t>棉花空 09-22</t>
        </is>
      </c>
      <c r="C1635" s="10" t="n">
        <v>3</v>
      </c>
      <c r="D1635" s="33" t="n">
        <v>0.49</v>
      </c>
    </row>
    <row r="1636">
      <c r="A1636" s="2" t="n">
        <v>1634</v>
      </c>
      <c r="B1636" s="2" t="inlineStr">
        <is>
          <t>沪银多 09-24</t>
        </is>
      </c>
      <c r="C1636" s="10" t="n">
        <v>3</v>
      </c>
      <c r="D1636" s="33" t="n">
        <v>0.8</v>
      </c>
    </row>
    <row r="1637">
      <c r="A1637" s="2" t="n">
        <v>1635</v>
      </c>
      <c r="B1637" s="2" t="inlineStr">
        <is>
          <t>玉米空 09-15</t>
        </is>
      </c>
      <c r="C1637" s="10" t="n">
        <v>2</v>
      </c>
      <c r="D1637" s="33" t="n">
        <v>0.49</v>
      </c>
    </row>
    <row r="1638">
      <c r="A1638" s="2" t="n">
        <v>1636</v>
      </c>
      <c r="B1638" s="2" t="inlineStr">
        <is>
          <t>菜粕空 09-17</t>
        </is>
      </c>
      <c r="C1638" s="10" t="n">
        <v>3</v>
      </c>
      <c r="D1638" s="33" t="n">
        <v>0.2</v>
      </c>
    </row>
    <row r="1639">
      <c r="A1639" s="2" t="n">
        <v>1637</v>
      </c>
      <c r="B1639" s="2" t="inlineStr">
        <is>
          <t>白糖空 09-19</t>
        </is>
      </c>
      <c r="C1639" s="10" t="n">
        <v>2</v>
      </c>
      <c r="D1639" s="33" t="n">
        <v>-0.47</v>
      </c>
    </row>
    <row r="1640">
      <c r="A1640" s="2" t="n">
        <v>1638</v>
      </c>
      <c r="B1640" s="2" t="inlineStr">
        <is>
          <t>PVC多 09-19</t>
        </is>
      </c>
      <c r="C1640" s="10" t="n">
        <v>2</v>
      </c>
      <c r="D1640" s="33" t="n">
        <v>-0.79</v>
      </c>
    </row>
    <row r="1641">
      <c r="A1641" s="2" t="n">
        <v>1639</v>
      </c>
      <c r="B1641" s="2" t="inlineStr">
        <is>
          <t>棉花空 09-29</t>
        </is>
      </c>
      <c r="C1641" s="10" t="n">
        <v>3</v>
      </c>
      <c r="D1641" s="33" t="n">
        <v>0.09</v>
      </c>
    </row>
    <row r="1642">
      <c r="A1642" s="2" t="n">
        <v>1640</v>
      </c>
      <c r="B1642" s="2" t="inlineStr">
        <is>
          <t>沪银多 09-30</t>
        </is>
      </c>
      <c r="C1642" s="10" t="n">
        <v>2</v>
      </c>
      <c r="D1642" s="33" t="n">
        <v>-0.05</v>
      </c>
    </row>
    <row r="1643">
      <c r="A1643" s="2" t="n">
        <v>1641</v>
      </c>
      <c r="B1643" s="2" t="inlineStr">
        <is>
          <t>苯乙烯空 10-09</t>
        </is>
      </c>
      <c r="C1643" s="10" t="n">
        <v>3</v>
      </c>
      <c r="D1643" s="33" t="n">
        <v>0.22</v>
      </c>
    </row>
    <row r="1644">
      <c r="A1644" s="2" t="n">
        <v>1642</v>
      </c>
      <c r="B1644" s="2" t="inlineStr">
        <is>
          <t>鸡蛋空 10-09</t>
        </is>
      </c>
      <c r="C1644" s="10" t="n">
        <v>2</v>
      </c>
      <c r="D1644" s="33" t="n">
        <v>0.32</v>
      </c>
    </row>
    <row r="1645">
      <c r="A1645" s="2" t="n">
        <v>1643</v>
      </c>
      <c r="B1645" s="2" t="inlineStr">
        <is>
          <t>菜粕多 10-09</t>
        </is>
      </c>
      <c r="C1645" s="10" t="n">
        <v>2</v>
      </c>
      <c r="D1645" s="33" t="n">
        <v>-0.23</v>
      </c>
    </row>
    <row r="1646">
      <c r="A1646" s="2" t="n">
        <v>1644</v>
      </c>
      <c r="B1646" s="2" t="inlineStr">
        <is>
          <t>白糖多 10-09</t>
        </is>
      </c>
      <c r="C1646" s="10" t="n">
        <v>2</v>
      </c>
      <c r="D1646" s="33" t="n">
        <v>-0.86</v>
      </c>
    </row>
    <row r="1647">
      <c r="A1647" s="2" t="n">
        <v>1645</v>
      </c>
      <c r="B1647" s="2" t="inlineStr">
        <is>
          <t>沪银多 10-13</t>
        </is>
      </c>
      <c r="C1647" s="10" t="n">
        <v>3</v>
      </c>
      <c r="D1647" s="33" t="n">
        <v>-0.05</v>
      </c>
    </row>
    <row r="1648">
      <c r="A1648" s="2" t="n">
        <v>1646</v>
      </c>
      <c r="B1648" s="2" t="inlineStr">
        <is>
          <t>玻璃空 10-13</t>
        </is>
      </c>
      <c r="C1648" s="10" t="n">
        <v>3</v>
      </c>
      <c r="D1648" s="33" t="n">
        <v>0.41</v>
      </c>
    </row>
    <row r="1649">
      <c r="A1649" s="2" t="n">
        <v>1647</v>
      </c>
      <c r="B1649" s="2" t="inlineStr">
        <is>
          <t>沪银多 10-15</t>
        </is>
      </c>
      <c r="C1649" s="10" t="n">
        <v>3</v>
      </c>
      <c r="D1649" s="33" t="n">
        <v>0.04</v>
      </c>
    </row>
    <row r="1650">
      <c r="A1650" s="2" t="n">
        <v>1648</v>
      </c>
      <c r="B1650" s="2" t="inlineStr">
        <is>
          <t>聚丙烯空 10-15</t>
        </is>
      </c>
      <c r="C1650" s="10" t="n">
        <v>2</v>
      </c>
      <c r="D1650" s="33" t="n">
        <v>-0.1</v>
      </c>
    </row>
    <row r="1651">
      <c r="A1651" s="2" t="n">
        <v>1649</v>
      </c>
      <c r="B1651" s="2" t="inlineStr">
        <is>
          <t>碳酸锂空 09-11</t>
        </is>
      </c>
      <c r="C1651" s="10" t="n">
        <v>2</v>
      </c>
      <c r="D1651" s="33" t="n">
        <v>-0.51</v>
      </c>
    </row>
    <row r="1652">
      <c r="A1652" s="2" t="n">
        <v>1650</v>
      </c>
      <c r="B1652" s="2" t="inlineStr">
        <is>
          <t>塑料空 09-24</t>
        </is>
      </c>
      <c r="C1652" s="10" t="n">
        <v>3</v>
      </c>
      <c r="D1652" s="33" t="n">
        <v>1.92</v>
      </c>
    </row>
    <row r="1653">
      <c r="A1653" s="2" t="n">
        <v>1651</v>
      </c>
      <c r="B1653" s="2" t="inlineStr">
        <is>
          <t>硅铁空 10-14</t>
        </is>
      </c>
      <c r="C1653" s="10" t="n">
        <v>3</v>
      </c>
      <c r="D1653" s="33" t="n">
        <v>-0.26</v>
      </c>
    </row>
    <row r="1654">
      <c r="A1654" s="2" t="n">
        <v>1652</v>
      </c>
      <c r="B1654" s="2" t="inlineStr">
        <is>
          <t>苯乙烯空 10-15</t>
        </is>
      </c>
      <c r="C1654" s="10" t="n">
        <v>2</v>
      </c>
      <c r="D1654" s="33" t="n">
        <v>0.2</v>
      </c>
    </row>
    <row r="1655">
      <c r="A1655" s="2" t="n">
        <v>1653</v>
      </c>
      <c r="B1655" s="2" t="inlineStr">
        <is>
          <t>沪锌空 10-16</t>
        </is>
      </c>
      <c r="C1655" s="10" t="n">
        <v>3</v>
      </c>
      <c r="D1655" s="33" t="n">
        <v>0.09</v>
      </c>
    </row>
    <row r="1656">
      <c r="A1656" s="2" t="n">
        <v>1654</v>
      </c>
      <c r="B1656" s="2" t="inlineStr">
        <is>
          <t>焦煤空 09-23</t>
        </is>
      </c>
      <c r="C1656" s="10" t="n">
        <v>2</v>
      </c>
      <c r="D1656" s="33" t="n">
        <v>-0.05</v>
      </c>
    </row>
    <row r="1657">
      <c r="A1657" s="2" t="n">
        <v>1655</v>
      </c>
      <c r="B1657" s="2" t="inlineStr">
        <is>
          <t>玻璃空 10-17</t>
        </is>
      </c>
      <c r="C1657" s="10" t="n">
        <v>3</v>
      </c>
      <c r="D1657" s="33" t="n">
        <v>0.06</v>
      </c>
    </row>
    <row r="1658">
      <c r="A1658" s="2" t="n">
        <v>1656</v>
      </c>
      <c r="B1658" s="2" t="inlineStr">
        <is>
          <t>鸡蛋空 10-17</t>
        </is>
      </c>
      <c r="C1658" s="10" t="n">
        <v>3</v>
      </c>
      <c r="D1658" s="33" t="n">
        <v>-0.1</v>
      </c>
    </row>
    <row r="1659">
      <c r="A1659" s="2" t="n">
        <v>1657</v>
      </c>
      <c r="B1659" s="2" t="inlineStr">
        <is>
          <t>PTA空 10-17</t>
        </is>
      </c>
      <c r="C1659" s="10" t="n">
        <v>3</v>
      </c>
      <c r="D1659" s="33" t="n">
        <v>0.18</v>
      </c>
    </row>
    <row r="1660">
      <c r="A1660" s="2" t="n">
        <v>1658</v>
      </c>
      <c r="B1660" s="2" t="inlineStr">
        <is>
          <t>棉花空 10-14</t>
        </is>
      </c>
      <c r="C1660" s="10" t="n">
        <v>2</v>
      </c>
      <c r="D1660" s="33" t="n">
        <v>-0.72</v>
      </c>
    </row>
    <row r="1661">
      <c r="A1661" s="2" t="n">
        <v>1659</v>
      </c>
      <c r="B1661" s="2" t="inlineStr">
        <is>
          <t>螺纹钢空 10-20</t>
        </is>
      </c>
      <c r="C1661" s="10" t="n">
        <v>2</v>
      </c>
      <c r="D1661" s="33" t="n">
        <v>-0.02</v>
      </c>
    </row>
    <row r="1662">
      <c r="A1662" s="2" t="n">
        <v>1660</v>
      </c>
      <c r="B1662" s="2" t="inlineStr">
        <is>
          <t>玉米空 10-14</t>
        </is>
      </c>
      <c r="C1662" s="10" t="n">
        <v>3</v>
      </c>
      <c r="D1662" s="33" t="n">
        <v>-0.34</v>
      </c>
    </row>
    <row r="1663">
      <c r="A1663" s="2" t="n">
        <v>1661</v>
      </c>
      <c r="B1663" s="2" t="inlineStr">
        <is>
          <t>玻璃空 10-21</t>
        </is>
      </c>
      <c r="C1663" s="10" t="n">
        <v>3</v>
      </c>
      <c r="D1663" s="33" t="n">
        <v>-0.05</v>
      </c>
    </row>
    <row r="1664">
      <c r="A1664" s="2" t="n">
        <v>1662</v>
      </c>
      <c r="B1664" s="2" t="inlineStr">
        <is>
          <t>菜油空 10-23</t>
        </is>
      </c>
      <c r="C1664" s="10" t="n">
        <v>3</v>
      </c>
      <c r="D1664" s="33" t="n">
        <v>0.06</v>
      </c>
    </row>
    <row r="1665">
      <c r="A1665" s="2" t="n">
        <v>1663</v>
      </c>
      <c r="B1665" s="2" t="inlineStr">
        <is>
          <t>沪铝空 10-15</t>
        </is>
      </c>
      <c r="C1665" s="10" t="n">
        <v>2</v>
      </c>
      <c r="D1665" s="33" t="n">
        <v>-0.71</v>
      </c>
    </row>
    <row r="1666">
      <c r="A1666" s="2" t="n">
        <v>1664</v>
      </c>
      <c r="B1666" s="2" t="inlineStr">
        <is>
          <t>塑料空 10-20</t>
        </is>
      </c>
      <c r="C1666" s="10" t="n">
        <v>2</v>
      </c>
      <c r="D1666" s="33" t="n">
        <v>-0.8100000000000001</v>
      </c>
    </row>
    <row r="1667">
      <c r="A1667" s="2" t="n">
        <v>1665</v>
      </c>
      <c r="B1667" s="2" t="inlineStr">
        <is>
          <t>沪镍空 10-20</t>
        </is>
      </c>
      <c r="C1667" s="10" t="n">
        <v>3</v>
      </c>
      <c r="D1667" s="33" t="n">
        <v>0.09</v>
      </c>
    </row>
    <row r="1668">
      <c r="A1668" s="2" t="n">
        <v>1666</v>
      </c>
      <c r="B1668" s="2" t="inlineStr">
        <is>
          <t>锰硅多 09-25</t>
        </is>
      </c>
      <c r="C1668" s="10" t="n">
        <v>2</v>
      </c>
      <c r="D1668" s="33" t="n">
        <v>-0.17</v>
      </c>
    </row>
    <row r="1669">
      <c r="A1669" s="2" t="n">
        <v>1667</v>
      </c>
      <c r="B1669" s="2" t="inlineStr">
        <is>
          <t>豆油多 10-20</t>
        </is>
      </c>
      <c r="C1669" s="10" t="n">
        <v>2</v>
      </c>
      <c r="D1669" s="33" t="n">
        <v>-0.64</v>
      </c>
    </row>
    <row r="1670">
      <c r="A1670" s="2" t="n">
        <v>1668</v>
      </c>
      <c r="B1670" s="2" t="inlineStr">
        <is>
          <t>玉米空 10-27</t>
        </is>
      </c>
      <c r="C1670" s="10" t="n">
        <v>2</v>
      </c>
      <c r="D1670" s="33" t="n">
        <v>-0.06</v>
      </c>
    </row>
    <row r="1671">
      <c r="A1671" s="2" t="n">
        <v>1669</v>
      </c>
      <c r="B1671" s="2" t="inlineStr">
        <is>
          <t>苯乙烯空 10-27</t>
        </is>
      </c>
      <c r="C1671" s="10" t="n">
        <v>2</v>
      </c>
      <c r="D1671" s="33" t="n">
        <v>0.04</v>
      </c>
    </row>
    <row r="1672">
      <c r="A1672" s="2" t="n">
        <v>1670</v>
      </c>
      <c r="B1672" s="2" t="inlineStr">
        <is>
          <t>菜油空 10-27</t>
        </is>
      </c>
      <c r="C1672" s="10" t="n">
        <v>2</v>
      </c>
      <c r="D1672" s="33" t="n">
        <v>0.66</v>
      </c>
    </row>
    <row r="1673">
      <c r="A1673" s="2" t="n">
        <v>1671</v>
      </c>
      <c r="B1673" s="2" t="inlineStr">
        <is>
          <t>工业硅多 10-13</t>
        </is>
      </c>
      <c r="C1673" s="10" t="n">
        <v>2</v>
      </c>
      <c r="D1673" s="33" t="n">
        <v>0.07000000000000001</v>
      </c>
    </row>
    <row r="1674">
      <c r="A1674" s="2" t="n">
        <v>1672</v>
      </c>
      <c r="B1674" s="2" t="inlineStr">
        <is>
          <t>铁矿石空 10-21</t>
        </is>
      </c>
      <c r="C1674" s="10" t="n">
        <v>3</v>
      </c>
      <c r="D1674" s="33" t="n">
        <v>-0.6899999999999999</v>
      </c>
    </row>
    <row r="1675">
      <c r="A1675" s="2" t="n">
        <v>1673</v>
      </c>
      <c r="B1675" s="2" t="inlineStr">
        <is>
          <t>白糖多 10-23</t>
        </is>
      </c>
      <c r="C1675" s="10" t="n">
        <v>2</v>
      </c>
      <c r="D1675" s="33" t="n">
        <v>0.13</v>
      </c>
    </row>
    <row r="1676">
      <c r="A1676" s="2" t="n">
        <v>1674</v>
      </c>
      <c r="B1676" s="2" t="inlineStr">
        <is>
          <t>鸡蛋多 10-29</t>
        </is>
      </c>
      <c r="C1676" s="10" t="n">
        <v>2</v>
      </c>
      <c r="D1676" s="33" t="n">
        <v>0.02</v>
      </c>
    </row>
    <row r="1677">
      <c r="A1677" s="2" t="n">
        <v>1675</v>
      </c>
      <c r="B1677" s="2" t="inlineStr">
        <is>
          <t>纯碱空 10-20</t>
        </is>
      </c>
      <c r="C1677" s="10" t="n">
        <v>3</v>
      </c>
      <c r="D1677" s="33" t="n">
        <v>-0.08</v>
      </c>
    </row>
    <row r="1678">
      <c r="A1678" s="2" t="n">
        <v>1676</v>
      </c>
      <c r="B1678" s="2" t="inlineStr">
        <is>
          <t>玻璃空 10-24</t>
        </is>
      </c>
      <c r="C1678" s="10" t="n">
        <v>3</v>
      </c>
      <c r="D1678" s="33" t="n">
        <v>0.07000000000000001</v>
      </c>
    </row>
    <row r="1679">
      <c r="A1679" s="2" t="n">
        <v>1677</v>
      </c>
      <c r="B1679" s="2" t="inlineStr">
        <is>
          <t>沪银多 10-29</t>
        </is>
      </c>
      <c r="C1679" s="10" t="n">
        <v>3</v>
      </c>
      <c r="D1679" s="33" t="n">
        <v>0.01</v>
      </c>
    </row>
    <row r="1680">
      <c r="A1680" s="2" t="n">
        <v>1678</v>
      </c>
      <c r="B1680" s="2" t="inlineStr">
        <is>
          <t>沪铝多 10-29</t>
        </is>
      </c>
      <c r="C1680" s="10" t="n">
        <v>2</v>
      </c>
      <c r="D1680" s="33" t="n">
        <v>0.47</v>
      </c>
    </row>
    <row r="1681">
      <c r="A1681" s="2" t="n">
        <v>1679</v>
      </c>
      <c r="B1681" s="2" t="inlineStr">
        <is>
          <t>碳酸锂多 10-30</t>
        </is>
      </c>
      <c r="C1681" s="10" t="n">
        <v>3</v>
      </c>
      <c r="D1681" s="33" t="n">
        <v>-0.57</v>
      </c>
    </row>
    <row r="1682">
      <c r="A1682" s="2" t="n">
        <v>1680</v>
      </c>
      <c r="B1682" s="2" t="inlineStr">
        <is>
          <t>塑料空 10-31</t>
        </is>
      </c>
      <c r="C1682" s="10" t="n">
        <v>3</v>
      </c>
      <c r="D1682" s="33" t="n">
        <v>0.16</v>
      </c>
    </row>
    <row r="1683">
      <c r="A1683" s="2" t="n">
        <v>1681</v>
      </c>
      <c r="B1683" s="2" t="inlineStr">
        <is>
          <t>沪锌多 11-03</t>
        </is>
      </c>
      <c r="C1683" s="10" t="n">
        <v>3</v>
      </c>
      <c r="D1683" s="33" t="n">
        <v>0.06</v>
      </c>
    </row>
    <row r="1684">
      <c r="A1684" s="2" t="n">
        <v>1682</v>
      </c>
      <c r="B1684" s="2" t="inlineStr">
        <is>
          <t>热卷空 11-04</t>
        </is>
      </c>
      <c r="C1684" s="10" t="n">
        <v>3</v>
      </c>
      <c r="D1684" s="33" t="n">
        <v>0.11</v>
      </c>
    </row>
    <row r="1685">
      <c r="A1685" s="2" t="n">
        <v>1683</v>
      </c>
      <c r="B1685" s="2" t="inlineStr">
        <is>
          <t>铁矿石空 11-04</t>
        </is>
      </c>
      <c r="C1685" s="10" t="n">
        <v>2</v>
      </c>
      <c r="D1685" s="33" t="n">
        <v>-0.05</v>
      </c>
    </row>
    <row r="1686">
      <c r="A1686" s="2" t="n">
        <v>1684</v>
      </c>
      <c r="B1686" s="2" t="inlineStr">
        <is>
          <t>棕榈油空 11-05</t>
        </is>
      </c>
      <c r="C1686" s="10" t="n">
        <v>2</v>
      </c>
      <c r="D1686" s="33" t="n">
        <v>-0.3</v>
      </c>
    </row>
    <row r="1687">
      <c r="A1687" s="2" t="n">
        <v>1685</v>
      </c>
      <c r="B1687" s="2" t="inlineStr">
        <is>
          <t>玉米空 10-30</t>
        </is>
      </c>
      <c r="C1687" s="10" t="n">
        <v>2</v>
      </c>
      <c r="D1687" s="33" t="n">
        <v>-0.79</v>
      </c>
    </row>
    <row r="1688">
      <c r="A1688" s="2" t="n">
        <v>1686</v>
      </c>
      <c r="B1688" s="2" t="inlineStr">
        <is>
          <t>碳酸锂多 11-07</t>
        </is>
      </c>
      <c r="C1688" s="10" t="n">
        <v>3</v>
      </c>
      <c r="D1688" s="33" t="n">
        <v>0.46</v>
      </c>
    </row>
    <row r="1689">
      <c r="A1689" s="2" t="n">
        <v>1687</v>
      </c>
      <c r="B1689" s="2" t="inlineStr">
        <is>
          <t>鸡蛋多 11-03</t>
        </is>
      </c>
      <c r="C1689" s="10" t="n">
        <v>2</v>
      </c>
      <c r="D1689" s="33" t="n">
        <v>0.03</v>
      </c>
    </row>
    <row r="1690">
      <c r="A1690" s="2" t="n">
        <v>1688</v>
      </c>
      <c r="B1690" s="2" t="inlineStr">
        <is>
          <t>碳酸锂多 11-11</t>
        </is>
      </c>
      <c r="C1690" s="10" t="n">
        <v>3</v>
      </c>
      <c r="D1690" s="33" t="n">
        <v>-0.02</v>
      </c>
    </row>
    <row r="1691">
      <c r="A1691" s="2" t="n">
        <v>1689</v>
      </c>
      <c r="B1691" s="2" t="inlineStr">
        <is>
          <t>白糖空 11-06</t>
        </is>
      </c>
      <c r="C1691" s="10" t="n">
        <v>2</v>
      </c>
      <c r="D1691" s="33" t="n">
        <v>-0.11</v>
      </c>
    </row>
    <row r="1692">
      <c r="A1692" s="2" t="n">
        <v>1690</v>
      </c>
      <c r="B1692" s="2" t="inlineStr">
        <is>
          <t>豆粕多 10-31</t>
        </is>
      </c>
      <c r="C1692" s="10" t="n">
        <v>3</v>
      </c>
      <c r="D1692" s="33" t="n">
        <v>0.21</v>
      </c>
    </row>
    <row r="1693">
      <c r="A1693" s="2" t="n">
        <v>1691</v>
      </c>
      <c r="B1693" s="2" t="inlineStr">
        <is>
          <t>苯乙烯空 11-04</t>
        </is>
      </c>
      <c r="C1693" s="10" t="n">
        <v>3</v>
      </c>
      <c r="D1693" s="33" t="n">
        <v>-0.57</v>
      </c>
    </row>
    <row r="1694">
      <c r="A1694" s="2" t="n">
        <v>1692</v>
      </c>
      <c r="B1694" s="2" t="inlineStr">
        <is>
          <t>豆油空 11-04</t>
        </is>
      </c>
      <c r="C1694" s="10" t="n">
        <v>2</v>
      </c>
      <c r="D1694" s="33" t="n">
        <v>-0.5600000000000001</v>
      </c>
    </row>
    <row r="1695">
      <c r="A1695" s="2" t="n">
        <v>1693</v>
      </c>
      <c r="B1695" s="2" t="inlineStr">
        <is>
          <t>鸡蛋空 11-12</t>
        </is>
      </c>
      <c r="C1695" s="10" t="n">
        <v>2</v>
      </c>
      <c r="D1695" s="33" t="n">
        <v>0.43</v>
      </c>
    </row>
    <row r="1696">
      <c r="A1696" s="2" t="n">
        <v>1694</v>
      </c>
      <c r="B1696" s="2" t="inlineStr">
        <is>
          <t>PTA多 11-14</t>
        </is>
      </c>
      <c r="C1696" s="10" t="n">
        <v>2</v>
      </c>
      <c r="D1696" s="33" t="n">
        <v>-0.06</v>
      </c>
    </row>
    <row r="1697">
      <c r="A1697" s="2" t="n">
        <v>1695</v>
      </c>
      <c r="B1697" s="2" t="inlineStr">
        <is>
          <t>棉花多 10-21</t>
        </is>
      </c>
      <c r="C1697" s="10" t="n">
        <v>2</v>
      </c>
      <c r="D1697" s="33" t="n">
        <v>-0.35</v>
      </c>
    </row>
    <row r="1698">
      <c r="A1698" s="2" t="n">
        <v>1696</v>
      </c>
      <c r="B1698" s="2" t="inlineStr">
        <is>
          <t>沪镍空 11-06</t>
        </is>
      </c>
      <c r="C1698" s="10" t="n">
        <v>3</v>
      </c>
      <c r="D1698" s="33" t="n">
        <v>1.62</v>
      </c>
    </row>
    <row r="1699">
      <c r="A1699" s="2" t="n">
        <v>1697</v>
      </c>
      <c r="B1699" s="2" t="inlineStr">
        <is>
          <t>玻璃空 11-17</t>
        </is>
      </c>
      <c r="C1699" s="10" t="n">
        <v>2</v>
      </c>
      <c r="D1699" s="33" t="n">
        <v>0.17</v>
      </c>
    </row>
    <row r="1700">
      <c r="A1700" s="2" t="n">
        <v>1698</v>
      </c>
      <c r="B1700" s="2" t="inlineStr">
        <is>
          <t>甲醇空 11-17</t>
        </is>
      </c>
      <c r="C1700" s="10" t="n">
        <v>3</v>
      </c>
      <c r="D1700" s="33" t="n">
        <v>0.02</v>
      </c>
    </row>
    <row r="1701">
      <c r="A1701" s="2" t="n">
        <v>1699</v>
      </c>
      <c r="B1701" s="2" t="inlineStr">
        <is>
          <t>沪锌多 11-06</t>
        </is>
      </c>
      <c r="C1701" s="10" t="n">
        <v>2</v>
      </c>
      <c r="D1701" s="33" t="n">
        <v>-0.47</v>
      </c>
    </row>
    <row r="1702">
      <c r="A1702" s="2" t="n">
        <v>1700</v>
      </c>
      <c r="B1702" s="2" t="inlineStr">
        <is>
          <t>铁矿石空 11-10</t>
        </is>
      </c>
      <c r="C1702" s="10" t="n">
        <v>2</v>
      </c>
      <c r="D1702" s="33" t="n">
        <v>-0.62</v>
      </c>
    </row>
    <row r="1703">
      <c r="A1703" s="2" t="n">
        <v>1701</v>
      </c>
      <c r="B1703" s="2" t="inlineStr">
        <is>
          <t>玉米多 11-12</t>
        </is>
      </c>
      <c r="C1703" s="10" t="n">
        <v>3</v>
      </c>
      <c r="D1703" s="33" t="n">
        <v>-0.06</v>
      </c>
    </row>
    <row r="1704">
      <c r="A1704" s="2" t="n">
        <v>1702</v>
      </c>
      <c r="B1704" s="2" t="inlineStr">
        <is>
          <t>碳酸锂多 11-17</t>
        </is>
      </c>
      <c r="C1704" s="10" t="n">
        <v>3</v>
      </c>
      <c r="D1704" s="33" t="n">
        <v>0.21</v>
      </c>
    </row>
    <row r="1705">
      <c r="A1705" s="2" t="n">
        <v>1703</v>
      </c>
      <c r="B1705" s="2" t="inlineStr">
        <is>
          <t>白糖空 11-18</t>
        </is>
      </c>
      <c r="C1705" s="10" t="n">
        <v>2</v>
      </c>
      <c r="D1705" s="33" t="n">
        <v>0.23</v>
      </c>
    </row>
    <row r="1706">
      <c r="A1706" s="2" t="n">
        <v>1704</v>
      </c>
      <c r="B1706" s="2" t="inlineStr">
        <is>
          <t>豆油多 11-18</t>
        </is>
      </c>
      <c r="C1706" s="10" t="n">
        <v>3</v>
      </c>
      <c r="D1706" s="33" t="n">
        <v>0.01</v>
      </c>
    </row>
    <row r="1707">
      <c r="A1707" s="2" t="n">
        <v>1705</v>
      </c>
      <c r="B1707" s="2" t="inlineStr">
        <is>
          <t>燃料油空 11-19</t>
        </is>
      </c>
      <c r="C1707" s="10" t="n">
        <v>2</v>
      </c>
      <c r="D1707" s="33" t="n">
        <v>-0.1</v>
      </c>
    </row>
    <row r="1708">
      <c r="A1708" s="2" t="n">
        <v>1706</v>
      </c>
      <c r="B1708" s="2" t="inlineStr">
        <is>
          <t>沪镍空 11-19</t>
        </is>
      </c>
      <c r="C1708" s="10" t="n">
        <v>3</v>
      </c>
      <c r="D1708" s="33" t="n">
        <v>0.1</v>
      </c>
    </row>
    <row r="1709">
      <c r="A1709" s="2" t="n">
        <v>1707</v>
      </c>
      <c r="B1709" s="2" t="inlineStr">
        <is>
          <t>沪铝多 11-13</t>
        </is>
      </c>
      <c r="C1709" s="10" t="n">
        <v>3</v>
      </c>
      <c r="D1709" s="33" t="n">
        <v>-0.58</v>
      </c>
    </row>
    <row r="1710">
      <c r="A1710" s="2" t="n">
        <v>1708</v>
      </c>
      <c r="B1710" s="2" t="inlineStr">
        <is>
          <t>鸡蛋空 11-19</t>
        </is>
      </c>
      <c r="C1710" s="10" t="n">
        <v>2</v>
      </c>
      <c r="D1710" s="33" t="n">
        <v>-0.04</v>
      </c>
    </row>
    <row r="1711">
      <c r="A1711" s="2" t="n">
        <v>1709</v>
      </c>
      <c r="B1711" s="2" t="inlineStr">
        <is>
          <t>菜油空 11-20</t>
        </is>
      </c>
      <c r="C1711" s="10" t="n">
        <v>2</v>
      </c>
      <c r="D1711" s="33" t="n">
        <v>-0.06</v>
      </c>
    </row>
    <row r="1712">
      <c r="A1712" s="2" t="n">
        <v>1710</v>
      </c>
      <c r="B1712" s="2" t="inlineStr">
        <is>
          <t>PVC空 10-24</t>
        </is>
      </c>
      <c r="C1712" s="10" t="n">
        <v>3</v>
      </c>
      <c r="D1712" s="33" t="n">
        <v>1.24</v>
      </c>
    </row>
    <row r="1713">
      <c r="A1713" s="2" t="n">
        <v>1711</v>
      </c>
      <c r="B1713" s="2" t="inlineStr">
        <is>
          <t>热卷空 11-07</t>
        </is>
      </c>
      <c r="C1713" s="10" t="n">
        <v>3</v>
      </c>
      <c r="D1713" s="33" t="n">
        <v>-0.44</v>
      </c>
    </row>
    <row r="1714">
      <c r="A1714" s="2" t="n">
        <v>1712</v>
      </c>
      <c r="B1714" s="2" t="inlineStr">
        <is>
          <t>聚丙烯空 11-20</t>
        </is>
      </c>
      <c r="C1714" s="10" t="n">
        <v>3</v>
      </c>
      <c r="D1714" s="33" t="n">
        <v>0.51</v>
      </c>
    </row>
    <row r="1715">
      <c r="A1715" s="2" t="n">
        <v>1713</v>
      </c>
      <c r="B1715" s="2" t="inlineStr">
        <is>
          <t>燃料油空 11-24</t>
        </is>
      </c>
      <c r="C1715" s="10" t="n">
        <v>3</v>
      </c>
      <c r="D1715" s="33" t="n">
        <v>0.15</v>
      </c>
    </row>
    <row r="1716">
      <c r="A1716" s="2" t="n">
        <v>1714</v>
      </c>
      <c r="B1716" s="2" t="inlineStr">
        <is>
          <t>焦煤空 11-25</t>
        </is>
      </c>
      <c r="C1716" s="10" t="n">
        <v>3</v>
      </c>
      <c r="D1716" s="33" t="n">
        <v>0.04</v>
      </c>
    </row>
    <row r="1717">
      <c r="A1717" s="2" t="n">
        <v>1715</v>
      </c>
      <c r="B1717" s="2" t="inlineStr">
        <is>
          <t>聚丙烯空 11-26</t>
        </is>
      </c>
      <c r="C1717" s="10" t="n">
        <v>3</v>
      </c>
      <c r="D1717" s="33" t="n">
        <v>-0.18</v>
      </c>
    </row>
    <row r="1718">
      <c r="A1718" s="2" t="n">
        <v>1716</v>
      </c>
      <c r="B1718" s="2" t="inlineStr">
        <is>
          <t>燃料油空 11-26</t>
        </is>
      </c>
      <c r="C1718" s="10" t="n">
        <v>3</v>
      </c>
      <c r="D1718" s="33" t="n">
        <v>-0.28</v>
      </c>
    </row>
    <row r="1719">
      <c r="A1719" s="2" t="n">
        <v>1717</v>
      </c>
      <c r="B1719" s="2" t="inlineStr">
        <is>
          <t>焦煤空 11-27</t>
        </is>
      </c>
      <c r="C1719" s="10" t="n">
        <v>3</v>
      </c>
      <c r="D1719" s="33" t="n">
        <v>0.02</v>
      </c>
    </row>
    <row r="1720">
      <c r="A1720" s="2" t="n">
        <v>1718</v>
      </c>
      <c r="B1720" s="2" t="inlineStr">
        <is>
          <t>豆油多 11-27</t>
        </is>
      </c>
      <c r="C1720" s="10" t="n">
        <v>2</v>
      </c>
      <c r="D1720" s="33" t="n">
        <v>0.07000000000000001</v>
      </c>
    </row>
    <row r="1721">
      <c r="A1721" s="2" t="n">
        <v>1719</v>
      </c>
      <c r="B1721" s="2" t="inlineStr">
        <is>
          <t>沪银多 11-28</t>
        </is>
      </c>
      <c r="C1721" s="10" t="n">
        <v>3</v>
      </c>
      <c r="D1721" s="33" t="n">
        <v>0.28</v>
      </c>
    </row>
    <row r="1722">
      <c r="A1722" s="2" t="n">
        <v>1720</v>
      </c>
      <c r="B1722" s="2" t="inlineStr">
        <is>
          <t>玉米多 11-21</t>
        </is>
      </c>
      <c r="C1722" s="10" t="n">
        <v>3</v>
      </c>
      <c r="D1722" s="33" t="n">
        <v>0.86</v>
      </c>
    </row>
    <row r="1723">
      <c r="A1723" s="2" t="n">
        <v>1721</v>
      </c>
      <c r="B1723" s="2" t="inlineStr">
        <is>
          <t>棕榈油空 11-25</t>
        </is>
      </c>
      <c r="C1723" s="10" t="n">
        <v>3</v>
      </c>
      <c r="D1723" s="33" t="n">
        <v>-0.79</v>
      </c>
    </row>
    <row r="1724">
      <c r="A1724" s="2" t="n">
        <v>1722</v>
      </c>
      <c r="B1724" s="2" t="inlineStr">
        <is>
          <t>螺纹钢多 12-01</t>
        </is>
      </c>
      <c r="C1724" s="10" t="n">
        <v>3</v>
      </c>
      <c r="D1724" s="33" t="n">
        <v>0.02</v>
      </c>
    </row>
    <row r="1725">
      <c r="A1725" s="2" t="n">
        <v>1723</v>
      </c>
      <c r="B1725" s="2" t="inlineStr">
        <is>
          <t>棉花多 12-02</t>
        </is>
      </c>
      <c r="C1725" s="10" t="n">
        <v>3</v>
      </c>
      <c r="D1725" s="33" t="n">
        <v>0</v>
      </c>
    </row>
    <row r="1726">
      <c r="A1726" s="2" t="n">
        <v>1724</v>
      </c>
      <c r="B1726" s="2" t="inlineStr">
        <is>
          <t>玻璃空 12-02</t>
        </is>
      </c>
      <c r="C1726" s="10" t="n">
        <v>2</v>
      </c>
      <c r="D1726" s="33" t="n">
        <v>0.17</v>
      </c>
    </row>
    <row r="1727">
      <c r="A1727" s="2" t="n">
        <v>1725</v>
      </c>
      <c r="B1727" s="2" t="inlineStr">
        <is>
          <t>焦煤空 12-03</t>
        </is>
      </c>
      <c r="C1727" s="10" t="n">
        <v>3</v>
      </c>
      <c r="D1727" s="33" t="n">
        <v>-0.13</v>
      </c>
    </row>
    <row r="1728">
      <c r="A1728" s="2" t="n">
        <v>1726</v>
      </c>
      <c r="B1728" s="2" t="inlineStr">
        <is>
          <t>白糖空 11-21</t>
        </is>
      </c>
      <c r="C1728" s="10" t="n">
        <v>2</v>
      </c>
      <c r="D1728" s="33" t="n">
        <v>0.46</v>
      </c>
    </row>
    <row r="1729">
      <c r="A1729" s="2" t="n">
        <v>1727</v>
      </c>
      <c r="B1729" s="2" t="inlineStr">
        <is>
          <t>沪铝多 12-01</t>
        </is>
      </c>
      <c r="C1729" s="10" t="n">
        <v>3</v>
      </c>
      <c r="D1729" s="33" t="n">
        <v>0.63</v>
      </c>
    </row>
    <row r="1730">
      <c r="A1730" s="2" t="n">
        <v>1728</v>
      </c>
      <c r="B1730" s="2" t="inlineStr">
        <is>
          <t>螺纹钢多 12-03</t>
        </is>
      </c>
      <c r="C1730" s="10" t="n">
        <v>2</v>
      </c>
      <c r="D1730" s="33" t="n">
        <v>-0.14</v>
      </c>
    </row>
    <row r="1731">
      <c r="A1731" s="2" t="n">
        <v>1729</v>
      </c>
      <c r="B1731" s="2" t="inlineStr">
        <is>
          <t>焦煤空 12-05</t>
        </is>
      </c>
      <c r="C1731" s="10" t="n">
        <v>3</v>
      </c>
      <c r="D1731" s="33" t="n">
        <v>0.35</v>
      </c>
    </row>
    <row r="1732">
      <c r="A1732" s="2" t="n">
        <v>1730</v>
      </c>
      <c r="B1732" s="2" t="inlineStr">
        <is>
          <t>氧化铝空 12-01</t>
        </is>
      </c>
      <c r="C1732" s="10" t="n">
        <v>3</v>
      </c>
      <c r="D1732" s="33" t="n">
        <v>1.13</v>
      </c>
    </row>
    <row r="1733">
      <c r="A1733" s="2" t="n">
        <v>1731</v>
      </c>
      <c r="B1733" s="2" t="inlineStr">
        <is>
          <t>铁矿石多 12-02</t>
        </is>
      </c>
      <c r="C1733" s="10" t="n">
        <v>2</v>
      </c>
      <c r="D1733" s="33" t="n">
        <v>-0.43</v>
      </c>
    </row>
    <row r="1734">
      <c r="A1734" s="2" t="n">
        <v>1732</v>
      </c>
      <c r="B1734" s="2" t="inlineStr">
        <is>
          <t>玉米多 12-04</t>
        </is>
      </c>
      <c r="C1734" s="10" t="n">
        <v>3</v>
      </c>
      <c r="D1734" s="33" t="n">
        <v>-0.76</v>
      </c>
    </row>
    <row r="1735">
      <c r="A1735" s="2" t="n">
        <v>1733</v>
      </c>
      <c r="B1735" s="2" t="inlineStr">
        <is>
          <t>沪银多 12-08</t>
        </is>
      </c>
      <c r="C1735" s="10" t="n">
        <v>3</v>
      </c>
      <c r="D1735" s="33" t="n">
        <v>-0.06</v>
      </c>
    </row>
    <row r="1736">
      <c r="A1736" s="2" t="n">
        <v>1734</v>
      </c>
      <c r="B1736" s="2" t="inlineStr">
        <is>
          <t>玻璃空 12-08</t>
        </is>
      </c>
      <c r="C1736" s="10" t="n">
        <v>2</v>
      </c>
      <c r="D1736" s="33" t="n">
        <v>0.19</v>
      </c>
    </row>
    <row r="1737">
      <c r="A1737" s="2" t="n">
        <v>1735</v>
      </c>
      <c r="B1737" s="2" t="inlineStr">
        <is>
          <t>燃料油空 12-02</t>
        </is>
      </c>
      <c r="C1737" s="10" t="n">
        <v>3</v>
      </c>
      <c r="D1737" s="33" t="n">
        <v>0.2</v>
      </c>
    </row>
    <row r="1738">
      <c r="A1738" s="2" t="n">
        <v>1736</v>
      </c>
      <c r="B1738" s="2" t="inlineStr">
        <is>
          <t>聚丙烯空 12-04</t>
        </is>
      </c>
      <c r="C1738" s="10" t="n">
        <v>3</v>
      </c>
      <c r="D1738" s="33" t="n">
        <v>0.89</v>
      </c>
    </row>
    <row r="1739">
      <c r="A1739" s="2" t="n">
        <v>1737</v>
      </c>
      <c r="B1739" s="2" t="inlineStr">
        <is>
          <t>铁矿石空 12-09</t>
        </is>
      </c>
      <c r="C1739" s="10" t="n">
        <v>2</v>
      </c>
      <c r="D1739" s="33" t="n">
        <v>0.04</v>
      </c>
    </row>
    <row r="1740">
      <c r="A1740" s="2" t="n">
        <v>1738</v>
      </c>
      <c r="B1740" s="2" t="inlineStr">
        <is>
          <t>豆粕空 12-09</t>
        </is>
      </c>
      <c r="C1740" s="10" t="n">
        <v>3</v>
      </c>
      <c r="D1740" s="33" t="n">
        <v>0.05</v>
      </c>
    </row>
    <row r="1741">
      <c r="A1741" s="2" t="n">
        <v>1739</v>
      </c>
      <c r="B1741" s="2" t="inlineStr">
        <is>
          <t>PVC空 12-10</t>
        </is>
      </c>
      <c r="C1741" s="10" t="n">
        <v>3</v>
      </c>
      <c r="D1741" s="33" t="n">
        <v>0.29</v>
      </c>
    </row>
    <row r="1742">
      <c r="A1742" s="2" t="n">
        <v>1740</v>
      </c>
      <c r="B1742" s="2" t="inlineStr">
        <is>
          <t>鸡蛋空 12-05</t>
        </is>
      </c>
      <c r="C1742" s="10" t="n">
        <v>3</v>
      </c>
      <c r="D1742" s="33" t="n">
        <v>0.58</v>
      </c>
    </row>
    <row r="1743">
      <c r="A1743" s="2" t="n">
        <v>1741</v>
      </c>
      <c r="B1743" s="2" t="inlineStr">
        <is>
          <t>氧化铝空 12-11</t>
        </is>
      </c>
      <c r="C1743" s="10" t="n">
        <v>3</v>
      </c>
      <c r="D1743" s="33" t="n">
        <v>0.01</v>
      </c>
    </row>
    <row r="1744">
      <c r="A1744" s="2" t="n">
        <v>1742</v>
      </c>
      <c r="B1744" s="2" t="inlineStr">
        <is>
          <t>甲醇空 12-11</t>
        </is>
      </c>
      <c r="C1744" s="10" t="n">
        <v>2</v>
      </c>
      <c r="D1744" s="33" t="n">
        <v>0.21</v>
      </c>
    </row>
    <row r="1745">
      <c r="A1745" s="2" t="n">
        <v>1743</v>
      </c>
      <c r="B1745" s="2" t="inlineStr">
        <is>
          <t>棉花多 12-11</t>
        </is>
      </c>
      <c r="C1745" s="10" t="n">
        <v>3</v>
      </c>
      <c r="D1745" s="33" t="n">
        <v>0.33</v>
      </c>
    </row>
    <row r="1746">
      <c r="A1746" s="2" t="n">
        <v>1744</v>
      </c>
      <c r="B1746" s="2" t="inlineStr">
        <is>
          <t>PVC空 12-12</t>
        </is>
      </c>
      <c r="C1746" s="10" t="n">
        <v>3</v>
      </c>
      <c r="D1746" s="33" t="n">
        <v>-0.97</v>
      </c>
    </row>
    <row r="1747">
      <c r="A1747" s="2" t="n">
        <v>1745</v>
      </c>
      <c r="B1747" s="2" t="inlineStr">
        <is>
          <t>碳酸锂空 12-09</t>
        </is>
      </c>
      <c r="C1747" s="10" t="n">
        <v>3</v>
      </c>
      <c r="D1747" s="33" t="n">
        <v>-0.67</v>
      </c>
    </row>
    <row r="1748">
      <c r="A1748" s="2" t="n">
        <v>1746</v>
      </c>
      <c r="B1748" s="2" t="inlineStr">
        <is>
          <t>纯碱空 12-12</t>
        </is>
      </c>
      <c r="C1748" s="10" t="n">
        <v>3</v>
      </c>
      <c r="D1748" s="33" t="n">
        <v>-0.96</v>
      </c>
    </row>
    <row r="1749">
      <c r="A1749" s="2" t="n">
        <v>1747</v>
      </c>
      <c r="B1749" s="2" t="inlineStr">
        <is>
          <t>对二甲苯空 12-09</t>
        </is>
      </c>
      <c r="C1749" s="10" t="n">
        <v>2</v>
      </c>
      <c r="D1749" s="33" t="n">
        <v>-0.61</v>
      </c>
    </row>
    <row r="1750">
      <c r="A1750" s="2" t="n">
        <v>1748</v>
      </c>
      <c r="B1750" s="2" t="inlineStr">
        <is>
          <t>沪银多 12-18</t>
        </is>
      </c>
      <c r="C1750" s="10" t="n">
        <v>3</v>
      </c>
      <c r="D1750" s="33" t="n">
        <v>-0.04</v>
      </c>
    </row>
    <row r="1751">
      <c r="A1751" s="2" t="n">
        <v>1749</v>
      </c>
      <c r="B1751" s="2" t="inlineStr">
        <is>
          <t>鸡蛋空 12-18</t>
        </is>
      </c>
      <c r="C1751" s="10" t="n">
        <v>3</v>
      </c>
      <c r="D1751" s="33" t="n">
        <v>0.13</v>
      </c>
    </row>
    <row r="1752">
      <c r="A1752" s="2" t="n">
        <v>1750</v>
      </c>
      <c r="B1752" s="2" t="inlineStr">
        <is>
          <t>塑料空 12-16</t>
        </is>
      </c>
      <c r="C1752" s="10" t="n">
        <v>3</v>
      </c>
      <c r="D1752" s="33" t="n">
        <v>1.14</v>
      </c>
    </row>
    <row r="1753">
      <c r="A1753" s="2" t="n">
        <v>1751</v>
      </c>
      <c r="B1753" s="2" t="inlineStr">
        <is>
          <t>沪铜多 12-17</t>
        </is>
      </c>
      <c r="C1753" s="10" t="n">
        <v>3</v>
      </c>
      <c r="D1753" s="33" t="n">
        <v>0.25</v>
      </c>
    </row>
    <row r="1754">
      <c r="A1754" s="2" t="n">
        <v>1752</v>
      </c>
      <c r="B1754" s="2" t="inlineStr">
        <is>
          <t>沪镍空 12-18</t>
        </is>
      </c>
      <c r="C1754" s="10" t="n">
        <v>2</v>
      </c>
      <c r="D1754" s="33" t="n">
        <v>-0.86</v>
      </c>
    </row>
    <row r="1755">
      <c r="A1755" s="2" t="n">
        <v>1753</v>
      </c>
      <c r="B1755" s="2" t="inlineStr">
        <is>
          <t>玻璃空 12-19</t>
        </is>
      </c>
      <c r="C1755" s="10" t="n">
        <v>3</v>
      </c>
      <c r="D1755" s="33" t="n">
        <v>0.12</v>
      </c>
    </row>
    <row r="1756">
      <c r="A1756" s="2" t="n">
        <v>1754</v>
      </c>
      <c r="B1756" s="2" t="inlineStr">
        <is>
          <t>沪铝多 12-22</t>
        </is>
      </c>
      <c r="C1756" s="10" t="n">
        <v>2</v>
      </c>
      <c r="D1756" s="33" t="n">
        <v>0.08</v>
      </c>
    </row>
    <row r="1757">
      <c r="A1757" s="2" t="n">
        <v>1755</v>
      </c>
      <c r="B1757" s="2" t="inlineStr">
        <is>
          <t>鸡蛋空 12-22</t>
        </is>
      </c>
      <c r="C1757" s="10" t="n">
        <v>2</v>
      </c>
      <c r="D1757" s="33" t="n">
        <v>0.06</v>
      </c>
    </row>
    <row r="1758">
      <c r="A1758" s="2" t="n">
        <v>1756</v>
      </c>
      <c r="B1758" s="2" t="inlineStr">
        <is>
          <t>豆粕空 12-22</t>
        </is>
      </c>
      <c r="C1758" s="10" t="n">
        <v>2</v>
      </c>
      <c r="D1758" s="33" t="n">
        <v>-0.04</v>
      </c>
    </row>
    <row r="1759">
      <c r="A1759" s="2" t="n">
        <v>1757</v>
      </c>
      <c r="B1759" s="2" t="inlineStr">
        <is>
          <t>豆油空 12-17</t>
        </is>
      </c>
      <c r="C1759" s="10" t="n">
        <v>2</v>
      </c>
      <c r="D1759" s="33" t="n">
        <v>0.22</v>
      </c>
    </row>
    <row r="1760">
      <c r="A1760" s="2" t="n">
        <v>1758</v>
      </c>
      <c r="B1760" s="2" t="inlineStr">
        <is>
          <t>工业硅多 12-24</t>
        </is>
      </c>
      <c r="C1760" s="10" t="n">
        <v>2</v>
      </c>
      <c r="D1760" s="33" t="n">
        <v>0.01</v>
      </c>
    </row>
    <row r="1761">
      <c r="A1761" s="2" t="n">
        <v>1759</v>
      </c>
      <c r="B1761" s="2" t="inlineStr">
        <is>
          <t>氧化铝空 12-22</t>
        </is>
      </c>
      <c r="C1761" s="10" t="n">
        <v>3</v>
      </c>
      <c r="D1761" s="33" t="n">
        <v>-0.9</v>
      </c>
    </row>
    <row r="1762">
      <c r="A1762" s="2" t="n">
        <v>1760</v>
      </c>
      <c r="B1762" s="2" t="inlineStr">
        <is>
          <t>棉花多 12-23</t>
        </is>
      </c>
      <c r="C1762" s="10" t="n">
        <v>3</v>
      </c>
      <c r="D1762" s="33" t="n">
        <v>1.12</v>
      </c>
    </row>
    <row r="1763">
      <c r="A1763" s="2" t="n">
        <v>1761</v>
      </c>
      <c r="B1763" s="2" t="inlineStr">
        <is>
          <t>豆粕空 12-24</t>
        </is>
      </c>
      <c r="C1763" s="10" t="n">
        <v>3</v>
      </c>
      <c r="D1763" s="33" t="n">
        <v>-0.68</v>
      </c>
    </row>
    <row r="1764">
      <c r="A1764" s="2" t="n">
        <v>1762</v>
      </c>
      <c r="B1764" s="2" t="inlineStr">
        <is>
          <t>锰硅多 12-17</t>
        </is>
      </c>
      <c r="C1764" s="10" t="n">
        <v>3</v>
      </c>
      <c r="D1764" s="33" t="n">
        <v>0.7</v>
      </c>
    </row>
    <row r="1765">
      <c r="A1765" s="2" t="n">
        <v>1763</v>
      </c>
      <c r="B1765" s="2" t="inlineStr">
        <is>
          <t>沪锌多 12-23</t>
        </is>
      </c>
      <c r="C1765" s="10" t="n">
        <v>2</v>
      </c>
      <c r="D1765" s="33" t="n">
        <v>0.09</v>
      </c>
    </row>
    <row r="1766">
      <c r="A1766" s="2" t="n">
        <v>1764</v>
      </c>
      <c r="B1766" s="2" t="inlineStr">
        <is>
          <t>PTA多 12-26</t>
        </is>
      </c>
      <c r="C1766" s="10" t="n">
        <v>3</v>
      </c>
      <c r="D1766" s="33" t="n">
        <v>-0.42</v>
      </c>
    </row>
    <row r="1767">
      <c r="A1767" s="2" t="n">
        <v>1765</v>
      </c>
      <c r="B1767" s="2" t="inlineStr">
        <is>
          <t>鸡蛋空 12-30</t>
        </is>
      </c>
      <c r="C1767" s="10" t="n">
        <v>2</v>
      </c>
      <c r="D1767" s="33" t="n">
        <v>0.03</v>
      </c>
    </row>
    <row r="1768">
      <c r="A1768" s="2" t="n">
        <v>1766</v>
      </c>
      <c r="B1768" s="2" t="inlineStr">
        <is>
          <t>焦煤多 12-30</t>
        </is>
      </c>
      <c r="C1768" s="10" t="n">
        <v>2</v>
      </c>
      <c r="D1768" s="33" t="n">
        <v>-0.05</v>
      </c>
    </row>
    <row r="1769">
      <c r="A1769" s="2" t="n">
        <v>1767</v>
      </c>
      <c r="B1769" s="2" t="inlineStr">
        <is>
          <t>玻璃多 12-31</t>
        </is>
      </c>
      <c r="C1769" s="10" t="n">
        <v>2</v>
      </c>
      <c r="D1769" s="33" t="n">
        <v>-0.16</v>
      </c>
    </row>
    <row r="1770">
      <c r="A1770" s="2" t="n">
        <v>1768</v>
      </c>
      <c r="B1770" s="2" t="inlineStr">
        <is>
          <t>菜粕多 12-30</t>
        </is>
      </c>
      <c r="C1770" s="10" t="n">
        <v>3</v>
      </c>
      <c r="D1770" s="33" t="n">
        <v>0.19</v>
      </c>
    </row>
    <row r="1771">
      <c r="A1771" s="2" t="n">
        <v>1769</v>
      </c>
      <c r="B1771" s="2" t="inlineStr">
        <is>
          <t>豆粕空 12-31</t>
        </is>
      </c>
      <c r="C1771" s="10" t="n">
        <v>3</v>
      </c>
      <c r="D1771" s="33" t="n">
        <v>-0.92</v>
      </c>
    </row>
    <row r="1772">
      <c r="A1772" s="2" t="n">
        <v>1770</v>
      </c>
      <c r="B1772" s="2" t="inlineStr">
        <is>
          <t>苯乙烯多 01-06</t>
        </is>
      </c>
      <c r="C1772" s="10" t="n">
        <v>2</v>
      </c>
      <c r="D1772" s="33" t="n">
        <v>-0.06</v>
      </c>
    </row>
    <row r="1773">
      <c r="A1773" s="2" t="n">
        <v>1771</v>
      </c>
      <c r="B1773" s="2" t="inlineStr">
        <is>
          <t>焦煤多 01-07</t>
        </is>
      </c>
      <c r="C1773" s="10" t="n">
        <v>2</v>
      </c>
      <c r="D1773" s="33" t="n">
        <v>0.01</v>
      </c>
    </row>
    <row r="1774">
      <c r="A1774" s="2" t="n">
        <v>1772</v>
      </c>
      <c r="B1774" s="2" t="inlineStr">
        <is>
          <t>对二甲苯多 01-06</t>
        </is>
      </c>
      <c r="C1774" s="10" t="n">
        <v>3</v>
      </c>
      <c r="D1774" s="33" t="n">
        <v>-0.22</v>
      </c>
    </row>
    <row r="1775">
      <c r="A1775" s="2" t="n">
        <v>1773</v>
      </c>
      <c r="B1775" s="2" t="inlineStr">
        <is>
          <t>甲醇多 01-07</t>
        </is>
      </c>
      <c r="C1775" s="10" t="n">
        <v>2</v>
      </c>
      <c r="D1775" s="33" t="n">
        <v>0.04</v>
      </c>
    </row>
    <row r="1776">
      <c r="A1776" s="2" t="n">
        <v>1774</v>
      </c>
      <c r="B1776" s="2" t="inlineStr">
        <is>
          <t>PVC多 12-24</t>
        </is>
      </c>
      <c r="C1776" s="10" t="n">
        <v>2</v>
      </c>
      <c r="D1776" s="33" t="n">
        <v>-0.2</v>
      </c>
    </row>
    <row r="1777">
      <c r="A1777" s="2" t="n">
        <v>1775</v>
      </c>
      <c r="B1777" s="2" t="inlineStr">
        <is>
          <t>棉花多 12-30</t>
        </is>
      </c>
      <c r="C1777" s="10" t="n">
        <v>3</v>
      </c>
      <c r="D1777" s="33" t="n">
        <v>-0.1</v>
      </c>
    </row>
    <row r="1778">
      <c r="A1778" s="2" t="n">
        <v>1776</v>
      </c>
      <c r="B1778" s="2" t="inlineStr">
        <is>
          <t>焦煤多 01-09</t>
        </is>
      </c>
      <c r="C1778" s="10" t="n">
        <v>3</v>
      </c>
      <c r="D1778" s="33" t="n">
        <v>0.15</v>
      </c>
    </row>
    <row r="1779">
      <c r="A1779" s="2" t="n">
        <v>1777</v>
      </c>
      <c r="B1779" s="2" t="inlineStr">
        <is>
          <t>聚丙烯多 01-09</t>
        </is>
      </c>
      <c r="C1779" s="10" t="n">
        <v>3</v>
      </c>
      <c r="D1779" s="33" t="n">
        <v>0.2</v>
      </c>
    </row>
    <row r="1780">
      <c r="A1780" s="2" t="n">
        <v>1778</v>
      </c>
      <c r="B1780" s="2" t="inlineStr">
        <is>
          <t>碳酸锂多 01-08</t>
        </is>
      </c>
      <c r="C1780" s="10" t="n">
        <v>3</v>
      </c>
      <c r="D1780" s="33" t="n">
        <v>0.83</v>
      </c>
    </row>
    <row r="1781">
      <c r="A1781" s="2" t="n">
        <v>1779</v>
      </c>
      <c r="B1781" s="2" t="inlineStr">
        <is>
          <t>沪铝多 01-12</t>
        </is>
      </c>
      <c r="C1781" s="10" t="n">
        <v>3</v>
      </c>
      <c r="D1781" s="33" t="n">
        <v>-0.08</v>
      </c>
    </row>
    <row r="1782">
      <c r="A1782" s="2" t="n">
        <v>1780</v>
      </c>
      <c r="B1782" s="2" t="inlineStr">
        <is>
          <t>聚丙烯多 01-13</t>
        </is>
      </c>
      <c r="C1782" s="10" t="n">
        <v>2</v>
      </c>
      <c r="D1782" s="33" t="n">
        <v>0.09</v>
      </c>
    </row>
    <row r="1783">
      <c r="A1783" s="2" t="n">
        <v>1781</v>
      </c>
      <c r="B1783" s="2" t="inlineStr">
        <is>
          <t>锰硅空 01-09</t>
        </is>
      </c>
      <c r="C1783" s="10" t="n">
        <v>2</v>
      </c>
      <c r="D1783" s="33" t="n">
        <v>0.33</v>
      </c>
    </row>
    <row r="1784">
      <c r="A1784" s="2" t="n">
        <v>1782</v>
      </c>
      <c r="B1784" s="2" t="inlineStr">
        <is>
          <t>对二甲苯多 01-12</t>
        </is>
      </c>
      <c r="C1784" s="10" t="n">
        <v>3</v>
      </c>
      <c r="D1784" s="33" t="n">
        <v>-0.37</v>
      </c>
    </row>
    <row r="1785">
      <c r="A1785" s="2" t="n">
        <v>1783</v>
      </c>
      <c r="B1785" s="2" t="inlineStr">
        <is>
          <t>铁矿石多 01-06</t>
        </is>
      </c>
      <c r="C1785" s="10" t="n">
        <v>3</v>
      </c>
      <c r="D1785" s="33" t="n">
        <v>-0.2</v>
      </c>
    </row>
    <row r="1786">
      <c r="A1786" s="2" t="n">
        <v>1784</v>
      </c>
      <c r="B1786" s="2" t="inlineStr">
        <is>
          <t>豆油多 01-12</t>
        </is>
      </c>
      <c r="C1786" s="10" t="n">
        <v>3</v>
      </c>
      <c r="D1786" s="33" t="n">
        <v>-0.05</v>
      </c>
    </row>
    <row r="1787">
      <c r="A1787" s="2" t="n">
        <v>1785</v>
      </c>
      <c r="B1787" s="2" t="inlineStr">
        <is>
          <t>工业硅多 01-14</t>
        </is>
      </c>
      <c r="C1787" s="10" t="n">
        <v>2</v>
      </c>
      <c r="D1787" s="33" t="n">
        <v>0.06</v>
      </c>
    </row>
    <row r="1788">
      <c r="A1788" s="2" t="n">
        <v>1786</v>
      </c>
      <c r="B1788" s="2" t="inlineStr">
        <is>
          <t>棕榈油多 01-13</t>
        </is>
      </c>
      <c r="C1788" s="10" t="n">
        <v>3</v>
      </c>
      <c r="D1788" s="33" t="n">
        <v>0.01</v>
      </c>
    </row>
    <row r="1789">
      <c r="A1789" s="2" t="n">
        <v>1787</v>
      </c>
      <c r="B1789" s="2" t="inlineStr">
        <is>
          <t>苯乙烯多 01-15</t>
        </is>
      </c>
      <c r="C1789" s="10" t="n">
        <v>3</v>
      </c>
      <c r="D1789" s="33" t="n">
        <v>0.17</v>
      </c>
    </row>
    <row r="1790">
      <c r="A1790" s="2" t="n">
        <v>1788</v>
      </c>
      <c r="B1790" s="2" t="inlineStr">
        <is>
          <t>氧化铝空 01-19</t>
        </is>
      </c>
      <c r="C1790" s="10" t="n">
        <v>2</v>
      </c>
      <c r="D1790" s="33" t="n">
        <v>0.12</v>
      </c>
    </row>
    <row r="1791">
      <c r="A1791" s="2" t="n">
        <v>1789</v>
      </c>
      <c r="B1791" s="2" t="inlineStr">
        <is>
          <t>玉米多 01-15</t>
        </is>
      </c>
      <c r="C1791" s="10" t="n">
        <v>3</v>
      </c>
      <c r="D1791" s="33" t="n">
        <v>-0.04</v>
      </c>
    </row>
    <row r="1792">
      <c r="A1792" s="2" t="n">
        <v>1790</v>
      </c>
      <c r="B1792" s="2" t="inlineStr">
        <is>
          <t>玻璃空 01-19</t>
        </is>
      </c>
      <c r="C1792" s="10" t="n">
        <v>3</v>
      </c>
      <c r="D1792" s="33" t="n">
        <v>0.1</v>
      </c>
    </row>
    <row r="1793">
      <c r="A1793" s="2" t="n">
        <v>1791</v>
      </c>
      <c r="B1793" s="2" t="inlineStr">
        <is>
          <t>菜粕空 01-21</t>
        </is>
      </c>
      <c r="C1793" s="10" t="n">
        <v>2</v>
      </c>
      <c r="D1793" s="33" t="n">
        <v>-0.1</v>
      </c>
    </row>
    <row r="1794">
      <c r="A1794" s="2" t="n">
        <v>1792</v>
      </c>
      <c r="B1794" s="2" t="inlineStr">
        <is>
          <t>锰硅空 01-21</t>
        </is>
      </c>
      <c r="C1794" s="10" t="n">
        <v>2</v>
      </c>
      <c r="D1794" s="33" t="n">
        <v>-0.08</v>
      </c>
    </row>
    <row r="1795">
      <c r="A1795" s="2" t="n">
        <v>1793</v>
      </c>
      <c r="B1795" s="2" t="inlineStr">
        <is>
          <t>聚丙烯多 01-15</t>
        </is>
      </c>
      <c r="C1795" s="10" t="n">
        <v>2</v>
      </c>
      <c r="D1795" s="33" t="n">
        <v>0.3</v>
      </c>
    </row>
    <row r="1796">
      <c r="A1796" s="2" t="n">
        <v>1794</v>
      </c>
      <c r="B1796" s="2" t="inlineStr">
        <is>
          <t>对二甲苯空 01-16</t>
        </is>
      </c>
      <c r="C1796" s="10" t="n">
        <v>2</v>
      </c>
      <c r="D1796" s="33" t="n">
        <v>-0.6</v>
      </c>
    </row>
    <row r="1797">
      <c r="A1797" s="2" t="n">
        <v>1795</v>
      </c>
      <c r="B1797" s="2" t="inlineStr">
        <is>
          <t>沪镍多 01-19</t>
        </is>
      </c>
      <c r="C1797" s="10" t="n">
        <v>3</v>
      </c>
      <c r="D1797" s="33" t="n">
        <v>0.18</v>
      </c>
    </row>
    <row r="1798">
      <c r="A1798" s="2" t="n">
        <v>1796</v>
      </c>
      <c r="B1798" s="2" t="inlineStr">
        <is>
          <t>苯乙烯多 01-22</t>
        </is>
      </c>
      <c r="C1798" s="10" t="n">
        <v>3</v>
      </c>
      <c r="D1798" s="33" t="n">
        <v>0.11</v>
      </c>
    </row>
    <row r="1799">
      <c r="A1799" s="2" t="n">
        <v>1797</v>
      </c>
      <c r="B1799" s="2" t="inlineStr">
        <is>
          <t>PTA多 01-23</t>
        </is>
      </c>
      <c r="C1799" s="10" t="n">
        <v>2</v>
      </c>
      <c r="D1799" s="33" t="n">
        <v>-0.1</v>
      </c>
    </row>
    <row r="1800">
      <c r="A1800" s="2" t="n">
        <v>1798</v>
      </c>
      <c r="B1800" s="2" t="inlineStr">
        <is>
          <t>螺纹钢空 01-27</t>
        </is>
      </c>
      <c r="C1800" s="10" t="n">
        <v>2</v>
      </c>
      <c r="D1800" s="33" t="n">
        <v>0.03</v>
      </c>
    </row>
    <row r="1801">
      <c r="A1801" s="2" t="n">
        <v>1799</v>
      </c>
      <c r="B1801" s="2" t="inlineStr">
        <is>
          <t>白糖空 01-13</t>
        </is>
      </c>
      <c r="C1801" s="10" t="n">
        <v>3</v>
      </c>
      <c r="D1801" s="33" t="n">
        <v>0.03</v>
      </c>
    </row>
    <row r="1802">
      <c r="A1802" s="2" t="n">
        <v>1800</v>
      </c>
      <c r="B1802" s="2" t="inlineStr">
        <is>
          <t>塑料多 01-26</t>
        </is>
      </c>
      <c r="C1802" s="10" t="n">
        <v>3</v>
      </c>
      <c r="D1802" s="33" t="n">
        <v>0.41</v>
      </c>
    </row>
    <row r="1803">
      <c r="A1803" s="2" t="n">
        <v>1801</v>
      </c>
      <c r="B1803" s="2" t="inlineStr">
        <is>
          <t>沪锌多 01-23</t>
        </is>
      </c>
      <c r="C1803" s="10" t="n">
        <v>3</v>
      </c>
      <c r="D1803" s="33" t="n">
        <v>0.75</v>
      </c>
    </row>
    <row r="1804">
      <c r="A1804" s="2" t="n">
        <v>1802</v>
      </c>
      <c r="B1804" s="2" t="inlineStr">
        <is>
          <t>豆油多 01-20</t>
        </is>
      </c>
      <c r="C1804" s="10" t="n">
        <v>3</v>
      </c>
      <c r="D1804" s="33" t="n">
        <v>0.38</v>
      </c>
    </row>
    <row r="1805">
      <c r="A1805" s="2" t="n">
        <v>1803</v>
      </c>
      <c r="B1805" s="2" t="inlineStr">
        <is>
          <t>苯乙烯多 01-29</t>
        </is>
      </c>
      <c r="C1805" s="10" t="n">
        <v>3</v>
      </c>
      <c r="D1805" s="33" t="n">
        <v>-0.77</v>
      </c>
    </row>
    <row r="1806">
      <c r="A1806" s="2" t="n">
        <v>1804</v>
      </c>
      <c r="B1806" s="2" t="inlineStr">
        <is>
          <t>塑料多 01-30</t>
        </is>
      </c>
      <c r="C1806" s="10" t="n">
        <v>2</v>
      </c>
      <c r="D1806" s="33" t="n">
        <v>-0.38</v>
      </c>
    </row>
    <row r="1807">
      <c r="A1807" s="2" t="n">
        <v>1805</v>
      </c>
      <c r="B1807" s="2" t="inlineStr">
        <is>
          <t>铁矿石空 01-26</t>
        </is>
      </c>
      <c r="C1807" s="10" t="n">
        <v>3</v>
      </c>
      <c r="D1807" s="33" t="n">
        <v>0.1</v>
      </c>
    </row>
    <row r="1808">
      <c r="A1808" s="2" t="n">
        <v>1806</v>
      </c>
      <c r="B1808" s="2" t="inlineStr">
        <is>
          <t>鸡蛋空 02-02</t>
        </is>
      </c>
      <c r="C1808" s="10" t="n">
        <v>3</v>
      </c>
      <c r="D1808" s="33" t="n">
        <v>0.14</v>
      </c>
    </row>
    <row r="1809">
      <c r="A1809" s="2" t="n">
        <v>1807</v>
      </c>
      <c r="B1809" s="2" t="inlineStr">
        <is>
          <t>豆粕空 02-02</t>
        </is>
      </c>
      <c r="C1809" s="10" t="n">
        <v>3</v>
      </c>
      <c r="D1809" s="33" t="n">
        <v>0.29</v>
      </c>
    </row>
    <row r="1810">
      <c r="A1810" s="2" t="n">
        <v>1808</v>
      </c>
      <c r="B1810" s="2" t="inlineStr">
        <is>
          <t>对二甲苯空 02-02</t>
        </is>
      </c>
      <c r="C1810" s="10" t="n">
        <v>2</v>
      </c>
      <c r="D1810" s="33" t="n">
        <v>-0.03</v>
      </c>
    </row>
    <row r="1811">
      <c r="A1811" s="2" t="n">
        <v>1809</v>
      </c>
      <c r="B1811" s="2" t="inlineStr">
        <is>
          <t>热卷空 02-02</t>
        </is>
      </c>
      <c r="C1811" s="10" t="n">
        <v>3</v>
      </c>
      <c r="D1811" s="33" t="n">
        <v>0.34</v>
      </c>
    </row>
    <row r="1812">
      <c r="A1812" s="2" t="n">
        <v>1810</v>
      </c>
      <c r="B1812" s="2" t="inlineStr">
        <is>
          <t>鸡蛋空 02-05</t>
        </is>
      </c>
      <c r="C1812" s="10" t="n">
        <v>2</v>
      </c>
      <c r="D1812" s="33" t="n">
        <v>0.12</v>
      </c>
    </row>
    <row r="1813">
      <c r="A1813" s="2" t="n">
        <v>1811</v>
      </c>
      <c r="B1813" s="2" t="inlineStr">
        <is>
          <t>硅铁空 02-06</t>
        </is>
      </c>
      <c r="C1813" s="10" t="n">
        <v>2</v>
      </c>
      <c r="D1813" s="33" t="n">
        <v>0.1</v>
      </c>
    </row>
    <row r="1814">
      <c r="A1814" s="2" t="n">
        <v>1812</v>
      </c>
      <c r="B1814" s="2" t="inlineStr">
        <is>
          <t>玉米多 01-23</t>
        </is>
      </c>
      <c r="C1814" s="10" t="n">
        <v>2</v>
      </c>
      <c r="D1814" s="33" t="n">
        <v>-0.26</v>
      </c>
    </row>
    <row r="1815">
      <c r="A1815" s="2" t="n">
        <v>1813</v>
      </c>
      <c r="B1815" s="2" t="inlineStr">
        <is>
          <t>燃料油多 02-06</t>
        </is>
      </c>
      <c r="C1815" s="10" t="n">
        <v>2</v>
      </c>
      <c r="D1815" s="33" t="n">
        <v>0.18</v>
      </c>
    </row>
    <row r="1816">
      <c r="A1816" s="2" t="n">
        <v>1814</v>
      </c>
      <c r="B1816" s="2" t="inlineStr">
        <is>
          <t>工业硅空 02-06</t>
        </is>
      </c>
      <c r="C1816" s="10" t="n">
        <v>2</v>
      </c>
      <c r="D1816" s="33" t="n">
        <v>0.21</v>
      </c>
    </row>
    <row r="1817">
      <c r="A1817" s="2" t="n">
        <v>1815</v>
      </c>
      <c r="B1817" s="2" t="inlineStr">
        <is>
          <t>棕榈油空 02-09</t>
        </is>
      </c>
      <c r="C1817" s="10" t="n">
        <v>2</v>
      </c>
      <c r="D1817" s="33" t="n">
        <v>0.15</v>
      </c>
    </row>
    <row r="1818">
      <c r="A1818" s="2" t="n">
        <v>1816</v>
      </c>
      <c r="B1818" s="2" t="inlineStr">
        <is>
          <t>PTA空 02-05</t>
        </is>
      </c>
      <c r="C1818" s="10" t="n">
        <v>2</v>
      </c>
      <c r="D1818" s="33" t="n">
        <v>-0.27</v>
      </c>
    </row>
    <row r="1819">
      <c r="A1819" s="2" t="n">
        <v>1817</v>
      </c>
      <c r="B1819" s="2" t="inlineStr">
        <is>
          <t>螺纹钢空 02-06</t>
        </is>
      </c>
      <c r="C1819" s="10" t="n">
        <v>3</v>
      </c>
      <c r="D1819" s="33" t="n">
        <v>0.28</v>
      </c>
    </row>
    <row r="1820">
      <c r="A1820" s="2" t="n">
        <v>1818</v>
      </c>
      <c r="B1820" s="2" t="inlineStr">
        <is>
          <t>燃料油多 02-11</t>
        </is>
      </c>
      <c r="C1820" s="10" t="n">
        <v>2</v>
      </c>
      <c r="D1820" s="33" t="n">
        <v>-0.1</v>
      </c>
    </row>
    <row r="1821">
      <c r="A1821" s="2" t="n">
        <v>1819</v>
      </c>
      <c r="B1821" s="2" t="inlineStr">
        <is>
          <t>沪锌多 02-11</t>
        </is>
      </c>
      <c r="C1821" s="10" t="n">
        <v>3</v>
      </c>
      <c r="D1821" s="33" t="n">
        <v>-0.27</v>
      </c>
    </row>
    <row r="1822">
      <c r="A1822" s="2" t="n">
        <v>1820</v>
      </c>
      <c r="B1822" s="2" t="inlineStr">
        <is>
          <t>聚丙烯空 02-12</t>
        </is>
      </c>
      <c r="C1822" s="10" t="n">
        <v>2</v>
      </c>
      <c r="D1822" s="33" t="n">
        <v>0.18</v>
      </c>
    </row>
    <row r="1823">
      <c r="A1823" s="2" t="n">
        <v>1821</v>
      </c>
      <c r="B1823" s="2" t="inlineStr">
        <is>
          <t>铁矿石空 02-09</t>
        </is>
      </c>
      <c r="C1823" s="10" t="n">
        <v>2</v>
      </c>
      <c r="D1823" s="33" t="n">
        <v>0.49</v>
      </c>
    </row>
    <row r="1824">
      <c r="A1824" s="2" t="n">
        <v>1822</v>
      </c>
      <c r="B1824" s="2" t="inlineStr">
        <is>
          <t>热卷空 02-11</t>
        </is>
      </c>
      <c r="C1824" s="10" t="n">
        <v>3</v>
      </c>
      <c r="D1824" s="33" t="n">
        <v>0.44</v>
      </c>
    </row>
    <row r="1825">
      <c r="A1825" s="2" t="n">
        <v>1823</v>
      </c>
      <c r="B1825" s="2" t="inlineStr">
        <is>
          <t>PTA多 02-11</t>
        </is>
      </c>
      <c r="C1825" s="10" t="n">
        <v>3</v>
      </c>
      <c r="D1825" s="33" t="n">
        <v>0.11</v>
      </c>
    </row>
    <row r="1826">
      <c r="A1826" s="2" t="n">
        <v>1824</v>
      </c>
      <c r="B1826" s="2" t="inlineStr">
        <is>
          <t>棉花多 01-14</t>
        </is>
      </c>
      <c r="C1826" s="10" t="n">
        <v>3</v>
      </c>
      <c r="D1826" s="33" t="n">
        <v>0.72</v>
      </c>
    </row>
    <row r="1827">
      <c r="A1827" s="2" t="n">
        <v>1825</v>
      </c>
      <c r="B1827" s="2" t="inlineStr">
        <is>
          <t>沪锌多 02-24</t>
        </is>
      </c>
      <c r="C1827" s="10" t="n">
        <v>3</v>
      </c>
      <c r="D1827" s="33" t="n">
        <v>0.06</v>
      </c>
    </row>
    <row r="1828">
      <c r="A1828" s="2" t="n">
        <v>1826</v>
      </c>
      <c r="B1828" s="2" t="inlineStr">
        <is>
          <t>锰硅空 02-25</t>
        </is>
      </c>
      <c r="C1828" s="10" t="n">
        <v>2</v>
      </c>
      <c r="D1828" s="33" t="n">
        <v>-0.92</v>
      </c>
    </row>
    <row r="1829">
      <c r="A1829" s="2" t="n">
        <v>1827</v>
      </c>
      <c r="B1829" s="2" t="inlineStr">
        <is>
          <t>白糖多 02-25</t>
        </is>
      </c>
      <c r="C1829" s="10" t="n">
        <v>3</v>
      </c>
      <c r="D1829" s="33" t="n">
        <v>0.29</v>
      </c>
    </row>
    <row r="1830">
      <c r="A1830" s="2" t="n">
        <v>1828</v>
      </c>
      <c r="B1830" s="2" t="inlineStr">
        <is>
          <t>玻璃空 02-13</t>
        </is>
      </c>
      <c r="C1830" s="10" t="n">
        <v>2</v>
      </c>
      <c r="D1830" s="33" t="n">
        <v>-0.12</v>
      </c>
    </row>
    <row r="1831">
      <c r="A1831" s="2" t="n">
        <v>1829</v>
      </c>
      <c r="B1831" s="2" t="inlineStr">
        <is>
          <t>PVC空 02-26</t>
        </is>
      </c>
      <c r="C1831" s="10" t="n">
        <v>2</v>
      </c>
      <c r="D1831" s="33" t="n">
        <v>0.11</v>
      </c>
    </row>
    <row r="1832">
      <c r="A1832" s="2" t="n">
        <v>1830</v>
      </c>
      <c r="B1832" s="2" t="inlineStr">
        <is>
          <t>塑料空 02-26</t>
        </is>
      </c>
      <c r="C1832" s="10" t="n">
        <v>3</v>
      </c>
      <c r="D1832" s="33" t="n">
        <v>-0.72</v>
      </c>
    </row>
    <row r="1833">
      <c r="A1833" s="2" t="n">
        <v>1831</v>
      </c>
      <c r="B1833" s="2" t="inlineStr">
        <is>
          <t>棕榈油空 02-26</t>
        </is>
      </c>
      <c r="C1833" s="10" t="n">
        <v>3</v>
      </c>
      <c r="D1833" s="33" t="n">
        <v>-0.36</v>
      </c>
    </row>
    <row r="1834">
      <c r="A1834" s="2" t="n">
        <v>1832</v>
      </c>
      <c r="B1834" s="2" t="inlineStr">
        <is>
          <t>沪锌多 02-27</t>
        </is>
      </c>
      <c r="C1834" s="10" t="n">
        <v>2</v>
      </c>
      <c r="D1834" s="33" t="n">
        <v>0.15</v>
      </c>
    </row>
    <row r="1835">
      <c r="A1835" s="2" t="n">
        <v>1833</v>
      </c>
      <c r="B1835" s="2" t="inlineStr">
        <is>
          <t>沪铝多 03-02</t>
        </is>
      </c>
      <c r="C1835" s="10" t="n">
        <v>3</v>
      </c>
      <c r="D1835" s="33" t="n">
        <v>-0.4</v>
      </c>
    </row>
    <row r="1836">
      <c r="A1836" s="2" t="n">
        <v>1834</v>
      </c>
      <c r="B1836" s="2" t="inlineStr">
        <is>
          <t>工业硅空 03-02</t>
        </is>
      </c>
      <c r="C1836" s="10" t="n">
        <v>3</v>
      </c>
      <c r="D1836" s="33" t="n">
        <v>0.22</v>
      </c>
    </row>
    <row r="1837">
      <c r="A1837" s="2" t="n">
        <v>1835</v>
      </c>
      <c r="B1837" s="2" t="inlineStr">
        <is>
          <t>苯乙烯多 02-04</t>
        </is>
      </c>
      <c r="C1837" s="10" t="n">
        <v>3</v>
      </c>
      <c r="D1837" s="33" t="n">
        <v>0.57</v>
      </c>
    </row>
    <row r="1838">
      <c r="A1838" s="2" t="n">
        <v>1836</v>
      </c>
      <c r="B1838" s="2" t="inlineStr">
        <is>
          <t>螺纹钢空 02-24</t>
        </is>
      </c>
      <c r="C1838" s="10" t="n">
        <v>3</v>
      </c>
      <c r="D1838" s="33" t="n">
        <v>-0.46</v>
      </c>
    </row>
    <row r="1839">
      <c r="A1839" s="2" t="n">
        <v>1837</v>
      </c>
      <c r="B1839" s="2" t="inlineStr">
        <is>
          <t>PVC多 03-04</t>
        </is>
      </c>
      <c r="C1839" s="10" t="n">
        <v>2</v>
      </c>
      <c r="D1839" s="33" t="n">
        <v>0.1</v>
      </c>
    </row>
    <row r="1840">
      <c r="A1840" s="2" t="n">
        <v>1838</v>
      </c>
      <c r="B1840" s="2" t="inlineStr">
        <is>
          <t>豆粕多 03-05</t>
        </is>
      </c>
      <c r="C1840" s="10" t="n">
        <v>3</v>
      </c>
      <c r="D1840" s="33" t="n">
        <v>1.48</v>
      </c>
    </row>
    <row r="1841">
      <c r="A1841" s="2" t="n">
        <v>1839</v>
      </c>
      <c r="B1841" s="2" t="inlineStr">
        <is>
          <t>PTA多 03-05</t>
        </is>
      </c>
      <c r="C1841" s="10" t="n">
        <v>3</v>
      </c>
      <c r="D1841" s="33" t="n">
        <v>0.59</v>
      </c>
    </row>
    <row r="1842">
      <c r="A1842" s="2" t="n">
        <v>1840</v>
      </c>
      <c r="B1842" s="2" t="inlineStr">
        <is>
          <t>菜油多 03-06</t>
        </is>
      </c>
      <c r="C1842" s="10" t="n">
        <v>3</v>
      </c>
      <c r="D1842" s="33" t="n">
        <v>-0.22</v>
      </c>
    </row>
    <row r="1843">
      <c r="A1843" s="2" t="n">
        <v>1841</v>
      </c>
      <c r="B1843" s="2" t="inlineStr">
        <is>
          <t>豆二多 03-09</t>
        </is>
      </c>
      <c r="C1843" s="10" t="n">
        <v>3</v>
      </c>
      <c r="D1843" s="33" t="n">
        <v>0.28</v>
      </c>
    </row>
    <row r="1844">
      <c r="A1844" s="2" t="n">
        <v>1842</v>
      </c>
      <c r="B1844" s="2" t="inlineStr">
        <is>
          <t>热卷空 02-27</t>
        </is>
      </c>
      <c r="C1844" s="10" t="n">
        <v>2</v>
      </c>
      <c r="D1844" s="33" t="n">
        <v>-0.75</v>
      </c>
    </row>
    <row r="1845">
      <c r="A1845" s="2" t="n">
        <v>1843</v>
      </c>
      <c r="B1845" s="2" t="inlineStr">
        <is>
          <t>PVC多 03-11</t>
        </is>
      </c>
      <c r="C1845" s="10" t="n">
        <v>2</v>
      </c>
      <c r="D1845" s="33" t="n">
        <v>-0.02</v>
      </c>
    </row>
    <row r="1846">
      <c r="A1846" s="2" t="n">
        <v>1844</v>
      </c>
      <c r="B1846" s="2" t="inlineStr">
        <is>
          <t>苯乙烯多 03-10</t>
        </is>
      </c>
      <c r="C1846" s="10" t="n">
        <v>2</v>
      </c>
      <c r="D1846" s="33" t="n">
        <v>0</v>
      </c>
    </row>
    <row r="1847">
      <c r="A1847" s="2" t="n">
        <v>1845</v>
      </c>
      <c r="B1847" s="2" t="inlineStr">
        <is>
          <t>棕榈油多 03-04</t>
        </is>
      </c>
      <c r="C1847" s="10" t="n">
        <v>3</v>
      </c>
      <c r="D1847" s="33" t="n">
        <v>2.1</v>
      </c>
    </row>
    <row r="1848">
      <c r="A1848" s="2" t="n">
        <v>1846</v>
      </c>
      <c r="B1848" s="2" t="inlineStr">
        <is>
          <t>豆粕多 03-11</t>
        </is>
      </c>
      <c r="C1848" s="10" t="n">
        <v>3</v>
      </c>
      <c r="D1848" s="33" t="n">
        <v>-0.57</v>
      </c>
    </row>
    <row r="1849">
      <c r="A1849" s="2" t="n">
        <v>1847</v>
      </c>
      <c r="B1849" s="2" t="inlineStr">
        <is>
          <t>工业硅空 03-11</t>
        </is>
      </c>
      <c r="C1849" s="10" t="n">
        <v>3</v>
      </c>
      <c r="D1849" s="33" t="n">
        <v>0.51</v>
      </c>
    </row>
    <row r="1850">
      <c r="A1850" s="2" t="n">
        <v>1848</v>
      </c>
      <c r="B1850" s="2" t="inlineStr">
        <is>
          <t>锰硅多 03-11</t>
        </is>
      </c>
      <c r="C1850" s="10" t="n">
        <v>3</v>
      </c>
      <c r="D1850" s="33" t="n">
        <v>-0.06</v>
      </c>
    </row>
    <row r="1851">
      <c r="A1851" s="2" t="n">
        <v>1849</v>
      </c>
      <c r="B1851" s="2" t="inlineStr">
        <is>
          <t>乙二醇多 03-11</t>
        </is>
      </c>
      <c r="C1851" s="10" t="n">
        <v>3</v>
      </c>
      <c r="D1851" s="33" t="n">
        <v>0.5600000000000001</v>
      </c>
    </row>
    <row r="1852">
      <c r="A1852" s="2" t="n">
        <v>1850</v>
      </c>
      <c r="B1852" s="2" t="inlineStr">
        <is>
          <t>沪铜空 03-17</t>
        </is>
      </c>
      <c r="C1852" s="10" t="n">
        <v>3</v>
      </c>
      <c r="D1852" s="33" t="n">
        <v>0.83</v>
      </c>
    </row>
    <row r="1853">
      <c r="A1853" s="2" t="n">
        <v>1851</v>
      </c>
      <c r="B1853" s="2" t="inlineStr">
        <is>
          <t>沪铝多 03-11</t>
        </is>
      </c>
      <c r="C1853" s="10" t="n">
        <v>3</v>
      </c>
      <c r="D1853" s="33" t="n">
        <v>-1.14</v>
      </c>
    </row>
    <row r="1854">
      <c r="A1854" s="2" t="n">
        <v>1852</v>
      </c>
      <c r="B1854" s="2" t="inlineStr">
        <is>
          <t>PVC多 03-19</t>
        </is>
      </c>
      <c r="C1854" s="10" t="n">
        <v>3</v>
      </c>
      <c r="D1854" s="33" t="n">
        <v>0.04</v>
      </c>
    </row>
    <row r="1855">
      <c r="A1855" s="2" t="n">
        <v>1853</v>
      </c>
      <c r="B1855" s="2" t="inlineStr">
        <is>
          <t>热卷多 03-18</t>
        </is>
      </c>
      <c r="C1855" s="10" t="n">
        <v>2</v>
      </c>
      <c r="D1855" s="33" t="n">
        <v>0.22</v>
      </c>
    </row>
    <row r="1856">
      <c r="A1856" s="2" t="n">
        <v>1854</v>
      </c>
      <c r="B1856" s="2" t="inlineStr">
        <is>
          <t>乙二醇多 03-20</t>
        </is>
      </c>
      <c r="C1856" s="10" t="n">
        <v>3</v>
      </c>
      <c r="D1856" s="33" t="n">
        <v>0.1</v>
      </c>
    </row>
    <row r="1857">
      <c r="A1857" s="2" t="n">
        <v>1855</v>
      </c>
      <c r="B1857" s="2" t="inlineStr">
        <is>
          <t>铁矿石多 03-18</t>
        </is>
      </c>
      <c r="C1857" s="10" t="n">
        <v>3</v>
      </c>
      <c r="D1857" s="33" t="n">
        <v>0.3</v>
      </c>
    </row>
    <row r="1858">
      <c r="A1858" s="2" t="n">
        <v>1856</v>
      </c>
      <c r="B1858" s="2" t="inlineStr">
        <is>
          <t>菜粕空 03-18</t>
        </is>
      </c>
      <c r="C1858" s="10" t="n">
        <v>2</v>
      </c>
      <c r="D1858" s="33" t="n">
        <v>0.34</v>
      </c>
    </row>
    <row r="1859">
      <c r="A1859" s="2" t="n">
        <v>1857</v>
      </c>
      <c r="B1859" s="2" t="inlineStr">
        <is>
          <t>菜油多 03-19</t>
        </is>
      </c>
      <c r="C1859" s="10" t="n">
        <v>3</v>
      </c>
      <c r="D1859" s="33" t="n">
        <v>-0.06</v>
      </c>
    </row>
    <row r="1860">
      <c r="A1860" s="2" t="n">
        <v>1858</v>
      </c>
      <c r="B1860" s="2" t="inlineStr">
        <is>
          <t>PTA多 03-23</t>
        </is>
      </c>
      <c r="C1860" s="10" t="n">
        <v>3</v>
      </c>
      <c r="D1860" s="33" t="n">
        <v>-0.02</v>
      </c>
    </row>
    <row r="1861">
      <c r="A1861" s="2" t="n">
        <v>1859</v>
      </c>
      <c r="B1861" s="2" t="inlineStr">
        <is>
          <t>沪锌空 03-18</t>
        </is>
      </c>
      <c r="C1861" s="10" t="n">
        <v>3</v>
      </c>
      <c r="D1861" s="33" t="n">
        <v>0.15</v>
      </c>
    </row>
    <row r="1862">
      <c r="A1862" s="2" t="n">
        <v>1860</v>
      </c>
      <c r="B1862" s="2" t="inlineStr">
        <is>
          <t>热卷多 03-24</t>
        </is>
      </c>
      <c r="C1862" s="10" t="n">
        <v>3</v>
      </c>
      <c r="D1862" s="33" t="n">
        <v>-0.21</v>
      </c>
    </row>
    <row r="1863">
      <c r="A1863" s="2" t="n">
        <v>1861</v>
      </c>
      <c r="B1863" s="2" t="inlineStr">
        <is>
          <t>玉米多 03-23</t>
        </is>
      </c>
      <c r="C1863" s="10" t="n">
        <v>3</v>
      </c>
      <c r="D1863" s="33" t="n">
        <v>-0.77</v>
      </c>
    </row>
    <row r="1864">
      <c r="A1864" s="2" t="n">
        <v>1862</v>
      </c>
      <c r="B1864" s="2" t="inlineStr">
        <is>
          <t>纯碱空 03-20</t>
        </is>
      </c>
      <c r="C1864" s="10" t="n">
        <v>2</v>
      </c>
      <c r="D1864" s="33" t="n">
        <v>0.22</v>
      </c>
    </row>
    <row r="1865">
      <c r="A1865" s="2" t="n">
        <v>1863</v>
      </c>
      <c r="B1865" s="2" t="inlineStr">
        <is>
          <t>玻璃空 03-25</t>
        </is>
      </c>
      <c r="C1865" s="10" t="n">
        <v>2</v>
      </c>
      <c r="D1865" s="33" t="n">
        <v>0.31</v>
      </c>
    </row>
    <row r="1866">
      <c r="A1866" s="2" t="n">
        <v>1864</v>
      </c>
      <c r="B1866" s="2" t="inlineStr">
        <is>
          <t>甲醇多 03-26</t>
        </is>
      </c>
      <c r="C1866" s="10" t="n">
        <v>3</v>
      </c>
      <c r="D1866" s="33" t="n">
        <v>-0.04</v>
      </c>
    </row>
    <row r="1867">
      <c r="A1867" s="2" t="n">
        <v>1865</v>
      </c>
      <c r="B1867" s="2" t="inlineStr">
        <is>
          <t>菜粕空 03-31</t>
        </is>
      </c>
      <c r="C1867" s="10" t="n">
        <v>3</v>
      </c>
      <c r="D1867" s="33" t="n">
        <v>0.25</v>
      </c>
    </row>
    <row r="1868">
      <c r="A1868" s="2" t="n">
        <v>1866</v>
      </c>
      <c r="B1868" s="2" t="inlineStr">
        <is>
          <t>焦煤空 04-01</t>
        </is>
      </c>
      <c r="C1868" s="10" t="n">
        <v>3</v>
      </c>
      <c r="D1868" s="33" t="n">
        <v>-0.07000000000000001</v>
      </c>
    </row>
    <row r="1869">
      <c r="A1869" s="2" t="n">
        <v>1867</v>
      </c>
      <c r="B1869" s="2" t="inlineStr">
        <is>
          <t>菜粕空 04-03</t>
        </is>
      </c>
      <c r="C1869" s="10" t="n">
        <v>3</v>
      </c>
      <c r="D1869" s="33" t="n">
        <v>-0.15</v>
      </c>
    </row>
    <row r="1870">
      <c r="A1870" s="2" t="n">
        <v>1868</v>
      </c>
      <c r="B1870" s="2" t="inlineStr">
        <is>
          <t>硅铁多 03-25</t>
        </is>
      </c>
      <c r="C1870" s="10" t="n">
        <v>2</v>
      </c>
      <c r="D1870" s="33" t="n">
        <v>-0.82</v>
      </c>
    </row>
    <row r="1871">
      <c r="A1871" s="2" t="n">
        <v>1869</v>
      </c>
      <c r="B1871" s="2" t="inlineStr">
        <is>
          <t>锰硅空 04-07</t>
        </is>
      </c>
      <c r="C1871" s="10" t="n">
        <v>2</v>
      </c>
      <c r="D1871" s="33" t="n">
        <v>0.1</v>
      </c>
    </row>
    <row r="1872">
      <c r="A1872" s="2" t="n">
        <v>1870</v>
      </c>
      <c r="B1872" s="2" t="inlineStr">
        <is>
          <t>玻璃空 04-07</t>
        </is>
      </c>
      <c r="C1872" s="10" t="n">
        <v>3</v>
      </c>
      <c r="D1872" s="33" t="n">
        <v>0.13</v>
      </c>
    </row>
    <row r="1873">
      <c r="A1873" s="2" t="n">
        <v>1871</v>
      </c>
      <c r="B1873" s="2" t="inlineStr">
        <is>
          <t>纯碱空 04-08</t>
        </is>
      </c>
      <c r="C1873" s="10" t="n">
        <v>3</v>
      </c>
      <c r="D1873" s="33" t="n">
        <v>-0.01</v>
      </c>
    </row>
    <row r="1874">
      <c r="A1874" s="2" t="n">
        <v>1872</v>
      </c>
      <c r="B1874" s="2" t="inlineStr">
        <is>
          <t>鸡蛋空 04-07</t>
        </is>
      </c>
      <c r="C1874" s="10" t="n">
        <v>3</v>
      </c>
      <c r="D1874" s="33" t="n">
        <v>-0.41</v>
      </c>
    </row>
    <row r="1875">
      <c r="A1875" s="2" t="n">
        <v>1873</v>
      </c>
      <c r="B1875" s="2" t="inlineStr">
        <is>
          <t>碳酸锂多 03-27</t>
        </is>
      </c>
      <c r="C1875" s="10" t="n">
        <v>3</v>
      </c>
      <c r="D1875" s="33" t="n">
        <v>-0.06</v>
      </c>
    </row>
    <row r="1876">
      <c r="A1876" s="2" t="n">
        <v>1874</v>
      </c>
      <c r="B1876" s="2" t="inlineStr">
        <is>
          <t>PVC空 04-08</t>
        </is>
      </c>
      <c r="C1876" s="10" t="n">
        <v>3</v>
      </c>
      <c r="D1876" s="33" t="n">
        <v>0.16</v>
      </c>
    </row>
    <row r="1877">
      <c r="A1877" s="2" t="n">
        <v>1875</v>
      </c>
      <c r="B1877" s="2" t="inlineStr">
        <is>
          <t>热卷空 04-02</t>
        </is>
      </c>
      <c r="C1877" s="10" t="n">
        <v>3</v>
      </c>
      <c r="D1877" s="33" t="n">
        <v>-0.31</v>
      </c>
    </row>
    <row r="1878">
      <c r="A1878" s="2" t="n">
        <v>1876</v>
      </c>
      <c r="B1878" s="2" t="inlineStr">
        <is>
          <t>玻璃空 04-13</t>
        </is>
      </c>
      <c r="C1878" s="10" t="n">
        <v>3</v>
      </c>
      <c r="D1878" s="33" t="n">
        <v>-0.28</v>
      </c>
    </row>
    <row r="1879">
      <c r="A1879" s="2" t="n">
        <v>1877</v>
      </c>
      <c r="B1879" s="2" t="inlineStr">
        <is>
          <t>鸡蛋多 04-13</t>
        </is>
      </c>
      <c r="C1879" s="10" t="n">
        <v>2</v>
      </c>
      <c r="D1879" s="33" t="n">
        <v>0.55</v>
      </c>
    </row>
    <row r="1880">
      <c r="A1880" s="2" t="n">
        <v>1878</v>
      </c>
      <c r="B1880" s="2" t="inlineStr">
        <is>
          <t>螺纹钢空 04-14</t>
        </is>
      </c>
      <c r="C1880" s="10" t="n">
        <v>2</v>
      </c>
      <c r="D1880" s="33" t="n">
        <v>-0.51</v>
      </c>
    </row>
    <row r="1881">
      <c r="A1881" s="2" t="n">
        <v>1879</v>
      </c>
      <c r="B1881" s="2" t="inlineStr">
        <is>
          <t>乙二醇多 04-07</t>
        </is>
      </c>
      <c r="C1881" s="10" t="n">
        <v>3</v>
      </c>
      <c r="D1881" s="33" t="n">
        <v>-0.67</v>
      </c>
    </row>
    <row r="1882">
      <c r="A1882" s="2" t="n">
        <v>1880</v>
      </c>
      <c r="B1882" s="2" t="inlineStr">
        <is>
          <t>聚丙烯多 04-07</t>
        </is>
      </c>
      <c r="C1882" s="10" t="n">
        <v>2</v>
      </c>
      <c r="D1882" s="33" t="n">
        <v>-0.63</v>
      </c>
    </row>
    <row r="1883">
      <c r="A1883" s="2" t="n">
        <v>1881</v>
      </c>
      <c r="B1883" s="2" t="inlineStr">
        <is>
          <t>沪锌多 04-08</t>
        </is>
      </c>
      <c r="C1883" s="10" t="n">
        <v>3</v>
      </c>
      <c r="D1883" s="33" t="n">
        <v>0.18</v>
      </c>
    </row>
    <row r="1884">
      <c r="A1884" s="2" t="n">
        <v>1882</v>
      </c>
      <c r="B1884" s="2" t="inlineStr">
        <is>
          <t>氧化铝空 04-14</t>
        </is>
      </c>
      <c r="C1884" s="10" t="n">
        <v>3</v>
      </c>
      <c r="D1884" s="33" t="n">
        <v>-0.01</v>
      </c>
    </row>
    <row r="1885">
      <c r="A1885" s="2" t="n">
        <v>1883</v>
      </c>
      <c r="B1885" s="2" t="inlineStr">
        <is>
          <t>沪镍多 04-15</t>
        </is>
      </c>
      <c r="C1885" s="10" t="n">
        <v>3</v>
      </c>
      <c r="D1885" s="33" t="n">
        <v>-0.04</v>
      </c>
    </row>
    <row r="1886">
      <c r="A1886" s="2" t="n">
        <v>1884</v>
      </c>
      <c r="B1886" s="2" t="inlineStr">
        <is>
          <t>纯碱空 04-13</t>
        </is>
      </c>
      <c r="C1886" s="10" t="n">
        <v>2</v>
      </c>
      <c r="D1886" s="33" t="n">
        <v>-0.44</v>
      </c>
    </row>
    <row r="1887">
      <c r="A1887" s="2" t="n">
        <v>1885</v>
      </c>
      <c r="B1887" s="2" t="inlineStr">
        <is>
          <t>锰硅空 04-20</t>
        </is>
      </c>
      <c r="C1887" s="10" t="n">
        <v>2</v>
      </c>
      <c r="D1887" s="33" t="n">
        <v>-0.04</v>
      </c>
    </row>
    <row r="1888">
      <c r="A1888" s="2" t="n">
        <v>1886</v>
      </c>
      <c r="B1888" s="2" t="inlineStr">
        <is>
          <t>豆粕空 04-01</t>
        </is>
      </c>
      <c r="C1888" s="10" t="n">
        <v>3</v>
      </c>
      <c r="D1888" s="33" t="n">
        <v>-0.36</v>
      </c>
    </row>
    <row r="1889">
      <c r="A1889" s="2" t="n">
        <v>1887</v>
      </c>
      <c r="B1889" s="2" t="inlineStr">
        <is>
          <t>菜粕空 04-17</t>
        </is>
      </c>
      <c r="C1889" s="10" t="n">
        <v>3</v>
      </c>
      <c r="D1889" s="33" t="n">
        <v>-0.74</v>
      </c>
    </row>
    <row r="1890">
      <c r="A1890" s="2" t="n">
        <v>1888</v>
      </c>
      <c r="B1890" s="2" t="inlineStr">
        <is>
          <t>玉米多 04-20</t>
        </is>
      </c>
      <c r="C1890" s="10" t="n">
        <v>3</v>
      </c>
      <c r="D1890" s="33" t="n">
        <v>0.36</v>
      </c>
    </row>
    <row r="1891">
      <c r="A1891" s="2" t="n">
        <v>1889</v>
      </c>
      <c r="B1891" s="2" t="inlineStr">
        <is>
          <t>沪锌多 04-21</t>
        </is>
      </c>
      <c r="C1891" s="10" t="n">
        <v>2</v>
      </c>
      <c r="D1891" s="33" t="n">
        <v>-0.04</v>
      </c>
    </row>
    <row r="1892">
      <c r="A1892" s="2" t="n">
        <v>1890</v>
      </c>
      <c r="B1892" s="2" t="inlineStr">
        <is>
          <t>锰硅空 04-22</t>
        </is>
      </c>
      <c r="C1892" s="10" t="n">
        <v>2</v>
      </c>
      <c r="D1892" s="33" t="n">
        <v>0.19</v>
      </c>
    </row>
    <row r="1893">
      <c r="A1893" s="2" t="n">
        <v>1891</v>
      </c>
      <c r="B1893" s="2" t="inlineStr">
        <is>
          <t>PTA多 04-22</t>
        </is>
      </c>
      <c r="C1893" s="10" t="n">
        <v>2</v>
      </c>
      <c r="D1893" s="33" t="n">
        <v>0.12</v>
      </c>
    </row>
    <row r="1894">
      <c r="A1894" s="2" t="n">
        <v>1892</v>
      </c>
      <c r="B1894" s="2" t="inlineStr">
        <is>
          <t>沪铝多 04-17</t>
        </is>
      </c>
      <c r="C1894" s="10" t="n">
        <v>2</v>
      </c>
      <c r="D1894" s="33" t="n">
        <v>-0.29</v>
      </c>
    </row>
    <row r="1895">
      <c r="A1895" s="2" t="n">
        <v>1893</v>
      </c>
      <c r="B1895" s="2" t="inlineStr">
        <is>
          <t>乙二醇多 04-23</t>
        </is>
      </c>
      <c r="C1895" s="10" t="n">
        <v>2</v>
      </c>
      <c r="D1895" s="33" t="n">
        <v>0.12</v>
      </c>
    </row>
    <row r="1896">
      <c r="A1896" s="2" t="n">
        <v>1894</v>
      </c>
      <c r="B1896" s="2" t="inlineStr">
        <is>
          <t>甲醇多 04-24</t>
        </is>
      </c>
      <c r="C1896" s="10" t="n">
        <v>2</v>
      </c>
      <c r="D1896" s="33" t="n">
        <v>0.1</v>
      </c>
    </row>
    <row r="1897">
      <c r="A1897" s="2" t="n">
        <v>1895</v>
      </c>
      <c r="B1897" s="2" t="inlineStr">
        <is>
          <t>锰硅空 04-24</t>
        </is>
      </c>
      <c r="C1897" s="10" t="n">
        <v>2</v>
      </c>
      <c r="D1897" s="33" t="n">
        <v>0.17</v>
      </c>
    </row>
    <row r="1898">
      <c r="A1898" s="2" t="n">
        <v>1896</v>
      </c>
      <c r="B1898" s="2" t="inlineStr">
        <is>
          <t>沪铝空 04-27</t>
        </is>
      </c>
      <c r="C1898" s="10" t="n">
        <v>2</v>
      </c>
      <c r="D1898" s="33" t="n">
        <v>0.1</v>
      </c>
    </row>
    <row r="1899">
      <c r="A1899" s="2" t="n">
        <v>1897</v>
      </c>
      <c r="B1899" s="2" t="inlineStr">
        <is>
          <t>豆一多 04-10</t>
        </is>
      </c>
      <c r="C1899" s="10" t="n">
        <v>2</v>
      </c>
      <c r="D1899" s="33" t="n">
        <v>0.15</v>
      </c>
    </row>
    <row r="1900">
      <c r="A1900" s="2" t="n">
        <v>1898</v>
      </c>
      <c r="B1900" s="2" t="inlineStr">
        <is>
          <t>碳酸锂多 04-20</t>
        </is>
      </c>
      <c r="C1900" s="10" t="n">
        <v>3</v>
      </c>
      <c r="D1900" s="33" t="n">
        <v>0.27</v>
      </c>
    </row>
    <row r="1901">
      <c r="A1901" s="2" t="n">
        <v>1899</v>
      </c>
      <c r="B1901" s="2" t="inlineStr">
        <is>
          <t>白糖空 04-20</t>
        </is>
      </c>
      <c r="C1901" s="10" t="n">
        <v>3</v>
      </c>
      <c r="D1901" s="33" t="n">
        <v>-0.82</v>
      </c>
    </row>
    <row r="1902">
      <c r="A1902" s="2" t="n">
        <v>1900</v>
      </c>
      <c r="B1902" s="2" t="inlineStr">
        <is>
          <t>碳酸锂多 05-06</t>
        </is>
      </c>
      <c r="C1902" s="10" t="n">
        <v>3</v>
      </c>
      <c r="D1902" s="33" t="n">
        <v>0</v>
      </c>
    </row>
    <row r="1903">
      <c r="A1903" s="2" t="n">
        <v>1901</v>
      </c>
      <c r="B1903" s="2" t="inlineStr">
        <is>
          <t>棉花多 04-22</t>
        </is>
      </c>
      <c r="C1903" s="10" t="n">
        <v>3</v>
      </c>
      <c r="D1903" s="33" t="n">
        <v>0.1</v>
      </c>
    </row>
    <row r="1904">
      <c r="A1904" s="2" t="n">
        <v>1902</v>
      </c>
      <c r="B1904" s="2" t="inlineStr">
        <is>
          <t>热卷多 04-30</t>
        </is>
      </c>
      <c r="C1904" s="10" t="n">
        <v>3</v>
      </c>
      <c r="D1904" s="33" t="n">
        <v>0.68</v>
      </c>
    </row>
    <row r="1905">
      <c r="A1905" s="2" t="n">
        <v>1903</v>
      </c>
      <c r="B1905" s="2" t="inlineStr">
        <is>
          <t>螺纹钢多 05-08</t>
        </is>
      </c>
      <c r="C1905" s="10" t="n">
        <v>2</v>
      </c>
      <c r="D1905" s="33" t="n">
        <v>0.26</v>
      </c>
    </row>
    <row r="1906">
      <c r="A1906" s="2" t="n">
        <v>1904</v>
      </c>
      <c r="B1906" s="2" t="inlineStr">
        <is>
          <t>沪铜多 04-22</t>
        </is>
      </c>
      <c r="C1906" s="10" t="n">
        <v>3</v>
      </c>
      <c r="D1906" s="33" t="n">
        <v>0.65</v>
      </c>
    </row>
    <row r="1907">
      <c r="A1907" s="2" t="n">
        <v>1905</v>
      </c>
      <c r="B1907" s="2" t="inlineStr">
        <is>
          <t>聚丙烯多 04-28</t>
        </is>
      </c>
      <c r="C1907" s="10" t="n">
        <v>3</v>
      </c>
      <c r="D1907" s="33" t="n">
        <v>0.03</v>
      </c>
    </row>
    <row r="1908">
      <c r="A1908" s="2" t="n">
        <v>1906</v>
      </c>
      <c r="B1908" s="2" t="inlineStr">
        <is>
          <t>白糖多 05-07</t>
        </is>
      </c>
      <c r="C1908" s="10" t="n">
        <v>3</v>
      </c>
      <c r="D1908" s="33" t="n">
        <v>0.04</v>
      </c>
    </row>
    <row r="1909">
      <c r="A1909" s="2" t="n">
        <v>1907</v>
      </c>
      <c r="B1909" s="2" t="inlineStr">
        <is>
          <t>锰硅空 05-11</t>
        </is>
      </c>
      <c r="C1909" s="10" t="n">
        <v>3</v>
      </c>
      <c r="D1909" s="33" t="n">
        <v>0.39</v>
      </c>
    </row>
    <row r="1910">
      <c r="A1910" s="2" t="n">
        <v>1908</v>
      </c>
      <c r="B1910" s="2" t="inlineStr">
        <is>
          <t>沥青多 05-12</t>
        </is>
      </c>
      <c r="C1910" s="10" t="n">
        <v>3</v>
      </c>
      <c r="D1910" s="33" t="n">
        <v>0.02</v>
      </c>
    </row>
    <row r="1911">
      <c r="A1911" s="2" t="n">
        <v>1909</v>
      </c>
      <c r="B1911" s="2" t="inlineStr">
        <is>
          <t>工业硅空 05-15</t>
        </is>
      </c>
      <c r="C1911" s="10" t="n">
        <v>2</v>
      </c>
      <c r="D1911" s="33" t="n">
        <v>0.04</v>
      </c>
    </row>
    <row r="1912">
      <c r="A1912" s="2" t="n">
        <v>1910</v>
      </c>
      <c r="B1912" s="2" t="inlineStr">
        <is>
          <t>玻璃空 04-24</t>
        </is>
      </c>
      <c r="C1912" s="10" t="n">
        <v>3</v>
      </c>
      <c r="D1912" s="33" t="n">
        <v>0.91</v>
      </c>
    </row>
    <row r="1913">
      <c r="A1913" s="2" t="n">
        <v>1911</v>
      </c>
      <c r="B1913" s="2" t="inlineStr">
        <is>
          <t>玉米空 05-11</t>
        </is>
      </c>
      <c r="C1913" s="10" t="n">
        <v>2</v>
      </c>
      <c r="D1913" s="33" t="n">
        <v>-0.14</v>
      </c>
    </row>
    <row r="1914">
      <c r="A1914" s="2" t="n">
        <v>1912</v>
      </c>
      <c r="B1914" s="2" t="inlineStr">
        <is>
          <t>硅铁多 04-16</t>
        </is>
      </c>
      <c r="C1914" s="10" t="n">
        <v>2</v>
      </c>
      <c r="D1914" s="33" t="n">
        <v>0.49</v>
      </c>
    </row>
    <row r="1915">
      <c r="A1915" s="2" t="n">
        <v>1913</v>
      </c>
      <c r="B1915" s="2" t="inlineStr">
        <is>
          <t>甲醇多 05-18</t>
        </is>
      </c>
      <c r="C1915" s="10" t="n">
        <v>2</v>
      </c>
      <c r="D1915" s="33" t="n">
        <v>0.08</v>
      </c>
    </row>
    <row r="1916">
      <c r="A1916" s="2" t="n">
        <v>1914</v>
      </c>
      <c r="B1916" s="2" t="inlineStr">
        <is>
          <t>沥青多 05-19</t>
        </is>
      </c>
      <c r="C1916" s="10" t="n">
        <v>3</v>
      </c>
      <c r="D1916" s="33" t="n">
        <v>0.04</v>
      </c>
    </row>
    <row r="1917">
      <c r="A1917" s="2" t="n">
        <v>1915</v>
      </c>
      <c r="B1917" s="2" t="inlineStr">
        <is>
          <t>铁矿石多 05-11</t>
        </is>
      </c>
      <c r="C1917" s="10" t="n">
        <v>3</v>
      </c>
      <c r="D1917" s="33" t="n">
        <v>-0.87</v>
      </c>
    </row>
    <row r="1918">
      <c r="A1918" s="2" t="n">
        <v>1916</v>
      </c>
      <c r="B1918" s="2" t="inlineStr">
        <is>
          <t>纯碱空 05-15</t>
        </is>
      </c>
      <c r="C1918" s="10" t="n">
        <v>3</v>
      </c>
      <c r="D1918" s="33" t="n">
        <v>0.14</v>
      </c>
    </row>
    <row r="1919">
      <c r="A1919" s="2" t="n">
        <v>1917</v>
      </c>
      <c r="B1919" s="2" t="inlineStr">
        <is>
          <t>聚丙烯多 05-18</t>
        </is>
      </c>
      <c r="C1919" s="10" t="n">
        <v>2</v>
      </c>
      <c r="D1919" s="33" t="n">
        <v>0.14</v>
      </c>
    </row>
    <row r="1920">
      <c r="A1920" s="2" t="n">
        <v>1918</v>
      </c>
      <c r="B1920" s="2" t="inlineStr">
        <is>
          <t>尿素空 05-18</t>
        </is>
      </c>
      <c r="C1920" s="10" t="n">
        <v>3</v>
      </c>
      <c r="D1920" s="33" t="n">
        <v>0.03</v>
      </c>
    </row>
    <row r="1921">
      <c r="A1921" s="2" t="n">
        <v>1919</v>
      </c>
      <c r="B1921" s="2" t="inlineStr">
        <is>
          <t>玻璃空 05-20</t>
        </is>
      </c>
      <c r="C1921" s="10" t="n">
        <v>3</v>
      </c>
      <c r="D1921" s="33" t="n">
        <v>-0.23</v>
      </c>
    </row>
    <row r="1922">
      <c r="A1922" s="2" t="n">
        <v>1920</v>
      </c>
      <c r="B1922" s="2" t="inlineStr">
        <is>
          <t>沥青多 05-21</t>
        </is>
      </c>
      <c r="C1922" s="10" t="n">
        <v>2</v>
      </c>
      <c r="D1922" s="33" t="n">
        <v>-0.21</v>
      </c>
    </row>
    <row r="1923">
      <c r="A1923" s="2" t="n">
        <v>1921</v>
      </c>
      <c r="B1923" s="2" t="inlineStr">
        <is>
          <t>PVC空 05-21</t>
        </is>
      </c>
      <c r="C1923" s="10" t="n">
        <v>3</v>
      </c>
      <c r="D1923" s="33" t="n">
        <v>0.06</v>
      </c>
    </row>
    <row r="1924">
      <c r="A1924" s="2" t="n">
        <v>1922</v>
      </c>
      <c r="B1924" s="2" t="inlineStr">
        <is>
          <t>氧化铝空 04-24</t>
        </is>
      </c>
      <c r="C1924" s="10" t="n">
        <v>3</v>
      </c>
      <c r="D1924" s="33" t="n">
        <v>0.21</v>
      </c>
    </row>
    <row r="1925">
      <c r="A1925" s="2" t="n">
        <v>1923</v>
      </c>
      <c r="B1925" s="2" t="inlineStr">
        <is>
          <t>玉米空 05-21</t>
        </is>
      </c>
      <c r="C1925" s="10" t="n">
        <v>3</v>
      </c>
      <c r="D1925" s="33" t="n">
        <v>0.2</v>
      </c>
    </row>
    <row r="1926">
      <c r="A1926" s="2" t="n">
        <v>1924</v>
      </c>
      <c r="B1926" s="2" t="inlineStr">
        <is>
          <t>玉米淀粉空 05-20</t>
        </is>
      </c>
      <c r="C1926" s="10" t="n">
        <v>3</v>
      </c>
      <c r="D1926" s="33" t="n">
        <v>0.05</v>
      </c>
    </row>
    <row r="1927">
      <c r="A1927" s="2" t="n">
        <v>1925</v>
      </c>
      <c r="B1927" s="2" t="inlineStr">
        <is>
          <t>锰硅空 05-22</t>
        </is>
      </c>
      <c r="C1927" s="10" t="n">
        <v>3</v>
      </c>
      <c r="D1927" s="33" t="n">
        <v>-0.07000000000000001</v>
      </c>
    </row>
    <row r="1928">
      <c r="A1928" s="2" t="n">
        <v>1926</v>
      </c>
      <c r="B1928" s="2" t="inlineStr">
        <is>
          <t>棕榈油空 05-26</t>
        </is>
      </c>
      <c r="C1928" s="10" t="n">
        <v>2</v>
      </c>
      <c r="D1928" s="33" t="n">
        <v>-0.04</v>
      </c>
    </row>
    <row r="1929">
      <c r="A1929" s="2" t="n">
        <v>1927</v>
      </c>
      <c r="B1929" s="2" t="inlineStr">
        <is>
          <t>PVC空 05-26</t>
        </is>
      </c>
      <c r="C1929" s="10" t="n">
        <v>2</v>
      </c>
      <c r="D1929" s="33" t="n">
        <v>-0.06</v>
      </c>
    </row>
    <row r="1930">
      <c r="A1930" s="2" t="n">
        <v>1928</v>
      </c>
      <c r="B1930" s="2" t="inlineStr">
        <is>
          <t>螺纹钢空 05-21</t>
        </is>
      </c>
      <c r="C1930" s="10" t="n">
        <v>3</v>
      </c>
      <c r="D1930" s="33" t="n">
        <v>0.3</v>
      </c>
    </row>
    <row r="1931">
      <c r="A1931" s="2" t="n">
        <v>1929</v>
      </c>
      <c r="B1931" s="2" t="inlineStr">
        <is>
          <t>鸡蛋多 05-20</t>
        </is>
      </c>
      <c r="C1931" s="10" t="n">
        <v>2</v>
      </c>
      <c r="D1931" s="33" t="n">
        <v>1.62</v>
      </c>
    </row>
    <row r="1932">
      <c r="A1932" s="2" t="n">
        <v>1930</v>
      </c>
      <c r="B1932" s="2" t="inlineStr">
        <is>
          <t>沪锌多 05-29</t>
        </is>
      </c>
      <c r="C1932" s="10" t="n">
        <v>3</v>
      </c>
      <c r="D1932" s="33" t="n">
        <v>0.09</v>
      </c>
    </row>
    <row r="1933">
      <c r="A1933" s="2" t="n">
        <v>1931</v>
      </c>
      <c r="B1933" s="2" t="inlineStr">
        <is>
          <t>沥青多 06-01</t>
        </is>
      </c>
      <c r="C1933" s="10" t="n">
        <v>2</v>
      </c>
      <c r="D1933" s="33" t="n">
        <v>-0.01</v>
      </c>
    </row>
    <row r="1934">
      <c r="A1934" s="2" t="n">
        <v>1932</v>
      </c>
      <c r="B1934" s="2" t="inlineStr">
        <is>
          <t>纸浆空 06-02</t>
        </is>
      </c>
      <c r="C1934" s="10" t="n">
        <v>3</v>
      </c>
      <c r="D1934" s="33" t="n">
        <v>0</v>
      </c>
    </row>
    <row r="1935">
      <c r="A1935" s="2" t="n">
        <v>1933</v>
      </c>
      <c r="B1935" s="2" t="inlineStr">
        <is>
          <t>玻璃空 05-22</t>
        </is>
      </c>
      <c r="C1935" s="10" t="n">
        <v>3</v>
      </c>
      <c r="D1935" s="33" t="n">
        <v>-0.11</v>
      </c>
    </row>
    <row r="1936">
      <c r="A1936" s="2" t="n">
        <v>1934</v>
      </c>
      <c r="B1936" s="2" t="inlineStr">
        <is>
          <t>菜粕空 05-28</t>
        </is>
      </c>
      <c r="C1936" s="10" t="n">
        <v>3</v>
      </c>
      <c r="D1936" s="33" t="n">
        <v>0.2</v>
      </c>
    </row>
    <row r="1937">
      <c r="A1937" s="2" t="n">
        <v>1935</v>
      </c>
      <c r="B1937" s="2" t="inlineStr">
        <is>
          <t>铁矿石空 06-03</t>
        </is>
      </c>
      <c r="C1937" s="10" t="n">
        <v>2</v>
      </c>
      <c r="D1937" s="33" t="n">
        <v>0.38</v>
      </c>
    </row>
    <row r="1938">
      <c r="A1938" s="2" t="n">
        <v>1936</v>
      </c>
      <c r="B1938" s="2" t="inlineStr">
        <is>
          <t>纸浆空 06-04</t>
        </is>
      </c>
      <c r="C1938" s="10" t="n">
        <v>3</v>
      </c>
      <c r="D1938" s="33" t="n">
        <v>-0.25</v>
      </c>
    </row>
    <row r="1939">
      <c r="A1939" s="2" t="n">
        <v>1937</v>
      </c>
      <c r="B1939" s="2" t="inlineStr">
        <is>
          <t>尿素空 06-04</t>
        </is>
      </c>
      <c r="C1939" s="10" t="n">
        <v>3</v>
      </c>
      <c r="D1939" s="33" t="n">
        <v>0.07000000000000001</v>
      </c>
    </row>
    <row r="1940">
      <c r="A1940" s="2" t="n">
        <v>1938</v>
      </c>
      <c r="B1940" s="2" t="inlineStr">
        <is>
          <t>棉花多 05-14</t>
        </is>
      </c>
      <c r="C1940" s="10" t="n">
        <v>2</v>
      </c>
      <c r="D1940" s="33" t="n">
        <v>-0.47</v>
      </c>
    </row>
    <row r="1941">
      <c r="A1941" s="2" t="n">
        <v>1939</v>
      </c>
      <c r="B1941" s="2" t="inlineStr">
        <is>
          <t>棕榈油多 06-03</t>
        </is>
      </c>
      <c r="C1941" s="10" t="n">
        <v>2</v>
      </c>
      <c r="D1941" s="33" t="n">
        <v>-0.96</v>
      </c>
    </row>
    <row r="1942">
      <c r="A1942" s="2" t="n">
        <v>1940</v>
      </c>
      <c r="B1942" s="2" t="inlineStr">
        <is>
          <t>螺纹钢空 06-05</t>
        </is>
      </c>
      <c r="C1942" s="10" t="n">
        <v>2</v>
      </c>
      <c r="D1942" s="33" t="n">
        <v>0.09</v>
      </c>
    </row>
    <row r="1943">
      <c r="A1943" s="2" t="n">
        <v>1941</v>
      </c>
      <c r="B1943" s="2" t="inlineStr">
        <is>
          <t>玻璃空 06-08</t>
        </is>
      </c>
      <c r="C1943" s="10" t="n">
        <v>3</v>
      </c>
      <c r="D1943" s="33" t="n">
        <v>0.08</v>
      </c>
    </row>
    <row r="1944">
      <c r="A1944" s="2" t="n">
        <v>1942</v>
      </c>
      <c r="B1944" s="2" t="inlineStr">
        <is>
          <t>乙二醇空 05-29</t>
        </is>
      </c>
      <c r="C1944" s="10" t="n">
        <v>3</v>
      </c>
      <c r="D1944" s="33" t="n">
        <v>-0.4</v>
      </c>
    </row>
    <row r="1945">
      <c r="A1945" s="2" t="n">
        <v>1943</v>
      </c>
      <c r="B1945" s="2" t="inlineStr">
        <is>
          <t>热卷空 06-04</t>
        </is>
      </c>
      <c r="C1945" s="10" t="n">
        <v>3</v>
      </c>
      <c r="D1945" s="33" t="n">
        <v>0.13</v>
      </c>
    </row>
    <row r="1946">
      <c r="A1946" s="2" t="n">
        <v>1944</v>
      </c>
      <c r="B1946" s="2" t="inlineStr">
        <is>
          <t>尿素空 06-11</t>
        </is>
      </c>
      <c r="C1946" s="10" t="n">
        <v>2</v>
      </c>
      <c r="D1946" s="33" t="n">
        <v>-0.02</v>
      </c>
    </row>
    <row r="1947">
      <c r="A1947" s="2" t="n">
        <v>1945</v>
      </c>
      <c r="B1947" s="2" t="inlineStr">
        <is>
          <t>纯碱空 05-22</t>
        </is>
      </c>
      <c r="C1947" s="10" t="n">
        <v>2</v>
      </c>
      <c r="D1947" s="33" t="n">
        <v>0.14</v>
      </c>
    </row>
    <row r="1948">
      <c r="A1948" s="2" t="n">
        <v>1946</v>
      </c>
      <c r="B1948" s="2" t="inlineStr">
        <is>
          <t>沥青多 06-05</t>
        </is>
      </c>
      <c r="C1948" s="10" t="n">
        <v>3</v>
      </c>
      <c r="D1948" s="33" t="n">
        <v>-0.34</v>
      </c>
    </row>
    <row r="1949">
      <c r="A1949" s="2" t="n">
        <v>1947</v>
      </c>
      <c r="B1949" s="2" t="inlineStr">
        <is>
          <t>玻璃空 06-12</t>
        </is>
      </c>
      <c r="C1949" s="10" t="n">
        <v>3</v>
      </c>
      <c r="D1949" s="33" t="n">
        <v>-0.43</v>
      </c>
    </row>
    <row r="1950">
      <c r="A1950" s="2" t="n">
        <v>1948</v>
      </c>
      <c r="B1950" s="2" t="inlineStr">
        <is>
          <t>尿素空 06-16</t>
        </is>
      </c>
      <c r="C1950" s="10" t="n">
        <v>3</v>
      </c>
      <c r="D1950" s="33" t="n">
        <v>-0.27</v>
      </c>
    </row>
    <row r="1951">
      <c r="A1951" s="2" t="n">
        <v>1949</v>
      </c>
      <c r="B1951" s="2" t="inlineStr">
        <is>
          <t>工业硅多 05-25</t>
        </is>
      </c>
      <c r="C1951" s="10" t="n">
        <v>2</v>
      </c>
      <c r="D1951" s="33" t="n">
        <v>0</v>
      </c>
    </row>
    <row r="1952">
      <c r="A1952" s="2" t="n">
        <v>1950</v>
      </c>
      <c r="B1952" s="2" t="inlineStr">
        <is>
          <t>菜粕空 06-09</t>
        </is>
      </c>
      <c r="C1952" s="10" t="n">
        <v>3</v>
      </c>
      <c r="D1952" s="33" t="n">
        <v>-0.7</v>
      </c>
    </row>
    <row r="1953">
      <c r="A1953" s="2" t="n">
        <v>1951</v>
      </c>
      <c r="B1953" s="2" t="inlineStr">
        <is>
          <t>甲醇空 06-17</t>
        </is>
      </c>
      <c r="C1953" s="10" t="n">
        <v>3</v>
      </c>
      <c r="D1953" s="33" t="n">
        <v>0.33</v>
      </c>
    </row>
    <row r="1954">
      <c r="A1954" s="2" t="n">
        <v>1952</v>
      </c>
      <c r="B1954" s="2" t="inlineStr">
        <is>
          <t>铁矿石空 06-08</t>
        </is>
      </c>
      <c r="C1954" s="10" t="n">
        <v>3</v>
      </c>
      <c r="D1954" s="33" t="n">
        <v>0.68</v>
      </c>
    </row>
    <row r="1955">
      <c r="A1955" s="2" t="n">
        <v>1953</v>
      </c>
      <c r="B1955" s="2" t="inlineStr">
        <is>
          <t>硅铁多 06-10</t>
        </is>
      </c>
      <c r="C1955" s="10" t="n">
        <v>2</v>
      </c>
      <c r="D1955" s="33" t="n">
        <v>-0.58</v>
      </c>
    </row>
    <row r="1956">
      <c r="A1956" s="2" t="n">
        <v>1954</v>
      </c>
      <c r="B1956" s="2" t="inlineStr">
        <is>
          <t>塑料空 06-15</t>
        </is>
      </c>
      <c r="C1956" s="10" t="n">
        <v>2</v>
      </c>
      <c r="D1956" s="33" t="n">
        <v>0.89</v>
      </c>
    </row>
    <row r="1957">
      <c r="A1957" s="2" t="n">
        <v>1955</v>
      </c>
      <c r="B1957" s="2" t="inlineStr">
        <is>
          <t>菜油空 06-15</t>
        </is>
      </c>
      <c r="C1957" s="10" t="n">
        <v>2</v>
      </c>
      <c r="D1957" s="33" t="n">
        <v>0.14</v>
      </c>
    </row>
    <row r="1958">
      <c r="A1958" s="2" t="n">
        <v>1956</v>
      </c>
      <c r="B1958" s="2" t="inlineStr">
        <is>
          <t>PVC空 06-11</t>
        </is>
      </c>
      <c r="C1958" s="10" t="n">
        <v>3</v>
      </c>
      <c r="D1958" s="33" t="n">
        <v>0.76</v>
      </c>
    </row>
    <row r="1959">
      <c r="A1959" s="2" t="n">
        <v>1957</v>
      </c>
      <c r="B1959" s="2" t="inlineStr">
        <is>
          <t>玻璃空 06-22</t>
        </is>
      </c>
      <c r="C1959" s="10" t="n">
        <v>3</v>
      </c>
      <c r="D1959" s="33" t="n">
        <v>0.03</v>
      </c>
    </row>
    <row r="1960">
      <c r="A1960" s="2" t="n">
        <v>1958</v>
      </c>
      <c r="B1960" s="2" t="inlineStr">
        <is>
          <t>沥青空 06-23</t>
        </is>
      </c>
      <c r="C1960" s="10" t="n">
        <v>3</v>
      </c>
      <c r="D1960" s="33" t="n">
        <v>-0.05</v>
      </c>
    </row>
    <row r="1961">
      <c r="A1961" s="2" t="n">
        <v>1959</v>
      </c>
      <c r="B1961" s="2" t="inlineStr">
        <is>
          <t>玉米多 06-11</t>
        </is>
      </c>
      <c r="C1961" s="10" t="n">
        <v>2</v>
      </c>
      <c r="D1961" s="33" t="n">
        <v>-0.82</v>
      </c>
    </row>
    <row r="1962">
      <c r="A1962" s="2" t="n">
        <v>1960</v>
      </c>
      <c r="B1962" s="2" t="inlineStr">
        <is>
          <t>豆粕空 06-04</t>
        </is>
      </c>
      <c r="C1962" s="10" t="n">
        <v>3</v>
      </c>
      <c r="D1962" s="33" t="n">
        <v>-0.26</v>
      </c>
    </row>
    <row r="1963">
      <c r="A1963" s="2" t="n">
        <v>1961</v>
      </c>
      <c r="B1963" s="2" t="inlineStr">
        <is>
          <t>苯乙烯空 06-16</t>
        </is>
      </c>
      <c r="C1963" s="10" t="n">
        <v>2</v>
      </c>
      <c r="D1963" s="33" t="n">
        <v>0.5</v>
      </c>
    </row>
    <row r="1964">
      <c r="A1964" s="2" t="n">
        <v>1962</v>
      </c>
      <c r="B1964" s="2" t="inlineStr">
        <is>
          <t>纯碱空 06-24</t>
        </is>
      </c>
      <c r="C1964" s="10" t="n">
        <v>3</v>
      </c>
      <c r="D1964" s="33" t="n">
        <v>0.28</v>
      </c>
    </row>
    <row r="1965">
      <c r="A1965" s="2" t="n">
        <v>1963</v>
      </c>
      <c r="B1965" s="2" t="inlineStr">
        <is>
          <t>PVC空 06-25</t>
        </is>
      </c>
      <c r="C1965" s="10" t="n">
        <v>3</v>
      </c>
      <c r="D1965" s="33" t="n">
        <v>0.01</v>
      </c>
    </row>
    <row r="1966">
      <c r="A1966" s="2" t="n">
        <v>1964</v>
      </c>
      <c r="B1966" s="2" t="inlineStr">
        <is>
          <t>尿素空 06-23</t>
        </is>
      </c>
      <c r="C1966" s="10" t="n">
        <v>3</v>
      </c>
      <c r="D1966" s="33" t="n">
        <v>0.4</v>
      </c>
    </row>
    <row r="1967">
      <c r="A1967" s="2" t="n">
        <v>1965</v>
      </c>
      <c r="B1967" s="2" t="inlineStr">
        <is>
          <t>工业硅空 06-29</t>
        </is>
      </c>
      <c r="C1967" s="10" t="n">
        <v>3</v>
      </c>
      <c r="D1967" s="33" t="n">
        <v>0.09</v>
      </c>
    </row>
    <row r="1968">
      <c r="A1968" s="2" t="n">
        <v>1966</v>
      </c>
      <c r="B1968" s="2" t="inlineStr">
        <is>
          <t>PVC空 07-01</t>
        </is>
      </c>
      <c r="C1968" s="10" t="n">
        <v>3</v>
      </c>
      <c r="D1968" s="33" t="n">
        <v>-0.19</v>
      </c>
    </row>
    <row r="1969">
      <c r="A1969" s="2" t="n">
        <v>1967</v>
      </c>
      <c r="B1969" s="2" t="inlineStr">
        <is>
          <t>豆油空 06-05</t>
        </is>
      </c>
      <c r="C1969" s="10" t="n">
        <v>2</v>
      </c>
      <c r="D1969" s="33" t="n">
        <v>-0.19</v>
      </c>
    </row>
    <row r="1970">
      <c r="A1970" s="2" t="n">
        <v>1968</v>
      </c>
      <c r="B1970" s="2" t="inlineStr">
        <is>
          <t>白糖空 06-09</t>
        </is>
      </c>
      <c r="C1970" s="10" t="n">
        <v>3</v>
      </c>
      <c r="D1970" s="33" t="n">
        <v>-0.13</v>
      </c>
    </row>
    <row r="1971">
      <c r="A1971" s="2" t="n">
        <v>1969</v>
      </c>
      <c r="B1971" s="2" t="inlineStr">
        <is>
          <t>锰硅空 07-01</t>
        </is>
      </c>
      <c r="C1971" s="10" t="n">
        <v>3</v>
      </c>
      <c r="D1971" s="33" t="n">
        <v>-0.8100000000000001</v>
      </c>
    </row>
    <row r="1972">
      <c r="A1972" s="2" t="n">
        <v>1970</v>
      </c>
      <c r="B1972" s="2" t="inlineStr">
        <is>
          <t>玻璃空 07-01</t>
        </is>
      </c>
      <c r="C1972" s="10" t="n">
        <v>3</v>
      </c>
      <c r="D1972" s="33" t="n">
        <v>-0.04</v>
      </c>
    </row>
    <row r="1973">
      <c r="A1973" s="2" t="n">
        <v>1971</v>
      </c>
      <c r="B1973" s="2" t="inlineStr">
        <is>
          <t>鸡蛋多 07-03</t>
        </is>
      </c>
      <c r="C1973" s="10" t="n">
        <v>2</v>
      </c>
      <c r="D1973" s="33" t="n">
        <v>0.3</v>
      </c>
    </row>
    <row r="1974">
      <c r="A1974" s="2" t="n">
        <v>1972</v>
      </c>
      <c r="B1974" s="2" t="inlineStr">
        <is>
          <t>工业硅空 07-03</t>
        </is>
      </c>
      <c r="C1974" s="10" t="n">
        <v>3</v>
      </c>
      <c r="D1974" s="33" t="n">
        <v>0.58</v>
      </c>
    </row>
    <row r="1975">
      <c r="A1975" s="2" t="n">
        <v>1973</v>
      </c>
      <c r="B1975" s="2" t="inlineStr">
        <is>
          <t>菜粕多 07-07</t>
        </is>
      </c>
      <c r="C1975" s="10" t="n">
        <v>3</v>
      </c>
      <c r="D1975" s="33" t="n">
        <v>-0.14</v>
      </c>
    </row>
    <row r="1976">
      <c r="A1976" s="2" t="n">
        <v>1974</v>
      </c>
      <c r="B1976" s="2" t="inlineStr">
        <is>
          <t>沪镍空 06-24</t>
        </is>
      </c>
      <c r="C1976" s="10" t="n">
        <v>3</v>
      </c>
      <c r="D1976" s="33" t="n">
        <v>0.18</v>
      </c>
    </row>
    <row r="1977">
      <c r="A1977" s="2" t="n">
        <v>1975</v>
      </c>
      <c r="B1977" s="2" t="inlineStr">
        <is>
          <t>螺纹钢空 07-13</t>
        </is>
      </c>
      <c r="C1977" s="10" t="n">
        <v>3</v>
      </c>
      <c r="D1977" s="33" t="n">
        <v>-0.85</v>
      </c>
    </row>
    <row r="1978">
      <c r="A1978" s="2" t="n">
        <v>1976</v>
      </c>
      <c r="B1978" s="2" t="inlineStr">
        <is>
          <t>乙二醇多 07-14</t>
        </is>
      </c>
      <c r="C1978" s="10" t="n">
        <v>2</v>
      </c>
      <c r="D1978" s="33" t="n">
        <v>0.18</v>
      </c>
    </row>
    <row r="1979">
      <c r="A1979" s="2" t="n">
        <v>1977</v>
      </c>
      <c r="B1979" s="2" t="inlineStr">
        <is>
          <t>烧碱空 07-07</t>
        </is>
      </c>
      <c r="C1979" s="10" t="n">
        <v>3</v>
      </c>
      <c r="D1979" s="33" t="n">
        <v>-0.12</v>
      </c>
    </row>
    <row r="1980">
      <c r="A1980" s="2" t="n">
        <v>1978</v>
      </c>
      <c r="B1980" s="2" t="inlineStr">
        <is>
          <t>塑料多 07-14</t>
        </is>
      </c>
      <c r="C1980" s="10" t="n">
        <v>2</v>
      </c>
      <c r="D1980" s="33" t="n">
        <v>-0.09</v>
      </c>
    </row>
    <row r="1981">
      <c r="A1981" s="2" t="n">
        <v>1979</v>
      </c>
      <c r="B1981" s="2" t="inlineStr">
        <is>
          <t>尿素空 07-03</t>
        </is>
      </c>
      <c r="C1981" s="10" t="n">
        <v>3</v>
      </c>
      <c r="D1981" s="33" t="n">
        <v>0.33</v>
      </c>
    </row>
    <row r="1982">
      <c r="A1982" s="2" t="n">
        <v>1980</v>
      </c>
      <c r="B1982" s="2" t="inlineStr">
        <is>
          <t>螺纹钢多 07-15</t>
        </is>
      </c>
      <c r="C1982" s="10" t="n">
        <v>3</v>
      </c>
      <c r="D1982" s="33" t="n">
        <v>0.01</v>
      </c>
    </row>
    <row r="1983">
      <c r="A1983" s="2" t="n">
        <v>1981</v>
      </c>
      <c r="B1983" s="2" t="inlineStr">
        <is>
          <t>乙二醇多 07-17</t>
        </is>
      </c>
      <c r="C1983" s="10" t="n">
        <v>2</v>
      </c>
      <c r="D1983" s="33" t="n">
        <v>0.31</v>
      </c>
    </row>
    <row r="1984">
      <c r="A1984" s="2" t="n">
        <v>1982</v>
      </c>
      <c r="B1984" s="2" t="inlineStr">
        <is>
          <t>菜油多 07-16</t>
        </is>
      </c>
      <c r="C1984" s="10" t="n">
        <v>3</v>
      </c>
      <c r="D1984" s="33" t="n">
        <v>-0.04</v>
      </c>
    </row>
    <row r="1985">
      <c r="A1985" s="2" t="n">
        <v>1983</v>
      </c>
      <c r="B1985" s="2" t="inlineStr">
        <is>
          <t>豆油多 07-06</t>
        </is>
      </c>
      <c r="C1985" s="10" t="n">
        <v>3</v>
      </c>
      <c r="D1985" s="33" t="n">
        <v>-0.3</v>
      </c>
    </row>
    <row r="1986">
      <c r="A1986" s="2" t="n">
        <v>1984</v>
      </c>
      <c r="B1986" s="2" t="inlineStr">
        <is>
          <t>沥青多 07-21</t>
        </is>
      </c>
      <c r="C1986" s="10" t="n">
        <v>2</v>
      </c>
      <c r="D1986" s="33" t="n">
        <v>-0.03</v>
      </c>
    </row>
    <row r="1987">
      <c r="A1987" s="2" t="n">
        <v>1985</v>
      </c>
      <c r="B1987" s="2" t="inlineStr">
        <is>
          <t>沪铜多 07-21</t>
        </is>
      </c>
      <c r="C1987" s="10" t="n">
        <v>3</v>
      </c>
      <c r="D1987" s="33" t="n">
        <v>-0.05</v>
      </c>
    </row>
    <row r="1988">
      <c r="A1988" s="2" t="n">
        <v>1986</v>
      </c>
      <c r="B1988" s="2" t="inlineStr">
        <is>
          <t>菜粕多 07-23</t>
        </is>
      </c>
      <c r="C1988" s="10" t="n">
        <v>2</v>
      </c>
      <c r="D1988" s="33" t="n">
        <v>0.79</v>
      </c>
    </row>
    <row r="1989">
      <c r="A1989" s="2" t="n">
        <v>1987</v>
      </c>
      <c r="B1989" s="2" t="inlineStr">
        <is>
          <t>PVC多 07-23</t>
        </is>
      </c>
      <c r="C1989" s="10" t="n">
        <v>2</v>
      </c>
      <c r="D1989" s="33" t="n">
        <v>0.01</v>
      </c>
    </row>
    <row r="1990">
      <c r="A1990" s="2" t="n">
        <v>1988</v>
      </c>
      <c r="B1990" s="2" t="inlineStr">
        <is>
          <t>硅铁空 07-10</t>
        </is>
      </c>
      <c r="C1990" s="10" t="n">
        <v>2</v>
      </c>
      <c r="D1990" s="33" t="n">
        <v>-0.66</v>
      </c>
    </row>
    <row r="1991">
      <c r="A1991" s="2" t="n">
        <v>1989</v>
      </c>
      <c r="B1991" s="2" t="inlineStr">
        <is>
          <t>热卷空 06-30</t>
        </is>
      </c>
      <c r="C1991" s="10" t="n">
        <v>2</v>
      </c>
      <c r="D1991" s="33" t="n">
        <v>0.41</v>
      </c>
    </row>
    <row r="1992">
      <c r="A1992" s="2" t="n">
        <v>1990</v>
      </c>
      <c r="B1992" s="2" t="inlineStr">
        <is>
          <t>豆粕多 07-01</t>
        </is>
      </c>
      <c r="C1992" s="10" t="n">
        <v>3</v>
      </c>
      <c r="D1992" s="33" t="n">
        <v>1.47</v>
      </c>
    </row>
    <row r="1993">
      <c r="A1993" s="2" t="n">
        <v>1991</v>
      </c>
      <c r="B1993" s="2" t="inlineStr">
        <is>
          <t>生猪空 07-22</t>
        </is>
      </c>
      <c r="C1993" s="10" t="n">
        <v>3</v>
      </c>
      <c r="D1993" s="33" t="n">
        <v>0.35</v>
      </c>
    </row>
    <row r="1994">
      <c r="A1994" s="2" t="n">
        <v>1992</v>
      </c>
      <c r="B1994" s="2" t="inlineStr">
        <is>
          <t>纯碱空 07-29</t>
        </is>
      </c>
      <c r="C1994" s="10" t="n">
        <v>3</v>
      </c>
      <c r="D1994" s="33" t="n">
        <v>0.32</v>
      </c>
    </row>
    <row r="1995">
      <c r="A1995" s="2" t="n">
        <v>1993</v>
      </c>
      <c r="B1995" s="2" t="inlineStr">
        <is>
          <t>玻璃空 07-28</t>
        </is>
      </c>
      <c r="C1995" s="10" t="n">
        <v>3</v>
      </c>
      <c r="D1995" s="33" t="n">
        <v>0.18</v>
      </c>
    </row>
    <row r="1996">
      <c r="A1996" s="2" t="n">
        <v>1994</v>
      </c>
      <c r="B1996" s="2" t="inlineStr">
        <is>
          <t>玉米淀粉空 07-29</t>
        </is>
      </c>
      <c r="C1996" s="10" t="n">
        <v>3</v>
      </c>
      <c r="D1996" s="33" t="n">
        <v>0.63</v>
      </c>
    </row>
    <row r="1997">
      <c r="A1997" s="2" t="n">
        <v>1995</v>
      </c>
      <c r="B1997" s="2" t="inlineStr">
        <is>
          <t>苯乙烯多 07-20</t>
        </is>
      </c>
      <c r="C1997" s="10" t="n">
        <v>2</v>
      </c>
      <c r="D1997" s="33" t="n">
        <v>-0.68</v>
      </c>
    </row>
    <row r="1998">
      <c r="A1998" s="2" t="n">
        <v>1996</v>
      </c>
      <c r="B1998" s="2" t="inlineStr">
        <is>
          <t>沥青多 07-23</t>
        </is>
      </c>
      <c r="C1998" s="10" t="n">
        <v>3</v>
      </c>
      <c r="D1998" s="33" t="n">
        <v>-0.68</v>
      </c>
    </row>
    <row r="1999">
      <c r="A1999" s="2" t="n">
        <v>1997</v>
      </c>
      <c r="B1999" s="2" t="inlineStr">
        <is>
          <t>白糖空 07-30</t>
        </is>
      </c>
      <c r="C1999" s="10" t="n">
        <v>3</v>
      </c>
      <c r="D1999" s="33" t="n">
        <v>-0.12</v>
      </c>
    </row>
    <row r="2000">
      <c r="A2000" s="2" t="n">
        <v>1998</v>
      </c>
      <c r="B2000" s="2" t="inlineStr">
        <is>
          <t>螺纹钢空 08-03</t>
        </is>
      </c>
      <c r="C2000" s="10" t="n">
        <v>2</v>
      </c>
      <c r="D2000" s="33" t="n">
        <v>-0.15</v>
      </c>
    </row>
    <row r="2001">
      <c r="A2001" s="2" t="n">
        <v>1999</v>
      </c>
      <c r="B2001" s="2" t="inlineStr">
        <is>
          <t>纯碱空 08-04</t>
        </is>
      </c>
      <c r="C2001" s="10" t="n">
        <v>2</v>
      </c>
      <c r="D2001" s="33" t="n">
        <v>-0.21</v>
      </c>
    </row>
    <row r="2002">
      <c r="A2002" s="2" t="n">
        <v>2000</v>
      </c>
      <c r="B2002" s="2" t="inlineStr">
        <is>
          <t>玉米淀粉空 08-05</t>
        </is>
      </c>
      <c r="C2002" s="10" t="n">
        <v>2</v>
      </c>
      <c r="D2002" s="33" t="n">
        <v>0.34</v>
      </c>
    </row>
    <row r="2003">
      <c r="A2003" s="2" t="n">
        <v>2001</v>
      </c>
      <c r="B2003" s="2" t="inlineStr">
        <is>
          <t>硅铁多 08-05</t>
        </is>
      </c>
      <c r="C2003" s="10" t="n">
        <v>2</v>
      </c>
      <c r="D2003" s="33" t="n">
        <v>0.13</v>
      </c>
    </row>
    <row r="2004">
      <c r="A2004" s="2" t="n">
        <v>2002</v>
      </c>
      <c r="B2004" s="2" t="inlineStr">
        <is>
          <t>工业硅空 07-30</t>
        </is>
      </c>
      <c r="C2004" s="10" t="n">
        <v>2</v>
      </c>
      <c r="D2004" s="33" t="n">
        <v>-0.8</v>
      </c>
    </row>
    <row r="2005">
      <c r="A2005" s="2" t="n">
        <v>2003</v>
      </c>
      <c r="B2005" s="2" t="inlineStr">
        <is>
          <t>塑料多 07-22</t>
        </is>
      </c>
      <c r="C2005" s="10" t="n">
        <v>2</v>
      </c>
      <c r="D2005" s="33" t="n">
        <v>-0.01</v>
      </c>
    </row>
    <row r="2006">
      <c r="A2006" s="2" t="n">
        <v>2004</v>
      </c>
      <c r="B2006" s="2" t="inlineStr">
        <is>
          <t>热卷空 08-04</t>
        </is>
      </c>
      <c r="C2006" s="10" t="n">
        <v>3</v>
      </c>
      <c r="D2006" s="33" t="n">
        <v>-0.47</v>
      </c>
    </row>
    <row r="2007">
      <c r="A2007" s="2" t="n">
        <v>2005</v>
      </c>
      <c r="B2007" s="2" t="inlineStr">
        <is>
          <t>豆一多 08-05</t>
        </is>
      </c>
      <c r="C2007" s="10" t="n">
        <v>2</v>
      </c>
      <c r="D2007" s="33" t="n">
        <v>1.35</v>
      </c>
    </row>
    <row r="2008">
      <c r="A2008" s="2" t="n">
        <v>2006</v>
      </c>
      <c r="B2008" s="2" t="inlineStr">
        <is>
          <t>沪银多 08-10</t>
        </is>
      </c>
      <c r="C2008" s="10" t="n">
        <v>3</v>
      </c>
      <c r="D2008" s="33" t="n">
        <v>0.06</v>
      </c>
    </row>
    <row r="2009">
      <c r="A2009" s="2" t="n">
        <v>2007</v>
      </c>
      <c r="B2009" s="2" t="inlineStr">
        <is>
          <t>沥青多 08-10</t>
        </is>
      </c>
      <c r="C2009" s="10" t="n">
        <v>2</v>
      </c>
      <c r="D2009" s="33" t="n">
        <v>0.28</v>
      </c>
    </row>
    <row r="2010">
      <c r="A2010" s="2" t="n">
        <v>2008</v>
      </c>
      <c r="B2010" s="2" t="inlineStr">
        <is>
          <t>硅铁空 08-10</t>
        </is>
      </c>
      <c r="C2010" s="10" t="n">
        <v>2</v>
      </c>
      <c r="D2010" s="33" t="n">
        <v>-0.05</v>
      </c>
    </row>
    <row r="2011">
      <c r="A2011" s="2" t="n">
        <v>2009</v>
      </c>
      <c r="B2011" s="2" t="inlineStr">
        <is>
          <t>氧化铝空 07-13</t>
        </is>
      </c>
      <c r="C2011" s="10" t="n">
        <v>3</v>
      </c>
      <c r="D2011" s="33" t="n">
        <v>-0.47</v>
      </c>
    </row>
    <row r="2012">
      <c r="A2012" s="2" t="n">
        <v>2010</v>
      </c>
      <c r="B2012" s="2" t="inlineStr">
        <is>
          <t>玉米空 08-05</t>
        </is>
      </c>
      <c r="C2012" s="10" t="n">
        <v>3</v>
      </c>
      <c r="D2012" s="33" t="n">
        <v>-0.25</v>
      </c>
    </row>
    <row r="2013">
      <c r="A2013" s="2" t="n">
        <v>2011</v>
      </c>
      <c r="B2013" s="2" t="inlineStr">
        <is>
          <t>沪铝多 08-04</t>
        </is>
      </c>
      <c r="C2013" s="10" t="n">
        <v>3</v>
      </c>
      <c r="D2013" s="33" t="n">
        <v>0.29</v>
      </c>
    </row>
    <row r="2014">
      <c r="A2014" s="2" t="n">
        <v>2012</v>
      </c>
      <c r="B2014" s="2" t="inlineStr">
        <is>
          <t>沪镍空 07-15</t>
        </is>
      </c>
      <c r="C2014" s="10" t="n">
        <v>3</v>
      </c>
      <c r="D2014" s="33" t="n">
        <v>0.18</v>
      </c>
    </row>
    <row r="2015">
      <c r="A2015" s="2" t="n">
        <v>2013</v>
      </c>
      <c r="B2015" s="2" t="inlineStr">
        <is>
          <t>乙二醇多 08-11</t>
        </is>
      </c>
      <c r="C2015" s="10" t="n">
        <v>3</v>
      </c>
      <c r="D2015" s="33" t="n">
        <v>0.66</v>
      </c>
    </row>
    <row r="2016">
      <c r="A2016" s="2" t="n">
        <v>2014</v>
      </c>
      <c r="B2016" s="2" t="inlineStr">
        <is>
          <t>豆油空 08-12</t>
        </is>
      </c>
      <c r="C2016" s="10" t="n">
        <v>3</v>
      </c>
      <c r="D2016" s="33" t="n">
        <v>-0.7</v>
      </c>
    </row>
    <row r="2017">
      <c r="A2017" s="2" t="n">
        <v>2015</v>
      </c>
      <c r="B2017" s="2" t="inlineStr">
        <is>
          <t>塑料多 08-14</t>
        </is>
      </c>
      <c r="C2017" s="10" t="n">
        <v>3</v>
      </c>
      <c r="D2017" s="33" t="n">
        <v>0.61</v>
      </c>
    </row>
    <row r="2018">
      <c r="A2018" s="2" t="n">
        <v>2016</v>
      </c>
      <c r="B2018" s="2" t="inlineStr">
        <is>
          <t>纸浆空 08-07</t>
        </is>
      </c>
      <c r="C2018" s="10" t="n">
        <v>3</v>
      </c>
      <c r="D2018" s="33" t="n">
        <v>-0.32</v>
      </c>
    </row>
    <row r="2019">
      <c r="A2019" s="2" t="n">
        <v>2017</v>
      </c>
      <c r="B2019" s="2" t="inlineStr">
        <is>
          <t>玉米淀粉空 08-11</t>
        </is>
      </c>
      <c r="C2019" s="10" t="n">
        <v>3</v>
      </c>
      <c r="D2019" s="33" t="n">
        <v>-0.75</v>
      </c>
    </row>
    <row r="2020">
      <c r="A2020" s="2" t="n">
        <v>2018</v>
      </c>
      <c r="B2020" s="2" t="inlineStr">
        <is>
          <t>玉米空 08-17</t>
        </is>
      </c>
      <c r="C2020" s="10" t="n">
        <v>2</v>
      </c>
      <c r="D2020" s="33" t="n">
        <v>-0.98</v>
      </c>
    </row>
    <row r="2021">
      <c r="A2021" s="2" t="n">
        <v>2019</v>
      </c>
      <c r="B2021" s="2" t="inlineStr">
        <is>
          <t>豆一多 08-18</t>
        </is>
      </c>
      <c r="C2021" s="10" t="n">
        <v>3</v>
      </c>
      <c r="D2021" s="33" t="n">
        <v>-0.02</v>
      </c>
    </row>
    <row r="2022">
      <c r="A2022" s="2" t="n">
        <v>2020</v>
      </c>
      <c r="B2022" s="2" t="inlineStr">
        <is>
          <t>燃料油多 08-18</t>
        </is>
      </c>
      <c r="C2022" s="10" t="n">
        <v>2</v>
      </c>
      <c r="D2022" s="33" t="n">
        <v>0.15</v>
      </c>
    </row>
    <row r="2023">
      <c r="A2023" s="2" t="n">
        <v>2021</v>
      </c>
      <c r="B2023" s="2" t="inlineStr">
        <is>
          <t>锰硅多 08-18</t>
        </is>
      </c>
      <c r="C2023" s="10" t="n">
        <v>2</v>
      </c>
      <c r="D2023" s="33" t="n">
        <v>0.09</v>
      </c>
    </row>
    <row r="2024">
      <c r="A2024" s="2" t="n">
        <v>2022</v>
      </c>
      <c r="B2024" s="2" t="inlineStr">
        <is>
          <t>菜油多 08-06</t>
        </is>
      </c>
      <c r="C2024" s="10" t="n">
        <v>3</v>
      </c>
      <c r="D2024" s="33" t="n">
        <v>1.11</v>
      </c>
    </row>
    <row r="2025">
      <c r="A2025" s="2" t="n">
        <v>2023</v>
      </c>
      <c r="B2025" s="2" t="inlineStr">
        <is>
          <t>玻璃空 08-14</t>
        </is>
      </c>
      <c r="C2025" s="10" t="n">
        <v>3</v>
      </c>
      <c r="D2025" s="33" t="n">
        <v>0.16</v>
      </c>
    </row>
    <row r="2026">
      <c r="A2026" s="2" t="n">
        <v>2024</v>
      </c>
      <c r="B2026" s="2" t="inlineStr">
        <is>
          <t>硅铁多 08-11</t>
        </is>
      </c>
      <c r="C2026" s="10" t="n">
        <v>2</v>
      </c>
      <c r="D2026" s="33" t="n">
        <v>0.38</v>
      </c>
    </row>
    <row r="2027">
      <c r="A2027" s="2" t="n">
        <v>2025</v>
      </c>
      <c r="B2027" s="2" t="inlineStr">
        <is>
          <t>焦煤多 08-19</t>
        </is>
      </c>
      <c r="C2027" s="10" t="n">
        <v>3</v>
      </c>
      <c r="D2027" s="33" t="n">
        <v>-0.04</v>
      </c>
    </row>
    <row r="2028">
      <c r="A2028" s="2" t="n">
        <v>2026</v>
      </c>
      <c r="B2028" s="2" t="inlineStr">
        <is>
          <t>沥青多 08-20</t>
        </is>
      </c>
      <c r="C2028" s="10" t="n">
        <v>3</v>
      </c>
      <c r="D2028" s="33" t="n">
        <v>-0.11</v>
      </c>
    </row>
    <row r="2029">
      <c r="A2029" s="2" t="n">
        <v>2027</v>
      </c>
      <c r="B2029" s="2" t="inlineStr">
        <is>
          <t>热卷空 08-13</t>
        </is>
      </c>
      <c r="C2029" s="10" t="n">
        <v>2</v>
      </c>
      <c r="D2029" s="33" t="n">
        <v>-0.8100000000000001</v>
      </c>
    </row>
    <row r="2030">
      <c r="A2030" s="2" t="n">
        <v>2028</v>
      </c>
      <c r="B2030" s="2" t="inlineStr">
        <is>
          <t>螺纹钢空 08-13</t>
        </is>
      </c>
      <c r="C2030" s="10" t="n">
        <v>2</v>
      </c>
      <c r="D2030" s="33" t="n">
        <v>-0.77</v>
      </c>
    </row>
    <row r="2031">
      <c r="A2031" s="2" t="n">
        <v>2029</v>
      </c>
      <c r="B2031" s="2" t="inlineStr">
        <is>
          <t>玻璃空 08-21</t>
        </is>
      </c>
      <c r="C2031" s="10" t="n">
        <v>3</v>
      </c>
      <c r="D2031" s="33" t="n">
        <v>-0.22</v>
      </c>
    </row>
    <row r="2032">
      <c r="A2032" s="2" t="n">
        <v>2030</v>
      </c>
      <c r="B2032" s="2" t="inlineStr">
        <is>
          <t>聚丙烯多 08-19</t>
        </is>
      </c>
      <c r="C2032" s="10" t="n">
        <v>3</v>
      </c>
      <c r="D2032" s="33" t="n">
        <v>-0.34</v>
      </c>
    </row>
    <row r="2033">
      <c r="A2033" s="2" t="n">
        <v>2031</v>
      </c>
      <c r="B2033" s="2" t="inlineStr">
        <is>
          <t>沪锌多 08-26</t>
        </is>
      </c>
      <c r="C2033" s="10" t="n">
        <v>3</v>
      </c>
      <c r="D2033" s="33" t="n">
        <v>-0.16</v>
      </c>
    </row>
    <row r="2034">
      <c r="A2034" s="2" t="n">
        <v>2032</v>
      </c>
      <c r="B2034" s="2" t="inlineStr">
        <is>
          <t>沪镍空 08-19</t>
        </is>
      </c>
      <c r="C2034" s="10" t="n">
        <v>3</v>
      </c>
      <c r="D2034" s="33" t="n">
        <v>0.09</v>
      </c>
    </row>
    <row r="2035">
      <c r="A2035" s="2" t="n">
        <v>2033</v>
      </c>
      <c r="B2035" s="2" t="inlineStr">
        <is>
          <t>PVC空 08-24</t>
        </is>
      </c>
      <c r="C2035" s="10" t="n">
        <v>3</v>
      </c>
      <c r="D2035" s="33" t="n">
        <v>0.33</v>
      </c>
    </row>
    <row r="2036">
      <c r="A2036" s="2" t="n">
        <v>2034</v>
      </c>
      <c r="B2036" s="2" t="inlineStr">
        <is>
          <t>豆油多 08-21</t>
        </is>
      </c>
      <c r="C2036" s="10" t="n">
        <v>3</v>
      </c>
      <c r="D2036" s="33" t="n">
        <v>0.86</v>
      </c>
    </row>
    <row r="2037">
      <c r="A2037" s="2" t="n">
        <v>2035</v>
      </c>
      <c r="B2037" s="2" t="inlineStr">
        <is>
          <t>沥青多 08-28</t>
        </is>
      </c>
      <c r="C2037" s="10" t="n">
        <v>3</v>
      </c>
      <c r="D2037" s="33" t="n">
        <v>0.66</v>
      </c>
    </row>
    <row r="2038">
      <c r="A2038" s="2" t="n">
        <v>2036</v>
      </c>
      <c r="B2038" s="2" t="inlineStr">
        <is>
          <t>焦煤多 08-27</t>
        </is>
      </c>
      <c r="C2038" s="10" t="n">
        <v>3</v>
      </c>
      <c r="D2038" s="33" t="n">
        <v>0.5</v>
      </c>
    </row>
    <row r="2039">
      <c r="A2039" s="2" t="n">
        <v>2037</v>
      </c>
      <c r="B2039" s="2" t="inlineStr">
        <is>
          <t>苯乙烯多 08-31</t>
        </is>
      </c>
      <c r="C2039" s="10" t="n">
        <v>3</v>
      </c>
      <c r="D2039" s="33" t="n">
        <v>0.03</v>
      </c>
    </row>
    <row r="2040">
      <c r="A2040" s="2" t="n">
        <v>2038</v>
      </c>
      <c r="B2040" s="2" t="inlineStr">
        <is>
          <t>豆粕多 08-18</t>
        </is>
      </c>
      <c r="C2040" s="10" t="n">
        <v>3</v>
      </c>
      <c r="D2040" s="33" t="n">
        <v>1.07</v>
      </c>
    </row>
    <row r="2041">
      <c r="A2041" s="2" t="n">
        <v>2039</v>
      </c>
      <c r="B2041" s="2" t="inlineStr">
        <is>
          <t>螺纹钢多 08-31</t>
        </is>
      </c>
      <c r="C2041" s="10" t="n">
        <v>3</v>
      </c>
      <c r="D2041" s="33" t="n">
        <v>-0.66</v>
      </c>
    </row>
    <row r="2042">
      <c r="A2042" s="2" t="n">
        <v>2040</v>
      </c>
      <c r="B2042" s="2" t="inlineStr">
        <is>
          <t>沥青多 09-01</t>
        </is>
      </c>
      <c r="C2042" s="10" t="n">
        <v>3</v>
      </c>
      <c r="D2042" s="33" t="n">
        <v>-0.06</v>
      </c>
    </row>
    <row r="2043">
      <c r="A2043" s="2" t="n">
        <v>2041</v>
      </c>
      <c r="B2043" s="2" t="inlineStr">
        <is>
          <t>棉花多 08-20</t>
        </is>
      </c>
      <c r="C2043" s="10" t="n">
        <v>3</v>
      </c>
      <c r="D2043" s="33" t="n">
        <v>-0.46</v>
      </c>
    </row>
    <row r="2044">
      <c r="A2044" s="2" t="n">
        <v>2042</v>
      </c>
      <c r="B2044" s="2" t="inlineStr">
        <is>
          <t>沪锌多 08-28</t>
        </is>
      </c>
      <c r="C2044" s="10" t="n">
        <v>3</v>
      </c>
      <c r="D2044" s="33" t="n">
        <v>0.42</v>
      </c>
    </row>
    <row r="2045">
      <c r="A2045" s="2" t="n">
        <v>2043</v>
      </c>
      <c r="B2045" s="2" t="inlineStr">
        <is>
          <t>沪镍空 09-02</t>
        </is>
      </c>
      <c r="C2045" s="10" t="n">
        <v>3</v>
      </c>
      <c r="D2045" s="33" t="n">
        <v>-0.1</v>
      </c>
    </row>
    <row r="2046">
      <c r="A2046" s="2" t="n">
        <v>2044</v>
      </c>
      <c r="B2046" s="2" t="inlineStr">
        <is>
          <t>锰硅多 09-02</t>
        </is>
      </c>
      <c r="C2046" s="10" t="n">
        <v>2</v>
      </c>
      <c r="D2046" s="33" t="n">
        <v>0.47</v>
      </c>
    </row>
    <row r="2047">
      <c r="A2047" s="2" t="n">
        <v>2045</v>
      </c>
      <c r="B2047" s="2" t="inlineStr">
        <is>
          <t>苯乙烯多 09-03</t>
        </is>
      </c>
      <c r="C2047" s="10" t="n">
        <v>3</v>
      </c>
      <c r="D2047" s="33" t="n">
        <v>-0.08</v>
      </c>
    </row>
    <row r="2048">
      <c r="A2048" s="2" t="n">
        <v>2046</v>
      </c>
      <c r="B2048" s="2" t="inlineStr">
        <is>
          <t>乙二醇多 09-04</t>
        </is>
      </c>
      <c r="C2048" s="10" t="n">
        <v>3</v>
      </c>
      <c r="D2048" s="33" t="n">
        <v>-0.08</v>
      </c>
    </row>
    <row r="2049">
      <c r="A2049" s="2" t="n">
        <v>2047</v>
      </c>
      <c r="B2049" s="2" t="inlineStr">
        <is>
          <t>豆二多 09-04</t>
        </is>
      </c>
      <c r="C2049" s="10" t="n">
        <v>3</v>
      </c>
      <c r="D2049" s="33" t="n">
        <v>-0.08</v>
      </c>
    </row>
    <row r="2050">
      <c r="A2050" s="2" t="n">
        <v>2048</v>
      </c>
      <c r="B2050" s="2" t="inlineStr">
        <is>
          <t>沪锌多 09-07</t>
        </is>
      </c>
      <c r="C2050" s="10" t="n">
        <v>3</v>
      </c>
      <c r="D2050" s="33" t="n">
        <v>0.42</v>
      </c>
    </row>
    <row r="2051">
      <c r="A2051" s="2" t="n">
        <v>2049</v>
      </c>
      <c r="B2051" s="2" t="inlineStr">
        <is>
          <t>豆油多 09-01</t>
        </is>
      </c>
      <c r="C2051" s="10" t="n">
        <v>3</v>
      </c>
      <c r="D2051" s="33" t="n">
        <v>-0.07000000000000001</v>
      </c>
    </row>
    <row r="2052">
      <c r="A2052" s="2" t="n">
        <v>2050</v>
      </c>
      <c r="B2052" s="2" t="inlineStr">
        <is>
          <t>聚丙烯多 09-04</t>
        </is>
      </c>
      <c r="C2052" s="10" t="n">
        <v>3</v>
      </c>
      <c r="D2052" s="33" t="n">
        <v>0.67</v>
      </c>
    </row>
    <row r="2053">
      <c r="A2053" s="2" t="n">
        <v>2051</v>
      </c>
      <c r="B2053" s="2" t="inlineStr">
        <is>
          <t>沪铜多 09-08</t>
        </is>
      </c>
      <c r="C2053" s="10" t="n">
        <v>3</v>
      </c>
      <c r="D2053" s="33" t="n">
        <v>-0.45</v>
      </c>
    </row>
    <row r="2054">
      <c r="A2054" s="2" t="n">
        <v>2052</v>
      </c>
      <c r="B2054" s="2" t="inlineStr">
        <is>
          <t>沥青多 09-10</t>
        </is>
      </c>
      <c r="C2054" s="10" t="n">
        <v>3</v>
      </c>
      <c r="D2054" s="33" t="n">
        <v>-0.3</v>
      </c>
    </row>
    <row r="2055">
      <c r="A2055" s="2" t="n">
        <v>2053</v>
      </c>
      <c r="B2055" s="2" t="inlineStr">
        <is>
          <t>苯乙烯多 09-10</t>
        </is>
      </c>
      <c r="C2055" s="10" t="n">
        <v>2</v>
      </c>
      <c r="D2055" s="33" t="n">
        <v>-0.34</v>
      </c>
    </row>
    <row r="2056">
      <c r="A2056" s="2" t="n">
        <v>2054</v>
      </c>
      <c r="B2056" s="2" t="inlineStr">
        <is>
          <t>乙二醇多 09-10</t>
        </is>
      </c>
      <c r="C2056" s="10" t="n">
        <v>2</v>
      </c>
      <c r="D2056" s="33" t="n">
        <v>-0.3</v>
      </c>
    </row>
    <row r="2057">
      <c r="A2057" s="2" t="n">
        <v>2055</v>
      </c>
      <c r="B2057" s="2" t="inlineStr">
        <is>
          <t>棉花空 09-14</t>
        </is>
      </c>
      <c r="C2057" s="10" t="n">
        <v>2</v>
      </c>
      <c r="D2057" s="33" t="n">
        <v>0.14</v>
      </c>
    </row>
    <row r="2058">
      <c r="A2058" s="2" t="n">
        <v>2056</v>
      </c>
      <c r="B2058" s="2" t="inlineStr">
        <is>
          <t>燃料油多 09-11</t>
        </is>
      </c>
      <c r="C2058" s="10" t="n">
        <v>3</v>
      </c>
      <c r="D2058" s="33" t="n">
        <v>0.26</v>
      </c>
    </row>
    <row r="2059">
      <c r="A2059" s="2" t="n">
        <v>2057</v>
      </c>
      <c r="B2059" s="2" t="inlineStr">
        <is>
          <t>玻璃空 09-09</t>
        </is>
      </c>
      <c r="C2059" s="10" t="n">
        <v>2</v>
      </c>
      <c r="D2059" s="33" t="n">
        <v>0.91</v>
      </c>
    </row>
    <row r="2060">
      <c r="A2060" s="2" t="n">
        <v>2058</v>
      </c>
      <c r="B2060" s="2" t="inlineStr">
        <is>
          <t>甲醇多 09-11</t>
        </is>
      </c>
      <c r="C2060" s="10" t="n">
        <v>3</v>
      </c>
      <c r="D2060" s="33" t="n">
        <v>-0.01</v>
      </c>
    </row>
    <row r="2061">
      <c r="A2061" s="2" t="n">
        <v>2059</v>
      </c>
      <c r="B2061" s="2" t="inlineStr">
        <is>
          <t>沪镍空 09-16</t>
        </is>
      </c>
      <c r="C2061" s="10" t="n">
        <v>3</v>
      </c>
      <c r="D2061" s="33" t="n">
        <v>-0.03</v>
      </c>
    </row>
    <row r="2062">
      <c r="A2062" s="2" t="n">
        <v>2060</v>
      </c>
      <c r="B2062" s="2" t="inlineStr">
        <is>
          <t>玉米空 09-14</t>
        </is>
      </c>
      <c r="C2062" s="10" t="n">
        <v>2</v>
      </c>
      <c r="D2062" s="33" t="n">
        <v>0.54</v>
      </c>
    </row>
    <row r="2063">
      <c r="A2063" s="2" t="n">
        <v>2061</v>
      </c>
      <c r="B2063" s="2" t="inlineStr">
        <is>
          <t>PVC空 09-18</t>
        </is>
      </c>
      <c r="C2063" s="10" t="n">
        <v>2</v>
      </c>
      <c r="D2063" s="33" t="n">
        <v>-0.06</v>
      </c>
    </row>
    <row r="2064">
      <c r="A2064" s="2" t="n">
        <v>2062</v>
      </c>
      <c r="B2064" s="2" t="inlineStr">
        <is>
          <t>尿素空 09-11</t>
        </is>
      </c>
      <c r="C2064" s="10" t="n">
        <v>2</v>
      </c>
      <c r="D2064" s="33" t="n">
        <v>0.4</v>
      </c>
    </row>
    <row r="2065">
      <c r="A2065" s="2" t="n">
        <v>2063</v>
      </c>
      <c r="B2065" s="2" t="inlineStr">
        <is>
          <t>沥青多 09-17</t>
        </is>
      </c>
      <c r="C2065" s="10" t="n">
        <v>2</v>
      </c>
      <c r="D2065" s="33" t="n">
        <v>-0.25</v>
      </c>
    </row>
    <row r="2066">
      <c r="A2066" s="2" t="n">
        <v>2064</v>
      </c>
      <c r="B2066" s="2" t="inlineStr">
        <is>
          <t>鸡蛋多 09-18</t>
        </is>
      </c>
      <c r="C2066" s="10" t="n">
        <v>3</v>
      </c>
      <c r="D2066" s="33" t="n">
        <v>0.14</v>
      </c>
    </row>
    <row r="2067">
      <c r="A2067" s="2" t="n">
        <v>2065</v>
      </c>
      <c r="B2067" s="2" t="inlineStr">
        <is>
          <t>塑料多 09-11</t>
        </is>
      </c>
      <c r="C2067" s="10" t="n">
        <v>2</v>
      </c>
      <c r="D2067" s="33" t="n">
        <v>-0.43</v>
      </c>
    </row>
    <row r="2068">
      <c r="A2068" s="2" t="n">
        <v>2066</v>
      </c>
      <c r="B2068" s="2" t="inlineStr">
        <is>
          <t>玉米空 09-22</t>
        </is>
      </c>
      <c r="C2068" s="10" t="n">
        <v>2</v>
      </c>
      <c r="D2068" s="33" t="n">
        <v>0</v>
      </c>
    </row>
    <row r="2069">
      <c r="A2069" s="2" t="n">
        <v>2067</v>
      </c>
      <c r="B2069" s="2" t="inlineStr">
        <is>
          <t>纯碱空 09-15</t>
        </is>
      </c>
      <c r="C2069" s="10" t="n">
        <v>3</v>
      </c>
      <c r="D2069" s="33" t="n">
        <v>-0.05</v>
      </c>
    </row>
    <row r="2070">
      <c r="A2070" s="2" t="n">
        <v>2068</v>
      </c>
      <c r="B2070" s="2" t="inlineStr">
        <is>
          <t>尿素空 09-24</t>
        </is>
      </c>
      <c r="C2070" s="10" t="n">
        <v>2</v>
      </c>
      <c r="D2070" s="33" t="n">
        <v>0.06</v>
      </c>
    </row>
    <row r="2071">
      <c r="A2071" s="2" t="n">
        <v>2069</v>
      </c>
      <c r="B2071" s="2" t="inlineStr">
        <is>
          <t>豆粕多 09-07</t>
        </is>
      </c>
      <c r="C2071" s="10" t="n">
        <v>2</v>
      </c>
      <c r="D2071" s="33" t="n">
        <v>-0.29</v>
      </c>
    </row>
    <row r="2072">
      <c r="A2072" s="2" t="n">
        <v>2070</v>
      </c>
      <c r="B2072" s="2" t="inlineStr">
        <is>
          <t>豆二多 09-09</t>
        </is>
      </c>
      <c r="C2072" s="10" t="n">
        <v>3</v>
      </c>
      <c r="D2072" s="33" t="n">
        <v>-0.76</v>
      </c>
    </row>
    <row r="2073">
      <c r="A2073" s="2" t="n">
        <v>2071</v>
      </c>
      <c r="B2073" s="2" t="inlineStr">
        <is>
          <t>生猪空 09-11</t>
        </is>
      </c>
      <c r="C2073" s="10" t="n">
        <v>3</v>
      </c>
      <c r="D2073" s="33" t="n">
        <v>1.45</v>
      </c>
    </row>
    <row r="2074">
      <c r="A2074" s="2" t="n">
        <v>2072</v>
      </c>
      <c r="B2074" s="2" t="inlineStr">
        <is>
          <t>棉花空 09-17</t>
        </is>
      </c>
      <c r="C2074" s="10" t="n">
        <v>3</v>
      </c>
      <c r="D2074" s="33" t="n">
        <v>-0.01</v>
      </c>
    </row>
    <row r="2075">
      <c r="A2075" s="2" t="n">
        <v>2073</v>
      </c>
      <c r="B2075" s="2" t="inlineStr">
        <is>
          <t>鸡蛋多 09-24</t>
        </is>
      </c>
      <c r="C2075" s="10" t="n">
        <v>2</v>
      </c>
      <c r="D2075" s="33" t="n">
        <v>-0.62</v>
      </c>
    </row>
    <row r="2076">
      <c r="A2076" s="2" t="n">
        <v>2074</v>
      </c>
      <c r="B2076" s="2" t="inlineStr">
        <is>
          <t>苯乙烯多 09-29</t>
        </is>
      </c>
      <c r="C2076" s="10" t="n">
        <v>3</v>
      </c>
      <c r="D2076" s="33" t="n">
        <v>0.14</v>
      </c>
    </row>
    <row r="2077">
      <c r="A2077" s="2" t="n">
        <v>2075</v>
      </c>
      <c r="B2077" s="2" t="inlineStr">
        <is>
          <t>沪铝多 09-17</t>
        </is>
      </c>
      <c r="C2077" s="10" t="n">
        <v>3</v>
      </c>
      <c r="D2077" s="33" t="n">
        <v>-0.66</v>
      </c>
    </row>
    <row r="2078">
      <c r="A2078" s="2" t="n">
        <v>2076</v>
      </c>
      <c r="B2078" s="2" t="inlineStr">
        <is>
          <t>玉米淀粉空 09-22</t>
        </is>
      </c>
      <c r="C2078" s="10" t="n">
        <v>3</v>
      </c>
      <c r="D2078" s="33" t="n">
        <v>0.31</v>
      </c>
    </row>
    <row r="2079">
      <c r="A2079" s="2" t="n">
        <v>2077</v>
      </c>
      <c r="B2079" s="2" t="inlineStr">
        <is>
          <t>沥青多 09-29</t>
        </is>
      </c>
      <c r="C2079" s="10" t="n">
        <v>3</v>
      </c>
      <c r="D2079" s="33" t="n">
        <v>0.57</v>
      </c>
    </row>
    <row r="2080">
      <c r="A2080" s="2" t="n">
        <v>2078</v>
      </c>
      <c r="B2080" s="2" t="inlineStr">
        <is>
          <t>热卷空 09-29</t>
        </is>
      </c>
      <c r="C2080" s="10" t="n">
        <v>2</v>
      </c>
      <c r="D2080" s="33" t="n">
        <v>0.4</v>
      </c>
    </row>
    <row r="2081">
      <c r="A2081" s="2" t="n">
        <v>2079</v>
      </c>
      <c r="B2081" s="2" t="inlineStr">
        <is>
          <t>硅铁空 09-29</t>
        </is>
      </c>
      <c r="C2081" s="10" t="n">
        <v>2</v>
      </c>
      <c r="D2081" s="33" t="n">
        <v>-0.17</v>
      </c>
    </row>
    <row r="2082">
      <c r="A2082" s="2" t="n">
        <v>2080</v>
      </c>
      <c r="B2082" s="2" t="inlineStr">
        <is>
          <t>纯碱空 09-30</t>
        </is>
      </c>
      <c r="C2082" s="10" t="n">
        <v>3</v>
      </c>
      <c r="D2082" s="33" t="n">
        <v>0.42</v>
      </c>
    </row>
    <row r="2083">
      <c r="A2083" s="2" t="n">
        <v>2081</v>
      </c>
      <c r="B2083" s="2" t="inlineStr">
        <is>
          <t>白糖多 10-08</t>
        </is>
      </c>
      <c r="C2083" s="10" t="n">
        <v>2</v>
      </c>
      <c r="D2083" s="33" t="n">
        <v>0.16</v>
      </c>
    </row>
    <row r="2084">
      <c r="A2084" s="2" t="n">
        <v>2082</v>
      </c>
      <c r="B2084" s="2" t="inlineStr">
        <is>
          <t>沪镍空 09-30</t>
        </is>
      </c>
      <c r="C2084" s="10" t="n">
        <v>3</v>
      </c>
      <c r="D2084" s="33" t="n">
        <v>0.5</v>
      </c>
    </row>
    <row r="2085">
      <c r="A2085" s="2" t="n">
        <v>2083</v>
      </c>
      <c r="B2085" s="2" t="inlineStr">
        <is>
          <t>尿素空 10-09</t>
        </is>
      </c>
      <c r="C2085" s="10" t="n">
        <v>3</v>
      </c>
      <c r="D2085" s="33" t="n">
        <v>0.25</v>
      </c>
    </row>
    <row r="2086">
      <c r="A2086" s="2" t="n">
        <v>2084</v>
      </c>
      <c r="B2086" s="2" t="inlineStr">
        <is>
          <t>焦煤多 10-08</t>
        </is>
      </c>
      <c r="C2086" s="10" t="n">
        <v>2</v>
      </c>
      <c r="D2086" s="33" t="n">
        <v>0.52</v>
      </c>
    </row>
    <row r="2087">
      <c r="A2087" s="2" t="n">
        <v>2085</v>
      </c>
      <c r="B2087" s="2" t="inlineStr">
        <is>
          <t>锰硅多 10-12</t>
        </is>
      </c>
      <c r="C2087" s="10" t="n">
        <v>2</v>
      </c>
      <c r="D2087" s="33" t="n">
        <v>-0.08</v>
      </c>
    </row>
    <row r="2088">
      <c r="A2088" s="2" t="n">
        <v>2086</v>
      </c>
      <c r="B2088" s="2" t="inlineStr">
        <is>
          <t>纯碱空 10-12</t>
        </is>
      </c>
      <c r="C2088" s="10" t="n">
        <v>3</v>
      </c>
      <c r="D2088" s="33" t="n">
        <v>0.63</v>
      </c>
    </row>
    <row r="2089">
      <c r="A2089" s="2" t="n">
        <v>2087</v>
      </c>
      <c r="B2089" s="2" t="inlineStr">
        <is>
          <t>锰硅多 10-14</t>
        </is>
      </c>
      <c r="C2089" s="10" t="n">
        <v>2</v>
      </c>
      <c r="D2089" s="33" t="n">
        <v>0.3</v>
      </c>
    </row>
    <row r="2090">
      <c r="A2090" s="2" t="n">
        <v>2088</v>
      </c>
      <c r="B2090" s="2" t="inlineStr">
        <is>
          <t>硅铁多 10-13</t>
        </is>
      </c>
      <c r="C2090" s="10" t="n">
        <v>2</v>
      </c>
      <c r="D2090" s="33" t="n">
        <v>-0.43</v>
      </c>
    </row>
    <row r="2091">
      <c r="A2091" s="2" t="n">
        <v>2089</v>
      </c>
      <c r="B2091" s="2" t="inlineStr">
        <is>
          <t>尿素空 10-14</t>
        </is>
      </c>
      <c r="C2091" s="10" t="n">
        <v>3</v>
      </c>
      <c r="D2091" s="33" t="n">
        <v>-0.17</v>
      </c>
    </row>
    <row r="2092">
      <c r="A2092" s="2" t="n">
        <v>2090</v>
      </c>
      <c r="B2092" s="2" t="inlineStr">
        <is>
          <t>燃料油多 10-16</t>
        </is>
      </c>
      <c r="C2092" s="10" t="n">
        <v>3</v>
      </c>
      <c r="D2092" s="33" t="n">
        <v>0.12</v>
      </c>
    </row>
    <row r="2093">
      <c r="A2093" s="2" t="n">
        <v>2091</v>
      </c>
      <c r="B2093" s="2" t="inlineStr">
        <is>
          <t>棕榈油空 09-17</t>
        </is>
      </c>
      <c r="C2093" s="10" t="n">
        <v>3</v>
      </c>
      <c r="D2093" s="33" t="n">
        <v>0.29</v>
      </c>
    </row>
    <row r="2094">
      <c r="A2094" s="2" t="n">
        <v>2092</v>
      </c>
      <c r="B2094" s="2" t="inlineStr">
        <is>
          <t>甲醇多 09-30</t>
        </is>
      </c>
      <c r="C2094" s="10" t="n">
        <v>2</v>
      </c>
      <c r="D2094" s="33" t="n">
        <v>0.17</v>
      </c>
    </row>
    <row r="2095">
      <c r="A2095" s="2" t="n">
        <v>2093</v>
      </c>
      <c r="B2095" s="2" t="inlineStr">
        <is>
          <t>棉花空 10-08</t>
        </is>
      </c>
      <c r="C2095" s="10" t="n">
        <v>3</v>
      </c>
      <c r="D2095" s="33" t="n">
        <v>-0.09</v>
      </c>
    </row>
    <row r="2096">
      <c r="A2096" s="2" t="n">
        <v>2094</v>
      </c>
      <c r="B2096" s="2" t="inlineStr">
        <is>
          <t>铁矿石空 10-09</t>
        </is>
      </c>
      <c r="C2096" s="10" t="n">
        <v>3</v>
      </c>
      <c r="D2096" s="33" t="n">
        <v>-0.01</v>
      </c>
    </row>
    <row r="2097">
      <c r="A2097" s="2" t="n">
        <v>2095</v>
      </c>
      <c r="B2097" s="2" t="inlineStr">
        <is>
          <t>沪镍空 10-16</t>
        </is>
      </c>
      <c r="C2097" s="10" t="n">
        <v>3</v>
      </c>
      <c r="D2097" s="33" t="n">
        <v>-0.57</v>
      </c>
    </row>
    <row r="2098">
      <c r="A2098" s="2" t="n">
        <v>2096</v>
      </c>
      <c r="B2098" s="2" t="inlineStr">
        <is>
          <t>烧碱空 10-21</t>
        </is>
      </c>
      <c r="C2098" s="10" t="n">
        <v>3</v>
      </c>
      <c r="D2098" s="33" t="n">
        <v>0.61</v>
      </c>
    </row>
    <row r="2099">
      <c r="A2099" s="2" t="n">
        <v>2097</v>
      </c>
      <c r="B2099" s="2" t="inlineStr">
        <is>
          <t>螺纹钢多 10-12</t>
        </is>
      </c>
      <c r="C2099" s="10" t="n">
        <v>2</v>
      </c>
      <c r="D2099" s="33" t="n">
        <v>-0.63</v>
      </c>
    </row>
    <row r="2100">
      <c r="A2100" s="2" t="n">
        <v>2098</v>
      </c>
      <c r="B2100" s="2" t="inlineStr">
        <is>
          <t>沪银空 10-14</t>
        </is>
      </c>
      <c r="C2100" s="10" t="n">
        <v>3</v>
      </c>
      <c r="D2100" s="33" t="n">
        <v>0.48</v>
      </c>
    </row>
    <row r="2101">
      <c r="A2101" s="2" t="n">
        <v>2099</v>
      </c>
      <c r="B2101" s="2" t="inlineStr">
        <is>
          <t>豆一多 10-22</t>
        </is>
      </c>
      <c r="C2101" s="10" t="n">
        <v>3</v>
      </c>
      <c r="D2101" s="33" t="n">
        <v>-0.21</v>
      </c>
    </row>
    <row r="2102">
      <c r="A2102" s="2" t="n">
        <v>2100</v>
      </c>
      <c r="B2102" s="2" t="inlineStr">
        <is>
          <t>燃料油多 10-22</t>
        </is>
      </c>
      <c r="C2102" s="10" t="n">
        <v>3</v>
      </c>
      <c r="D2102" s="33" t="n">
        <v>0.35</v>
      </c>
    </row>
    <row r="2103">
      <c r="A2103" s="2" t="n">
        <v>2101</v>
      </c>
      <c r="B2103" s="2" t="inlineStr">
        <is>
          <t>鸡蛋空 10-22</t>
        </is>
      </c>
      <c r="C2103" s="10" t="n">
        <v>2</v>
      </c>
      <c r="D2103" s="33" t="n">
        <v>-0.2</v>
      </c>
    </row>
    <row r="2104">
      <c r="A2104" s="2" t="n">
        <v>2102</v>
      </c>
      <c r="B2104" s="2" t="inlineStr">
        <is>
          <t>螺纹钢空 10-26</t>
        </is>
      </c>
      <c r="C2104" s="10" t="n">
        <v>3</v>
      </c>
      <c r="D2104" s="33" t="n">
        <v>-0.05</v>
      </c>
    </row>
    <row r="2105">
      <c r="A2105" s="2" t="n">
        <v>2103</v>
      </c>
      <c r="B2105" s="2" t="inlineStr">
        <is>
          <t>乙二醇多 09-30</t>
        </is>
      </c>
      <c r="C2105" s="10" t="n">
        <v>2</v>
      </c>
      <c r="D2105" s="33" t="n">
        <v>0.32</v>
      </c>
    </row>
    <row r="2106">
      <c r="A2106" s="2" t="n">
        <v>2104</v>
      </c>
      <c r="B2106" s="2" t="inlineStr">
        <is>
          <t>沥青空 10-19</t>
        </is>
      </c>
      <c r="C2106" s="10" t="n">
        <v>2</v>
      </c>
      <c r="D2106" s="33" t="n">
        <v>-0.6</v>
      </c>
    </row>
    <row r="2107">
      <c r="A2107" s="2" t="n">
        <v>2105</v>
      </c>
      <c r="B2107" s="2" t="inlineStr">
        <is>
          <t>玉米多 10-23</t>
        </is>
      </c>
      <c r="C2107" s="10" t="n">
        <v>2</v>
      </c>
      <c r="D2107" s="33" t="n">
        <v>0.18</v>
      </c>
    </row>
    <row r="2108">
      <c r="A2108" s="2" t="n">
        <v>2106</v>
      </c>
      <c r="B2108" s="2" t="inlineStr">
        <is>
          <t>PVC多 10-26</t>
        </is>
      </c>
      <c r="C2108" s="10" t="n">
        <v>2</v>
      </c>
      <c r="D2108" s="33" t="n">
        <v>0.33</v>
      </c>
    </row>
    <row r="2109">
      <c r="A2109" s="2" t="n">
        <v>2107</v>
      </c>
      <c r="B2109" s="2" t="inlineStr">
        <is>
          <t>沪铝多 10-27</t>
        </is>
      </c>
      <c r="C2109" s="10" t="n">
        <v>2</v>
      </c>
      <c r="D2109" s="33" t="n">
        <v>-0.04</v>
      </c>
    </row>
    <row r="2110">
      <c r="A2110" s="2" t="n">
        <v>2108</v>
      </c>
      <c r="B2110" s="2" t="inlineStr">
        <is>
          <t>棕榈油多 10-21</t>
        </is>
      </c>
      <c r="C2110" s="10" t="n">
        <v>2</v>
      </c>
      <c r="D2110" s="33" t="n">
        <v>-0.43</v>
      </c>
    </row>
    <row r="2111">
      <c r="A2111" s="2" t="n">
        <v>2109</v>
      </c>
      <c r="B2111" s="2" t="inlineStr">
        <is>
          <t>沥青多 10-28</t>
        </is>
      </c>
      <c r="C2111" s="10" t="n">
        <v>2</v>
      </c>
      <c r="D2111" s="33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348"/>
  <sheetViews>
    <sheetView workbookViewId="0">
      <selection activeCell="A1" sqref="A1"/>
    </sheetView>
  </sheetViews>
  <sheetFormatPr baseColWidth="8" defaultRowHeight="15"/>
  <cols>
    <col width="50" customWidth="1" min="11" max="11"/>
  </cols>
  <sheetData>
    <row r="1">
      <c r="A1" s="36" t="inlineStr">
        <is>
          <t>日期</t>
        </is>
      </c>
      <c r="B1" s="36" t="inlineStr">
        <is>
          <t>品种</t>
        </is>
      </c>
      <c r="C1" s="36" t="inlineStr">
        <is>
          <t>方向</t>
        </is>
      </c>
      <c r="D1" s="36" t="inlineStr">
        <is>
          <t>星级</t>
        </is>
      </c>
      <c r="E1" s="36" t="inlineStr">
        <is>
          <t>分数</t>
        </is>
      </c>
      <c r="F1" s="36" t="inlineStr">
        <is>
          <t>动作</t>
        </is>
      </c>
      <c r="G1" s="36" t="inlineStr">
        <is>
          <t>手数</t>
        </is>
      </c>
      <c r="H1" s="36" t="inlineStr">
        <is>
          <t>收盘</t>
        </is>
      </c>
      <c r="I1" s="36" t="inlineStr">
        <is>
          <t>止损</t>
        </is>
      </c>
      <c r="J1" s="36" t="inlineStr">
        <is>
          <t>预算%</t>
        </is>
      </c>
      <c r="K1" s="36" t="inlineStr">
        <is>
          <t>仓位规则/原因</t>
        </is>
      </c>
    </row>
    <row r="2">
      <c r="A2" t="inlineStr">
        <is>
          <t>2021-08-02</t>
        </is>
      </c>
      <c r="B2" t="inlineStr">
        <is>
          <t>沪银</t>
        </is>
      </c>
      <c r="C2" t="inlineStr">
        <is>
          <t>多</t>
        </is>
      </c>
      <c r="D2" t="n">
        <v>2</v>
      </c>
      <c r="E2" t="n">
        <v>5</v>
      </c>
      <c r="F2" t="inlineStr">
        <is>
          <t>开仓</t>
        </is>
      </c>
      <c r="G2" t="n">
        <v>2</v>
      </c>
      <c r="H2" t="n">
        <v>5386</v>
      </c>
      <c r="I2" t="n">
        <v>5110.64</v>
      </c>
      <c r="J2" t="n">
        <v>1</v>
      </c>
      <c r="K2" t="inlineStr">
        <is>
          <t>样本&lt;10，固定1%</t>
        </is>
      </c>
    </row>
    <row r="3">
      <c r="A3" t="inlineStr">
        <is>
          <t>2021-08-02</t>
        </is>
      </c>
      <c r="B3" t="inlineStr">
        <is>
          <t>棉花</t>
        </is>
      </c>
      <c r="C3" t="inlineStr">
        <is>
          <t>多</t>
        </is>
      </c>
      <c r="D3" t="n">
        <v>2</v>
      </c>
      <c r="E3" t="n">
        <v>5</v>
      </c>
      <c r="F3" t="inlineStr">
        <is>
          <t>观望</t>
        </is>
      </c>
      <c r="G3" t="n">
        <v>1</v>
      </c>
      <c r="H3" t="n">
        <v>17305</v>
      </c>
      <c r="I3" t="n">
        <v>16267.86</v>
      </c>
      <c r="J3" t="n">
        <v>1</v>
      </c>
      <c r="K3" t="inlineStr">
        <is>
          <t>逆5日线（收盘在5日线下，不追多）</t>
        </is>
      </c>
    </row>
    <row r="4">
      <c r="A4" t="inlineStr">
        <is>
          <t>2021-08-02</t>
        </is>
      </c>
      <c r="B4" t="inlineStr">
        <is>
          <t>甲醇</t>
        </is>
      </c>
      <c r="C4" t="inlineStr">
        <is>
          <t>空</t>
        </is>
      </c>
      <c r="D4" t="n">
        <v>2</v>
      </c>
      <c r="E4" t="n">
        <v>5</v>
      </c>
      <c r="F4" t="inlineStr">
        <is>
          <t>开仓</t>
        </is>
      </c>
      <c r="G4" t="n">
        <v>4</v>
      </c>
      <c r="H4" t="n">
        <v>2683</v>
      </c>
      <c r="I4" t="n">
        <v>2893</v>
      </c>
      <c r="J4" t="n">
        <v>1</v>
      </c>
      <c r="K4" t="inlineStr">
        <is>
          <t>样本&lt;10，固定1%</t>
        </is>
      </c>
    </row>
    <row r="5">
      <c r="A5" t="inlineStr">
        <is>
          <t>2021-08-03</t>
        </is>
      </c>
      <c r="B5" t="inlineStr">
        <is>
          <t>玻璃</t>
        </is>
      </c>
      <c r="C5" t="inlineStr">
        <is>
          <t>空</t>
        </is>
      </c>
      <c r="D5" t="n">
        <v>2</v>
      </c>
      <c r="E5" t="n">
        <v>5</v>
      </c>
      <c r="F5" t="inlineStr">
        <is>
          <t>开仓</t>
        </is>
      </c>
      <c r="G5" t="n">
        <v>1</v>
      </c>
      <c r="H5" t="n">
        <v>2725</v>
      </c>
      <c r="I5" t="n">
        <v>2997.79</v>
      </c>
      <c r="J5" t="n">
        <v>1</v>
      </c>
      <c r="K5" t="inlineStr">
        <is>
          <t>样本&lt;10，固定1%</t>
        </is>
      </c>
    </row>
    <row r="6">
      <c r="A6" t="inlineStr">
        <is>
          <t>2021-08-03</t>
        </is>
      </c>
      <c r="B6" t="inlineStr">
        <is>
          <t>棉花</t>
        </is>
      </c>
      <c r="C6" t="inlineStr">
        <is>
          <t>多</t>
        </is>
      </c>
      <c r="D6" t="n">
        <v>2</v>
      </c>
      <c r="E6" t="n">
        <v>4</v>
      </c>
      <c r="F6" t="inlineStr">
        <is>
          <t>观望</t>
        </is>
      </c>
      <c r="G6" t="n">
        <v>1</v>
      </c>
      <c r="H6" t="n">
        <v>17055</v>
      </c>
      <c r="I6" t="n">
        <v>16023.21</v>
      </c>
      <c r="J6" t="n">
        <v>1</v>
      </c>
      <c r="K6" t="inlineStr">
        <is>
          <t>逆5日线（收盘在5日线下，不追多）</t>
        </is>
      </c>
    </row>
    <row r="7">
      <c r="A7" t="inlineStr">
        <is>
          <t>2021-08-03</t>
        </is>
      </c>
      <c r="B7" t="inlineStr">
        <is>
          <t>玉米</t>
        </is>
      </c>
      <c r="C7" t="inlineStr">
        <is>
          <t>多</t>
        </is>
      </c>
      <c r="D7" t="n">
        <v>2</v>
      </c>
      <c r="E7" t="n">
        <v>4</v>
      </c>
      <c r="F7" t="inlineStr">
        <is>
          <t>开仓</t>
        </is>
      </c>
      <c r="G7" t="n">
        <v>9</v>
      </c>
      <c r="H7" t="n">
        <v>2607</v>
      </c>
      <c r="I7" t="n">
        <v>2506.5</v>
      </c>
      <c r="J7" t="n">
        <v>1</v>
      </c>
      <c r="K7" t="inlineStr">
        <is>
          <t>样本&lt;10，固定1%</t>
        </is>
      </c>
    </row>
    <row r="8">
      <c r="A8" t="inlineStr">
        <is>
          <t>2021-08-04</t>
        </is>
      </c>
      <c r="B8" t="inlineStr">
        <is>
          <t>棉花</t>
        </is>
      </c>
      <c r="C8" t="inlineStr">
        <is>
          <t>多</t>
        </is>
      </c>
      <c r="D8" t="n">
        <v>3</v>
      </c>
      <c r="E8" t="n">
        <v>7</v>
      </c>
      <c r="F8" t="inlineStr">
        <is>
          <t>观望</t>
        </is>
      </c>
      <c r="G8" t="n">
        <v>1</v>
      </c>
      <c r="H8" t="n">
        <v>17245</v>
      </c>
      <c r="I8" t="n">
        <v>16198.21</v>
      </c>
      <c r="J8" t="n">
        <v>1</v>
      </c>
      <c r="K8" t="inlineStr">
        <is>
          <t>逆5日线（收盘在5日线下，不追多）</t>
        </is>
      </c>
    </row>
    <row r="9">
      <c r="A9" t="inlineStr">
        <is>
          <t>2021-08-05</t>
        </is>
      </c>
      <c r="B9" t="inlineStr">
        <is>
          <t>聚丙烯</t>
        </is>
      </c>
      <c r="C9" t="inlineStr">
        <is>
          <t>多</t>
        </is>
      </c>
      <c r="D9" t="n">
        <v>2</v>
      </c>
      <c r="E9" t="n">
        <v>4</v>
      </c>
      <c r="F9" t="inlineStr">
        <is>
          <t>观望</t>
        </is>
      </c>
      <c r="G9" t="n">
        <v>4</v>
      </c>
      <c r="H9" t="n">
        <v>8307</v>
      </c>
      <c r="I9" t="n">
        <v>7842.86</v>
      </c>
      <c r="J9" t="n">
        <v>1</v>
      </c>
      <c r="K9" t="inlineStr">
        <is>
          <t>逆5日线（收盘在5日线下，不追多）</t>
        </is>
      </c>
    </row>
    <row r="10">
      <c r="A10" t="inlineStr">
        <is>
          <t>2021-08-06</t>
        </is>
      </c>
      <c r="B10" t="inlineStr">
        <is>
          <t>棕榈油</t>
        </is>
      </c>
      <c r="C10" t="inlineStr">
        <is>
          <t>多</t>
        </is>
      </c>
      <c r="D10" t="n">
        <v>3</v>
      </c>
      <c r="E10" t="n">
        <v>7</v>
      </c>
      <c r="F10" t="inlineStr">
        <is>
          <t>开仓</t>
        </is>
      </c>
      <c r="G10" t="n">
        <v>1</v>
      </c>
      <c r="H10" t="n">
        <v>8486</v>
      </c>
      <c r="I10" t="n">
        <v>7763.86</v>
      </c>
      <c r="J10" t="n">
        <v>1</v>
      </c>
      <c r="K10" t="inlineStr">
        <is>
          <t>样本&lt;10，固定1%</t>
        </is>
      </c>
    </row>
    <row r="11">
      <c r="A11" t="inlineStr">
        <is>
          <t>2021-08-06</t>
        </is>
      </c>
      <c r="B11" t="inlineStr">
        <is>
          <t>焦煤</t>
        </is>
      </c>
      <c r="C11" t="inlineStr">
        <is>
          <t>多</t>
        </is>
      </c>
      <c r="D11" t="n">
        <v>3</v>
      </c>
      <c r="E11" t="n">
        <v>6</v>
      </c>
      <c r="F11" t="inlineStr">
        <is>
          <t>不做</t>
        </is>
      </c>
      <c r="H11" t="n">
        <v>2374.5</v>
      </c>
      <c r="J11" t="n">
        <v>1</v>
      </c>
      <c r="K11" t="inlineStr">
        <is>
          <t>1手风险13031元超过预算10000元</t>
        </is>
      </c>
    </row>
    <row r="12">
      <c r="A12" t="inlineStr">
        <is>
          <t>2021-08-06</t>
        </is>
      </c>
      <c r="B12" t="inlineStr">
        <is>
          <t>PTA</t>
        </is>
      </c>
      <c r="C12" t="inlineStr">
        <is>
          <t>多</t>
        </is>
      </c>
      <c r="D12" t="n">
        <v>3</v>
      </c>
      <c r="E12" t="n">
        <v>6</v>
      </c>
      <c r="F12" t="inlineStr">
        <is>
          <t>开仓</t>
        </is>
      </c>
      <c r="G12" t="n">
        <v>3</v>
      </c>
      <c r="H12" t="n">
        <v>5404</v>
      </c>
      <c r="I12" t="n">
        <v>4845.14</v>
      </c>
      <c r="J12" t="n">
        <v>1</v>
      </c>
      <c r="K12" t="inlineStr">
        <is>
          <t>样本&lt;10，固定1%</t>
        </is>
      </c>
    </row>
    <row r="13">
      <c r="A13" t="inlineStr">
        <is>
          <t>2021-08-06</t>
        </is>
      </c>
      <c r="B13" t="inlineStr">
        <is>
          <t>聚丙烯</t>
        </is>
      </c>
      <c r="C13" t="inlineStr">
        <is>
          <t>多</t>
        </is>
      </c>
      <c r="D13" t="n">
        <v>3</v>
      </c>
      <c r="E13" t="n">
        <v>6</v>
      </c>
      <c r="F13" t="inlineStr">
        <is>
          <t>开仓</t>
        </is>
      </c>
      <c r="G13" t="n">
        <v>4</v>
      </c>
      <c r="H13" t="n">
        <v>8359</v>
      </c>
      <c r="I13" t="n">
        <v>7916.71</v>
      </c>
      <c r="J13" t="n">
        <v>1</v>
      </c>
      <c r="K13" t="inlineStr">
        <is>
          <t>样本&lt;10，固定1%</t>
        </is>
      </c>
    </row>
    <row r="14">
      <c r="A14" t="inlineStr">
        <is>
          <t>2021-08-06</t>
        </is>
      </c>
      <c r="B14" t="inlineStr">
        <is>
          <t>豆油</t>
        </is>
      </c>
      <c r="C14" t="inlineStr">
        <is>
          <t>多</t>
        </is>
      </c>
      <c r="D14" t="n">
        <v>2</v>
      </c>
      <c r="E14" t="n">
        <v>5</v>
      </c>
      <c r="F14" t="inlineStr">
        <is>
          <t>开仓</t>
        </is>
      </c>
      <c r="G14" t="n">
        <v>1</v>
      </c>
      <c r="H14" t="n">
        <v>8906</v>
      </c>
      <c r="I14" t="n">
        <v>8311.139999999999</v>
      </c>
      <c r="J14" t="n">
        <v>1</v>
      </c>
      <c r="K14" t="inlineStr">
        <is>
          <t>样本&lt;10，固定1%</t>
        </is>
      </c>
    </row>
    <row r="15">
      <c r="A15" t="inlineStr">
        <is>
          <t>2021-08-10</t>
        </is>
      </c>
      <c r="B15" t="inlineStr">
        <is>
          <t>豆油</t>
        </is>
      </c>
      <c r="C15" t="inlineStr">
        <is>
          <t>多</t>
        </is>
      </c>
      <c r="D15" t="n">
        <v>3</v>
      </c>
      <c r="E15" t="n">
        <v>7</v>
      </c>
      <c r="F15" t="inlineStr">
        <is>
          <t>开仓</t>
        </is>
      </c>
      <c r="G15" t="n">
        <v>1</v>
      </c>
      <c r="H15" t="n">
        <v>9040</v>
      </c>
      <c r="I15" t="n">
        <v>8470</v>
      </c>
      <c r="J15" t="n">
        <v>1</v>
      </c>
      <c r="K15" t="inlineStr">
        <is>
          <t>样本&lt;10，固定1%</t>
        </is>
      </c>
    </row>
    <row r="16">
      <c r="A16" t="inlineStr">
        <is>
          <t>2021-08-10</t>
        </is>
      </c>
      <c r="B16" t="inlineStr">
        <is>
          <t>沪银</t>
        </is>
      </c>
      <c r="C16" t="inlineStr">
        <is>
          <t>空</t>
        </is>
      </c>
      <c r="D16" t="n">
        <v>2</v>
      </c>
      <c r="E16" t="n">
        <v>5</v>
      </c>
      <c r="F16" t="inlineStr">
        <is>
          <t>开仓</t>
        </is>
      </c>
      <c r="G16" t="n">
        <v>2</v>
      </c>
      <c r="H16" t="n">
        <v>5077</v>
      </c>
      <c r="I16" t="n">
        <v>5387.07</v>
      </c>
      <c r="J16" t="n">
        <v>1</v>
      </c>
      <c r="K16" t="inlineStr">
        <is>
          <t>样本&lt;10，固定1%</t>
        </is>
      </c>
    </row>
    <row r="17">
      <c r="A17" t="inlineStr">
        <is>
          <t>2021-08-10</t>
        </is>
      </c>
      <c r="B17" t="inlineStr">
        <is>
          <t>沪金</t>
        </is>
      </c>
      <c r="C17" t="inlineStr">
        <is>
          <t>空</t>
        </is>
      </c>
      <c r="D17" t="n">
        <v>2</v>
      </c>
      <c r="E17" t="n">
        <v>4</v>
      </c>
      <c r="F17" t="inlineStr">
        <is>
          <t>不做</t>
        </is>
      </c>
      <c r="H17" t="n">
        <v>363.92</v>
      </c>
      <c r="J17" t="n">
        <v>1</v>
      </c>
      <c r="K17" t="inlineStr">
        <is>
          <t>1手风险12857元超过预算10000元</t>
        </is>
      </c>
    </row>
    <row r="18">
      <c r="A18" t="inlineStr">
        <is>
          <t>2021-08-11</t>
        </is>
      </c>
      <c r="B18" t="inlineStr">
        <is>
          <t>棕榈油</t>
        </is>
      </c>
      <c r="C18" t="inlineStr">
        <is>
          <t>多</t>
        </is>
      </c>
      <c r="D18" t="n">
        <v>3</v>
      </c>
      <c r="E18" t="n">
        <v>7</v>
      </c>
      <c r="F18" t="inlineStr">
        <is>
          <t>开仓</t>
        </is>
      </c>
      <c r="G18" t="n">
        <v>1</v>
      </c>
      <c r="H18" t="n">
        <v>8994</v>
      </c>
      <c r="I18" t="n">
        <v>8218.290000000001</v>
      </c>
      <c r="J18" t="n">
        <v>1</v>
      </c>
      <c r="K18" t="inlineStr">
        <is>
          <t>样本&lt;10，固定1%</t>
        </is>
      </c>
    </row>
    <row r="19">
      <c r="A19" t="inlineStr">
        <is>
          <t>2021-08-12</t>
        </is>
      </c>
      <c r="B19" t="inlineStr">
        <is>
          <t>焦煤</t>
        </is>
      </c>
      <c r="C19" t="inlineStr">
        <is>
          <t>多</t>
        </is>
      </c>
      <c r="D19" t="n">
        <v>2</v>
      </c>
      <c r="E19" t="n">
        <v>4</v>
      </c>
      <c r="F19" t="inlineStr">
        <is>
          <t>观望</t>
        </is>
      </c>
      <c r="G19" t="n">
        <v>1</v>
      </c>
      <c r="H19" t="n">
        <v>2205.5</v>
      </c>
      <c r="I19" t="n">
        <v>1976.11</v>
      </c>
      <c r="J19" t="n">
        <v>2</v>
      </c>
      <c r="K19" t="inlineStr">
        <is>
          <t>逆5日线（收盘在5日线下，不追多）</t>
        </is>
      </c>
    </row>
    <row r="20">
      <c r="A20" t="inlineStr">
        <is>
          <t>2021-08-12</t>
        </is>
      </c>
      <c r="B20" t="inlineStr">
        <is>
          <t>聚丙烯</t>
        </is>
      </c>
      <c r="C20" t="inlineStr">
        <is>
          <t>空</t>
        </is>
      </c>
      <c r="D20" t="n">
        <v>2</v>
      </c>
      <c r="E20" t="n">
        <v>4</v>
      </c>
      <c r="F20" t="inlineStr">
        <is>
          <t>观望</t>
        </is>
      </c>
      <c r="G20" t="n">
        <v>9</v>
      </c>
      <c r="H20" t="n">
        <v>8537</v>
      </c>
      <c r="I20" t="n">
        <v>8968.139999999999</v>
      </c>
      <c r="J20" t="n">
        <v>2</v>
      </c>
      <c r="K20" t="inlineStr">
        <is>
          <t>逆5日线（收盘在5日线上，不追空）</t>
        </is>
      </c>
    </row>
    <row r="21">
      <c r="A21" t="inlineStr">
        <is>
          <t>2021-08-12</t>
        </is>
      </c>
      <c r="B21" t="inlineStr">
        <is>
          <t>沪镍</t>
        </is>
      </c>
      <c r="C21" t="inlineStr">
        <is>
          <t>多</t>
        </is>
      </c>
      <c r="D21" t="n">
        <v>2</v>
      </c>
      <c r="E21" t="n">
        <v>4</v>
      </c>
      <c r="F21" t="inlineStr">
        <is>
          <t>开仓</t>
        </is>
      </c>
      <c r="G21" t="n">
        <v>1</v>
      </c>
      <c r="H21" t="n">
        <v>146720</v>
      </c>
      <c r="I21" t="n">
        <v>135540.71</v>
      </c>
      <c r="J21" t="n">
        <v>2</v>
      </c>
      <c r="K21" t="inlineStr">
        <is>
          <t>¼凯利超上限，取2%</t>
        </is>
      </c>
    </row>
    <row r="22">
      <c r="A22" t="inlineStr">
        <is>
          <t>2021-08-16</t>
        </is>
      </c>
      <c r="B22" t="inlineStr">
        <is>
          <t>纯碱</t>
        </is>
      </c>
      <c r="C22" t="inlineStr">
        <is>
          <t>多</t>
        </is>
      </c>
      <c r="D22" t="n">
        <v>2</v>
      </c>
      <c r="E22" t="n">
        <v>5</v>
      </c>
      <c r="F22" t="inlineStr">
        <is>
          <t>开仓</t>
        </is>
      </c>
      <c r="G22" t="n">
        <v>4</v>
      </c>
      <c r="H22" t="n">
        <v>2757</v>
      </c>
      <c r="I22" t="n">
        <v>2550.21</v>
      </c>
      <c r="J22" t="n">
        <v>2</v>
      </c>
      <c r="K22" t="inlineStr">
        <is>
          <t>¼凯利超上限，取2%</t>
        </is>
      </c>
    </row>
    <row r="23">
      <c r="A23" t="inlineStr">
        <is>
          <t>2021-08-16</t>
        </is>
      </c>
      <c r="B23" t="inlineStr">
        <is>
          <t>PVC</t>
        </is>
      </c>
      <c r="C23" t="inlineStr">
        <is>
          <t>多</t>
        </is>
      </c>
      <c r="D23" t="n">
        <v>2</v>
      </c>
      <c r="E23" t="n">
        <v>4</v>
      </c>
      <c r="F23" t="inlineStr">
        <is>
          <t>开仓</t>
        </is>
      </c>
      <c r="G23" t="n">
        <v>8</v>
      </c>
      <c r="H23" t="n">
        <v>9330</v>
      </c>
      <c r="I23" t="n">
        <v>8850</v>
      </c>
      <c r="J23" t="n">
        <v>2</v>
      </c>
      <c r="K23" t="inlineStr">
        <is>
          <t>¼凯利超上限，取2%</t>
        </is>
      </c>
    </row>
    <row r="24">
      <c r="A24" t="inlineStr">
        <is>
          <t>2021-08-16</t>
        </is>
      </c>
      <c r="B24" t="inlineStr">
        <is>
          <t>棉花</t>
        </is>
      </c>
      <c r="C24" t="inlineStr">
        <is>
          <t>多</t>
        </is>
      </c>
      <c r="D24" t="n">
        <v>2</v>
      </c>
      <c r="E24" t="n">
        <v>4</v>
      </c>
      <c r="F24" t="inlineStr">
        <is>
          <t>开仓</t>
        </is>
      </c>
      <c r="G24" t="n">
        <v>4</v>
      </c>
      <c r="H24" t="n">
        <v>18145</v>
      </c>
      <c r="I24" t="n">
        <v>17282.5</v>
      </c>
      <c r="J24" t="n">
        <v>2</v>
      </c>
      <c r="K24" t="inlineStr">
        <is>
          <t>¼凯利超上限，取2%</t>
        </is>
      </c>
    </row>
    <row r="25">
      <c r="A25" t="inlineStr">
        <is>
          <t>2021-08-17</t>
        </is>
      </c>
      <c r="B25" t="inlineStr">
        <is>
          <t>棕榈油</t>
        </is>
      </c>
      <c r="C25" t="inlineStr">
        <is>
          <t>多</t>
        </is>
      </c>
      <c r="D25" t="n">
        <v>3</v>
      </c>
      <c r="E25" t="n">
        <v>7</v>
      </c>
      <c r="F25" t="inlineStr">
        <is>
          <t>开仓</t>
        </is>
      </c>
      <c r="G25" t="n">
        <v>2</v>
      </c>
      <c r="H25" t="n">
        <v>8418</v>
      </c>
      <c r="I25" t="n">
        <v>7653</v>
      </c>
      <c r="J25" t="n">
        <v>2</v>
      </c>
      <c r="K25" t="inlineStr">
        <is>
          <t>¼凯利超上限，取2%</t>
        </is>
      </c>
    </row>
    <row r="26">
      <c r="A26" t="inlineStr">
        <is>
          <t>2021-08-17</t>
        </is>
      </c>
      <c r="B26" t="inlineStr">
        <is>
          <t>豆油</t>
        </is>
      </c>
      <c r="C26" t="inlineStr">
        <is>
          <t>多</t>
        </is>
      </c>
      <c r="D26" t="n">
        <v>3</v>
      </c>
      <c r="E26" t="n">
        <v>7</v>
      </c>
      <c r="F26" t="inlineStr">
        <is>
          <t>开仓</t>
        </is>
      </c>
      <c r="G26" t="n">
        <v>1</v>
      </c>
      <c r="H26" t="n">
        <v>9188</v>
      </c>
      <c r="I26" t="n">
        <v>8610.290000000001</v>
      </c>
      <c r="J26" t="n">
        <v>1</v>
      </c>
      <c r="K26" t="inlineStr">
        <is>
          <t>与棕榈油高度相关（同组≤3%），预算缩小</t>
        </is>
      </c>
    </row>
    <row r="27">
      <c r="A27" t="inlineStr">
        <is>
          <t>2021-08-17</t>
        </is>
      </c>
      <c r="B27" t="inlineStr">
        <is>
          <t>沪铝</t>
        </is>
      </c>
      <c r="C27" t="inlineStr">
        <is>
          <t>多</t>
        </is>
      </c>
      <c r="D27" t="n">
        <v>3</v>
      </c>
      <c r="E27" t="n">
        <v>6</v>
      </c>
      <c r="F27" t="inlineStr">
        <is>
          <t>开仓</t>
        </is>
      </c>
      <c r="G27" t="n">
        <v>4</v>
      </c>
      <c r="H27" t="n">
        <v>20515</v>
      </c>
      <c r="I27" t="n">
        <v>19658.93</v>
      </c>
      <c r="J27" t="n">
        <v>2</v>
      </c>
      <c r="K27" t="inlineStr">
        <is>
          <t>¼凯利超上限，取2%</t>
        </is>
      </c>
    </row>
    <row r="28">
      <c r="A28" t="inlineStr">
        <is>
          <t>2021-08-17</t>
        </is>
      </c>
      <c r="B28" t="inlineStr">
        <is>
          <t>PVC</t>
        </is>
      </c>
      <c r="C28" t="inlineStr">
        <is>
          <t>多</t>
        </is>
      </c>
      <c r="D28" t="n">
        <v>3</v>
      </c>
      <c r="E28" t="n">
        <v>6</v>
      </c>
      <c r="F28" t="inlineStr">
        <is>
          <t>续持</t>
        </is>
      </c>
      <c r="G28" t="n">
        <v>8</v>
      </c>
      <c r="H28" t="n">
        <v>9450</v>
      </c>
      <c r="I28" t="n">
        <v>8990.360000000001</v>
      </c>
      <c r="J28" t="n">
        <v>2</v>
      </c>
      <c r="K28" t="inlineStr">
        <is>
          <t>续持原仓（2021-08-16开）</t>
        </is>
      </c>
    </row>
    <row r="29">
      <c r="A29" t="inlineStr">
        <is>
          <t>2021-08-17</t>
        </is>
      </c>
      <c r="B29" t="inlineStr">
        <is>
          <t>玉米</t>
        </is>
      </c>
      <c r="C29" t="inlineStr">
        <is>
          <t>多</t>
        </is>
      </c>
      <c r="D29" t="n">
        <v>3</v>
      </c>
      <c r="E29" t="n">
        <v>6</v>
      </c>
      <c r="F29" t="inlineStr">
        <is>
          <t>不做</t>
        </is>
      </c>
      <c r="H29" t="n">
        <v>2593</v>
      </c>
      <c r="J29" t="n">
        <v>0</v>
      </c>
      <c r="K29" t="inlineStr">
        <is>
          <t>组合风险已近10%，预算缩小</t>
        </is>
      </c>
    </row>
    <row r="30">
      <c r="A30" t="inlineStr">
        <is>
          <t>2021-08-18</t>
        </is>
      </c>
      <c r="B30" t="inlineStr">
        <is>
          <t>棉花</t>
        </is>
      </c>
      <c r="C30" t="inlineStr">
        <is>
          <t>多</t>
        </is>
      </c>
      <c r="D30" t="n">
        <v>3</v>
      </c>
      <c r="E30" t="n">
        <v>6</v>
      </c>
      <c r="F30" t="inlineStr">
        <is>
          <t>续持</t>
        </is>
      </c>
      <c r="G30" t="n">
        <v>4</v>
      </c>
      <c r="H30" t="n">
        <v>18290</v>
      </c>
      <c r="I30" t="n">
        <v>17594.29</v>
      </c>
      <c r="J30" t="n">
        <v>2</v>
      </c>
      <c r="K30" t="inlineStr">
        <is>
          <t>续持原仓（2021-08-16开）</t>
        </is>
      </c>
    </row>
    <row r="31">
      <c r="A31" t="inlineStr">
        <is>
          <t>2021-08-18</t>
        </is>
      </c>
      <c r="B31" t="inlineStr">
        <is>
          <t>聚丙烯</t>
        </is>
      </c>
      <c r="C31" t="inlineStr">
        <is>
          <t>空</t>
        </is>
      </c>
      <c r="D31" t="n">
        <v>2</v>
      </c>
      <c r="E31" t="n">
        <v>5</v>
      </c>
      <c r="F31" t="inlineStr">
        <is>
          <t>观望</t>
        </is>
      </c>
      <c r="G31" t="n">
        <v>4</v>
      </c>
      <c r="H31" t="n">
        <v>8482</v>
      </c>
      <c r="I31" t="n">
        <v>8863.209999999999</v>
      </c>
      <c r="J31" t="n">
        <v>0.9399999999999999</v>
      </c>
      <c r="K31" t="inlineStr">
        <is>
          <t>逆5日线（收盘在5日线上，不追空）</t>
        </is>
      </c>
    </row>
    <row r="32">
      <c r="A32" t="inlineStr">
        <is>
          <t>2021-08-18</t>
        </is>
      </c>
      <c r="B32" t="inlineStr">
        <is>
          <t>沪铜</t>
        </is>
      </c>
      <c r="C32" t="inlineStr">
        <is>
          <t>空</t>
        </is>
      </c>
      <c r="D32" t="n">
        <v>2</v>
      </c>
      <c r="E32" t="n">
        <v>4</v>
      </c>
      <c r="F32" t="inlineStr">
        <is>
          <t>不做</t>
        </is>
      </c>
      <c r="H32" t="n">
        <v>68720</v>
      </c>
      <c r="J32" t="n">
        <v>0.9399999999999999</v>
      </c>
      <c r="K32" t="inlineStr">
        <is>
          <t>1手风险16243元超过预算9400元</t>
        </is>
      </c>
    </row>
    <row r="33">
      <c r="A33" t="inlineStr">
        <is>
          <t>2021-08-19</t>
        </is>
      </c>
      <c r="B33" t="inlineStr">
        <is>
          <t>豆油</t>
        </is>
      </c>
      <c r="C33" t="inlineStr">
        <is>
          <t>多</t>
        </is>
      </c>
      <c r="D33" t="n">
        <v>3</v>
      </c>
      <c r="E33" t="n">
        <v>6</v>
      </c>
      <c r="F33" t="inlineStr">
        <is>
          <t>观望</t>
        </is>
      </c>
      <c r="G33" t="n">
        <v>3</v>
      </c>
      <c r="H33" t="n">
        <v>9024</v>
      </c>
      <c r="I33" t="n">
        <v>8411.139999999999</v>
      </c>
      <c r="J33" t="n">
        <v>2</v>
      </c>
      <c r="K33" t="inlineStr">
        <is>
          <t>逆5日线（收盘在5日线下，不追多）</t>
        </is>
      </c>
    </row>
    <row r="34">
      <c r="A34" t="inlineStr">
        <is>
          <t>2021-08-19</t>
        </is>
      </c>
      <c r="B34" t="inlineStr">
        <is>
          <t>沪镍</t>
        </is>
      </c>
      <c r="C34" t="inlineStr">
        <is>
          <t>空</t>
        </is>
      </c>
      <c r="D34" t="n">
        <v>2</v>
      </c>
      <c r="E34" t="n">
        <v>5</v>
      </c>
      <c r="F34" t="inlineStr">
        <is>
          <t>开仓</t>
        </is>
      </c>
      <c r="G34" t="n">
        <v>2</v>
      </c>
      <c r="H34" t="n">
        <v>141220</v>
      </c>
      <c r="I34" t="n">
        <v>151137.14</v>
      </c>
      <c r="J34" t="n">
        <v>2</v>
      </c>
      <c r="K34" t="inlineStr">
        <is>
          <t>¼凯利超上限，取2%</t>
        </is>
      </c>
    </row>
    <row r="35">
      <c r="A35" t="inlineStr">
        <is>
          <t>2021-08-19</t>
        </is>
      </c>
      <c r="B35" t="inlineStr">
        <is>
          <t>聚丙烯</t>
        </is>
      </c>
      <c r="C35" t="inlineStr">
        <is>
          <t>空</t>
        </is>
      </c>
      <c r="D35" t="n">
        <v>2</v>
      </c>
      <c r="E35" t="n">
        <v>4</v>
      </c>
      <c r="F35" t="inlineStr">
        <is>
          <t>开仓</t>
        </is>
      </c>
      <c r="G35" t="n">
        <v>9</v>
      </c>
      <c r="H35" t="n">
        <v>8271</v>
      </c>
      <c r="I35" t="n">
        <v>8678.57</v>
      </c>
      <c r="J35" t="n">
        <v>2</v>
      </c>
      <c r="K35" t="inlineStr">
        <is>
          <t>¼凯利超上限，取2%</t>
        </is>
      </c>
    </row>
    <row r="36">
      <c r="A36" t="inlineStr">
        <is>
          <t>2021-08-19</t>
        </is>
      </c>
      <c r="B36" t="inlineStr">
        <is>
          <t>PVC</t>
        </is>
      </c>
      <c r="C36" t="inlineStr">
        <is>
          <t>多</t>
        </is>
      </c>
      <c r="D36" t="n">
        <v>2</v>
      </c>
      <c r="E36" t="n">
        <v>4</v>
      </c>
      <c r="F36" t="inlineStr">
        <is>
          <t>观望</t>
        </is>
      </c>
      <c r="G36" t="n">
        <v>3</v>
      </c>
      <c r="H36" t="n">
        <v>9140</v>
      </c>
      <c r="I36" t="n">
        <v>8633.209999999999</v>
      </c>
      <c r="J36" t="n">
        <v>1</v>
      </c>
      <c r="K36" t="inlineStr">
        <is>
          <t>逆5日线（收盘在5日线下，不追多）</t>
        </is>
      </c>
    </row>
    <row r="37">
      <c r="A37" t="inlineStr">
        <is>
          <t>2021-08-20</t>
        </is>
      </c>
      <c r="B37" t="inlineStr">
        <is>
          <t>纯碱</t>
        </is>
      </c>
      <c r="C37" t="inlineStr">
        <is>
          <t>多</t>
        </is>
      </c>
      <c r="D37" t="n">
        <v>3</v>
      </c>
      <c r="E37" t="n">
        <v>6</v>
      </c>
      <c r="F37" t="inlineStr">
        <is>
          <t>开仓</t>
        </is>
      </c>
      <c r="G37" t="n">
        <v>2</v>
      </c>
      <c r="H37" t="n">
        <v>2742</v>
      </c>
      <c r="I37" t="n">
        <v>2523.21</v>
      </c>
      <c r="J37" t="n">
        <v>1.27</v>
      </c>
      <c r="K37" t="inlineStr">
        <is>
          <t>¼凯利</t>
        </is>
      </c>
    </row>
    <row r="38">
      <c r="A38" t="inlineStr">
        <is>
          <t>2021-08-20</t>
        </is>
      </c>
      <c r="B38" t="inlineStr">
        <is>
          <t>PVC</t>
        </is>
      </c>
      <c r="C38" t="inlineStr">
        <is>
          <t>多</t>
        </is>
      </c>
      <c r="D38" t="n">
        <v>2</v>
      </c>
      <c r="E38" t="n">
        <v>4</v>
      </c>
      <c r="F38" t="inlineStr">
        <is>
          <t>观望</t>
        </is>
      </c>
      <c r="G38" t="n">
        <v>4</v>
      </c>
      <c r="H38" t="n">
        <v>9135</v>
      </c>
      <c r="I38" t="n">
        <v>8661.43</v>
      </c>
      <c r="J38" t="n">
        <v>1</v>
      </c>
      <c r="K38" t="inlineStr">
        <is>
          <t>逆5日线（收盘在5日线下，不追多）</t>
        </is>
      </c>
    </row>
    <row r="39">
      <c r="A39" t="inlineStr">
        <is>
          <t>2021-08-23</t>
        </is>
      </c>
      <c r="B39" t="inlineStr">
        <is>
          <t>棕榈油</t>
        </is>
      </c>
      <c r="C39" t="inlineStr">
        <is>
          <t>多</t>
        </is>
      </c>
      <c r="D39" t="n">
        <v>3</v>
      </c>
      <c r="E39" t="n">
        <v>7</v>
      </c>
      <c r="F39" t="inlineStr">
        <is>
          <t>观望</t>
        </is>
      </c>
      <c r="G39" t="n">
        <v>1</v>
      </c>
      <c r="H39" t="n">
        <v>8084</v>
      </c>
      <c r="I39" t="n">
        <v>7299.71</v>
      </c>
      <c r="J39" t="n">
        <v>1.27</v>
      </c>
      <c r="K39" t="inlineStr">
        <is>
          <t>逆5日线（收盘在5日线下，不追多）</t>
        </is>
      </c>
    </row>
    <row r="40">
      <c r="A40" t="inlineStr">
        <is>
          <t>2021-08-23</t>
        </is>
      </c>
      <c r="B40" t="inlineStr">
        <is>
          <t>沪铝</t>
        </is>
      </c>
      <c r="C40" t="inlineStr">
        <is>
          <t>多</t>
        </is>
      </c>
      <c r="D40" t="n">
        <v>3</v>
      </c>
      <c r="E40" t="n">
        <v>6</v>
      </c>
      <c r="F40" t="inlineStr">
        <is>
          <t>续持</t>
        </is>
      </c>
      <c r="G40" t="n">
        <v>4</v>
      </c>
      <c r="H40" t="n">
        <v>20390</v>
      </c>
      <c r="I40" t="n">
        <v>19603.93</v>
      </c>
      <c r="J40" t="n">
        <v>2</v>
      </c>
      <c r="K40" t="inlineStr">
        <is>
          <t>续持原仓（2021-08-17开）</t>
        </is>
      </c>
    </row>
    <row r="41">
      <c r="A41" t="inlineStr">
        <is>
          <t>2021-08-23</t>
        </is>
      </c>
      <c r="B41" t="inlineStr">
        <is>
          <t>甲醇</t>
        </is>
      </c>
      <c r="C41" t="inlineStr">
        <is>
          <t>多</t>
        </is>
      </c>
      <c r="D41" t="n">
        <v>2</v>
      </c>
      <c r="E41" t="n">
        <v>5</v>
      </c>
      <c r="F41" t="inlineStr">
        <is>
          <t>开仓</t>
        </is>
      </c>
      <c r="G41" t="n">
        <v>6</v>
      </c>
      <c r="H41" t="n">
        <v>2921</v>
      </c>
      <c r="I41" t="n">
        <v>2735.43</v>
      </c>
      <c r="J41" t="n">
        <v>1.27</v>
      </c>
      <c r="K41" t="inlineStr">
        <is>
          <t>¼凯利</t>
        </is>
      </c>
    </row>
    <row r="42">
      <c r="A42" t="inlineStr">
        <is>
          <t>2021-08-23</t>
        </is>
      </c>
      <c r="B42" t="inlineStr">
        <is>
          <t>PVC</t>
        </is>
      </c>
      <c r="C42" t="inlineStr">
        <is>
          <t>多</t>
        </is>
      </c>
      <c r="D42" t="n">
        <v>2</v>
      </c>
      <c r="E42" t="n">
        <v>4</v>
      </c>
      <c r="F42" t="inlineStr">
        <is>
          <t>观望</t>
        </is>
      </c>
      <c r="G42" t="n">
        <v>4</v>
      </c>
      <c r="H42" t="n">
        <v>9130</v>
      </c>
      <c r="I42" t="n">
        <v>8646.790000000001</v>
      </c>
      <c r="J42" t="n">
        <v>1</v>
      </c>
      <c r="K42" t="inlineStr">
        <is>
          <t>逆5日线（收盘在5日线下，不追多）</t>
        </is>
      </c>
    </row>
    <row r="43">
      <c r="A43" t="inlineStr">
        <is>
          <t>2021-08-23</t>
        </is>
      </c>
      <c r="B43" t="inlineStr">
        <is>
          <t>聚丙烯</t>
        </is>
      </c>
      <c r="C43" t="inlineStr">
        <is>
          <t>多</t>
        </is>
      </c>
      <c r="D43" t="n">
        <v>2</v>
      </c>
      <c r="E43" t="n">
        <v>4</v>
      </c>
      <c r="F43" t="inlineStr">
        <is>
          <t>观望</t>
        </is>
      </c>
      <c r="G43" t="n">
        <v>6</v>
      </c>
      <c r="H43" t="n">
        <v>8315</v>
      </c>
      <c r="I43" t="n">
        <v>7928.43</v>
      </c>
      <c r="J43" t="n">
        <v>1.27</v>
      </c>
      <c r="K43" t="inlineStr">
        <is>
          <t>逆5日线（收盘在5日线下，不追多）</t>
        </is>
      </c>
    </row>
    <row r="44">
      <c r="A44" t="inlineStr">
        <is>
          <t>2021-08-24</t>
        </is>
      </c>
      <c r="B44" t="inlineStr">
        <is>
          <t>棕榈油</t>
        </is>
      </c>
      <c r="C44" t="inlineStr">
        <is>
          <t>多</t>
        </is>
      </c>
      <c r="D44" t="n">
        <v>3</v>
      </c>
      <c r="E44" t="n">
        <v>6</v>
      </c>
      <c r="F44" t="inlineStr">
        <is>
          <t>影子仓</t>
        </is>
      </c>
      <c r="G44" t="n">
        <v>1</v>
      </c>
      <c r="H44" t="n">
        <v>8168</v>
      </c>
      <c r="I44" t="n">
        <v>7421.43</v>
      </c>
      <c r="J44" t="n">
        <v>1</v>
      </c>
      <c r="K44" t="inlineStr">
        <is>
          <t>凯利≤0，开1%影子仓（只统计，不计入组合）</t>
        </is>
      </c>
    </row>
    <row r="45">
      <c r="A45" t="inlineStr">
        <is>
          <t>2021-08-24</t>
        </is>
      </c>
      <c r="B45" t="inlineStr">
        <is>
          <t>螺纹钢</t>
        </is>
      </c>
      <c r="C45" t="inlineStr">
        <is>
          <t>多</t>
        </is>
      </c>
      <c r="D45" t="n">
        <v>2</v>
      </c>
      <c r="E45" t="n">
        <v>5</v>
      </c>
      <c r="F45" t="inlineStr">
        <is>
          <t>影子仓</t>
        </is>
      </c>
      <c r="G45" t="n">
        <v>2</v>
      </c>
      <c r="H45" t="n">
        <v>5235</v>
      </c>
      <c r="I45" t="n">
        <v>4779.21</v>
      </c>
      <c r="J45" t="n">
        <v>1</v>
      </c>
      <c r="K45" t="inlineStr">
        <is>
          <t>凯利≤0，开1%影子仓（只统计，不计入组合）</t>
        </is>
      </c>
    </row>
    <row r="46">
      <c r="A46" t="inlineStr">
        <is>
          <t>2021-08-24</t>
        </is>
      </c>
      <c r="B46" t="inlineStr">
        <is>
          <t>菜粕</t>
        </is>
      </c>
      <c r="C46" t="inlineStr">
        <is>
          <t>多</t>
        </is>
      </c>
      <c r="D46" t="n">
        <v>2</v>
      </c>
      <c r="E46" t="n">
        <v>4</v>
      </c>
      <c r="F46" t="inlineStr">
        <is>
          <t>观望</t>
        </is>
      </c>
      <c r="G46" t="n">
        <v>5</v>
      </c>
      <c r="H46" t="n">
        <v>2862</v>
      </c>
      <c r="I46" t="n">
        <v>2675.79</v>
      </c>
      <c r="J46" t="n">
        <v>1</v>
      </c>
      <c r="K46" t="inlineStr">
        <is>
          <t>逆5日线（收盘在5日线下，不追多）</t>
        </is>
      </c>
    </row>
    <row r="47">
      <c r="A47" t="inlineStr">
        <is>
          <t>2021-08-25</t>
        </is>
      </c>
      <c r="B47" t="inlineStr">
        <is>
          <t>PVC</t>
        </is>
      </c>
      <c r="C47" t="inlineStr">
        <is>
          <t>多</t>
        </is>
      </c>
      <c r="D47" t="n">
        <v>3</v>
      </c>
      <c r="E47" t="n">
        <v>6</v>
      </c>
      <c r="F47" t="inlineStr">
        <is>
          <t>开仓</t>
        </is>
      </c>
      <c r="G47" t="n">
        <v>8</v>
      </c>
      <c r="H47" t="n">
        <v>9290</v>
      </c>
      <c r="I47" t="n">
        <v>8831.43</v>
      </c>
      <c r="J47" t="n">
        <v>2</v>
      </c>
      <c r="K47" t="inlineStr">
        <is>
          <t>¼凯利超上限，取2%</t>
        </is>
      </c>
    </row>
    <row r="48">
      <c r="A48" t="inlineStr">
        <is>
          <t>2021-08-25</t>
        </is>
      </c>
      <c r="B48" t="inlineStr">
        <is>
          <t>棕榈油</t>
        </is>
      </c>
      <c r="C48" t="inlineStr">
        <is>
          <t>多</t>
        </is>
      </c>
      <c r="D48" t="n">
        <v>3</v>
      </c>
      <c r="E48" t="n">
        <v>6</v>
      </c>
      <c r="F48" t="inlineStr">
        <is>
          <t>续持</t>
        </is>
      </c>
      <c r="G48" t="n">
        <v>1</v>
      </c>
      <c r="H48" t="n">
        <v>8290</v>
      </c>
      <c r="I48" t="n">
        <v>7568.71</v>
      </c>
      <c r="J48" t="n">
        <v>1</v>
      </c>
      <c r="K48" t="inlineStr">
        <is>
          <t>续持原仓（2021-08-24开）</t>
        </is>
      </c>
    </row>
    <row r="49">
      <c r="A49" t="inlineStr">
        <is>
          <t>2021-08-25</t>
        </is>
      </c>
      <c r="B49" t="inlineStr">
        <is>
          <t>塑料</t>
        </is>
      </c>
      <c r="C49" t="inlineStr">
        <is>
          <t>空</t>
        </is>
      </c>
      <c r="D49" t="n">
        <v>2</v>
      </c>
      <c r="E49" t="n">
        <v>4</v>
      </c>
      <c r="F49" t="inlineStr">
        <is>
          <t>观望</t>
        </is>
      </c>
      <c r="G49" t="n">
        <v>5</v>
      </c>
      <c r="H49" t="n">
        <v>8235</v>
      </c>
      <c r="I49" t="n">
        <v>8581.07</v>
      </c>
      <c r="J49" t="n">
        <v>1</v>
      </c>
      <c r="K49" t="inlineStr">
        <is>
          <t>逆5日线（收盘在5日线上，不追空）</t>
        </is>
      </c>
    </row>
    <row r="50">
      <c r="A50" t="inlineStr">
        <is>
          <t>2021-08-26</t>
        </is>
      </c>
      <c r="B50" t="inlineStr">
        <is>
          <t>豆油</t>
        </is>
      </c>
      <c r="C50" t="inlineStr">
        <is>
          <t>多</t>
        </is>
      </c>
      <c r="D50" t="n">
        <v>3</v>
      </c>
      <c r="E50" t="n">
        <v>6</v>
      </c>
      <c r="F50" t="inlineStr">
        <is>
          <t>开仓</t>
        </is>
      </c>
      <c r="G50" t="n">
        <v>3</v>
      </c>
      <c r="H50" t="n">
        <v>9104</v>
      </c>
      <c r="I50" t="n">
        <v>8502.709999999999</v>
      </c>
      <c r="J50" t="n">
        <v>2</v>
      </c>
      <c r="K50" t="inlineStr">
        <is>
          <t>¼凯利超上限，取2%</t>
        </is>
      </c>
    </row>
    <row r="51">
      <c r="A51" t="inlineStr">
        <is>
          <t>2021-08-26</t>
        </is>
      </c>
      <c r="B51" t="inlineStr">
        <is>
          <t>棕榈油</t>
        </is>
      </c>
      <c r="C51" t="inlineStr">
        <is>
          <t>多</t>
        </is>
      </c>
      <c r="D51" t="n">
        <v>3</v>
      </c>
      <c r="E51" t="n">
        <v>6</v>
      </c>
      <c r="F51" t="inlineStr">
        <is>
          <t>续持</t>
        </is>
      </c>
      <c r="G51" t="n">
        <v>1</v>
      </c>
      <c r="H51" t="n">
        <v>8258</v>
      </c>
      <c r="I51" t="n">
        <v>7689.57</v>
      </c>
      <c r="J51" t="n">
        <v>1</v>
      </c>
      <c r="K51" t="inlineStr">
        <is>
          <t>续持原仓（2021-08-24开）</t>
        </is>
      </c>
    </row>
    <row r="52">
      <c r="A52" t="inlineStr">
        <is>
          <t>2021-08-26</t>
        </is>
      </c>
      <c r="B52" t="inlineStr">
        <is>
          <t>PVC</t>
        </is>
      </c>
      <c r="C52" t="inlineStr">
        <is>
          <t>多</t>
        </is>
      </c>
      <c r="D52" t="n">
        <v>2</v>
      </c>
      <c r="E52" t="n">
        <v>5</v>
      </c>
      <c r="F52" t="inlineStr">
        <is>
          <t>观望</t>
        </is>
      </c>
      <c r="G52" t="n">
        <v>4</v>
      </c>
      <c r="H52" t="n">
        <v>9190</v>
      </c>
      <c r="I52" t="n">
        <v>8735.709999999999</v>
      </c>
      <c r="J52" t="n">
        <v>1</v>
      </c>
      <c r="K52" t="inlineStr">
        <is>
          <t>逆5日线（收盘在5日线下，不追多）</t>
        </is>
      </c>
    </row>
    <row r="53">
      <c r="A53" t="inlineStr">
        <is>
          <t>2021-08-26</t>
        </is>
      </c>
      <c r="B53" t="inlineStr">
        <is>
          <t>沪锌</t>
        </is>
      </c>
      <c r="C53" t="inlineStr">
        <is>
          <t>空</t>
        </is>
      </c>
      <c r="D53" t="n">
        <v>2</v>
      </c>
      <c r="E53" t="n">
        <v>4</v>
      </c>
      <c r="F53" t="inlineStr">
        <is>
          <t>观望</t>
        </is>
      </c>
      <c r="G53" t="n">
        <v>2</v>
      </c>
      <c r="H53" t="n">
        <v>22510</v>
      </c>
      <c r="I53" t="n">
        <v>23434.64</v>
      </c>
      <c r="J53" t="n">
        <v>1</v>
      </c>
      <c r="K53" t="inlineStr">
        <is>
          <t>逆5日线（收盘在5日线上，不追空）</t>
        </is>
      </c>
    </row>
    <row r="54">
      <c r="A54" t="inlineStr">
        <is>
          <t>2021-08-26</t>
        </is>
      </c>
      <c r="B54" t="inlineStr">
        <is>
          <t>沪银</t>
        </is>
      </c>
      <c r="C54" t="inlineStr">
        <is>
          <t>空</t>
        </is>
      </c>
      <c r="D54" t="n">
        <v>2</v>
      </c>
      <c r="E54" t="n">
        <v>4</v>
      </c>
      <c r="F54" t="inlineStr">
        <is>
          <t>观望</t>
        </is>
      </c>
      <c r="G54" t="n">
        <v>2</v>
      </c>
      <c r="H54" t="n">
        <v>5070</v>
      </c>
      <c r="I54" t="n">
        <v>5350.71</v>
      </c>
      <c r="J54" t="n">
        <v>1</v>
      </c>
      <c r="K54" t="inlineStr">
        <is>
          <t>逆5日线（收盘在5日线上，不追空）</t>
        </is>
      </c>
    </row>
    <row r="55">
      <c r="A55" t="inlineStr">
        <is>
          <t>2021-08-27</t>
        </is>
      </c>
      <c r="B55" t="inlineStr">
        <is>
          <t>聚丙烯</t>
        </is>
      </c>
      <c r="C55" t="inlineStr">
        <is>
          <t>多</t>
        </is>
      </c>
      <c r="D55" t="n">
        <v>3</v>
      </c>
      <c r="E55" t="n">
        <v>6</v>
      </c>
      <c r="F55" t="inlineStr">
        <is>
          <t>观望</t>
        </is>
      </c>
      <c r="G55" t="n">
        <v>10</v>
      </c>
      <c r="H55" t="n">
        <v>8163</v>
      </c>
      <c r="I55" t="n">
        <v>7791</v>
      </c>
      <c r="J55" t="n">
        <v>2</v>
      </c>
      <c r="K55" t="inlineStr">
        <is>
          <t>逆5日线（收盘在5日线下，不追多）</t>
        </is>
      </c>
    </row>
    <row r="56">
      <c r="A56" t="inlineStr">
        <is>
          <t>2021-08-27</t>
        </is>
      </c>
      <c r="B56" t="inlineStr">
        <is>
          <t>PVC</t>
        </is>
      </c>
      <c r="C56" t="inlineStr">
        <is>
          <t>多</t>
        </is>
      </c>
      <c r="D56" t="n">
        <v>2</v>
      </c>
      <c r="E56" t="n">
        <v>5</v>
      </c>
      <c r="F56" t="inlineStr">
        <is>
          <t>观望</t>
        </is>
      </c>
      <c r="G56" t="n">
        <v>4</v>
      </c>
      <c r="H56" t="n">
        <v>9140</v>
      </c>
      <c r="I56" t="n">
        <v>8686.790000000001</v>
      </c>
      <c r="J56" t="n">
        <v>1</v>
      </c>
      <c r="K56" t="inlineStr">
        <is>
          <t>逆5日线（收盘在5日线下，不追多）</t>
        </is>
      </c>
    </row>
    <row r="57">
      <c r="A57" t="inlineStr">
        <is>
          <t>2021-08-30</t>
        </is>
      </c>
      <c r="B57" t="inlineStr">
        <is>
          <t>玉米</t>
        </is>
      </c>
      <c r="C57" t="inlineStr">
        <is>
          <t>空</t>
        </is>
      </c>
      <c r="D57" t="n">
        <v>3</v>
      </c>
      <c r="E57" t="n">
        <v>6</v>
      </c>
      <c r="F57" t="inlineStr">
        <is>
          <t>开仓</t>
        </is>
      </c>
      <c r="G57" t="n">
        <v>22</v>
      </c>
      <c r="H57" t="n">
        <v>2482</v>
      </c>
      <c r="I57" t="n">
        <v>2570.5</v>
      </c>
      <c r="J57" t="n">
        <v>2</v>
      </c>
      <c r="K57" t="inlineStr">
        <is>
          <t>¼凯利超上限，取2%</t>
        </is>
      </c>
    </row>
    <row r="58">
      <c r="A58" t="inlineStr">
        <is>
          <t>2021-08-30</t>
        </is>
      </c>
      <c r="B58" t="inlineStr">
        <is>
          <t>菜粕</t>
        </is>
      </c>
      <c r="C58" t="inlineStr">
        <is>
          <t>多</t>
        </is>
      </c>
      <c r="D58" t="n">
        <v>2</v>
      </c>
      <c r="E58" t="n">
        <v>5</v>
      </c>
      <c r="F58" t="inlineStr">
        <is>
          <t>影子仓</t>
        </is>
      </c>
      <c r="G58" t="n">
        <v>5</v>
      </c>
      <c r="H58" t="n">
        <v>2894</v>
      </c>
      <c r="I58" t="n">
        <v>2704.79</v>
      </c>
      <c r="J58" t="n">
        <v>1</v>
      </c>
      <c r="K58" t="inlineStr">
        <is>
          <t>凯利≤0，开1%影子仓（只统计，不计入组合）</t>
        </is>
      </c>
    </row>
    <row r="59">
      <c r="A59" t="inlineStr">
        <is>
          <t>2021-08-30</t>
        </is>
      </c>
      <c r="B59" t="inlineStr">
        <is>
          <t>聚丙烯</t>
        </is>
      </c>
      <c r="C59" t="inlineStr">
        <is>
          <t>多</t>
        </is>
      </c>
      <c r="D59" t="n">
        <v>2</v>
      </c>
      <c r="E59" t="n">
        <v>5</v>
      </c>
      <c r="F59" t="inlineStr">
        <is>
          <t>观望</t>
        </is>
      </c>
      <c r="G59" t="n">
        <v>5</v>
      </c>
      <c r="H59" t="n">
        <v>8189</v>
      </c>
      <c r="I59" t="n">
        <v>7839.71</v>
      </c>
      <c r="J59" t="n">
        <v>1</v>
      </c>
      <c r="K59" t="inlineStr">
        <is>
          <t>逆5日线（收盘在5日线下，不追多）</t>
        </is>
      </c>
    </row>
    <row r="60">
      <c r="A60" t="inlineStr">
        <is>
          <t>2021-08-30</t>
        </is>
      </c>
      <c r="B60" t="inlineStr">
        <is>
          <t>螺纹钢</t>
        </is>
      </c>
      <c r="C60" t="inlineStr">
        <is>
          <t>多</t>
        </is>
      </c>
      <c r="D60" t="n">
        <v>2</v>
      </c>
      <c r="E60" t="n">
        <v>4</v>
      </c>
      <c r="F60" t="inlineStr">
        <is>
          <t>影子仓</t>
        </is>
      </c>
      <c r="G60" t="n">
        <v>2</v>
      </c>
      <c r="H60" t="n">
        <v>5354</v>
      </c>
      <c r="I60" t="n">
        <v>4875.71</v>
      </c>
      <c r="J60" t="n">
        <v>1</v>
      </c>
      <c r="K60" t="inlineStr">
        <is>
          <t>凯利≤0，开1%影子仓（只统计，不计入组合）</t>
        </is>
      </c>
    </row>
    <row r="61">
      <c r="A61" t="inlineStr">
        <is>
          <t>2021-08-31</t>
        </is>
      </c>
      <c r="B61" t="inlineStr">
        <is>
          <t>玉米</t>
        </is>
      </c>
      <c r="C61" t="inlineStr">
        <is>
          <t>空</t>
        </is>
      </c>
      <c r="D61" t="n">
        <v>3</v>
      </c>
      <c r="E61" t="n">
        <v>6</v>
      </c>
      <c r="F61" t="inlineStr">
        <is>
          <t>续持</t>
        </is>
      </c>
      <c r="G61" t="n">
        <v>22</v>
      </c>
      <c r="H61" t="n">
        <v>2487</v>
      </c>
      <c r="I61" t="n">
        <v>2562.57</v>
      </c>
      <c r="J61" t="n">
        <v>2</v>
      </c>
      <c r="K61" t="inlineStr">
        <is>
          <t>续持原仓（2021-08-30开）</t>
        </is>
      </c>
    </row>
    <row r="62">
      <c r="A62" t="inlineStr">
        <is>
          <t>2021-08-31</t>
        </is>
      </c>
      <c r="B62" t="inlineStr">
        <is>
          <t>沪铝</t>
        </is>
      </c>
      <c r="C62" t="inlineStr">
        <is>
          <t>多</t>
        </is>
      </c>
      <c r="D62" t="n">
        <v>2</v>
      </c>
      <c r="E62" t="n">
        <v>5</v>
      </c>
      <c r="F62" t="inlineStr">
        <is>
          <t>影子仓</t>
        </is>
      </c>
      <c r="G62" t="n">
        <v>1</v>
      </c>
      <c r="H62" t="n">
        <v>21385</v>
      </c>
      <c r="I62" t="n">
        <v>20243.93</v>
      </c>
      <c r="J62" t="n">
        <v>1</v>
      </c>
      <c r="K62" t="inlineStr">
        <is>
          <t>凯利≤0，开1%影子仓（只统计，不计入组合）</t>
        </is>
      </c>
    </row>
    <row r="63">
      <c r="A63" t="inlineStr">
        <is>
          <t>2021-08-31</t>
        </is>
      </c>
      <c r="B63" t="inlineStr">
        <is>
          <t>聚丙烯</t>
        </is>
      </c>
      <c r="C63" t="inlineStr">
        <is>
          <t>多</t>
        </is>
      </c>
      <c r="D63" t="n">
        <v>2</v>
      </c>
      <c r="E63" t="n">
        <v>4</v>
      </c>
      <c r="F63" t="inlineStr">
        <is>
          <t>观望</t>
        </is>
      </c>
      <c r="G63" t="n">
        <v>5</v>
      </c>
      <c r="H63" t="n">
        <v>8134</v>
      </c>
      <c r="I63" t="n">
        <v>7781.07</v>
      </c>
      <c r="J63" t="n">
        <v>1</v>
      </c>
      <c r="K63" t="inlineStr">
        <is>
          <t>逆5日线（收盘在5日线下，不追多）</t>
        </is>
      </c>
    </row>
    <row r="64">
      <c r="A64" t="inlineStr">
        <is>
          <t>2021-08-31</t>
        </is>
      </c>
      <c r="B64" t="inlineStr">
        <is>
          <t>棉花</t>
        </is>
      </c>
      <c r="C64" t="inlineStr">
        <is>
          <t>空</t>
        </is>
      </c>
      <c r="D64" t="n">
        <v>2</v>
      </c>
      <c r="E64" t="n">
        <v>4</v>
      </c>
      <c r="F64" t="inlineStr">
        <is>
          <t>影子仓</t>
        </is>
      </c>
      <c r="G64" t="n">
        <v>1</v>
      </c>
      <c r="H64" t="n">
        <v>17270</v>
      </c>
      <c r="I64" t="n">
        <v>18370.36</v>
      </c>
      <c r="J64" t="n">
        <v>1</v>
      </c>
      <c r="K64" t="inlineStr">
        <is>
          <t>凯利≤0，开1%影子仓（只统计，不计入组合）</t>
        </is>
      </c>
    </row>
    <row r="65">
      <c r="A65" t="inlineStr">
        <is>
          <t>2021-09-01</t>
        </is>
      </c>
      <c r="B65" t="inlineStr">
        <is>
          <t>玉米</t>
        </is>
      </c>
      <c r="C65" t="inlineStr">
        <is>
          <t>空</t>
        </is>
      </c>
      <c r="D65" t="n">
        <v>3</v>
      </c>
      <c r="E65" t="n">
        <v>7</v>
      </c>
      <c r="F65" t="inlineStr">
        <is>
          <t>续持</t>
        </is>
      </c>
      <c r="G65" t="n">
        <v>22</v>
      </c>
      <c r="H65" t="n">
        <v>2463</v>
      </c>
      <c r="I65" t="n">
        <v>2546.86</v>
      </c>
      <c r="J65" t="n">
        <v>2</v>
      </c>
      <c r="K65" t="inlineStr">
        <is>
          <t>续持原仓（2021-08-30开）</t>
        </is>
      </c>
    </row>
    <row r="66">
      <c r="A66" t="inlineStr">
        <is>
          <t>2021-09-01</t>
        </is>
      </c>
      <c r="B66" t="inlineStr">
        <is>
          <t>沪镍</t>
        </is>
      </c>
      <c r="C66" t="inlineStr">
        <is>
          <t>空</t>
        </is>
      </c>
      <c r="D66" t="n">
        <v>3</v>
      </c>
      <c r="E66" t="n">
        <v>6</v>
      </c>
      <c r="F66" t="inlineStr">
        <is>
          <t>观望</t>
        </is>
      </c>
      <c r="G66" t="n">
        <v>2</v>
      </c>
      <c r="H66" t="n">
        <v>148250</v>
      </c>
      <c r="I66" t="n">
        <v>157215.71</v>
      </c>
      <c r="J66" t="n">
        <v>2</v>
      </c>
      <c r="K66" t="inlineStr">
        <is>
          <t>逆5日线（收盘在5日线上，不追空）</t>
        </is>
      </c>
    </row>
    <row r="67">
      <c r="A67" t="inlineStr">
        <is>
          <t>2021-09-02</t>
        </is>
      </c>
      <c r="B67" t="inlineStr">
        <is>
          <t>PTA</t>
        </is>
      </c>
      <c r="C67" t="inlineStr">
        <is>
          <t>空</t>
        </is>
      </c>
      <c r="D67" t="n">
        <v>3</v>
      </c>
      <c r="E67" t="n">
        <v>7</v>
      </c>
      <c r="F67" t="inlineStr">
        <is>
          <t>开仓</t>
        </is>
      </c>
      <c r="G67" t="n">
        <v>11</v>
      </c>
      <c r="H67" t="n">
        <v>4832</v>
      </c>
      <c r="I67" t="n">
        <v>5190.71</v>
      </c>
      <c r="J67" t="n">
        <v>2</v>
      </c>
      <c r="K67" t="inlineStr">
        <is>
          <t>¼凯利超上限，取2%</t>
        </is>
      </c>
    </row>
    <row r="68">
      <c r="A68" t="inlineStr">
        <is>
          <t>2021-09-02</t>
        </is>
      </c>
      <c r="B68" t="inlineStr">
        <is>
          <t>沪锌</t>
        </is>
      </c>
      <c r="C68" t="inlineStr">
        <is>
          <t>多</t>
        </is>
      </c>
      <c r="D68" t="n">
        <v>3</v>
      </c>
      <c r="E68" t="n">
        <v>6</v>
      </c>
      <c r="F68" t="inlineStr">
        <is>
          <t>观望</t>
        </is>
      </c>
      <c r="G68" t="n">
        <v>4</v>
      </c>
      <c r="H68" t="n">
        <v>22270</v>
      </c>
      <c r="I68" t="n">
        <v>21336.79</v>
      </c>
      <c r="J68" t="n">
        <v>2</v>
      </c>
      <c r="K68" t="inlineStr">
        <is>
          <t>逆5日线（收盘在5日线下，不追多）</t>
        </is>
      </c>
    </row>
    <row r="69">
      <c r="A69" t="inlineStr">
        <is>
          <t>2021-09-02</t>
        </is>
      </c>
      <c r="B69" t="inlineStr">
        <is>
          <t>甲醇</t>
        </is>
      </c>
      <c r="C69" t="inlineStr">
        <is>
          <t>多</t>
        </is>
      </c>
      <c r="D69" t="n">
        <v>2</v>
      </c>
      <c r="E69" t="n">
        <v>4</v>
      </c>
      <c r="F69" t="inlineStr">
        <is>
          <t>影子仓</t>
        </is>
      </c>
      <c r="G69" t="n">
        <v>4</v>
      </c>
      <c r="H69" t="n">
        <v>2888</v>
      </c>
      <c r="I69" t="n">
        <v>2676.07</v>
      </c>
      <c r="J69" t="n">
        <v>1</v>
      </c>
      <c r="K69" t="inlineStr">
        <is>
          <t>凯利≤0，开1%影子仓（只统计，不计入组合）</t>
        </is>
      </c>
    </row>
    <row r="70">
      <c r="A70" t="inlineStr">
        <is>
          <t>2021-09-02</t>
        </is>
      </c>
      <c r="B70" t="inlineStr">
        <is>
          <t>白糖</t>
        </is>
      </c>
      <c r="C70" t="inlineStr">
        <is>
          <t>多</t>
        </is>
      </c>
      <c r="D70" t="n">
        <v>2</v>
      </c>
      <c r="E70" t="n">
        <v>4</v>
      </c>
      <c r="F70" t="inlineStr">
        <is>
          <t>影子仓</t>
        </is>
      </c>
      <c r="G70" t="n">
        <v>4</v>
      </c>
      <c r="H70" t="n">
        <v>5884</v>
      </c>
      <c r="I70" t="n">
        <v>5679.14</v>
      </c>
      <c r="J70" t="n">
        <v>1</v>
      </c>
      <c r="K70" t="inlineStr">
        <is>
          <t>凯利≤0，开1%影子仓（只统计，不计入组合）</t>
        </is>
      </c>
    </row>
    <row r="71">
      <c r="A71" t="inlineStr">
        <is>
          <t>2021-09-03</t>
        </is>
      </c>
      <c r="B71" t="inlineStr">
        <is>
          <t>沪金</t>
        </is>
      </c>
      <c r="C71" t="inlineStr">
        <is>
          <t>多</t>
        </is>
      </c>
      <c r="D71" t="n">
        <v>2</v>
      </c>
      <c r="E71" t="n">
        <v>4</v>
      </c>
      <c r="F71" t="inlineStr">
        <is>
          <t>观望</t>
        </is>
      </c>
      <c r="H71" t="n">
        <v>378.54</v>
      </c>
      <c r="J71" t="n">
        <v>1</v>
      </c>
      <c r="K71" t="inlineStr">
        <is>
          <t>逆5日线（收盘在5日线下，不追多）</t>
        </is>
      </c>
    </row>
    <row r="72">
      <c r="A72" t="inlineStr">
        <is>
          <t>2021-09-03</t>
        </is>
      </c>
      <c r="B72" t="inlineStr">
        <is>
          <t>沪镍</t>
        </is>
      </c>
      <c r="C72" t="inlineStr">
        <is>
          <t>空</t>
        </is>
      </c>
      <c r="D72" t="n">
        <v>2</v>
      </c>
      <c r="E72" t="n">
        <v>4</v>
      </c>
      <c r="F72" t="inlineStr">
        <is>
          <t>影子仓</t>
        </is>
      </c>
      <c r="G72" t="n">
        <v>1</v>
      </c>
      <c r="H72" t="n">
        <v>145540</v>
      </c>
      <c r="I72" t="n">
        <v>154655.71</v>
      </c>
      <c r="J72" t="n">
        <v>1</v>
      </c>
      <c r="K72" t="inlineStr">
        <is>
          <t>凯利≤0，开1%影子仓（只统计，不计入组合）</t>
        </is>
      </c>
    </row>
    <row r="73">
      <c r="A73" t="inlineStr">
        <is>
          <t>2021-09-03</t>
        </is>
      </c>
      <c r="B73" t="inlineStr">
        <is>
          <t>白糖</t>
        </is>
      </c>
      <c r="C73" t="inlineStr">
        <is>
          <t>多</t>
        </is>
      </c>
      <c r="D73" t="n">
        <v>2</v>
      </c>
      <c r="E73" t="n">
        <v>4</v>
      </c>
      <c r="F73" t="inlineStr">
        <is>
          <t>续持</t>
        </is>
      </c>
      <c r="G73" t="n">
        <v>4</v>
      </c>
      <c r="H73" t="n">
        <v>5913</v>
      </c>
      <c r="I73" t="n">
        <v>5726.5</v>
      </c>
      <c r="J73" t="n">
        <v>1</v>
      </c>
      <c r="K73" t="inlineStr">
        <is>
          <t>续持原仓（2021-09-02开）</t>
        </is>
      </c>
    </row>
    <row r="74">
      <c r="A74" t="inlineStr">
        <is>
          <t>2021-09-06</t>
        </is>
      </c>
      <c r="B74" t="inlineStr">
        <is>
          <t>沪锌</t>
        </is>
      </c>
      <c r="C74" t="inlineStr">
        <is>
          <t>空</t>
        </is>
      </c>
      <c r="D74" t="n">
        <v>2</v>
      </c>
      <c r="E74" t="n">
        <v>4</v>
      </c>
      <c r="F74" t="inlineStr">
        <is>
          <t>观望</t>
        </is>
      </c>
      <c r="G74" t="n">
        <v>2</v>
      </c>
      <c r="H74" t="n">
        <v>22585</v>
      </c>
      <c r="I74" t="n">
        <v>23467.86</v>
      </c>
      <c r="J74" t="n">
        <v>1</v>
      </c>
      <c r="K74" t="inlineStr">
        <is>
          <t>逆5日线（收盘在5日线上，不追空）</t>
        </is>
      </c>
    </row>
    <row r="75">
      <c r="A75" t="inlineStr">
        <is>
          <t>2021-09-07</t>
        </is>
      </c>
      <c r="B75" t="inlineStr">
        <is>
          <t>甲醇</t>
        </is>
      </c>
      <c r="C75" t="inlineStr">
        <is>
          <t>多</t>
        </is>
      </c>
      <c r="D75" t="n">
        <v>3</v>
      </c>
      <c r="E75" t="n">
        <v>7</v>
      </c>
      <c r="F75" t="inlineStr">
        <is>
          <t>开仓</t>
        </is>
      </c>
      <c r="G75" t="n">
        <v>8</v>
      </c>
      <c r="H75" t="n">
        <v>3052</v>
      </c>
      <c r="I75" t="n">
        <v>2825.71</v>
      </c>
      <c r="J75" t="n">
        <v>2</v>
      </c>
      <c r="K75" t="inlineStr">
        <is>
          <t>¼凯利超上限，取2%</t>
        </is>
      </c>
    </row>
    <row r="76">
      <c r="A76" t="inlineStr">
        <is>
          <t>2021-09-07</t>
        </is>
      </c>
      <c r="B76" t="inlineStr">
        <is>
          <t>玉米</t>
        </is>
      </c>
      <c r="C76" t="inlineStr">
        <is>
          <t>空</t>
        </is>
      </c>
      <c r="D76" t="n">
        <v>3</v>
      </c>
      <c r="E76" t="n">
        <v>6</v>
      </c>
      <c r="F76" t="inlineStr">
        <is>
          <t>开仓</t>
        </is>
      </c>
      <c r="G76" t="n">
        <v>24</v>
      </c>
      <c r="H76" t="n">
        <v>2462</v>
      </c>
      <c r="I76" t="n">
        <v>2542.36</v>
      </c>
      <c r="J76" t="n">
        <v>2</v>
      </c>
      <c r="K76" t="inlineStr">
        <is>
          <t>¼凯利超上限，取2%</t>
        </is>
      </c>
    </row>
    <row r="77">
      <c r="A77" t="inlineStr">
        <is>
          <t>2021-09-07</t>
        </is>
      </c>
      <c r="B77" t="inlineStr">
        <is>
          <t>沪锌</t>
        </is>
      </c>
      <c r="C77" t="inlineStr">
        <is>
          <t>空</t>
        </is>
      </c>
      <c r="D77" t="n">
        <v>2</v>
      </c>
      <c r="E77" t="n">
        <v>5</v>
      </c>
      <c r="F77" t="inlineStr">
        <is>
          <t>观望</t>
        </is>
      </c>
      <c r="G77" t="n">
        <v>4</v>
      </c>
      <c r="H77" t="n">
        <v>22505</v>
      </c>
      <c r="I77" t="n">
        <v>23370.71</v>
      </c>
      <c r="J77" t="n">
        <v>2</v>
      </c>
      <c r="K77" t="inlineStr">
        <is>
          <t>逆5日线（收盘在5日线上，不追空）</t>
        </is>
      </c>
    </row>
    <row r="78">
      <c r="A78" t="inlineStr">
        <is>
          <t>2021-09-07</t>
        </is>
      </c>
      <c r="B78" t="inlineStr">
        <is>
          <t>PTA</t>
        </is>
      </c>
      <c r="C78" t="inlineStr">
        <is>
          <t>空</t>
        </is>
      </c>
      <c r="D78" t="n">
        <v>2</v>
      </c>
      <c r="E78" t="n">
        <v>4</v>
      </c>
      <c r="F78" t="inlineStr">
        <is>
          <t>观望</t>
        </is>
      </c>
      <c r="G78" t="n">
        <v>12</v>
      </c>
      <c r="H78" t="n">
        <v>4914</v>
      </c>
      <c r="I78" t="n">
        <v>5240.14</v>
      </c>
      <c r="J78" t="n">
        <v>2</v>
      </c>
      <c r="K78" t="inlineStr">
        <is>
          <t>逆5日线（收盘在5日线上，不追空）</t>
        </is>
      </c>
    </row>
    <row r="79">
      <c r="A79" t="inlineStr">
        <is>
          <t>2021-09-08</t>
        </is>
      </c>
      <c r="B79" t="inlineStr">
        <is>
          <t>甲醇</t>
        </is>
      </c>
      <c r="C79" t="inlineStr">
        <is>
          <t>多</t>
        </is>
      </c>
      <c r="D79" t="n">
        <v>3</v>
      </c>
      <c r="E79" t="n">
        <v>6</v>
      </c>
      <c r="F79" t="inlineStr">
        <is>
          <t>续持</t>
        </is>
      </c>
      <c r="G79" t="n">
        <v>8</v>
      </c>
      <c r="H79" t="n">
        <v>3059</v>
      </c>
      <c r="I79" t="n">
        <v>2850.57</v>
      </c>
      <c r="J79" t="n">
        <v>2</v>
      </c>
      <c r="K79" t="inlineStr">
        <is>
          <t>续持原仓（2021-09-07开）</t>
        </is>
      </c>
    </row>
    <row r="80">
      <c r="A80" t="inlineStr">
        <is>
          <t>2021-09-08</t>
        </is>
      </c>
      <c r="B80" t="inlineStr">
        <is>
          <t>沪锌</t>
        </is>
      </c>
      <c r="C80" t="inlineStr">
        <is>
          <t>空</t>
        </is>
      </c>
      <c r="D80" t="n">
        <v>2</v>
      </c>
      <c r="E80" t="n">
        <v>5</v>
      </c>
      <c r="F80" t="inlineStr">
        <is>
          <t>观望</t>
        </is>
      </c>
      <c r="G80" t="n">
        <v>4</v>
      </c>
      <c r="H80" t="n">
        <v>22630</v>
      </c>
      <c r="I80" t="n">
        <v>23488.21</v>
      </c>
      <c r="J80" t="n">
        <v>2</v>
      </c>
      <c r="K80" t="inlineStr">
        <is>
          <t>逆5日线（收盘在5日线上，不追空）</t>
        </is>
      </c>
    </row>
    <row r="81">
      <c r="A81" t="inlineStr">
        <is>
          <t>2021-09-08</t>
        </is>
      </c>
      <c r="B81" t="inlineStr">
        <is>
          <t>棉花</t>
        </is>
      </c>
      <c r="C81" t="inlineStr">
        <is>
          <t>多</t>
        </is>
      </c>
      <c r="D81" t="n">
        <v>2</v>
      </c>
      <c r="E81" t="n">
        <v>4</v>
      </c>
      <c r="F81" t="inlineStr">
        <is>
          <t>开仓</t>
        </is>
      </c>
      <c r="G81" t="n">
        <v>3</v>
      </c>
      <c r="H81" t="n">
        <v>18085</v>
      </c>
      <c r="I81" t="n">
        <v>16997.5</v>
      </c>
      <c r="J81" t="n">
        <v>2</v>
      </c>
      <c r="K81" t="inlineStr">
        <is>
          <t>¼凯利超上限，取2%</t>
        </is>
      </c>
    </row>
    <row r="82">
      <c r="A82" t="inlineStr">
        <is>
          <t>2021-09-09</t>
        </is>
      </c>
      <c r="B82" t="inlineStr">
        <is>
          <t>PVC</t>
        </is>
      </c>
      <c r="C82" t="inlineStr">
        <is>
          <t>多</t>
        </is>
      </c>
      <c r="D82" t="n">
        <v>3</v>
      </c>
      <c r="E82" t="n">
        <v>7</v>
      </c>
      <c r="F82" t="inlineStr">
        <is>
          <t>开仓</t>
        </is>
      </c>
      <c r="G82" t="n">
        <v>6</v>
      </c>
      <c r="H82" t="n">
        <v>9885</v>
      </c>
      <c r="I82" t="n">
        <v>9301.07</v>
      </c>
      <c r="J82" t="n">
        <v>2</v>
      </c>
      <c r="K82" t="inlineStr">
        <is>
          <t>¼凯利超上限，取2%</t>
        </is>
      </c>
    </row>
    <row r="83">
      <c r="A83" t="inlineStr">
        <is>
          <t>2021-09-09</t>
        </is>
      </c>
      <c r="B83" t="inlineStr">
        <is>
          <t>玉米</t>
        </is>
      </c>
      <c r="C83" t="inlineStr">
        <is>
          <t>空</t>
        </is>
      </c>
      <c r="D83" t="n">
        <v>3</v>
      </c>
      <c r="E83" t="n">
        <v>6</v>
      </c>
      <c r="F83" t="inlineStr">
        <is>
          <t>开仓</t>
        </is>
      </c>
      <c r="G83" t="n">
        <v>26</v>
      </c>
      <c r="H83" t="n">
        <v>2463</v>
      </c>
      <c r="I83" t="n">
        <v>2538.86</v>
      </c>
      <c r="J83" t="n">
        <v>2</v>
      </c>
      <c r="K83" t="inlineStr">
        <is>
          <t>¼凯利超上限，取2%</t>
        </is>
      </c>
    </row>
    <row r="84">
      <c r="A84" t="inlineStr">
        <is>
          <t>2021-09-09</t>
        </is>
      </c>
      <c r="B84" t="inlineStr">
        <is>
          <t>沪锌</t>
        </is>
      </c>
      <c r="C84" t="inlineStr">
        <is>
          <t>空</t>
        </is>
      </c>
      <c r="D84" t="n">
        <v>2</v>
      </c>
      <c r="E84" t="n">
        <v>4</v>
      </c>
      <c r="F84" t="inlineStr">
        <is>
          <t>观望</t>
        </is>
      </c>
      <c r="G84" t="n">
        <v>4</v>
      </c>
      <c r="H84" t="n">
        <v>22960</v>
      </c>
      <c r="I84" t="n">
        <v>23821.43</v>
      </c>
      <c r="J84" t="n">
        <v>2</v>
      </c>
      <c r="K84" t="inlineStr">
        <is>
          <t>逆5日线（收盘在5日线上，不追空）</t>
        </is>
      </c>
    </row>
    <row r="85">
      <c r="A85" t="inlineStr">
        <is>
          <t>2021-09-09</t>
        </is>
      </c>
      <c r="B85" t="inlineStr">
        <is>
          <t>菜粕</t>
        </is>
      </c>
      <c r="C85" t="inlineStr">
        <is>
          <t>空</t>
        </is>
      </c>
      <c r="D85" t="n">
        <v>2</v>
      </c>
      <c r="E85" t="n">
        <v>4</v>
      </c>
      <c r="F85" t="inlineStr">
        <is>
          <t>开仓</t>
        </is>
      </c>
      <c r="G85" t="n">
        <v>12</v>
      </c>
      <c r="H85" t="n">
        <v>2788</v>
      </c>
      <c r="I85" t="n">
        <v>2948.29</v>
      </c>
      <c r="J85" t="n">
        <v>2</v>
      </c>
      <c r="K85" t="inlineStr">
        <is>
          <t>¼凯利超上限，取2%</t>
        </is>
      </c>
    </row>
    <row r="86">
      <c r="A86" t="inlineStr">
        <is>
          <t>2021-09-09</t>
        </is>
      </c>
      <c r="B86" t="inlineStr">
        <is>
          <t>豆油</t>
        </is>
      </c>
      <c r="C86" t="inlineStr">
        <is>
          <t>空</t>
        </is>
      </c>
      <c r="D86" t="n">
        <v>2</v>
      </c>
      <c r="E86" t="n">
        <v>4</v>
      </c>
      <c r="F86" t="inlineStr">
        <is>
          <t>开仓</t>
        </is>
      </c>
      <c r="G86" t="n">
        <v>3</v>
      </c>
      <c r="H86" t="n">
        <v>9168</v>
      </c>
      <c r="I86" t="n">
        <v>9724.709999999999</v>
      </c>
      <c r="J86" t="n">
        <v>2</v>
      </c>
      <c r="K86" t="inlineStr">
        <is>
          <t>农产品板块同方向已近6%，预算缩小</t>
        </is>
      </c>
    </row>
    <row r="87">
      <c r="A87" t="inlineStr">
        <is>
          <t>2021-09-10</t>
        </is>
      </c>
      <c r="B87" t="inlineStr">
        <is>
          <t>豆油</t>
        </is>
      </c>
      <c r="C87" t="inlineStr">
        <is>
          <t>空</t>
        </is>
      </c>
      <c r="D87" t="n">
        <v>3</v>
      </c>
      <c r="E87" t="n">
        <v>7</v>
      </c>
      <c r="F87" t="inlineStr">
        <is>
          <t>续持</t>
        </is>
      </c>
      <c r="G87" t="n">
        <v>3</v>
      </c>
      <c r="H87" t="n">
        <v>8958</v>
      </c>
      <c r="I87" t="n">
        <v>9502.860000000001</v>
      </c>
      <c r="J87" t="n">
        <v>2</v>
      </c>
      <c r="K87" t="inlineStr">
        <is>
          <t>续持原仓（2021-09-09开）</t>
        </is>
      </c>
    </row>
    <row r="88">
      <c r="A88" t="inlineStr">
        <is>
          <t>2021-09-10</t>
        </is>
      </c>
      <c r="B88" t="inlineStr">
        <is>
          <t>玉米</t>
        </is>
      </c>
      <c r="C88" t="inlineStr">
        <is>
          <t>空</t>
        </is>
      </c>
      <c r="D88" t="n">
        <v>3</v>
      </c>
      <c r="E88" t="n">
        <v>7</v>
      </c>
      <c r="F88" t="inlineStr">
        <is>
          <t>续持</t>
        </is>
      </c>
      <c r="G88" t="n">
        <v>26</v>
      </c>
      <c r="H88" t="n">
        <v>2453</v>
      </c>
      <c r="I88" t="n">
        <v>2524.07</v>
      </c>
      <c r="J88" t="n">
        <v>2</v>
      </c>
      <c r="K88" t="inlineStr">
        <is>
          <t>续持原仓（2021-09-09开）</t>
        </is>
      </c>
    </row>
    <row r="89">
      <c r="A89" t="inlineStr">
        <is>
          <t>2021-09-10</t>
        </is>
      </c>
      <c r="B89" t="inlineStr">
        <is>
          <t>PVC</t>
        </is>
      </c>
      <c r="C89" t="inlineStr">
        <is>
          <t>多</t>
        </is>
      </c>
      <c r="D89" t="n">
        <v>3</v>
      </c>
      <c r="E89" t="n">
        <v>6</v>
      </c>
      <c r="F89" t="inlineStr">
        <is>
          <t>续持</t>
        </is>
      </c>
      <c r="G89" t="n">
        <v>6</v>
      </c>
      <c r="H89" t="n">
        <v>9915</v>
      </c>
      <c r="I89" t="n">
        <v>9493.93</v>
      </c>
      <c r="J89" t="n">
        <v>2</v>
      </c>
      <c r="K89" t="inlineStr">
        <is>
          <t>续持原仓（2021-09-09开）</t>
        </is>
      </c>
    </row>
    <row r="90">
      <c r="A90" t="inlineStr">
        <is>
          <t>2021-09-10</t>
        </is>
      </c>
      <c r="B90" t="inlineStr">
        <is>
          <t>沪锌</t>
        </is>
      </c>
      <c r="C90" t="inlineStr">
        <is>
          <t>空</t>
        </is>
      </c>
      <c r="D90" t="n">
        <v>2</v>
      </c>
      <c r="E90" t="n">
        <v>4</v>
      </c>
      <c r="F90" t="inlineStr">
        <is>
          <t>观望</t>
        </is>
      </c>
      <c r="H90" t="n">
        <v>22940</v>
      </c>
      <c r="J90" t="n">
        <v>0.26</v>
      </c>
      <c r="K90" t="inlineStr">
        <is>
          <t>逆5日线（收盘在5日线上，不追空）</t>
        </is>
      </c>
    </row>
    <row r="91">
      <c r="A91" t="inlineStr">
        <is>
          <t>2021-09-13</t>
        </is>
      </c>
      <c r="B91" t="inlineStr">
        <is>
          <t>玉米</t>
        </is>
      </c>
      <c r="C91" t="inlineStr">
        <is>
          <t>空</t>
        </is>
      </c>
      <c r="D91" t="n">
        <v>2</v>
      </c>
      <c r="E91" t="n">
        <v>5</v>
      </c>
      <c r="F91" t="inlineStr">
        <is>
          <t>观望</t>
        </is>
      </c>
      <c r="H91" t="n">
        <v>2477</v>
      </c>
      <c r="J91" t="n">
        <v>0.26</v>
      </c>
      <c r="K91" t="inlineStr">
        <is>
          <t>逆5日线（收盘在5日线上，不追空）</t>
        </is>
      </c>
    </row>
    <row r="92">
      <c r="A92" t="inlineStr">
        <is>
          <t>2021-09-14</t>
        </is>
      </c>
      <c r="B92" t="inlineStr">
        <is>
          <t>玉米</t>
        </is>
      </c>
      <c r="C92" t="inlineStr">
        <is>
          <t>空</t>
        </is>
      </c>
      <c r="D92" t="n">
        <v>3</v>
      </c>
      <c r="E92" t="n">
        <v>6</v>
      </c>
      <c r="F92" t="inlineStr">
        <is>
          <t>续持</t>
        </is>
      </c>
      <c r="G92" t="n">
        <v>26</v>
      </c>
      <c r="H92" t="n">
        <v>2457</v>
      </c>
      <c r="I92" t="n">
        <v>2524.07</v>
      </c>
      <c r="J92" t="n">
        <v>2</v>
      </c>
      <c r="K92" t="inlineStr">
        <is>
          <t>续持原仓（2021-09-09开）</t>
        </is>
      </c>
    </row>
    <row r="93">
      <c r="A93" t="inlineStr">
        <is>
          <t>2021-09-14</t>
        </is>
      </c>
      <c r="B93" t="inlineStr">
        <is>
          <t>聚丙烯</t>
        </is>
      </c>
      <c r="C93" t="inlineStr">
        <is>
          <t>多</t>
        </is>
      </c>
      <c r="D93" t="n">
        <v>2</v>
      </c>
      <c r="E93" t="n">
        <v>5</v>
      </c>
      <c r="F93" t="inlineStr">
        <is>
          <t>不做</t>
        </is>
      </c>
      <c r="H93" t="n">
        <v>8602</v>
      </c>
      <c r="J93" t="n">
        <v>0.26</v>
      </c>
      <c r="K93" t="inlineStr">
        <is>
          <t>¼凯利</t>
        </is>
      </c>
    </row>
    <row r="94">
      <c r="A94" t="inlineStr">
        <is>
          <t>2021-09-14</t>
        </is>
      </c>
      <c r="B94" t="inlineStr">
        <is>
          <t>塑料</t>
        </is>
      </c>
      <c r="C94" t="inlineStr">
        <is>
          <t>多</t>
        </is>
      </c>
      <c r="D94" t="n">
        <v>2</v>
      </c>
      <c r="E94" t="n">
        <v>5</v>
      </c>
      <c r="F94" t="inlineStr">
        <is>
          <t>不做</t>
        </is>
      </c>
      <c r="H94" t="n">
        <v>8565</v>
      </c>
      <c r="J94" t="n">
        <v>0.26</v>
      </c>
      <c r="K94" t="inlineStr">
        <is>
          <t>¼凯利</t>
        </is>
      </c>
    </row>
    <row r="95">
      <c r="A95" t="inlineStr">
        <is>
          <t>2021-09-15</t>
        </is>
      </c>
      <c r="B95" t="inlineStr">
        <is>
          <t>棕榈油</t>
        </is>
      </c>
      <c r="C95" t="inlineStr">
        <is>
          <t>多</t>
        </is>
      </c>
      <c r="D95" t="n">
        <v>3</v>
      </c>
      <c r="E95" t="n">
        <v>7</v>
      </c>
      <c r="F95" t="inlineStr">
        <is>
          <t>开仓</t>
        </is>
      </c>
      <c r="G95" t="n">
        <v>2</v>
      </c>
      <c r="H95" t="n">
        <v>8442</v>
      </c>
      <c r="I95" t="n">
        <v>7756.29</v>
      </c>
      <c r="J95" t="n">
        <v>2</v>
      </c>
      <c r="K95" t="inlineStr">
        <is>
          <t>¼凯利超上限，取2%</t>
        </is>
      </c>
    </row>
    <row r="96">
      <c r="A96" t="inlineStr">
        <is>
          <t>2021-09-15</t>
        </is>
      </c>
      <c r="B96" t="inlineStr">
        <is>
          <t>玉米</t>
        </is>
      </c>
      <c r="C96" t="inlineStr">
        <is>
          <t>空</t>
        </is>
      </c>
      <c r="D96" t="n">
        <v>2</v>
      </c>
      <c r="E96" t="n">
        <v>5</v>
      </c>
      <c r="F96" t="inlineStr">
        <is>
          <t>续持</t>
        </is>
      </c>
      <c r="G96" t="n">
        <v>26</v>
      </c>
      <c r="H96" t="n">
        <v>2459</v>
      </c>
      <c r="I96" t="n">
        <v>2524.07</v>
      </c>
      <c r="J96" t="n">
        <v>2</v>
      </c>
      <c r="K96" t="inlineStr">
        <is>
          <t>续持原仓（2021-09-09开）</t>
        </is>
      </c>
    </row>
    <row r="97">
      <c r="A97" t="inlineStr">
        <is>
          <t>2021-09-15</t>
        </is>
      </c>
      <c r="B97" t="inlineStr">
        <is>
          <t>塑料</t>
        </is>
      </c>
      <c r="C97" t="inlineStr">
        <is>
          <t>多</t>
        </is>
      </c>
      <c r="D97" t="n">
        <v>2</v>
      </c>
      <c r="E97" t="n">
        <v>4</v>
      </c>
      <c r="F97" t="inlineStr">
        <is>
          <t>不做</t>
        </is>
      </c>
      <c r="H97" t="n">
        <v>8980</v>
      </c>
      <c r="J97" t="n">
        <v>0.26</v>
      </c>
      <c r="K97" t="inlineStr">
        <is>
          <t>¼凯利</t>
        </is>
      </c>
    </row>
    <row r="98">
      <c r="A98" t="inlineStr">
        <is>
          <t>2021-09-15</t>
        </is>
      </c>
      <c r="B98" t="inlineStr">
        <is>
          <t>螺纹钢</t>
        </is>
      </c>
      <c r="C98" t="inlineStr">
        <is>
          <t>多</t>
        </is>
      </c>
      <c r="D98" t="n">
        <v>2</v>
      </c>
      <c r="E98" t="n">
        <v>4</v>
      </c>
      <c r="F98" t="inlineStr">
        <is>
          <t>观望</t>
        </is>
      </c>
      <c r="H98" t="n">
        <v>5518</v>
      </c>
      <c r="J98" t="n">
        <v>0.26</v>
      </c>
      <c r="K98" t="inlineStr">
        <is>
          <t>逆5日线（收盘在5日线下，不追多）</t>
        </is>
      </c>
    </row>
    <row r="99">
      <c r="A99" t="inlineStr">
        <is>
          <t>2021-09-15</t>
        </is>
      </c>
      <c r="B99" t="inlineStr">
        <is>
          <t>沪镍</t>
        </is>
      </c>
      <c r="C99" t="inlineStr">
        <is>
          <t>多</t>
        </is>
      </c>
      <c r="D99" t="n">
        <v>2</v>
      </c>
      <c r="E99" t="n">
        <v>4</v>
      </c>
      <c r="F99" t="inlineStr">
        <is>
          <t>观望</t>
        </is>
      </c>
      <c r="H99" t="n">
        <v>146870</v>
      </c>
      <c r="J99" t="n">
        <v>0.26</v>
      </c>
      <c r="K99" t="inlineStr">
        <is>
          <t>逆5日线（收盘在5日线下，不追多）</t>
        </is>
      </c>
    </row>
    <row r="100">
      <c r="A100" t="inlineStr">
        <is>
          <t>2021-09-16</t>
        </is>
      </c>
      <c r="B100" t="inlineStr">
        <is>
          <t>棕榈油</t>
        </is>
      </c>
      <c r="C100" t="inlineStr">
        <is>
          <t>多</t>
        </is>
      </c>
      <c r="D100" t="n">
        <v>3</v>
      </c>
      <c r="E100" t="n">
        <v>7</v>
      </c>
      <c r="F100" t="inlineStr">
        <is>
          <t>续持</t>
        </is>
      </c>
      <c r="G100" t="n">
        <v>2</v>
      </c>
      <c r="H100" t="n">
        <v>8564</v>
      </c>
      <c r="I100" t="n">
        <v>7963.71</v>
      </c>
      <c r="J100" t="n">
        <v>2</v>
      </c>
      <c r="K100" t="inlineStr">
        <is>
          <t>续持原仓（2021-09-15开）</t>
        </is>
      </c>
    </row>
    <row r="101">
      <c r="A101" t="inlineStr">
        <is>
          <t>2021-09-16</t>
        </is>
      </c>
      <c r="B101" t="inlineStr">
        <is>
          <t>玉米</t>
        </is>
      </c>
      <c r="C101" t="inlineStr">
        <is>
          <t>空</t>
        </is>
      </c>
      <c r="D101" t="n">
        <v>3</v>
      </c>
      <c r="E101" t="n">
        <v>6</v>
      </c>
      <c r="F101" t="inlineStr">
        <is>
          <t>续持</t>
        </is>
      </c>
      <c r="G101" t="n">
        <v>26</v>
      </c>
      <c r="H101" t="n">
        <v>2437</v>
      </c>
      <c r="I101" t="n">
        <v>2510.79</v>
      </c>
      <c r="J101" t="n">
        <v>2</v>
      </c>
      <c r="K101" t="inlineStr">
        <is>
          <t>续持原仓（2021-09-09开）</t>
        </is>
      </c>
    </row>
    <row r="102">
      <c r="A102" t="inlineStr">
        <is>
          <t>2021-09-16</t>
        </is>
      </c>
      <c r="B102" t="inlineStr">
        <is>
          <t>PVC</t>
        </is>
      </c>
      <c r="C102" t="inlineStr">
        <is>
          <t>多</t>
        </is>
      </c>
      <c r="D102" t="n">
        <v>3</v>
      </c>
      <c r="E102" t="n">
        <v>6</v>
      </c>
      <c r="F102" t="inlineStr">
        <is>
          <t>开仓</t>
        </is>
      </c>
      <c r="G102" t="n">
        <v>5</v>
      </c>
      <c r="H102" t="n">
        <v>10075</v>
      </c>
      <c r="I102" t="n">
        <v>9321.790000000001</v>
      </c>
      <c r="J102" t="n">
        <v>2</v>
      </c>
      <c r="K102" t="inlineStr">
        <is>
          <t>¼凯利超上限，取2%</t>
        </is>
      </c>
    </row>
    <row r="103">
      <c r="A103" t="inlineStr">
        <is>
          <t>2021-09-16</t>
        </is>
      </c>
      <c r="B103" t="inlineStr">
        <is>
          <t>豆粕</t>
        </is>
      </c>
      <c r="C103" t="inlineStr">
        <is>
          <t>多</t>
        </is>
      </c>
      <c r="D103" t="n">
        <v>2</v>
      </c>
      <c r="E103" t="n">
        <v>4</v>
      </c>
      <c r="F103" t="inlineStr">
        <is>
          <t>不做</t>
        </is>
      </c>
      <c r="H103" t="n">
        <v>3548</v>
      </c>
      <c r="J103" t="n">
        <v>0.26</v>
      </c>
      <c r="K103" t="inlineStr">
        <is>
          <t>¼凯利</t>
        </is>
      </c>
    </row>
    <row r="104">
      <c r="A104" t="inlineStr">
        <is>
          <t>2021-09-16</t>
        </is>
      </c>
      <c r="B104" t="inlineStr">
        <is>
          <t>棉花</t>
        </is>
      </c>
      <c r="C104" t="inlineStr">
        <is>
          <t>多</t>
        </is>
      </c>
      <c r="D104" t="n">
        <v>2</v>
      </c>
      <c r="E104" t="n">
        <v>4</v>
      </c>
      <c r="F104" t="inlineStr">
        <is>
          <t>续持</t>
        </is>
      </c>
      <c r="G104" t="n">
        <v>3</v>
      </c>
      <c r="H104" t="n">
        <v>17620</v>
      </c>
      <c r="I104" t="n">
        <v>17246.43</v>
      </c>
      <c r="J104" t="n">
        <v>2</v>
      </c>
      <c r="K104" t="inlineStr">
        <is>
          <t>续持原仓（2021-09-08开）</t>
        </is>
      </c>
    </row>
    <row r="105">
      <c r="A105" t="inlineStr">
        <is>
          <t>2021-09-17</t>
        </is>
      </c>
      <c r="B105" t="inlineStr">
        <is>
          <t>玉米</t>
        </is>
      </c>
      <c r="C105" t="inlineStr">
        <is>
          <t>空</t>
        </is>
      </c>
      <c r="D105" t="n">
        <v>3</v>
      </c>
      <c r="E105" t="n">
        <v>6</v>
      </c>
      <c r="F105" t="inlineStr">
        <is>
          <t>续持</t>
        </is>
      </c>
      <c r="G105" t="n">
        <v>26</v>
      </c>
      <c r="H105" t="n">
        <v>2437</v>
      </c>
      <c r="I105" t="n">
        <v>2507.07</v>
      </c>
      <c r="J105" t="n">
        <v>2</v>
      </c>
      <c r="K105" t="inlineStr">
        <is>
          <t>续持原仓（2021-09-09开）</t>
        </is>
      </c>
    </row>
    <row r="106">
      <c r="A106" t="inlineStr">
        <is>
          <t>2021-09-17</t>
        </is>
      </c>
      <c r="B106" t="inlineStr">
        <is>
          <t>菜粕</t>
        </is>
      </c>
      <c r="C106" t="inlineStr">
        <is>
          <t>多</t>
        </is>
      </c>
      <c r="D106" t="n">
        <v>3</v>
      </c>
      <c r="E106" t="n">
        <v>6</v>
      </c>
      <c r="F106" t="inlineStr">
        <is>
          <t>开仓</t>
        </is>
      </c>
      <c r="G106" t="n">
        <v>13</v>
      </c>
      <c r="H106" t="n">
        <v>2939</v>
      </c>
      <c r="I106" t="n">
        <v>2790.71</v>
      </c>
      <c r="J106" t="n">
        <v>2</v>
      </c>
      <c r="K106" t="inlineStr">
        <is>
          <t>¼凯利超上限，取2%</t>
        </is>
      </c>
    </row>
    <row r="107">
      <c r="A107" t="inlineStr">
        <is>
          <t>2021-09-17</t>
        </is>
      </c>
      <c r="B107" t="inlineStr">
        <is>
          <t>沪铝</t>
        </is>
      </c>
      <c r="C107" t="inlineStr">
        <is>
          <t>多</t>
        </is>
      </c>
      <c r="D107" t="n">
        <v>2</v>
      </c>
      <c r="E107" t="n">
        <v>5</v>
      </c>
      <c r="F107" t="inlineStr">
        <is>
          <t>观望</t>
        </is>
      </c>
      <c r="H107" t="n">
        <v>22585</v>
      </c>
      <c r="J107" t="n">
        <v>0.26</v>
      </c>
      <c r="K107" t="inlineStr">
        <is>
          <t>逆5日线（收盘在5日线下，不追多）</t>
        </is>
      </c>
    </row>
    <row r="108">
      <c r="A108" t="inlineStr">
        <is>
          <t>2021-09-22</t>
        </is>
      </c>
      <c r="B108" t="inlineStr">
        <is>
          <t>沪铝</t>
        </is>
      </c>
      <c r="C108" t="inlineStr">
        <is>
          <t>多</t>
        </is>
      </c>
      <c r="D108" t="n">
        <v>3</v>
      </c>
      <c r="E108" t="n">
        <v>6</v>
      </c>
      <c r="F108" t="inlineStr">
        <is>
          <t>开仓</t>
        </is>
      </c>
      <c r="G108" t="n">
        <v>2</v>
      </c>
      <c r="H108" t="n">
        <v>23080</v>
      </c>
      <c r="I108" t="n">
        <v>21117.14</v>
      </c>
      <c r="J108" t="n">
        <v>2</v>
      </c>
      <c r="K108" t="inlineStr">
        <is>
          <t>¼凯利超上限，取2%</t>
        </is>
      </c>
    </row>
    <row r="109">
      <c r="A109" t="inlineStr">
        <is>
          <t>2021-09-22</t>
        </is>
      </c>
      <c r="B109" t="inlineStr">
        <is>
          <t>沪锌</t>
        </is>
      </c>
      <c r="C109" t="inlineStr">
        <is>
          <t>空</t>
        </is>
      </c>
      <c r="D109" t="n">
        <v>3</v>
      </c>
      <c r="E109" t="n">
        <v>6</v>
      </c>
      <c r="F109" t="inlineStr">
        <is>
          <t>观望</t>
        </is>
      </c>
      <c r="G109" t="n">
        <v>4</v>
      </c>
      <c r="H109" t="n">
        <v>22790</v>
      </c>
      <c r="I109" t="n">
        <v>23688.93</v>
      </c>
      <c r="J109" t="n">
        <v>2</v>
      </c>
      <c r="K109" t="inlineStr">
        <is>
          <t>逆5日线（收盘在5日线上，不追空）</t>
        </is>
      </c>
    </row>
    <row r="110">
      <c r="A110" t="inlineStr">
        <is>
          <t>2021-09-22</t>
        </is>
      </c>
      <c r="B110" t="inlineStr">
        <is>
          <t>聚丙烯</t>
        </is>
      </c>
      <c r="C110" t="inlineStr">
        <is>
          <t>多</t>
        </is>
      </c>
      <c r="D110" t="n">
        <v>2</v>
      </c>
      <c r="E110" t="n">
        <v>5</v>
      </c>
      <c r="F110" t="inlineStr">
        <is>
          <t>影子仓</t>
        </is>
      </c>
      <c r="G110" t="n">
        <v>3</v>
      </c>
      <c r="H110" t="n">
        <v>9109</v>
      </c>
      <c r="I110" t="n">
        <v>8517.790000000001</v>
      </c>
      <c r="J110" t="n">
        <v>1</v>
      </c>
      <c r="K110" t="inlineStr">
        <is>
          <t>凯利≤0，开1%影子仓（只统计，不计入组合）</t>
        </is>
      </c>
    </row>
    <row r="111">
      <c r="A111" t="inlineStr">
        <is>
          <t>2021-09-22</t>
        </is>
      </c>
      <c r="B111" t="inlineStr">
        <is>
          <t>PVC</t>
        </is>
      </c>
      <c r="C111" t="inlineStr">
        <is>
          <t>多</t>
        </is>
      </c>
      <c r="D111" t="n">
        <v>2</v>
      </c>
      <c r="E111" t="n">
        <v>5</v>
      </c>
      <c r="F111" t="inlineStr">
        <is>
          <t>影子仓</t>
        </is>
      </c>
      <c r="G111" t="n">
        <v>2</v>
      </c>
      <c r="H111" t="n">
        <v>10335</v>
      </c>
      <c r="I111" t="n">
        <v>9470.360000000001</v>
      </c>
      <c r="J111" t="n">
        <v>1</v>
      </c>
      <c r="K111" t="inlineStr">
        <is>
          <t>凯利≤0，开1%影子仓（只统计，不计入组合）</t>
        </is>
      </c>
    </row>
    <row r="112">
      <c r="A112" t="inlineStr">
        <is>
          <t>2021-09-22</t>
        </is>
      </c>
      <c r="B112" t="inlineStr">
        <is>
          <t>玉米</t>
        </is>
      </c>
      <c r="C112" t="inlineStr">
        <is>
          <t>空</t>
        </is>
      </c>
      <c r="D112" t="n">
        <v>2</v>
      </c>
      <c r="E112" t="n">
        <v>4</v>
      </c>
      <c r="F112" t="inlineStr">
        <is>
          <t>观望</t>
        </is>
      </c>
      <c r="G112" t="n">
        <v>12</v>
      </c>
      <c r="H112" t="n">
        <v>2463</v>
      </c>
      <c r="I112" t="n">
        <v>2541</v>
      </c>
      <c r="J112" t="n">
        <v>1</v>
      </c>
      <c r="K112" t="inlineStr">
        <is>
          <t>逆5日线（收盘在5日线上，不追空）</t>
        </is>
      </c>
    </row>
    <row r="113">
      <c r="A113" t="inlineStr">
        <is>
          <t>2021-09-22</t>
        </is>
      </c>
      <c r="B113" t="inlineStr">
        <is>
          <t>塑料</t>
        </is>
      </c>
      <c r="C113" t="inlineStr">
        <is>
          <t>多</t>
        </is>
      </c>
      <c r="D113" t="n">
        <v>2</v>
      </c>
      <c r="E113" t="n">
        <v>4</v>
      </c>
      <c r="F113" t="inlineStr">
        <is>
          <t>影子仓</t>
        </is>
      </c>
      <c r="G113" t="n">
        <v>3</v>
      </c>
      <c r="H113" t="n">
        <v>8870</v>
      </c>
      <c r="I113" t="n">
        <v>8234.639999999999</v>
      </c>
      <c r="J113" t="n">
        <v>1</v>
      </c>
      <c r="K113" t="inlineStr">
        <is>
          <t>凯利≤0，开1%影子仓（只统计，不计入组合）</t>
        </is>
      </c>
    </row>
    <row r="114">
      <c r="A114" t="inlineStr">
        <is>
          <t>2021-09-22</t>
        </is>
      </c>
      <c r="B114" t="inlineStr">
        <is>
          <t>甲醇</t>
        </is>
      </c>
      <c r="C114" t="inlineStr">
        <is>
          <t>多</t>
        </is>
      </c>
      <c r="D114" t="n">
        <v>2</v>
      </c>
      <c r="E114" t="n">
        <v>4</v>
      </c>
      <c r="F114" t="inlineStr">
        <is>
          <t>影子仓</t>
        </is>
      </c>
      <c r="G114" t="n">
        <v>3</v>
      </c>
      <c r="H114" t="n">
        <v>3150</v>
      </c>
      <c r="I114" t="n">
        <v>2842.5</v>
      </c>
      <c r="J114" t="n">
        <v>1</v>
      </c>
      <c r="K114" t="inlineStr">
        <is>
          <t>凯利≤0，开1%影子仓（只统计，不计入组合）</t>
        </is>
      </c>
    </row>
    <row r="115">
      <c r="A115" t="inlineStr">
        <is>
          <t>2021-09-23</t>
        </is>
      </c>
      <c r="B115" t="inlineStr">
        <is>
          <t>沪铝</t>
        </is>
      </c>
      <c r="C115" t="inlineStr">
        <is>
          <t>多</t>
        </is>
      </c>
      <c r="D115" t="n">
        <v>3</v>
      </c>
      <c r="E115" t="n">
        <v>7</v>
      </c>
      <c r="F115" t="inlineStr">
        <is>
          <t>续持</t>
        </is>
      </c>
      <c r="G115" t="n">
        <v>2</v>
      </c>
      <c r="H115" t="n">
        <v>23500</v>
      </c>
      <c r="I115" t="n">
        <v>21570</v>
      </c>
      <c r="J115" t="n">
        <v>2</v>
      </c>
      <c r="K115" t="inlineStr">
        <is>
          <t>续持原仓（2021-09-22开）</t>
        </is>
      </c>
    </row>
    <row r="116">
      <c r="A116" t="inlineStr">
        <is>
          <t>2021-09-23</t>
        </is>
      </c>
      <c r="B116" t="inlineStr">
        <is>
          <t>沪镍</t>
        </is>
      </c>
      <c r="C116" t="inlineStr">
        <is>
          <t>多</t>
        </is>
      </c>
      <c r="D116" t="n">
        <v>2</v>
      </c>
      <c r="E116" t="n">
        <v>4</v>
      </c>
      <c r="F116" t="inlineStr">
        <is>
          <t>开仓</t>
        </is>
      </c>
      <c r="G116" t="n">
        <v>1</v>
      </c>
      <c r="H116" t="n">
        <v>145590</v>
      </c>
      <c r="I116" t="n">
        <v>133643.57</v>
      </c>
      <c r="J116" t="n">
        <v>2</v>
      </c>
      <c r="K116" t="inlineStr">
        <is>
          <t>¼凯利超上限，取2%</t>
        </is>
      </c>
    </row>
    <row r="117">
      <c r="A117" t="inlineStr">
        <is>
          <t>2021-09-23</t>
        </is>
      </c>
      <c r="B117" t="inlineStr">
        <is>
          <t>沪金</t>
        </is>
      </c>
      <c r="C117" t="inlineStr">
        <is>
          <t>空</t>
        </is>
      </c>
      <c r="D117" t="n">
        <v>2</v>
      </c>
      <c r="E117" t="n">
        <v>4</v>
      </c>
      <c r="F117" t="inlineStr">
        <is>
          <t>开仓</t>
        </is>
      </c>
      <c r="G117" t="n">
        <v>1</v>
      </c>
      <c r="H117" t="n">
        <v>369.26</v>
      </c>
      <c r="I117" t="n">
        <v>381.29</v>
      </c>
      <c r="J117" t="n">
        <v>2</v>
      </c>
      <c r="K117" t="inlineStr">
        <is>
          <t>¼凯利超上限，取2%</t>
        </is>
      </c>
    </row>
    <row r="118">
      <c r="A118" t="inlineStr">
        <is>
          <t>2021-09-23</t>
        </is>
      </c>
      <c r="B118" t="inlineStr">
        <is>
          <t>菜粕</t>
        </is>
      </c>
      <c r="C118" t="inlineStr">
        <is>
          <t>多</t>
        </is>
      </c>
      <c r="D118" t="n">
        <v>2</v>
      </c>
      <c r="E118" t="n">
        <v>4</v>
      </c>
      <c r="F118" t="inlineStr">
        <is>
          <t>观望</t>
        </is>
      </c>
      <c r="H118" t="n">
        <v>2901</v>
      </c>
      <c r="J118" t="n">
        <v>0</v>
      </c>
      <c r="K118" t="inlineStr">
        <is>
          <t>逆5日线（收盘在5日线下，不追多）</t>
        </is>
      </c>
    </row>
    <row r="119">
      <c r="A119" t="inlineStr">
        <is>
          <t>2021-09-23</t>
        </is>
      </c>
      <c r="B119" t="inlineStr">
        <is>
          <t>铁矿石</t>
        </is>
      </c>
      <c r="C119" t="inlineStr">
        <is>
          <t>空</t>
        </is>
      </c>
      <c r="D119" t="n">
        <v>2</v>
      </c>
      <c r="E119" t="n">
        <v>4</v>
      </c>
      <c r="F119" t="inlineStr">
        <is>
          <t>观望</t>
        </is>
      </c>
      <c r="H119" t="n">
        <v>667</v>
      </c>
      <c r="J119" t="n">
        <v>0</v>
      </c>
      <c r="K119" t="inlineStr">
        <is>
          <t>逆5日线（收盘在5日线上，不追空）</t>
        </is>
      </c>
    </row>
    <row r="120">
      <c r="A120" t="inlineStr">
        <is>
          <t>2021-09-24</t>
        </is>
      </c>
      <c r="B120" t="inlineStr">
        <is>
          <t>棕榈油</t>
        </is>
      </c>
      <c r="C120" t="inlineStr">
        <is>
          <t>多</t>
        </is>
      </c>
      <c r="D120" t="n">
        <v>3</v>
      </c>
      <c r="E120" t="n">
        <v>6</v>
      </c>
      <c r="F120" t="inlineStr">
        <is>
          <t>开仓</t>
        </is>
      </c>
      <c r="G120" t="n">
        <v>2</v>
      </c>
      <c r="H120" t="n">
        <v>8706</v>
      </c>
      <c r="I120" t="n">
        <v>7929.43</v>
      </c>
      <c r="J120" t="n">
        <v>2</v>
      </c>
      <c r="K120" t="inlineStr">
        <is>
          <t>¼凯利超上限，取2%</t>
        </is>
      </c>
    </row>
    <row r="121">
      <c r="A121" t="inlineStr">
        <is>
          <t>2021-09-24</t>
        </is>
      </c>
      <c r="B121" t="inlineStr">
        <is>
          <t>塑料</t>
        </is>
      </c>
      <c r="C121" t="inlineStr">
        <is>
          <t>多</t>
        </is>
      </c>
      <c r="D121" t="n">
        <v>3</v>
      </c>
      <c r="E121" t="n">
        <v>6</v>
      </c>
      <c r="F121" t="inlineStr">
        <is>
          <t>不做</t>
        </is>
      </c>
      <c r="H121" t="n">
        <v>9035</v>
      </c>
      <c r="J121" t="n">
        <v>0</v>
      </c>
      <c r="K121" t="inlineStr">
        <is>
          <t>组合风险已近10%，预算缩小</t>
        </is>
      </c>
    </row>
    <row r="122">
      <c r="A122" t="inlineStr">
        <is>
          <t>2021-09-24</t>
        </is>
      </c>
      <c r="B122" t="inlineStr">
        <is>
          <t>PVC</t>
        </is>
      </c>
      <c r="C122" t="inlineStr">
        <is>
          <t>多</t>
        </is>
      </c>
      <c r="D122" t="n">
        <v>3</v>
      </c>
      <c r="E122" t="n">
        <v>6</v>
      </c>
      <c r="F122" t="inlineStr">
        <is>
          <t>不做</t>
        </is>
      </c>
      <c r="H122" t="n">
        <v>10565</v>
      </c>
      <c r="J122" t="n">
        <v>0</v>
      </c>
      <c r="K122" t="inlineStr">
        <is>
          <t>组合风险已近10%，预算缩小</t>
        </is>
      </c>
    </row>
    <row r="123">
      <c r="A123" t="inlineStr">
        <is>
          <t>2021-09-24</t>
        </is>
      </c>
      <c r="B123" t="inlineStr">
        <is>
          <t>沪金</t>
        </is>
      </c>
      <c r="C123" t="inlineStr">
        <is>
          <t>空</t>
        </is>
      </c>
      <c r="D123" t="n">
        <v>3</v>
      </c>
      <c r="E123" t="n">
        <v>6</v>
      </c>
      <c r="F123" t="inlineStr">
        <is>
          <t>续持</t>
        </is>
      </c>
      <c r="G123" t="n">
        <v>1</v>
      </c>
      <c r="H123" t="n">
        <v>366.78</v>
      </c>
      <c r="I123" t="n">
        <v>377.36</v>
      </c>
      <c r="J123" t="n">
        <v>2</v>
      </c>
      <c r="K123" t="inlineStr">
        <is>
          <t>续持原仓（2021-09-23开）</t>
        </is>
      </c>
    </row>
    <row r="124">
      <c r="A124" t="inlineStr">
        <is>
          <t>2021-09-24</t>
        </is>
      </c>
      <c r="B124" t="inlineStr">
        <is>
          <t>沪镍</t>
        </is>
      </c>
      <c r="C124" t="inlineStr">
        <is>
          <t>多</t>
        </is>
      </c>
      <c r="D124" t="n">
        <v>2</v>
      </c>
      <c r="E124" t="n">
        <v>5</v>
      </c>
      <c r="F124" t="inlineStr">
        <is>
          <t>续持</t>
        </is>
      </c>
      <c r="G124" t="n">
        <v>1</v>
      </c>
      <c r="H124" t="n">
        <v>144500</v>
      </c>
      <c r="I124" t="n">
        <v>134480.71</v>
      </c>
      <c r="J124" t="n">
        <v>2</v>
      </c>
      <c r="K124" t="inlineStr">
        <is>
          <t>续持原仓（2021-09-23开）</t>
        </is>
      </c>
    </row>
    <row r="125">
      <c r="A125" t="inlineStr">
        <is>
          <t>2021-09-27</t>
        </is>
      </c>
      <c r="B125" t="inlineStr">
        <is>
          <t>沪金</t>
        </is>
      </c>
      <c r="C125" t="inlineStr">
        <is>
          <t>空</t>
        </is>
      </c>
      <c r="D125" t="n">
        <v>2</v>
      </c>
      <c r="E125" t="n">
        <v>5</v>
      </c>
      <c r="F125" t="inlineStr">
        <is>
          <t>续持</t>
        </is>
      </c>
      <c r="G125" t="n">
        <v>1</v>
      </c>
      <c r="H125" t="n">
        <v>367.86</v>
      </c>
      <c r="I125" t="n">
        <v>376.91</v>
      </c>
      <c r="J125" t="n">
        <v>2</v>
      </c>
      <c r="K125" t="inlineStr">
        <is>
          <t>续持原仓（2021-09-23开）</t>
        </is>
      </c>
    </row>
    <row r="126">
      <c r="A126" t="inlineStr">
        <is>
          <t>2021-09-27</t>
        </is>
      </c>
      <c r="B126" t="inlineStr">
        <is>
          <t>沪锌</t>
        </is>
      </c>
      <c r="C126" t="inlineStr">
        <is>
          <t>空</t>
        </is>
      </c>
      <c r="D126" t="n">
        <v>2</v>
      </c>
      <c r="E126" t="n">
        <v>5</v>
      </c>
      <c r="F126" t="inlineStr">
        <is>
          <t>观望</t>
        </is>
      </c>
      <c r="G126" t="n">
        <v>4</v>
      </c>
      <c r="H126" t="n">
        <v>23020</v>
      </c>
      <c r="I126" t="n">
        <v>23954.29</v>
      </c>
      <c r="J126" t="n">
        <v>2</v>
      </c>
      <c r="K126" t="inlineStr">
        <is>
          <t>逆5日线（收盘在5日线上，不追空）</t>
        </is>
      </c>
    </row>
    <row r="127">
      <c r="A127" t="inlineStr">
        <is>
          <t>2021-09-28</t>
        </is>
      </c>
      <c r="B127" t="inlineStr">
        <is>
          <t>燃料油</t>
        </is>
      </c>
      <c r="C127" t="inlineStr">
        <is>
          <t>多</t>
        </is>
      </c>
      <c r="D127" t="n">
        <v>3</v>
      </c>
      <c r="E127" t="n">
        <v>7</v>
      </c>
      <c r="F127" t="inlineStr">
        <is>
          <t>开仓</t>
        </is>
      </c>
      <c r="G127" t="n">
        <v>7</v>
      </c>
      <c r="H127" t="n">
        <v>3108</v>
      </c>
      <c r="I127" t="n">
        <v>2851.5</v>
      </c>
      <c r="J127" t="n">
        <v>2</v>
      </c>
      <c r="K127" t="inlineStr">
        <is>
          <t>¼凯利超上限，取2%</t>
        </is>
      </c>
    </row>
    <row r="128">
      <c r="A128" t="inlineStr">
        <is>
          <t>2021-09-28</t>
        </is>
      </c>
      <c r="B128" t="inlineStr">
        <is>
          <t>棕榈油</t>
        </is>
      </c>
      <c r="C128" t="inlineStr">
        <is>
          <t>多</t>
        </is>
      </c>
      <c r="D128" t="n">
        <v>3</v>
      </c>
      <c r="E128" t="n">
        <v>6</v>
      </c>
      <c r="F128" t="inlineStr">
        <is>
          <t>不做</t>
        </is>
      </c>
      <c r="H128" t="n">
        <v>8650</v>
      </c>
      <c r="J128" t="n">
        <v>0</v>
      </c>
      <c r="K128" t="inlineStr">
        <is>
          <t>组合风险已近10%，预算缩小</t>
        </is>
      </c>
    </row>
    <row r="129">
      <c r="A129" t="inlineStr">
        <is>
          <t>2021-09-28</t>
        </is>
      </c>
      <c r="B129" t="inlineStr">
        <is>
          <t>沪铝</t>
        </is>
      </c>
      <c r="C129" t="inlineStr">
        <is>
          <t>多</t>
        </is>
      </c>
      <c r="D129" t="n">
        <v>3</v>
      </c>
      <c r="E129" t="n">
        <v>6</v>
      </c>
      <c r="F129" t="inlineStr">
        <is>
          <t>观望</t>
        </is>
      </c>
      <c r="H129" t="n">
        <v>22680</v>
      </c>
      <c r="J129" t="n">
        <v>0</v>
      </c>
      <c r="K129" t="inlineStr">
        <is>
          <t>逆5日线（收盘在5日线下，不追多）</t>
        </is>
      </c>
    </row>
    <row r="130">
      <c r="A130" t="inlineStr">
        <is>
          <t>2021-09-28</t>
        </is>
      </c>
      <c r="B130" t="inlineStr">
        <is>
          <t>沪金</t>
        </is>
      </c>
      <c r="C130" t="inlineStr">
        <is>
          <t>空</t>
        </is>
      </c>
      <c r="D130" t="n">
        <v>3</v>
      </c>
      <c r="E130" t="n">
        <v>6</v>
      </c>
      <c r="F130" t="inlineStr">
        <is>
          <t>续持</t>
        </is>
      </c>
      <c r="G130" t="n">
        <v>1</v>
      </c>
      <c r="H130" t="n">
        <v>364.22</v>
      </c>
      <c r="I130" t="n">
        <v>376.6</v>
      </c>
      <c r="J130" t="n">
        <v>2</v>
      </c>
      <c r="K130" t="inlineStr">
        <is>
          <t>续持原仓（2021-09-23开）</t>
        </is>
      </c>
    </row>
    <row r="131">
      <c r="A131" t="inlineStr">
        <is>
          <t>2021-09-29</t>
        </is>
      </c>
      <c r="B131" t="inlineStr">
        <is>
          <t>螺纹钢</t>
        </is>
      </c>
      <c r="C131" t="inlineStr">
        <is>
          <t>多</t>
        </is>
      </c>
      <c r="D131" t="n">
        <v>3</v>
      </c>
      <c r="E131" t="n">
        <v>6</v>
      </c>
      <c r="F131" t="inlineStr">
        <is>
          <t>不做</t>
        </is>
      </c>
      <c r="H131" t="n">
        <v>5657</v>
      </c>
      <c r="J131" t="n">
        <v>0</v>
      </c>
      <c r="K131" t="inlineStr">
        <is>
          <t>组合风险已近10%，预算缩小</t>
        </is>
      </c>
    </row>
    <row r="132">
      <c r="A132" t="inlineStr">
        <is>
          <t>2021-09-29</t>
        </is>
      </c>
      <c r="B132" t="inlineStr">
        <is>
          <t>棕榈油</t>
        </is>
      </c>
      <c r="C132" t="inlineStr">
        <is>
          <t>多</t>
        </is>
      </c>
      <c r="D132" t="n">
        <v>2</v>
      </c>
      <c r="E132" t="n">
        <v>5</v>
      </c>
      <c r="F132" t="inlineStr">
        <is>
          <t>观望</t>
        </is>
      </c>
      <c r="H132" t="n">
        <v>8614</v>
      </c>
      <c r="J132" t="n">
        <v>0</v>
      </c>
      <c r="K132" t="inlineStr">
        <is>
          <t>逆5日线（收盘在5日线下，不追多）</t>
        </is>
      </c>
    </row>
    <row r="133">
      <c r="A133" t="inlineStr">
        <is>
          <t>2021-09-29</t>
        </is>
      </c>
      <c r="B133" t="inlineStr">
        <is>
          <t>沪银</t>
        </is>
      </c>
      <c r="C133" t="inlineStr">
        <is>
          <t>空</t>
        </is>
      </c>
      <c r="D133" t="n">
        <v>2</v>
      </c>
      <c r="E133" t="n">
        <v>5</v>
      </c>
      <c r="F133" t="inlineStr">
        <is>
          <t>不做</t>
        </is>
      </c>
      <c r="H133" t="n">
        <v>4752</v>
      </c>
      <c r="J133" t="n">
        <v>0</v>
      </c>
      <c r="K133" t="inlineStr">
        <is>
          <t>组合风险已近10%，预算缩小</t>
        </is>
      </c>
    </row>
    <row r="134">
      <c r="A134" t="inlineStr">
        <is>
          <t>2021-09-29</t>
        </is>
      </c>
      <c r="B134" t="inlineStr">
        <is>
          <t>沪金</t>
        </is>
      </c>
      <c r="C134" t="inlineStr">
        <is>
          <t>空</t>
        </is>
      </c>
      <c r="D134" t="n">
        <v>2</v>
      </c>
      <c r="E134" t="n">
        <v>5</v>
      </c>
      <c r="F134" t="inlineStr">
        <is>
          <t>续持</t>
        </is>
      </c>
      <c r="G134" t="n">
        <v>1</v>
      </c>
      <c r="H134" t="n">
        <v>364.48</v>
      </c>
      <c r="I134" t="n">
        <v>375.54</v>
      </c>
      <c r="J134" t="n">
        <v>2</v>
      </c>
      <c r="K134" t="inlineStr">
        <is>
          <t>续持原仓（2021-09-23开）</t>
        </is>
      </c>
    </row>
    <row r="135">
      <c r="A135" t="inlineStr">
        <is>
          <t>2021-09-30</t>
        </is>
      </c>
      <c r="B135" t="inlineStr">
        <is>
          <t>沪银</t>
        </is>
      </c>
      <c r="C135" t="inlineStr">
        <is>
          <t>空</t>
        </is>
      </c>
      <c r="D135" t="n">
        <v>3</v>
      </c>
      <c r="E135" t="n">
        <v>7</v>
      </c>
      <c r="F135" t="inlineStr">
        <is>
          <t>影子仓</t>
        </is>
      </c>
      <c r="G135" t="n">
        <v>1</v>
      </c>
      <c r="H135" t="n">
        <v>4615</v>
      </c>
      <c r="I135" t="n">
        <v>4950.57</v>
      </c>
      <c r="J135" t="n">
        <v>1</v>
      </c>
      <c r="K135" t="inlineStr">
        <is>
          <t>凯利≤0，开1%影子仓（只统计，不计入组合）</t>
        </is>
      </c>
    </row>
    <row r="136">
      <c r="A136" t="inlineStr">
        <is>
          <t>2021-09-30</t>
        </is>
      </c>
      <c r="B136" t="inlineStr">
        <is>
          <t>螺纹钢</t>
        </is>
      </c>
      <c r="C136" t="inlineStr">
        <is>
          <t>多</t>
        </is>
      </c>
      <c r="D136" t="n">
        <v>3</v>
      </c>
      <c r="E136" t="n">
        <v>6</v>
      </c>
      <c r="F136" t="inlineStr">
        <is>
          <t>影子仓</t>
        </is>
      </c>
      <c r="G136" t="n">
        <v>2</v>
      </c>
      <c r="H136" t="n">
        <v>5706</v>
      </c>
      <c r="I136" t="n">
        <v>5221.5</v>
      </c>
      <c r="J136" t="n">
        <v>1</v>
      </c>
      <c r="K136" t="inlineStr">
        <is>
          <t>凯利≤0，开1%影子仓（只统计，不计入组合）</t>
        </is>
      </c>
    </row>
    <row r="137">
      <c r="A137" t="inlineStr">
        <is>
          <t>2021-09-30</t>
        </is>
      </c>
      <c r="B137" t="inlineStr">
        <is>
          <t>棕榈油</t>
        </is>
      </c>
      <c r="C137" t="inlineStr">
        <is>
          <t>多</t>
        </is>
      </c>
      <c r="D137" t="n">
        <v>2</v>
      </c>
      <c r="E137" t="n">
        <v>5</v>
      </c>
      <c r="F137" t="inlineStr">
        <is>
          <t>开仓</t>
        </is>
      </c>
      <c r="G137" t="n">
        <v>2</v>
      </c>
      <c r="H137" t="n">
        <v>8888</v>
      </c>
      <c r="I137" t="n">
        <v>8108</v>
      </c>
      <c r="J137" t="n">
        <v>2</v>
      </c>
      <c r="K137" t="inlineStr">
        <is>
          <t>¼凯利超上限，取2%</t>
        </is>
      </c>
    </row>
    <row r="138">
      <c r="A138" t="inlineStr">
        <is>
          <t>2021-09-30</t>
        </is>
      </c>
      <c r="B138" t="inlineStr">
        <is>
          <t>塑料</t>
        </is>
      </c>
      <c r="C138" t="inlineStr">
        <is>
          <t>多</t>
        </is>
      </c>
      <c r="D138" t="n">
        <v>2</v>
      </c>
      <c r="E138" t="n">
        <v>5</v>
      </c>
      <c r="F138" t="inlineStr">
        <is>
          <t>开仓</t>
        </is>
      </c>
      <c r="G138" t="n">
        <v>4</v>
      </c>
      <c r="H138" t="n">
        <v>9910</v>
      </c>
      <c r="I138" t="n">
        <v>8952.139999999999</v>
      </c>
      <c r="J138" t="n">
        <v>2</v>
      </c>
      <c r="K138" t="inlineStr">
        <is>
          <t>¼凯利超上限，取2%</t>
        </is>
      </c>
    </row>
    <row r="139">
      <c r="A139" t="inlineStr">
        <is>
          <t>2021-09-30</t>
        </is>
      </c>
      <c r="B139" t="inlineStr">
        <is>
          <t>棉花</t>
        </is>
      </c>
      <c r="C139" t="inlineStr">
        <is>
          <t>多</t>
        </is>
      </c>
      <c r="D139" t="n">
        <v>2</v>
      </c>
      <c r="E139" t="n">
        <v>5</v>
      </c>
      <c r="F139" t="inlineStr">
        <is>
          <t>开仓</t>
        </is>
      </c>
      <c r="G139" t="n">
        <v>2</v>
      </c>
      <c r="H139" t="n">
        <v>20005</v>
      </c>
      <c r="I139" t="n">
        <v>18619.64</v>
      </c>
      <c r="J139" t="n">
        <v>2</v>
      </c>
      <c r="K139" t="inlineStr">
        <is>
          <t>¼凯利超上限，取2%</t>
        </is>
      </c>
    </row>
    <row r="140">
      <c r="A140" t="inlineStr">
        <is>
          <t>2021-10-08</t>
        </is>
      </c>
      <c r="B140" t="inlineStr">
        <is>
          <t>螺纹钢</t>
        </is>
      </c>
      <c r="C140" t="inlineStr">
        <is>
          <t>多</t>
        </is>
      </c>
      <c r="D140" t="n">
        <v>2</v>
      </c>
      <c r="E140" t="n">
        <v>5</v>
      </c>
      <c r="F140" t="inlineStr">
        <is>
          <t>续持</t>
        </is>
      </c>
      <c r="G140" t="n">
        <v>2</v>
      </c>
      <c r="H140" t="n">
        <v>5750</v>
      </c>
      <c r="I140" t="n">
        <v>5379.71</v>
      </c>
      <c r="J140" t="n">
        <v>1</v>
      </c>
      <c r="K140" t="inlineStr">
        <is>
          <t>续持原仓（2021-09-30开）</t>
        </is>
      </c>
    </row>
    <row r="141">
      <c r="A141" t="inlineStr">
        <is>
          <t>2021-10-08</t>
        </is>
      </c>
      <c r="B141" t="inlineStr">
        <is>
          <t>沪银</t>
        </is>
      </c>
      <c r="C141" t="inlineStr">
        <is>
          <t>空</t>
        </is>
      </c>
      <c r="D141" t="n">
        <v>2</v>
      </c>
      <c r="E141" t="n">
        <v>4</v>
      </c>
      <c r="F141" t="inlineStr">
        <is>
          <t>观望</t>
        </is>
      </c>
      <c r="G141" t="n">
        <v>3</v>
      </c>
      <c r="H141" t="n">
        <v>4788</v>
      </c>
      <c r="I141" t="n">
        <v>5152.07</v>
      </c>
      <c r="J141" t="n">
        <v>2</v>
      </c>
      <c r="K141" t="inlineStr">
        <is>
          <t>逆5日线（收盘在5日线上，不追空）</t>
        </is>
      </c>
    </row>
    <row r="142">
      <c r="A142" t="inlineStr">
        <is>
          <t>2021-10-08</t>
        </is>
      </c>
      <c r="B142" t="inlineStr">
        <is>
          <t>沪金</t>
        </is>
      </c>
      <c r="C142" t="inlineStr">
        <is>
          <t>空</t>
        </is>
      </c>
      <c r="D142" t="n">
        <v>2</v>
      </c>
      <c r="E142" t="n">
        <v>4</v>
      </c>
      <c r="F142" t="inlineStr">
        <is>
          <t>观望</t>
        </is>
      </c>
      <c r="G142" t="n">
        <v>1</v>
      </c>
      <c r="H142" t="n">
        <v>367.54</v>
      </c>
      <c r="I142" t="n">
        <v>380.62</v>
      </c>
      <c r="J142" t="n">
        <v>2</v>
      </c>
      <c r="K142" t="inlineStr">
        <is>
          <t>逆5日线（收盘在5日线上，不追空）</t>
        </is>
      </c>
    </row>
    <row r="143">
      <c r="A143" t="inlineStr">
        <is>
          <t>2021-10-11</t>
        </is>
      </c>
      <c r="B143" t="inlineStr">
        <is>
          <t>棕榈油</t>
        </is>
      </c>
      <c r="C143" t="inlineStr">
        <is>
          <t>多</t>
        </is>
      </c>
      <c r="D143" t="n">
        <v>3</v>
      </c>
      <c r="E143" t="n">
        <v>6</v>
      </c>
      <c r="F143" t="inlineStr">
        <is>
          <t>影子仓</t>
        </is>
      </c>
      <c r="G143" t="n">
        <v>1</v>
      </c>
      <c r="H143" t="n">
        <v>9462</v>
      </c>
      <c r="I143" t="n">
        <v>8645.57</v>
      </c>
      <c r="J143" t="n">
        <v>1</v>
      </c>
      <c r="K143" t="inlineStr">
        <is>
          <t>凯利≤0，开1%影子仓（只统计，不计入组合）</t>
        </is>
      </c>
    </row>
    <row r="144">
      <c r="A144" t="inlineStr">
        <is>
          <t>2021-10-11</t>
        </is>
      </c>
      <c r="B144" t="inlineStr">
        <is>
          <t>沪银</t>
        </is>
      </c>
      <c r="C144" t="inlineStr">
        <is>
          <t>空</t>
        </is>
      </c>
      <c r="D144" t="n">
        <v>2</v>
      </c>
      <c r="E144" t="n">
        <v>5</v>
      </c>
      <c r="F144" t="inlineStr">
        <is>
          <t>观望</t>
        </is>
      </c>
      <c r="G144" t="n">
        <v>3</v>
      </c>
      <c r="H144" t="n">
        <v>4826</v>
      </c>
      <c r="I144" t="n">
        <v>5203.14</v>
      </c>
      <c r="J144" t="n">
        <v>2</v>
      </c>
      <c r="K144" t="inlineStr">
        <is>
          <t>逆5日线（收盘在5日线上，不追空）</t>
        </is>
      </c>
    </row>
    <row r="145">
      <c r="A145" t="inlineStr">
        <is>
          <t>2021-10-11</t>
        </is>
      </c>
      <c r="B145" t="inlineStr">
        <is>
          <t>铁矿石</t>
        </is>
      </c>
      <c r="C145" t="inlineStr">
        <is>
          <t>多</t>
        </is>
      </c>
      <c r="D145" t="n">
        <v>2</v>
      </c>
      <c r="E145" t="n">
        <v>4</v>
      </c>
      <c r="F145" t="inlineStr">
        <is>
          <t>开仓</t>
        </is>
      </c>
      <c r="G145" t="n">
        <v>1</v>
      </c>
      <c r="H145" t="n">
        <v>797.5</v>
      </c>
      <c r="I145" t="n">
        <v>663.5700000000001</v>
      </c>
      <c r="J145" t="n">
        <v>2</v>
      </c>
      <c r="K145" t="inlineStr">
        <is>
          <t>¼凯利超上限，取2%</t>
        </is>
      </c>
    </row>
    <row r="146">
      <c r="A146" t="inlineStr">
        <is>
          <t>2021-10-12</t>
        </is>
      </c>
      <c r="B146" t="inlineStr">
        <is>
          <t>沪铝</t>
        </is>
      </c>
      <c r="C146" t="inlineStr">
        <is>
          <t>多</t>
        </is>
      </c>
      <c r="D146" t="n">
        <v>3</v>
      </c>
      <c r="E146" t="n">
        <v>6</v>
      </c>
      <c r="F146" t="inlineStr">
        <is>
          <t>不做</t>
        </is>
      </c>
      <c r="H146" t="n">
        <v>23495</v>
      </c>
      <c r="J146" t="n">
        <v>1</v>
      </c>
      <c r="K146" t="inlineStr">
        <is>
          <t>1手风险10420元超过预算10000元</t>
        </is>
      </c>
    </row>
    <row r="147">
      <c r="A147" t="inlineStr">
        <is>
          <t>2021-10-12</t>
        </is>
      </c>
      <c r="B147" t="inlineStr">
        <is>
          <t>豆粕</t>
        </is>
      </c>
      <c r="C147" t="inlineStr">
        <is>
          <t>空</t>
        </is>
      </c>
      <c r="D147" t="n">
        <v>3</v>
      </c>
      <c r="E147" t="n">
        <v>6</v>
      </c>
      <c r="F147" t="inlineStr">
        <is>
          <t>影子仓</t>
        </is>
      </c>
      <c r="G147" t="n">
        <v>6</v>
      </c>
      <c r="H147" t="n">
        <v>3299</v>
      </c>
      <c r="I147" t="n">
        <v>3447.29</v>
      </c>
      <c r="J147" t="n">
        <v>1</v>
      </c>
      <c r="K147" t="inlineStr">
        <is>
          <t>凯利≤0，开1%影子仓（只统计，不计入组合）</t>
        </is>
      </c>
    </row>
    <row r="148">
      <c r="A148" t="inlineStr">
        <is>
          <t>2021-10-12</t>
        </is>
      </c>
      <c r="B148" t="inlineStr">
        <is>
          <t>沪银</t>
        </is>
      </c>
      <c r="C148" t="inlineStr">
        <is>
          <t>空</t>
        </is>
      </c>
      <c r="D148" t="n">
        <v>3</v>
      </c>
      <c r="E148" t="n">
        <v>6</v>
      </c>
      <c r="F148" t="inlineStr">
        <is>
          <t>观望</t>
        </is>
      </c>
      <c r="G148" t="n">
        <v>1</v>
      </c>
      <c r="H148" t="n">
        <v>4822</v>
      </c>
      <c r="I148" t="n">
        <v>5187.14</v>
      </c>
      <c r="J148" t="n">
        <v>1</v>
      </c>
      <c r="K148" t="inlineStr">
        <is>
          <t>逆5日线（收盘在5日线上，不追空）</t>
        </is>
      </c>
    </row>
    <row r="149">
      <c r="A149" t="inlineStr">
        <is>
          <t>2021-10-12</t>
        </is>
      </c>
      <c r="B149" t="inlineStr">
        <is>
          <t>沪金</t>
        </is>
      </c>
      <c r="C149" t="inlineStr">
        <is>
          <t>空</t>
        </is>
      </c>
      <c r="D149" t="n">
        <v>2</v>
      </c>
      <c r="E149" t="n">
        <v>5</v>
      </c>
      <c r="F149" t="inlineStr">
        <is>
          <t>观望</t>
        </is>
      </c>
      <c r="G149" t="n">
        <v>1</v>
      </c>
      <c r="H149" t="n">
        <v>368.22</v>
      </c>
      <c r="I149" t="n">
        <v>381.59</v>
      </c>
      <c r="J149" t="n">
        <v>2</v>
      </c>
      <c r="K149" t="inlineStr">
        <is>
          <t>逆5日线（收盘在5日线上，不追空）</t>
        </is>
      </c>
    </row>
    <row r="150">
      <c r="A150" t="inlineStr">
        <is>
          <t>2021-10-13</t>
        </is>
      </c>
      <c r="B150" t="inlineStr">
        <is>
          <t>豆粕</t>
        </is>
      </c>
      <c r="C150" t="inlineStr">
        <is>
          <t>空</t>
        </is>
      </c>
      <c r="D150" t="n">
        <v>3</v>
      </c>
      <c r="E150" t="n">
        <v>7</v>
      </c>
      <c r="F150" t="inlineStr">
        <is>
          <t>续持</t>
        </is>
      </c>
      <c r="G150" t="n">
        <v>6</v>
      </c>
      <c r="H150" t="n">
        <v>3236</v>
      </c>
      <c r="I150" t="n">
        <v>3385</v>
      </c>
      <c r="J150" t="n">
        <v>1</v>
      </c>
      <c r="K150" t="inlineStr">
        <is>
          <t>续持原仓（2021-10-12开）</t>
        </is>
      </c>
    </row>
    <row r="151">
      <c r="A151" t="inlineStr">
        <is>
          <t>2021-10-13</t>
        </is>
      </c>
      <c r="B151" t="inlineStr">
        <is>
          <t>棕榈油</t>
        </is>
      </c>
      <c r="C151" t="inlineStr">
        <is>
          <t>多</t>
        </is>
      </c>
      <c r="D151" t="n">
        <v>3</v>
      </c>
      <c r="E151" t="n">
        <v>6</v>
      </c>
      <c r="F151" t="inlineStr">
        <is>
          <t>影子仓</t>
        </is>
      </c>
      <c r="G151" t="n">
        <v>1</v>
      </c>
      <c r="H151" t="n">
        <v>9484</v>
      </c>
      <c r="I151" t="n">
        <v>8587.860000000001</v>
      </c>
      <c r="J151" t="n">
        <v>1</v>
      </c>
      <c r="K151" t="inlineStr">
        <is>
          <t>凯利≤0，开1%影子仓（只统计，不计入组合）</t>
        </is>
      </c>
    </row>
    <row r="152">
      <c r="A152" t="inlineStr">
        <is>
          <t>2021-10-13</t>
        </is>
      </c>
      <c r="B152" t="inlineStr">
        <is>
          <t>沪金</t>
        </is>
      </c>
      <c r="C152" t="inlineStr">
        <is>
          <t>空</t>
        </is>
      </c>
      <c r="D152" t="n">
        <v>2</v>
      </c>
      <c r="E152" t="n">
        <v>4</v>
      </c>
      <c r="F152" t="inlineStr">
        <is>
          <t>观望</t>
        </is>
      </c>
      <c r="G152" t="n">
        <v>1</v>
      </c>
      <c r="H152" t="n">
        <v>368.1</v>
      </c>
      <c r="I152" t="n">
        <v>381.47</v>
      </c>
      <c r="J152" t="n">
        <v>2</v>
      </c>
      <c r="K152" t="inlineStr">
        <is>
          <t>逆5日线（收盘在5日线上，不追空）</t>
        </is>
      </c>
    </row>
    <row r="153">
      <c r="A153" t="inlineStr">
        <is>
          <t>2021-10-14</t>
        </is>
      </c>
      <c r="B153" t="inlineStr">
        <is>
          <t>棉花</t>
        </is>
      </c>
      <c r="C153" t="inlineStr">
        <is>
          <t>多</t>
        </is>
      </c>
      <c r="D153" t="n">
        <v>3</v>
      </c>
      <c r="E153" t="n">
        <v>7</v>
      </c>
      <c r="F153" t="inlineStr">
        <is>
          <t>观望</t>
        </is>
      </c>
      <c r="H153" t="n">
        <v>21285</v>
      </c>
      <c r="J153" t="n">
        <v>1</v>
      </c>
      <c r="K153" t="inlineStr">
        <is>
          <t>逆5日线（收盘在5日线下，不追多）</t>
        </is>
      </c>
    </row>
    <row r="154">
      <c r="A154" t="inlineStr">
        <is>
          <t>2021-10-14</t>
        </is>
      </c>
      <c r="B154" t="inlineStr">
        <is>
          <t>沪铝</t>
        </is>
      </c>
      <c r="C154" t="inlineStr">
        <is>
          <t>多</t>
        </is>
      </c>
      <c r="D154" t="n">
        <v>3</v>
      </c>
      <c r="E154" t="n">
        <v>6</v>
      </c>
      <c r="F154" t="inlineStr">
        <is>
          <t>不做</t>
        </is>
      </c>
      <c r="H154" t="n">
        <v>23615</v>
      </c>
      <c r="J154" t="n">
        <v>1</v>
      </c>
      <c r="K154" t="inlineStr">
        <is>
          <t>1手风险10366元超过预算10000元</t>
        </is>
      </c>
    </row>
    <row r="155">
      <c r="A155" t="inlineStr">
        <is>
          <t>2021-10-14</t>
        </is>
      </c>
      <c r="B155" t="inlineStr">
        <is>
          <t>聚丙烯</t>
        </is>
      </c>
      <c r="C155" t="inlineStr">
        <is>
          <t>空</t>
        </is>
      </c>
      <c r="D155" t="n">
        <v>2</v>
      </c>
      <c r="E155" t="n">
        <v>4</v>
      </c>
      <c r="F155" t="inlineStr">
        <is>
          <t>开仓</t>
        </is>
      </c>
      <c r="G155" t="n">
        <v>3</v>
      </c>
      <c r="H155" t="n">
        <v>9706</v>
      </c>
      <c r="I155" t="n">
        <v>10993.21</v>
      </c>
      <c r="J155" t="n">
        <v>2</v>
      </c>
      <c r="K155" t="inlineStr">
        <is>
          <t>¼凯利超上限，取2%</t>
        </is>
      </c>
    </row>
    <row r="156">
      <c r="A156" t="inlineStr">
        <is>
          <t>2021-10-14</t>
        </is>
      </c>
      <c r="B156" t="inlineStr">
        <is>
          <t>铁矿石</t>
        </is>
      </c>
      <c r="C156" t="inlineStr">
        <is>
          <t>多</t>
        </is>
      </c>
      <c r="D156" t="n">
        <v>2</v>
      </c>
      <c r="E156" t="n">
        <v>4</v>
      </c>
      <c r="F156" t="inlineStr">
        <is>
          <t>观望</t>
        </is>
      </c>
      <c r="H156" t="n">
        <v>736</v>
      </c>
      <c r="J156" t="n">
        <v>1</v>
      </c>
      <c r="K156" t="inlineStr">
        <is>
          <t>逆5日线（收盘在5日线下，不追多）</t>
        </is>
      </c>
    </row>
    <row r="157">
      <c r="A157" t="inlineStr">
        <is>
          <t>2021-10-15</t>
        </is>
      </c>
      <c r="B157" t="inlineStr">
        <is>
          <t>棕榈油</t>
        </is>
      </c>
      <c r="C157" t="inlineStr">
        <is>
          <t>多</t>
        </is>
      </c>
      <c r="D157" t="n">
        <v>3</v>
      </c>
      <c r="E157" t="n">
        <v>7</v>
      </c>
      <c r="F157" t="inlineStr">
        <is>
          <t>影子仓</t>
        </is>
      </c>
      <c r="G157" t="n">
        <v>1</v>
      </c>
      <c r="H157" t="n">
        <v>9422</v>
      </c>
      <c r="I157" t="n">
        <v>8486.43</v>
      </c>
      <c r="J157" t="n">
        <v>1</v>
      </c>
      <c r="K157" t="inlineStr">
        <is>
          <t>凯利≤0，开1%影子仓（只统计，不计入组合）</t>
        </is>
      </c>
    </row>
    <row r="158">
      <c r="A158" t="inlineStr">
        <is>
          <t>2021-10-15</t>
        </is>
      </c>
      <c r="B158" t="inlineStr">
        <is>
          <t>棉花</t>
        </is>
      </c>
      <c r="C158" t="inlineStr">
        <is>
          <t>多</t>
        </is>
      </c>
      <c r="D158" t="n">
        <v>3</v>
      </c>
      <c r="E158" t="n">
        <v>6</v>
      </c>
      <c r="F158" t="inlineStr">
        <is>
          <t>不做</t>
        </is>
      </c>
      <c r="H158" t="n">
        <v>22855</v>
      </c>
      <c r="J158" t="n">
        <v>1</v>
      </c>
      <c r="K158" t="inlineStr">
        <is>
          <t>1手风险12712元超过预算10000元</t>
        </is>
      </c>
    </row>
    <row r="159">
      <c r="A159" t="inlineStr">
        <is>
          <t>2021-10-15</t>
        </is>
      </c>
      <c r="B159" t="inlineStr">
        <is>
          <t>沪铝</t>
        </is>
      </c>
      <c r="C159" t="inlineStr">
        <is>
          <t>多</t>
        </is>
      </c>
      <c r="D159" t="n">
        <v>3</v>
      </c>
      <c r="E159" t="n">
        <v>6</v>
      </c>
      <c r="F159" t="inlineStr">
        <is>
          <t>不做</t>
        </is>
      </c>
      <c r="H159" t="n">
        <v>24390</v>
      </c>
      <c r="J159" t="n">
        <v>1</v>
      </c>
      <c r="K159" t="inlineStr">
        <is>
          <t>1手风险10591元超过预算10000元</t>
        </is>
      </c>
    </row>
    <row r="160">
      <c r="A160" t="inlineStr">
        <is>
          <t>2021-10-15</t>
        </is>
      </c>
      <c r="B160" t="inlineStr">
        <is>
          <t>PTA</t>
        </is>
      </c>
      <c r="C160" t="inlineStr">
        <is>
          <t>多</t>
        </is>
      </c>
      <c r="D160" t="n">
        <v>3</v>
      </c>
      <c r="E160" t="n">
        <v>6</v>
      </c>
      <c r="F160" t="inlineStr">
        <is>
          <t>影子仓</t>
        </is>
      </c>
      <c r="G160" t="n">
        <v>3</v>
      </c>
      <c r="H160" t="n">
        <v>5540</v>
      </c>
      <c r="I160" t="n">
        <v>4955.86</v>
      </c>
      <c r="J160" t="n">
        <v>1</v>
      </c>
      <c r="K160" t="inlineStr">
        <is>
          <t>凯利≤0，开1%影子仓（只统计，不计入组合）</t>
        </is>
      </c>
    </row>
    <row r="161">
      <c r="A161" t="inlineStr">
        <is>
          <t>2021-10-15</t>
        </is>
      </c>
      <c r="B161" t="inlineStr">
        <is>
          <t>菜粕</t>
        </is>
      </c>
      <c r="C161" t="inlineStr">
        <is>
          <t>空</t>
        </is>
      </c>
      <c r="D161" t="n">
        <v>2</v>
      </c>
      <c r="E161" t="n">
        <v>4</v>
      </c>
      <c r="F161" t="inlineStr">
        <is>
          <t>开仓</t>
        </is>
      </c>
      <c r="G161" t="n">
        <v>10</v>
      </c>
      <c r="H161" t="n">
        <v>2626</v>
      </c>
      <c r="I161" t="n">
        <v>2812.21</v>
      </c>
      <c r="J161" t="n">
        <v>2</v>
      </c>
      <c r="K161" t="inlineStr">
        <is>
          <t>¼凯利超上限，取2%</t>
        </is>
      </c>
    </row>
    <row r="162">
      <c r="A162" t="inlineStr">
        <is>
          <t>2021-10-18</t>
        </is>
      </c>
      <c r="B162" t="inlineStr">
        <is>
          <t>菜粕</t>
        </is>
      </c>
      <c r="C162" t="inlineStr">
        <is>
          <t>空</t>
        </is>
      </c>
      <c r="D162" t="n">
        <v>3</v>
      </c>
      <c r="E162" t="n">
        <v>7</v>
      </c>
      <c r="F162" t="inlineStr">
        <is>
          <t>续持</t>
        </is>
      </c>
      <c r="G162" t="n">
        <v>10</v>
      </c>
      <c r="H162" t="n">
        <v>2585</v>
      </c>
      <c r="I162" t="n">
        <v>2773</v>
      </c>
      <c r="J162" t="n">
        <v>2</v>
      </c>
      <c r="K162" t="inlineStr">
        <is>
          <t>续持原仓（2021-10-15开）</t>
        </is>
      </c>
    </row>
    <row r="163">
      <c r="A163" t="inlineStr">
        <is>
          <t>2021-10-18</t>
        </is>
      </c>
      <c r="B163" t="inlineStr">
        <is>
          <t>沪铝</t>
        </is>
      </c>
      <c r="C163" t="inlineStr">
        <is>
          <t>多</t>
        </is>
      </c>
      <c r="D163" t="n">
        <v>3</v>
      </c>
      <c r="E163" t="n">
        <v>6</v>
      </c>
      <c r="F163" t="inlineStr">
        <is>
          <t>不做</t>
        </is>
      </c>
      <c r="H163" t="n">
        <v>24770</v>
      </c>
      <c r="J163" t="n">
        <v>1</v>
      </c>
      <c r="K163" t="inlineStr">
        <is>
          <t>1手风险11234元超过预算10000元</t>
        </is>
      </c>
    </row>
    <row r="164">
      <c r="A164" t="inlineStr">
        <is>
          <t>2021-10-18</t>
        </is>
      </c>
      <c r="B164" t="inlineStr">
        <is>
          <t>PVC</t>
        </is>
      </c>
      <c r="C164" t="inlineStr">
        <is>
          <t>多</t>
        </is>
      </c>
      <c r="D164" t="n">
        <v>3</v>
      </c>
      <c r="E164" t="n">
        <v>6</v>
      </c>
      <c r="F164" t="inlineStr">
        <is>
          <t>观望</t>
        </is>
      </c>
      <c r="H164" t="n">
        <v>11840</v>
      </c>
      <c r="J164" t="n">
        <v>1</v>
      </c>
      <c r="K164" t="inlineStr">
        <is>
          <t>逆5日线（收盘在5日线下，不追多）</t>
        </is>
      </c>
    </row>
    <row r="165">
      <c r="A165" t="inlineStr">
        <is>
          <t>2021-10-18</t>
        </is>
      </c>
      <c r="B165" t="inlineStr">
        <is>
          <t>棉花</t>
        </is>
      </c>
      <c r="C165" t="inlineStr">
        <is>
          <t>多</t>
        </is>
      </c>
      <c r="D165" t="n">
        <v>2</v>
      </c>
      <c r="E165" t="n">
        <v>5</v>
      </c>
      <c r="F165" t="inlineStr">
        <is>
          <t>开仓</t>
        </is>
      </c>
      <c r="G165" t="n">
        <v>1</v>
      </c>
      <c r="H165" t="n">
        <v>21905</v>
      </c>
      <c r="I165" t="n">
        <v>19046.43</v>
      </c>
      <c r="J165" t="n">
        <v>2</v>
      </c>
      <c r="K165" t="inlineStr">
        <is>
          <t>¼凯利超上限，取2%</t>
        </is>
      </c>
    </row>
    <row r="166">
      <c r="A166" t="inlineStr">
        <is>
          <t>2021-10-18</t>
        </is>
      </c>
      <c r="B166" t="inlineStr">
        <is>
          <t>聚丙烯</t>
        </is>
      </c>
      <c r="C166" t="inlineStr">
        <is>
          <t>空</t>
        </is>
      </c>
      <c r="D166" t="n">
        <v>2</v>
      </c>
      <c r="E166" t="n">
        <v>4</v>
      </c>
      <c r="F166" t="inlineStr">
        <is>
          <t>续持</t>
        </is>
      </c>
      <c r="G166" t="n">
        <v>3</v>
      </c>
      <c r="H166" t="n">
        <v>9756</v>
      </c>
      <c r="I166" t="n">
        <v>10817.5</v>
      </c>
      <c r="J166" t="n">
        <v>2</v>
      </c>
      <c r="K166" t="inlineStr">
        <is>
          <t>续持原仓（2021-10-14开）</t>
        </is>
      </c>
    </row>
    <row r="167">
      <c r="A167" t="inlineStr">
        <is>
          <t>2021-10-19</t>
        </is>
      </c>
      <c r="B167" t="inlineStr">
        <is>
          <t>棕榈油</t>
        </is>
      </c>
      <c r="C167" t="inlineStr">
        <is>
          <t>多</t>
        </is>
      </c>
      <c r="D167" t="n">
        <v>3</v>
      </c>
      <c r="E167" t="n">
        <v>7</v>
      </c>
      <c r="F167" t="inlineStr">
        <is>
          <t>影子仓</t>
        </is>
      </c>
      <c r="G167" t="n">
        <v>1</v>
      </c>
      <c r="H167" t="n">
        <v>9716</v>
      </c>
      <c r="I167" t="n">
        <v>8807.43</v>
      </c>
      <c r="J167" t="n">
        <v>1</v>
      </c>
      <c r="K167" t="inlineStr">
        <is>
          <t>凯利≤0，开1%影子仓（只统计，不计入组合）</t>
        </is>
      </c>
    </row>
    <row r="168">
      <c r="A168" t="inlineStr">
        <is>
          <t>2021-10-19</t>
        </is>
      </c>
      <c r="B168" t="inlineStr">
        <is>
          <t>PVC</t>
        </is>
      </c>
      <c r="C168" t="inlineStr">
        <is>
          <t>多</t>
        </is>
      </c>
      <c r="D168" t="n">
        <v>3</v>
      </c>
      <c r="E168" t="n">
        <v>6</v>
      </c>
      <c r="F168" t="inlineStr">
        <is>
          <t>不做</t>
        </is>
      </c>
      <c r="H168" t="n">
        <v>11860</v>
      </c>
      <c r="J168" t="n">
        <v>1</v>
      </c>
      <c r="K168" t="inlineStr">
        <is>
          <t>1手风险10404元超过预算10000元</t>
        </is>
      </c>
    </row>
    <row r="169">
      <c r="A169" t="inlineStr">
        <is>
          <t>2021-10-19</t>
        </is>
      </c>
      <c r="B169" t="inlineStr">
        <is>
          <t>螺纹钢</t>
        </is>
      </c>
      <c r="C169" t="inlineStr">
        <is>
          <t>多</t>
        </is>
      </c>
      <c r="D169" t="n">
        <v>2</v>
      </c>
      <c r="E169" t="n">
        <v>4</v>
      </c>
      <c r="F169" t="inlineStr">
        <is>
          <t>开仓</t>
        </is>
      </c>
      <c r="G169" t="n">
        <v>3</v>
      </c>
      <c r="H169" t="n">
        <v>5546</v>
      </c>
      <c r="I169" t="n">
        <v>5035.14</v>
      </c>
      <c r="J169" t="n">
        <v>2</v>
      </c>
      <c r="K169" t="inlineStr">
        <is>
          <t>¼凯利超上限，取3%，2星上限2%</t>
        </is>
      </c>
    </row>
    <row r="170">
      <c r="A170" t="inlineStr">
        <is>
          <t>2021-10-20</t>
        </is>
      </c>
      <c r="B170" t="inlineStr">
        <is>
          <t>棕榈油</t>
        </is>
      </c>
      <c r="C170" t="inlineStr">
        <is>
          <t>多</t>
        </is>
      </c>
      <c r="D170" t="n">
        <v>3</v>
      </c>
      <c r="E170" t="n">
        <v>6</v>
      </c>
      <c r="F170" t="inlineStr">
        <is>
          <t>续持</t>
        </is>
      </c>
      <c r="G170" t="n">
        <v>1</v>
      </c>
      <c r="H170" t="n">
        <v>9814</v>
      </c>
      <c r="I170" t="n">
        <v>8931.290000000001</v>
      </c>
      <c r="J170" t="n">
        <v>1</v>
      </c>
      <c r="K170" t="inlineStr">
        <is>
          <t>续持原仓（2021-10-19开）</t>
        </is>
      </c>
    </row>
    <row r="171">
      <c r="A171" t="inlineStr">
        <is>
          <t>2021-10-20</t>
        </is>
      </c>
      <c r="B171" t="inlineStr">
        <is>
          <t>豆油</t>
        </is>
      </c>
      <c r="C171" t="inlineStr">
        <is>
          <t>多</t>
        </is>
      </c>
      <c r="D171" t="n">
        <v>3</v>
      </c>
      <c r="E171" t="n">
        <v>6</v>
      </c>
      <c r="F171" t="inlineStr">
        <is>
          <t>影子仓</t>
        </is>
      </c>
      <c r="G171" t="n">
        <v>1</v>
      </c>
      <c r="H171" t="n">
        <v>10120</v>
      </c>
      <c r="I171" t="n">
        <v>9349</v>
      </c>
      <c r="J171" t="n">
        <v>1</v>
      </c>
      <c r="K171" t="inlineStr">
        <is>
          <t>凯利≤0，开1%影子仓（只统计，不计入组合）</t>
        </is>
      </c>
    </row>
    <row r="172">
      <c r="A172" t="inlineStr">
        <is>
          <t>2021-10-20</t>
        </is>
      </c>
      <c r="B172" t="inlineStr">
        <is>
          <t>沪铝</t>
        </is>
      </c>
      <c r="C172" t="inlineStr">
        <is>
          <t>多</t>
        </is>
      </c>
      <c r="D172" t="n">
        <v>2</v>
      </c>
      <c r="E172" t="n">
        <v>5</v>
      </c>
      <c r="F172" t="inlineStr">
        <is>
          <t>观望</t>
        </is>
      </c>
      <c r="G172" t="n">
        <v>1</v>
      </c>
      <c r="H172" t="n">
        <v>22855</v>
      </c>
      <c r="I172" t="n">
        <v>20369.29</v>
      </c>
      <c r="J172" t="n">
        <v>2</v>
      </c>
      <c r="K172" t="inlineStr">
        <is>
          <t>逆5日线（收盘在5日线下，不追多）</t>
        </is>
      </c>
    </row>
    <row r="173">
      <c r="A173" t="inlineStr">
        <is>
          <t>2021-10-20</t>
        </is>
      </c>
      <c r="B173" t="inlineStr">
        <is>
          <t>棉花</t>
        </is>
      </c>
      <c r="C173" t="inlineStr">
        <is>
          <t>多</t>
        </is>
      </c>
      <c r="D173" t="n">
        <v>2</v>
      </c>
      <c r="E173" t="n">
        <v>5</v>
      </c>
      <c r="F173" t="inlineStr">
        <is>
          <t>观望</t>
        </is>
      </c>
      <c r="G173" t="n">
        <v>1</v>
      </c>
      <c r="H173" t="n">
        <v>21440</v>
      </c>
      <c r="I173" t="n">
        <v>18479.64</v>
      </c>
      <c r="J173" t="n">
        <v>2</v>
      </c>
      <c r="K173" t="inlineStr">
        <is>
          <t>逆5日线（收盘在5日线下，不追多）</t>
        </is>
      </c>
    </row>
    <row r="174">
      <c r="A174" t="inlineStr">
        <is>
          <t>2021-10-21</t>
        </is>
      </c>
      <c r="B174" t="inlineStr">
        <is>
          <t>豆粕</t>
        </is>
      </c>
      <c r="C174" t="inlineStr">
        <is>
          <t>空</t>
        </is>
      </c>
      <c r="D174" t="n">
        <v>2</v>
      </c>
      <c r="E174" t="n">
        <v>4</v>
      </c>
      <c r="F174" t="inlineStr">
        <is>
          <t>观望</t>
        </is>
      </c>
      <c r="G174" t="n">
        <v>5</v>
      </c>
      <c r="H174" t="n">
        <v>3254</v>
      </c>
      <c r="I174" t="n">
        <v>3424.79</v>
      </c>
      <c r="J174" t="n">
        <v>1</v>
      </c>
      <c r="K174" t="inlineStr">
        <is>
          <t>逆5日线（收盘在5日线上，不追空）</t>
        </is>
      </c>
    </row>
    <row r="175">
      <c r="A175" t="inlineStr">
        <is>
          <t>2021-10-21</t>
        </is>
      </c>
      <c r="B175" t="inlineStr">
        <is>
          <t>棉花</t>
        </is>
      </c>
      <c r="C175" t="inlineStr">
        <is>
          <t>空</t>
        </is>
      </c>
      <c r="D175" t="n">
        <v>2</v>
      </c>
      <c r="E175" t="n">
        <v>4</v>
      </c>
      <c r="F175" t="inlineStr">
        <is>
          <t>不做</t>
        </is>
      </c>
      <c r="H175" t="n">
        <v>21115</v>
      </c>
      <c r="J175" t="n">
        <v>1</v>
      </c>
      <c r="K175" t="inlineStr">
        <is>
          <t>1手风险15252元超过预算10000元</t>
        </is>
      </c>
    </row>
    <row r="176">
      <c r="A176" t="inlineStr">
        <is>
          <t>2021-10-22</t>
        </is>
      </c>
      <c r="B176" t="inlineStr">
        <is>
          <t>棉花</t>
        </is>
      </c>
      <c r="C176" t="inlineStr">
        <is>
          <t>多</t>
        </is>
      </c>
      <c r="D176" t="n">
        <v>3</v>
      </c>
      <c r="E176" t="n">
        <v>7</v>
      </c>
      <c r="F176" t="inlineStr">
        <is>
          <t>观望</t>
        </is>
      </c>
      <c r="H176" t="n">
        <v>21210</v>
      </c>
      <c r="J176" t="n">
        <v>1</v>
      </c>
      <c r="K176" t="inlineStr">
        <is>
          <t>逆5日线（收盘在5日线下，不追多）</t>
        </is>
      </c>
    </row>
    <row r="177">
      <c r="A177" t="inlineStr">
        <is>
          <t>2021-10-22</t>
        </is>
      </c>
      <c r="B177" t="inlineStr">
        <is>
          <t>玉米</t>
        </is>
      </c>
      <c r="C177" t="inlineStr">
        <is>
          <t>多</t>
        </is>
      </c>
      <c r="D177" t="n">
        <v>3</v>
      </c>
      <c r="E177" t="n">
        <v>6</v>
      </c>
      <c r="F177" t="inlineStr">
        <is>
          <t>影子仓</t>
        </is>
      </c>
      <c r="G177" t="n">
        <v>9</v>
      </c>
      <c r="H177" t="n">
        <v>2568</v>
      </c>
      <c r="I177" t="n">
        <v>2458.71</v>
      </c>
      <c r="J177" t="n">
        <v>1</v>
      </c>
      <c r="K177" t="inlineStr">
        <is>
          <t>凯利≤0，开1%影子仓（只统计，不计入组合）</t>
        </is>
      </c>
    </row>
    <row r="178">
      <c r="A178" t="inlineStr">
        <is>
          <t>2021-10-22</t>
        </is>
      </c>
      <c r="B178" t="inlineStr">
        <is>
          <t>豆粕</t>
        </is>
      </c>
      <c r="C178" t="inlineStr">
        <is>
          <t>空</t>
        </is>
      </c>
      <c r="D178" t="n">
        <v>2</v>
      </c>
      <c r="E178" t="n">
        <v>4</v>
      </c>
      <c r="F178" t="inlineStr">
        <is>
          <t>观望</t>
        </is>
      </c>
      <c r="G178" t="n">
        <v>5</v>
      </c>
      <c r="H178" t="n">
        <v>3278</v>
      </c>
      <c r="I178" t="n">
        <v>3451.79</v>
      </c>
      <c r="J178" t="n">
        <v>1</v>
      </c>
      <c r="K178" t="inlineStr">
        <is>
          <t>逆5日线（收盘在5日线上，不追空）</t>
        </is>
      </c>
    </row>
    <row r="179">
      <c r="A179" t="inlineStr">
        <is>
          <t>2021-10-22</t>
        </is>
      </c>
      <c r="B179" t="inlineStr">
        <is>
          <t>甲醇</t>
        </is>
      </c>
      <c r="C179" t="inlineStr">
        <is>
          <t>空</t>
        </is>
      </c>
      <c r="D179" t="n">
        <v>2</v>
      </c>
      <c r="E179" t="n">
        <v>4</v>
      </c>
      <c r="F179" t="inlineStr">
        <is>
          <t>影子仓</t>
        </is>
      </c>
      <c r="G179" t="n">
        <v>1</v>
      </c>
      <c r="H179" t="n">
        <v>3263</v>
      </c>
      <c r="I179" t="n">
        <v>4029.71</v>
      </c>
      <c r="J179" t="n">
        <v>1</v>
      </c>
      <c r="K179" t="inlineStr">
        <is>
          <t>凯利≤0，开1%影子仓（只统计，不计入组合）</t>
        </is>
      </c>
    </row>
    <row r="180">
      <c r="A180" t="inlineStr">
        <is>
          <t>2021-10-22</t>
        </is>
      </c>
      <c r="B180" t="inlineStr">
        <is>
          <t>聚丙烯</t>
        </is>
      </c>
      <c r="C180" t="inlineStr">
        <is>
          <t>空</t>
        </is>
      </c>
      <c r="D180" t="n">
        <v>2</v>
      </c>
      <c r="E180" t="n">
        <v>4</v>
      </c>
      <c r="F180" t="inlineStr">
        <is>
          <t>影子仓</t>
        </is>
      </c>
      <c r="G180" t="n">
        <v>1</v>
      </c>
      <c r="H180" t="n">
        <v>9023</v>
      </c>
      <c r="I180" t="n">
        <v>10291.36</v>
      </c>
      <c r="J180" t="n">
        <v>1</v>
      </c>
      <c r="K180" t="inlineStr">
        <is>
          <t>凯利≤0，开1%影子仓（只统计，不计入组合）</t>
        </is>
      </c>
    </row>
    <row r="181">
      <c r="A181" t="inlineStr">
        <is>
          <t>2021-10-22</t>
        </is>
      </c>
      <c r="B181" t="inlineStr">
        <is>
          <t>沪铜</t>
        </is>
      </c>
      <c r="C181" t="inlineStr">
        <is>
          <t>空</t>
        </is>
      </c>
      <c r="D181" t="n">
        <v>2</v>
      </c>
      <c r="E181" t="n">
        <v>4</v>
      </c>
      <c r="F181" t="inlineStr">
        <is>
          <t>不做</t>
        </is>
      </c>
      <c r="H181" t="n">
        <v>72390</v>
      </c>
      <c r="J181" t="n">
        <v>1</v>
      </c>
      <c r="K181" t="inlineStr">
        <is>
          <t>1手风险27825元超过预算10000元</t>
        </is>
      </c>
    </row>
    <row r="182">
      <c r="A182" t="inlineStr">
        <is>
          <t>2021-10-25</t>
        </is>
      </c>
      <c r="B182" t="inlineStr">
        <is>
          <t>棉花</t>
        </is>
      </c>
      <c r="C182" t="inlineStr">
        <is>
          <t>多</t>
        </is>
      </c>
      <c r="D182" t="n">
        <v>3</v>
      </c>
      <c r="E182" t="n">
        <v>7</v>
      </c>
      <c r="F182" t="inlineStr">
        <is>
          <t>不做</t>
        </is>
      </c>
      <c r="H182" t="n">
        <v>21495</v>
      </c>
      <c r="J182" t="n">
        <v>1</v>
      </c>
      <c r="K182" t="inlineStr">
        <is>
          <t>1手风险14796元超过预算10000元</t>
        </is>
      </c>
    </row>
    <row r="183">
      <c r="A183" t="inlineStr">
        <is>
          <t>2021-10-25</t>
        </is>
      </c>
      <c r="B183" t="inlineStr">
        <is>
          <t>PVC</t>
        </is>
      </c>
      <c r="C183" t="inlineStr">
        <is>
          <t>空</t>
        </is>
      </c>
      <c r="D183" t="n">
        <v>2</v>
      </c>
      <c r="E183" t="n">
        <v>5</v>
      </c>
      <c r="F183" t="inlineStr">
        <is>
          <t>不做</t>
        </is>
      </c>
      <c r="H183" t="n">
        <v>10195</v>
      </c>
      <c r="J183" t="n">
        <v>1</v>
      </c>
      <c r="K183" t="inlineStr">
        <is>
          <t>1手风险10902元超过预算10000元</t>
        </is>
      </c>
    </row>
    <row r="184">
      <c r="A184" t="inlineStr">
        <is>
          <t>2021-10-25</t>
        </is>
      </c>
      <c r="B184" t="inlineStr">
        <is>
          <t>聚丙烯</t>
        </is>
      </c>
      <c r="C184" t="inlineStr">
        <is>
          <t>空</t>
        </is>
      </c>
      <c r="D184" t="n">
        <v>2</v>
      </c>
      <c r="E184" t="n">
        <v>5</v>
      </c>
      <c r="F184" t="inlineStr">
        <is>
          <t>续持</t>
        </is>
      </c>
      <c r="G184" t="n">
        <v>1</v>
      </c>
      <c r="H184" t="n">
        <v>8852</v>
      </c>
      <c r="I184" t="n">
        <v>10079.79</v>
      </c>
      <c r="J184" t="n">
        <v>1</v>
      </c>
      <c r="K184" t="inlineStr">
        <is>
          <t>续持原仓（2021-10-22开）</t>
        </is>
      </c>
    </row>
    <row r="185">
      <c r="A185" t="inlineStr">
        <is>
          <t>2021-10-25</t>
        </is>
      </c>
      <c r="B185" t="inlineStr">
        <is>
          <t>豆粕</t>
        </is>
      </c>
      <c r="C185" t="inlineStr">
        <is>
          <t>多</t>
        </is>
      </c>
      <c r="D185" t="n">
        <v>2</v>
      </c>
      <c r="E185" t="n">
        <v>4</v>
      </c>
      <c r="F185" t="inlineStr">
        <is>
          <t>影子仓</t>
        </is>
      </c>
      <c r="G185" t="n">
        <v>5</v>
      </c>
      <c r="H185" t="n">
        <v>3289</v>
      </c>
      <c r="I185" t="n">
        <v>3112.43</v>
      </c>
      <c r="J185" t="n">
        <v>1</v>
      </c>
      <c r="K185" t="inlineStr">
        <is>
          <t>凯利≤0，开1%影子仓（只统计，不计入组合）</t>
        </is>
      </c>
    </row>
    <row r="186">
      <c r="A186" t="inlineStr">
        <is>
          <t>2021-10-25</t>
        </is>
      </c>
      <c r="B186" t="inlineStr">
        <is>
          <t>螺纹钢</t>
        </is>
      </c>
      <c r="C186" t="inlineStr">
        <is>
          <t>空</t>
        </is>
      </c>
      <c r="D186" t="n">
        <v>2</v>
      </c>
      <c r="E186" t="n">
        <v>4</v>
      </c>
      <c r="F186" t="inlineStr">
        <is>
          <t>影子仓</t>
        </is>
      </c>
      <c r="G186" t="n">
        <v>1</v>
      </c>
      <c r="H186" t="n">
        <v>4825</v>
      </c>
      <c r="I186" t="n">
        <v>5435.5</v>
      </c>
      <c r="J186" t="n">
        <v>1</v>
      </c>
      <c r="K186" t="inlineStr">
        <is>
          <t>凯利≤0，开1%影子仓（只统计，不计入组合）</t>
        </is>
      </c>
    </row>
    <row r="187">
      <c r="A187" t="inlineStr">
        <is>
          <t>2021-10-26</t>
        </is>
      </c>
      <c r="B187" t="inlineStr">
        <is>
          <t>棕榈油</t>
        </is>
      </c>
      <c r="C187" t="inlineStr">
        <is>
          <t>多</t>
        </is>
      </c>
      <c r="D187" t="n">
        <v>3</v>
      </c>
      <c r="E187" t="n">
        <v>6</v>
      </c>
      <c r="F187" t="inlineStr">
        <is>
          <t>不做</t>
        </is>
      </c>
      <c r="H187" t="n">
        <v>9702</v>
      </c>
      <c r="J187" t="n">
        <v>1</v>
      </c>
      <c r="K187" t="inlineStr">
        <is>
          <t>1手风险10333元超过预算10000元</t>
        </is>
      </c>
    </row>
    <row r="188">
      <c r="A188" t="inlineStr">
        <is>
          <t>2021-10-26</t>
        </is>
      </c>
      <c r="B188" t="inlineStr">
        <is>
          <t>热卷</t>
        </is>
      </c>
      <c r="C188" t="inlineStr">
        <is>
          <t>多</t>
        </is>
      </c>
      <c r="D188" t="n">
        <v>3</v>
      </c>
      <c r="E188" t="n">
        <v>6</v>
      </c>
      <c r="F188" t="inlineStr">
        <is>
          <t>观望</t>
        </is>
      </c>
      <c r="G188" t="n">
        <v>1</v>
      </c>
      <c r="H188" t="n">
        <v>5236</v>
      </c>
      <c r="I188" t="n">
        <v>4633.64</v>
      </c>
      <c r="J188" t="n">
        <v>1</v>
      </c>
      <c r="K188" t="inlineStr">
        <is>
          <t>逆5日线（收盘在5日线下，不追多）</t>
        </is>
      </c>
    </row>
    <row r="189">
      <c r="A189" t="inlineStr">
        <is>
          <t>2021-10-26</t>
        </is>
      </c>
      <c r="B189" t="inlineStr">
        <is>
          <t>豆粕</t>
        </is>
      </c>
      <c r="C189" t="inlineStr">
        <is>
          <t>空</t>
        </is>
      </c>
      <c r="D189" t="n">
        <v>2</v>
      </c>
      <c r="E189" t="n">
        <v>5</v>
      </c>
      <c r="F189" t="inlineStr">
        <is>
          <t>观望</t>
        </is>
      </c>
      <c r="G189" t="n">
        <v>5</v>
      </c>
      <c r="H189" t="n">
        <v>3270</v>
      </c>
      <c r="I189" t="n">
        <v>3448.29</v>
      </c>
      <c r="J189" t="n">
        <v>1</v>
      </c>
      <c r="K189" t="inlineStr">
        <is>
          <t>逆5日线（收盘在5日线上，不追空）</t>
        </is>
      </c>
    </row>
    <row r="190">
      <c r="A190" t="inlineStr">
        <is>
          <t>2021-10-26</t>
        </is>
      </c>
      <c r="B190" t="inlineStr">
        <is>
          <t>棉花</t>
        </is>
      </c>
      <c r="C190" t="inlineStr">
        <is>
          <t>多</t>
        </is>
      </c>
      <c r="D190" t="n">
        <v>2</v>
      </c>
      <c r="E190" t="n">
        <v>5</v>
      </c>
      <c r="F190" t="inlineStr">
        <is>
          <t>观望</t>
        </is>
      </c>
      <c r="H190" t="n">
        <v>21190</v>
      </c>
      <c r="J190" t="n">
        <v>1</v>
      </c>
      <c r="K190" t="inlineStr">
        <is>
          <t>逆5日线（收盘在5日线下，不追多）</t>
        </is>
      </c>
    </row>
    <row r="191">
      <c r="A191" t="inlineStr">
        <is>
          <t>2021-10-26</t>
        </is>
      </c>
      <c r="B191" t="inlineStr">
        <is>
          <t>甲醇</t>
        </is>
      </c>
      <c r="C191" t="inlineStr">
        <is>
          <t>空</t>
        </is>
      </c>
      <c r="D191" t="n">
        <v>2</v>
      </c>
      <c r="E191" t="n">
        <v>5</v>
      </c>
      <c r="F191" t="inlineStr">
        <is>
          <t>影子仓</t>
        </is>
      </c>
      <c r="G191" t="n">
        <v>1</v>
      </c>
      <c r="H191" t="n">
        <v>3177</v>
      </c>
      <c r="I191" t="n">
        <v>3948</v>
      </c>
      <c r="J191" t="n">
        <v>1</v>
      </c>
      <c r="K191" t="inlineStr">
        <is>
          <t>凯利≤0，开1%影子仓（只统计，不计入组合）</t>
        </is>
      </c>
    </row>
    <row r="192">
      <c r="A192" t="inlineStr">
        <is>
          <t>2021-10-26</t>
        </is>
      </c>
      <c r="B192" t="inlineStr">
        <is>
          <t>白糖</t>
        </is>
      </c>
      <c r="C192" t="inlineStr">
        <is>
          <t>多</t>
        </is>
      </c>
      <c r="D192" t="n">
        <v>2</v>
      </c>
      <c r="E192" t="n">
        <v>5</v>
      </c>
      <c r="F192" t="inlineStr">
        <is>
          <t>影子仓</t>
        </is>
      </c>
      <c r="G192" t="n">
        <v>3</v>
      </c>
      <c r="H192" t="n">
        <v>5929</v>
      </c>
      <c r="I192" t="n">
        <v>5626.43</v>
      </c>
      <c r="J192" t="n">
        <v>1</v>
      </c>
      <c r="K192" t="inlineStr">
        <is>
          <t>凯利≤0，开1%影子仓（只统计，不计入组合）</t>
        </is>
      </c>
    </row>
    <row r="193">
      <c r="A193" t="inlineStr">
        <is>
          <t>2021-10-27</t>
        </is>
      </c>
      <c r="B193" t="inlineStr">
        <is>
          <t>沪铝</t>
        </is>
      </c>
      <c r="C193" t="inlineStr">
        <is>
          <t>空</t>
        </is>
      </c>
      <c r="D193" t="n">
        <v>3</v>
      </c>
      <c r="E193" t="n">
        <v>6</v>
      </c>
      <c r="F193" t="inlineStr">
        <is>
          <t>不做</t>
        </is>
      </c>
      <c r="H193" t="n">
        <v>20135</v>
      </c>
      <c r="J193" t="n">
        <v>1</v>
      </c>
      <c r="K193" t="inlineStr">
        <is>
          <t>1手风险15862元超过预算10000元</t>
        </is>
      </c>
    </row>
    <row r="194">
      <c r="A194" t="inlineStr">
        <is>
          <t>2021-10-27</t>
        </is>
      </c>
      <c r="B194" t="inlineStr">
        <is>
          <t>豆油</t>
        </is>
      </c>
      <c r="C194" t="inlineStr">
        <is>
          <t>多</t>
        </is>
      </c>
      <c r="D194" t="n">
        <v>2</v>
      </c>
      <c r="E194" t="n">
        <v>5</v>
      </c>
      <c r="F194" t="inlineStr">
        <is>
          <t>观望</t>
        </is>
      </c>
      <c r="H194" t="n">
        <v>9896</v>
      </c>
      <c r="J194" t="n">
        <v>0.23</v>
      </c>
      <c r="K194" t="inlineStr">
        <is>
          <t>逆5日线（收盘在5日线下，不追多）</t>
        </is>
      </c>
    </row>
    <row r="195">
      <c r="A195" t="inlineStr">
        <is>
          <t>2021-10-27</t>
        </is>
      </c>
      <c r="B195" t="inlineStr">
        <is>
          <t>沪铜</t>
        </is>
      </c>
      <c r="C195" t="inlineStr">
        <is>
          <t>空</t>
        </is>
      </c>
      <c r="D195" t="n">
        <v>2</v>
      </c>
      <c r="E195" t="n">
        <v>4</v>
      </c>
      <c r="F195" t="inlineStr">
        <is>
          <t>不做</t>
        </is>
      </c>
      <c r="H195" t="n">
        <v>70560</v>
      </c>
      <c r="J195" t="n">
        <v>0.23</v>
      </c>
      <c r="K195" t="inlineStr">
        <is>
          <t>¼凯利</t>
        </is>
      </c>
    </row>
    <row r="196">
      <c r="A196" t="inlineStr">
        <is>
          <t>2021-10-28</t>
        </is>
      </c>
      <c r="B196" t="inlineStr">
        <is>
          <t>棕榈油</t>
        </is>
      </c>
      <c r="C196" t="inlineStr">
        <is>
          <t>多</t>
        </is>
      </c>
      <c r="D196" t="n">
        <v>2</v>
      </c>
      <c r="E196" t="n">
        <v>4</v>
      </c>
      <c r="F196" t="inlineStr">
        <is>
          <t>观望</t>
        </is>
      </c>
      <c r="H196" t="n">
        <v>9442</v>
      </c>
      <c r="J196" t="n">
        <v>0.47</v>
      </c>
      <c r="K196" t="inlineStr">
        <is>
          <t>逆5日线（收盘在5日线下，不追多）</t>
        </is>
      </c>
    </row>
    <row r="197">
      <c r="A197" t="inlineStr">
        <is>
          <t>2021-10-28</t>
        </is>
      </c>
      <c r="B197" t="inlineStr">
        <is>
          <t>螺纹钢</t>
        </is>
      </c>
      <c r="C197" t="inlineStr">
        <is>
          <t>空</t>
        </is>
      </c>
      <c r="D197" t="n">
        <v>2</v>
      </c>
      <c r="E197" t="n">
        <v>4</v>
      </c>
      <c r="F197" t="inlineStr">
        <is>
          <t>不做</t>
        </is>
      </c>
      <c r="H197" t="n">
        <v>4712</v>
      </c>
      <c r="J197" t="n">
        <v>0.47</v>
      </c>
      <c r="K197" t="inlineStr">
        <is>
          <t>1手风险7209元超过预算4700元</t>
        </is>
      </c>
    </row>
    <row r="198">
      <c r="A198" t="inlineStr">
        <is>
          <t>2021-10-28</t>
        </is>
      </c>
      <c r="B198" t="inlineStr">
        <is>
          <t>沪锌</t>
        </is>
      </c>
      <c r="C198" t="inlineStr">
        <is>
          <t>空</t>
        </is>
      </c>
      <c r="D198" t="n">
        <v>2</v>
      </c>
      <c r="E198" t="n">
        <v>4</v>
      </c>
      <c r="F198" t="inlineStr">
        <is>
          <t>不做</t>
        </is>
      </c>
      <c r="H198" t="n">
        <v>23860</v>
      </c>
      <c r="J198" t="n">
        <v>0.47</v>
      </c>
      <c r="K198" t="inlineStr">
        <is>
          <t>1手风险15954元超过预算4700元</t>
        </is>
      </c>
    </row>
    <row r="199">
      <c r="A199" t="inlineStr">
        <is>
          <t>2021-10-28</t>
        </is>
      </c>
      <c r="B199" t="inlineStr">
        <is>
          <t>豆油</t>
        </is>
      </c>
      <c r="C199" t="inlineStr">
        <is>
          <t>多</t>
        </is>
      </c>
      <c r="D199" t="n">
        <v>2</v>
      </c>
      <c r="E199" t="n">
        <v>4</v>
      </c>
      <c r="F199" t="inlineStr">
        <is>
          <t>观望</t>
        </is>
      </c>
      <c r="H199" t="n">
        <v>9772</v>
      </c>
      <c r="J199" t="n">
        <v>0.47</v>
      </c>
      <c r="K199" t="inlineStr">
        <is>
          <t>逆5日线（收盘在5日线下，不追多）</t>
        </is>
      </c>
    </row>
    <row r="200">
      <c r="A200" t="inlineStr">
        <is>
          <t>2021-10-28</t>
        </is>
      </c>
      <c r="B200" t="inlineStr">
        <is>
          <t>PTA</t>
        </is>
      </c>
      <c r="C200" t="inlineStr">
        <is>
          <t>空</t>
        </is>
      </c>
      <c r="D200" t="n">
        <v>2</v>
      </c>
      <c r="E200" t="n">
        <v>4</v>
      </c>
      <c r="F200" t="inlineStr">
        <is>
          <t>开仓</t>
        </is>
      </c>
      <c r="G200" t="n">
        <v>1</v>
      </c>
      <c r="H200" t="n">
        <v>5204</v>
      </c>
      <c r="I200" t="n">
        <v>5839.57</v>
      </c>
      <c r="J200" t="n">
        <v>0.47</v>
      </c>
      <c r="K200" t="inlineStr">
        <is>
          <t>¼凯利</t>
        </is>
      </c>
    </row>
    <row r="201">
      <c r="A201" t="inlineStr">
        <is>
          <t>2021-10-29</t>
        </is>
      </c>
      <c r="B201" t="inlineStr">
        <is>
          <t>螺纹钢</t>
        </is>
      </c>
      <c r="C201" t="inlineStr">
        <is>
          <t>空</t>
        </is>
      </c>
      <c r="D201" t="n">
        <v>3</v>
      </c>
      <c r="E201" t="n">
        <v>7</v>
      </c>
      <c r="F201" t="inlineStr">
        <is>
          <t>影子仓</t>
        </is>
      </c>
      <c r="G201" t="n">
        <v>1</v>
      </c>
      <c r="H201" t="n">
        <v>4646</v>
      </c>
      <c r="I201" t="n">
        <v>5385.07</v>
      </c>
      <c r="J201" t="n">
        <v>1</v>
      </c>
      <c r="K201" t="inlineStr">
        <is>
          <t>凯利≤0，开1%影子仓（只统计，不计入组合）</t>
        </is>
      </c>
    </row>
    <row r="202">
      <c r="A202" t="inlineStr">
        <is>
          <t>2021-10-29</t>
        </is>
      </c>
      <c r="B202" t="inlineStr">
        <is>
          <t>棕榈油</t>
        </is>
      </c>
      <c r="C202" t="inlineStr">
        <is>
          <t>多</t>
        </is>
      </c>
      <c r="D202" t="n">
        <v>3</v>
      </c>
      <c r="E202" t="n">
        <v>6</v>
      </c>
      <c r="F202" t="inlineStr">
        <is>
          <t>影子仓</t>
        </is>
      </c>
      <c r="G202" t="n">
        <v>1</v>
      </c>
      <c r="H202" t="n">
        <v>9770</v>
      </c>
      <c r="I202" t="n">
        <v>8780.860000000001</v>
      </c>
      <c r="J202" t="n">
        <v>1</v>
      </c>
      <c r="K202" t="inlineStr">
        <is>
          <t>凯利≤0，开1%影子仓（只统计，不计入组合）</t>
        </is>
      </c>
    </row>
    <row r="203">
      <c r="A203" t="inlineStr">
        <is>
          <t>2021-10-29</t>
        </is>
      </c>
      <c r="B203" t="inlineStr">
        <is>
          <t>豆油</t>
        </is>
      </c>
      <c r="C203" t="inlineStr">
        <is>
          <t>多</t>
        </is>
      </c>
      <c r="D203" t="n">
        <v>3</v>
      </c>
      <c r="E203" t="n">
        <v>6</v>
      </c>
      <c r="F203" t="inlineStr">
        <is>
          <t>影子仓</t>
        </is>
      </c>
      <c r="G203" t="n">
        <v>1</v>
      </c>
      <c r="H203" t="n">
        <v>9984</v>
      </c>
      <c r="I203" t="n">
        <v>9199.290000000001</v>
      </c>
      <c r="J203" t="n">
        <v>1</v>
      </c>
      <c r="K203" t="inlineStr">
        <is>
          <t>凯利≤0，开1%影子仓（只统计，不计入组合）</t>
        </is>
      </c>
    </row>
    <row r="204">
      <c r="A204" t="inlineStr">
        <is>
          <t>2021-10-29</t>
        </is>
      </c>
      <c r="B204" t="inlineStr">
        <is>
          <t>沪铝</t>
        </is>
      </c>
      <c r="C204" t="inlineStr">
        <is>
          <t>空</t>
        </is>
      </c>
      <c r="D204" t="n">
        <v>3</v>
      </c>
      <c r="E204" t="n">
        <v>6</v>
      </c>
      <c r="F204" t="inlineStr">
        <is>
          <t>不做</t>
        </is>
      </c>
      <c r="H204" t="n">
        <v>19870</v>
      </c>
      <c r="J204" t="n">
        <v>1</v>
      </c>
      <c r="K204" t="inlineStr">
        <is>
          <t>1手风险16730元超过预算10000元</t>
        </is>
      </c>
    </row>
    <row r="205">
      <c r="A205" t="inlineStr">
        <is>
          <t>2021-10-29</t>
        </is>
      </c>
      <c r="B205" t="inlineStr">
        <is>
          <t>棉花</t>
        </is>
      </c>
      <c r="C205" t="inlineStr">
        <is>
          <t>空</t>
        </is>
      </c>
      <c r="D205" t="n">
        <v>3</v>
      </c>
      <c r="E205" t="n">
        <v>6</v>
      </c>
      <c r="F205" t="inlineStr">
        <is>
          <t>观望</t>
        </is>
      </c>
      <c r="H205" t="n">
        <v>21345</v>
      </c>
      <c r="J205" t="n">
        <v>1</v>
      </c>
      <c r="K205" t="inlineStr">
        <is>
          <t>逆5日线（收盘在5日线上，不追空）</t>
        </is>
      </c>
    </row>
    <row r="206">
      <c r="A206" t="inlineStr">
        <is>
          <t>2021-10-29</t>
        </is>
      </c>
      <c r="B206" t="inlineStr">
        <is>
          <t>豆粕</t>
        </is>
      </c>
      <c r="C206" t="inlineStr">
        <is>
          <t>空</t>
        </is>
      </c>
      <c r="D206" t="n">
        <v>2</v>
      </c>
      <c r="E206" t="n">
        <v>5</v>
      </c>
      <c r="F206" t="inlineStr">
        <is>
          <t>影子仓</t>
        </is>
      </c>
      <c r="G206" t="n">
        <v>6</v>
      </c>
      <c r="H206" t="n">
        <v>3233</v>
      </c>
      <c r="I206" t="n">
        <v>3391.79</v>
      </c>
      <c r="J206" t="n">
        <v>1</v>
      </c>
      <c r="K206" t="inlineStr">
        <is>
          <t>凯利≤0，开1%影子仓（只统计，不计入组合）</t>
        </is>
      </c>
    </row>
    <row r="207">
      <c r="A207" t="inlineStr">
        <is>
          <t>2021-10-29</t>
        </is>
      </c>
      <c r="B207" t="inlineStr">
        <is>
          <t>塑料</t>
        </is>
      </c>
      <c r="C207" t="inlineStr">
        <is>
          <t>空</t>
        </is>
      </c>
      <c r="D207" t="n">
        <v>2</v>
      </c>
      <c r="E207" t="n">
        <v>4</v>
      </c>
      <c r="F207" t="inlineStr">
        <is>
          <t>影子仓</t>
        </is>
      </c>
      <c r="G207" t="n">
        <v>1</v>
      </c>
      <c r="H207" t="n">
        <v>8765</v>
      </c>
      <c r="I207" t="n">
        <v>9771.07</v>
      </c>
      <c r="J207" t="n">
        <v>1</v>
      </c>
      <c r="K207" t="inlineStr">
        <is>
          <t>凯利≤0，开1%影子仓（只统计，不计入组合）</t>
        </is>
      </c>
    </row>
    <row r="208">
      <c r="A208" t="inlineStr">
        <is>
          <t>2021-11-01</t>
        </is>
      </c>
      <c r="B208" t="inlineStr">
        <is>
          <t>螺纹钢</t>
        </is>
      </c>
      <c r="C208" t="inlineStr">
        <is>
          <t>空</t>
        </is>
      </c>
      <c r="D208" t="n">
        <v>3</v>
      </c>
      <c r="E208" t="n">
        <v>7</v>
      </c>
      <c r="F208" t="inlineStr">
        <is>
          <t>续持</t>
        </is>
      </c>
      <c r="G208" t="n">
        <v>1</v>
      </c>
      <c r="H208" t="n">
        <v>4509</v>
      </c>
      <c r="I208" t="n">
        <v>5209.86</v>
      </c>
      <c r="J208" t="n">
        <v>1</v>
      </c>
      <c r="K208" t="inlineStr">
        <is>
          <t>续持原仓（2021-10-29开）</t>
        </is>
      </c>
    </row>
    <row r="209">
      <c r="A209" t="inlineStr">
        <is>
          <t>2021-11-01</t>
        </is>
      </c>
      <c r="B209" t="inlineStr">
        <is>
          <t>豆粕</t>
        </is>
      </c>
      <c r="C209" t="inlineStr">
        <is>
          <t>空</t>
        </is>
      </c>
      <c r="D209" t="n">
        <v>3</v>
      </c>
      <c r="E209" t="n">
        <v>6</v>
      </c>
      <c r="F209" t="inlineStr">
        <is>
          <t>续持</t>
        </is>
      </c>
      <c r="G209" t="n">
        <v>6</v>
      </c>
      <c r="H209" t="n">
        <v>3159</v>
      </c>
      <c r="I209" t="n">
        <v>3313</v>
      </c>
      <c r="J209" t="n">
        <v>1</v>
      </c>
      <c r="K209" t="inlineStr">
        <is>
          <t>续持原仓（2021-10-29开）</t>
        </is>
      </c>
    </row>
    <row r="210">
      <c r="A210" t="inlineStr">
        <is>
          <t>2021-11-01</t>
        </is>
      </c>
      <c r="B210" t="inlineStr">
        <is>
          <t>棕榈油</t>
        </is>
      </c>
      <c r="C210" t="inlineStr">
        <is>
          <t>多</t>
        </is>
      </c>
      <c r="D210" t="n">
        <v>2</v>
      </c>
      <c r="E210" t="n">
        <v>5</v>
      </c>
      <c r="F210" t="inlineStr">
        <is>
          <t>观望</t>
        </is>
      </c>
      <c r="G210" t="n">
        <v>1</v>
      </c>
      <c r="H210" t="n">
        <v>9574</v>
      </c>
      <c r="I210" t="n">
        <v>8592.57</v>
      </c>
      <c r="J210" t="n">
        <v>1</v>
      </c>
      <c r="K210" t="inlineStr">
        <is>
          <t>逆5日线（收盘在5日线下，不追多）</t>
        </is>
      </c>
    </row>
    <row r="211">
      <c r="A211" t="inlineStr">
        <is>
          <t>2021-11-01</t>
        </is>
      </c>
      <c r="B211" t="inlineStr">
        <is>
          <t>PVC</t>
        </is>
      </c>
      <c r="C211" t="inlineStr">
        <is>
          <t>空</t>
        </is>
      </c>
      <c r="D211" t="n">
        <v>2</v>
      </c>
      <c r="E211" t="n">
        <v>5</v>
      </c>
      <c r="F211" t="inlineStr">
        <is>
          <t>不做</t>
        </is>
      </c>
      <c r="H211" t="n">
        <v>9048</v>
      </c>
      <c r="J211" t="n">
        <v>1</v>
      </c>
      <c r="K211" t="inlineStr">
        <is>
          <t>1手风险10992元超过预算10000元</t>
        </is>
      </c>
    </row>
    <row r="212">
      <c r="A212" t="inlineStr">
        <is>
          <t>2021-11-01</t>
        </is>
      </c>
      <c r="B212" t="inlineStr">
        <is>
          <t>沪铝</t>
        </is>
      </c>
      <c r="C212" t="inlineStr">
        <is>
          <t>空</t>
        </is>
      </c>
      <c r="D212" t="n">
        <v>2</v>
      </c>
      <c r="E212" t="n">
        <v>5</v>
      </c>
      <c r="F212" t="inlineStr">
        <is>
          <t>不做</t>
        </is>
      </c>
      <c r="H212" t="n">
        <v>20025</v>
      </c>
      <c r="J212" t="n">
        <v>1</v>
      </c>
      <c r="K212" t="inlineStr">
        <is>
          <t>1手风险17121元超过预算10000元</t>
        </is>
      </c>
    </row>
    <row r="213">
      <c r="A213" t="inlineStr">
        <is>
          <t>2021-11-01</t>
        </is>
      </c>
      <c r="B213" t="inlineStr">
        <is>
          <t>沪铜</t>
        </is>
      </c>
      <c r="C213" t="inlineStr">
        <is>
          <t>空</t>
        </is>
      </c>
      <c r="D213" t="n">
        <v>2</v>
      </c>
      <c r="E213" t="n">
        <v>5</v>
      </c>
      <c r="F213" t="inlineStr">
        <is>
          <t>不做</t>
        </is>
      </c>
      <c r="H213" t="n">
        <v>70140</v>
      </c>
      <c r="J213" t="n">
        <v>1</v>
      </c>
      <c r="K213" t="inlineStr">
        <is>
          <t>1手风险29014元超过预算10000元</t>
        </is>
      </c>
    </row>
    <row r="214">
      <c r="A214" t="inlineStr">
        <is>
          <t>2021-11-02</t>
        </is>
      </c>
      <c r="B214" t="inlineStr">
        <is>
          <t>棕榈油</t>
        </is>
      </c>
      <c r="C214" t="inlineStr">
        <is>
          <t>多</t>
        </is>
      </c>
      <c r="D214" t="n">
        <v>3</v>
      </c>
      <c r="E214" t="n">
        <v>6</v>
      </c>
      <c r="F214" t="inlineStr">
        <is>
          <t>续持</t>
        </is>
      </c>
      <c r="G214" t="n">
        <v>1</v>
      </c>
      <c r="H214" t="n">
        <v>9686</v>
      </c>
      <c r="I214" t="n">
        <v>8865.139999999999</v>
      </c>
      <c r="J214" t="n">
        <v>1</v>
      </c>
      <c r="K214" t="inlineStr">
        <is>
          <t>续持原仓（2021-10-29开）</t>
        </is>
      </c>
    </row>
    <row r="215">
      <c r="A215" t="inlineStr">
        <is>
          <t>2021-11-02</t>
        </is>
      </c>
      <c r="B215" t="inlineStr">
        <is>
          <t>塑料</t>
        </is>
      </c>
      <c r="C215" t="inlineStr">
        <is>
          <t>空</t>
        </is>
      </c>
      <c r="D215" t="n">
        <v>3</v>
      </c>
      <c r="E215" t="n">
        <v>6</v>
      </c>
      <c r="F215" t="inlineStr">
        <is>
          <t>续持</t>
        </is>
      </c>
      <c r="G215" t="n">
        <v>1</v>
      </c>
      <c r="H215" t="n">
        <v>8668</v>
      </c>
      <c r="I215" t="n">
        <v>9444.290000000001</v>
      </c>
      <c r="J215" t="n">
        <v>1</v>
      </c>
      <c r="K215" t="inlineStr">
        <is>
          <t>续持原仓（2021-10-29开）</t>
        </is>
      </c>
    </row>
    <row r="216">
      <c r="A216" t="inlineStr">
        <is>
          <t>2021-11-02</t>
        </is>
      </c>
      <c r="B216" t="inlineStr">
        <is>
          <t>豆油</t>
        </is>
      </c>
      <c r="C216" t="inlineStr">
        <is>
          <t>多</t>
        </is>
      </c>
      <c r="D216" t="n">
        <v>3</v>
      </c>
      <c r="E216" t="n">
        <v>6</v>
      </c>
      <c r="F216" t="inlineStr">
        <is>
          <t>不做</t>
        </is>
      </c>
      <c r="H216" t="n">
        <v>9886</v>
      </c>
      <c r="J216" t="n">
        <v>0.03</v>
      </c>
      <c r="K216" t="inlineStr">
        <is>
          <t>¼凯利</t>
        </is>
      </c>
    </row>
    <row r="217">
      <c r="A217" t="inlineStr">
        <is>
          <t>2021-11-02</t>
        </is>
      </c>
      <c r="B217" t="inlineStr">
        <is>
          <t>沪锌</t>
        </is>
      </c>
      <c r="C217" t="inlineStr">
        <is>
          <t>空</t>
        </is>
      </c>
      <c r="D217" t="n">
        <v>3</v>
      </c>
      <c r="E217" t="n">
        <v>6</v>
      </c>
      <c r="F217" t="inlineStr">
        <is>
          <t>不做</t>
        </is>
      </c>
      <c r="H217" t="n">
        <v>23605</v>
      </c>
      <c r="J217" t="n">
        <v>0.03</v>
      </c>
      <c r="K217" t="inlineStr">
        <is>
          <t>¼凯利</t>
        </is>
      </c>
    </row>
    <row r="218">
      <c r="A218" t="inlineStr">
        <is>
          <t>2021-11-02</t>
        </is>
      </c>
      <c r="B218" t="inlineStr">
        <is>
          <t>PVC</t>
        </is>
      </c>
      <c r="C218" t="inlineStr">
        <is>
          <t>空</t>
        </is>
      </c>
      <c r="D218" t="n">
        <v>2</v>
      </c>
      <c r="E218" t="n">
        <v>5</v>
      </c>
      <c r="F218" t="inlineStr">
        <is>
          <t>不做</t>
        </is>
      </c>
      <c r="H218" t="n">
        <v>8673</v>
      </c>
      <c r="J218" t="n">
        <v>1</v>
      </c>
      <c r="K218" t="inlineStr">
        <is>
          <t>1手风险10580元超过预算10000元</t>
        </is>
      </c>
    </row>
    <row r="219">
      <c r="A219" t="inlineStr">
        <is>
          <t>2021-11-02</t>
        </is>
      </c>
      <c r="B219" t="inlineStr">
        <is>
          <t>豆粕</t>
        </is>
      </c>
      <c r="C219" t="inlineStr">
        <is>
          <t>空</t>
        </is>
      </c>
      <c r="D219" t="n">
        <v>2</v>
      </c>
      <c r="E219" t="n">
        <v>5</v>
      </c>
      <c r="F219" t="inlineStr">
        <is>
          <t>续持</t>
        </is>
      </c>
      <c r="G219" t="n">
        <v>6</v>
      </c>
      <c r="H219" t="n">
        <v>3143</v>
      </c>
      <c r="I219" t="n">
        <v>3297.43</v>
      </c>
      <c r="J219" t="n">
        <v>1</v>
      </c>
      <c r="K219" t="inlineStr">
        <is>
          <t>续持原仓（2021-10-29开）</t>
        </is>
      </c>
    </row>
    <row r="220">
      <c r="A220" t="inlineStr">
        <is>
          <t>2021-11-02</t>
        </is>
      </c>
      <c r="B220" t="inlineStr">
        <is>
          <t>白糖</t>
        </is>
      </c>
      <c r="C220" t="inlineStr">
        <is>
          <t>多</t>
        </is>
      </c>
      <c r="D220" t="n">
        <v>2</v>
      </c>
      <c r="E220" t="n">
        <v>4</v>
      </c>
      <c r="F220" t="inlineStr">
        <is>
          <t>影子仓</t>
        </is>
      </c>
      <c r="G220" t="n">
        <v>3</v>
      </c>
      <c r="H220" t="n">
        <v>5984</v>
      </c>
      <c r="I220" t="n">
        <v>5669</v>
      </c>
      <c r="J220" t="n">
        <v>1</v>
      </c>
      <c r="K220" t="inlineStr">
        <is>
          <t>凯利≤0，开1%影子仓（只统计，不计入组合）</t>
        </is>
      </c>
    </row>
    <row r="221">
      <c r="A221" t="inlineStr">
        <is>
          <t>2021-11-02</t>
        </is>
      </c>
      <c r="B221" t="inlineStr">
        <is>
          <t>聚丙烯</t>
        </is>
      </c>
      <c r="C221" t="inlineStr">
        <is>
          <t>空</t>
        </is>
      </c>
      <c r="D221" t="n">
        <v>2</v>
      </c>
      <c r="E221" t="n">
        <v>4</v>
      </c>
      <c r="F221" t="inlineStr">
        <is>
          <t>影子仓</t>
        </is>
      </c>
      <c r="G221" t="n">
        <v>2</v>
      </c>
      <c r="H221" t="n">
        <v>8550</v>
      </c>
      <c r="I221" t="n">
        <v>9489.639999999999</v>
      </c>
      <c r="J221" t="n">
        <v>1</v>
      </c>
      <c r="K221" t="inlineStr">
        <is>
          <t>凯利≤0，开1%影子仓（只统计，不计入组合）</t>
        </is>
      </c>
    </row>
    <row r="222">
      <c r="A222" t="inlineStr">
        <is>
          <t>2021-11-03</t>
        </is>
      </c>
      <c r="B222" t="inlineStr">
        <is>
          <t>棕榈油</t>
        </is>
      </c>
      <c r="C222" t="inlineStr">
        <is>
          <t>多</t>
        </is>
      </c>
      <c r="D222" t="n">
        <v>3</v>
      </c>
      <c r="E222" t="n">
        <v>6</v>
      </c>
      <c r="F222" t="inlineStr">
        <is>
          <t>续持</t>
        </is>
      </c>
      <c r="G222" t="n">
        <v>1</v>
      </c>
      <c r="H222" t="n">
        <v>9940</v>
      </c>
      <c r="I222" t="n">
        <v>9026.57</v>
      </c>
      <c r="J222" t="n">
        <v>1</v>
      </c>
      <c r="K222" t="inlineStr">
        <is>
          <t>续持原仓（2021-10-29开）</t>
        </is>
      </c>
    </row>
    <row r="223">
      <c r="A223" t="inlineStr">
        <is>
          <t>2021-11-03</t>
        </is>
      </c>
      <c r="B223" t="inlineStr">
        <is>
          <t>螺纹钢</t>
        </is>
      </c>
      <c r="C223" t="inlineStr">
        <is>
          <t>空</t>
        </is>
      </c>
      <c r="D223" t="n">
        <v>2</v>
      </c>
      <c r="E223" t="n">
        <v>5</v>
      </c>
      <c r="F223" t="inlineStr">
        <is>
          <t>影子仓</t>
        </is>
      </c>
      <c r="G223" t="n">
        <v>1</v>
      </c>
      <c r="H223" t="n">
        <v>4385</v>
      </c>
      <c r="I223" t="n">
        <v>5136.5</v>
      </c>
      <c r="J223" t="n">
        <v>1</v>
      </c>
      <c r="K223" t="inlineStr">
        <is>
          <t>凯利≤0，开1%影子仓（只统计，不计入组合）</t>
        </is>
      </c>
    </row>
    <row r="224">
      <c r="A224" t="inlineStr">
        <is>
          <t>2021-11-03</t>
        </is>
      </c>
      <c r="B224" t="inlineStr">
        <is>
          <t>白糖</t>
        </is>
      </c>
      <c r="C224" t="inlineStr">
        <is>
          <t>多</t>
        </is>
      </c>
      <c r="D224" t="n">
        <v>2</v>
      </c>
      <c r="E224" t="n">
        <v>5</v>
      </c>
      <c r="F224" t="inlineStr">
        <is>
          <t>观望</t>
        </is>
      </c>
      <c r="G224" t="n">
        <v>3</v>
      </c>
      <c r="H224" t="n">
        <v>5941</v>
      </c>
      <c r="I224" t="n">
        <v>5623.64</v>
      </c>
      <c r="J224" t="n">
        <v>1</v>
      </c>
      <c r="K224" t="inlineStr">
        <is>
          <t>逆5日线（收盘在5日线下，不追多）</t>
        </is>
      </c>
    </row>
    <row r="225">
      <c r="A225" t="inlineStr">
        <is>
          <t>2021-11-04</t>
        </is>
      </c>
      <c r="B225" t="inlineStr">
        <is>
          <t>纯碱</t>
        </is>
      </c>
      <c r="C225" t="inlineStr">
        <is>
          <t>空</t>
        </is>
      </c>
      <c r="D225" t="n">
        <v>3</v>
      </c>
      <c r="E225" t="n">
        <v>7</v>
      </c>
      <c r="F225" t="inlineStr">
        <is>
          <t>不做</t>
        </is>
      </c>
      <c r="H225" t="n">
        <v>2638</v>
      </c>
      <c r="J225" t="n">
        <v>0.9</v>
      </c>
      <c r="K225" t="inlineStr">
        <is>
          <t>1手风险13243元超过预算9000元</t>
        </is>
      </c>
    </row>
    <row r="226">
      <c r="A226" t="inlineStr">
        <is>
          <t>2021-11-04</t>
        </is>
      </c>
      <c r="B226" t="inlineStr">
        <is>
          <t>铁矿石</t>
        </is>
      </c>
      <c r="C226" t="inlineStr">
        <is>
          <t>空</t>
        </is>
      </c>
      <c r="D226" t="n">
        <v>3</v>
      </c>
      <c r="E226" t="n">
        <v>6</v>
      </c>
      <c r="F226" t="inlineStr">
        <is>
          <t>不做</t>
        </is>
      </c>
      <c r="H226" t="n">
        <v>582.5</v>
      </c>
      <c r="J226" t="n">
        <v>0.9</v>
      </c>
      <c r="K226" t="inlineStr">
        <is>
          <t>1手风险13929元超过预算9000元</t>
        </is>
      </c>
    </row>
    <row r="227">
      <c r="A227" t="inlineStr">
        <is>
          <t>2021-11-04</t>
        </is>
      </c>
      <c r="B227" t="inlineStr">
        <is>
          <t>沪铜</t>
        </is>
      </c>
      <c r="C227" t="inlineStr">
        <is>
          <t>空</t>
        </is>
      </c>
      <c r="D227" t="n">
        <v>3</v>
      </c>
      <c r="E227" t="n">
        <v>6</v>
      </c>
      <c r="F227" t="inlineStr">
        <is>
          <t>不做</t>
        </is>
      </c>
      <c r="H227" t="n">
        <v>70150</v>
      </c>
      <c r="J227" t="n">
        <v>0.9</v>
      </c>
      <c r="K227" t="inlineStr">
        <is>
          <t>1手风险27418元超过预算9000元</t>
        </is>
      </c>
    </row>
    <row r="228">
      <c r="A228" t="inlineStr">
        <is>
          <t>2021-11-04</t>
        </is>
      </c>
      <c r="B228" t="inlineStr">
        <is>
          <t>塑料</t>
        </is>
      </c>
      <c r="C228" t="inlineStr">
        <is>
          <t>空</t>
        </is>
      </c>
      <c r="D228" t="n">
        <v>3</v>
      </c>
      <c r="E228" t="n">
        <v>6</v>
      </c>
      <c r="F228" t="inlineStr">
        <is>
          <t>续持</t>
        </is>
      </c>
      <c r="G228" t="n">
        <v>1</v>
      </c>
      <c r="H228" t="n">
        <v>8718</v>
      </c>
      <c r="I228" t="n">
        <v>9444.290000000001</v>
      </c>
      <c r="J228" t="n">
        <v>1</v>
      </c>
      <c r="K228" t="inlineStr">
        <is>
          <t>续持原仓（2021-10-29开）</t>
        </is>
      </c>
    </row>
    <row r="229">
      <c r="A229" t="inlineStr">
        <is>
          <t>2021-11-04</t>
        </is>
      </c>
      <c r="B229" t="inlineStr">
        <is>
          <t>PVC</t>
        </is>
      </c>
      <c r="C229" t="inlineStr">
        <is>
          <t>空</t>
        </is>
      </c>
      <c r="D229" t="n">
        <v>2</v>
      </c>
      <c r="E229" t="n">
        <v>5</v>
      </c>
      <c r="F229" t="inlineStr">
        <is>
          <t>不做</t>
        </is>
      </c>
      <c r="H229" t="n">
        <v>8188</v>
      </c>
      <c r="J229" t="n">
        <v>1</v>
      </c>
      <c r="K229" t="inlineStr">
        <is>
          <t>1手风险10014元超过预算10000元</t>
        </is>
      </c>
    </row>
    <row r="230">
      <c r="A230" t="inlineStr">
        <is>
          <t>2021-11-04</t>
        </is>
      </c>
      <c r="B230" t="inlineStr">
        <is>
          <t>白糖</t>
        </is>
      </c>
      <c r="C230" t="inlineStr">
        <is>
          <t>多</t>
        </is>
      </c>
      <c r="D230" t="n">
        <v>2</v>
      </c>
      <c r="E230" t="n">
        <v>5</v>
      </c>
      <c r="F230" t="inlineStr">
        <is>
          <t>观望</t>
        </is>
      </c>
      <c r="G230" t="n">
        <v>3</v>
      </c>
      <c r="H230" t="n">
        <v>5945</v>
      </c>
      <c r="I230" t="n">
        <v>5625.93</v>
      </c>
      <c r="J230" t="n">
        <v>1</v>
      </c>
      <c r="K230" t="inlineStr">
        <is>
          <t>逆5日线（收盘在5日线下，不追多）</t>
        </is>
      </c>
    </row>
    <row r="231">
      <c r="A231" t="inlineStr">
        <is>
          <t>2021-11-05</t>
        </is>
      </c>
      <c r="B231" t="inlineStr">
        <is>
          <t>沪铜</t>
        </is>
      </c>
      <c r="C231" t="inlineStr">
        <is>
          <t>空</t>
        </is>
      </c>
      <c r="D231" t="n">
        <v>3</v>
      </c>
      <c r="E231" t="n">
        <v>6</v>
      </c>
      <c r="F231" t="inlineStr">
        <is>
          <t>不做</t>
        </is>
      </c>
      <c r="H231" t="n">
        <v>69590</v>
      </c>
      <c r="J231" t="n">
        <v>0.9</v>
      </c>
      <c r="K231" t="inlineStr">
        <is>
          <t>1手风险26379元超过预算9000元</t>
        </is>
      </c>
    </row>
    <row r="232">
      <c r="A232" t="inlineStr">
        <is>
          <t>2021-11-05</t>
        </is>
      </c>
      <c r="B232" t="inlineStr">
        <is>
          <t>热卷</t>
        </is>
      </c>
      <c r="C232" t="inlineStr">
        <is>
          <t>空</t>
        </is>
      </c>
      <c r="D232" t="n">
        <v>3</v>
      </c>
      <c r="E232" t="n">
        <v>6</v>
      </c>
      <c r="F232" t="inlineStr">
        <is>
          <t>开仓</t>
        </is>
      </c>
      <c r="G232" t="n">
        <v>1</v>
      </c>
      <c r="H232" t="n">
        <v>4569</v>
      </c>
      <c r="I232" t="n">
        <v>5347.29</v>
      </c>
      <c r="J232" t="n">
        <v>0.9</v>
      </c>
      <c r="K232" t="inlineStr">
        <is>
          <t>¼凯利</t>
        </is>
      </c>
    </row>
    <row r="233">
      <c r="A233" t="inlineStr">
        <is>
          <t>2021-11-05</t>
        </is>
      </c>
      <c r="B233" t="inlineStr">
        <is>
          <t>甲醇</t>
        </is>
      </c>
      <c r="C233" t="inlineStr">
        <is>
          <t>空</t>
        </is>
      </c>
      <c r="D233" t="n">
        <v>3</v>
      </c>
      <c r="E233" t="n">
        <v>6</v>
      </c>
      <c r="F233" t="inlineStr">
        <is>
          <t>开仓</t>
        </is>
      </c>
      <c r="G233" t="n">
        <v>1</v>
      </c>
      <c r="H233" t="n">
        <v>2768</v>
      </c>
      <c r="I233" t="n">
        <v>3438.29</v>
      </c>
      <c r="J233" t="n">
        <v>0.9</v>
      </c>
      <c r="K233" t="inlineStr">
        <is>
          <t>¼凯利</t>
        </is>
      </c>
    </row>
    <row r="234">
      <c r="A234" t="inlineStr">
        <is>
          <t>2021-11-05</t>
        </is>
      </c>
      <c r="B234" t="inlineStr">
        <is>
          <t>白糖</t>
        </is>
      </c>
      <c r="C234" t="inlineStr">
        <is>
          <t>多</t>
        </is>
      </c>
      <c r="D234" t="n">
        <v>2</v>
      </c>
      <c r="E234" t="n">
        <v>5</v>
      </c>
      <c r="F234" t="inlineStr">
        <is>
          <t>续持</t>
        </is>
      </c>
      <c r="G234" t="n">
        <v>3</v>
      </c>
      <c r="H234" t="n">
        <v>6002</v>
      </c>
      <c r="I234" t="n">
        <v>5705.21</v>
      </c>
      <c r="J234" t="n">
        <v>1</v>
      </c>
      <c r="K234" t="inlineStr">
        <is>
          <t>续持原仓（2021-11-02开）</t>
        </is>
      </c>
    </row>
    <row r="235">
      <c r="A235" t="inlineStr">
        <is>
          <t>2021-11-05</t>
        </is>
      </c>
      <c r="B235" t="inlineStr">
        <is>
          <t>沪铝</t>
        </is>
      </c>
      <c r="C235" t="inlineStr">
        <is>
          <t>空</t>
        </is>
      </c>
      <c r="D235" t="n">
        <v>2</v>
      </c>
      <c r="E235" t="n">
        <v>5</v>
      </c>
      <c r="F235" t="inlineStr">
        <is>
          <t>不做</t>
        </is>
      </c>
      <c r="H235" t="n">
        <v>18680</v>
      </c>
      <c r="J235" t="n">
        <v>1</v>
      </c>
      <c r="K235" t="inlineStr">
        <is>
          <t>1手风险16462元超过预算10000元</t>
        </is>
      </c>
    </row>
    <row r="236">
      <c r="A236" t="inlineStr">
        <is>
          <t>2021-11-05</t>
        </is>
      </c>
      <c r="B236" t="inlineStr">
        <is>
          <t>螺纹钢</t>
        </is>
      </c>
      <c r="C236" t="inlineStr">
        <is>
          <t>空</t>
        </is>
      </c>
      <c r="D236" t="n">
        <v>2</v>
      </c>
      <c r="E236" t="n">
        <v>4</v>
      </c>
      <c r="F236" t="inlineStr">
        <is>
          <t>影子仓</t>
        </is>
      </c>
      <c r="G236" t="n">
        <v>1</v>
      </c>
      <c r="H236" t="n">
        <v>4247</v>
      </c>
      <c r="I236" t="n">
        <v>5021.21</v>
      </c>
      <c r="J236" t="n">
        <v>1</v>
      </c>
      <c r="K236" t="inlineStr">
        <is>
          <t>凯利≤0，开1%影子仓（只统计，不计入组合）</t>
        </is>
      </c>
    </row>
    <row r="237">
      <c r="A237" t="inlineStr">
        <is>
          <t>2021-11-08</t>
        </is>
      </c>
      <c r="B237" t="inlineStr">
        <is>
          <t>沪铜</t>
        </is>
      </c>
      <c r="C237" t="inlineStr">
        <is>
          <t>空</t>
        </is>
      </c>
      <c r="D237" t="n">
        <v>2</v>
      </c>
      <c r="E237" t="n">
        <v>5</v>
      </c>
      <c r="F237" t="inlineStr">
        <is>
          <t>不做</t>
        </is>
      </c>
      <c r="H237" t="n">
        <v>70000</v>
      </c>
      <c r="J237" t="n">
        <v>0.38</v>
      </c>
      <c r="K237" t="inlineStr">
        <is>
          <t>1手风险25896元超过预算3800元</t>
        </is>
      </c>
    </row>
    <row r="238">
      <c r="A238" t="inlineStr">
        <is>
          <t>2021-11-08</t>
        </is>
      </c>
      <c r="B238" t="inlineStr">
        <is>
          <t>热卷</t>
        </is>
      </c>
      <c r="C238" t="inlineStr">
        <is>
          <t>空</t>
        </is>
      </c>
      <c r="D238" t="n">
        <v>2</v>
      </c>
      <c r="E238" t="n">
        <v>5</v>
      </c>
      <c r="F238" t="inlineStr">
        <is>
          <t>续持</t>
        </is>
      </c>
      <c r="G238" t="n">
        <v>1</v>
      </c>
      <c r="H238" t="n">
        <v>4564</v>
      </c>
      <c r="I238" t="n">
        <v>5256.71</v>
      </c>
      <c r="J238" t="n">
        <v>0.9</v>
      </c>
      <c r="K238" t="inlineStr">
        <is>
          <t>续持原仓（2021-11-05开）</t>
        </is>
      </c>
    </row>
    <row r="239">
      <c r="A239" t="inlineStr">
        <is>
          <t>2021-11-08</t>
        </is>
      </c>
      <c r="B239" t="inlineStr">
        <is>
          <t>PVC</t>
        </is>
      </c>
      <c r="C239" t="inlineStr">
        <is>
          <t>空</t>
        </is>
      </c>
      <c r="D239" t="n">
        <v>2</v>
      </c>
      <c r="E239" t="n">
        <v>5</v>
      </c>
      <c r="F239" t="inlineStr">
        <is>
          <t>不做</t>
        </is>
      </c>
      <c r="H239" t="n">
        <v>8515</v>
      </c>
      <c r="J239" t="n">
        <v>0.38</v>
      </c>
      <c r="K239" t="inlineStr">
        <is>
          <t>1手风险9335元超过预算3800元</t>
        </is>
      </c>
    </row>
    <row r="240">
      <c r="A240" t="inlineStr">
        <is>
          <t>2021-11-08</t>
        </is>
      </c>
      <c r="B240" t="inlineStr">
        <is>
          <t>玉米</t>
        </is>
      </c>
      <c r="C240" t="inlineStr">
        <is>
          <t>多</t>
        </is>
      </c>
      <c r="D240" t="n">
        <v>2</v>
      </c>
      <c r="E240" t="n">
        <v>4</v>
      </c>
      <c r="F240" t="inlineStr">
        <is>
          <t>开仓</t>
        </is>
      </c>
      <c r="G240" t="n">
        <v>2</v>
      </c>
      <c r="H240" t="n">
        <v>2690</v>
      </c>
      <c r="I240" t="n">
        <v>2562.5</v>
      </c>
      <c r="J240" t="n">
        <v>0.38</v>
      </c>
      <c r="K240" t="inlineStr">
        <is>
          <t>¼凯利</t>
        </is>
      </c>
    </row>
    <row r="241">
      <c r="A241" t="inlineStr">
        <is>
          <t>2021-11-08</t>
        </is>
      </c>
      <c r="B241" t="inlineStr">
        <is>
          <t>聚丙烯</t>
        </is>
      </c>
      <c r="C241" t="inlineStr">
        <is>
          <t>空</t>
        </is>
      </c>
      <c r="D241" t="n">
        <v>2</v>
      </c>
      <c r="E241" t="n">
        <v>4</v>
      </c>
      <c r="F241" t="inlineStr">
        <is>
          <t>不做</t>
        </is>
      </c>
      <c r="H241" t="n">
        <v>8573</v>
      </c>
      <c r="J241" t="n">
        <v>0.38</v>
      </c>
      <c r="K241" t="inlineStr">
        <is>
          <t>1手风险4632元超过预算3800元</t>
        </is>
      </c>
    </row>
    <row r="242">
      <c r="A242" t="inlineStr">
        <is>
          <t>2021-11-09</t>
        </is>
      </c>
      <c r="B242" t="inlineStr">
        <is>
          <t>沪铜</t>
        </is>
      </c>
      <c r="C242" t="inlineStr">
        <is>
          <t>空</t>
        </is>
      </c>
      <c r="D242" t="n">
        <v>3</v>
      </c>
      <c r="E242" t="n">
        <v>6</v>
      </c>
      <c r="F242" t="inlineStr">
        <is>
          <t>观望</t>
        </is>
      </c>
      <c r="H242" t="n">
        <v>70550</v>
      </c>
      <c r="J242" t="n">
        <v>1.17</v>
      </c>
      <c r="K242" t="inlineStr">
        <is>
          <t>逆5日线（收盘在5日线上，不追空）</t>
        </is>
      </c>
    </row>
    <row r="243">
      <c r="A243" t="inlineStr">
        <is>
          <t>2021-11-09</t>
        </is>
      </c>
      <c r="B243" t="inlineStr">
        <is>
          <t>甲醇</t>
        </is>
      </c>
      <c r="C243" t="inlineStr">
        <is>
          <t>空</t>
        </is>
      </c>
      <c r="D243" t="n">
        <v>3</v>
      </c>
      <c r="E243" t="n">
        <v>6</v>
      </c>
      <c r="F243" t="inlineStr">
        <is>
          <t>续持</t>
        </is>
      </c>
      <c r="G243" t="n">
        <v>1</v>
      </c>
      <c r="H243" t="n">
        <v>2770</v>
      </c>
      <c r="I243" t="n">
        <v>3374</v>
      </c>
      <c r="J243" t="n">
        <v>0.9</v>
      </c>
      <c r="K243" t="inlineStr">
        <is>
          <t>续持原仓（2021-11-05开）</t>
        </is>
      </c>
    </row>
    <row r="244">
      <c r="A244" t="inlineStr">
        <is>
          <t>2021-11-09</t>
        </is>
      </c>
      <c r="B244" t="inlineStr">
        <is>
          <t>螺纹钢</t>
        </is>
      </c>
      <c r="C244" t="inlineStr">
        <is>
          <t>空</t>
        </is>
      </c>
      <c r="D244" t="n">
        <v>2</v>
      </c>
      <c r="E244" t="n">
        <v>4</v>
      </c>
      <c r="F244" t="inlineStr">
        <is>
          <t>续持</t>
        </is>
      </c>
      <c r="G244" t="n">
        <v>1</v>
      </c>
      <c r="H244" t="n">
        <v>4257</v>
      </c>
      <c r="I244" t="n">
        <v>4963.93</v>
      </c>
      <c r="J244" t="n">
        <v>1</v>
      </c>
      <c r="K244" t="inlineStr">
        <is>
          <t>续持原仓（2021-11-05开）</t>
        </is>
      </c>
    </row>
    <row r="245">
      <c r="A245" t="inlineStr">
        <is>
          <t>2021-11-09</t>
        </is>
      </c>
      <c r="B245" t="inlineStr">
        <is>
          <t>沥青</t>
        </is>
      </c>
      <c r="C245" t="inlineStr">
        <is>
          <t>空</t>
        </is>
      </c>
      <c r="D245" t="n">
        <v>2</v>
      </c>
      <c r="E245" t="n">
        <v>4</v>
      </c>
      <c r="F245" t="inlineStr">
        <is>
          <t>开仓</t>
        </is>
      </c>
      <c r="G245" t="n">
        <v>2</v>
      </c>
      <c r="H245" t="n">
        <v>2980</v>
      </c>
      <c r="I245" t="n">
        <v>3315.57</v>
      </c>
      <c r="J245" t="n">
        <v>0.91</v>
      </c>
      <c r="K245" t="inlineStr">
        <is>
          <t>¼凯利</t>
        </is>
      </c>
    </row>
    <row r="246">
      <c r="A246" t="inlineStr">
        <is>
          <t>2021-11-10</t>
        </is>
      </c>
      <c r="B246" t="inlineStr">
        <is>
          <t>热卷</t>
        </is>
      </c>
      <c r="C246" t="inlineStr">
        <is>
          <t>空</t>
        </is>
      </c>
      <c r="D246" t="n">
        <v>3</v>
      </c>
      <c r="E246" t="n">
        <v>7</v>
      </c>
      <c r="F246" t="inlineStr">
        <is>
          <t>开仓</t>
        </is>
      </c>
      <c r="G246" t="n">
        <v>1</v>
      </c>
      <c r="H246" t="n">
        <v>4463</v>
      </c>
      <c r="I246" t="n">
        <v>5207.43</v>
      </c>
      <c r="J246" t="n">
        <v>1.17</v>
      </c>
      <c r="K246" t="inlineStr">
        <is>
          <t>¼凯利</t>
        </is>
      </c>
    </row>
    <row r="247">
      <c r="A247" t="inlineStr">
        <is>
          <t>2021-11-10</t>
        </is>
      </c>
      <c r="B247" t="inlineStr">
        <is>
          <t>甲醇</t>
        </is>
      </c>
      <c r="C247" t="inlineStr">
        <is>
          <t>空</t>
        </is>
      </c>
      <c r="D247" t="n">
        <v>3</v>
      </c>
      <c r="E247" t="n">
        <v>7</v>
      </c>
      <c r="F247" t="inlineStr">
        <is>
          <t>续持</t>
        </is>
      </c>
      <c r="G247" t="n">
        <v>1</v>
      </c>
      <c r="H247" t="n">
        <v>2689</v>
      </c>
      <c r="I247" t="n">
        <v>3188.71</v>
      </c>
      <c r="J247" t="n">
        <v>0.9</v>
      </c>
      <c r="K247" t="inlineStr">
        <is>
          <t>续持原仓（2021-11-05开）</t>
        </is>
      </c>
    </row>
    <row r="248">
      <c r="A248" t="inlineStr">
        <is>
          <t>2021-11-10</t>
        </is>
      </c>
      <c r="B248" t="inlineStr">
        <is>
          <t>铁矿石</t>
        </is>
      </c>
      <c r="C248" t="inlineStr">
        <is>
          <t>空</t>
        </is>
      </c>
      <c r="D248" t="n">
        <v>3</v>
      </c>
      <c r="E248" t="n">
        <v>6</v>
      </c>
      <c r="F248" t="inlineStr">
        <is>
          <t>不做</t>
        </is>
      </c>
      <c r="H248" t="n">
        <v>536.5</v>
      </c>
      <c r="J248" t="n">
        <v>1.17</v>
      </c>
      <c r="K248" t="inlineStr">
        <is>
          <t>1手风险12343元超过预算11700元</t>
        </is>
      </c>
    </row>
    <row r="249">
      <c r="A249" t="inlineStr">
        <is>
          <t>2021-11-10</t>
        </is>
      </c>
      <c r="B249" t="inlineStr">
        <is>
          <t>聚丙烯</t>
        </is>
      </c>
      <c r="C249" t="inlineStr">
        <is>
          <t>空</t>
        </is>
      </c>
      <c r="D249" t="n">
        <v>2</v>
      </c>
      <c r="E249" t="n">
        <v>4</v>
      </c>
      <c r="F249" t="inlineStr">
        <is>
          <t>观望</t>
        </is>
      </c>
      <c r="G249" t="n">
        <v>2</v>
      </c>
      <c r="H249" t="n">
        <v>8584</v>
      </c>
      <c r="I249" t="n">
        <v>9446.93</v>
      </c>
      <c r="J249" t="n">
        <v>0.96</v>
      </c>
      <c r="K249" t="inlineStr">
        <is>
          <t>逆5日线（收盘在5日线上，不追空）</t>
        </is>
      </c>
    </row>
    <row r="250">
      <c r="A250" t="inlineStr">
        <is>
          <t>2021-11-10</t>
        </is>
      </c>
      <c r="B250" t="inlineStr">
        <is>
          <t>沪锌</t>
        </is>
      </c>
      <c r="C250" t="inlineStr">
        <is>
          <t>多</t>
        </is>
      </c>
      <c r="D250" t="n">
        <v>2</v>
      </c>
      <c r="E250" t="n">
        <v>4</v>
      </c>
      <c r="F250" t="inlineStr">
        <is>
          <t>不做</t>
        </is>
      </c>
      <c r="H250" t="n">
        <v>23330</v>
      </c>
      <c r="J250" t="n">
        <v>0.96</v>
      </c>
      <c r="K250" t="inlineStr">
        <is>
          <t>1手风险12466元超过预算9600元</t>
        </is>
      </c>
    </row>
    <row r="251">
      <c r="A251" t="inlineStr">
        <is>
          <t>2021-11-11</t>
        </is>
      </c>
      <c r="B251" t="inlineStr">
        <is>
          <t>PTA</t>
        </is>
      </c>
      <c r="C251" t="inlineStr">
        <is>
          <t>空</t>
        </is>
      </c>
      <c r="D251" t="n">
        <v>3</v>
      </c>
      <c r="E251" t="n">
        <v>7</v>
      </c>
      <c r="F251" t="inlineStr">
        <is>
          <t>开仓</t>
        </is>
      </c>
      <c r="G251" t="n">
        <v>2</v>
      </c>
      <c r="H251" t="n">
        <v>5014</v>
      </c>
      <c r="I251" t="n">
        <v>5519.29</v>
      </c>
      <c r="J251" t="n">
        <v>0.68</v>
      </c>
      <c r="K251" t="inlineStr">
        <is>
          <t>¼凯利</t>
        </is>
      </c>
    </row>
    <row r="252">
      <c r="A252" t="inlineStr">
        <is>
          <t>2021-11-11</t>
        </is>
      </c>
      <c r="B252" t="inlineStr">
        <is>
          <t>沪银</t>
        </is>
      </c>
      <c r="C252" t="inlineStr">
        <is>
          <t>多</t>
        </is>
      </c>
      <c r="D252" t="n">
        <v>3</v>
      </c>
      <c r="E252" t="n">
        <v>6</v>
      </c>
      <c r="F252" t="inlineStr">
        <is>
          <t>开仓</t>
        </is>
      </c>
      <c r="G252" t="n">
        <v>1</v>
      </c>
      <c r="H252" t="n">
        <v>5151</v>
      </c>
      <c r="I252" t="n">
        <v>4839.21</v>
      </c>
      <c r="J252" t="n">
        <v>0.68</v>
      </c>
      <c r="K252" t="inlineStr">
        <is>
          <t>¼凯利</t>
        </is>
      </c>
    </row>
    <row r="253">
      <c r="A253" t="inlineStr">
        <is>
          <t>2021-11-11</t>
        </is>
      </c>
      <c r="B253" t="inlineStr">
        <is>
          <t>铁矿石</t>
        </is>
      </c>
      <c r="C253" t="inlineStr">
        <is>
          <t>空</t>
        </is>
      </c>
      <c r="D253" t="n">
        <v>2</v>
      </c>
      <c r="E253" t="n">
        <v>5</v>
      </c>
      <c r="F253" t="inlineStr">
        <is>
          <t>观望</t>
        </is>
      </c>
      <c r="H253" t="n">
        <v>570.5</v>
      </c>
      <c r="J253" t="n">
        <v>0.96</v>
      </c>
      <c r="K253" t="inlineStr">
        <is>
          <t>逆5日线（收盘在5日线上，不追空）</t>
        </is>
      </c>
    </row>
    <row r="254">
      <c r="A254" t="inlineStr">
        <is>
          <t>2021-11-11</t>
        </is>
      </c>
      <c r="B254" t="inlineStr">
        <is>
          <t>甲醇</t>
        </is>
      </c>
      <c r="C254" t="inlineStr">
        <is>
          <t>空</t>
        </is>
      </c>
      <c r="D254" t="n">
        <v>2</v>
      </c>
      <c r="E254" t="n">
        <v>4</v>
      </c>
      <c r="F254" t="inlineStr">
        <is>
          <t>续持</t>
        </is>
      </c>
      <c r="G254" t="n">
        <v>1</v>
      </c>
      <c r="H254" t="n">
        <v>2732</v>
      </c>
      <c r="I254" t="n">
        <v>3150.79</v>
      </c>
      <c r="J254" t="n">
        <v>0.9</v>
      </c>
      <c r="K254" t="inlineStr">
        <is>
          <t>续持原仓（2021-11-05开）</t>
        </is>
      </c>
    </row>
    <row r="255">
      <c r="A255" t="inlineStr">
        <is>
          <t>2021-11-11</t>
        </is>
      </c>
      <c r="B255" t="inlineStr">
        <is>
          <t>沪金</t>
        </is>
      </c>
      <c r="C255" t="inlineStr">
        <is>
          <t>多</t>
        </is>
      </c>
      <c r="D255" t="n">
        <v>2</v>
      </c>
      <c r="E255" t="n">
        <v>4</v>
      </c>
      <c r="F255" t="inlineStr">
        <is>
          <t>不做</t>
        </is>
      </c>
      <c r="H255" t="n">
        <v>383.36</v>
      </c>
      <c r="J255" t="n">
        <v>0.96</v>
      </c>
      <c r="K255" t="inlineStr">
        <is>
          <t>1手风险13389元超过预算9600元</t>
        </is>
      </c>
    </row>
    <row r="256">
      <c r="A256" t="inlineStr">
        <is>
          <t>2021-11-12</t>
        </is>
      </c>
      <c r="B256" t="inlineStr">
        <is>
          <t>沪银</t>
        </is>
      </c>
      <c r="C256" t="inlineStr">
        <is>
          <t>多</t>
        </is>
      </c>
      <c r="D256" t="n">
        <v>3</v>
      </c>
      <c r="E256" t="n">
        <v>6</v>
      </c>
      <c r="F256" t="inlineStr">
        <is>
          <t>续持</t>
        </is>
      </c>
      <c r="G256" t="n">
        <v>1</v>
      </c>
      <c r="H256" t="n">
        <v>5201</v>
      </c>
      <c r="I256" t="n">
        <v>4927</v>
      </c>
      <c r="J256" t="n">
        <v>0.68</v>
      </c>
      <c r="K256" t="inlineStr">
        <is>
          <t>续持原仓（2021-11-11开）</t>
        </is>
      </c>
    </row>
    <row r="257">
      <c r="A257" t="inlineStr">
        <is>
          <t>2021-11-12</t>
        </is>
      </c>
      <c r="B257" t="inlineStr">
        <is>
          <t>PTA</t>
        </is>
      </c>
      <c r="C257" t="inlineStr">
        <is>
          <t>空</t>
        </is>
      </c>
      <c r="D257" t="n">
        <v>3</v>
      </c>
      <c r="E257" t="n">
        <v>6</v>
      </c>
      <c r="F257" t="inlineStr">
        <is>
          <t>续持</t>
        </is>
      </c>
      <c r="G257" t="n">
        <v>2</v>
      </c>
      <c r="H257" t="n">
        <v>4998</v>
      </c>
      <c r="I257" t="n">
        <v>5441.86</v>
      </c>
      <c r="J257" t="n">
        <v>0.68</v>
      </c>
      <c r="K257" t="inlineStr">
        <is>
          <t>续持原仓（2021-11-11开）</t>
        </is>
      </c>
    </row>
    <row r="258">
      <c r="A258" t="inlineStr">
        <is>
          <t>2021-11-12</t>
        </is>
      </c>
      <c r="B258" t="inlineStr">
        <is>
          <t>甲醇</t>
        </is>
      </c>
      <c r="C258" t="inlineStr">
        <is>
          <t>空</t>
        </is>
      </c>
      <c r="D258" t="n">
        <v>3</v>
      </c>
      <c r="E258" t="n">
        <v>6</v>
      </c>
      <c r="F258" t="inlineStr">
        <is>
          <t>续持</t>
        </is>
      </c>
      <c r="G258" t="n">
        <v>1</v>
      </c>
      <c r="H258" t="n">
        <v>2561</v>
      </c>
      <c r="I258" t="n">
        <v>3104.36</v>
      </c>
      <c r="J258" t="n">
        <v>0.9</v>
      </c>
      <c r="K258" t="inlineStr">
        <is>
          <t>续持原仓（2021-11-05开）</t>
        </is>
      </c>
    </row>
    <row r="259">
      <c r="A259" t="inlineStr">
        <is>
          <t>2021-11-12</t>
        </is>
      </c>
      <c r="B259" t="inlineStr">
        <is>
          <t>白糖</t>
        </is>
      </c>
      <c r="C259" t="inlineStr">
        <is>
          <t>多</t>
        </is>
      </c>
      <c r="D259" t="n">
        <v>3</v>
      </c>
      <c r="E259" t="n">
        <v>6</v>
      </c>
      <c r="F259" t="inlineStr">
        <is>
          <t>开仓</t>
        </is>
      </c>
      <c r="G259" t="n">
        <v>2</v>
      </c>
      <c r="H259" t="n">
        <v>6108</v>
      </c>
      <c r="I259" t="n">
        <v>5805.21</v>
      </c>
      <c r="J259" t="n">
        <v>0.68</v>
      </c>
      <c r="K259" t="inlineStr">
        <is>
          <t>¼凯利</t>
        </is>
      </c>
    </row>
    <row r="260">
      <c r="A260" t="inlineStr">
        <is>
          <t>2021-11-15</t>
        </is>
      </c>
      <c r="B260" t="inlineStr">
        <is>
          <t>PTA</t>
        </is>
      </c>
      <c r="C260" t="inlineStr">
        <is>
          <t>空</t>
        </is>
      </c>
      <c r="D260" t="n">
        <v>3</v>
      </c>
      <c r="E260" t="n">
        <v>7</v>
      </c>
      <c r="F260" t="inlineStr">
        <is>
          <t>续持</t>
        </is>
      </c>
      <c r="G260" t="n">
        <v>2</v>
      </c>
      <c r="H260" t="n">
        <v>4946</v>
      </c>
      <c r="I260" t="n">
        <v>5391.43</v>
      </c>
      <c r="J260" t="n">
        <v>0.68</v>
      </c>
      <c r="K260" t="inlineStr">
        <is>
          <t>续持原仓（2021-11-11开）</t>
        </is>
      </c>
    </row>
    <row r="261">
      <c r="A261" t="inlineStr">
        <is>
          <t>2021-11-15</t>
        </is>
      </c>
      <c r="B261" t="inlineStr">
        <is>
          <t>铁矿石</t>
        </is>
      </c>
      <c r="C261" t="inlineStr">
        <is>
          <t>空</t>
        </is>
      </c>
      <c r="D261" t="n">
        <v>3</v>
      </c>
      <c r="E261" t="n">
        <v>7</v>
      </c>
      <c r="F261" t="inlineStr">
        <is>
          <t>不做</t>
        </is>
      </c>
      <c r="H261" t="n">
        <v>539</v>
      </c>
      <c r="J261" t="n">
        <v>0.5600000000000001</v>
      </c>
      <c r="K261" t="inlineStr">
        <is>
          <t>1手风险11979元超过预算5600元</t>
        </is>
      </c>
    </row>
    <row r="262">
      <c r="A262" t="inlineStr">
        <is>
          <t>2021-11-15</t>
        </is>
      </c>
      <c r="B262" t="inlineStr">
        <is>
          <t>沪铜</t>
        </is>
      </c>
      <c r="C262" t="inlineStr">
        <is>
          <t>空</t>
        </is>
      </c>
      <c r="D262" t="n">
        <v>3</v>
      </c>
      <c r="E262" t="n">
        <v>6</v>
      </c>
      <c r="F262" t="inlineStr">
        <is>
          <t>观望</t>
        </is>
      </c>
      <c r="H262" t="n">
        <v>70830</v>
      </c>
      <c r="J262" t="n">
        <v>0.5600000000000001</v>
      </c>
      <c r="K262" t="inlineStr">
        <is>
          <t>逆5日线（收盘在5日线上，不追空）</t>
        </is>
      </c>
    </row>
    <row r="263">
      <c r="A263" t="inlineStr">
        <is>
          <t>2021-11-15</t>
        </is>
      </c>
      <c r="B263" t="inlineStr">
        <is>
          <t>甲醇</t>
        </is>
      </c>
      <c r="C263" t="inlineStr">
        <is>
          <t>空</t>
        </is>
      </c>
      <c r="D263" t="n">
        <v>3</v>
      </c>
      <c r="E263" t="n">
        <v>6</v>
      </c>
      <c r="F263" t="inlineStr">
        <is>
          <t>续持</t>
        </is>
      </c>
      <c r="G263" t="n">
        <v>1</v>
      </c>
      <c r="H263" t="n">
        <v>2505</v>
      </c>
      <c r="I263" t="n">
        <v>3038.14</v>
      </c>
      <c r="J263" t="n">
        <v>0.9</v>
      </c>
      <c r="K263" t="inlineStr">
        <is>
          <t>续持原仓（2021-11-05开）</t>
        </is>
      </c>
    </row>
    <row r="264">
      <c r="A264" t="inlineStr">
        <is>
          <t>2021-11-15</t>
        </is>
      </c>
      <c r="B264" t="inlineStr">
        <is>
          <t>螺纹钢</t>
        </is>
      </c>
      <c r="C264" t="inlineStr">
        <is>
          <t>空</t>
        </is>
      </c>
      <c r="D264" t="n">
        <v>2</v>
      </c>
      <c r="E264" t="n">
        <v>5</v>
      </c>
      <c r="F264" t="inlineStr">
        <is>
          <t>开仓</t>
        </is>
      </c>
      <c r="G264" t="n">
        <v>1</v>
      </c>
      <c r="H264" t="n">
        <v>4138</v>
      </c>
      <c r="I264" t="n">
        <v>4844.5</v>
      </c>
      <c r="J264" t="n">
        <v>0.96</v>
      </c>
      <c r="K264" t="inlineStr">
        <is>
          <t>¼凯利</t>
        </is>
      </c>
    </row>
    <row r="265">
      <c r="A265" t="inlineStr">
        <is>
          <t>2021-11-15</t>
        </is>
      </c>
      <c r="B265" t="inlineStr">
        <is>
          <t>沪银</t>
        </is>
      </c>
      <c r="C265" t="inlineStr">
        <is>
          <t>多</t>
        </is>
      </c>
      <c r="D265" t="n">
        <v>2</v>
      </c>
      <c r="E265" t="n">
        <v>4</v>
      </c>
      <c r="F265" t="inlineStr">
        <is>
          <t>续持</t>
        </is>
      </c>
      <c r="G265" t="n">
        <v>1</v>
      </c>
      <c r="H265" t="n">
        <v>5139</v>
      </c>
      <c r="I265" t="n">
        <v>4927</v>
      </c>
      <c r="J265" t="n">
        <v>0.68</v>
      </c>
      <c r="K265" t="inlineStr">
        <is>
          <t>续持原仓（2021-11-11开）</t>
        </is>
      </c>
    </row>
    <row r="266">
      <c r="A266" t="inlineStr">
        <is>
          <t>2021-11-16</t>
        </is>
      </c>
      <c r="B266" t="inlineStr">
        <is>
          <t>甲醇</t>
        </is>
      </c>
      <c r="C266" t="inlineStr">
        <is>
          <t>空</t>
        </is>
      </c>
      <c r="D266" t="n">
        <v>2</v>
      </c>
      <c r="E266" t="n">
        <v>4</v>
      </c>
      <c r="F266" t="inlineStr">
        <is>
          <t>续持</t>
        </is>
      </c>
      <c r="G266" t="n">
        <v>1</v>
      </c>
      <c r="H266" t="n">
        <v>2560</v>
      </c>
      <c r="I266" t="n">
        <v>2989.29</v>
      </c>
      <c r="J266" t="n">
        <v>0.9</v>
      </c>
      <c r="K266" t="inlineStr">
        <is>
          <t>续持原仓（2021-11-05开）</t>
        </is>
      </c>
    </row>
    <row r="267">
      <c r="A267" t="inlineStr">
        <is>
          <t>2021-11-16</t>
        </is>
      </c>
      <c r="B267" t="inlineStr">
        <is>
          <t>铁矿石</t>
        </is>
      </c>
      <c r="C267" t="inlineStr">
        <is>
          <t>空</t>
        </is>
      </c>
      <c r="D267" t="n">
        <v>2</v>
      </c>
      <c r="E267" t="n">
        <v>4</v>
      </c>
      <c r="F267" t="inlineStr">
        <is>
          <t>不做</t>
        </is>
      </c>
      <c r="H267" t="n">
        <v>540.5</v>
      </c>
      <c r="J267" t="n">
        <v>1</v>
      </c>
      <c r="K267" t="inlineStr">
        <is>
          <t>1手风险11336元超过预算10000元</t>
        </is>
      </c>
    </row>
    <row r="268">
      <c r="A268" t="inlineStr">
        <is>
          <t>2021-11-16</t>
        </is>
      </c>
      <c r="B268" t="inlineStr">
        <is>
          <t>豆粕</t>
        </is>
      </c>
      <c r="C268" t="inlineStr">
        <is>
          <t>多</t>
        </is>
      </c>
      <c r="D268" t="n">
        <v>2</v>
      </c>
      <c r="E268" t="n">
        <v>4</v>
      </c>
      <c r="F268" t="inlineStr">
        <is>
          <t>影子仓</t>
        </is>
      </c>
      <c r="G268" t="n">
        <v>5</v>
      </c>
      <c r="H268" t="n">
        <v>3192</v>
      </c>
      <c r="I268" t="n">
        <v>3007.07</v>
      </c>
      <c r="J268" t="n">
        <v>1</v>
      </c>
      <c r="K268" t="inlineStr">
        <is>
          <t>凯利≤0，开1%影子仓（只统计，不计入组合）</t>
        </is>
      </c>
    </row>
    <row r="269">
      <c r="A269" t="inlineStr">
        <is>
          <t>2021-11-16</t>
        </is>
      </c>
      <c r="B269" t="inlineStr">
        <is>
          <t>棕榈油</t>
        </is>
      </c>
      <c r="C269" t="inlineStr">
        <is>
          <t>多</t>
        </is>
      </c>
      <c r="D269" t="n">
        <v>2</v>
      </c>
      <c r="E269" t="n">
        <v>4</v>
      </c>
      <c r="F269" t="inlineStr">
        <is>
          <t>不做</t>
        </is>
      </c>
      <c r="H269" t="n">
        <v>9490</v>
      </c>
      <c r="J269" t="n">
        <v>1</v>
      </c>
      <c r="K269" t="inlineStr">
        <is>
          <t>1手风险10616元超过预算10000元</t>
        </is>
      </c>
    </row>
    <row r="270">
      <c r="A270" t="inlineStr">
        <is>
          <t>2021-11-16</t>
        </is>
      </c>
      <c r="B270" t="inlineStr">
        <is>
          <t>PVC</t>
        </is>
      </c>
      <c r="C270" t="inlineStr">
        <is>
          <t>空</t>
        </is>
      </c>
      <c r="D270" t="n">
        <v>2</v>
      </c>
      <c r="E270" t="n">
        <v>4</v>
      </c>
      <c r="F270" t="inlineStr">
        <is>
          <t>影子仓</t>
        </is>
      </c>
      <c r="G270" t="n">
        <v>1</v>
      </c>
      <c r="H270" t="n">
        <v>8359</v>
      </c>
      <c r="I270" t="n">
        <v>9846.57</v>
      </c>
      <c r="J270" t="n">
        <v>1</v>
      </c>
      <c r="K270" t="inlineStr">
        <is>
          <t>凯利≤0，开1%影子仓（只统计，不计入组合）</t>
        </is>
      </c>
    </row>
    <row r="271">
      <c r="A271" t="inlineStr">
        <is>
          <t>2021-11-17</t>
        </is>
      </c>
      <c r="B271" t="inlineStr">
        <is>
          <t>铁矿石</t>
        </is>
      </c>
      <c r="C271" t="inlineStr">
        <is>
          <t>空</t>
        </is>
      </c>
      <c r="D271" t="n">
        <v>3</v>
      </c>
      <c r="E271" t="n">
        <v>6</v>
      </c>
      <c r="F271" t="inlineStr">
        <is>
          <t>不做</t>
        </is>
      </c>
      <c r="H271" t="n">
        <v>538.5</v>
      </c>
      <c r="J271" t="n">
        <v>0.53</v>
      </c>
      <c r="K271" t="inlineStr">
        <is>
          <t>1手风险10329元超过预算5300元</t>
        </is>
      </c>
    </row>
    <row r="272">
      <c r="A272" t="inlineStr">
        <is>
          <t>2021-11-17</t>
        </is>
      </c>
      <c r="B272" t="inlineStr">
        <is>
          <t>沪银</t>
        </is>
      </c>
      <c r="C272" t="inlineStr">
        <is>
          <t>多</t>
        </is>
      </c>
      <c r="D272" t="n">
        <v>2</v>
      </c>
      <c r="E272" t="n">
        <v>5</v>
      </c>
      <c r="F272" t="inlineStr">
        <is>
          <t>观望</t>
        </is>
      </c>
      <c r="G272" t="n">
        <v>2</v>
      </c>
      <c r="H272" t="n">
        <v>5153</v>
      </c>
      <c r="I272" t="n">
        <v>4837.57</v>
      </c>
      <c r="J272" t="n">
        <v>1</v>
      </c>
      <c r="K272" t="inlineStr">
        <is>
          <t>逆5日线（收盘在5日线下，不追多）</t>
        </is>
      </c>
    </row>
    <row r="273">
      <c r="A273" t="inlineStr">
        <is>
          <t>2021-11-17</t>
        </is>
      </c>
      <c r="B273" t="inlineStr">
        <is>
          <t>棕榈油</t>
        </is>
      </c>
      <c r="C273" t="inlineStr">
        <is>
          <t>多</t>
        </is>
      </c>
      <c r="D273" t="n">
        <v>2</v>
      </c>
      <c r="E273" t="n">
        <v>4</v>
      </c>
      <c r="F273" t="inlineStr">
        <is>
          <t>不做</t>
        </is>
      </c>
      <c r="H273" t="n">
        <v>9666</v>
      </c>
      <c r="J273" t="n">
        <v>1</v>
      </c>
      <c r="K273" t="inlineStr">
        <is>
          <t>1手风险10414元超过预算10000元</t>
        </is>
      </c>
    </row>
    <row r="274">
      <c r="A274" t="inlineStr">
        <is>
          <t>2021-11-17</t>
        </is>
      </c>
      <c r="B274" t="inlineStr">
        <is>
          <t>甲醇</t>
        </is>
      </c>
      <c r="C274" t="inlineStr">
        <is>
          <t>空</t>
        </is>
      </c>
      <c r="D274" t="n">
        <v>2</v>
      </c>
      <c r="E274" t="n">
        <v>4</v>
      </c>
      <c r="F274" t="inlineStr">
        <is>
          <t>续持</t>
        </is>
      </c>
      <c r="G274" t="n">
        <v>1</v>
      </c>
      <c r="H274" t="n">
        <v>2557</v>
      </c>
      <c r="I274" t="n">
        <v>2955.64</v>
      </c>
      <c r="J274" t="n">
        <v>0.9</v>
      </c>
      <c r="K274" t="inlineStr">
        <is>
          <t>续持原仓（2021-11-05开）</t>
        </is>
      </c>
    </row>
    <row r="275">
      <c r="A275" t="inlineStr">
        <is>
          <t>2021-11-17</t>
        </is>
      </c>
      <c r="B275" t="inlineStr">
        <is>
          <t>聚丙烯</t>
        </is>
      </c>
      <c r="C275" t="inlineStr">
        <is>
          <t>多</t>
        </is>
      </c>
      <c r="D275" t="n">
        <v>2</v>
      </c>
      <c r="E275" t="n">
        <v>4</v>
      </c>
      <c r="F275" t="inlineStr">
        <is>
          <t>观望</t>
        </is>
      </c>
      <c r="G275" t="n">
        <v>2</v>
      </c>
      <c r="H275" t="n">
        <v>8353</v>
      </c>
      <c r="I275" t="n">
        <v>7638.14</v>
      </c>
      <c r="J275" t="n">
        <v>1</v>
      </c>
      <c r="K275" t="inlineStr">
        <is>
          <t>逆5日线（收盘在5日线下，不追多）</t>
        </is>
      </c>
    </row>
    <row r="276">
      <c r="A276" t="inlineStr">
        <is>
          <t>2021-11-17</t>
        </is>
      </c>
      <c r="B276" t="inlineStr">
        <is>
          <t>PVC</t>
        </is>
      </c>
      <c r="C276" t="inlineStr">
        <is>
          <t>空</t>
        </is>
      </c>
      <c r="D276" t="n">
        <v>2</v>
      </c>
      <c r="E276" t="n">
        <v>4</v>
      </c>
      <c r="F276" t="inlineStr">
        <is>
          <t>续持</t>
        </is>
      </c>
      <c r="G276" t="n">
        <v>1</v>
      </c>
      <c r="H276" t="n">
        <v>8316</v>
      </c>
      <c r="I276" t="n">
        <v>9590.07</v>
      </c>
      <c r="J276" t="n">
        <v>1</v>
      </c>
      <c r="K276" t="inlineStr">
        <is>
          <t>续持原仓（2021-11-16开）</t>
        </is>
      </c>
    </row>
    <row r="277">
      <c r="A277" t="inlineStr">
        <is>
          <t>2021-11-18</t>
        </is>
      </c>
      <c r="B277" t="inlineStr">
        <is>
          <t>乙二醇</t>
        </is>
      </c>
      <c r="C277" t="inlineStr">
        <is>
          <t>空</t>
        </is>
      </c>
      <c r="D277" t="n">
        <v>3</v>
      </c>
      <c r="E277" t="n">
        <v>7</v>
      </c>
      <c r="F277" t="inlineStr">
        <is>
          <t>开仓</t>
        </is>
      </c>
      <c r="G277" t="n">
        <v>1</v>
      </c>
      <c r="H277" t="n">
        <v>4965</v>
      </c>
      <c r="I277" t="n">
        <v>5656.5</v>
      </c>
      <c r="J277" t="n">
        <v>1.16</v>
      </c>
      <c r="K277" t="inlineStr">
        <is>
          <t>¼凯利</t>
        </is>
      </c>
    </row>
    <row r="278">
      <c r="A278" t="inlineStr">
        <is>
          <t>2021-11-18</t>
        </is>
      </c>
      <c r="B278" t="inlineStr">
        <is>
          <t>铁矿石</t>
        </is>
      </c>
      <c r="C278" t="inlineStr">
        <is>
          <t>空</t>
        </is>
      </c>
      <c r="D278" t="n">
        <v>3</v>
      </c>
      <c r="E278" t="n">
        <v>6</v>
      </c>
      <c r="F278" t="inlineStr">
        <is>
          <t>开仓</t>
        </is>
      </c>
      <c r="G278" t="n">
        <v>1</v>
      </c>
      <c r="H278" t="n">
        <v>511.5</v>
      </c>
      <c r="I278" t="n">
        <v>609.64</v>
      </c>
      <c r="J278" t="n">
        <v>1.16</v>
      </c>
      <c r="K278" t="inlineStr">
        <is>
          <t>¼凯利</t>
        </is>
      </c>
    </row>
    <row r="279">
      <c r="A279" t="inlineStr">
        <is>
          <t>2021-11-18</t>
        </is>
      </c>
      <c r="B279" t="inlineStr">
        <is>
          <t>热卷</t>
        </is>
      </c>
      <c r="C279" t="inlineStr">
        <is>
          <t>空</t>
        </is>
      </c>
      <c r="D279" t="n">
        <v>3</v>
      </c>
      <c r="E279" t="n">
        <v>6</v>
      </c>
      <c r="F279" t="inlineStr">
        <is>
          <t>开仓</t>
        </is>
      </c>
      <c r="G279" t="n">
        <v>1</v>
      </c>
      <c r="H279" t="n">
        <v>4333</v>
      </c>
      <c r="I279" t="n">
        <v>4966.86</v>
      </c>
      <c r="J279" t="n">
        <v>1.16</v>
      </c>
      <c r="K279" t="inlineStr">
        <is>
          <t>¼凯利</t>
        </is>
      </c>
    </row>
    <row r="280">
      <c r="A280" t="inlineStr">
        <is>
          <t>2021-11-19</t>
        </is>
      </c>
      <c r="B280" t="inlineStr">
        <is>
          <t>玉米</t>
        </is>
      </c>
      <c r="C280" t="inlineStr">
        <is>
          <t>多</t>
        </is>
      </c>
      <c r="D280" t="n">
        <v>3</v>
      </c>
      <c r="E280" t="n">
        <v>6</v>
      </c>
      <c r="F280" t="inlineStr">
        <is>
          <t>开仓</t>
        </is>
      </c>
      <c r="G280" t="n">
        <v>4</v>
      </c>
      <c r="H280" t="n">
        <v>2705</v>
      </c>
      <c r="I280" t="n">
        <v>2584.57</v>
      </c>
      <c r="J280" t="n">
        <v>0.57</v>
      </c>
      <c r="K280" t="inlineStr">
        <is>
          <t>¼凯利</t>
        </is>
      </c>
    </row>
    <row r="281">
      <c r="A281" t="inlineStr">
        <is>
          <t>2021-11-19</t>
        </is>
      </c>
      <c r="B281" t="inlineStr">
        <is>
          <t>沪镍</t>
        </is>
      </c>
      <c r="C281" t="inlineStr">
        <is>
          <t>空</t>
        </is>
      </c>
      <c r="D281" t="n">
        <v>2</v>
      </c>
      <c r="E281" t="n">
        <v>5</v>
      </c>
      <c r="F281" t="inlineStr">
        <is>
          <t>观望</t>
        </is>
      </c>
      <c r="H281" t="n">
        <v>147440</v>
      </c>
      <c r="J281" t="n">
        <v>1</v>
      </c>
      <c r="K281" t="inlineStr">
        <is>
          <t>逆5日线（收盘在5日线上，不追空）</t>
        </is>
      </c>
    </row>
    <row r="282">
      <c r="A282" t="inlineStr">
        <is>
          <t>2021-11-22</t>
        </is>
      </c>
      <c r="B282" t="inlineStr">
        <is>
          <t>沪铜</t>
        </is>
      </c>
      <c r="C282" t="inlineStr">
        <is>
          <t>空</t>
        </is>
      </c>
      <c r="D282" t="n">
        <v>3</v>
      </c>
      <c r="E282" t="n">
        <v>6</v>
      </c>
      <c r="F282" t="inlineStr">
        <is>
          <t>观望</t>
        </is>
      </c>
      <c r="H282" t="n">
        <v>70180</v>
      </c>
      <c r="J282" t="n">
        <v>0.57</v>
      </c>
      <c r="K282" t="inlineStr">
        <is>
          <t>逆5日线（收盘在5日线上，不追空）</t>
        </is>
      </c>
    </row>
    <row r="283">
      <c r="A283" t="inlineStr">
        <is>
          <t>2021-11-22</t>
        </is>
      </c>
      <c r="B283" t="inlineStr">
        <is>
          <t>棕榈油</t>
        </is>
      </c>
      <c r="C283" t="inlineStr">
        <is>
          <t>多</t>
        </is>
      </c>
      <c r="D283" t="n">
        <v>2</v>
      </c>
      <c r="E283" t="n">
        <v>4</v>
      </c>
      <c r="F283" t="inlineStr">
        <is>
          <t>观望</t>
        </is>
      </c>
      <c r="H283" t="n">
        <v>9692</v>
      </c>
      <c r="J283" t="n">
        <v>1</v>
      </c>
      <c r="K283" t="inlineStr">
        <is>
          <t>逆5日线（收盘在5日线下，不追多）</t>
        </is>
      </c>
    </row>
    <row r="284">
      <c r="A284" t="inlineStr">
        <is>
          <t>2021-11-22</t>
        </is>
      </c>
      <c r="B284" t="inlineStr">
        <is>
          <t>沪锌</t>
        </is>
      </c>
      <c r="C284" t="inlineStr">
        <is>
          <t>多</t>
        </is>
      </c>
      <c r="D284" t="n">
        <v>2</v>
      </c>
      <c r="E284" t="n">
        <v>4</v>
      </c>
      <c r="F284" t="inlineStr">
        <is>
          <t>影子仓</t>
        </is>
      </c>
      <c r="G284" t="n">
        <v>1</v>
      </c>
      <c r="H284" t="n">
        <v>22930</v>
      </c>
      <c r="I284" t="n">
        <v>21176.07</v>
      </c>
      <c r="J284" t="n">
        <v>1</v>
      </c>
      <c r="K284" t="inlineStr">
        <is>
          <t>凯利≤0，开1%影子仓（只统计，不计入组合）</t>
        </is>
      </c>
    </row>
    <row r="285">
      <c r="A285" t="inlineStr">
        <is>
          <t>2021-11-23</t>
        </is>
      </c>
      <c r="B285" t="inlineStr">
        <is>
          <t>菜粕</t>
        </is>
      </c>
      <c r="C285" t="inlineStr">
        <is>
          <t>多</t>
        </is>
      </c>
      <c r="D285" t="n">
        <v>3</v>
      </c>
      <c r="E285" t="n">
        <v>7</v>
      </c>
      <c r="F285" t="inlineStr">
        <is>
          <t>开仓</t>
        </is>
      </c>
      <c r="G285" t="n">
        <v>2</v>
      </c>
      <c r="H285" t="n">
        <v>2759</v>
      </c>
      <c r="I285" t="n">
        <v>2546.64</v>
      </c>
      <c r="J285" t="n">
        <v>0.57</v>
      </c>
      <c r="K285" t="inlineStr">
        <is>
          <t>¼凯利</t>
        </is>
      </c>
    </row>
    <row r="286">
      <c r="A286" t="inlineStr">
        <is>
          <t>2021-11-23</t>
        </is>
      </c>
      <c r="B286" t="inlineStr">
        <is>
          <t>PTA</t>
        </is>
      </c>
      <c r="C286" t="inlineStr">
        <is>
          <t>空</t>
        </is>
      </c>
      <c r="D286" t="n">
        <v>3</v>
      </c>
      <c r="E286" t="n">
        <v>6</v>
      </c>
      <c r="F286" t="inlineStr">
        <is>
          <t>开仓</t>
        </is>
      </c>
      <c r="G286" t="n">
        <v>2</v>
      </c>
      <c r="H286" t="n">
        <v>4816</v>
      </c>
      <c r="I286" t="n">
        <v>5209.43</v>
      </c>
      <c r="J286" t="n">
        <v>0.57</v>
      </c>
      <c r="K286" t="inlineStr">
        <is>
          <t>¼凯利</t>
        </is>
      </c>
    </row>
    <row r="287">
      <c r="A287" t="inlineStr">
        <is>
          <t>2021-11-23</t>
        </is>
      </c>
      <c r="B287" t="inlineStr">
        <is>
          <t>沪铜</t>
        </is>
      </c>
      <c r="C287" t="inlineStr">
        <is>
          <t>空</t>
        </is>
      </c>
      <c r="D287" t="n">
        <v>3</v>
      </c>
      <c r="E287" t="n">
        <v>6</v>
      </c>
      <c r="F287" t="inlineStr">
        <is>
          <t>观望</t>
        </is>
      </c>
      <c r="H287" t="n">
        <v>70740</v>
      </c>
      <c r="J287" t="n">
        <v>0.57</v>
      </c>
      <c r="K287" t="inlineStr">
        <is>
          <t>逆5日线（收盘在5日线上，不追空）</t>
        </is>
      </c>
    </row>
    <row r="288">
      <c r="A288" t="inlineStr">
        <is>
          <t>2021-11-23</t>
        </is>
      </c>
      <c r="B288" t="inlineStr">
        <is>
          <t>豆粕</t>
        </is>
      </c>
      <c r="C288" t="inlineStr">
        <is>
          <t>多</t>
        </is>
      </c>
      <c r="D288" t="n">
        <v>2</v>
      </c>
      <c r="E288" t="n">
        <v>4</v>
      </c>
      <c r="F288" t="inlineStr">
        <is>
          <t>续持</t>
        </is>
      </c>
      <c r="G288" t="n">
        <v>5</v>
      </c>
      <c r="H288" t="n">
        <v>3086</v>
      </c>
      <c r="I288" t="n">
        <v>2921.57</v>
      </c>
      <c r="J288" t="n">
        <v>1</v>
      </c>
      <c r="K288" t="inlineStr">
        <is>
          <t>续持原仓（2021-11-16开）</t>
        </is>
      </c>
    </row>
    <row r="289">
      <c r="A289" t="inlineStr">
        <is>
          <t>2021-11-24</t>
        </is>
      </c>
      <c r="B289" t="inlineStr">
        <is>
          <t>豆粕</t>
        </is>
      </c>
      <c r="C289" t="inlineStr">
        <is>
          <t>多</t>
        </is>
      </c>
      <c r="D289" t="n">
        <v>2</v>
      </c>
      <c r="E289" t="n">
        <v>5</v>
      </c>
      <c r="F289" t="inlineStr">
        <is>
          <t>续持</t>
        </is>
      </c>
      <c r="G289" t="n">
        <v>5</v>
      </c>
      <c r="H289" t="n">
        <v>3097</v>
      </c>
      <c r="I289" t="n">
        <v>2929.86</v>
      </c>
      <c r="J289" t="n">
        <v>1</v>
      </c>
      <c r="K289" t="inlineStr">
        <is>
          <t>续持原仓（2021-11-16开）</t>
        </is>
      </c>
    </row>
    <row r="290">
      <c r="A290" t="inlineStr">
        <is>
          <t>2021-11-24</t>
        </is>
      </c>
      <c r="B290" t="inlineStr">
        <is>
          <t>棕榈油</t>
        </is>
      </c>
      <c r="C290" t="inlineStr">
        <is>
          <t>多</t>
        </is>
      </c>
      <c r="D290" t="n">
        <v>2</v>
      </c>
      <c r="E290" t="n">
        <v>4</v>
      </c>
      <c r="F290" t="inlineStr">
        <is>
          <t>观望</t>
        </is>
      </c>
      <c r="H290" t="n">
        <v>9584</v>
      </c>
      <c r="J290" t="n">
        <v>0.9</v>
      </c>
      <c r="K290" t="inlineStr">
        <is>
          <t>逆5日线（收盘在5日线下，不追多）</t>
        </is>
      </c>
    </row>
    <row r="291">
      <c r="A291" t="inlineStr">
        <is>
          <t>2021-11-24</t>
        </is>
      </c>
      <c r="B291" t="inlineStr">
        <is>
          <t>沪铝</t>
        </is>
      </c>
      <c r="C291" t="inlineStr">
        <is>
          <t>空</t>
        </is>
      </c>
      <c r="D291" t="n">
        <v>2</v>
      </c>
      <c r="E291" t="n">
        <v>4</v>
      </c>
      <c r="F291" t="inlineStr">
        <is>
          <t>观望</t>
        </is>
      </c>
      <c r="H291" t="n">
        <v>19250</v>
      </c>
      <c r="J291" t="n">
        <v>0.9</v>
      </c>
      <c r="K291" t="inlineStr">
        <is>
          <t>逆5日线（收盘在5日线上，不追空）</t>
        </is>
      </c>
    </row>
    <row r="292">
      <c r="A292" t="inlineStr">
        <is>
          <t>2021-11-25</t>
        </is>
      </c>
      <c r="B292" t="inlineStr">
        <is>
          <t>棕榈油</t>
        </is>
      </c>
      <c r="C292" t="inlineStr">
        <is>
          <t>多</t>
        </is>
      </c>
      <c r="D292" t="n">
        <v>3</v>
      </c>
      <c r="E292" t="n">
        <v>7</v>
      </c>
      <c r="F292" t="inlineStr">
        <is>
          <t>影子仓</t>
        </is>
      </c>
      <c r="G292" t="n">
        <v>1</v>
      </c>
      <c r="H292" t="n">
        <v>9706</v>
      </c>
      <c r="I292" t="n">
        <v>8745.139999999999</v>
      </c>
      <c r="J292" t="n">
        <v>1</v>
      </c>
      <c r="K292" t="inlineStr">
        <is>
          <t>凯利≤0，开1%影子仓（只统计，不计入组合）</t>
        </is>
      </c>
    </row>
    <row r="293">
      <c r="A293" t="inlineStr">
        <is>
          <t>2021-11-25</t>
        </is>
      </c>
      <c r="B293" t="inlineStr">
        <is>
          <t>菜粕</t>
        </is>
      </c>
      <c r="C293" t="inlineStr">
        <is>
          <t>多</t>
        </is>
      </c>
      <c r="D293" t="n">
        <v>2</v>
      </c>
      <c r="E293" t="n">
        <v>4</v>
      </c>
      <c r="F293" t="inlineStr">
        <is>
          <t>观望</t>
        </is>
      </c>
      <c r="G293" t="n">
        <v>4</v>
      </c>
      <c r="H293" t="n">
        <v>2738</v>
      </c>
      <c r="I293" t="n">
        <v>2533.79</v>
      </c>
      <c r="J293" t="n">
        <v>0.9</v>
      </c>
      <c r="K293" t="inlineStr">
        <is>
          <t>逆5日线（收盘在5日线下，不追多）</t>
        </is>
      </c>
    </row>
    <row r="294">
      <c r="A294" t="inlineStr">
        <is>
          <t>2021-11-26</t>
        </is>
      </c>
      <c r="B294" t="inlineStr">
        <is>
          <t>PTA</t>
        </is>
      </c>
      <c r="C294" t="inlineStr">
        <is>
          <t>空</t>
        </is>
      </c>
      <c r="D294" t="n">
        <v>3</v>
      </c>
      <c r="E294" t="n">
        <v>7</v>
      </c>
      <c r="F294" t="inlineStr">
        <is>
          <t>续持</t>
        </is>
      </c>
      <c r="G294" t="n">
        <v>2</v>
      </c>
      <c r="H294" t="n">
        <v>4796</v>
      </c>
      <c r="I294" t="n">
        <v>5163.86</v>
      </c>
      <c r="J294" t="n">
        <v>0.57</v>
      </c>
      <c r="K294" t="inlineStr">
        <is>
          <t>续持原仓（2021-11-23开）</t>
        </is>
      </c>
    </row>
    <row r="295">
      <c r="A295" t="inlineStr">
        <is>
          <t>2021-11-26</t>
        </is>
      </c>
      <c r="B295" t="inlineStr">
        <is>
          <t>沪金</t>
        </is>
      </c>
      <c r="C295" t="inlineStr">
        <is>
          <t>多</t>
        </is>
      </c>
      <c r="D295" t="n">
        <v>2</v>
      </c>
      <c r="E295" t="n">
        <v>4</v>
      </c>
      <c r="F295" t="inlineStr">
        <is>
          <t>观望</t>
        </is>
      </c>
      <c r="H295" t="n">
        <v>372.7</v>
      </c>
      <c r="J295" t="n">
        <v>0.9</v>
      </c>
      <c r="K295" t="inlineStr">
        <is>
          <t>逆5日线（收盘在5日线下，不追多）</t>
        </is>
      </c>
    </row>
    <row r="296">
      <c r="A296" t="inlineStr">
        <is>
          <t>2021-11-29</t>
        </is>
      </c>
      <c r="B296" t="inlineStr">
        <is>
          <t>豆粕</t>
        </is>
      </c>
      <c r="C296" t="inlineStr">
        <is>
          <t>多</t>
        </is>
      </c>
      <c r="D296" t="n">
        <v>3</v>
      </c>
      <c r="E296" t="n">
        <v>7</v>
      </c>
      <c r="F296" t="inlineStr">
        <is>
          <t>观望</t>
        </is>
      </c>
      <c r="G296" t="n">
        <v>6</v>
      </c>
      <c r="H296" t="n">
        <v>3081</v>
      </c>
      <c r="I296" t="n">
        <v>2929.93</v>
      </c>
      <c r="J296" t="n">
        <v>1</v>
      </c>
      <c r="K296" t="inlineStr">
        <is>
          <t>逆5日线（收盘在5日线下，不追多）</t>
        </is>
      </c>
    </row>
    <row r="297">
      <c r="A297" t="inlineStr">
        <is>
          <t>2021-11-29</t>
        </is>
      </c>
      <c r="B297" t="inlineStr">
        <is>
          <t>甲醇</t>
        </is>
      </c>
      <c r="C297" t="inlineStr">
        <is>
          <t>多</t>
        </is>
      </c>
      <c r="D297" t="n">
        <v>2</v>
      </c>
      <c r="E297" t="n">
        <v>4</v>
      </c>
      <c r="F297" t="inlineStr">
        <is>
          <t>观望</t>
        </is>
      </c>
      <c r="G297" t="n">
        <v>2</v>
      </c>
      <c r="H297" t="n">
        <v>2670</v>
      </c>
      <c r="I297" t="n">
        <v>2313.21</v>
      </c>
      <c r="J297" t="n">
        <v>0.9</v>
      </c>
      <c r="K297" t="inlineStr">
        <is>
          <t>逆5日线（收盘在5日线下，不追多）</t>
        </is>
      </c>
    </row>
    <row r="298">
      <c r="A298" t="inlineStr">
        <is>
          <t>2021-11-29</t>
        </is>
      </c>
      <c r="B298" t="inlineStr">
        <is>
          <t>热卷</t>
        </is>
      </c>
      <c r="C298" t="inlineStr">
        <is>
          <t>空</t>
        </is>
      </c>
      <c r="D298" t="n">
        <v>2</v>
      </c>
      <c r="E298" t="n">
        <v>4</v>
      </c>
      <c r="F298" t="inlineStr">
        <is>
          <t>开仓</t>
        </is>
      </c>
      <c r="G298" t="n">
        <v>1</v>
      </c>
      <c r="H298" t="n">
        <v>4533</v>
      </c>
      <c r="I298" t="n">
        <v>5062.29</v>
      </c>
      <c r="J298" t="n">
        <v>0.9</v>
      </c>
      <c r="K298" t="inlineStr">
        <is>
          <t>¼凯利</t>
        </is>
      </c>
    </row>
    <row r="299">
      <c r="A299" t="inlineStr">
        <is>
          <t>2021-11-29</t>
        </is>
      </c>
      <c r="B299" t="inlineStr">
        <is>
          <t>沪铝</t>
        </is>
      </c>
      <c r="C299" t="inlineStr">
        <is>
          <t>空</t>
        </is>
      </c>
      <c r="D299" t="n">
        <v>2</v>
      </c>
      <c r="E299" t="n">
        <v>4</v>
      </c>
      <c r="F299" t="inlineStr">
        <is>
          <t>开仓</t>
        </is>
      </c>
      <c r="G299" t="n">
        <v>1</v>
      </c>
      <c r="H299" t="n">
        <v>19015</v>
      </c>
      <c r="I299" t="n">
        <v>20684.29</v>
      </c>
      <c r="J299" t="n">
        <v>0.9</v>
      </c>
      <c r="K299" t="inlineStr">
        <is>
          <t>¼凯利</t>
        </is>
      </c>
    </row>
    <row r="300">
      <c r="A300" t="inlineStr">
        <is>
          <t>2021-11-30</t>
        </is>
      </c>
      <c r="B300" t="inlineStr">
        <is>
          <t>沪银</t>
        </is>
      </c>
      <c r="C300" t="inlineStr">
        <is>
          <t>空</t>
        </is>
      </c>
      <c r="D300" t="n">
        <v>3</v>
      </c>
      <c r="E300" t="n">
        <v>6</v>
      </c>
      <c r="F300" t="inlineStr">
        <is>
          <t>影子仓</t>
        </is>
      </c>
      <c r="G300" t="n">
        <v>2</v>
      </c>
      <c r="H300" t="n">
        <v>4792</v>
      </c>
      <c r="I300" t="n">
        <v>5123.71</v>
      </c>
      <c r="J300" t="n">
        <v>1</v>
      </c>
      <c r="K300" t="inlineStr">
        <is>
          <t>凯利≤0，开1%影子仓（只统计，不计入组合）</t>
        </is>
      </c>
    </row>
    <row r="301">
      <c r="A301" t="inlineStr">
        <is>
          <t>2021-12-01</t>
        </is>
      </c>
      <c r="B301" t="inlineStr">
        <is>
          <t>沪银</t>
        </is>
      </c>
      <c r="C301" t="inlineStr">
        <is>
          <t>空</t>
        </is>
      </c>
      <c r="D301" t="n">
        <v>3</v>
      </c>
      <c r="E301" t="n">
        <v>6</v>
      </c>
      <c r="F301" t="inlineStr">
        <is>
          <t>续持</t>
        </is>
      </c>
      <c r="G301" t="n">
        <v>2</v>
      </c>
      <c r="H301" t="n">
        <v>4790</v>
      </c>
      <c r="I301" t="n">
        <v>5038.79</v>
      </c>
      <c r="J301" t="n">
        <v>1</v>
      </c>
      <c r="K301" t="inlineStr">
        <is>
          <t>续持原仓（2021-11-30开）</t>
        </is>
      </c>
    </row>
    <row r="302">
      <c r="A302" t="inlineStr">
        <is>
          <t>2021-12-01</t>
        </is>
      </c>
      <c r="B302" t="inlineStr">
        <is>
          <t>沪锌</t>
        </is>
      </c>
      <c r="C302" t="inlineStr">
        <is>
          <t>多</t>
        </is>
      </c>
      <c r="D302" t="n">
        <v>3</v>
      </c>
      <c r="E302" t="n">
        <v>6</v>
      </c>
      <c r="F302" t="inlineStr">
        <is>
          <t>观望</t>
        </is>
      </c>
      <c r="G302" t="n">
        <v>1</v>
      </c>
      <c r="H302" t="n">
        <v>23025</v>
      </c>
      <c r="I302" t="n">
        <v>21500.36</v>
      </c>
      <c r="J302" t="n">
        <v>1</v>
      </c>
      <c r="K302" t="inlineStr">
        <is>
          <t>逆5日线（收盘在5日线下，不追多）</t>
        </is>
      </c>
    </row>
    <row r="303">
      <c r="A303" t="inlineStr">
        <is>
          <t>2021-12-01</t>
        </is>
      </c>
      <c r="B303" t="inlineStr">
        <is>
          <t>豆粕</t>
        </is>
      </c>
      <c r="C303" t="inlineStr">
        <is>
          <t>多</t>
        </is>
      </c>
      <c r="D303" t="n">
        <v>2</v>
      </c>
      <c r="E303" t="n">
        <v>5</v>
      </c>
      <c r="F303" t="inlineStr">
        <is>
          <t>观望</t>
        </is>
      </c>
      <c r="G303" t="n">
        <v>6</v>
      </c>
      <c r="H303" t="n">
        <v>3049</v>
      </c>
      <c r="I303" t="n">
        <v>2905.64</v>
      </c>
      <c r="J303" t="n">
        <v>1</v>
      </c>
      <c r="K303" t="inlineStr">
        <is>
          <t>逆5日线（收盘在5日线下，不追多）</t>
        </is>
      </c>
    </row>
    <row r="304">
      <c r="A304" t="inlineStr">
        <is>
          <t>2021-12-01</t>
        </is>
      </c>
      <c r="B304" t="inlineStr">
        <is>
          <t>菜粕</t>
        </is>
      </c>
      <c r="C304" t="inlineStr">
        <is>
          <t>多</t>
        </is>
      </c>
      <c r="D304" t="n">
        <v>2</v>
      </c>
      <c r="E304" t="n">
        <v>4</v>
      </c>
      <c r="F304" t="inlineStr">
        <is>
          <t>观望</t>
        </is>
      </c>
      <c r="G304" t="n">
        <v>4</v>
      </c>
      <c r="H304" t="n">
        <v>2670</v>
      </c>
      <c r="I304" t="n">
        <v>2463</v>
      </c>
      <c r="J304" t="n">
        <v>1</v>
      </c>
      <c r="K304" t="inlineStr">
        <is>
          <t>逆5日线（收盘在5日线下，不追多）</t>
        </is>
      </c>
    </row>
    <row r="305">
      <c r="A305" t="inlineStr">
        <is>
          <t>2021-12-01</t>
        </is>
      </c>
      <c r="B305" t="inlineStr">
        <is>
          <t>沥青</t>
        </is>
      </c>
      <c r="C305" t="inlineStr">
        <is>
          <t>多</t>
        </is>
      </c>
      <c r="D305" t="n">
        <v>2</v>
      </c>
      <c r="E305" t="n">
        <v>4</v>
      </c>
      <c r="F305" t="inlineStr">
        <is>
          <t>观望</t>
        </is>
      </c>
      <c r="G305" t="n">
        <v>3</v>
      </c>
      <c r="H305" t="n">
        <v>2902</v>
      </c>
      <c r="I305" t="n">
        <v>2588.71</v>
      </c>
      <c r="J305" t="n">
        <v>1</v>
      </c>
      <c r="K305" t="inlineStr">
        <is>
          <t>逆5日线（收盘在5日线下，不追多）</t>
        </is>
      </c>
    </row>
    <row r="306">
      <c r="A306" t="inlineStr">
        <is>
          <t>2021-12-01</t>
        </is>
      </c>
      <c r="B306" t="inlineStr">
        <is>
          <t>沪金</t>
        </is>
      </c>
      <c r="C306" t="inlineStr">
        <is>
          <t>空</t>
        </is>
      </c>
      <c r="D306" t="n">
        <v>2</v>
      </c>
      <c r="E306" t="n">
        <v>4</v>
      </c>
      <c r="F306" t="inlineStr">
        <is>
          <t>不做</t>
        </is>
      </c>
      <c r="H306" t="n">
        <v>368.74</v>
      </c>
      <c r="J306" t="n">
        <v>1</v>
      </c>
      <c r="K306" t="inlineStr">
        <is>
          <t>1手风险12926元超过预算10000元</t>
        </is>
      </c>
    </row>
    <row r="307">
      <c r="A307" t="inlineStr">
        <is>
          <t>2021-12-02</t>
        </is>
      </c>
      <c r="B307" t="inlineStr">
        <is>
          <t>沪银</t>
        </is>
      </c>
      <c r="C307" t="inlineStr">
        <is>
          <t>空</t>
        </is>
      </c>
      <c r="D307" t="n">
        <v>3</v>
      </c>
      <c r="E307" t="n">
        <v>7</v>
      </c>
      <c r="F307" t="inlineStr">
        <is>
          <t>续持</t>
        </is>
      </c>
      <c r="G307" t="n">
        <v>2</v>
      </c>
      <c r="H307" t="n">
        <v>4710</v>
      </c>
      <c r="I307" t="n">
        <v>4993.71</v>
      </c>
      <c r="J307" t="n">
        <v>1</v>
      </c>
      <c r="K307" t="inlineStr">
        <is>
          <t>续持原仓（2021-11-30开）</t>
        </is>
      </c>
    </row>
    <row r="308">
      <c r="A308" t="inlineStr">
        <is>
          <t>2021-12-02</t>
        </is>
      </c>
      <c r="B308" t="inlineStr">
        <is>
          <t>沪金</t>
        </is>
      </c>
      <c r="C308" t="inlineStr">
        <is>
          <t>空</t>
        </is>
      </c>
      <c r="D308" t="n">
        <v>3</v>
      </c>
      <c r="E308" t="n">
        <v>6</v>
      </c>
      <c r="F308" t="inlineStr">
        <is>
          <t>不做</t>
        </is>
      </c>
      <c r="H308" t="n">
        <v>367</v>
      </c>
      <c r="J308" t="n">
        <v>1</v>
      </c>
      <c r="K308" t="inlineStr">
        <is>
          <t>1手风险13127元超过预算10000元</t>
        </is>
      </c>
    </row>
    <row r="309">
      <c r="A309" t="inlineStr">
        <is>
          <t>2021-12-02</t>
        </is>
      </c>
      <c r="B309" t="inlineStr">
        <is>
          <t>豆粕</t>
        </is>
      </c>
      <c r="C309" t="inlineStr">
        <is>
          <t>多</t>
        </is>
      </c>
      <c r="D309" t="n">
        <v>2</v>
      </c>
      <c r="E309" t="n">
        <v>4</v>
      </c>
      <c r="F309" t="inlineStr">
        <is>
          <t>观望</t>
        </is>
      </c>
      <c r="G309" t="n">
        <v>6</v>
      </c>
      <c r="H309" t="n">
        <v>3051</v>
      </c>
      <c r="I309" t="n">
        <v>2906.79</v>
      </c>
      <c r="J309" t="n">
        <v>1</v>
      </c>
      <c r="K309" t="inlineStr">
        <is>
          <t>逆5日线（收盘在5日线下，不追多）</t>
        </is>
      </c>
    </row>
    <row r="310">
      <c r="A310" t="inlineStr">
        <is>
          <t>2021-12-03</t>
        </is>
      </c>
      <c r="B310" t="inlineStr">
        <is>
          <t>菜粕</t>
        </is>
      </c>
      <c r="C310" t="inlineStr">
        <is>
          <t>多</t>
        </is>
      </c>
      <c r="D310" t="n">
        <v>3</v>
      </c>
      <c r="E310" t="n">
        <v>7</v>
      </c>
      <c r="F310" t="inlineStr">
        <is>
          <t>影子仓</t>
        </is>
      </c>
      <c r="G310" t="n">
        <v>4</v>
      </c>
      <c r="H310" t="n">
        <v>2734</v>
      </c>
      <c r="I310" t="n">
        <v>2526.57</v>
      </c>
      <c r="J310" t="n">
        <v>1</v>
      </c>
      <c r="K310" t="inlineStr">
        <is>
          <t>凯利≤0，开1%影子仓（只统计，不计入组合）</t>
        </is>
      </c>
    </row>
    <row r="311">
      <c r="A311" t="inlineStr">
        <is>
          <t>2021-12-03</t>
        </is>
      </c>
      <c r="B311" t="inlineStr">
        <is>
          <t>棕榈油</t>
        </is>
      </c>
      <c r="C311" t="inlineStr">
        <is>
          <t>多</t>
        </is>
      </c>
      <c r="D311" t="n">
        <v>3</v>
      </c>
      <c r="E311" t="n">
        <v>7</v>
      </c>
      <c r="F311" t="inlineStr">
        <is>
          <t>影子仓</t>
        </is>
      </c>
      <c r="G311" t="n">
        <v>1</v>
      </c>
      <c r="H311" t="n">
        <v>9482</v>
      </c>
      <c r="I311" t="n">
        <v>8580.290000000001</v>
      </c>
      <c r="J311" t="n">
        <v>1</v>
      </c>
      <c r="K311" t="inlineStr">
        <is>
          <t>凯利≤0，开1%影子仓（只统计，不计入组合）</t>
        </is>
      </c>
    </row>
    <row r="312">
      <c r="A312" t="inlineStr">
        <is>
          <t>2021-12-03</t>
        </is>
      </c>
      <c r="B312" t="inlineStr">
        <is>
          <t>沪银</t>
        </is>
      </c>
      <c r="C312" t="inlineStr">
        <is>
          <t>空</t>
        </is>
      </c>
      <c r="D312" t="n">
        <v>3</v>
      </c>
      <c r="E312" t="n">
        <v>6</v>
      </c>
      <c r="F312" t="inlineStr">
        <is>
          <t>续持</t>
        </is>
      </c>
      <c r="G312" t="n">
        <v>2</v>
      </c>
      <c r="H312" t="n">
        <v>4712</v>
      </c>
      <c r="I312" t="n">
        <v>4978.93</v>
      </c>
      <c r="J312" t="n">
        <v>1</v>
      </c>
      <c r="K312" t="inlineStr">
        <is>
          <t>续持原仓（2021-11-30开）</t>
        </is>
      </c>
    </row>
    <row r="313">
      <c r="A313" t="inlineStr">
        <is>
          <t>2021-12-03</t>
        </is>
      </c>
      <c r="B313" t="inlineStr">
        <is>
          <t>豆粕</t>
        </is>
      </c>
      <c r="C313" t="inlineStr">
        <is>
          <t>多</t>
        </is>
      </c>
      <c r="D313" t="n">
        <v>3</v>
      </c>
      <c r="E313" t="n">
        <v>6</v>
      </c>
      <c r="F313" t="inlineStr">
        <is>
          <t>续持</t>
        </is>
      </c>
      <c r="G313" t="n">
        <v>5</v>
      </c>
      <c r="H313" t="n">
        <v>3105</v>
      </c>
      <c r="I313" t="n">
        <v>2974.71</v>
      </c>
      <c r="J313" t="n">
        <v>1</v>
      </c>
      <c r="K313" t="inlineStr">
        <is>
          <t>续持原仓（2021-11-16开）</t>
        </is>
      </c>
    </row>
    <row r="314">
      <c r="A314" t="inlineStr">
        <is>
          <t>2021-12-03</t>
        </is>
      </c>
      <c r="B314" t="inlineStr">
        <is>
          <t>白糖</t>
        </is>
      </c>
      <c r="C314" t="inlineStr">
        <is>
          <t>空</t>
        </is>
      </c>
      <c r="D314" t="n">
        <v>2</v>
      </c>
      <c r="E314" t="n">
        <v>5</v>
      </c>
      <c r="F314" t="inlineStr">
        <is>
          <t>影子仓</t>
        </is>
      </c>
      <c r="G314" t="n">
        <v>5</v>
      </c>
      <c r="H314" t="n">
        <v>5877</v>
      </c>
      <c r="I314" t="n">
        <v>6070.07</v>
      </c>
      <c r="J314" t="n">
        <v>1</v>
      </c>
      <c r="K314" t="inlineStr">
        <is>
          <t>凯利≤0，开1%影子仓（只统计，不计入组合）</t>
        </is>
      </c>
    </row>
    <row r="315">
      <c r="A315" t="inlineStr">
        <is>
          <t>2021-12-06</t>
        </is>
      </c>
      <c r="B315" t="inlineStr">
        <is>
          <t>白糖</t>
        </is>
      </c>
      <c r="C315" t="inlineStr">
        <is>
          <t>空</t>
        </is>
      </c>
      <c r="D315" t="n">
        <v>2</v>
      </c>
      <c r="E315" t="n">
        <v>5</v>
      </c>
      <c r="F315" t="inlineStr">
        <is>
          <t>续持</t>
        </is>
      </c>
      <c r="G315" t="n">
        <v>5</v>
      </c>
      <c r="H315" t="n">
        <v>5886</v>
      </c>
      <c r="I315" t="n">
        <v>6030.29</v>
      </c>
      <c r="J315" t="n">
        <v>1</v>
      </c>
      <c r="K315" t="inlineStr">
        <is>
          <t>续持原仓（2021-12-03开）</t>
        </is>
      </c>
    </row>
    <row r="316">
      <c r="A316" t="inlineStr">
        <is>
          <t>2021-12-06</t>
        </is>
      </c>
      <c r="B316" t="inlineStr">
        <is>
          <t>沪银</t>
        </is>
      </c>
      <c r="C316" t="inlineStr">
        <is>
          <t>空</t>
        </is>
      </c>
      <c r="D316" t="n">
        <v>2</v>
      </c>
      <c r="E316" t="n">
        <v>5</v>
      </c>
      <c r="F316" t="inlineStr">
        <is>
          <t>续持</t>
        </is>
      </c>
      <c r="G316" t="n">
        <v>2</v>
      </c>
      <c r="H316" t="n">
        <v>4737</v>
      </c>
      <c r="I316" t="n">
        <v>4977</v>
      </c>
      <c r="J316" t="n">
        <v>1</v>
      </c>
      <c r="K316" t="inlineStr">
        <is>
          <t>续持原仓（2021-11-30开）</t>
        </is>
      </c>
    </row>
    <row r="317">
      <c r="A317" t="inlineStr">
        <is>
          <t>2021-12-06</t>
        </is>
      </c>
      <c r="B317" t="inlineStr">
        <is>
          <t>棉花</t>
        </is>
      </c>
      <c r="C317" t="inlineStr">
        <is>
          <t>多</t>
        </is>
      </c>
      <c r="D317" t="n">
        <v>2</v>
      </c>
      <c r="E317" t="n">
        <v>4</v>
      </c>
      <c r="F317" t="inlineStr">
        <is>
          <t>影子仓</t>
        </is>
      </c>
      <c r="G317" t="n">
        <v>1</v>
      </c>
      <c r="H317" t="n">
        <v>19615</v>
      </c>
      <c r="I317" t="n">
        <v>18380.71</v>
      </c>
      <c r="J317" t="n">
        <v>1</v>
      </c>
      <c r="K317" t="inlineStr">
        <is>
          <t>凯利≤0，开1%影子仓（只统计，不计入组合）</t>
        </is>
      </c>
    </row>
    <row r="318">
      <c r="A318" t="inlineStr">
        <is>
          <t>2021-12-06</t>
        </is>
      </c>
      <c r="B318" t="inlineStr">
        <is>
          <t>甲醇</t>
        </is>
      </c>
      <c r="C318" t="inlineStr">
        <is>
          <t>多</t>
        </is>
      </c>
      <c r="D318" t="n">
        <v>2</v>
      </c>
      <c r="E318" t="n">
        <v>4</v>
      </c>
      <c r="F318" t="inlineStr">
        <is>
          <t>影子仓</t>
        </is>
      </c>
      <c r="G318" t="n">
        <v>3</v>
      </c>
      <c r="H318" t="n">
        <v>2686</v>
      </c>
      <c r="I318" t="n">
        <v>2386.64</v>
      </c>
      <c r="J318" t="n">
        <v>1</v>
      </c>
      <c r="K318" t="inlineStr">
        <is>
          <t>凯利≤0，开1%影子仓（只统计，不计入组合）</t>
        </is>
      </c>
    </row>
    <row r="319">
      <c r="A319" t="inlineStr">
        <is>
          <t>2021-12-07</t>
        </is>
      </c>
      <c r="B319" t="inlineStr">
        <is>
          <t>白糖</t>
        </is>
      </c>
      <c r="C319" t="inlineStr">
        <is>
          <t>空</t>
        </is>
      </c>
      <c r="D319" t="n">
        <v>2</v>
      </c>
      <c r="E319" t="n">
        <v>5</v>
      </c>
      <c r="F319" t="inlineStr">
        <is>
          <t>观望</t>
        </is>
      </c>
      <c r="G319" t="n">
        <v>5</v>
      </c>
      <c r="H319" t="n">
        <v>5897</v>
      </c>
      <c r="I319" t="n">
        <v>6086</v>
      </c>
      <c r="J319" t="n">
        <v>1</v>
      </c>
      <c r="K319" t="inlineStr">
        <is>
          <t>逆5日线（收盘在5日线上，不追空）</t>
        </is>
      </c>
    </row>
    <row r="320">
      <c r="A320" t="inlineStr">
        <is>
          <t>2021-12-08</t>
        </is>
      </c>
      <c r="B320" t="inlineStr">
        <is>
          <t>白糖</t>
        </is>
      </c>
      <c r="C320" t="inlineStr">
        <is>
          <t>空</t>
        </is>
      </c>
      <c r="D320" t="n">
        <v>3</v>
      </c>
      <c r="E320" t="n">
        <v>6</v>
      </c>
      <c r="F320" t="inlineStr">
        <is>
          <t>观望</t>
        </is>
      </c>
      <c r="G320" t="n">
        <v>5</v>
      </c>
      <c r="H320" t="n">
        <v>5889</v>
      </c>
      <c r="I320" t="n">
        <v>6072.64</v>
      </c>
      <c r="J320" t="n">
        <v>1</v>
      </c>
      <c r="K320" t="inlineStr">
        <is>
          <t>逆5日线（收盘在5日线上，不追空）</t>
        </is>
      </c>
    </row>
    <row r="321">
      <c r="A321" t="inlineStr">
        <is>
          <t>2021-12-08</t>
        </is>
      </c>
      <c r="B321" t="inlineStr">
        <is>
          <t>沪银</t>
        </is>
      </c>
      <c r="C321" t="inlineStr">
        <is>
          <t>空</t>
        </is>
      </c>
      <c r="D321" t="n">
        <v>2</v>
      </c>
      <c r="E321" t="n">
        <v>5</v>
      </c>
      <c r="F321" t="inlineStr">
        <is>
          <t>观望</t>
        </is>
      </c>
      <c r="G321" t="n">
        <v>2</v>
      </c>
      <c r="H321" t="n">
        <v>4724</v>
      </c>
      <c r="I321" t="n">
        <v>5025.71</v>
      </c>
      <c r="J321" t="n">
        <v>1</v>
      </c>
      <c r="K321" t="inlineStr">
        <is>
          <t>逆5日线（收盘在5日线上，不追空）</t>
        </is>
      </c>
    </row>
    <row r="322">
      <c r="A322" t="inlineStr">
        <is>
          <t>2021-12-08</t>
        </is>
      </c>
      <c r="B322" t="inlineStr">
        <is>
          <t>沪金</t>
        </is>
      </c>
      <c r="C322" t="inlineStr">
        <is>
          <t>空</t>
        </is>
      </c>
      <c r="D322" t="n">
        <v>2</v>
      </c>
      <c r="E322" t="n">
        <v>5</v>
      </c>
      <c r="F322" t="inlineStr">
        <is>
          <t>观望</t>
        </is>
      </c>
      <c r="H322" t="n">
        <v>368.28</v>
      </c>
      <c r="J322" t="n">
        <v>1</v>
      </c>
      <c r="K322" t="inlineStr">
        <is>
          <t>逆5日线（收盘在5日线上，不追空）</t>
        </is>
      </c>
    </row>
    <row r="323">
      <c r="A323" t="inlineStr">
        <is>
          <t>2021-12-09</t>
        </is>
      </c>
      <c r="B323" t="inlineStr">
        <is>
          <t>沪银</t>
        </is>
      </c>
      <c r="C323" t="inlineStr">
        <is>
          <t>空</t>
        </is>
      </c>
      <c r="D323" t="n">
        <v>3</v>
      </c>
      <c r="E323" t="n">
        <v>6</v>
      </c>
      <c r="F323" t="inlineStr">
        <is>
          <t>影子仓</t>
        </is>
      </c>
      <c r="G323" t="n">
        <v>2</v>
      </c>
      <c r="H323" t="n">
        <v>4678</v>
      </c>
      <c r="I323" t="n">
        <v>4973.5</v>
      </c>
      <c r="J323" t="n">
        <v>1</v>
      </c>
      <c r="K323" t="inlineStr">
        <is>
          <t>凯利≤0，开1%影子仓（只统计，不计入组合）</t>
        </is>
      </c>
    </row>
    <row r="324">
      <c r="A324" t="inlineStr">
        <is>
          <t>2021-12-09</t>
        </is>
      </c>
      <c r="B324" t="inlineStr">
        <is>
          <t>白糖</t>
        </is>
      </c>
      <c r="C324" t="inlineStr">
        <is>
          <t>空</t>
        </is>
      </c>
      <c r="D324" t="n">
        <v>2</v>
      </c>
      <c r="E324" t="n">
        <v>5</v>
      </c>
      <c r="F324" t="inlineStr">
        <is>
          <t>观望</t>
        </is>
      </c>
      <c r="G324" t="n">
        <v>5</v>
      </c>
      <c r="H324" t="n">
        <v>5920</v>
      </c>
      <c r="I324" t="n">
        <v>6094</v>
      </c>
      <c r="J324" t="n">
        <v>1</v>
      </c>
      <c r="K324" t="inlineStr">
        <is>
          <t>逆5日线（收盘在5日线上，不追空）</t>
        </is>
      </c>
    </row>
    <row r="325">
      <c r="A325" t="inlineStr">
        <is>
          <t>2021-12-10</t>
        </is>
      </c>
      <c r="B325" t="inlineStr">
        <is>
          <t>铁矿石</t>
        </is>
      </c>
      <c r="C325" t="inlineStr">
        <is>
          <t>空</t>
        </is>
      </c>
      <c r="D325" t="n">
        <v>2</v>
      </c>
      <c r="E325" t="n">
        <v>5</v>
      </c>
      <c r="F325" t="inlineStr">
        <is>
          <t>不做</t>
        </is>
      </c>
      <c r="H325" t="n">
        <v>639.5</v>
      </c>
      <c r="J325" t="n">
        <v>0.8100000000000001</v>
      </c>
      <c r="K325" t="inlineStr">
        <is>
          <t>1手风险10296元超过预算8100元</t>
        </is>
      </c>
    </row>
    <row r="326">
      <c r="A326" t="inlineStr">
        <is>
          <t>2021-12-10</t>
        </is>
      </c>
      <c r="B326" t="inlineStr">
        <is>
          <t>沪金</t>
        </is>
      </c>
      <c r="C326" t="inlineStr">
        <is>
          <t>空</t>
        </is>
      </c>
      <c r="D326" t="n">
        <v>2</v>
      </c>
      <c r="E326" t="n">
        <v>4</v>
      </c>
      <c r="F326" t="inlineStr">
        <is>
          <t>不做</t>
        </is>
      </c>
      <c r="H326" t="n">
        <v>365.62</v>
      </c>
      <c r="J326" t="n">
        <v>0.8100000000000001</v>
      </c>
      <c r="K326" t="inlineStr">
        <is>
          <t>1手风险11790元超过预算8100元</t>
        </is>
      </c>
    </row>
    <row r="327">
      <c r="A327" t="inlineStr">
        <is>
          <t>2021-12-10</t>
        </is>
      </c>
      <c r="B327" t="inlineStr">
        <is>
          <t>玉米</t>
        </is>
      </c>
      <c r="C327" t="inlineStr">
        <is>
          <t>多</t>
        </is>
      </c>
      <c r="D327" t="n">
        <v>2</v>
      </c>
      <c r="E327" t="n">
        <v>4</v>
      </c>
      <c r="F327" t="inlineStr">
        <is>
          <t>开仓</t>
        </is>
      </c>
      <c r="G327" t="n">
        <v>9</v>
      </c>
      <c r="H327" t="n">
        <v>2705</v>
      </c>
      <c r="I327" t="n">
        <v>2616.71</v>
      </c>
      <c r="J327" t="n">
        <v>0.8100000000000001</v>
      </c>
      <c r="K327" t="inlineStr">
        <is>
          <t>¼凯利</t>
        </is>
      </c>
    </row>
    <row r="328">
      <c r="A328" t="inlineStr">
        <is>
          <t>2021-12-13</t>
        </is>
      </c>
      <c r="B328" t="inlineStr">
        <is>
          <t>沪金</t>
        </is>
      </c>
      <c r="C328" t="inlineStr">
        <is>
          <t>空</t>
        </is>
      </c>
      <c r="D328" t="n">
        <v>2</v>
      </c>
      <c r="E328" t="n">
        <v>5</v>
      </c>
      <c r="F328" t="inlineStr">
        <is>
          <t>观望</t>
        </is>
      </c>
      <c r="G328" t="n">
        <v>1</v>
      </c>
      <c r="H328" t="n">
        <v>368.14</v>
      </c>
      <c r="I328" t="n">
        <v>379.19</v>
      </c>
      <c r="J328" t="n">
        <v>1.46</v>
      </c>
      <c r="K328" t="inlineStr">
        <is>
          <t>逆5日线（收盘在5日线上，不追空）</t>
        </is>
      </c>
    </row>
    <row r="329">
      <c r="A329" t="inlineStr">
        <is>
          <t>2021-12-13</t>
        </is>
      </c>
      <c r="B329" t="inlineStr">
        <is>
          <t>棉花</t>
        </is>
      </c>
      <c r="C329" t="inlineStr">
        <is>
          <t>多</t>
        </is>
      </c>
      <c r="D329" t="n">
        <v>2</v>
      </c>
      <c r="E329" t="n">
        <v>5</v>
      </c>
      <c r="F329" t="inlineStr">
        <is>
          <t>开仓</t>
        </is>
      </c>
      <c r="G329" t="n">
        <v>2</v>
      </c>
      <c r="H329" t="n">
        <v>19615</v>
      </c>
      <c r="I329" t="n">
        <v>18250</v>
      </c>
      <c r="J329" t="n">
        <v>1.46</v>
      </c>
      <c r="K329" t="inlineStr">
        <is>
          <t>¼凯利</t>
        </is>
      </c>
    </row>
    <row r="330">
      <c r="A330" t="inlineStr">
        <is>
          <t>2021-12-13</t>
        </is>
      </c>
      <c r="B330" t="inlineStr">
        <is>
          <t>甲醇</t>
        </is>
      </c>
      <c r="C330" t="inlineStr">
        <is>
          <t>多</t>
        </is>
      </c>
      <c r="D330" t="n">
        <v>2</v>
      </c>
      <c r="E330" t="n">
        <v>5</v>
      </c>
      <c r="F330" t="inlineStr">
        <is>
          <t>开仓</t>
        </is>
      </c>
      <c r="G330" t="n">
        <v>5</v>
      </c>
      <c r="H330" t="n">
        <v>2717</v>
      </c>
      <c r="I330" t="n">
        <v>2430.5</v>
      </c>
      <c r="J330" t="n">
        <v>1.46</v>
      </c>
      <c r="K330" t="inlineStr">
        <is>
          <t>¼凯利</t>
        </is>
      </c>
    </row>
    <row r="331">
      <c r="A331" t="inlineStr">
        <is>
          <t>2021-12-14</t>
        </is>
      </c>
      <c r="B331" t="inlineStr">
        <is>
          <t>白糖</t>
        </is>
      </c>
      <c r="C331" t="inlineStr">
        <is>
          <t>空</t>
        </is>
      </c>
      <c r="D331" t="n">
        <v>3</v>
      </c>
      <c r="E331" t="n">
        <v>6</v>
      </c>
      <c r="F331" t="inlineStr">
        <is>
          <t>影子仓</t>
        </is>
      </c>
      <c r="G331" t="n">
        <v>4</v>
      </c>
      <c r="H331" t="n">
        <v>5802</v>
      </c>
      <c r="I331" t="n">
        <v>6009.43</v>
      </c>
      <c r="J331" t="n">
        <v>1</v>
      </c>
      <c r="K331" t="inlineStr">
        <is>
          <t>凯利≤0，开1%影子仓（只统计，不计入组合）</t>
        </is>
      </c>
    </row>
    <row r="332">
      <c r="A332" t="inlineStr">
        <is>
          <t>2021-12-14</t>
        </is>
      </c>
      <c r="B332" t="inlineStr">
        <is>
          <t>沪金</t>
        </is>
      </c>
      <c r="C332" t="inlineStr">
        <is>
          <t>空</t>
        </is>
      </c>
      <c r="D332" t="n">
        <v>2</v>
      </c>
      <c r="E332" t="n">
        <v>5</v>
      </c>
      <c r="F332" t="inlineStr">
        <is>
          <t>观望</t>
        </is>
      </c>
      <c r="G332" t="n">
        <v>1</v>
      </c>
      <c r="H332" t="n">
        <v>368.52</v>
      </c>
      <c r="I332" t="n">
        <v>379.09</v>
      </c>
      <c r="J332" t="n">
        <v>1.41</v>
      </c>
      <c r="K332" t="inlineStr">
        <is>
          <t>逆5日线（收盘在5日线上，不追空）</t>
        </is>
      </c>
    </row>
    <row r="333">
      <c r="A333" t="inlineStr">
        <is>
          <t>2021-12-15</t>
        </is>
      </c>
      <c r="B333" t="inlineStr">
        <is>
          <t>白糖</t>
        </is>
      </c>
      <c r="C333" t="inlineStr">
        <is>
          <t>空</t>
        </is>
      </c>
      <c r="D333" t="n">
        <v>3</v>
      </c>
      <c r="E333" t="n">
        <v>6</v>
      </c>
      <c r="F333" t="inlineStr">
        <is>
          <t>续持</t>
        </is>
      </c>
      <c r="G333" t="n">
        <v>4</v>
      </c>
      <c r="H333" t="n">
        <v>5791</v>
      </c>
      <c r="I333" t="n">
        <v>5995.14</v>
      </c>
      <c r="J333" t="n">
        <v>1</v>
      </c>
      <c r="K333" t="inlineStr">
        <is>
          <t>续持原仓（2021-12-14开）</t>
        </is>
      </c>
    </row>
    <row r="334">
      <c r="A334" t="inlineStr">
        <is>
          <t>2021-12-15</t>
        </is>
      </c>
      <c r="B334" t="inlineStr">
        <is>
          <t>沪金</t>
        </is>
      </c>
      <c r="C334" t="inlineStr">
        <is>
          <t>空</t>
        </is>
      </c>
      <c r="D334" t="n">
        <v>2</v>
      </c>
      <c r="E334" t="n">
        <v>5</v>
      </c>
      <c r="F334" t="inlineStr">
        <is>
          <t>开仓</t>
        </is>
      </c>
      <c r="G334" t="n">
        <v>1</v>
      </c>
      <c r="H334" t="n">
        <v>364.36</v>
      </c>
      <c r="I334" t="n">
        <v>375.41</v>
      </c>
      <c r="J334" t="n">
        <v>1.41</v>
      </c>
      <c r="K334" t="inlineStr">
        <is>
          <t>¼凯利</t>
        </is>
      </c>
    </row>
    <row r="335">
      <c r="A335" t="inlineStr">
        <is>
          <t>2021-12-15</t>
        </is>
      </c>
      <c r="B335" t="inlineStr">
        <is>
          <t>棕榈油</t>
        </is>
      </c>
      <c r="C335" t="inlineStr">
        <is>
          <t>空</t>
        </is>
      </c>
      <c r="D335" t="n">
        <v>2</v>
      </c>
      <c r="E335" t="n">
        <v>5</v>
      </c>
      <c r="F335" t="inlineStr">
        <is>
          <t>开仓</t>
        </is>
      </c>
      <c r="G335" t="n">
        <v>1</v>
      </c>
      <c r="H335" t="n">
        <v>7678</v>
      </c>
      <c r="I335" t="n">
        <v>8552.709999999999</v>
      </c>
      <c r="J335" t="n">
        <v>1.41</v>
      </c>
      <c r="K335" t="inlineStr">
        <is>
          <t>¼凯利</t>
        </is>
      </c>
    </row>
    <row r="336">
      <c r="A336" t="inlineStr">
        <is>
          <t>2021-12-15</t>
        </is>
      </c>
      <c r="B336" t="inlineStr">
        <is>
          <t>沥青</t>
        </is>
      </c>
      <c r="C336" t="inlineStr">
        <is>
          <t>空</t>
        </is>
      </c>
      <c r="D336" t="n">
        <v>2</v>
      </c>
      <c r="E336" t="n">
        <v>5</v>
      </c>
      <c r="F336" t="inlineStr">
        <is>
          <t>开仓</t>
        </is>
      </c>
      <c r="G336" t="n">
        <v>4</v>
      </c>
      <c r="H336" t="n">
        <v>2914</v>
      </c>
      <c r="I336" t="n">
        <v>3202.86</v>
      </c>
      <c r="J336" t="n">
        <v>1.41</v>
      </c>
      <c r="K336" t="inlineStr">
        <is>
          <t>¼凯利</t>
        </is>
      </c>
    </row>
    <row r="337">
      <c r="A337" t="inlineStr">
        <is>
          <t>2021-12-16</t>
        </is>
      </c>
      <c r="B337" t="inlineStr">
        <is>
          <t>热卷</t>
        </is>
      </c>
      <c r="C337" t="inlineStr">
        <is>
          <t>多</t>
        </is>
      </c>
      <c r="D337" t="n">
        <v>3</v>
      </c>
      <c r="E337" t="n">
        <v>7</v>
      </c>
      <c r="F337" t="inlineStr">
        <is>
          <t>影子仓</t>
        </is>
      </c>
      <c r="G337" t="n">
        <v>2</v>
      </c>
      <c r="H337" t="n">
        <v>4719</v>
      </c>
      <c r="I337" t="n">
        <v>4351.93</v>
      </c>
      <c r="J337" t="n">
        <v>1</v>
      </c>
      <c r="K337" t="inlineStr">
        <is>
          <t>凯利≤0，开1%影子仓（只统计，不计入组合）</t>
        </is>
      </c>
    </row>
    <row r="338">
      <c r="A338" t="inlineStr">
        <is>
          <t>2021-12-16</t>
        </is>
      </c>
      <c r="B338" t="inlineStr">
        <is>
          <t>螺纹钢</t>
        </is>
      </c>
      <c r="C338" t="inlineStr">
        <is>
          <t>多</t>
        </is>
      </c>
      <c r="D338" t="n">
        <v>3</v>
      </c>
      <c r="E338" t="n">
        <v>7</v>
      </c>
      <c r="F338" t="inlineStr">
        <is>
          <t>影子仓</t>
        </is>
      </c>
      <c r="G338" t="n">
        <v>2</v>
      </c>
      <c r="H338" t="n">
        <v>4529</v>
      </c>
      <c r="I338" t="n">
        <v>4167.07</v>
      </c>
      <c r="J338" t="n">
        <v>1</v>
      </c>
      <c r="K338" t="inlineStr">
        <is>
          <t>凯利≤0，开1%影子仓（只统计，不计入组合）</t>
        </is>
      </c>
    </row>
    <row r="339">
      <c r="A339" t="inlineStr">
        <is>
          <t>2021-12-16</t>
        </is>
      </c>
      <c r="B339" t="inlineStr">
        <is>
          <t>白糖</t>
        </is>
      </c>
      <c r="C339" t="inlineStr">
        <is>
          <t>空</t>
        </is>
      </c>
      <c r="D339" t="n">
        <v>2</v>
      </c>
      <c r="E339" t="n">
        <v>5</v>
      </c>
      <c r="F339" t="inlineStr">
        <is>
          <t>续持</t>
        </is>
      </c>
      <c r="G339" t="n">
        <v>4</v>
      </c>
      <c r="H339" t="n">
        <v>5780</v>
      </c>
      <c r="I339" t="n">
        <v>5941.93</v>
      </c>
      <c r="J339" t="n">
        <v>1</v>
      </c>
      <c r="K339" t="inlineStr">
        <is>
          <t>续持原仓（2021-12-14开）</t>
        </is>
      </c>
    </row>
    <row r="340">
      <c r="A340" t="inlineStr">
        <is>
          <t>2021-12-16</t>
        </is>
      </c>
      <c r="B340" t="inlineStr">
        <is>
          <t>棉花</t>
        </is>
      </c>
      <c r="C340" t="inlineStr">
        <is>
          <t>多</t>
        </is>
      </c>
      <c r="D340" t="n">
        <v>2</v>
      </c>
      <c r="E340" t="n">
        <v>4</v>
      </c>
      <c r="F340" t="inlineStr">
        <is>
          <t>不做</t>
        </is>
      </c>
      <c r="H340" t="n">
        <v>19690</v>
      </c>
      <c r="J340" t="n">
        <v>0.4</v>
      </c>
      <c r="K340" t="inlineStr">
        <is>
          <t>1手风险7050元超过预算4000元</t>
        </is>
      </c>
    </row>
    <row r="341">
      <c r="A341" t="inlineStr">
        <is>
          <t>2021-12-16</t>
        </is>
      </c>
      <c r="B341" t="inlineStr">
        <is>
          <t>沪铝</t>
        </is>
      </c>
      <c r="C341" t="inlineStr">
        <is>
          <t>多</t>
        </is>
      </c>
      <c r="D341" t="n">
        <v>2</v>
      </c>
      <c r="E341" t="n">
        <v>4</v>
      </c>
      <c r="F341" t="inlineStr">
        <is>
          <t>不做</t>
        </is>
      </c>
      <c r="H341" t="n">
        <v>19230</v>
      </c>
      <c r="J341" t="n">
        <v>0.4</v>
      </c>
      <c r="K341" t="inlineStr">
        <is>
          <t>1手风险5695元超过预算4000元</t>
        </is>
      </c>
    </row>
    <row r="342">
      <c r="A342" t="inlineStr">
        <is>
          <t>2021-12-17</t>
        </is>
      </c>
      <c r="B342" t="inlineStr">
        <is>
          <t>沪铝</t>
        </is>
      </c>
      <c r="C342" t="inlineStr">
        <is>
          <t>多</t>
        </is>
      </c>
      <c r="D342" t="n">
        <v>3</v>
      </c>
      <c r="E342" t="n">
        <v>6</v>
      </c>
      <c r="F342" t="inlineStr">
        <is>
          <t>影子仓</t>
        </is>
      </c>
      <c r="G342" t="n">
        <v>1</v>
      </c>
      <c r="H342" t="n">
        <v>19765</v>
      </c>
      <c r="I342" t="n">
        <v>18621.79</v>
      </c>
      <c r="J342" t="n">
        <v>1</v>
      </c>
      <c r="K342" t="inlineStr">
        <is>
          <t>凯利≤0，开1%影子仓（只统计，不计入组合）</t>
        </is>
      </c>
    </row>
    <row r="343">
      <c r="A343" t="inlineStr">
        <is>
          <t>2021-12-17</t>
        </is>
      </c>
      <c r="B343" t="inlineStr">
        <is>
          <t>沪银</t>
        </is>
      </c>
      <c r="C343" t="inlineStr">
        <is>
          <t>多</t>
        </is>
      </c>
      <c r="D343" t="n">
        <v>2</v>
      </c>
      <c r="E343" t="n">
        <v>4</v>
      </c>
      <c r="F343" t="inlineStr">
        <is>
          <t>不做</t>
        </is>
      </c>
      <c r="H343" t="n">
        <v>4803</v>
      </c>
      <c r="J343" t="n">
        <v>0.4</v>
      </c>
      <c r="K343" t="inlineStr">
        <is>
          <t>1手风险4172元超过预算4000元</t>
        </is>
      </c>
    </row>
    <row r="344">
      <c r="A344" t="inlineStr">
        <is>
          <t>2021-12-20</t>
        </is>
      </c>
      <c r="B344" t="inlineStr">
        <is>
          <t>棕榈油</t>
        </is>
      </c>
      <c r="C344" t="inlineStr">
        <is>
          <t>空</t>
        </is>
      </c>
      <c r="D344" t="n">
        <v>2</v>
      </c>
      <c r="E344" t="n">
        <v>5</v>
      </c>
      <c r="F344" t="inlineStr">
        <is>
          <t>续持</t>
        </is>
      </c>
      <c r="G344" t="n">
        <v>1</v>
      </c>
      <c r="H344" t="n">
        <v>7708</v>
      </c>
      <c r="I344" t="n">
        <v>8432.860000000001</v>
      </c>
      <c r="J344" t="n">
        <v>1.41</v>
      </c>
      <c r="K344" t="inlineStr">
        <is>
          <t>续持原仓（2021-12-15开）</t>
        </is>
      </c>
    </row>
    <row r="345">
      <c r="A345" t="inlineStr">
        <is>
          <t>2021-12-20</t>
        </is>
      </c>
      <c r="B345" t="inlineStr">
        <is>
          <t>聚丙烯</t>
        </is>
      </c>
      <c r="C345" t="inlineStr">
        <is>
          <t>空</t>
        </is>
      </c>
      <c r="D345" t="n">
        <v>2</v>
      </c>
      <c r="E345" t="n">
        <v>4</v>
      </c>
      <c r="F345" t="inlineStr">
        <is>
          <t>观望</t>
        </is>
      </c>
      <c r="G345" t="n">
        <v>1</v>
      </c>
      <c r="H345" t="n">
        <v>8102</v>
      </c>
      <c r="I345" t="n">
        <v>8629.790000000001</v>
      </c>
      <c r="J345" t="n">
        <v>0.4</v>
      </c>
      <c r="K345" t="inlineStr">
        <is>
          <t>逆5日线（收盘在5日线上，不追空）</t>
        </is>
      </c>
    </row>
    <row r="346">
      <c r="A346" t="inlineStr">
        <is>
          <t>2021-12-21</t>
        </is>
      </c>
      <c r="B346" t="inlineStr">
        <is>
          <t>白糖</t>
        </is>
      </c>
      <c r="C346" t="inlineStr">
        <is>
          <t>多</t>
        </is>
      </c>
      <c r="D346" t="n">
        <v>2</v>
      </c>
      <c r="E346" t="n">
        <v>4</v>
      </c>
      <c r="F346" t="inlineStr">
        <is>
          <t>观望</t>
        </is>
      </c>
      <c r="G346" t="n">
        <v>1</v>
      </c>
      <c r="H346" t="n">
        <v>5705</v>
      </c>
      <c r="I346" t="n">
        <v>5498.21</v>
      </c>
      <c r="J346" t="n">
        <v>0.4</v>
      </c>
      <c r="K346" t="inlineStr">
        <is>
          <t>逆5日线（收盘在5日线下，不追多）</t>
        </is>
      </c>
    </row>
    <row r="347">
      <c r="A347" t="inlineStr">
        <is>
          <t>2021-12-22</t>
        </is>
      </c>
      <c r="B347" t="inlineStr">
        <is>
          <t>沪铜</t>
        </is>
      </c>
      <c r="C347" t="inlineStr">
        <is>
          <t>多</t>
        </is>
      </c>
      <c r="D347" t="n">
        <v>2</v>
      </c>
      <c r="E347" t="n">
        <v>4</v>
      </c>
      <c r="F347" t="inlineStr">
        <is>
          <t>不做</t>
        </is>
      </c>
      <c r="H347" t="n">
        <v>69690</v>
      </c>
      <c r="J347" t="n">
        <v>0.4</v>
      </c>
      <c r="K347" t="inlineStr">
        <is>
          <t>1手风险13736元超过预算4000元</t>
        </is>
      </c>
    </row>
    <row r="348">
      <c r="A348" t="inlineStr">
        <is>
          <t>2021-12-22</t>
        </is>
      </c>
      <c r="B348" t="inlineStr">
        <is>
          <t>棉花</t>
        </is>
      </c>
      <c r="C348" t="inlineStr">
        <is>
          <t>多</t>
        </is>
      </c>
      <c r="D348" t="n">
        <v>2</v>
      </c>
      <c r="E348" t="n">
        <v>4</v>
      </c>
      <c r="F348" t="inlineStr">
        <is>
          <t>不做</t>
        </is>
      </c>
      <c r="H348" t="n">
        <v>19870</v>
      </c>
      <c r="J348" t="n">
        <v>0.4</v>
      </c>
      <c r="K348" t="inlineStr">
        <is>
          <t>1手风险4918元超过预算4000元</t>
        </is>
      </c>
    </row>
    <row r="349">
      <c r="A349" t="inlineStr">
        <is>
          <t>2021-12-22</t>
        </is>
      </c>
      <c r="B349" t="inlineStr">
        <is>
          <t>白糖</t>
        </is>
      </c>
      <c r="C349" t="inlineStr">
        <is>
          <t>多</t>
        </is>
      </c>
      <c r="D349" t="n">
        <v>2</v>
      </c>
      <c r="E349" t="n">
        <v>4</v>
      </c>
      <c r="F349" t="inlineStr">
        <is>
          <t>观望</t>
        </is>
      </c>
      <c r="G349" t="n">
        <v>1</v>
      </c>
      <c r="H349" t="n">
        <v>5727</v>
      </c>
      <c r="I349" t="n">
        <v>5524.71</v>
      </c>
      <c r="J349" t="n">
        <v>0.4</v>
      </c>
      <c r="K349" t="inlineStr">
        <is>
          <t>逆5日线（收盘在5日线下，不追多）</t>
        </is>
      </c>
    </row>
    <row r="350">
      <c r="A350" t="inlineStr">
        <is>
          <t>2021-12-23</t>
        </is>
      </c>
      <c r="B350" t="inlineStr">
        <is>
          <t>棉花</t>
        </is>
      </c>
      <c r="C350" t="inlineStr">
        <is>
          <t>多</t>
        </is>
      </c>
      <c r="D350" t="n">
        <v>3</v>
      </c>
      <c r="E350" t="n">
        <v>6</v>
      </c>
      <c r="F350" t="inlineStr">
        <is>
          <t>影子仓</t>
        </is>
      </c>
      <c r="G350" t="n">
        <v>2</v>
      </c>
      <c r="H350" t="n">
        <v>20045</v>
      </c>
      <c r="I350" t="n">
        <v>19053.93</v>
      </c>
      <c r="J350" t="n">
        <v>1</v>
      </c>
      <c r="K350" t="inlineStr">
        <is>
          <t>凯利≤0，开1%影子仓（只统计，不计入组合）</t>
        </is>
      </c>
    </row>
    <row r="351">
      <c r="A351" t="inlineStr">
        <is>
          <t>2021-12-23</t>
        </is>
      </c>
      <c r="B351" t="inlineStr">
        <is>
          <t>白糖</t>
        </is>
      </c>
      <c r="C351" t="inlineStr">
        <is>
          <t>多</t>
        </is>
      </c>
      <c r="D351" t="n">
        <v>2</v>
      </c>
      <c r="E351" t="n">
        <v>5</v>
      </c>
      <c r="F351" t="inlineStr">
        <is>
          <t>影子仓</t>
        </is>
      </c>
      <c r="G351" t="n">
        <v>4</v>
      </c>
      <c r="H351" t="n">
        <v>5744</v>
      </c>
      <c r="I351" t="n">
        <v>5540.86</v>
      </c>
      <c r="J351" t="n">
        <v>1</v>
      </c>
      <c r="K351" t="inlineStr">
        <is>
          <t>凯利≤0，开1%影子仓（只统计，不计入组合）</t>
        </is>
      </c>
    </row>
    <row r="352">
      <c r="A352" t="inlineStr">
        <is>
          <t>2021-12-23</t>
        </is>
      </c>
      <c r="B352" t="inlineStr">
        <is>
          <t>沪铝</t>
        </is>
      </c>
      <c r="C352" t="inlineStr">
        <is>
          <t>多</t>
        </is>
      </c>
      <c r="D352" t="n">
        <v>2</v>
      </c>
      <c r="E352" t="n">
        <v>4</v>
      </c>
      <c r="F352" t="inlineStr">
        <is>
          <t>影子仓</t>
        </is>
      </c>
      <c r="G352" t="n">
        <v>1</v>
      </c>
      <c r="H352" t="n">
        <v>20315</v>
      </c>
      <c r="I352" t="n">
        <v>19285.36</v>
      </c>
      <c r="J352" t="n">
        <v>1</v>
      </c>
      <c r="K352" t="inlineStr">
        <is>
          <t>凯利≤0，开1%影子仓（只统计，不计入组合）</t>
        </is>
      </c>
    </row>
    <row r="353">
      <c r="A353" t="inlineStr">
        <is>
          <t>2021-12-24</t>
        </is>
      </c>
      <c r="B353" t="inlineStr">
        <is>
          <t>棉花</t>
        </is>
      </c>
      <c r="C353" t="inlineStr">
        <is>
          <t>多</t>
        </is>
      </c>
      <c r="D353" t="n">
        <v>3</v>
      </c>
      <c r="E353" t="n">
        <v>6</v>
      </c>
      <c r="F353" t="inlineStr">
        <is>
          <t>续持</t>
        </is>
      </c>
      <c r="G353" t="n">
        <v>2</v>
      </c>
      <c r="H353" t="n">
        <v>19985</v>
      </c>
      <c r="I353" t="n">
        <v>19135.71</v>
      </c>
      <c r="J353" t="n">
        <v>1</v>
      </c>
      <c r="K353" t="inlineStr">
        <is>
          <t>续持原仓（2021-12-23开）</t>
        </is>
      </c>
    </row>
    <row r="354">
      <c r="A354" t="inlineStr">
        <is>
          <t>2021-12-24</t>
        </is>
      </c>
      <c r="B354" t="inlineStr">
        <is>
          <t>豆粕</t>
        </is>
      </c>
      <c r="C354" t="inlineStr">
        <is>
          <t>多</t>
        </is>
      </c>
      <c r="D354" t="n">
        <v>3</v>
      </c>
      <c r="E354" t="n">
        <v>6</v>
      </c>
      <c r="F354" t="inlineStr">
        <is>
          <t>续持</t>
        </is>
      </c>
      <c r="G354" t="n">
        <v>5</v>
      </c>
      <c r="H354" t="n">
        <v>3263</v>
      </c>
      <c r="I354" t="n">
        <v>3111.93</v>
      </c>
      <c r="J354" t="n">
        <v>1</v>
      </c>
      <c r="K354" t="inlineStr">
        <is>
          <t>续持原仓（2021-11-16开）</t>
        </is>
      </c>
    </row>
    <row r="355">
      <c r="A355" t="inlineStr">
        <is>
          <t>2021-12-24</t>
        </is>
      </c>
      <c r="B355" t="inlineStr">
        <is>
          <t>PVC</t>
        </is>
      </c>
      <c r="C355" t="inlineStr">
        <is>
          <t>多</t>
        </is>
      </c>
      <c r="D355" t="n">
        <v>2</v>
      </c>
      <c r="E355" t="n">
        <v>5</v>
      </c>
      <c r="F355" t="inlineStr">
        <is>
          <t>影子仓</t>
        </is>
      </c>
      <c r="G355" t="n">
        <v>2</v>
      </c>
      <c r="H355" t="n">
        <v>8489</v>
      </c>
      <c r="I355" t="n">
        <v>7798.14</v>
      </c>
      <c r="J355" t="n">
        <v>1</v>
      </c>
      <c r="K355" t="inlineStr">
        <is>
          <t>凯利≤0，开1%影子仓（只统计，不计入组合）</t>
        </is>
      </c>
    </row>
    <row r="356">
      <c r="A356" t="inlineStr">
        <is>
          <t>2021-12-24</t>
        </is>
      </c>
      <c r="B356" t="inlineStr">
        <is>
          <t>塑料</t>
        </is>
      </c>
      <c r="C356" t="inlineStr">
        <is>
          <t>多</t>
        </is>
      </c>
      <c r="D356" t="n">
        <v>2</v>
      </c>
      <c r="E356" t="n">
        <v>5</v>
      </c>
      <c r="F356" t="inlineStr">
        <is>
          <t>影子仓</t>
        </is>
      </c>
      <c r="G356" t="n">
        <v>3</v>
      </c>
      <c r="H356" t="n">
        <v>8598</v>
      </c>
      <c r="I356" t="n">
        <v>7992.43</v>
      </c>
      <c r="J356" t="n">
        <v>1</v>
      </c>
      <c r="K356" t="inlineStr">
        <is>
          <t>凯利≤0，开1%影子仓（只统计，不计入组合）</t>
        </is>
      </c>
    </row>
    <row r="357">
      <c r="A357" t="inlineStr">
        <is>
          <t>2021-12-27</t>
        </is>
      </c>
      <c r="B357" t="inlineStr">
        <is>
          <t>沪镍</t>
        </is>
      </c>
      <c r="C357" t="inlineStr">
        <is>
          <t>空</t>
        </is>
      </c>
      <c r="D357" t="n">
        <v>2</v>
      </c>
      <c r="E357" t="n">
        <v>4</v>
      </c>
      <c r="F357" t="inlineStr">
        <is>
          <t>观望</t>
        </is>
      </c>
      <c r="G357" t="n">
        <v>1</v>
      </c>
      <c r="H357" t="n">
        <v>147900</v>
      </c>
      <c r="I357" t="n">
        <v>156289.29</v>
      </c>
      <c r="J357" t="n">
        <v>1</v>
      </c>
      <c r="K357" t="inlineStr">
        <is>
          <t>逆5日线（收盘在5日线上，不追空）</t>
        </is>
      </c>
    </row>
    <row r="358">
      <c r="A358" t="inlineStr">
        <is>
          <t>2021-12-27</t>
        </is>
      </c>
      <c r="B358" t="inlineStr">
        <is>
          <t>沪铝</t>
        </is>
      </c>
      <c r="C358" t="inlineStr">
        <is>
          <t>空</t>
        </is>
      </c>
      <c r="D358" t="n">
        <v>2</v>
      </c>
      <c r="E358" t="n">
        <v>4</v>
      </c>
      <c r="F358" t="inlineStr">
        <is>
          <t>影子仓</t>
        </is>
      </c>
      <c r="G358" t="n">
        <v>1</v>
      </c>
      <c r="H358" t="n">
        <v>19665</v>
      </c>
      <c r="I358" t="n">
        <v>20750.36</v>
      </c>
      <c r="J358" t="n">
        <v>1</v>
      </c>
      <c r="K358" t="inlineStr">
        <is>
          <t>凯利≤0，开1%影子仓（只统计，不计入组合）</t>
        </is>
      </c>
    </row>
    <row r="359">
      <c r="A359" t="inlineStr">
        <is>
          <t>2021-12-28</t>
        </is>
      </c>
      <c r="B359" t="inlineStr">
        <is>
          <t>沪银</t>
        </is>
      </c>
      <c r="C359" t="inlineStr">
        <is>
          <t>多</t>
        </is>
      </c>
      <c r="D359" t="n">
        <v>3</v>
      </c>
      <c r="E359" t="n">
        <v>6</v>
      </c>
      <c r="F359" t="inlineStr">
        <is>
          <t>影子仓</t>
        </is>
      </c>
      <c r="G359" t="n">
        <v>2</v>
      </c>
      <c r="H359" t="n">
        <v>4879</v>
      </c>
      <c r="I359" t="n">
        <v>4634.93</v>
      </c>
      <c r="J359" t="n">
        <v>1</v>
      </c>
      <c r="K359" t="inlineStr">
        <is>
          <t>凯利≤0，开1%影子仓（只统计，不计入组合）</t>
        </is>
      </c>
    </row>
    <row r="360">
      <c r="A360" t="inlineStr">
        <is>
          <t>2021-12-28</t>
        </is>
      </c>
      <c r="B360" t="inlineStr">
        <is>
          <t>PVC</t>
        </is>
      </c>
      <c r="C360" t="inlineStr">
        <is>
          <t>多</t>
        </is>
      </c>
      <c r="D360" t="n">
        <v>2</v>
      </c>
      <c r="E360" t="n">
        <v>5</v>
      </c>
      <c r="F360" t="inlineStr">
        <is>
          <t>续持</t>
        </is>
      </c>
      <c r="G360" t="n">
        <v>2</v>
      </c>
      <c r="H360" t="n">
        <v>8483</v>
      </c>
      <c r="I360" t="n">
        <v>7891.86</v>
      </c>
      <c r="J360" t="n">
        <v>1</v>
      </c>
      <c r="K360" t="inlineStr">
        <is>
          <t>续持原仓（2021-12-24开）</t>
        </is>
      </c>
    </row>
    <row r="361">
      <c r="A361" t="inlineStr">
        <is>
          <t>2021-12-28</t>
        </is>
      </c>
      <c r="B361" t="inlineStr">
        <is>
          <t>塑料</t>
        </is>
      </c>
      <c r="C361" t="inlineStr">
        <is>
          <t>多</t>
        </is>
      </c>
      <c r="D361" t="n">
        <v>2</v>
      </c>
      <c r="E361" t="n">
        <v>5</v>
      </c>
      <c r="F361" t="inlineStr">
        <is>
          <t>续持</t>
        </is>
      </c>
      <c r="G361" t="n">
        <v>3</v>
      </c>
      <c r="H361" t="n">
        <v>8503</v>
      </c>
      <c r="I361" t="n">
        <v>8030</v>
      </c>
      <c r="J361" t="n">
        <v>1</v>
      </c>
      <c r="K361" t="inlineStr">
        <is>
          <t>续持原仓（2021-12-24开）</t>
        </is>
      </c>
    </row>
    <row r="362">
      <c r="A362" t="inlineStr">
        <is>
          <t>2021-12-28</t>
        </is>
      </c>
      <c r="B362" t="inlineStr">
        <is>
          <t>铁矿石</t>
        </is>
      </c>
      <c r="C362" t="inlineStr">
        <is>
          <t>空</t>
        </is>
      </c>
      <c r="D362" t="n">
        <v>2</v>
      </c>
      <c r="E362" t="n">
        <v>4</v>
      </c>
      <c r="F362" t="inlineStr">
        <is>
          <t>影子仓</t>
        </is>
      </c>
      <c r="G362" t="n">
        <v>1</v>
      </c>
      <c r="H362" t="n">
        <v>673.5</v>
      </c>
      <c r="I362" t="n">
        <v>753.3200000000001</v>
      </c>
      <c r="J362" t="n">
        <v>1</v>
      </c>
      <c r="K362" t="inlineStr">
        <is>
          <t>凯利≤0，开1%影子仓（只统计，不计入组合）</t>
        </is>
      </c>
    </row>
    <row r="363">
      <c r="A363" t="inlineStr">
        <is>
          <t>2021-12-28</t>
        </is>
      </c>
      <c r="B363" t="inlineStr">
        <is>
          <t>甲醇</t>
        </is>
      </c>
      <c r="C363" t="inlineStr">
        <is>
          <t>多</t>
        </is>
      </c>
      <c r="D363" t="n">
        <v>2</v>
      </c>
      <c r="E363" t="n">
        <v>4</v>
      </c>
      <c r="F363" t="inlineStr">
        <is>
          <t>观望</t>
        </is>
      </c>
      <c r="G363" t="n">
        <v>4</v>
      </c>
      <c r="H363" t="n">
        <v>2523</v>
      </c>
      <c r="I363" t="n">
        <v>2281.29</v>
      </c>
      <c r="J363" t="n">
        <v>1</v>
      </c>
      <c r="K363" t="inlineStr">
        <is>
          <t>逆5日线（收盘在5日线下，不追多）</t>
        </is>
      </c>
    </row>
    <row r="364">
      <c r="A364" t="inlineStr">
        <is>
          <t>2021-12-29</t>
        </is>
      </c>
      <c r="B364" t="inlineStr">
        <is>
          <t>PTA</t>
        </is>
      </c>
      <c r="C364" t="inlineStr">
        <is>
          <t>多</t>
        </is>
      </c>
      <c r="D364" t="n">
        <v>3</v>
      </c>
      <c r="E364" t="n">
        <v>6</v>
      </c>
      <c r="F364" t="inlineStr">
        <is>
          <t>影子仓</t>
        </is>
      </c>
      <c r="G364" t="n">
        <v>5</v>
      </c>
      <c r="H364" t="n">
        <v>4958</v>
      </c>
      <c r="I364" t="n">
        <v>4618.57</v>
      </c>
      <c r="J364" t="n">
        <v>1</v>
      </c>
      <c r="K364" t="inlineStr">
        <is>
          <t>凯利≤0，开1%影子仓（只统计，不计入组合）</t>
        </is>
      </c>
    </row>
    <row r="365">
      <c r="A365" t="inlineStr">
        <is>
          <t>2021-12-29</t>
        </is>
      </c>
      <c r="B365" t="inlineStr">
        <is>
          <t>塑料</t>
        </is>
      </c>
      <c r="C365" t="inlineStr">
        <is>
          <t>多</t>
        </is>
      </c>
      <c r="D365" t="n">
        <v>2</v>
      </c>
      <c r="E365" t="n">
        <v>5</v>
      </c>
      <c r="F365" t="inlineStr">
        <is>
          <t>续持</t>
        </is>
      </c>
      <c r="G365" t="n">
        <v>3</v>
      </c>
      <c r="H365" t="n">
        <v>8599</v>
      </c>
      <c r="I365" t="n">
        <v>8044.14</v>
      </c>
      <c r="J365" t="n">
        <v>1</v>
      </c>
      <c r="K365" t="inlineStr">
        <is>
          <t>续持原仓（2021-12-24开）</t>
        </is>
      </c>
    </row>
    <row r="366">
      <c r="A366" t="inlineStr">
        <is>
          <t>2021-12-29</t>
        </is>
      </c>
      <c r="B366" t="inlineStr">
        <is>
          <t>棕榈油</t>
        </is>
      </c>
      <c r="C366" t="inlineStr">
        <is>
          <t>空</t>
        </is>
      </c>
      <c r="D366" t="n">
        <v>2</v>
      </c>
      <c r="E366" t="n">
        <v>5</v>
      </c>
      <c r="F366" t="inlineStr">
        <is>
          <t>影子仓</t>
        </is>
      </c>
      <c r="G366" t="n">
        <v>1</v>
      </c>
      <c r="H366" t="n">
        <v>8330</v>
      </c>
      <c r="I366" t="n">
        <v>9023.860000000001</v>
      </c>
      <c r="J366" t="n">
        <v>1</v>
      </c>
      <c r="K366" t="inlineStr">
        <is>
          <t>凯利≤0，开1%影子仓（只统计，不计入组合）</t>
        </is>
      </c>
    </row>
    <row r="367">
      <c r="A367" t="inlineStr">
        <is>
          <t>2021-12-29</t>
        </is>
      </c>
      <c r="B367" t="inlineStr">
        <is>
          <t>铁矿石</t>
        </is>
      </c>
      <c r="C367" t="inlineStr">
        <is>
          <t>空</t>
        </is>
      </c>
      <c r="D367" t="n">
        <v>2</v>
      </c>
      <c r="E367" t="n">
        <v>4</v>
      </c>
      <c r="F367" t="inlineStr">
        <is>
          <t>续持</t>
        </is>
      </c>
      <c r="G367" t="n">
        <v>1</v>
      </c>
      <c r="H367" t="n">
        <v>663</v>
      </c>
      <c r="I367" t="n">
        <v>729.5700000000001</v>
      </c>
      <c r="J367" t="n">
        <v>1</v>
      </c>
      <c r="K367" t="inlineStr">
        <is>
          <t>续持原仓（2021-12-28开）</t>
        </is>
      </c>
    </row>
    <row r="368">
      <c r="A368" t="inlineStr">
        <is>
          <t>2021-12-29</t>
        </is>
      </c>
      <c r="B368" t="inlineStr">
        <is>
          <t>白糖</t>
        </is>
      </c>
      <c r="C368" t="inlineStr">
        <is>
          <t>多</t>
        </is>
      </c>
      <c r="D368" t="n">
        <v>2</v>
      </c>
      <c r="E368" t="n">
        <v>4</v>
      </c>
      <c r="F368" t="inlineStr">
        <is>
          <t>观望</t>
        </is>
      </c>
      <c r="G368" t="n">
        <v>4</v>
      </c>
      <c r="H368" t="n">
        <v>5748</v>
      </c>
      <c r="I368" t="n">
        <v>5545.71</v>
      </c>
      <c r="J368" t="n">
        <v>1</v>
      </c>
      <c r="K368" t="inlineStr">
        <is>
          <t>逆5日线（收盘在5日线下，不追多）</t>
        </is>
      </c>
    </row>
    <row r="369">
      <c r="A369" t="inlineStr">
        <is>
          <t>2021-12-29</t>
        </is>
      </c>
      <c r="B369" t="inlineStr">
        <is>
          <t>沪铝</t>
        </is>
      </c>
      <c r="C369" t="inlineStr">
        <is>
          <t>多</t>
        </is>
      </c>
      <c r="D369" t="n">
        <v>2</v>
      </c>
      <c r="E369" t="n">
        <v>4</v>
      </c>
      <c r="F369" t="inlineStr">
        <is>
          <t>观望</t>
        </is>
      </c>
      <c r="G369" t="n">
        <v>1</v>
      </c>
      <c r="H369" t="n">
        <v>19910</v>
      </c>
      <c r="I369" t="n">
        <v>18818.21</v>
      </c>
      <c r="J369" t="n">
        <v>1</v>
      </c>
      <c r="K369" t="inlineStr">
        <is>
          <t>逆5日线（收盘在5日线下，不追多）</t>
        </is>
      </c>
    </row>
    <row r="370">
      <c r="A370" t="inlineStr">
        <is>
          <t>2021-12-30</t>
        </is>
      </c>
      <c r="B370" t="inlineStr">
        <is>
          <t>塑料</t>
        </is>
      </c>
      <c r="C370" t="inlineStr">
        <is>
          <t>多</t>
        </is>
      </c>
      <c r="D370" t="n">
        <v>2</v>
      </c>
      <c r="E370" t="n">
        <v>4</v>
      </c>
      <c r="F370" t="inlineStr">
        <is>
          <t>续持</t>
        </is>
      </c>
      <c r="G370" t="n">
        <v>3</v>
      </c>
      <c r="H370" t="n">
        <v>8596</v>
      </c>
      <c r="I370" t="n">
        <v>8067.93</v>
      </c>
      <c r="J370" t="n">
        <v>1</v>
      </c>
      <c r="K370" t="inlineStr">
        <is>
          <t>续持原仓（2021-12-24开）</t>
        </is>
      </c>
    </row>
    <row r="371">
      <c r="A371" t="inlineStr">
        <is>
          <t>2021-12-30</t>
        </is>
      </c>
      <c r="B371" t="inlineStr">
        <is>
          <t>豆油</t>
        </is>
      </c>
      <c r="C371" t="inlineStr">
        <is>
          <t>多</t>
        </is>
      </c>
      <c r="D371" t="n">
        <v>2</v>
      </c>
      <c r="E371" t="n">
        <v>4</v>
      </c>
      <c r="F371" t="inlineStr">
        <is>
          <t>影子仓</t>
        </is>
      </c>
      <c r="G371" t="n">
        <v>1</v>
      </c>
      <c r="H371" t="n">
        <v>8844</v>
      </c>
      <c r="I371" t="n">
        <v>8299.290000000001</v>
      </c>
      <c r="J371" t="n">
        <v>1</v>
      </c>
      <c r="K371" t="inlineStr">
        <is>
          <t>凯利≤0，开1%影子仓（只统计，不计入组合）</t>
        </is>
      </c>
    </row>
    <row r="372">
      <c r="A372" t="inlineStr">
        <is>
          <t>2022-01-04</t>
        </is>
      </c>
      <c r="B372" t="inlineStr">
        <is>
          <t>PTA</t>
        </is>
      </c>
      <c r="C372" t="inlineStr">
        <is>
          <t>多</t>
        </is>
      </c>
      <c r="D372" t="n">
        <v>3</v>
      </c>
      <c r="E372" t="n">
        <v>6</v>
      </c>
      <c r="F372" t="inlineStr">
        <is>
          <t>开仓</t>
        </is>
      </c>
      <c r="G372" t="n">
        <v>2</v>
      </c>
      <c r="H372" t="n">
        <v>5046</v>
      </c>
      <c r="I372" t="n">
        <v>4726.29</v>
      </c>
      <c r="J372" t="n">
        <v>0.39</v>
      </c>
      <c r="K372" t="inlineStr">
        <is>
          <t>¼凯利</t>
        </is>
      </c>
    </row>
    <row r="373">
      <c r="A373" t="inlineStr">
        <is>
          <t>2022-01-04</t>
        </is>
      </c>
      <c r="B373" t="inlineStr">
        <is>
          <t>塑料</t>
        </is>
      </c>
      <c r="C373" t="inlineStr">
        <is>
          <t>多</t>
        </is>
      </c>
      <c r="D373" t="n">
        <v>3</v>
      </c>
      <c r="E373" t="n">
        <v>6</v>
      </c>
      <c r="F373" t="inlineStr">
        <is>
          <t>续持</t>
        </is>
      </c>
      <c r="G373" t="n">
        <v>3</v>
      </c>
      <c r="H373" t="n">
        <v>8736</v>
      </c>
      <c r="I373" t="n">
        <v>8174.21</v>
      </c>
      <c r="J373" t="n">
        <v>1</v>
      </c>
      <c r="K373" t="inlineStr">
        <is>
          <t>续持原仓（2021-12-24开）</t>
        </is>
      </c>
    </row>
    <row r="374">
      <c r="A374" t="inlineStr">
        <is>
          <t>2022-01-04</t>
        </is>
      </c>
      <c r="B374" t="inlineStr">
        <is>
          <t>棉花</t>
        </is>
      </c>
      <c r="C374" t="inlineStr">
        <is>
          <t>多</t>
        </is>
      </c>
      <c r="D374" t="n">
        <v>2</v>
      </c>
      <c r="E374" t="n">
        <v>5</v>
      </c>
      <c r="F374" t="inlineStr">
        <is>
          <t>影子仓</t>
        </is>
      </c>
      <c r="G374" t="n">
        <v>2</v>
      </c>
      <c r="H374" t="n">
        <v>20670</v>
      </c>
      <c r="I374" t="n">
        <v>19798.93</v>
      </c>
      <c r="J374" t="n">
        <v>1</v>
      </c>
      <c r="K374" t="inlineStr">
        <is>
          <t>凯利≤0，开1%影子仓（只统计，不计入组合）</t>
        </is>
      </c>
    </row>
    <row r="375">
      <c r="A375" t="inlineStr">
        <is>
          <t>2022-01-04</t>
        </is>
      </c>
      <c r="B375" t="inlineStr">
        <is>
          <t>棕榈油</t>
        </is>
      </c>
      <c r="C375" t="inlineStr">
        <is>
          <t>多</t>
        </is>
      </c>
      <c r="D375" t="n">
        <v>2</v>
      </c>
      <c r="E375" t="n">
        <v>5</v>
      </c>
      <c r="F375" t="inlineStr">
        <is>
          <t>影子仓</t>
        </is>
      </c>
      <c r="G375" t="n">
        <v>1</v>
      </c>
      <c r="H375" t="n">
        <v>8682</v>
      </c>
      <c r="I375" t="n">
        <v>8033.57</v>
      </c>
      <c r="J375" t="n">
        <v>1</v>
      </c>
      <c r="K375" t="inlineStr">
        <is>
          <t>凯利≤0，开1%影子仓（只统计，不计入组合）</t>
        </is>
      </c>
    </row>
    <row r="376">
      <c r="A376" t="inlineStr">
        <is>
          <t>2022-01-04</t>
        </is>
      </c>
      <c r="B376" t="inlineStr">
        <is>
          <t>沥青</t>
        </is>
      </c>
      <c r="C376" t="inlineStr">
        <is>
          <t>多</t>
        </is>
      </c>
      <c r="D376" t="n">
        <v>2</v>
      </c>
      <c r="E376" t="n">
        <v>4</v>
      </c>
      <c r="F376" t="inlineStr">
        <is>
          <t>影子仓</t>
        </is>
      </c>
      <c r="G376" t="n">
        <v>4</v>
      </c>
      <c r="H376" t="n">
        <v>3320</v>
      </c>
      <c r="I376" t="n">
        <v>3079.14</v>
      </c>
      <c r="J376" t="n">
        <v>1</v>
      </c>
      <c r="K376" t="inlineStr">
        <is>
          <t>凯利≤0，开1%影子仓（只统计，不计入组合）</t>
        </is>
      </c>
    </row>
    <row r="377">
      <c r="A377" t="inlineStr">
        <is>
          <t>2022-01-04</t>
        </is>
      </c>
      <c r="B377" t="inlineStr">
        <is>
          <t>PVC</t>
        </is>
      </c>
      <c r="C377" t="inlineStr">
        <is>
          <t>空</t>
        </is>
      </c>
      <c r="D377" t="n">
        <v>2</v>
      </c>
      <c r="E377" t="n">
        <v>4</v>
      </c>
      <c r="F377" t="inlineStr">
        <is>
          <t>观望</t>
        </is>
      </c>
      <c r="G377" t="n">
        <v>2</v>
      </c>
      <c r="H377" t="n">
        <v>8578</v>
      </c>
      <c r="I377" t="n">
        <v>9267.360000000001</v>
      </c>
      <c r="J377" t="n">
        <v>1</v>
      </c>
      <c r="K377" t="inlineStr">
        <is>
          <t>逆5日线（收盘在5日线上，不追空）</t>
        </is>
      </c>
    </row>
    <row r="378">
      <c r="A378" t="inlineStr">
        <is>
          <t>2022-01-05</t>
        </is>
      </c>
      <c r="B378" t="inlineStr">
        <is>
          <t>豆粕</t>
        </is>
      </c>
      <c r="C378" t="inlineStr">
        <is>
          <t>多</t>
        </is>
      </c>
      <c r="D378" t="n">
        <v>3</v>
      </c>
      <c r="E378" t="n">
        <v>7</v>
      </c>
      <c r="F378" t="inlineStr">
        <is>
          <t>开仓</t>
        </is>
      </c>
      <c r="G378" t="n">
        <v>3</v>
      </c>
      <c r="H378" t="n">
        <v>3293</v>
      </c>
      <c r="I378" t="n">
        <v>3129.07</v>
      </c>
      <c r="J378" t="n">
        <v>0.65</v>
      </c>
      <c r="K378" t="inlineStr">
        <is>
          <t>¼凯利</t>
        </is>
      </c>
    </row>
    <row r="379">
      <c r="A379" t="inlineStr">
        <is>
          <t>2022-01-05</t>
        </is>
      </c>
      <c r="B379" t="inlineStr">
        <is>
          <t>棕榈油</t>
        </is>
      </c>
      <c r="C379" t="inlineStr">
        <is>
          <t>多</t>
        </is>
      </c>
      <c r="D379" t="n">
        <v>3</v>
      </c>
      <c r="E379" t="n">
        <v>6</v>
      </c>
      <c r="F379" t="inlineStr">
        <is>
          <t>续持</t>
        </is>
      </c>
      <c r="G379" t="n">
        <v>1</v>
      </c>
      <c r="H379" t="n">
        <v>8816</v>
      </c>
      <c r="I379" t="n">
        <v>8281.860000000001</v>
      </c>
      <c r="J379" t="n">
        <v>1</v>
      </c>
      <c r="K379" t="inlineStr">
        <is>
          <t>续持原仓（2022-01-04开）</t>
        </is>
      </c>
    </row>
    <row r="380">
      <c r="A380" t="inlineStr">
        <is>
          <t>2022-01-05</t>
        </is>
      </c>
      <c r="B380" t="inlineStr">
        <is>
          <t>棉花</t>
        </is>
      </c>
      <c r="C380" t="inlineStr">
        <is>
          <t>多</t>
        </is>
      </c>
      <c r="D380" t="n">
        <v>2</v>
      </c>
      <c r="E380" t="n">
        <v>5</v>
      </c>
      <c r="F380" t="inlineStr">
        <is>
          <t>续持</t>
        </is>
      </c>
      <c r="G380" t="n">
        <v>2</v>
      </c>
      <c r="H380" t="n">
        <v>21065</v>
      </c>
      <c r="I380" t="n">
        <v>20241.79</v>
      </c>
      <c r="J380" t="n">
        <v>1</v>
      </c>
      <c r="K380" t="inlineStr">
        <is>
          <t>续持原仓（2022-01-04开）</t>
        </is>
      </c>
    </row>
    <row r="381">
      <c r="A381" t="inlineStr">
        <is>
          <t>2022-01-05</t>
        </is>
      </c>
      <c r="B381" t="inlineStr">
        <is>
          <t>沥青</t>
        </is>
      </c>
      <c r="C381" t="inlineStr">
        <is>
          <t>多</t>
        </is>
      </c>
      <c r="D381" t="n">
        <v>2</v>
      </c>
      <c r="E381" t="n">
        <v>5</v>
      </c>
      <c r="F381" t="inlineStr">
        <is>
          <t>续持</t>
        </is>
      </c>
      <c r="G381" t="n">
        <v>4</v>
      </c>
      <c r="H381" t="n">
        <v>3320</v>
      </c>
      <c r="I381" t="n">
        <v>3114.57</v>
      </c>
      <c r="J381" t="n">
        <v>1</v>
      </c>
      <c r="K381" t="inlineStr">
        <is>
          <t>续持原仓（2022-01-04开）</t>
        </is>
      </c>
    </row>
    <row r="382">
      <c r="A382" t="inlineStr">
        <is>
          <t>2022-01-05</t>
        </is>
      </c>
      <c r="B382" t="inlineStr">
        <is>
          <t>热卷</t>
        </is>
      </c>
      <c r="C382" t="inlineStr">
        <is>
          <t>多</t>
        </is>
      </c>
      <c r="D382" t="n">
        <v>2</v>
      </c>
      <c r="E382" t="n">
        <v>5</v>
      </c>
      <c r="F382" t="inlineStr">
        <is>
          <t>影子仓</t>
        </is>
      </c>
      <c r="G382" t="n">
        <v>3</v>
      </c>
      <c r="H382" t="n">
        <v>4568</v>
      </c>
      <c r="I382" t="n">
        <v>4239.93</v>
      </c>
      <c r="J382" t="n">
        <v>1</v>
      </c>
      <c r="K382" t="inlineStr">
        <is>
          <t>凯利≤0，开1%影子仓（只统计，不计入组合）</t>
        </is>
      </c>
    </row>
    <row r="383">
      <c r="A383" t="inlineStr">
        <is>
          <t>2022-01-06</t>
        </is>
      </c>
      <c r="B383" t="inlineStr">
        <is>
          <t>沥青</t>
        </is>
      </c>
      <c r="C383" t="inlineStr">
        <is>
          <t>多</t>
        </is>
      </c>
      <c r="D383" t="n">
        <v>3</v>
      </c>
      <c r="E383" t="n">
        <v>7</v>
      </c>
      <c r="F383" t="inlineStr">
        <is>
          <t>续持</t>
        </is>
      </c>
      <c r="G383" t="n">
        <v>4</v>
      </c>
      <c r="H383" t="n">
        <v>3328</v>
      </c>
      <c r="I383" t="n">
        <v>3130.57</v>
      </c>
      <c r="J383" t="n">
        <v>1</v>
      </c>
      <c r="K383" t="inlineStr">
        <is>
          <t>续持原仓（2022-01-04开）</t>
        </is>
      </c>
    </row>
    <row r="384">
      <c r="A384" t="inlineStr">
        <is>
          <t>2022-01-06</t>
        </is>
      </c>
      <c r="B384" t="inlineStr">
        <is>
          <t>塑料</t>
        </is>
      </c>
      <c r="C384" t="inlineStr">
        <is>
          <t>多</t>
        </is>
      </c>
      <c r="D384" t="n">
        <v>3</v>
      </c>
      <c r="E384" t="n">
        <v>7</v>
      </c>
      <c r="F384" t="inlineStr">
        <is>
          <t>续持</t>
        </is>
      </c>
      <c r="G384" t="n">
        <v>3</v>
      </c>
      <c r="H384" t="n">
        <v>8687</v>
      </c>
      <c r="I384" t="n">
        <v>8305.790000000001</v>
      </c>
      <c r="J384" t="n">
        <v>1</v>
      </c>
      <c r="K384" t="inlineStr">
        <is>
          <t>续持原仓（2021-12-24开）</t>
        </is>
      </c>
    </row>
    <row r="385">
      <c r="A385" t="inlineStr">
        <is>
          <t>2022-01-06</t>
        </is>
      </c>
      <c r="B385" t="inlineStr">
        <is>
          <t>棉花</t>
        </is>
      </c>
      <c r="C385" t="inlineStr">
        <is>
          <t>多</t>
        </is>
      </c>
      <c r="D385" t="n">
        <v>3</v>
      </c>
      <c r="E385" t="n">
        <v>6</v>
      </c>
      <c r="F385" t="inlineStr">
        <is>
          <t>续持</t>
        </is>
      </c>
      <c r="G385" t="n">
        <v>2</v>
      </c>
      <c r="H385" t="n">
        <v>20900</v>
      </c>
      <c r="I385" t="n">
        <v>20273.93</v>
      </c>
      <c r="J385" t="n">
        <v>1</v>
      </c>
      <c r="K385" t="inlineStr">
        <is>
          <t>续持原仓（2022-01-04开）</t>
        </is>
      </c>
    </row>
    <row r="386">
      <c r="A386" t="inlineStr">
        <is>
          <t>2022-01-06</t>
        </is>
      </c>
      <c r="B386" t="inlineStr">
        <is>
          <t>热卷</t>
        </is>
      </c>
      <c r="C386" t="inlineStr">
        <is>
          <t>多</t>
        </is>
      </c>
      <c r="D386" t="n">
        <v>2</v>
      </c>
      <c r="E386" t="n">
        <v>5</v>
      </c>
      <c r="F386" t="inlineStr">
        <is>
          <t>续持</t>
        </is>
      </c>
      <c r="G386" t="n">
        <v>3</v>
      </c>
      <c r="H386" t="n">
        <v>4638</v>
      </c>
      <c r="I386" t="n">
        <v>4326.21</v>
      </c>
      <c r="J386" t="n">
        <v>1</v>
      </c>
      <c r="K386" t="inlineStr">
        <is>
          <t>续持原仓（2022-01-05开）</t>
        </is>
      </c>
    </row>
    <row r="387">
      <c r="A387" t="inlineStr">
        <is>
          <t>2022-01-06</t>
        </is>
      </c>
      <c r="B387" t="inlineStr">
        <is>
          <t>豆油</t>
        </is>
      </c>
      <c r="C387" t="inlineStr">
        <is>
          <t>多</t>
        </is>
      </c>
      <c r="D387" t="n">
        <v>2</v>
      </c>
      <c r="E387" t="n">
        <v>4</v>
      </c>
      <c r="F387" t="inlineStr">
        <is>
          <t>影子仓</t>
        </is>
      </c>
      <c r="G387" t="n">
        <v>1</v>
      </c>
      <c r="H387" t="n">
        <v>8930</v>
      </c>
      <c r="I387" t="n">
        <v>8404.57</v>
      </c>
      <c r="J387" t="n">
        <v>1</v>
      </c>
      <c r="K387" t="inlineStr">
        <is>
          <t>凯利≤0，开1%影子仓（只统计，不计入组合）</t>
        </is>
      </c>
    </row>
    <row r="388">
      <c r="A388" t="inlineStr">
        <is>
          <t>2022-01-07</t>
        </is>
      </c>
      <c r="B388" t="inlineStr">
        <is>
          <t>沥青</t>
        </is>
      </c>
      <c r="C388" t="inlineStr">
        <is>
          <t>多</t>
        </is>
      </c>
      <c r="D388" t="n">
        <v>3</v>
      </c>
      <c r="E388" t="n">
        <v>7</v>
      </c>
      <c r="F388" t="inlineStr">
        <is>
          <t>续持</t>
        </is>
      </c>
      <c r="G388" t="n">
        <v>4</v>
      </c>
      <c r="H388" t="n">
        <v>3416</v>
      </c>
      <c r="I388" t="n">
        <v>3201.86</v>
      </c>
      <c r="J388" t="n">
        <v>1</v>
      </c>
      <c r="K388" t="inlineStr">
        <is>
          <t>续持原仓（2022-01-04开）</t>
        </is>
      </c>
    </row>
    <row r="389">
      <c r="A389" t="inlineStr">
        <is>
          <t>2022-01-07</t>
        </is>
      </c>
      <c r="B389" t="inlineStr">
        <is>
          <t>棕榈油</t>
        </is>
      </c>
      <c r="C389" t="inlineStr">
        <is>
          <t>多</t>
        </is>
      </c>
      <c r="D389" t="n">
        <v>3</v>
      </c>
      <c r="E389" t="n">
        <v>6</v>
      </c>
      <c r="F389" t="inlineStr">
        <is>
          <t>续持</t>
        </is>
      </c>
      <c r="G389" t="n">
        <v>1</v>
      </c>
      <c r="H389" t="n">
        <v>8858</v>
      </c>
      <c r="I389" t="n">
        <v>8292.57</v>
      </c>
      <c r="J389" t="n">
        <v>1</v>
      </c>
      <c r="K389" t="inlineStr">
        <is>
          <t>续持原仓（2022-01-04开）</t>
        </is>
      </c>
    </row>
    <row r="390">
      <c r="A390" t="inlineStr">
        <is>
          <t>2022-01-07</t>
        </is>
      </c>
      <c r="B390" t="inlineStr">
        <is>
          <t>PTA</t>
        </is>
      </c>
      <c r="C390" t="inlineStr">
        <is>
          <t>多</t>
        </is>
      </c>
      <c r="D390" t="n">
        <v>3</v>
      </c>
      <c r="E390" t="n">
        <v>6</v>
      </c>
      <c r="F390" t="inlineStr">
        <is>
          <t>不做</t>
        </is>
      </c>
      <c r="H390" t="n">
        <v>5314</v>
      </c>
      <c r="J390" t="n">
        <v>0.18</v>
      </c>
      <c r="K390" t="inlineStr">
        <is>
          <t>¼凯利</t>
        </is>
      </c>
    </row>
    <row r="391">
      <c r="A391" t="inlineStr">
        <is>
          <t>2022-01-07</t>
        </is>
      </c>
      <c r="B391" t="inlineStr">
        <is>
          <t>PVC</t>
        </is>
      </c>
      <c r="C391" t="inlineStr">
        <is>
          <t>多</t>
        </is>
      </c>
      <c r="D391" t="n">
        <v>2</v>
      </c>
      <c r="E391" t="n">
        <v>5</v>
      </c>
      <c r="F391" t="inlineStr">
        <is>
          <t>影子仓</t>
        </is>
      </c>
      <c r="G391" t="n">
        <v>3</v>
      </c>
      <c r="H391" t="n">
        <v>8489</v>
      </c>
      <c r="I391" t="n">
        <v>7826.86</v>
      </c>
      <c r="J391" t="n">
        <v>1</v>
      </c>
      <c r="K391" t="inlineStr">
        <is>
          <t>凯利≤0，开1%影子仓（只统计，不计入组合）</t>
        </is>
      </c>
    </row>
    <row r="392">
      <c r="A392" t="inlineStr">
        <is>
          <t>2022-01-07</t>
        </is>
      </c>
      <c r="B392" t="inlineStr">
        <is>
          <t>豆粕</t>
        </is>
      </c>
      <c r="C392" t="inlineStr">
        <is>
          <t>多</t>
        </is>
      </c>
      <c r="D392" t="n">
        <v>2</v>
      </c>
      <c r="E392" t="n">
        <v>5</v>
      </c>
      <c r="F392" t="inlineStr">
        <is>
          <t>观望</t>
        </is>
      </c>
      <c r="G392" t="n">
        <v>6</v>
      </c>
      <c r="H392" t="n">
        <v>3225</v>
      </c>
      <c r="I392" t="n">
        <v>3058.93</v>
      </c>
      <c r="J392" t="n">
        <v>1</v>
      </c>
      <c r="K392" t="inlineStr">
        <is>
          <t>逆5日线（收盘在5日线下，不追多）</t>
        </is>
      </c>
    </row>
    <row r="393">
      <c r="A393" t="inlineStr">
        <is>
          <t>2022-01-10</t>
        </is>
      </c>
      <c r="B393" t="inlineStr">
        <is>
          <t>豆油</t>
        </is>
      </c>
      <c r="C393" t="inlineStr">
        <is>
          <t>多</t>
        </is>
      </c>
      <c r="D393" t="n">
        <v>3</v>
      </c>
      <c r="E393" t="n">
        <v>7</v>
      </c>
      <c r="F393" t="inlineStr">
        <is>
          <t>不做</t>
        </is>
      </c>
      <c r="H393" t="n">
        <v>9162</v>
      </c>
      <c r="J393" t="n">
        <v>0.18</v>
      </c>
      <c r="K393" t="inlineStr">
        <is>
          <t>¼凯利</t>
        </is>
      </c>
    </row>
    <row r="394">
      <c r="A394" t="inlineStr">
        <is>
          <t>2022-01-10</t>
        </is>
      </c>
      <c r="B394" t="inlineStr">
        <is>
          <t>棕榈油</t>
        </is>
      </c>
      <c r="C394" t="inlineStr">
        <is>
          <t>多</t>
        </is>
      </c>
      <c r="D394" t="n">
        <v>3</v>
      </c>
      <c r="E394" t="n">
        <v>7</v>
      </c>
      <c r="F394" t="inlineStr">
        <is>
          <t>续持</t>
        </is>
      </c>
      <c r="G394" t="n">
        <v>1</v>
      </c>
      <c r="H394" t="n">
        <v>8978</v>
      </c>
      <c r="I394" t="n">
        <v>8372.43</v>
      </c>
      <c r="J394" t="n">
        <v>1</v>
      </c>
      <c r="K394" t="inlineStr">
        <is>
          <t>续持原仓（2022-01-04开）</t>
        </is>
      </c>
    </row>
    <row r="395">
      <c r="A395" t="inlineStr">
        <is>
          <t>2022-01-10</t>
        </is>
      </c>
      <c r="B395" t="inlineStr">
        <is>
          <t>豆粕</t>
        </is>
      </c>
      <c r="C395" t="inlineStr">
        <is>
          <t>多</t>
        </is>
      </c>
      <c r="D395" t="n">
        <v>3</v>
      </c>
      <c r="E395" t="n">
        <v>7</v>
      </c>
      <c r="F395" t="inlineStr">
        <is>
          <t>观望</t>
        </is>
      </c>
      <c r="H395" t="n">
        <v>3231</v>
      </c>
      <c r="J395" t="n">
        <v>0.18</v>
      </c>
      <c r="K395" t="inlineStr">
        <is>
          <t>逆5日线（收盘在5日线下，不追多）</t>
        </is>
      </c>
    </row>
    <row r="396">
      <c r="A396" t="inlineStr">
        <is>
          <t>2022-01-10</t>
        </is>
      </c>
      <c r="B396" t="inlineStr">
        <is>
          <t>沪镍</t>
        </is>
      </c>
      <c r="C396" t="inlineStr">
        <is>
          <t>多</t>
        </is>
      </c>
      <c r="D396" t="n">
        <v>2</v>
      </c>
      <c r="E396" t="n">
        <v>5</v>
      </c>
      <c r="F396" t="inlineStr">
        <is>
          <t>影子仓</t>
        </is>
      </c>
      <c r="G396" t="n">
        <v>1</v>
      </c>
      <c r="H396" t="n">
        <v>154840</v>
      </c>
      <c r="I396" t="n">
        <v>146461.43</v>
      </c>
      <c r="J396" t="n">
        <v>1</v>
      </c>
      <c r="K396" t="inlineStr">
        <is>
          <t>凯利≤0，开1%影子仓（只统计，不计入组合）</t>
        </is>
      </c>
    </row>
    <row r="397">
      <c r="A397" t="inlineStr">
        <is>
          <t>2022-01-10</t>
        </is>
      </c>
      <c r="B397" t="inlineStr">
        <is>
          <t>沥青</t>
        </is>
      </c>
      <c r="C397" t="inlineStr">
        <is>
          <t>多</t>
        </is>
      </c>
      <c r="D397" t="n">
        <v>2</v>
      </c>
      <c r="E397" t="n">
        <v>4</v>
      </c>
      <c r="F397" t="inlineStr">
        <is>
          <t>续持</t>
        </is>
      </c>
      <c r="G397" t="n">
        <v>4</v>
      </c>
      <c r="H397" t="n">
        <v>3358</v>
      </c>
      <c r="I397" t="n">
        <v>3201.86</v>
      </c>
      <c r="J397" t="n">
        <v>1</v>
      </c>
      <c r="K397" t="inlineStr">
        <is>
          <t>续持原仓（2022-01-04开）</t>
        </is>
      </c>
    </row>
    <row r="398">
      <c r="A398" t="inlineStr">
        <is>
          <t>2022-01-11</t>
        </is>
      </c>
      <c r="B398" t="inlineStr">
        <is>
          <t>PVC</t>
        </is>
      </c>
      <c r="C398" t="inlineStr">
        <is>
          <t>多</t>
        </is>
      </c>
      <c r="D398" t="n">
        <v>3</v>
      </c>
      <c r="E398" t="n">
        <v>6</v>
      </c>
      <c r="F398" t="inlineStr">
        <is>
          <t>观望</t>
        </is>
      </c>
      <c r="G398" t="n">
        <v>2</v>
      </c>
      <c r="H398" t="n">
        <v>8360</v>
      </c>
      <c r="I398" t="n">
        <v>7728.71</v>
      </c>
      <c r="J398" t="n">
        <v>0.67</v>
      </c>
      <c r="K398" t="inlineStr">
        <is>
          <t>逆5日线（收盘在5日线下，不追多）</t>
        </is>
      </c>
    </row>
    <row r="399">
      <c r="A399" t="inlineStr">
        <is>
          <t>2022-01-11</t>
        </is>
      </c>
      <c r="B399" t="inlineStr">
        <is>
          <t>塑料</t>
        </is>
      </c>
      <c r="C399" t="inlineStr">
        <is>
          <t>多</t>
        </is>
      </c>
      <c r="D399" t="n">
        <v>3</v>
      </c>
      <c r="E399" t="n">
        <v>6</v>
      </c>
      <c r="F399" t="inlineStr">
        <is>
          <t>观望</t>
        </is>
      </c>
      <c r="G399" t="n">
        <v>2</v>
      </c>
      <c r="H399" t="n">
        <v>8638</v>
      </c>
      <c r="I399" t="n">
        <v>8173.64</v>
      </c>
      <c r="J399" t="n">
        <v>0.67</v>
      </c>
      <c r="K399" t="inlineStr">
        <is>
          <t>逆5日线（收盘在5日线下，不追多）</t>
        </is>
      </c>
    </row>
    <row r="400">
      <c r="A400" t="inlineStr">
        <is>
          <t>2022-01-11</t>
        </is>
      </c>
      <c r="B400" t="inlineStr">
        <is>
          <t>棉花</t>
        </is>
      </c>
      <c r="C400" t="inlineStr">
        <is>
          <t>多</t>
        </is>
      </c>
      <c r="D400" t="n">
        <v>2</v>
      </c>
      <c r="E400" t="n">
        <v>5</v>
      </c>
      <c r="F400" t="inlineStr">
        <is>
          <t>影子仓</t>
        </is>
      </c>
      <c r="G400" t="n">
        <v>2</v>
      </c>
      <c r="H400" t="n">
        <v>21115</v>
      </c>
      <c r="I400" t="n">
        <v>20322.14</v>
      </c>
      <c r="J400" t="n">
        <v>1</v>
      </c>
      <c r="K400" t="inlineStr">
        <is>
          <t>凯利≤0，开1%影子仓（只统计，不计入组合）</t>
        </is>
      </c>
    </row>
    <row r="401">
      <c r="A401" t="inlineStr">
        <is>
          <t>2022-01-11</t>
        </is>
      </c>
      <c r="B401" t="inlineStr">
        <is>
          <t>豆粕</t>
        </is>
      </c>
      <c r="C401" t="inlineStr">
        <is>
          <t>多</t>
        </is>
      </c>
      <c r="D401" t="n">
        <v>2</v>
      </c>
      <c r="E401" t="n">
        <v>5</v>
      </c>
      <c r="F401" t="inlineStr">
        <is>
          <t>观望</t>
        </is>
      </c>
      <c r="G401" t="n">
        <v>5</v>
      </c>
      <c r="H401" t="n">
        <v>3229</v>
      </c>
      <c r="I401" t="n">
        <v>3055.21</v>
      </c>
      <c r="J401" t="n">
        <v>1</v>
      </c>
      <c r="K401" t="inlineStr">
        <is>
          <t>逆5日线（收盘在5日线下，不追多）</t>
        </is>
      </c>
    </row>
    <row r="402">
      <c r="A402" t="inlineStr">
        <is>
          <t>2022-01-11</t>
        </is>
      </c>
      <c r="B402" t="inlineStr">
        <is>
          <t>PTA</t>
        </is>
      </c>
      <c r="C402" t="inlineStr">
        <is>
          <t>多</t>
        </is>
      </c>
      <c r="D402" t="n">
        <v>2</v>
      </c>
      <c r="E402" t="n">
        <v>5</v>
      </c>
      <c r="F402" t="inlineStr">
        <is>
          <t>影子仓</t>
        </is>
      </c>
      <c r="G402" t="n">
        <v>5</v>
      </c>
      <c r="H402" t="n">
        <v>5232</v>
      </c>
      <c r="I402" t="n">
        <v>4895.14</v>
      </c>
      <c r="J402" t="n">
        <v>1</v>
      </c>
      <c r="K402" t="inlineStr">
        <is>
          <t>凯利≤0，开1%影子仓（只统计，不计入组合）</t>
        </is>
      </c>
    </row>
    <row r="403">
      <c r="A403" t="inlineStr">
        <is>
          <t>2022-01-12</t>
        </is>
      </c>
      <c r="B403" t="inlineStr">
        <is>
          <t>豆粕</t>
        </is>
      </c>
      <c r="C403" t="inlineStr">
        <is>
          <t>多</t>
        </is>
      </c>
      <c r="D403" t="n">
        <v>3</v>
      </c>
      <c r="E403" t="n">
        <v>6</v>
      </c>
      <c r="F403" t="inlineStr">
        <is>
          <t>续持</t>
        </is>
      </c>
      <c r="G403" t="n">
        <v>3</v>
      </c>
      <c r="H403" t="n">
        <v>3247</v>
      </c>
      <c r="I403" t="n">
        <v>3119.07</v>
      </c>
      <c r="J403" t="n">
        <v>0.65</v>
      </c>
      <c r="K403" t="inlineStr">
        <is>
          <t>续持原仓（2022-01-05开）</t>
        </is>
      </c>
    </row>
    <row r="404">
      <c r="A404" t="inlineStr">
        <is>
          <t>2022-01-12</t>
        </is>
      </c>
      <c r="B404" t="inlineStr">
        <is>
          <t>沥青</t>
        </is>
      </c>
      <c r="C404" t="inlineStr">
        <is>
          <t>多</t>
        </is>
      </c>
      <c r="D404" t="n">
        <v>3</v>
      </c>
      <c r="E404" t="n">
        <v>6</v>
      </c>
      <c r="F404" t="inlineStr">
        <is>
          <t>开仓</t>
        </is>
      </c>
      <c r="G404" t="n">
        <v>2</v>
      </c>
      <c r="H404" t="n">
        <v>3398</v>
      </c>
      <c r="I404" t="n">
        <v>3161.86</v>
      </c>
      <c r="J404" t="n">
        <v>0.67</v>
      </c>
      <c r="K404" t="inlineStr">
        <is>
          <t>¼凯利</t>
        </is>
      </c>
    </row>
    <row r="405">
      <c r="A405" t="inlineStr">
        <is>
          <t>2022-01-12</t>
        </is>
      </c>
      <c r="B405" t="inlineStr">
        <is>
          <t>棕榈油</t>
        </is>
      </c>
      <c r="C405" t="inlineStr">
        <is>
          <t>多</t>
        </is>
      </c>
      <c r="D405" t="n">
        <v>3</v>
      </c>
      <c r="E405" t="n">
        <v>6</v>
      </c>
      <c r="F405" t="inlineStr">
        <is>
          <t>开仓</t>
        </is>
      </c>
      <c r="G405" t="n">
        <v>1</v>
      </c>
      <c r="H405" t="n">
        <v>8914</v>
      </c>
      <c r="I405" t="n">
        <v>8286.57</v>
      </c>
      <c r="J405" t="n">
        <v>0.67</v>
      </c>
      <c r="K405" t="inlineStr">
        <is>
          <t>¼凯利</t>
        </is>
      </c>
    </row>
    <row r="406">
      <c r="A406" t="inlineStr">
        <is>
          <t>2022-01-12</t>
        </is>
      </c>
      <c r="B406" t="inlineStr">
        <is>
          <t>棉花</t>
        </is>
      </c>
      <c r="C406" t="inlineStr">
        <is>
          <t>多</t>
        </is>
      </c>
      <c r="D406" t="n">
        <v>2</v>
      </c>
      <c r="E406" t="n">
        <v>5</v>
      </c>
      <c r="F406" t="inlineStr">
        <is>
          <t>续持</t>
        </is>
      </c>
      <c r="G406" t="n">
        <v>2</v>
      </c>
      <c r="H406" t="n">
        <v>21120</v>
      </c>
      <c r="I406" t="n">
        <v>20502.14</v>
      </c>
      <c r="J406" t="n">
        <v>1</v>
      </c>
      <c r="K406" t="inlineStr">
        <is>
          <t>续持原仓（2022-01-11开）</t>
        </is>
      </c>
    </row>
    <row r="407">
      <c r="A407" t="inlineStr">
        <is>
          <t>2022-01-12</t>
        </is>
      </c>
      <c r="B407" t="inlineStr">
        <is>
          <t>沪镍</t>
        </is>
      </c>
      <c r="C407" t="inlineStr">
        <is>
          <t>多</t>
        </is>
      </c>
      <c r="D407" t="n">
        <v>2</v>
      </c>
      <c r="E407" t="n">
        <v>5</v>
      </c>
      <c r="F407" t="inlineStr">
        <is>
          <t>续持</t>
        </is>
      </c>
      <c r="G407" t="n">
        <v>1</v>
      </c>
      <c r="H407" t="n">
        <v>162340</v>
      </c>
      <c r="I407" t="n">
        <v>153428.57</v>
      </c>
      <c r="J407" t="n">
        <v>1</v>
      </c>
      <c r="K407" t="inlineStr">
        <is>
          <t>续持原仓（2022-01-10开）</t>
        </is>
      </c>
    </row>
    <row r="408">
      <c r="A408" t="inlineStr">
        <is>
          <t>2022-01-13</t>
        </is>
      </c>
      <c r="B408" t="inlineStr">
        <is>
          <t>螺纹钢</t>
        </is>
      </c>
      <c r="C408" t="inlineStr">
        <is>
          <t>多</t>
        </is>
      </c>
      <c r="D408" t="n">
        <v>3</v>
      </c>
      <c r="E408" t="n">
        <v>6</v>
      </c>
      <c r="F408" t="inlineStr">
        <is>
          <t>开仓</t>
        </is>
      </c>
      <c r="G408" t="n">
        <v>2</v>
      </c>
      <c r="H408" t="n">
        <v>4633</v>
      </c>
      <c r="I408" t="n">
        <v>4366.43</v>
      </c>
      <c r="J408" t="n">
        <v>0.64</v>
      </c>
      <c r="K408" t="inlineStr">
        <is>
          <t>¼凯利</t>
        </is>
      </c>
    </row>
    <row r="409">
      <c r="A409" t="inlineStr">
        <is>
          <t>2022-01-13</t>
        </is>
      </c>
      <c r="B409" t="inlineStr">
        <is>
          <t>PTA</t>
        </is>
      </c>
      <c r="C409" t="inlineStr">
        <is>
          <t>多</t>
        </is>
      </c>
      <c r="D409" t="n">
        <v>3</v>
      </c>
      <c r="E409" t="n">
        <v>6</v>
      </c>
      <c r="F409" t="inlineStr">
        <is>
          <t>开仓</t>
        </is>
      </c>
      <c r="G409" t="n">
        <v>3</v>
      </c>
      <c r="H409" t="n">
        <v>5256</v>
      </c>
      <c r="I409" t="n">
        <v>4919.14</v>
      </c>
      <c r="J409" t="n">
        <v>0.64</v>
      </c>
      <c r="K409" t="inlineStr">
        <is>
          <t>¼凯利</t>
        </is>
      </c>
    </row>
    <row r="410">
      <c r="A410" t="inlineStr">
        <is>
          <t>2022-01-13</t>
        </is>
      </c>
      <c r="B410" t="inlineStr">
        <is>
          <t>塑料</t>
        </is>
      </c>
      <c r="C410" t="inlineStr">
        <is>
          <t>多</t>
        </is>
      </c>
      <c r="D410" t="n">
        <v>3</v>
      </c>
      <c r="E410" t="n">
        <v>6</v>
      </c>
      <c r="F410" t="inlineStr">
        <is>
          <t>开仓</t>
        </is>
      </c>
      <c r="G410" t="n">
        <v>2</v>
      </c>
      <c r="H410" t="n">
        <v>8754</v>
      </c>
      <c r="I410" t="n">
        <v>8287.5</v>
      </c>
      <c r="J410" t="n">
        <v>0.64</v>
      </c>
      <c r="K410" t="inlineStr">
        <is>
          <t>¼凯利</t>
        </is>
      </c>
    </row>
    <row r="411">
      <c r="A411" t="inlineStr">
        <is>
          <t>2022-01-13</t>
        </is>
      </c>
      <c r="B411" t="inlineStr">
        <is>
          <t>沪镍</t>
        </is>
      </c>
      <c r="C411" t="inlineStr">
        <is>
          <t>多</t>
        </is>
      </c>
      <c r="D411" t="n">
        <v>2</v>
      </c>
      <c r="E411" t="n">
        <v>4</v>
      </c>
      <c r="F411" t="inlineStr">
        <is>
          <t>续持</t>
        </is>
      </c>
      <c r="G411" t="n">
        <v>1</v>
      </c>
      <c r="H411" t="n">
        <v>162120</v>
      </c>
      <c r="I411" t="n">
        <v>155582.86</v>
      </c>
      <c r="J411" t="n">
        <v>1</v>
      </c>
      <c r="K411" t="inlineStr">
        <is>
          <t>续持原仓（2022-01-10开）</t>
        </is>
      </c>
    </row>
    <row r="412">
      <c r="A412" t="inlineStr">
        <is>
          <t>2022-01-13</t>
        </is>
      </c>
      <c r="B412" t="inlineStr">
        <is>
          <t>PVC</t>
        </is>
      </c>
      <c r="C412" t="inlineStr">
        <is>
          <t>多</t>
        </is>
      </c>
      <c r="D412" t="n">
        <v>2</v>
      </c>
      <c r="E412" t="n">
        <v>4</v>
      </c>
      <c r="F412" t="inlineStr">
        <is>
          <t>续持</t>
        </is>
      </c>
      <c r="G412" t="n">
        <v>3</v>
      </c>
      <c r="H412" t="n">
        <v>8501</v>
      </c>
      <c r="I412" t="n">
        <v>7999.14</v>
      </c>
      <c r="J412" t="n">
        <v>1</v>
      </c>
      <c r="K412" t="inlineStr">
        <is>
          <t>续持原仓（2022-01-07开）</t>
        </is>
      </c>
    </row>
    <row r="413">
      <c r="A413" t="inlineStr">
        <is>
          <t>2022-01-13</t>
        </is>
      </c>
      <c r="B413" t="inlineStr">
        <is>
          <t>沪金</t>
        </is>
      </c>
      <c r="C413" t="inlineStr">
        <is>
          <t>空</t>
        </is>
      </c>
      <c r="D413" t="n">
        <v>2</v>
      </c>
      <c r="E413" t="n">
        <v>4</v>
      </c>
      <c r="F413" t="inlineStr">
        <is>
          <t>观望</t>
        </is>
      </c>
      <c r="H413" t="n">
        <v>376.24</v>
      </c>
      <c r="J413" t="n">
        <v>1</v>
      </c>
      <c r="K413" t="inlineStr">
        <is>
          <t>逆5日线（收盘在5日线上，不追空）</t>
        </is>
      </c>
    </row>
    <row r="414">
      <c r="A414" t="inlineStr">
        <is>
          <t>2022-01-14</t>
        </is>
      </c>
      <c r="B414" t="inlineStr">
        <is>
          <t>豆油</t>
        </is>
      </c>
      <c r="C414" t="inlineStr">
        <is>
          <t>多</t>
        </is>
      </c>
      <c r="D414" t="n">
        <v>3</v>
      </c>
      <c r="E414" t="n">
        <v>7</v>
      </c>
      <c r="F414" t="inlineStr">
        <is>
          <t>开仓</t>
        </is>
      </c>
      <c r="G414" t="n">
        <v>1</v>
      </c>
      <c r="H414" t="n">
        <v>9164</v>
      </c>
      <c r="I414" t="n">
        <v>8657.860000000001</v>
      </c>
      <c r="J414" t="n">
        <v>0.87</v>
      </c>
      <c r="K414" t="inlineStr">
        <is>
          <t>¼凯利</t>
        </is>
      </c>
    </row>
    <row r="415">
      <c r="A415" t="inlineStr">
        <is>
          <t>2022-01-14</t>
        </is>
      </c>
      <c r="B415" t="inlineStr">
        <is>
          <t>热卷</t>
        </is>
      </c>
      <c r="C415" t="inlineStr">
        <is>
          <t>多</t>
        </is>
      </c>
      <c r="D415" t="n">
        <v>3</v>
      </c>
      <c r="E415" t="n">
        <v>7</v>
      </c>
      <c r="F415" t="inlineStr">
        <is>
          <t>开仓</t>
        </is>
      </c>
      <c r="G415" t="n">
        <v>2</v>
      </c>
      <c r="H415" t="n">
        <v>4772</v>
      </c>
      <c r="I415" t="n">
        <v>4480.36</v>
      </c>
      <c r="J415" t="n">
        <v>0.87</v>
      </c>
      <c r="K415" t="inlineStr">
        <is>
          <t>¼凯利</t>
        </is>
      </c>
    </row>
    <row r="416">
      <c r="A416" t="inlineStr">
        <is>
          <t>2022-01-14</t>
        </is>
      </c>
      <c r="B416" t="inlineStr">
        <is>
          <t>棕榈油</t>
        </is>
      </c>
      <c r="C416" t="inlineStr">
        <is>
          <t>多</t>
        </is>
      </c>
      <c r="D416" t="n">
        <v>3</v>
      </c>
      <c r="E416" t="n">
        <v>7</v>
      </c>
      <c r="F416" t="inlineStr">
        <is>
          <t>开仓</t>
        </is>
      </c>
      <c r="G416" t="n">
        <v>1</v>
      </c>
      <c r="H416" t="n">
        <v>9062</v>
      </c>
      <c r="I416" t="n">
        <v>8450.860000000001</v>
      </c>
      <c r="J416" t="n">
        <v>0.87</v>
      </c>
      <c r="K416" t="inlineStr">
        <is>
          <t>¼凯利</t>
        </is>
      </c>
    </row>
    <row r="417">
      <c r="A417" t="inlineStr">
        <is>
          <t>2022-01-14</t>
        </is>
      </c>
      <c r="B417" t="inlineStr">
        <is>
          <t>沪镍</t>
        </is>
      </c>
      <c r="C417" t="inlineStr">
        <is>
          <t>多</t>
        </is>
      </c>
      <c r="D417" t="n">
        <v>3</v>
      </c>
      <c r="E417" t="n">
        <v>7</v>
      </c>
      <c r="F417" t="inlineStr">
        <is>
          <t>续持</t>
        </is>
      </c>
      <c r="G417" t="n">
        <v>1</v>
      </c>
      <c r="H417" t="n">
        <v>167260</v>
      </c>
      <c r="I417" t="n">
        <v>156369.29</v>
      </c>
      <c r="J417" t="n">
        <v>1</v>
      </c>
      <c r="K417" t="inlineStr">
        <is>
          <t>续持原仓（2022-01-10开）</t>
        </is>
      </c>
    </row>
    <row r="418">
      <c r="A418" t="inlineStr">
        <is>
          <t>2022-01-14</t>
        </is>
      </c>
      <c r="B418" t="inlineStr">
        <is>
          <t>PTA</t>
        </is>
      </c>
      <c r="C418" t="inlineStr">
        <is>
          <t>多</t>
        </is>
      </c>
      <c r="D418" t="n">
        <v>3</v>
      </c>
      <c r="E418" t="n">
        <v>7</v>
      </c>
      <c r="F418" t="inlineStr">
        <is>
          <t>续持</t>
        </is>
      </c>
      <c r="G418" t="n">
        <v>3</v>
      </c>
      <c r="H418" t="n">
        <v>5386</v>
      </c>
      <c r="I418" t="n">
        <v>5051.29</v>
      </c>
      <c r="J418" t="n">
        <v>0.64</v>
      </c>
      <c r="K418" t="inlineStr">
        <is>
          <t>续持原仓（2022-01-13开）</t>
        </is>
      </c>
    </row>
    <row r="419">
      <c r="A419" t="inlineStr">
        <is>
          <t>2022-01-14</t>
        </is>
      </c>
      <c r="B419" t="inlineStr">
        <is>
          <t>沪金</t>
        </is>
      </c>
      <c r="C419" t="inlineStr">
        <is>
          <t>空</t>
        </is>
      </c>
      <c r="D419" t="n">
        <v>2</v>
      </c>
      <c r="E419" t="n">
        <v>4</v>
      </c>
      <c r="F419" t="inlineStr">
        <is>
          <t>观望</t>
        </is>
      </c>
      <c r="H419" t="n">
        <v>375.94</v>
      </c>
      <c r="J419" t="n">
        <v>1</v>
      </c>
      <c r="K419" t="inlineStr">
        <is>
          <t>逆5日线（收盘在5日线上，不追空）</t>
        </is>
      </c>
    </row>
    <row r="420">
      <c r="A420" t="inlineStr">
        <is>
          <t>2022-01-17</t>
        </is>
      </c>
      <c r="B420" t="inlineStr">
        <is>
          <t>棉花</t>
        </is>
      </c>
      <c r="C420" t="inlineStr">
        <is>
          <t>多</t>
        </is>
      </c>
      <c r="D420" t="n">
        <v>3</v>
      </c>
      <c r="E420" t="n">
        <v>6</v>
      </c>
      <c r="F420" t="inlineStr">
        <is>
          <t>不做</t>
        </is>
      </c>
      <c r="H420" t="n">
        <v>21570</v>
      </c>
      <c r="J420" t="n">
        <v>0.41</v>
      </c>
      <c r="K420" t="inlineStr">
        <is>
          <t>1手风险4307元超过预算4100元</t>
        </is>
      </c>
    </row>
    <row r="421">
      <c r="A421" t="inlineStr">
        <is>
          <t>2022-01-17</t>
        </is>
      </c>
      <c r="B421" t="inlineStr">
        <is>
          <t>白糖</t>
        </is>
      </c>
      <c r="C421" t="inlineStr">
        <is>
          <t>多</t>
        </is>
      </c>
      <c r="D421" t="n">
        <v>3</v>
      </c>
      <c r="E421" t="n">
        <v>6</v>
      </c>
      <c r="F421" t="inlineStr">
        <is>
          <t>开仓</t>
        </is>
      </c>
      <c r="G421" t="n">
        <v>2</v>
      </c>
      <c r="H421" t="n">
        <v>5827</v>
      </c>
      <c r="I421" t="n">
        <v>5661.57</v>
      </c>
      <c r="J421" t="n">
        <v>0.41</v>
      </c>
      <c r="K421" t="inlineStr">
        <is>
          <t>¼凯利</t>
        </is>
      </c>
    </row>
    <row r="422">
      <c r="A422" t="inlineStr">
        <is>
          <t>2022-01-17</t>
        </is>
      </c>
      <c r="B422" t="inlineStr">
        <is>
          <t>棕榈油</t>
        </is>
      </c>
      <c r="C422" t="inlineStr">
        <is>
          <t>多</t>
        </is>
      </c>
      <c r="D422" t="n">
        <v>3</v>
      </c>
      <c r="E422" t="n">
        <v>6</v>
      </c>
      <c r="F422" t="inlineStr">
        <is>
          <t>续持</t>
        </is>
      </c>
      <c r="G422" t="n">
        <v>1</v>
      </c>
      <c r="H422" t="n">
        <v>9040</v>
      </c>
      <c r="I422" t="n">
        <v>8438.860000000001</v>
      </c>
      <c r="J422" t="n">
        <v>0.87</v>
      </c>
      <c r="K422" t="inlineStr">
        <is>
          <t>续持原仓（2022-01-14开）</t>
        </is>
      </c>
    </row>
    <row r="423">
      <c r="A423" t="inlineStr">
        <is>
          <t>2022-01-17</t>
        </is>
      </c>
      <c r="B423" t="inlineStr">
        <is>
          <t>豆油</t>
        </is>
      </c>
      <c r="C423" t="inlineStr">
        <is>
          <t>多</t>
        </is>
      </c>
      <c r="D423" t="n">
        <v>2</v>
      </c>
      <c r="E423" t="n">
        <v>4</v>
      </c>
      <c r="F423" t="inlineStr">
        <is>
          <t>续持</t>
        </is>
      </c>
      <c r="G423" t="n">
        <v>1</v>
      </c>
      <c r="H423" t="n">
        <v>9124</v>
      </c>
      <c r="I423" t="n">
        <v>8679.860000000001</v>
      </c>
      <c r="J423" t="n">
        <v>0.87</v>
      </c>
      <c r="K423" t="inlineStr">
        <is>
          <t>续持原仓（2022-01-14开）</t>
        </is>
      </c>
    </row>
    <row r="424">
      <c r="A424" t="inlineStr">
        <is>
          <t>2022-01-17</t>
        </is>
      </c>
      <c r="B424" t="inlineStr">
        <is>
          <t>沪铝</t>
        </is>
      </c>
      <c r="C424" t="inlineStr">
        <is>
          <t>多</t>
        </is>
      </c>
      <c r="D424" t="n">
        <v>2</v>
      </c>
      <c r="E424" t="n">
        <v>4</v>
      </c>
      <c r="F424" t="inlineStr">
        <is>
          <t>观望</t>
        </is>
      </c>
      <c r="G424" t="n">
        <v>1</v>
      </c>
      <c r="H424" t="n">
        <v>21150</v>
      </c>
      <c r="I424" t="n">
        <v>19825.71</v>
      </c>
      <c r="J424" t="n">
        <v>1</v>
      </c>
      <c r="K424" t="inlineStr">
        <is>
          <t>逆5日线（收盘在5日线下，不追多）</t>
        </is>
      </c>
    </row>
    <row r="425">
      <c r="A425" t="inlineStr">
        <is>
          <t>2022-01-17</t>
        </is>
      </c>
      <c r="B425" t="inlineStr">
        <is>
          <t>沪金</t>
        </is>
      </c>
      <c r="C425" t="inlineStr">
        <is>
          <t>空</t>
        </is>
      </c>
      <c r="D425" t="n">
        <v>2</v>
      </c>
      <c r="E425" t="n">
        <v>4</v>
      </c>
      <c r="F425" t="inlineStr">
        <is>
          <t>不做</t>
        </is>
      </c>
      <c r="H425" t="n">
        <v>374.22</v>
      </c>
      <c r="J425" t="n">
        <v>1</v>
      </c>
      <c r="K425" t="inlineStr">
        <is>
          <t>1手风险10196元超过预算10000元</t>
        </is>
      </c>
    </row>
    <row r="426">
      <c r="A426" t="inlineStr">
        <is>
          <t>2022-01-18</t>
        </is>
      </c>
      <c r="B426" t="inlineStr">
        <is>
          <t>沥青</t>
        </is>
      </c>
      <c r="C426" t="inlineStr">
        <is>
          <t>多</t>
        </is>
      </c>
      <c r="D426" t="n">
        <v>3</v>
      </c>
      <c r="E426" t="n">
        <v>7</v>
      </c>
      <c r="F426" t="inlineStr">
        <is>
          <t>开仓</t>
        </is>
      </c>
      <c r="G426" t="n">
        <v>6</v>
      </c>
      <c r="H426" t="n">
        <v>3496</v>
      </c>
      <c r="I426" t="n">
        <v>3236.71</v>
      </c>
      <c r="J426" t="n">
        <v>1.57</v>
      </c>
      <c r="K426" t="inlineStr">
        <is>
          <t>¼凯利</t>
        </is>
      </c>
    </row>
    <row r="427">
      <c r="A427" t="inlineStr">
        <is>
          <t>2022-01-18</t>
        </is>
      </c>
      <c r="B427" t="inlineStr">
        <is>
          <t>燃料油</t>
        </is>
      </c>
      <c r="C427" t="inlineStr">
        <is>
          <t>多</t>
        </is>
      </c>
      <c r="D427" t="n">
        <v>3</v>
      </c>
      <c r="E427" t="n">
        <v>7</v>
      </c>
      <c r="F427" t="inlineStr">
        <is>
          <t>开仓</t>
        </is>
      </c>
      <c r="G427" t="n">
        <v>7</v>
      </c>
      <c r="H427" t="n">
        <v>3095</v>
      </c>
      <c r="I427" t="n">
        <v>2882.86</v>
      </c>
      <c r="J427" t="n">
        <v>1.57</v>
      </c>
      <c r="K427" t="inlineStr">
        <is>
          <t>¼凯利</t>
        </is>
      </c>
    </row>
    <row r="428">
      <c r="A428" t="inlineStr">
        <is>
          <t>2022-01-18</t>
        </is>
      </c>
      <c r="B428" t="inlineStr">
        <is>
          <t>豆油</t>
        </is>
      </c>
      <c r="C428" t="inlineStr">
        <is>
          <t>多</t>
        </is>
      </c>
      <c r="D428" t="n">
        <v>3</v>
      </c>
      <c r="E428" t="n">
        <v>6</v>
      </c>
      <c r="F428" t="inlineStr">
        <is>
          <t>续持</t>
        </is>
      </c>
      <c r="G428" t="n">
        <v>1</v>
      </c>
      <c r="H428" t="n">
        <v>9196</v>
      </c>
      <c r="I428" t="n">
        <v>8703.709999999999</v>
      </c>
      <c r="J428" t="n">
        <v>0.87</v>
      </c>
      <c r="K428" t="inlineStr">
        <is>
          <t>续持原仓（2022-01-14开）</t>
        </is>
      </c>
    </row>
    <row r="429">
      <c r="A429" t="inlineStr">
        <is>
          <t>2022-01-18</t>
        </is>
      </c>
      <c r="B429" t="inlineStr">
        <is>
          <t>螺纹钢</t>
        </is>
      </c>
      <c r="C429" t="inlineStr">
        <is>
          <t>多</t>
        </is>
      </c>
      <c r="D429" t="n">
        <v>3</v>
      </c>
      <c r="E429" t="n">
        <v>6</v>
      </c>
      <c r="F429" t="inlineStr">
        <is>
          <t>观望</t>
        </is>
      </c>
      <c r="G429" t="n">
        <v>6</v>
      </c>
      <c r="H429" t="n">
        <v>4599</v>
      </c>
      <c r="I429" t="n">
        <v>4337.57</v>
      </c>
      <c r="J429" t="n">
        <v>1.57</v>
      </c>
      <c r="K429" t="inlineStr">
        <is>
          <t>逆5日线（收盘在5日线下，不追多）</t>
        </is>
      </c>
    </row>
    <row r="430">
      <c r="A430" t="inlineStr">
        <is>
          <t>2022-01-18</t>
        </is>
      </c>
      <c r="B430" t="inlineStr">
        <is>
          <t>棕榈油</t>
        </is>
      </c>
      <c r="C430" t="inlineStr">
        <is>
          <t>多</t>
        </is>
      </c>
      <c r="D430" t="n">
        <v>3</v>
      </c>
      <c r="E430" t="n">
        <v>6</v>
      </c>
      <c r="F430" t="inlineStr">
        <is>
          <t>续持</t>
        </is>
      </c>
      <c r="G430" t="n">
        <v>1</v>
      </c>
      <c r="H430" t="n">
        <v>9166</v>
      </c>
      <c r="I430" t="n">
        <v>8557.139999999999</v>
      </c>
      <c r="J430" t="n">
        <v>0.87</v>
      </c>
      <c r="K430" t="inlineStr">
        <is>
          <t>续持原仓（2022-01-14开）</t>
        </is>
      </c>
    </row>
    <row r="431">
      <c r="A431" t="inlineStr">
        <is>
          <t>2022-01-18</t>
        </is>
      </c>
      <c r="B431" t="inlineStr">
        <is>
          <t>豆粕</t>
        </is>
      </c>
      <c r="C431" t="inlineStr">
        <is>
          <t>空</t>
        </is>
      </c>
      <c r="D431" t="n">
        <v>2</v>
      </c>
      <c r="E431" t="n">
        <v>4</v>
      </c>
      <c r="F431" t="inlineStr">
        <is>
          <t>影子仓</t>
        </is>
      </c>
      <c r="G431" t="n">
        <v>5</v>
      </c>
      <c r="H431" t="n">
        <v>3156</v>
      </c>
      <c r="I431" t="n">
        <v>3327.86</v>
      </c>
      <c r="J431" t="n">
        <v>1</v>
      </c>
      <c r="K431" t="inlineStr">
        <is>
          <t>凯利≤0，开1%影子仓（只统计，不计入组合）</t>
        </is>
      </c>
    </row>
    <row r="432">
      <c r="A432" t="inlineStr">
        <is>
          <t>2022-01-19</t>
        </is>
      </c>
      <c r="B432" t="inlineStr">
        <is>
          <t>棉花</t>
        </is>
      </c>
      <c r="C432" t="inlineStr">
        <is>
          <t>多</t>
        </is>
      </c>
      <c r="D432" t="n">
        <v>3</v>
      </c>
      <c r="E432" t="n">
        <v>7</v>
      </c>
      <c r="F432" t="inlineStr">
        <is>
          <t>开仓</t>
        </is>
      </c>
      <c r="G432" t="n">
        <v>2</v>
      </c>
      <c r="H432" t="n">
        <v>21760</v>
      </c>
      <c r="I432" t="n">
        <v>20913.57</v>
      </c>
      <c r="J432" t="n">
        <v>0.88</v>
      </c>
      <c r="K432" t="inlineStr">
        <is>
          <t>¼凯利</t>
        </is>
      </c>
    </row>
    <row r="433">
      <c r="A433" t="inlineStr">
        <is>
          <t>2022-01-19</t>
        </is>
      </c>
      <c r="B433" t="inlineStr">
        <is>
          <t>沥青</t>
        </is>
      </c>
      <c r="C433" t="inlineStr">
        <is>
          <t>多</t>
        </is>
      </c>
      <c r="D433" t="n">
        <v>3</v>
      </c>
      <c r="E433" t="n">
        <v>7</v>
      </c>
      <c r="F433" t="inlineStr">
        <is>
          <t>续持</t>
        </is>
      </c>
      <c r="G433" t="n">
        <v>6</v>
      </c>
      <c r="H433" t="n">
        <v>3554</v>
      </c>
      <c r="I433" t="n">
        <v>3325.86</v>
      </c>
      <c r="J433" t="n">
        <v>1.57</v>
      </c>
      <c r="K433" t="inlineStr">
        <is>
          <t>续持原仓（2022-01-18开）</t>
        </is>
      </c>
    </row>
    <row r="434">
      <c r="A434" t="inlineStr">
        <is>
          <t>2022-01-19</t>
        </is>
      </c>
      <c r="B434" t="inlineStr">
        <is>
          <t>棕榈油</t>
        </is>
      </c>
      <c r="C434" t="inlineStr">
        <is>
          <t>多</t>
        </is>
      </c>
      <c r="D434" t="n">
        <v>3</v>
      </c>
      <c r="E434" t="n">
        <v>7</v>
      </c>
      <c r="F434" t="inlineStr">
        <is>
          <t>续持</t>
        </is>
      </c>
      <c r="G434" t="n">
        <v>1</v>
      </c>
      <c r="H434" t="n">
        <v>9286</v>
      </c>
      <c r="I434" t="n">
        <v>8799.139999999999</v>
      </c>
      <c r="J434" t="n">
        <v>0.87</v>
      </c>
      <c r="K434" t="inlineStr">
        <is>
          <t>续持原仓（2022-01-14开）</t>
        </is>
      </c>
    </row>
    <row r="435">
      <c r="A435" t="inlineStr">
        <is>
          <t>2022-01-19</t>
        </is>
      </c>
      <c r="B435" t="inlineStr">
        <is>
          <t>塑料</t>
        </is>
      </c>
      <c r="C435" t="inlineStr">
        <is>
          <t>多</t>
        </is>
      </c>
      <c r="D435" t="n">
        <v>3</v>
      </c>
      <c r="E435" t="n">
        <v>7</v>
      </c>
      <c r="F435" t="inlineStr">
        <is>
          <t>开仓</t>
        </is>
      </c>
      <c r="G435" t="n">
        <v>3</v>
      </c>
      <c r="H435" t="n">
        <v>8932</v>
      </c>
      <c r="I435" t="n">
        <v>8480.07</v>
      </c>
      <c r="J435" t="n">
        <v>0.88</v>
      </c>
      <c r="K435" t="inlineStr">
        <is>
          <t>¼凯利</t>
        </is>
      </c>
    </row>
    <row r="436">
      <c r="A436" t="inlineStr">
        <is>
          <t>2022-01-19</t>
        </is>
      </c>
      <c r="B436" t="inlineStr">
        <is>
          <t>沪铝</t>
        </is>
      </c>
      <c r="C436" t="inlineStr">
        <is>
          <t>多</t>
        </is>
      </c>
      <c r="D436" t="n">
        <v>3</v>
      </c>
      <c r="E436" t="n">
        <v>6</v>
      </c>
      <c r="F436" t="inlineStr">
        <is>
          <t>开仓</t>
        </is>
      </c>
      <c r="G436" t="n">
        <v>1</v>
      </c>
      <c r="H436" t="n">
        <v>21555</v>
      </c>
      <c r="I436" t="n">
        <v>20160</v>
      </c>
      <c r="J436" t="n">
        <v>0.88</v>
      </c>
      <c r="K436" t="inlineStr">
        <is>
          <t>¼凯利</t>
        </is>
      </c>
    </row>
    <row r="437">
      <c r="A437" t="inlineStr">
        <is>
          <t>2022-01-20</t>
        </is>
      </c>
      <c r="B437" t="inlineStr">
        <is>
          <t>沥青</t>
        </is>
      </c>
      <c r="C437" t="inlineStr">
        <is>
          <t>多</t>
        </is>
      </c>
      <c r="D437" t="n">
        <v>3</v>
      </c>
      <c r="E437" t="n">
        <v>7</v>
      </c>
      <c r="F437" t="inlineStr">
        <is>
          <t>续持</t>
        </is>
      </c>
      <c r="G437" t="n">
        <v>6</v>
      </c>
      <c r="H437" t="n">
        <v>3646</v>
      </c>
      <c r="I437" t="n">
        <v>3378.57</v>
      </c>
      <c r="J437" t="n">
        <v>1.57</v>
      </c>
      <c r="K437" t="inlineStr">
        <is>
          <t>续持原仓（2022-01-18开）</t>
        </is>
      </c>
    </row>
    <row r="438">
      <c r="A438" t="inlineStr">
        <is>
          <t>2022-01-20</t>
        </is>
      </c>
      <c r="B438" t="inlineStr">
        <is>
          <t>沪镍</t>
        </is>
      </c>
      <c r="C438" t="inlineStr">
        <is>
          <t>多</t>
        </is>
      </c>
      <c r="D438" t="n">
        <v>3</v>
      </c>
      <c r="E438" t="n">
        <v>7</v>
      </c>
      <c r="F438" t="inlineStr">
        <is>
          <t>不做</t>
        </is>
      </c>
      <c r="H438" t="n">
        <v>176280</v>
      </c>
      <c r="J438" t="n">
        <v>0.84</v>
      </c>
      <c r="K438" t="inlineStr">
        <is>
          <t>1手风险14518元超过预算8400元</t>
        </is>
      </c>
    </row>
    <row r="439">
      <c r="A439" t="inlineStr">
        <is>
          <t>2022-01-20</t>
        </is>
      </c>
      <c r="B439" t="inlineStr">
        <is>
          <t>棕榈油</t>
        </is>
      </c>
      <c r="C439" t="inlineStr">
        <is>
          <t>多</t>
        </is>
      </c>
      <c r="D439" t="n">
        <v>3</v>
      </c>
      <c r="E439" t="n">
        <v>7</v>
      </c>
      <c r="F439" t="inlineStr">
        <is>
          <t>续持</t>
        </is>
      </c>
      <c r="G439" t="n">
        <v>1</v>
      </c>
      <c r="H439" t="n">
        <v>9414</v>
      </c>
      <c r="I439" t="n">
        <v>8812.860000000001</v>
      </c>
      <c r="J439" t="n">
        <v>0.87</v>
      </c>
      <c r="K439" t="inlineStr">
        <is>
          <t>续持原仓（2022-01-14开）</t>
        </is>
      </c>
    </row>
    <row r="440">
      <c r="A440" t="inlineStr">
        <is>
          <t>2022-01-20</t>
        </is>
      </c>
      <c r="B440" t="inlineStr">
        <is>
          <t>燃料油</t>
        </is>
      </c>
      <c r="C440" t="inlineStr">
        <is>
          <t>多</t>
        </is>
      </c>
      <c r="D440" t="n">
        <v>3</v>
      </c>
      <c r="E440" t="n">
        <v>6</v>
      </c>
      <c r="F440" t="inlineStr">
        <is>
          <t>续持</t>
        </is>
      </c>
      <c r="G440" t="n">
        <v>7</v>
      </c>
      <c r="H440" t="n">
        <v>3159</v>
      </c>
      <c r="I440" t="n">
        <v>2948.71</v>
      </c>
      <c r="J440" t="n">
        <v>1.57</v>
      </c>
      <c r="K440" t="inlineStr">
        <is>
          <t>续持原仓（2022-01-18开）</t>
        </is>
      </c>
    </row>
    <row r="441">
      <c r="A441" t="inlineStr">
        <is>
          <t>2022-01-20</t>
        </is>
      </c>
      <c r="B441" t="inlineStr">
        <is>
          <t>棉花</t>
        </is>
      </c>
      <c r="C441" t="inlineStr">
        <is>
          <t>多</t>
        </is>
      </c>
      <c r="D441" t="n">
        <v>2</v>
      </c>
      <c r="E441" t="n">
        <v>5</v>
      </c>
      <c r="F441" t="inlineStr">
        <is>
          <t>续持</t>
        </is>
      </c>
      <c r="G441" t="n">
        <v>2</v>
      </c>
      <c r="H441" t="n">
        <v>21785</v>
      </c>
      <c r="I441" t="n">
        <v>21030</v>
      </c>
      <c r="J441" t="n">
        <v>0.88</v>
      </c>
      <c r="K441" t="inlineStr">
        <is>
          <t>续持原仓（2022-01-19开）</t>
        </is>
      </c>
    </row>
    <row r="442">
      <c r="A442" t="inlineStr">
        <is>
          <t>2022-01-20</t>
        </is>
      </c>
      <c r="B442" t="inlineStr">
        <is>
          <t>甲醇</t>
        </is>
      </c>
      <c r="C442" t="inlineStr">
        <is>
          <t>空</t>
        </is>
      </c>
      <c r="D442" t="n">
        <v>2</v>
      </c>
      <c r="E442" t="n">
        <v>4</v>
      </c>
      <c r="F442" t="inlineStr">
        <is>
          <t>观望</t>
        </is>
      </c>
      <c r="G442" t="n">
        <v>4</v>
      </c>
      <c r="H442" t="n">
        <v>2798</v>
      </c>
      <c r="I442" t="n">
        <v>3027.07</v>
      </c>
      <c r="J442" t="n">
        <v>1</v>
      </c>
      <c r="K442" t="inlineStr">
        <is>
          <t>逆5日线（收盘在5日线上，不追空）</t>
        </is>
      </c>
    </row>
    <row r="443">
      <c r="A443" t="inlineStr">
        <is>
          <t>2022-01-21</t>
        </is>
      </c>
      <c r="B443" t="inlineStr">
        <is>
          <t>棕榈油</t>
        </is>
      </c>
      <c r="C443" t="inlineStr">
        <is>
          <t>多</t>
        </is>
      </c>
      <c r="D443" t="n">
        <v>3</v>
      </c>
      <c r="E443" t="n">
        <v>7</v>
      </c>
      <c r="F443" t="inlineStr">
        <is>
          <t>续持</t>
        </is>
      </c>
      <c r="G443" t="n">
        <v>1</v>
      </c>
      <c r="H443" t="n">
        <v>9526</v>
      </c>
      <c r="I443" t="n">
        <v>8904.290000000001</v>
      </c>
      <c r="J443" t="n">
        <v>0.87</v>
      </c>
      <c r="K443" t="inlineStr">
        <is>
          <t>续持原仓（2022-01-14开）</t>
        </is>
      </c>
    </row>
    <row r="444">
      <c r="A444" t="inlineStr">
        <is>
          <t>2022-01-21</t>
        </is>
      </c>
      <c r="B444" t="inlineStr">
        <is>
          <t>豆油</t>
        </is>
      </c>
      <c r="C444" t="inlineStr">
        <is>
          <t>多</t>
        </is>
      </c>
      <c r="D444" t="n">
        <v>3</v>
      </c>
      <c r="E444" t="n">
        <v>6</v>
      </c>
      <c r="F444" t="inlineStr">
        <is>
          <t>开仓</t>
        </is>
      </c>
      <c r="G444" t="n">
        <v>1</v>
      </c>
      <c r="H444" t="n">
        <v>9550</v>
      </c>
      <c r="I444" t="n">
        <v>9004</v>
      </c>
      <c r="J444" t="n">
        <v>1.04</v>
      </c>
      <c r="K444" t="inlineStr">
        <is>
          <t>¼凯利</t>
        </is>
      </c>
    </row>
    <row r="445">
      <c r="A445" t="inlineStr">
        <is>
          <t>2022-01-21</t>
        </is>
      </c>
      <c r="B445" t="inlineStr">
        <is>
          <t>沪铝</t>
        </is>
      </c>
      <c r="C445" t="inlineStr">
        <is>
          <t>多</t>
        </is>
      </c>
      <c r="D445" t="n">
        <v>3</v>
      </c>
      <c r="E445" t="n">
        <v>6</v>
      </c>
      <c r="F445" t="inlineStr">
        <is>
          <t>开仓</t>
        </is>
      </c>
      <c r="G445" t="n">
        <v>1</v>
      </c>
      <c r="H445" t="n">
        <v>21430</v>
      </c>
      <c r="I445" t="n">
        <v>19980.36</v>
      </c>
      <c r="J445" t="n">
        <v>1.04</v>
      </c>
      <c r="K445" t="inlineStr">
        <is>
          <t>¼凯利</t>
        </is>
      </c>
    </row>
    <row r="446">
      <c r="A446" t="inlineStr">
        <is>
          <t>2022-01-21</t>
        </is>
      </c>
      <c r="B446" t="inlineStr">
        <is>
          <t>棉花</t>
        </is>
      </c>
      <c r="C446" t="inlineStr">
        <is>
          <t>多</t>
        </is>
      </c>
      <c r="D446" t="n">
        <v>2</v>
      </c>
      <c r="E446" t="n">
        <v>5</v>
      </c>
      <c r="F446" t="inlineStr">
        <is>
          <t>续持</t>
        </is>
      </c>
      <c r="G446" t="n">
        <v>2</v>
      </c>
      <c r="H446" t="n">
        <v>21660</v>
      </c>
      <c r="I446" t="n">
        <v>21052.5</v>
      </c>
      <c r="J446" t="n">
        <v>0.88</v>
      </c>
      <c r="K446" t="inlineStr">
        <is>
          <t>续持原仓（2022-01-19开）</t>
        </is>
      </c>
    </row>
    <row r="447">
      <c r="A447" t="inlineStr">
        <is>
          <t>2022-01-21</t>
        </is>
      </c>
      <c r="B447" t="inlineStr">
        <is>
          <t>热卷</t>
        </is>
      </c>
      <c r="C447" t="inlineStr">
        <is>
          <t>多</t>
        </is>
      </c>
      <c r="D447" t="n">
        <v>2</v>
      </c>
      <c r="E447" t="n">
        <v>5</v>
      </c>
      <c r="F447" t="inlineStr">
        <is>
          <t>影子仓</t>
        </is>
      </c>
      <c r="G447" t="n">
        <v>3</v>
      </c>
      <c r="H447" t="n">
        <v>4822</v>
      </c>
      <c r="I447" t="n">
        <v>4540.43</v>
      </c>
      <c r="J447" t="n">
        <v>1</v>
      </c>
      <c r="K447" t="inlineStr">
        <is>
          <t>凯利≤0，开1%影子仓（只统计，不计入组合）</t>
        </is>
      </c>
    </row>
    <row r="448">
      <c r="A448" t="inlineStr">
        <is>
          <t>2022-01-24</t>
        </is>
      </c>
      <c r="B448" t="inlineStr">
        <is>
          <t>棕榈油</t>
        </is>
      </c>
      <c r="C448" t="inlineStr">
        <is>
          <t>多</t>
        </is>
      </c>
      <c r="D448" t="n">
        <v>2</v>
      </c>
      <c r="E448" t="n">
        <v>5</v>
      </c>
      <c r="F448" t="inlineStr">
        <is>
          <t>续持</t>
        </is>
      </c>
      <c r="G448" t="n">
        <v>1</v>
      </c>
      <c r="H448" t="n">
        <v>9470</v>
      </c>
      <c r="I448" t="n">
        <v>9043.57</v>
      </c>
      <c r="J448" t="n">
        <v>0.87</v>
      </c>
      <c r="K448" t="inlineStr">
        <is>
          <t>续持原仓（2022-01-14开）</t>
        </is>
      </c>
    </row>
    <row r="449">
      <c r="A449" t="inlineStr">
        <is>
          <t>2022-01-24</t>
        </is>
      </c>
      <c r="B449" t="inlineStr">
        <is>
          <t>沪镍</t>
        </is>
      </c>
      <c r="C449" t="inlineStr">
        <is>
          <t>多</t>
        </is>
      </c>
      <c r="D449" t="n">
        <v>2</v>
      </c>
      <c r="E449" t="n">
        <v>5</v>
      </c>
      <c r="F449" t="inlineStr">
        <is>
          <t>不做</t>
        </is>
      </c>
      <c r="H449" t="n">
        <v>173460</v>
      </c>
      <c r="J449" t="n">
        <v>1</v>
      </c>
      <c r="K449" t="inlineStr">
        <is>
          <t>1手风险16288元超过预算10000元</t>
        </is>
      </c>
    </row>
    <row r="450">
      <c r="A450" t="inlineStr">
        <is>
          <t>2022-01-24</t>
        </is>
      </c>
      <c r="B450" t="inlineStr">
        <is>
          <t>PVC</t>
        </is>
      </c>
      <c r="C450" t="inlineStr">
        <is>
          <t>多</t>
        </is>
      </c>
      <c r="D450" t="n">
        <v>2</v>
      </c>
      <c r="E450" t="n">
        <v>4</v>
      </c>
      <c r="F450" t="inlineStr">
        <is>
          <t>观望</t>
        </is>
      </c>
      <c r="G450" t="n">
        <v>3</v>
      </c>
      <c r="H450" t="n">
        <v>8676</v>
      </c>
      <c r="I450" t="n">
        <v>8051.36</v>
      </c>
      <c r="J450" t="n">
        <v>1</v>
      </c>
      <c r="K450" t="inlineStr">
        <is>
          <t>逆5日线（收盘在5日线下，不追多）</t>
        </is>
      </c>
    </row>
    <row r="451">
      <c r="A451" t="inlineStr">
        <is>
          <t>2022-01-24</t>
        </is>
      </c>
      <c r="B451" t="inlineStr">
        <is>
          <t>纯碱</t>
        </is>
      </c>
      <c r="C451" t="inlineStr">
        <is>
          <t>多</t>
        </is>
      </c>
      <c r="D451" t="n">
        <v>2</v>
      </c>
      <c r="E451" t="n">
        <v>4</v>
      </c>
      <c r="F451" t="inlineStr">
        <is>
          <t>影子仓</t>
        </is>
      </c>
      <c r="G451" t="n">
        <v>2</v>
      </c>
      <c r="H451" t="n">
        <v>2685</v>
      </c>
      <c r="I451" t="n">
        <v>2439.21</v>
      </c>
      <c r="J451" t="n">
        <v>1</v>
      </c>
      <c r="K451" t="inlineStr">
        <is>
          <t>凯利≤0，开1%影子仓（只统计，不计入组合）</t>
        </is>
      </c>
    </row>
    <row r="452">
      <c r="A452" t="inlineStr">
        <is>
          <t>2022-01-24</t>
        </is>
      </c>
      <c r="B452" t="inlineStr">
        <is>
          <t>甲醇</t>
        </is>
      </c>
      <c r="C452" t="inlineStr">
        <is>
          <t>空</t>
        </is>
      </c>
      <c r="D452" t="n">
        <v>2</v>
      </c>
      <c r="E452" t="n">
        <v>4</v>
      </c>
      <c r="F452" t="inlineStr">
        <is>
          <t>影子仓</t>
        </is>
      </c>
      <c r="G452" t="n">
        <v>4</v>
      </c>
      <c r="H452" t="n">
        <v>2768</v>
      </c>
      <c r="I452" t="n">
        <v>2992.36</v>
      </c>
      <c r="J452" t="n">
        <v>1</v>
      </c>
      <c r="K452" t="inlineStr">
        <is>
          <t>凯利≤0，开1%影子仓（只统计，不计入组合）</t>
        </is>
      </c>
    </row>
    <row r="453">
      <c r="A453" t="inlineStr">
        <is>
          <t>2022-01-25</t>
        </is>
      </c>
      <c r="B453" t="inlineStr">
        <is>
          <t>玉米</t>
        </is>
      </c>
      <c r="C453" t="inlineStr">
        <is>
          <t>多</t>
        </is>
      </c>
      <c r="D453" t="n">
        <v>3</v>
      </c>
      <c r="E453" t="n">
        <v>7</v>
      </c>
      <c r="F453" t="inlineStr">
        <is>
          <t>开仓</t>
        </is>
      </c>
      <c r="G453" t="n">
        <v>12</v>
      </c>
      <c r="H453" t="n">
        <v>2758</v>
      </c>
      <c r="I453" t="n">
        <v>2681.71</v>
      </c>
      <c r="J453" t="n">
        <v>0.92</v>
      </c>
      <c r="K453" t="inlineStr">
        <is>
          <t>¼凯利</t>
        </is>
      </c>
    </row>
    <row r="454">
      <c r="A454" t="inlineStr">
        <is>
          <t>2022-01-25</t>
        </is>
      </c>
      <c r="B454" t="inlineStr">
        <is>
          <t>铁矿石</t>
        </is>
      </c>
      <c r="C454" t="inlineStr">
        <is>
          <t>多</t>
        </is>
      </c>
      <c r="D454" t="n">
        <v>3</v>
      </c>
      <c r="E454" t="n">
        <v>7</v>
      </c>
      <c r="F454" t="inlineStr">
        <is>
          <t>开仓</t>
        </is>
      </c>
      <c r="G454" t="n">
        <v>1</v>
      </c>
      <c r="H454" t="n">
        <v>766.5</v>
      </c>
      <c r="I454" t="n">
        <v>697.5</v>
      </c>
      <c r="J454" t="n">
        <v>0.92</v>
      </c>
      <c r="K454" t="inlineStr">
        <is>
          <t>¼凯利</t>
        </is>
      </c>
    </row>
    <row r="455">
      <c r="A455" t="inlineStr">
        <is>
          <t>2022-01-25</t>
        </is>
      </c>
      <c r="B455" t="inlineStr">
        <is>
          <t>棉花</t>
        </is>
      </c>
      <c r="C455" t="inlineStr">
        <is>
          <t>多</t>
        </is>
      </c>
      <c r="D455" t="n">
        <v>3</v>
      </c>
      <c r="E455" t="n">
        <v>6</v>
      </c>
      <c r="F455" t="inlineStr">
        <is>
          <t>观望</t>
        </is>
      </c>
      <c r="G455" t="n">
        <v>2</v>
      </c>
      <c r="H455" t="n">
        <v>21670</v>
      </c>
      <c r="I455" t="n">
        <v>20927.5</v>
      </c>
      <c r="J455" t="n">
        <v>0.92</v>
      </c>
      <c r="K455" t="inlineStr">
        <is>
          <t>逆5日线（收盘在5日线下，不追多）</t>
        </is>
      </c>
    </row>
    <row r="456">
      <c r="A456" t="inlineStr">
        <is>
          <t>2022-01-25</t>
        </is>
      </c>
      <c r="B456" t="inlineStr">
        <is>
          <t>热卷</t>
        </is>
      </c>
      <c r="C456" t="inlineStr">
        <is>
          <t>多</t>
        </is>
      </c>
      <c r="D456" t="n">
        <v>3</v>
      </c>
      <c r="E456" t="n">
        <v>6</v>
      </c>
      <c r="F456" t="inlineStr">
        <is>
          <t>续持</t>
        </is>
      </c>
      <c r="G456" t="n">
        <v>3</v>
      </c>
      <c r="H456" t="n">
        <v>4844</v>
      </c>
      <c r="I456" t="n">
        <v>4598.71</v>
      </c>
      <c r="J456" t="n">
        <v>1</v>
      </c>
      <c r="K456" t="inlineStr">
        <is>
          <t>续持原仓（2022-01-21开）</t>
        </is>
      </c>
    </row>
    <row r="457">
      <c r="A457" t="inlineStr">
        <is>
          <t>2022-01-25</t>
        </is>
      </c>
      <c r="B457" t="inlineStr">
        <is>
          <t>纯碱</t>
        </is>
      </c>
      <c r="C457" t="inlineStr">
        <is>
          <t>多</t>
        </is>
      </c>
      <c r="D457" t="n">
        <v>3</v>
      </c>
      <c r="E457" t="n">
        <v>6</v>
      </c>
      <c r="F457" t="inlineStr">
        <is>
          <t>续持</t>
        </is>
      </c>
      <c r="G457" t="n">
        <v>2</v>
      </c>
      <c r="H457" t="n">
        <v>2700</v>
      </c>
      <c r="I457" t="n">
        <v>2473.93</v>
      </c>
      <c r="J457" t="n">
        <v>1</v>
      </c>
      <c r="K457" t="inlineStr">
        <is>
          <t>续持原仓（2022-01-24开）</t>
        </is>
      </c>
    </row>
    <row r="458">
      <c r="A458" t="inlineStr">
        <is>
          <t>2022-01-25</t>
        </is>
      </c>
      <c r="B458" t="inlineStr">
        <is>
          <t>PTA</t>
        </is>
      </c>
      <c r="C458" t="inlineStr">
        <is>
          <t>空</t>
        </is>
      </c>
      <c r="D458" t="n">
        <v>2</v>
      </c>
      <c r="E458" t="n">
        <v>5</v>
      </c>
      <c r="F458" t="inlineStr">
        <is>
          <t>影子仓</t>
        </is>
      </c>
      <c r="G458" t="n">
        <v>4</v>
      </c>
      <c r="H458" t="n">
        <v>5276</v>
      </c>
      <c r="I458" t="n">
        <v>5690</v>
      </c>
      <c r="J458" t="n">
        <v>1</v>
      </c>
      <c r="K458" t="inlineStr">
        <is>
          <t>凯利≤0，开1%影子仓（只统计，不计入组合）</t>
        </is>
      </c>
    </row>
    <row r="459">
      <c r="A459" t="inlineStr">
        <is>
          <t>2022-01-26</t>
        </is>
      </c>
      <c r="B459" t="inlineStr">
        <is>
          <t>玉米</t>
        </is>
      </c>
      <c r="C459" t="inlineStr">
        <is>
          <t>多</t>
        </is>
      </c>
      <c r="D459" t="n">
        <v>3</v>
      </c>
      <c r="E459" t="n">
        <v>7</v>
      </c>
      <c r="F459" t="inlineStr">
        <is>
          <t>续持</t>
        </is>
      </c>
      <c r="G459" t="n">
        <v>12</v>
      </c>
      <c r="H459" t="n">
        <v>2775</v>
      </c>
      <c r="I459" t="n">
        <v>2705.29</v>
      </c>
      <c r="J459" t="n">
        <v>0.92</v>
      </c>
      <c r="K459" t="inlineStr">
        <is>
          <t>续持原仓（2022-01-25开）</t>
        </is>
      </c>
    </row>
    <row r="460">
      <c r="A460" t="inlineStr">
        <is>
          <t>2022-01-26</t>
        </is>
      </c>
      <c r="B460" t="inlineStr">
        <is>
          <t>塑料</t>
        </is>
      </c>
      <c r="C460" t="inlineStr">
        <is>
          <t>多</t>
        </is>
      </c>
      <c r="D460" t="n">
        <v>3</v>
      </c>
      <c r="E460" t="n">
        <v>7</v>
      </c>
      <c r="F460" t="inlineStr">
        <is>
          <t>开仓</t>
        </is>
      </c>
      <c r="G460" t="n">
        <v>3</v>
      </c>
      <c r="H460" t="n">
        <v>9064</v>
      </c>
      <c r="I460" t="n">
        <v>8601.57</v>
      </c>
      <c r="J460" t="n">
        <v>0.92</v>
      </c>
      <c r="K460" t="inlineStr">
        <is>
          <t>¼凯利</t>
        </is>
      </c>
    </row>
    <row r="461">
      <c r="A461" t="inlineStr">
        <is>
          <t>2022-01-26</t>
        </is>
      </c>
      <c r="B461" t="inlineStr">
        <is>
          <t>棉花</t>
        </is>
      </c>
      <c r="C461" t="inlineStr">
        <is>
          <t>多</t>
        </is>
      </c>
      <c r="D461" t="n">
        <v>3</v>
      </c>
      <c r="E461" t="n">
        <v>6</v>
      </c>
      <c r="F461" t="inlineStr">
        <is>
          <t>观望</t>
        </is>
      </c>
      <c r="G461" t="n">
        <v>2</v>
      </c>
      <c r="H461" t="n">
        <v>21680</v>
      </c>
      <c r="I461" t="n">
        <v>20945</v>
      </c>
      <c r="J461" t="n">
        <v>0.92</v>
      </c>
      <c r="K461" t="inlineStr">
        <is>
          <t>逆5日线（收盘在5日线下，不追多）</t>
        </is>
      </c>
    </row>
    <row r="462">
      <c r="A462" t="inlineStr">
        <is>
          <t>2022-01-26</t>
        </is>
      </c>
      <c r="B462" t="inlineStr">
        <is>
          <t>棕榈油</t>
        </is>
      </c>
      <c r="C462" t="inlineStr">
        <is>
          <t>多</t>
        </is>
      </c>
      <c r="D462" t="n">
        <v>3</v>
      </c>
      <c r="E462" t="n">
        <v>6</v>
      </c>
      <c r="F462" t="inlineStr">
        <is>
          <t>续持</t>
        </is>
      </c>
      <c r="G462" t="n">
        <v>1</v>
      </c>
      <c r="H462" t="n">
        <v>9574</v>
      </c>
      <c r="I462" t="n">
        <v>9057.290000000001</v>
      </c>
      <c r="J462" t="n">
        <v>0.87</v>
      </c>
      <c r="K462" t="inlineStr">
        <is>
          <t>续持原仓（2022-01-14开）</t>
        </is>
      </c>
    </row>
    <row r="463">
      <c r="A463" t="inlineStr">
        <is>
          <t>2022-01-26</t>
        </is>
      </c>
      <c r="B463" t="inlineStr">
        <is>
          <t>豆油</t>
        </is>
      </c>
      <c r="C463" t="inlineStr">
        <is>
          <t>多</t>
        </is>
      </c>
      <c r="D463" t="n">
        <v>3</v>
      </c>
      <c r="E463" t="n">
        <v>6</v>
      </c>
      <c r="F463" t="inlineStr">
        <is>
          <t>观望</t>
        </is>
      </c>
      <c r="G463" t="n">
        <v>1</v>
      </c>
      <c r="H463" t="n">
        <v>9388</v>
      </c>
      <c r="I463" t="n">
        <v>8859.57</v>
      </c>
      <c r="J463" t="n">
        <v>0.92</v>
      </c>
      <c r="K463" t="inlineStr">
        <is>
          <t>逆5日线（收盘在5日线下，不追多）</t>
        </is>
      </c>
    </row>
    <row r="464">
      <c r="A464" t="inlineStr">
        <is>
          <t>2022-01-27</t>
        </is>
      </c>
      <c r="B464" t="inlineStr">
        <is>
          <t>棉花</t>
        </is>
      </c>
      <c r="C464" t="inlineStr">
        <is>
          <t>多</t>
        </is>
      </c>
      <c r="D464" t="n">
        <v>3</v>
      </c>
      <c r="E464" t="n">
        <v>6</v>
      </c>
      <c r="F464" t="inlineStr">
        <is>
          <t>开仓</t>
        </is>
      </c>
      <c r="G464" t="n">
        <v>4</v>
      </c>
      <c r="H464" t="n">
        <v>21760</v>
      </c>
      <c r="I464" t="n">
        <v>21017.5</v>
      </c>
      <c r="J464" t="n">
        <v>1.82</v>
      </c>
      <c r="K464" t="inlineStr">
        <is>
          <t>¼凯利</t>
        </is>
      </c>
    </row>
    <row r="465">
      <c r="A465" t="inlineStr">
        <is>
          <t>2022-01-27</t>
        </is>
      </c>
      <c r="B465" t="inlineStr">
        <is>
          <t>菜粕</t>
        </is>
      </c>
      <c r="C465" t="inlineStr">
        <is>
          <t>多</t>
        </is>
      </c>
      <c r="D465" t="n">
        <v>3</v>
      </c>
      <c r="E465" t="n">
        <v>6</v>
      </c>
      <c r="F465" t="inlineStr">
        <is>
          <t>开仓</t>
        </is>
      </c>
      <c r="G465" t="n">
        <v>9</v>
      </c>
      <c r="H465" t="n">
        <v>3153</v>
      </c>
      <c r="I465" t="n">
        <v>2958.43</v>
      </c>
      <c r="J465" t="n">
        <v>1.82</v>
      </c>
      <c r="K465" t="inlineStr">
        <is>
          <t>¼凯利</t>
        </is>
      </c>
    </row>
    <row r="466">
      <c r="A466" t="inlineStr">
        <is>
          <t>2022-01-27</t>
        </is>
      </c>
      <c r="B466" t="inlineStr">
        <is>
          <t>热卷</t>
        </is>
      </c>
      <c r="C466" t="inlineStr">
        <is>
          <t>多</t>
        </is>
      </c>
      <c r="D466" t="n">
        <v>3</v>
      </c>
      <c r="E466" t="n">
        <v>6</v>
      </c>
      <c r="F466" t="inlineStr">
        <is>
          <t>观望</t>
        </is>
      </c>
      <c r="G466" t="n">
        <v>6</v>
      </c>
      <c r="H466" t="n">
        <v>4795</v>
      </c>
      <c r="I466" t="n">
        <v>4495.64</v>
      </c>
      <c r="J466" t="n">
        <v>1.82</v>
      </c>
      <c r="K466" t="inlineStr">
        <is>
          <t>逆5日线（收盘在5日线下，不追多）</t>
        </is>
      </c>
    </row>
    <row r="467">
      <c r="A467" t="inlineStr">
        <is>
          <t>2022-01-27</t>
        </is>
      </c>
      <c r="B467" t="inlineStr">
        <is>
          <t>玉米</t>
        </is>
      </c>
      <c r="C467" t="inlineStr">
        <is>
          <t>多</t>
        </is>
      </c>
      <c r="D467" t="n">
        <v>2</v>
      </c>
      <c r="E467" t="n">
        <v>5</v>
      </c>
      <c r="F467" t="inlineStr">
        <is>
          <t>续持</t>
        </is>
      </c>
      <c r="G467" t="n">
        <v>12</v>
      </c>
      <c r="H467" t="n">
        <v>2768</v>
      </c>
      <c r="I467" t="n">
        <v>2708.43</v>
      </c>
      <c r="J467" t="n">
        <v>0.92</v>
      </c>
      <c r="K467" t="inlineStr">
        <is>
          <t>续持原仓（2022-01-25开）</t>
        </is>
      </c>
    </row>
    <row r="468">
      <c r="A468" t="inlineStr">
        <is>
          <t>2022-01-27</t>
        </is>
      </c>
      <c r="B468" t="inlineStr">
        <is>
          <t>豆油</t>
        </is>
      </c>
      <c r="C468" t="inlineStr">
        <is>
          <t>多</t>
        </is>
      </c>
      <c r="D468" t="n">
        <v>2</v>
      </c>
      <c r="E468" t="n">
        <v>5</v>
      </c>
      <c r="F468" t="inlineStr">
        <is>
          <t>影子仓</t>
        </is>
      </c>
      <c r="G468" t="n">
        <v>1</v>
      </c>
      <c r="H468" t="n">
        <v>9556</v>
      </c>
      <c r="I468" t="n">
        <v>9007.860000000001</v>
      </c>
      <c r="J468" t="n">
        <v>1</v>
      </c>
      <c r="K468" t="inlineStr">
        <is>
          <t>凯利≤0，开1%影子仓（只统计，不计入组合）</t>
        </is>
      </c>
    </row>
    <row r="469">
      <c r="A469" t="inlineStr">
        <is>
          <t>2022-01-28</t>
        </is>
      </c>
      <c r="B469" t="inlineStr">
        <is>
          <t>沪铝</t>
        </is>
      </c>
      <c r="C469" t="inlineStr">
        <is>
          <t>多</t>
        </is>
      </c>
      <c r="D469" t="n">
        <v>3</v>
      </c>
      <c r="E469" t="n">
        <v>7</v>
      </c>
      <c r="F469" t="inlineStr">
        <is>
          <t>续持</t>
        </is>
      </c>
      <c r="G469" t="n">
        <v>1</v>
      </c>
      <c r="H469" t="n">
        <v>21950</v>
      </c>
      <c r="I469" t="n">
        <v>20491.79</v>
      </c>
      <c r="J469" t="n">
        <v>1.04</v>
      </c>
      <c r="K469" t="inlineStr">
        <is>
          <t>续持原仓（2022-01-21开）</t>
        </is>
      </c>
    </row>
    <row r="470">
      <c r="A470" t="inlineStr">
        <is>
          <t>2022-01-28</t>
        </is>
      </c>
      <c r="B470" t="inlineStr">
        <is>
          <t>沥青</t>
        </is>
      </c>
      <c r="C470" t="inlineStr">
        <is>
          <t>多</t>
        </is>
      </c>
      <c r="D470" t="n">
        <v>3</v>
      </c>
      <c r="E470" t="n">
        <v>6</v>
      </c>
      <c r="F470" t="inlineStr">
        <is>
          <t>开仓</t>
        </is>
      </c>
      <c r="G470" t="n">
        <v>8</v>
      </c>
      <c r="H470" t="n">
        <v>3668</v>
      </c>
      <c r="I470" t="n">
        <v>3377.86</v>
      </c>
      <c r="J470" t="n">
        <v>2.56</v>
      </c>
      <c r="K470" t="inlineStr">
        <is>
          <t>¼凯利</t>
        </is>
      </c>
    </row>
    <row r="471">
      <c r="A471" t="inlineStr">
        <is>
          <t>2022-01-28</t>
        </is>
      </c>
      <c r="B471" t="inlineStr">
        <is>
          <t>豆油</t>
        </is>
      </c>
      <c r="C471" t="inlineStr">
        <is>
          <t>多</t>
        </is>
      </c>
      <c r="D471" t="n">
        <v>3</v>
      </c>
      <c r="E471" t="n">
        <v>6</v>
      </c>
      <c r="F471" t="inlineStr">
        <is>
          <t>续持</t>
        </is>
      </c>
      <c r="G471" t="n">
        <v>1</v>
      </c>
      <c r="H471" t="n">
        <v>9836</v>
      </c>
      <c r="I471" t="n">
        <v>9291</v>
      </c>
      <c r="J471" t="n">
        <v>1</v>
      </c>
      <c r="K471" t="inlineStr">
        <is>
          <t>续持原仓（2022-01-27开）</t>
        </is>
      </c>
    </row>
    <row r="472">
      <c r="A472" t="inlineStr">
        <is>
          <t>2022-01-28</t>
        </is>
      </c>
      <c r="B472" t="inlineStr">
        <is>
          <t>热卷</t>
        </is>
      </c>
      <c r="C472" t="inlineStr">
        <is>
          <t>多</t>
        </is>
      </c>
      <c r="D472" t="n">
        <v>3</v>
      </c>
      <c r="E472" t="n">
        <v>6</v>
      </c>
      <c r="F472" t="inlineStr">
        <is>
          <t>续持</t>
        </is>
      </c>
      <c r="G472" t="n">
        <v>3</v>
      </c>
      <c r="H472" t="n">
        <v>4945</v>
      </c>
      <c r="I472" t="n">
        <v>4629.14</v>
      </c>
      <c r="J472" t="n">
        <v>1</v>
      </c>
      <c r="K472" t="inlineStr">
        <is>
          <t>续持原仓（2022-01-21开）</t>
        </is>
      </c>
    </row>
    <row r="473">
      <c r="A473" t="inlineStr">
        <is>
          <t>2022-01-28</t>
        </is>
      </c>
      <c r="B473" t="inlineStr">
        <is>
          <t>玉米</t>
        </is>
      </c>
      <c r="C473" t="inlineStr">
        <is>
          <t>多</t>
        </is>
      </c>
      <c r="D473" t="n">
        <v>2</v>
      </c>
      <c r="E473" t="n">
        <v>5</v>
      </c>
      <c r="F473" t="inlineStr">
        <is>
          <t>续持</t>
        </is>
      </c>
      <c r="G473" t="n">
        <v>12</v>
      </c>
      <c r="H473" t="n">
        <v>2763</v>
      </c>
      <c r="I473" t="n">
        <v>2708.86</v>
      </c>
      <c r="J473" t="n">
        <v>0.92</v>
      </c>
      <c r="K473" t="inlineStr">
        <is>
          <t>续持原仓（2022-01-25开）</t>
        </is>
      </c>
    </row>
    <row r="474">
      <c r="A474" t="inlineStr">
        <is>
          <t>2022-01-28</t>
        </is>
      </c>
      <c r="B474" t="inlineStr">
        <is>
          <t>PTA</t>
        </is>
      </c>
      <c r="C474" t="inlineStr">
        <is>
          <t>空</t>
        </is>
      </c>
      <c r="D474" t="n">
        <v>2</v>
      </c>
      <c r="E474" t="n">
        <v>5</v>
      </c>
      <c r="F474" t="inlineStr">
        <is>
          <t>观望</t>
        </is>
      </c>
      <c r="G474" t="n">
        <v>4</v>
      </c>
      <c r="H474" t="n">
        <v>5478</v>
      </c>
      <c r="I474" t="n">
        <v>5891.14</v>
      </c>
      <c r="J474" t="n">
        <v>1</v>
      </c>
      <c r="K474" t="inlineStr">
        <is>
          <t>逆5日线（收盘在5日线上，不追空）</t>
        </is>
      </c>
    </row>
    <row r="475">
      <c r="A475" t="inlineStr">
        <is>
          <t>2022-02-07</t>
        </is>
      </c>
      <c r="B475" t="inlineStr">
        <is>
          <t>沥青</t>
        </is>
      </c>
      <c r="C475" t="inlineStr">
        <is>
          <t>多</t>
        </is>
      </c>
      <c r="D475" t="n">
        <v>3</v>
      </c>
      <c r="E475" t="n">
        <v>7</v>
      </c>
      <c r="F475" t="inlineStr">
        <is>
          <t>续持</t>
        </is>
      </c>
      <c r="G475" t="n">
        <v>8</v>
      </c>
      <c r="H475" t="n">
        <v>3840</v>
      </c>
      <c r="I475" t="n">
        <v>3562.71</v>
      </c>
      <c r="J475" t="n">
        <v>2.56</v>
      </c>
      <c r="K475" t="inlineStr">
        <is>
          <t>续持原仓（2022-01-28开）</t>
        </is>
      </c>
    </row>
    <row r="476">
      <c r="A476" t="inlineStr">
        <is>
          <t>2022-02-07</t>
        </is>
      </c>
      <c r="B476" t="inlineStr">
        <is>
          <t>塑料</t>
        </is>
      </c>
      <c r="C476" t="inlineStr">
        <is>
          <t>多</t>
        </is>
      </c>
      <c r="D476" t="n">
        <v>3</v>
      </c>
      <c r="E476" t="n">
        <v>7</v>
      </c>
      <c r="F476" t="inlineStr">
        <is>
          <t>续持</t>
        </is>
      </c>
      <c r="G476" t="n">
        <v>3</v>
      </c>
      <c r="H476" t="n">
        <v>9448</v>
      </c>
      <c r="I476" t="n">
        <v>8946.290000000001</v>
      </c>
      <c r="J476" t="n">
        <v>0.92</v>
      </c>
      <c r="K476" t="inlineStr">
        <is>
          <t>续持原仓（2022-01-26开）</t>
        </is>
      </c>
    </row>
    <row r="477">
      <c r="A477" t="inlineStr">
        <is>
          <t>2022-02-07</t>
        </is>
      </c>
      <c r="B477" t="inlineStr">
        <is>
          <t>热卷</t>
        </is>
      </c>
      <c r="C477" t="inlineStr">
        <is>
          <t>多</t>
        </is>
      </c>
      <c r="D477" t="n">
        <v>3</v>
      </c>
      <c r="E477" t="n">
        <v>6</v>
      </c>
      <c r="F477" t="inlineStr">
        <is>
          <t>续持</t>
        </is>
      </c>
      <c r="G477" t="n">
        <v>3</v>
      </c>
      <c r="H477" t="n">
        <v>4980</v>
      </c>
      <c r="I477" t="n">
        <v>4688.93</v>
      </c>
      <c r="J477" t="n">
        <v>1</v>
      </c>
      <c r="K477" t="inlineStr">
        <is>
          <t>续持原仓（2022-01-21开）</t>
        </is>
      </c>
    </row>
    <row r="478">
      <c r="A478" t="inlineStr">
        <is>
          <t>2022-02-08</t>
        </is>
      </c>
      <c r="B478" t="inlineStr">
        <is>
          <t>豆粕</t>
        </is>
      </c>
      <c r="C478" t="inlineStr">
        <is>
          <t>多</t>
        </is>
      </c>
      <c r="D478" t="n">
        <v>3</v>
      </c>
      <c r="E478" t="n">
        <v>7</v>
      </c>
      <c r="F478" t="inlineStr">
        <is>
          <t>开仓</t>
        </is>
      </c>
      <c r="G478" t="n">
        <v>13</v>
      </c>
      <c r="H478" t="n">
        <v>3695</v>
      </c>
      <c r="I478" t="n">
        <v>3467.86</v>
      </c>
      <c r="J478" t="n">
        <v>3</v>
      </c>
      <c r="K478" t="inlineStr">
        <is>
          <t>¼凯利超上限，取3%</t>
        </is>
      </c>
    </row>
    <row r="479">
      <c r="A479" t="inlineStr">
        <is>
          <t>2022-02-08</t>
        </is>
      </c>
      <c r="B479" t="inlineStr">
        <is>
          <t>沪镍</t>
        </is>
      </c>
      <c r="C479" t="inlineStr">
        <is>
          <t>多</t>
        </is>
      </c>
      <c r="D479" t="n">
        <v>3</v>
      </c>
      <c r="E479" t="n">
        <v>7</v>
      </c>
      <c r="F479" t="inlineStr">
        <is>
          <t>不做</t>
        </is>
      </c>
      <c r="H479" t="n">
        <v>172280</v>
      </c>
      <c r="J479" t="n">
        <v>0.78</v>
      </c>
      <c r="K479" t="inlineStr">
        <is>
          <t>1手风险19059元超过预算7800元</t>
        </is>
      </c>
    </row>
    <row r="480">
      <c r="A480" t="inlineStr">
        <is>
          <t>2022-02-08</t>
        </is>
      </c>
      <c r="B480" t="inlineStr">
        <is>
          <t>热卷</t>
        </is>
      </c>
      <c r="C480" t="inlineStr">
        <is>
          <t>多</t>
        </is>
      </c>
      <c r="D480" t="n">
        <v>3</v>
      </c>
      <c r="E480" t="n">
        <v>6</v>
      </c>
      <c r="F480" t="inlineStr">
        <is>
          <t>续持</t>
        </is>
      </c>
      <c r="G480" t="n">
        <v>3</v>
      </c>
      <c r="H480" t="n">
        <v>5061</v>
      </c>
      <c r="I480" t="n">
        <v>4774.36</v>
      </c>
      <c r="J480" t="n">
        <v>1</v>
      </c>
      <c r="K480" t="inlineStr">
        <is>
          <t>续持原仓（2022-01-21开）</t>
        </is>
      </c>
    </row>
    <row r="481">
      <c r="A481" t="inlineStr">
        <is>
          <t>2022-02-08</t>
        </is>
      </c>
      <c r="B481" t="inlineStr">
        <is>
          <t>玉米</t>
        </is>
      </c>
      <c r="C481" t="inlineStr">
        <is>
          <t>多</t>
        </is>
      </c>
      <c r="D481" t="n">
        <v>3</v>
      </c>
      <c r="E481" t="n">
        <v>6</v>
      </c>
      <c r="F481" t="inlineStr">
        <is>
          <t>续持</t>
        </is>
      </c>
      <c r="G481" t="n">
        <v>12</v>
      </c>
      <c r="H481" t="n">
        <v>2791</v>
      </c>
      <c r="I481" t="n">
        <v>2714.64</v>
      </c>
      <c r="J481" t="n">
        <v>0.92</v>
      </c>
      <c r="K481" t="inlineStr">
        <is>
          <t>续持原仓（2022-01-25开）</t>
        </is>
      </c>
    </row>
    <row r="482">
      <c r="A482" t="inlineStr">
        <is>
          <t>2022-02-08</t>
        </is>
      </c>
      <c r="B482" t="inlineStr">
        <is>
          <t>PVC</t>
        </is>
      </c>
      <c r="C482" t="inlineStr">
        <is>
          <t>多</t>
        </is>
      </c>
      <c r="D482" t="n">
        <v>3</v>
      </c>
      <c r="E482" t="n">
        <v>6</v>
      </c>
      <c r="F482" t="inlineStr">
        <is>
          <t>开仓</t>
        </is>
      </c>
      <c r="G482" t="n">
        <v>2</v>
      </c>
      <c r="H482" t="n">
        <v>9245</v>
      </c>
      <c r="I482" t="n">
        <v>8547.709999999999</v>
      </c>
      <c r="J482" t="n">
        <v>0.78</v>
      </c>
      <c r="K482" t="inlineStr">
        <is>
          <t>组合风险已近10%，预算缩小</t>
        </is>
      </c>
    </row>
    <row r="483">
      <c r="A483" t="inlineStr">
        <is>
          <t>2022-02-09</t>
        </is>
      </c>
      <c r="B483" t="inlineStr">
        <is>
          <t>豆粕</t>
        </is>
      </c>
      <c r="C483" t="inlineStr">
        <is>
          <t>多</t>
        </is>
      </c>
      <c r="D483" t="n">
        <v>3</v>
      </c>
      <c r="E483" t="n">
        <v>7</v>
      </c>
      <c r="F483" t="inlineStr">
        <is>
          <t>续持</t>
        </is>
      </c>
      <c r="G483" t="n">
        <v>13</v>
      </c>
      <c r="H483" t="n">
        <v>3748</v>
      </c>
      <c r="I483" t="n">
        <v>3531.07</v>
      </c>
      <c r="J483" t="n">
        <v>3</v>
      </c>
      <c r="K483" t="inlineStr">
        <is>
          <t>续持原仓（2022-02-08开）</t>
        </is>
      </c>
    </row>
    <row r="484">
      <c r="A484" t="inlineStr">
        <is>
          <t>2022-02-09</t>
        </is>
      </c>
      <c r="B484" t="inlineStr">
        <is>
          <t>菜粕</t>
        </is>
      </c>
      <c r="C484" t="inlineStr">
        <is>
          <t>多</t>
        </is>
      </c>
      <c r="D484" t="n">
        <v>3</v>
      </c>
      <c r="E484" t="n">
        <v>7</v>
      </c>
      <c r="F484" t="inlineStr">
        <is>
          <t>不做</t>
        </is>
      </c>
      <c r="H484" t="n">
        <v>3420</v>
      </c>
      <c r="J484" t="n">
        <v>0</v>
      </c>
      <c r="K484" t="inlineStr">
        <is>
          <t>与豆粕高度相关（同组≤3%），预算缩小</t>
        </is>
      </c>
    </row>
    <row r="485">
      <c r="A485" t="inlineStr">
        <is>
          <t>2022-02-09</t>
        </is>
      </c>
      <c r="B485" t="inlineStr">
        <is>
          <t>沪铝</t>
        </is>
      </c>
      <c r="C485" t="inlineStr">
        <is>
          <t>多</t>
        </is>
      </c>
      <c r="D485" t="n">
        <v>3</v>
      </c>
      <c r="E485" t="n">
        <v>6</v>
      </c>
      <c r="F485" t="inlineStr">
        <is>
          <t>开仓</t>
        </is>
      </c>
      <c r="G485" t="n">
        <v>3</v>
      </c>
      <c r="H485" t="n">
        <v>22870</v>
      </c>
      <c r="I485" t="n">
        <v>21383.93</v>
      </c>
      <c r="J485" t="n">
        <v>2.6</v>
      </c>
      <c r="K485" t="inlineStr">
        <is>
          <t>组合风险已近10%，预算缩小</t>
        </is>
      </c>
    </row>
    <row r="486">
      <c r="A486" t="inlineStr">
        <is>
          <t>2022-02-09</t>
        </is>
      </c>
      <c r="B486" t="inlineStr">
        <is>
          <t>玉米</t>
        </is>
      </c>
      <c r="C486" t="inlineStr">
        <is>
          <t>多</t>
        </is>
      </c>
      <c r="D486" t="n">
        <v>2</v>
      </c>
      <c r="E486" t="n">
        <v>4</v>
      </c>
      <c r="F486" t="inlineStr">
        <is>
          <t>续持</t>
        </is>
      </c>
      <c r="G486" t="n">
        <v>12</v>
      </c>
      <c r="H486" t="n">
        <v>2775</v>
      </c>
      <c r="I486" t="n">
        <v>2714.64</v>
      </c>
      <c r="J486" t="n">
        <v>0.92</v>
      </c>
      <c r="K486" t="inlineStr">
        <is>
          <t>续持原仓（2022-01-25开）</t>
        </is>
      </c>
    </row>
    <row r="487">
      <c r="A487" t="inlineStr">
        <is>
          <t>2022-02-09</t>
        </is>
      </c>
      <c r="B487" t="inlineStr">
        <is>
          <t>甲醇</t>
        </is>
      </c>
      <c r="C487" t="inlineStr">
        <is>
          <t>空</t>
        </is>
      </c>
      <c r="D487" t="n">
        <v>2</v>
      </c>
      <c r="E487" t="n">
        <v>4</v>
      </c>
      <c r="F487" t="inlineStr">
        <is>
          <t>影子仓</t>
        </is>
      </c>
      <c r="G487" t="n">
        <v>3</v>
      </c>
      <c r="H487" t="n">
        <v>2823</v>
      </c>
      <c r="I487" t="n">
        <v>3102.43</v>
      </c>
      <c r="J487" t="n">
        <v>1</v>
      </c>
      <c r="K487" t="inlineStr">
        <is>
          <t>凯利≤0，开1%影子仓（只统计，不计入组合）</t>
        </is>
      </c>
    </row>
    <row r="488">
      <c r="A488" t="inlineStr">
        <is>
          <t>2022-02-10</t>
        </is>
      </c>
      <c r="B488" t="inlineStr">
        <is>
          <t>沥青</t>
        </is>
      </c>
      <c r="C488" t="inlineStr">
        <is>
          <t>多</t>
        </is>
      </c>
      <c r="D488" t="n">
        <v>3</v>
      </c>
      <c r="E488" t="n">
        <v>7</v>
      </c>
      <c r="F488" t="inlineStr">
        <is>
          <t>观望</t>
        </is>
      </c>
      <c r="G488" t="n">
        <v>1</v>
      </c>
      <c r="H488" t="n">
        <v>3622</v>
      </c>
      <c r="I488" t="n">
        <v>3281.29</v>
      </c>
      <c r="J488" t="n">
        <v>0.44</v>
      </c>
      <c r="K488" t="inlineStr">
        <is>
          <t>逆5日线（收盘在5日线下，不追多）</t>
        </is>
      </c>
    </row>
    <row r="489">
      <c r="A489" t="inlineStr">
        <is>
          <t>2022-02-10</t>
        </is>
      </c>
      <c r="B489" t="inlineStr">
        <is>
          <t>PVC</t>
        </is>
      </c>
      <c r="C489" t="inlineStr">
        <is>
          <t>多</t>
        </is>
      </c>
      <c r="D489" t="n">
        <v>3</v>
      </c>
      <c r="E489" t="n">
        <v>7</v>
      </c>
      <c r="F489" t="inlineStr">
        <is>
          <t>开仓</t>
        </is>
      </c>
      <c r="G489" t="n">
        <v>5</v>
      </c>
      <c r="H489" t="n">
        <v>9339</v>
      </c>
      <c r="I489" t="n">
        <v>8635.07</v>
      </c>
      <c r="J489" t="n">
        <v>2.08</v>
      </c>
      <c r="K489" t="inlineStr">
        <is>
          <t>与塑料高度相关（同组≤3%），预算缩小</t>
        </is>
      </c>
    </row>
    <row r="490">
      <c r="A490" t="inlineStr">
        <is>
          <t>2022-02-10</t>
        </is>
      </c>
      <c r="B490" t="inlineStr">
        <is>
          <t>纯碱</t>
        </is>
      </c>
      <c r="C490" t="inlineStr">
        <is>
          <t>多</t>
        </is>
      </c>
      <c r="D490" t="n">
        <v>3</v>
      </c>
      <c r="E490" t="n">
        <v>6</v>
      </c>
      <c r="F490" t="inlineStr">
        <is>
          <t>开仓</t>
        </is>
      </c>
      <c r="G490" t="n">
        <v>5</v>
      </c>
      <c r="H490" t="n">
        <v>3125</v>
      </c>
      <c r="I490" t="n">
        <v>2827.36</v>
      </c>
      <c r="J490" t="n">
        <v>3</v>
      </c>
      <c r="K490" t="inlineStr">
        <is>
          <t>¼凯利超上限，取3%</t>
        </is>
      </c>
    </row>
    <row r="491">
      <c r="A491" t="inlineStr">
        <is>
          <t>2022-02-10</t>
        </is>
      </c>
      <c r="B491" t="inlineStr">
        <is>
          <t>玉米</t>
        </is>
      </c>
      <c r="C491" t="inlineStr">
        <is>
          <t>多</t>
        </is>
      </c>
      <c r="D491" t="n">
        <v>2</v>
      </c>
      <c r="E491" t="n">
        <v>5</v>
      </c>
      <c r="F491" t="inlineStr">
        <is>
          <t>续持</t>
        </is>
      </c>
      <c r="G491" t="n">
        <v>12</v>
      </c>
      <c r="H491" t="n">
        <v>2788</v>
      </c>
      <c r="I491" t="n">
        <v>2714.64</v>
      </c>
      <c r="J491" t="n">
        <v>0.92</v>
      </c>
      <c r="K491" t="inlineStr">
        <is>
          <t>续持原仓（2022-01-25开）</t>
        </is>
      </c>
    </row>
    <row r="492">
      <c r="A492" t="inlineStr">
        <is>
          <t>2022-02-10</t>
        </is>
      </c>
      <c r="B492" t="inlineStr">
        <is>
          <t>铁矿石</t>
        </is>
      </c>
      <c r="C492" t="inlineStr">
        <is>
          <t>多</t>
        </is>
      </c>
      <c r="D492" t="n">
        <v>2</v>
      </c>
      <c r="E492" t="n">
        <v>5</v>
      </c>
      <c r="F492" t="inlineStr">
        <is>
          <t>影子仓</t>
        </is>
      </c>
      <c r="G492" t="n">
        <v>1</v>
      </c>
      <c r="H492" t="n">
        <v>821.5</v>
      </c>
      <c r="I492" t="n">
        <v>732.36</v>
      </c>
      <c r="J492" t="n">
        <v>1</v>
      </c>
      <c r="K492" t="inlineStr">
        <is>
          <t>凯利≤0，开1%影子仓（只统计，不计入组合）</t>
        </is>
      </c>
    </row>
    <row r="493">
      <c r="A493" t="inlineStr">
        <is>
          <t>2022-02-11</t>
        </is>
      </c>
      <c r="B493" t="inlineStr">
        <is>
          <t>棕榈油</t>
        </is>
      </c>
      <c r="C493" t="inlineStr">
        <is>
          <t>多</t>
        </is>
      </c>
      <c r="D493" t="n">
        <v>3</v>
      </c>
      <c r="E493" t="n">
        <v>6</v>
      </c>
      <c r="F493" t="inlineStr">
        <is>
          <t>观望</t>
        </is>
      </c>
      <c r="G493" t="n">
        <v>4</v>
      </c>
      <c r="H493" t="n">
        <v>9932</v>
      </c>
      <c r="I493" t="n">
        <v>9196.57</v>
      </c>
      <c r="J493" t="n">
        <v>3</v>
      </c>
      <c r="K493" t="inlineStr">
        <is>
          <t>逆5日线（收盘在5日线下，不追多）</t>
        </is>
      </c>
    </row>
    <row r="494">
      <c r="A494" t="inlineStr">
        <is>
          <t>2022-02-14</t>
        </is>
      </c>
      <c r="B494" t="inlineStr">
        <is>
          <t>棕榈油</t>
        </is>
      </c>
      <c r="C494" t="inlineStr">
        <is>
          <t>多</t>
        </is>
      </c>
      <c r="D494" t="n">
        <v>3</v>
      </c>
      <c r="E494" t="n">
        <v>7</v>
      </c>
      <c r="F494" t="inlineStr">
        <is>
          <t>开仓</t>
        </is>
      </c>
      <c r="G494" t="n">
        <v>3</v>
      </c>
      <c r="H494" t="n">
        <v>10086</v>
      </c>
      <c r="I494" t="n">
        <v>9322.290000000001</v>
      </c>
      <c r="J494" t="n">
        <v>3</v>
      </c>
      <c r="K494" t="inlineStr">
        <is>
          <t>¼凯利超上限，取3%</t>
        </is>
      </c>
    </row>
    <row r="495">
      <c r="A495" t="inlineStr">
        <is>
          <t>2022-02-14</t>
        </is>
      </c>
      <c r="B495" t="inlineStr">
        <is>
          <t>豆油</t>
        </is>
      </c>
      <c r="C495" t="inlineStr">
        <is>
          <t>多</t>
        </is>
      </c>
      <c r="D495" t="n">
        <v>2</v>
      </c>
      <c r="E495" t="n">
        <v>5</v>
      </c>
      <c r="F495" t="inlineStr">
        <is>
          <t>影子仓</t>
        </is>
      </c>
      <c r="G495" t="n">
        <v>1</v>
      </c>
      <c r="H495" t="n">
        <v>9894</v>
      </c>
      <c r="I495" t="n">
        <v>9176.139999999999</v>
      </c>
      <c r="J495" t="n">
        <v>1</v>
      </c>
      <c r="K495" t="inlineStr">
        <is>
          <t>凯利≤0，开1%影子仓（只统计，不计入组合）</t>
        </is>
      </c>
    </row>
    <row r="496">
      <c r="A496" t="inlineStr">
        <is>
          <t>2022-02-14</t>
        </is>
      </c>
      <c r="B496" t="inlineStr">
        <is>
          <t>沪银</t>
        </is>
      </c>
      <c r="C496" t="inlineStr">
        <is>
          <t>多</t>
        </is>
      </c>
      <c r="D496" t="n">
        <v>2</v>
      </c>
      <c r="E496" t="n">
        <v>5</v>
      </c>
      <c r="F496" t="inlineStr">
        <is>
          <t>影子仓</t>
        </is>
      </c>
      <c r="G496" t="n">
        <v>1</v>
      </c>
      <c r="H496" t="n">
        <v>4905</v>
      </c>
      <c r="I496" t="n">
        <v>4553.14</v>
      </c>
      <c r="J496" t="n">
        <v>1</v>
      </c>
      <c r="K496" t="inlineStr">
        <is>
          <t>凯利≤0，开1%影子仓（只统计，不计入组合）</t>
        </is>
      </c>
    </row>
    <row r="497">
      <c r="A497" t="inlineStr">
        <is>
          <t>2022-02-15</t>
        </is>
      </c>
      <c r="B497" t="inlineStr">
        <is>
          <t>棕榈油</t>
        </is>
      </c>
      <c r="C497" t="inlineStr">
        <is>
          <t>多</t>
        </is>
      </c>
      <c r="D497" t="n">
        <v>3</v>
      </c>
      <c r="E497" t="n">
        <v>7</v>
      </c>
      <c r="F497" t="inlineStr">
        <is>
          <t>续持</t>
        </is>
      </c>
      <c r="G497" t="n">
        <v>3</v>
      </c>
      <c r="H497" t="n">
        <v>10218</v>
      </c>
      <c r="I497" t="n">
        <v>9478.860000000001</v>
      </c>
      <c r="J497" t="n">
        <v>3</v>
      </c>
      <c r="K497" t="inlineStr">
        <is>
          <t>续持原仓（2022-02-14开）</t>
        </is>
      </c>
    </row>
    <row r="498">
      <c r="A498" t="inlineStr">
        <is>
          <t>2022-02-15</t>
        </is>
      </c>
      <c r="B498" t="inlineStr">
        <is>
          <t>燃料油</t>
        </is>
      </c>
      <c r="C498" t="inlineStr">
        <is>
          <t>多</t>
        </is>
      </c>
      <c r="D498" t="n">
        <v>3</v>
      </c>
      <c r="E498" t="n">
        <v>7</v>
      </c>
      <c r="F498" t="inlineStr">
        <is>
          <t>开仓</t>
        </is>
      </c>
      <c r="G498" t="n">
        <v>8</v>
      </c>
      <c r="H498" t="n">
        <v>3326</v>
      </c>
      <c r="I498" t="n">
        <v>3016.36</v>
      </c>
      <c r="J498" t="n">
        <v>2.56</v>
      </c>
      <c r="K498" t="inlineStr">
        <is>
          <t>¼凯利</t>
        </is>
      </c>
    </row>
    <row r="499">
      <c r="A499" t="inlineStr">
        <is>
          <t>2022-02-15</t>
        </is>
      </c>
      <c r="B499" t="inlineStr">
        <is>
          <t>豆油</t>
        </is>
      </c>
      <c r="C499" t="inlineStr">
        <is>
          <t>多</t>
        </is>
      </c>
      <c r="D499" t="n">
        <v>3</v>
      </c>
      <c r="E499" t="n">
        <v>6</v>
      </c>
      <c r="F499" t="inlineStr">
        <is>
          <t>续持</t>
        </is>
      </c>
      <c r="G499" t="n">
        <v>1</v>
      </c>
      <c r="H499" t="n">
        <v>9950</v>
      </c>
      <c r="I499" t="n">
        <v>9265.290000000001</v>
      </c>
      <c r="J499" t="n">
        <v>1</v>
      </c>
      <c r="K499" t="inlineStr">
        <is>
          <t>续持原仓（2022-02-14开）</t>
        </is>
      </c>
    </row>
    <row r="500">
      <c r="A500" t="inlineStr">
        <is>
          <t>2022-02-16</t>
        </is>
      </c>
      <c r="B500" t="inlineStr">
        <is>
          <t>沪镍</t>
        </is>
      </c>
      <c r="C500" t="inlineStr">
        <is>
          <t>多</t>
        </is>
      </c>
      <c r="D500" t="n">
        <v>2</v>
      </c>
      <c r="E500" t="n">
        <v>4</v>
      </c>
      <c r="F500" t="inlineStr">
        <is>
          <t>观望</t>
        </is>
      </c>
      <c r="H500" t="n">
        <v>173420</v>
      </c>
      <c r="J500" t="n">
        <v>1</v>
      </c>
      <c r="K500" t="inlineStr">
        <is>
          <t>逆5日线（收盘在5日线下，不追多）</t>
        </is>
      </c>
    </row>
    <row r="501">
      <c r="A501" t="inlineStr">
        <is>
          <t>2022-02-16</t>
        </is>
      </c>
      <c r="B501" t="inlineStr">
        <is>
          <t>PVC</t>
        </is>
      </c>
      <c r="C501" t="inlineStr">
        <is>
          <t>多</t>
        </is>
      </c>
      <c r="D501" t="n">
        <v>2</v>
      </c>
      <c r="E501" t="n">
        <v>4</v>
      </c>
      <c r="F501" t="inlineStr">
        <is>
          <t>观望</t>
        </is>
      </c>
      <c r="G501" t="n">
        <v>2</v>
      </c>
      <c r="H501" t="n">
        <v>8771</v>
      </c>
      <c r="I501" t="n">
        <v>7977.07</v>
      </c>
      <c r="J501" t="n">
        <v>1</v>
      </c>
      <c r="K501" t="inlineStr">
        <is>
          <t>逆5日线（收盘在5日线下，不追多）</t>
        </is>
      </c>
    </row>
    <row r="502">
      <c r="A502" t="inlineStr">
        <is>
          <t>2022-02-17</t>
        </is>
      </c>
      <c r="B502" t="inlineStr">
        <is>
          <t>菜粕</t>
        </is>
      </c>
      <c r="C502" t="inlineStr">
        <is>
          <t>多</t>
        </is>
      </c>
      <c r="D502" t="n">
        <v>3</v>
      </c>
      <c r="E502" t="n">
        <v>6</v>
      </c>
      <c r="F502" t="inlineStr">
        <is>
          <t>开仓</t>
        </is>
      </c>
      <c r="G502" t="n">
        <v>6</v>
      </c>
      <c r="H502" t="n">
        <v>3486</v>
      </c>
      <c r="I502" t="n">
        <v>3192.64</v>
      </c>
      <c r="J502" t="n">
        <v>1.96</v>
      </c>
      <c r="K502" t="inlineStr">
        <is>
          <t>¼凯利</t>
        </is>
      </c>
    </row>
    <row r="503">
      <c r="A503" t="inlineStr">
        <is>
          <t>2022-02-17</t>
        </is>
      </c>
      <c r="B503" t="inlineStr">
        <is>
          <t>豆油</t>
        </is>
      </c>
      <c r="C503" t="inlineStr">
        <is>
          <t>多</t>
        </is>
      </c>
      <c r="D503" t="n">
        <v>2</v>
      </c>
      <c r="E503" t="n">
        <v>5</v>
      </c>
      <c r="F503" t="inlineStr">
        <is>
          <t>续持</t>
        </is>
      </c>
      <c r="G503" t="n">
        <v>1</v>
      </c>
      <c r="H503" t="n">
        <v>9946</v>
      </c>
      <c r="I503" t="n">
        <v>9321.860000000001</v>
      </c>
      <c r="J503" t="n">
        <v>1</v>
      </c>
      <c r="K503" t="inlineStr">
        <is>
          <t>续持原仓（2022-02-14开）</t>
        </is>
      </c>
    </row>
    <row r="504">
      <c r="A504" t="inlineStr">
        <is>
          <t>2022-02-17</t>
        </is>
      </c>
      <c r="B504" t="inlineStr">
        <is>
          <t>沪铝</t>
        </is>
      </c>
      <c r="C504" t="inlineStr">
        <is>
          <t>多</t>
        </is>
      </c>
      <c r="D504" t="n">
        <v>2</v>
      </c>
      <c r="E504" t="n">
        <v>5</v>
      </c>
      <c r="F504" t="inlineStr">
        <is>
          <t>观望</t>
        </is>
      </c>
      <c r="G504" t="n">
        <v>1</v>
      </c>
      <c r="H504" t="n">
        <v>22585</v>
      </c>
      <c r="I504" t="n">
        <v>21097.86</v>
      </c>
      <c r="J504" t="n">
        <v>1</v>
      </c>
      <c r="K504" t="inlineStr">
        <is>
          <t>逆5日线（收盘在5日线下，不追多）</t>
        </is>
      </c>
    </row>
    <row r="505">
      <c r="A505" t="inlineStr">
        <is>
          <t>2022-02-17</t>
        </is>
      </c>
      <c r="B505" t="inlineStr">
        <is>
          <t>玻璃</t>
        </is>
      </c>
      <c r="C505" t="inlineStr">
        <is>
          <t>空</t>
        </is>
      </c>
      <c r="D505" t="n">
        <v>2</v>
      </c>
      <c r="E505" t="n">
        <v>5</v>
      </c>
      <c r="F505" t="inlineStr">
        <is>
          <t>影子仓</t>
        </is>
      </c>
      <c r="G505" t="n">
        <v>1</v>
      </c>
      <c r="H505" t="n">
        <v>2075</v>
      </c>
      <c r="I505" t="n">
        <v>2404.14</v>
      </c>
      <c r="J505" t="n">
        <v>1</v>
      </c>
      <c r="K505" t="inlineStr">
        <is>
          <t>凯利≤0，开1%影子仓（只统计，不计入组合）</t>
        </is>
      </c>
    </row>
    <row r="506">
      <c r="A506" t="inlineStr">
        <is>
          <t>2022-02-17</t>
        </is>
      </c>
      <c r="B506" t="inlineStr">
        <is>
          <t>塑料</t>
        </is>
      </c>
      <c r="C506" t="inlineStr">
        <is>
          <t>空</t>
        </is>
      </c>
      <c r="D506" t="n">
        <v>2</v>
      </c>
      <c r="E506" t="n">
        <v>4</v>
      </c>
      <c r="F506" t="inlineStr">
        <is>
          <t>影子仓</t>
        </is>
      </c>
      <c r="G506" t="n">
        <v>3</v>
      </c>
      <c r="H506" t="n">
        <v>8685</v>
      </c>
      <c r="I506" t="n">
        <v>9350.790000000001</v>
      </c>
      <c r="J506" t="n">
        <v>1</v>
      </c>
      <c r="K506" t="inlineStr">
        <is>
          <t>凯利≤0，开1%影子仓（只统计，不计入组合）</t>
        </is>
      </c>
    </row>
    <row r="507">
      <c r="A507" t="inlineStr">
        <is>
          <t>2022-02-17</t>
        </is>
      </c>
      <c r="B507" t="inlineStr">
        <is>
          <t>白糖</t>
        </is>
      </c>
      <c r="C507" t="inlineStr">
        <is>
          <t>多</t>
        </is>
      </c>
      <c r="D507" t="n">
        <v>2</v>
      </c>
      <c r="E507" t="n">
        <v>4</v>
      </c>
      <c r="F507" t="inlineStr">
        <is>
          <t>观望</t>
        </is>
      </c>
      <c r="G507" t="n">
        <v>6</v>
      </c>
      <c r="H507" t="n">
        <v>5686</v>
      </c>
      <c r="I507" t="n">
        <v>5522.29</v>
      </c>
      <c r="J507" t="n">
        <v>1</v>
      </c>
      <c r="K507" t="inlineStr">
        <is>
          <t>逆5日线（收盘在5日线下，不追多）</t>
        </is>
      </c>
    </row>
    <row r="508">
      <c r="A508" t="inlineStr">
        <is>
          <t>2022-02-17</t>
        </is>
      </c>
      <c r="B508" t="inlineStr">
        <is>
          <t>沪铜</t>
        </is>
      </c>
      <c r="C508" t="inlineStr">
        <is>
          <t>空</t>
        </is>
      </c>
      <c r="D508" t="n">
        <v>2</v>
      </c>
      <c r="E508" t="n">
        <v>4</v>
      </c>
      <c r="F508" t="inlineStr">
        <is>
          <t>不做</t>
        </is>
      </c>
      <c r="H508" t="n">
        <v>71160</v>
      </c>
      <c r="J508" t="n">
        <v>1</v>
      </c>
      <c r="K508" t="inlineStr">
        <is>
          <t>1手风险18632元超过预算10000元</t>
        </is>
      </c>
    </row>
    <row r="509">
      <c r="A509" t="inlineStr">
        <is>
          <t>2022-02-17</t>
        </is>
      </c>
      <c r="B509" t="inlineStr">
        <is>
          <t>棕榈油</t>
        </is>
      </c>
      <c r="C509" t="inlineStr">
        <is>
          <t>多</t>
        </is>
      </c>
      <c r="D509" t="n">
        <v>2</v>
      </c>
      <c r="E509" t="n">
        <v>4</v>
      </c>
      <c r="F509" t="inlineStr">
        <is>
          <t>续持</t>
        </is>
      </c>
      <c r="G509" t="n">
        <v>3</v>
      </c>
      <c r="H509" t="n">
        <v>10134</v>
      </c>
      <c r="I509" t="n">
        <v>9478.860000000001</v>
      </c>
      <c r="J509" t="n">
        <v>3</v>
      </c>
      <c r="K509" t="inlineStr">
        <is>
          <t>续持原仓（2022-02-14开）</t>
        </is>
      </c>
    </row>
    <row r="510">
      <c r="A510" t="inlineStr">
        <is>
          <t>2022-02-18</t>
        </is>
      </c>
      <c r="B510" t="inlineStr">
        <is>
          <t>沪镍</t>
        </is>
      </c>
      <c r="C510" t="inlineStr">
        <is>
          <t>多</t>
        </is>
      </c>
      <c r="D510" t="n">
        <v>2</v>
      </c>
      <c r="E510" t="n">
        <v>4</v>
      </c>
      <c r="F510" t="inlineStr">
        <is>
          <t>不做</t>
        </is>
      </c>
      <c r="H510" t="n">
        <v>177890</v>
      </c>
      <c r="J510" t="n">
        <v>1</v>
      </c>
      <c r="K510" t="inlineStr">
        <is>
          <t>1手风险17964元超过预算10000元</t>
        </is>
      </c>
    </row>
    <row r="511">
      <c r="A511" t="inlineStr">
        <is>
          <t>2022-02-18</t>
        </is>
      </c>
      <c r="B511" t="inlineStr">
        <is>
          <t>纯碱</t>
        </is>
      </c>
      <c r="C511" t="inlineStr">
        <is>
          <t>多</t>
        </is>
      </c>
      <c r="D511" t="n">
        <v>2</v>
      </c>
      <c r="E511" t="n">
        <v>4</v>
      </c>
      <c r="F511" t="inlineStr">
        <is>
          <t>观望</t>
        </is>
      </c>
      <c r="G511" t="n">
        <v>1</v>
      </c>
      <c r="H511" t="n">
        <v>2803</v>
      </c>
      <c r="I511" t="n">
        <v>2425.64</v>
      </c>
      <c r="J511" t="n">
        <v>1</v>
      </c>
      <c r="K511" t="inlineStr">
        <is>
          <t>逆5日线（收盘在5日线下，不追多）</t>
        </is>
      </c>
    </row>
    <row r="512">
      <c r="A512" t="inlineStr">
        <is>
          <t>2022-02-21</t>
        </is>
      </c>
      <c r="B512" t="inlineStr">
        <is>
          <t>豆粕</t>
        </is>
      </c>
      <c r="C512" t="inlineStr">
        <is>
          <t>多</t>
        </is>
      </c>
      <c r="D512" t="n">
        <v>2</v>
      </c>
      <c r="E512" t="n">
        <v>5</v>
      </c>
      <c r="F512" t="inlineStr">
        <is>
          <t>影子仓</t>
        </is>
      </c>
      <c r="G512" t="n">
        <v>3</v>
      </c>
      <c r="H512" t="n">
        <v>3803</v>
      </c>
      <c r="I512" t="n">
        <v>3498.29</v>
      </c>
      <c r="J512" t="n">
        <v>1</v>
      </c>
      <c r="K512" t="inlineStr">
        <is>
          <t>凯利≤0，开1%影子仓（只统计，不计入组合）</t>
        </is>
      </c>
    </row>
    <row r="513">
      <c r="A513" t="inlineStr">
        <is>
          <t>2022-02-21</t>
        </is>
      </c>
      <c r="B513" t="inlineStr">
        <is>
          <t>沪镍</t>
        </is>
      </c>
      <c r="C513" t="inlineStr">
        <is>
          <t>多</t>
        </is>
      </c>
      <c r="D513" t="n">
        <v>2</v>
      </c>
      <c r="E513" t="n">
        <v>4</v>
      </c>
      <c r="F513" t="inlineStr">
        <is>
          <t>不做</t>
        </is>
      </c>
      <c r="H513" t="n">
        <v>179530</v>
      </c>
      <c r="J513" t="n">
        <v>1</v>
      </c>
      <c r="K513" t="inlineStr">
        <is>
          <t>1手风险16869元超过预算10000元</t>
        </is>
      </c>
    </row>
    <row r="514">
      <c r="A514" t="inlineStr">
        <is>
          <t>2022-02-21</t>
        </is>
      </c>
      <c r="B514" t="inlineStr">
        <is>
          <t>沪银</t>
        </is>
      </c>
      <c r="C514" t="inlineStr">
        <is>
          <t>空</t>
        </is>
      </c>
      <c r="D514" t="n">
        <v>2</v>
      </c>
      <c r="E514" t="n">
        <v>4</v>
      </c>
      <c r="F514" t="inlineStr">
        <is>
          <t>观望</t>
        </is>
      </c>
      <c r="G514" t="n">
        <v>2</v>
      </c>
      <c r="H514" t="n">
        <v>4876</v>
      </c>
      <c r="I514" t="n">
        <v>5187.79</v>
      </c>
      <c r="J514" t="n">
        <v>1</v>
      </c>
      <c r="K514" t="inlineStr">
        <is>
          <t>逆5日线（收盘在5日线上，不追空）</t>
        </is>
      </c>
    </row>
    <row r="515">
      <c r="A515" t="inlineStr">
        <is>
          <t>2022-02-22</t>
        </is>
      </c>
      <c r="B515" t="inlineStr">
        <is>
          <t>菜粕</t>
        </is>
      </c>
      <c r="C515" t="inlineStr">
        <is>
          <t>多</t>
        </is>
      </c>
      <c r="D515" t="n">
        <v>3</v>
      </c>
      <c r="E515" t="n">
        <v>7</v>
      </c>
      <c r="F515" t="inlineStr">
        <is>
          <t>开仓</t>
        </is>
      </c>
      <c r="G515" t="n">
        <v>7</v>
      </c>
      <c r="H515" t="n">
        <v>3592</v>
      </c>
      <c r="I515" t="n">
        <v>3271.86</v>
      </c>
      <c r="J515" t="n">
        <v>2.47</v>
      </c>
      <c r="K515" t="inlineStr">
        <is>
          <t>¼凯利</t>
        </is>
      </c>
    </row>
    <row r="516">
      <c r="A516" t="inlineStr">
        <is>
          <t>2022-02-22</t>
        </is>
      </c>
      <c r="B516" t="inlineStr">
        <is>
          <t>沪铝</t>
        </is>
      </c>
      <c r="C516" t="inlineStr">
        <is>
          <t>多</t>
        </is>
      </c>
      <c r="D516" t="n">
        <v>3</v>
      </c>
      <c r="E516" t="n">
        <v>7</v>
      </c>
      <c r="F516" t="inlineStr">
        <is>
          <t>开仓</t>
        </is>
      </c>
      <c r="G516" t="n">
        <v>3</v>
      </c>
      <c r="H516" t="n">
        <v>22930</v>
      </c>
      <c r="I516" t="n">
        <v>21505</v>
      </c>
      <c r="J516" t="n">
        <v>2.47</v>
      </c>
      <c r="K516" t="inlineStr">
        <is>
          <t>¼凯利</t>
        </is>
      </c>
    </row>
    <row r="517">
      <c r="A517" t="inlineStr">
        <is>
          <t>2022-02-22</t>
        </is>
      </c>
      <c r="B517" t="inlineStr">
        <is>
          <t>聚丙烯</t>
        </is>
      </c>
      <c r="C517" t="inlineStr">
        <is>
          <t>空</t>
        </is>
      </c>
      <c r="D517" t="n">
        <v>2</v>
      </c>
      <c r="E517" t="n">
        <v>5</v>
      </c>
      <c r="F517" t="inlineStr">
        <is>
          <t>影子仓</t>
        </is>
      </c>
      <c r="G517" t="n">
        <v>3</v>
      </c>
      <c r="H517" t="n">
        <v>8358</v>
      </c>
      <c r="I517" t="n">
        <v>8937.209999999999</v>
      </c>
      <c r="J517" t="n">
        <v>1</v>
      </c>
      <c r="K517" t="inlineStr">
        <is>
          <t>凯利≤0，开1%影子仓（只统计，不计入组合）</t>
        </is>
      </c>
    </row>
    <row r="518">
      <c r="A518" t="inlineStr">
        <is>
          <t>2022-02-22</t>
        </is>
      </c>
      <c r="B518" t="inlineStr">
        <is>
          <t>塑料</t>
        </is>
      </c>
      <c r="C518" t="inlineStr">
        <is>
          <t>空</t>
        </is>
      </c>
      <c r="D518" t="n">
        <v>2</v>
      </c>
      <c r="E518" t="n">
        <v>4</v>
      </c>
      <c r="F518" t="inlineStr">
        <is>
          <t>续持</t>
        </is>
      </c>
      <c r="G518" t="n">
        <v>3</v>
      </c>
      <c r="H518" t="n">
        <v>8685</v>
      </c>
      <c r="I518" t="n">
        <v>9264.139999999999</v>
      </c>
      <c r="J518" t="n">
        <v>1</v>
      </c>
      <c r="K518" t="inlineStr">
        <is>
          <t>续持原仓（2022-02-17开）</t>
        </is>
      </c>
    </row>
    <row r="519">
      <c r="A519" t="inlineStr">
        <is>
          <t>2022-02-23</t>
        </is>
      </c>
      <c r="B519" t="inlineStr">
        <is>
          <t>菜粕</t>
        </is>
      </c>
      <c r="C519" t="inlineStr">
        <is>
          <t>多</t>
        </is>
      </c>
      <c r="D519" t="n">
        <v>3</v>
      </c>
      <c r="E519" t="n">
        <v>7</v>
      </c>
      <c r="F519" t="inlineStr">
        <is>
          <t>续持</t>
        </is>
      </c>
      <c r="G519" t="n">
        <v>7</v>
      </c>
      <c r="H519" t="n">
        <v>3641</v>
      </c>
      <c r="I519" t="n">
        <v>3344.71</v>
      </c>
      <c r="J519" t="n">
        <v>2.47</v>
      </c>
      <c r="K519" t="inlineStr">
        <is>
          <t>续持原仓（2022-02-22开）</t>
        </is>
      </c>
    </row>
    <row r="520">
      <c r="A520" t="inlineStr">
        <is>
          <t>2022-02-23</t>
        </is>
      </c>
      <c r="B520" t="inlineStr">
        <is>
          <t>沪锌</t>
        </is>
      </c>
      <c r="C520" t="inlineStr">
        <is>
          <t>空</t>
        </is>
      </c>
      <c r="D520" t="n">
        <v>2</v>
      </c>
      <c r="E520" t="n">
        <v>4</v>
      </c>
      <c r="F520" t="inlineStr">
        <is>
          <t>观望</t>
        </is>
      </c>
      <c r="G520" t="n">
        <v>1</v>
      </c>
      <c r="H520" t="n">
        <v>25095</v>
      </c>
      <c r="I520" t="n">
        <v>26529.64</v>
      </c>
      <c r="J520" t="n">
        <v>1</v>
      </c>
      <c r="K520" t="inlineStr">
        <is>
          <t>逆5日线（收盘在5日线上，不追空）</t>
        </is>
      </c>
    </row>
    <row r="521">
      <c r="A521" t="inlineStr">
        <is>
          <t>2022-02-24</t>
        </is>
      </c>
      <c r="B521" t="inlineStr">
        <is>
          <t>玉米</t>
        </is>
      </c>
      <c r="C521" t="inlineStr">
        <is>
          <t>多</t>
        </is>
      </c>
      <c r="D521" t="n">
        <v>3</v>
      </c>
      <c r="E521" t="n">
        <v>7</v>
      </c>
      <c r="F521" t="inlineStr">
        <is>
          <t>续持</t>
        </is>
      </c>
      <c r="G521" t="n">
        <v>12</v>
      </c>
      <c r="H521" t="n">
        <v>2837</v>
      </c>
      <c r="I521" t="n">
        <v>2766.57</v>
      </c>
      <c r="J521" t="n">
        <v>0.92</v>
      </c>
      <c r="K521" t="inlineStr">
        <is>
          <t>续持原仓（2022-01-25开）</t>
        </is>
      </c>
    </row>
    <row r="522">
      <c r="A522" t="inlineStr">
        <is>
          <t>2022-02-24</t>
        </is>
      </c>
      <c r="B522" t="inlineStr">
        <is>
          <t>豆油</t>
        </is>
      </c>
      <c r="C522" t="inlineStr">
        <is>
          <t>多</t>
        </is>
      </c>
      <c r="D522" t="n">
        <v>3</v>
      </c>
      <c r="E522" t="n">
        <v>7</v>
      </c>
      <c r="F522" t="inlineStr">
        <is>
          <t>开仓</t>
        </is>
      </c>
      <c r="G522" t="n">
        <v>2</v>
      </c>
      <c r="H522" t="n">
        <v>10724</v>
      </c>
      <c r="I522" t="n">
        <v>9868.57</v>
      </c>
      <c r="J522" t="n">
        <v>2.4</v>
      </c>
      <c r="K522" t="inlineStr">
        <is>
          <t>¼凯利</t>
        </is>
      </c>
    </row>
    <row r="523">
      <c r="A523" t="inlineStr">
        <is>
          <t>2022-02-24</t>
        </is>
      </c>
      <c r="B523" t="inlineStr">
        <is>
          <t>豆粕</t>
        </is>
      </c>
      <c r="C523" t="inlineStr">
        <is>
          <t>多</t>
        </is>
      </c>
      <c r="D523" t="n">
        <v>3</v>
      </c>
      <c r="E523" t="n">
        <v>6</v>
      </c>
      <c r="F523" t="inlineStr">
        <is>
          <t>不做</t>
        </is>
      </c>
      <c r="H523" t="n">
        <v>4062</v>
      </c>
      <c r="J523" t="n">
        <v>0.21</v>
      </c>
      <c r="K523" t="inlineStr">
        <is>
          <t>农产品板块同方向已近6%，预算缩小</t>
        </is>
      </c>
    </row>
    <row r="524">
      <c r="A524" t="inlineStr">
        <is>
          <t>2022-02-24</t>
        </is>
      </c>
      <c r="B524" t="inlineStr">
        <is>
          <t>菜粕</t>
        </is>
      </c>
      <c r="C524" t="inlineStr">
        <is>
          <t>多</t>
        </is>
      </c>
      <c r="D524" t="n">
        <v>3</v>
      </c>
      <c r="E524" t="n">
        <v>6</v>
      </c>
      <c r="F524" t="inlineStr">
        <is>
          <t>续持</t>
        </is>
      </c>
      <c r="G524" t="n">
        <v>7</v>
      </c>
      <c r="H524" t="n">
        <v>3825</v>
      </c>
      <c r="I524" t="n">
        <v>3499.36</v>
      </c>
      <c r="J524" t="n">
        <v>2.47</v>
      </c>
      <c r="K524" t="inlineStr">
        <is>
          <t>续持原仓（2022-02-22开）</t>
        </is>
      </c>
    </row>
    <row r="525">
      <c r="A525" t="inlineStr">
        <is>
          <t>2022-02-24</t>
        </is>
      </c>
      <c r="B525" t="inlineStr">
        <is>
          <t>沪锌</t>
        </is>
      </c>
      <c r="C525" t="inlineStr">
        <is>
          <t>空</t>
        </is>
      </c>
      <c r="D525" t="n">
        <v>2</v>
      </c>
      <c r="E525" t="n">
        <v>5</v>
      </c>
      <c r="F525" t="inlineStr">
        <is>
          <t>影子仓</t>
        </is>
      </c>
      <c r="G525" t="n">
        <v>1</v>
      </c>
      <c r="H525" t="n">
        <v>24740</v>
      </c>
      <c r="I525" t="n">
        <v>26113.57</v>
      </c>
      <c r="J525" t="n">
        <v>1</v>
      </c>
      <c r="K525" t="inlineStr">
        <is>
          <t>凯利≤0，开1%影子仓（只统计，不计入组合）</t>
        </is>
      </c>
    </row>
    <row r="526">
      <c r="A526" t="inlineStr">
        <is>
          <t>2022-02-24</t>
        </is>
      </c>
      <c r="B526" t="inlineStr">
        <is>
          <t>玻璃</t>
        </is>
      </c>
      <c r="C526" t="inlineStr">
        <is>
          <t>空</t>
        </is>
      </c>
      <c r="D526" t="n">
        <v>2</v>
      </c>
      <c r="E526" t="n">
        <v>5</v>
      </c>
      <c r="F526" t="inlineStr">
        <is>
          <t>影子仓</t>
        </is>
      </c>
      <c r="G526" t="n">
        <v>1</v>
      </c>
      <c r="H526" t="n">
        <v>1970</v>
      </c>
      <c r="I526" t="n">
        <v>2288.64</v>
      </c>
      <c r="J526" t="n">
        <v>1</v>
      </c>
      <c r="K526" t="inlineStr">
        <is>
          <t>凯利≤0，开1%影子仓（只统计，不计入组合）</t>
        </is>
      </c>
    </row>
    <row r="527">
      <c r="A527" t="inlineStr">
        <is>
          <t>2022-02-24</t>
        </is>
      </c>
      <c r="B527" t="inlineStr">
        <is>
          <t>沪金</t>
        </is>
      </c>
      <c r="C527" t="inlineStr">
        <is>
          <t>多</t>
        </is>
      </c>
      <c r="D527" t="n">
        <v>2</v>
      </c>
      <c r="E527" t="n">
        <v>4</v>
      </c>
      <c r="F527" t="inlineStr">
        <is>
          <t>不做</t>
        </is>
      </c>
      <c r="H527" t="n">
        <v>396.04</v>
      </c>
      <c r="J527" t="n">
        <v>1</v>
      </c>
      <c r="K527" t="inlineStr">
        <is>
          <t>1手风险14430元超过预算10000元</t>
        </is>
      </c>
    </row>
    <row r="528">
      <c r="A528" t="inlineStr">
        <is>
          <t>2022-02-25</t>
        </is>
      </c>
      <c r="B528" t="inlineStr">
        <is>
          <t>玉米</t>
        </is>
      </c>
      <c r="C528" t="inlineStr">
        <is>
          <t>多</t>
        </is>
      </c>
      <c r="D528" t="n">
        <v>3</v>
      </c>
      <c r="E528" t="n">
        <v>7</v>
      </c>
      <c r="F528" t="inlineStr">
        <is>
          <t>续持</t>
        </is>
      </c>
      <c r="G528" t="n">
        <v>12</v>
      </c>
      <c r="H528" t="n">
        <v>2848</v>
      </c>
      <c r="I528" t="n">
        <v>2766.57</v>
      </c>
      <c r="J528" t="n">
        <v>0.92</v>
      </c>
      <c r="K528" t="inlineStr">
        <is>
          <t>续持原仓（2022-01-25开）</t>
        </is>
      </c>
    </row>
    <row r="529">
      <c r="A529" t="inlineStr">
        <is>
          <t>2022-02-28</t>
        </is>
      </c>
      <c r="B529" t="inlineStr">
        <is>
          <t>豆粕</t>
        </is>
      </c>
      <c r="C529" t="inlineStr">
        <is>
          <t>多</t>
        </is>
      </c>
      <c r="D529" t="n">
        <v>2</v>
      </c>
      <c r="E529" t="n">
        <v>5</v>
      </c>
      <c r="F529" t="inlineStr">
        <is>
          <t>观望</t>
        </is>
      </c>
      <c r="G529" t="n">
        <v>2</v>
      </c>
      <c r="H529" t="n">
        <v>3862</v>
      </c>
      <c r="I529" t="n">
        <v>3501.36</v>
      </c>
      <c r="J529" t="n">
        <v>1</v>
      </c>
      <c r="K529" t="inlineStr">
        <is>
          <t>逆5日线（收盘在5日线下，不追多）</t>
        </is>
      </c>
    </row>
    <row r="530">
      <c r="A530" t="inlineStr">
        <is>
          <t>2022-02-28</t>
        </is>
      </c>
      <c r="B530" t="inlineStr">
        <is>
          <t>乙二醇</t>
        </is>
      </c>
      <c r="C530" t="inlineStr">
        <is>
          <t>空</t>
        </is>
      </c>
      <c r="D530" t="n">
        <v>2</v>
      </c>
      <c r="E530" t="n">
        <v>4</v>
      </c>
      <c r="F530" t="inlineStr">
        <is>
          <t>影子仓</t>
        </is>
      </c>
      <c r="G530" t="n">
        <v>2</v>
      </c>
      <c r="H530" t="n">
        <v>4897</v>
      </c>
      <c r="I530" t="n">
        <v>5391.79</v>
      </c>
      <c r="J530" t="n">
        <v>1</v>
      </c>
      <c r="K530" t="inlineStr">
        <is>
          <t>凯利≤0，开1%影子仓（只统计，不计入组合）</t>
        </is>
      </c>
    </row>
    <row r="531">
      <c r="A531" t="inlineStr">
        <is>
          <t>2022-03-01</t>
        </is>
      </c>
      <c r="B531" t="inlineStr">
        <is>
          <t>玉米</t>
        </is>
      </c>
      <c r="C531" t="inlineStr">
        <is>
          <t>多</t>
        </is>
      </c>
      <c r="D531" t="n">
        <v>3</v>
      </c>
      <c r="E531" t="n">
        <v>7</v>
      </c>
      <c r="F531" t="inlineStr">
        <is>
          <t>续持</t>
        </is>
      </c>
      <c r="G531" t="n">
        <v>12</v>
      </c>
      <c r="H531" t="n">
        <v>2874</v>
      </c>
      <c r="I531" t="n">
        <v>2777.29</v>
      </c>
      <c r="J531" t="n">
        <v>0.92</v>
      </c>
      <c r="K531" t="inlineStr">
        <is>
          <t>续持原仓（2022-01-25开）</t>
        </is>
      </c>
    </row>
    <row r="532">
      <c r="A532" t="inlineStr">
        <is>
          <t>2022-03-01</t>
        </is>
      </c>
      <c r="B532" t="inlineStr">
        <is>
          <t>豆粕</t>
        </is>
      </c>
      <c r="C532" t="inlineStr">
        <is>
          <t>多</t>
        </is>
      </c>
      <c r="D532" t="n">
        <v>3</v>
      </c>
      <c r="E532" t="n">
        <v>6</v>
      </c>
      <c r="F532" t="inlineStr">
        <is>
          <t>观望</t>
        </is>
      </c>
      <c r="G532" t="n">
        <v>6</v>
      </c>
      <c r="H532" t="n">
        <v>3911</v>
      </c>
      <c r="I532" t="n">
        <v>3537.71</v>
      </c>
      <c r="J532" t="n">
        <v>2.32</v>
      </c>
      <c r="K532" t="inlineStr">
        <is>
          <t>逆5日线（收盘在5日线下，不追多）</t>
        </is>
      </c>
    </row>
    <row r="533">
      <c r="A533" t="inlineStr">
        <is>
          <t>2022-03-01</t>
        </is>
      </c>
      <c r="B533" t="inlineStr">
        <is>
          <t>棕榈油</t>
        </is>
      </c>
      <c r="C533" t="inlineStr">
        <is>
          <t>多</t>
        </is>
      </c>
      <c r="D533" t="n">
        <v>3</v>
      </c>
      <c r="E533" t="n">
        <v>6</v>
      </c>
      <c r="F533" t="inlineStr">
        <is>
          <t>开仓</t>
        </is>
      </c>
      <c r="G533" t="n">
        <v>1</v>
      </c>
      <c r="H533" t="n">
        <v>12022</v>
      </c>
      <c r="I533" t="n">
        <v>10759</v>
      </c>
      <c r="J533" t="n">
        <v>2.32</v>
      </c>
      <c r="K533" t="inlineStr">
        <is>
          <t>¼凯利</t>
        </is>
      </c>
    </row>
    <row r="534">
      <c r="A534" t="inlineStr">
        <is>
          <t>2022-03-01</t>
        </is>
      </c>
      <c r="B534" t="inlineStr">
        <is>
          <t>菜粕</t>
        </is>
      </c>
      <c r="C534" t="inlineStr">
        <is>
          <t>多</t>
        </is>
      </c>
      <c r="D534" t="n">
        <v>3</v>
      </c>
      <c r="E534" t="n">
        <v>6</v>
      </c>
      <c r="F534" t="inlineStr">
        <is>
          <t>观望</t>
        </is>
      </c>
      <c r="G534" t="n">
        <v>5</v>
      </c>
      <c r="H534" t="n">
        <v>3655</v>
      </c>
      <c r="I534" t="n">
        <v>3264.57</v>
      </c>
      <c r="J534" t="n">
        <v>2.32</v>
      </c>
      <c r="K534" t="inlineStr">
        <is>
          <t>逆5日线（收盘在5日线下，不追多）</t>
        </is>
      </c>
    </row>
    <row r="535">
      <c r="A535" t="inlineStr">
        <is>
          <t>2022-03-02</t>
        </is>
      </c>
      <c r="B535" t="inlineStr">
        <is>
          <t>聚丙烯</t>
        </is>
      </c>
      <c r="C535" t="inlineStr">
        <is>
          <t>多</t>
        </is>
      </c>
      <c r="D535" t="n">
        <v>3</v>
      </c>
      <c r="E535" t="n">
        <v>6</v>
      </c>
      <c r="F535" t="inlineStr">
        <is>
          <t>开仓</t>
        </is>
      </c>
      <c r="G535" t="n">
        <v>11</v>
      </c>
      <c r="H535" t="n">
        <v>8910</v>
      </c>
      <c r="I535" t="n">
        <v>8378.790000000001</v>
      </c>
      <c r="J535" t="n">
        <v>3</v>
      </c>
      <c r="K535" t="inlineStr">
        <is>
          <t>¼凯利超上限，取3%</t>
        </is>
      </c>
    </row>
    <row r="536">
      <c r="A536" t="inlineStr">
        <is>
          <t>2022-03-02</t>
        </is>
      </c>
      <c r="B536" t="inlineStr">
        <is>
          <t>豆粕</t>
        </is>
      </c>
      <c r="C536" t="inlineStr">
        <is>
          <t>多</t>
        </is>
      </c>
      <c r="D536" t="n">
        <v>2</v>
      </c>
      <c r="E536" t="n">
        <v>5</v>
      </c>
      <c r="F536" t="inlineStr">
        <is>
          <t>观望</t>
        </is>
      </c>
      <c r="G536" t="n">
        <v>2</v>
      </c>
      <c r="H536" t="n">
        <v>3903</v>
      </c>
      <c r="I536" t="n">
        <v>3519</v>
      </c>
      <c r="J536" t="n">
        <v>1</v>
      </c>
      <c r="K536" t="inlineStr">
        <is>
          <t>逆5日线（收盘在5日线下，不追多）</t>
        </is>
      </c>
    </row>
    <row r="537">
      <c r="A537" t="inlineStr">
        <is>
          <t>2022-03-02</t>
        </is>
      </c>
      <c r="B537" t="inlineStr">
        <is>
          <t>菜粕</t>
        </is>
      </c>
      <c r="C537" t="inlineStr">
        <is>
          <t>多</t>
        </is>
      </c>
      <c r="D537" t="n">
        <v>2</v>
      </c>
      <c r="E537" t="n">
        <v>5</v>
      </c>
      <c r="F537" t="inlineStr">
        <is>
          <t>影子仓</t>
        </is>
      </c>
      <c r="G537" t="n">
        <v>2</v>
      </c>
      <c r="H537" t="n">
        <v>3686</v>
      </c>
      <c r="I537" t="n">
        <v>3279.71</v>
      </c>
      <c r="J537" t="n">
        <v>1</v>
      </c>
      <c r="K537" t="inlineStr">
        <is>
          <t>凯利≤0，开1%影子仓（只统计，不计入组合）</t>
        </is>
      </c>
    </row>
    <row r="538">
      <c r="A538" t="inlineStr">
        <is>
          <t>2022-03-02</t>
        </is>
      </c>
      <c r="B538" t="inlineStr">
        <is>
          <t>塑料</t>
        </is>
      </c>
      <c r="C538" t="inlineStr">
        <is>
          <t>多</t>
        </is>
      </c>
      <c r="D538" t="n">
        <v>2</v>
      </c>
      <c r="E538" t="n">
        <v>4</v>
      </c>
      <c r="F538" t="inlineStr">
        <is>
          <t>影子仓</t>
        </is>
      </c>
      <c r="G538" t="n">
        <v>3</v>
      </c>
      <c r="H538" t="n">
        <v>9124</v>
      </c>
      <c r="I538" t="n">
        <v>8566</v>
      </c>
      <c r="J538" t="n">
        <v>1</v>
      </c>
      <c r="K538" t="inlineStr">
        <is>
          <t>凯利≤0，开1%影子仓（只统计，不计入组合）</t>
        </is>
      </c>
    </row>
    <row r="539">
      <c r="A539" t="inlineStr">
        <is>
          <t>2022-03-03</t>
        </is>
      </c>
      <c r="B539" t="inlineStr">
        <is>
          <t>棕榈油</t>
        </is>
      </c>
      <c r="C539" t="inlineStr">
        <is>
          <t>多</t>
        </is>
      </c>
      <c r="D539" t="n">
        <v>3</v>
      </c>
      <c r="E539" t="n">
        <v>7</v>
      </c>
      <c r="F539" t="inlineStr">
        <is>
          <t>开仓</t>
        </is>
      </c>
      <c r="G539" t="n">
        <v>2</v>
      </c>
      <c r="H539" t="n">
        <v>12630</v>
      </c>
      <c r="I539" t="n">
        <v>11223</v>
      </c>
      <c r="J539" t="n">
        <v>3</v>
      </c>
      <c r="K539" t="inlineStr">
        <is>
          <t>¼凯利超上限，取3%</t>
        </is>
      </c>
    </row>
    <row r="540">
      <c r="A540" t="inlineStr">
        <is>
          <t>2022-03-03</t>
        </is>
      </c>
      <c r="B540" t="inlineStr">
        <is>
          <t>菜粕</t>
        </is>
      </c>
      <c r="C540" t="inlineStr">
        <is>
          <t>多</t>
        </is>
      </c>
      <c r="D540" t="n">
        <v>3</v>
      </c>
      <c r="E540" t="n">
        <v>6</v>
      </c>
      <c r="F540" t="inlineStr">
        <is>
          <t>续持</t>
        </is>
      </c>
      <c r="G540" t="n">
        <v>2</v>
      </c>
      <c r="H540" t="n">
        <v>3694</v>
      </c>
      <c r="I540" t="n">
        <v>3317.43</v>
      </c>
      <c r="J540" t="n">
        <v>1</v>
      </c>
      <c r="K540" t="inlineStr">
        <is>
          <t>续持原仓（2022-03-02开）</t>
        </is>
      </c>
    </row>
    <row r="541">
      <c r="A541" t="inlineStr">
        <is>
          <t>2022-03-03</t>
        </is>
      </c>
      <c r="B541" t="inlineStr">
        <is>
          <t>玻璃</t>
        </is>
      </c>
      <c r="C541" t="inlineStr">
        <is>
          <t>空</t>
        </is>
      </c>
      <c r="D541" t="n">
        <v>3</v>
      </c>
      <c r="E541" t="n">
        <v>6</v>
      </c>
      <c r="F541" t="inlineStr">
        <is>
          <t>开仓</t>
        </is>
      </c>
      <c r="G541" t="n">
        <v>5</v>
      </c>
      <c r="H541" t="n">
        <v>1910</v>
      </c>
      <c r="I541" t="n">
        <v>2178.71</v>
      </c>
      <c r="J541" t="n">
        <v>3</v>
      </c>
      <c r="K541" t="inlineStr">
        <is>
          <t>¼凯利超上限，取3%</t>
        </is>
      </c>
    </row>
    <row r="542">
      <c r="A542" t="inlineStr">
        <is>
          <t>2022-03-03</t>
        </is>
      </c>
      <c r="B542" t="inlineStr">
        <is>
          <t>玉米</t>
        </is>
      </c>
      <c r="C542" t="inlineStr">
        <is>
          <t>多</t>
        </is>
      </c>
      <c r="D542" t="n">
        <v>2</v>
      </c>
      <c r="E542" t="n">
        <v>5</v>
      </c>
      <c r="F542" t="inlineStr">
        <is>
          <t>影子仓</t>
        </is>
      </c>
      <c r="G542" t="n">
        <v>9</v>
      </c>
      <c r="H542" t="n">
        <v>2893</v>
      </c>
      <c r="I542" t="n">
        <v>2783.07</v>
      </c>
      <c r="J542" t="n">
        <v>1</v>
      </c>
      <c r="K542" t="inlineStr">
        <is>
          <t>凯利≤0，开1%影子仓（只统计，不计入组合）</t>
        </is>
      </c>
    </row>
    <row r="543">
      <c r="A543" t="inlineStr">
        <is>
          <t>2022-03-03</t>
        </is>
      </c>
      <c r="B543" t="inlineStr">
        <is>
          <t>PTA</t>
        </is>
      </c>
      <c r="C543" t="inlineStr">
        <is>
          <t>多</t>
        </is>
      </c>
      <c r="D543" t="n">
        <v>2</v>
      </c>
      <c r="E543" t="n">
        <v>5</v>
      </c>
      <c r="F543" t="inlineStr">
        <is>
          <t>影子仓</t>
        </is>
      </c>
      <c r="G543" t="n">
        <v>2</v>
      </c>
      <c r="H543" t="n">
        <v>6278</v>
      </c>
      <c r="I543" t="n">
        <v>5570</v>
      </c>
      <c r="J543" t="n">
        <v>1</v>
      </c>
      <c r="K543" t="inlineStr">
        <is>
          <t>凯利≤0，开1%影子仓（只统计，不计入组合）</t>
        </is>
      </c>
    </row>
    <row r="544">
      <c r="A544" t="inlineStr">
        <is>
          <t>2022-03-03</t>
        </is>
      </c>
      <c r="B544" t="inlineStr">
        <is>
          <t>塑料</t>
        </is>
      </c>
      <c r="C544" t="inlineStr">
        <is>
          <t>多</t>
        </is>
      </c>
      <c r="D544" t="n">
        <v>2</v>
      </c>
      <c r="E544" t="n">
        <v>4</v>
      </c>
      <c r="F544" t="inlineStr">
        <is>
          <t>续持</t>
        </is>
      </c>
      <c r="G544" t="n">
        <v>3</v>
      </c>
      <c r="H544" t="n">
        <v>9319</v>
      </c>
      <c r="I544" t="n">
        <v>8763.790000000001</v>
      </c>
      <c r="J544" t="n">
        <v>1</v>
      </c>
      <c r="K544" t="inlineStr">
        <is>
          <t>续持原仓（2022-03-02开）</t>
        </is>
      </c>
    </row>
    <row r="545">
      <c r="A545" t="inlineStr">
        <is>
          <t>2022-03-03</t>
        </is>
      </c>
      <c r="B545" t="inlineStr">
        <is>
          <t>沥青</t>
        </is>
      </c>
      <c r="C545" t="inlineStr">
        <is>
          <t>空</t>
        </is>
      </c>
      <c r="D545" t="n">
        <v>2</v>
      </c>
      <c r="E545" t="n">
        <v>4</v>
      </c>
      <c r="F545" t="inlineStr">
        <is>
          <t>观望</t>
        </is>
      </c>
      <c r="G545" t="n">
        <v>2</v>
      </c>
      <c r="H545" t="n">
        <v>3702</v>
      </c>
      <c r="I545" t="n">
        <v>4146.86</v>
      </c>
      <c r="J545" t="n">
        <v>1</v>
      </c>
      <c r="K545" t="inlineStr">
        <is>
          <t>逆5日线（收盘在5日线上，不追空）</t>
        </is>
      </c>
    </row>
    <row r="546">
      <c r="A546" t="inlineStr">
        <is>
          <t>2022-03-04</t>
        </is>
      </c>
      <c r="B546" t="inlineStr">
        <is>
          <t>玉米</t>
        </is>
      </c>
      <c r="C546" t="inlineStr">
        <is>
          <t>多</t>
        </is>
      </c>
      <c r="D546" t="n">
        <v>2</v>
      </c>
      <c r="E546" t="n">
        <v>5</v>
      </c>
      <c r="F546" t="inlineStr">
        <is>
          <t>续持</t>
        </is>
      </c>
      <c r="G546" t="n">
        <v>9</v>
      </c>
      <c r="H546" t="n">
        <v>2886</v>
      </c>
      <c r="I546" t="n">
        <v>2804.29</v>
      </c>
      <c r="J546" t="n">
        <v>1</v>
      </c>
      <c r="K546" t="inlineStr">
        <is>
          <t>续持原仓（2022-03-03开）</t>
        </is>
      </c>
    </row>
    <row r="547">
      <c r="A547" t="inlineStr">
        <is>
          <t>2022-03-04</t>
        </is>
      </c>
      <c r="B547" t="inlineStr">
        <is>
          <t>菜粕</t>
        </is>
      </c>
      <c r="C547" t="inlineStr">
        <is>
          <t>多</t>
        </is>
      </c>
      <c r="D547" t="n">
        <v>2</v>
      </c>
      <c r="E547" t="n">
        <v>5</v>
      </c>
      <c r="F547" t="inlineStr">
        <is>
          <t>续持</t>
        </is>
      </c>
      <c r="G547" t="n">
        <v>2</v>
      </c>
      <c r="H547" t="n">
        <v>3688</v>
      </c>
      <c r="I547" t="n">
        <v>3332.86</v>
      </c>
      <c r="J547" t="n">
        <v>1</v>
      </c>
      <c r="K547" t="inlineStr">
        <is>
          <t>续持原仓（2022-03-02开）</t>
        </is>
      </c>
    </row>
    <row r="548">
      <c r="A548" t="inlineStr">
        <is>
          <t>2022-03-04</t>
        </is>
      </c>
      <c r="B548" t="inlineStr">
        <is>
          <t>豆油</t>
        </is>
      </c>
      <c r="C548" t="inlineStr">
        <is>
          <t>多</t>
        </is>
      </c>
      <c r="D548" t="n">
        <v>2</v>
      </c>
      <c r="E548" t="n">
        <v>5</v>
      </c>
      <c r="F548" t="inlineStr">
        <is>
          <t>观望</t>
        </is>
      </c>
      <c r="H548" t="n">
        <v>10798</v>
      </c>
      <c r="J548" t="n">
        <v>1</v>
      </c>
      <c r="K548" t="inlineStr">
        <is>
          <t>逆5日线（收盘在5日线下，不追多）</t>
        </is>
      </c>
    </row>
    <row r="549">
      <c r="A549" t="inlineStr">
        <is>
          <t>2022-03-04</t>
        </is>
      </c>
      <c r="B549" t="inlineStr">
        <is>
          <t>玻璃</t>
        </is>
      </c>
      <c r="C549" t="inlineStr">
        <is>
          <t>空</t>
        </is>
      </c>
      <c r="D549" t="n">
        <v>2</v>
      </c>
      <c r="E549" t="n">
        <v>4</v>
      </c>
      <c r="F549" t="inlineStr">
        <is>
          <t>观望</t>
        </is>
      </c>
      <c r="G549" t="n">
        <v>1</v>
      </c>
      <c r="H549" t="n">
        <v>1936</v>
      </c>
      <c r="I549" t="n">
        <v>2186.93</v>
      </c>
      <c r="J549" t="n">
        <v>1</v>
      </c>
      <c r="K549" t="inlineStr">
        <is>
          <t>逆5日线（收盘在5日线上，不追空）</t>
        </is>
      </c>
    </row>
    <row r="550">
      <c r="A550" t="inlineStr">
        <is>
          <t>2022-03-04</t>
        </is>
      </c>
      <c r="B550" t="inlineStr">
        <is>
          <t>聚丙烯</t>
        </is>
      </c>
      <c r="C550" t="inlineStr">
        <is>
          <t>多</t>
        </is>
      </c>
      <c r="D550" t="n">
        <v>2</v>
      </c>
      <c r="E550" t="n">
        <v>4</v>
      </c>
      <c r="F550" t="inlineStr">
        <is>
          <t>影子仓</t>
        </is>
      </c>
      <c r="G550" t="n">
        <v>3</v>
      </c>
      <c r="H550" t="n">
        <v>8945</v>
      </c>
      <c r="I550" t="n">
        <v>8372.639999999999</v>
      </c>
      <c r="J550" t="n">
        <v>1</v>
      </c>
      <c r="K550" t="inlineStr">
        <is>
          <t>凯利≤0，开1%影子仓（只统计，不计入组合）</t>
        </is>
      </c>
    </row>
    <row r="551">
      <c r="A551" t="inlineStr">
        <is>
          <t>2022-03-04</t>
        </is>
      </c>
      <c r="B551" t="inlineStr">
        <is>
          <t>沪铝</t>
        </is>
      </c>
      <c r="C551" t="inlineStr">
        <is>
          <t>空</t>
        </is>
      </c>
      <c r="D551" t="n">
        <v>2</v>
      </c>
      <c r="E551" t="n">
        <v>4</v>
      </c>
      <c r="F551" t="inlineStr">
        <is>
          <t>观望</t>
        </is>
      </c>
      <c r="G551" t="n">
        <v>1</v>
      </c>
      <c r="H551" t="n">
        <v>23570</v>
      </c>
      <c r="I551" t="n">
        <v>25002.5</v>
      </c>
      <c r="J551" t="n">
        <v>1</v>
      </c>
      <c r="K551" t="inlineStr">
        <is>
          <t>逆5日线（收盘在5日线上，不追空）</t>
        </is>
      </c>
    </row>
    <row r="552">
      <c r="A552" t="inlineStr">
        <is>
          <t>2022-03-04</t>
        </is>
      </c>
      <c r="B552" t="inlineStr">
        <is>
          <t>白糖</t>
        </is>
      </c>
      <c r="C552" t="inlineStr">
        <is>
          <t>空</t>
        </is>
      </c>
      <c r="D552" t="n">
        <v>2</v>
      </c>
      <c r="E552" t="n">
        <v>4</v>
      </c>
      <c r="F552" t="inlineStr">
        <is>
          <t>观望</t>
        </is>
      </c>
      <c r="G552" t="n">
        <v>6</v>
      </c>
      <c r="H552" t="n">
        <v>5795</v>
      </c>
      <c r="I552" t="n">
        <v>5951.86</v>
      </c>
      <c r="J552" t="n">
        <v>1</v>
      </c>
      <c r="K552" t="inlineStr">
        <is>
          <t>逆5日线（收盘在5日线上，不追空）</t>
        </is>
      </c>
    </row>
    <row r="553">
      <c r="A553" t="inlineStr">
        <is>
          <t>2022-03-04</t>
        </is>
      </c>
      <c r="B553" t="inlineStr">
        <is>
          <t>热卷</t>
        </is>
      </c>
      <c r="C553" t="inlineStr">
        <is>
          <t>空</t>
        </is>
      </c>
      <c r="D553" t="n">
        <v>2</v>
      </c>
      <c r="E553" t="n">
        <v>4</v>
      </c>
      <c r="F553" t="inlineStr">
        <is>
          <t>观望</t>
        </is>
      </c>
      <c r="G553" t="n">
        <v>2</v>
      </c>
      <c r="H553" t="n">
        <v>5210</v>
      </c>
      <c r="I553" t="n">
        <v>5606</v>
      </c>
      <c r="J553" t="n">
        <v>1</v>
      </c>
      <c r="K553" t="inlineStr">
        <is>
          <t>逆5日线（收盘在5日线上，不追空）</t>
        </is>
      </c>
    </row>
    <row r="554">
      <c r="A554" t="inlineStr">
        <is>
          <t>2022-03-07</t>
        </is>
      </c>
      <c r="B554" t="inlineStr">
        <is>
          <t>玉米</t>
        </is>
      </c>
      <c r="C554" t="inlineStr">
        <is>
          <t>多</t>
        </is>
      </c>
      <c r="D554" t="n">
        <v>3</v>
      </c>
      <c r="E554" t="n">
        <v>7</v>
      </c>
      <c r="F554" t="inlineStr">
        <is>
          <t>续持</t>
        </is>
      </c>
      <c r="G554" t="n">
        <v>9</v>
      </c>
      <c r="H554" t="n">
        <v>2923</v>
      </c>
      <c r="I554" t="n">
        <v>2813.71</v>
      </c>
      <c r="J554" t="n">
        <v>1</v>
      </c>
      <c r="K554" t="inlineStr">
        <is>
          <t>续持原仓（2022-03-03开）</t>
        </is>
      </c>
    </row>
    <row r="555">
      <c r="A555" t="inlineStr">
        <is>
          <t>2022-03-07</t>
        </is>
      </c>
      <c r="B555" t="inlineStr">
        <is>
          <t>菜粕</t>
        </is>
      </c>
      <c r="C555" t="inlineStr">
        <is>
          <t>多</t>
        </is>
      </c>
      <c r="D555" t="n">
        <v>3</v>
      </c>
      <c r="E555" t="n">
        <v>7</v>
      </c>
      <c r="F555" t="inlineStr">
        <is>
          <t>续持</t>
        </is>
      </c>
      <c r="G555" t="n">
        <v>2</v>
      </c>
      <c r="H555" t="n">
        <v>3913</v>
      </c>
      <c r="I555" t="n">
        <v>3465</v>
      </c>
      <c r="J555" t="n">
        <v>1</v>
      </c>
      <c r="K555" t="inlineStr">
        <is>
          <t>续持原仓（2022-03-02开）</t>
        </is>
      </c>
    </row>
    <row r="556">
      <c r="A556" t="inlineStr">
        <is>
          <t>2022-03-07</t>
        </is>
      </c>
      <c r="B556" t="inlineStr">
        <is>
          <t>棕榈油</t>
        </is>
      </c>
      <c r="C556" t="inlineStr">
        <is>
          <t>多</t>
        </is>
      </c>
      <c r="D556" t="n">
        <v>3</v>
      </c>
      <c r="E556" t="n">
        <v>7</v>
      </c>
      <c r="F556" t="inlineStr">
        <is>
          <t>观望</t>
        </is>
      </c>
      <c r="G556" t="n">
        <v>1</v>
      </c>
      <c r="H556" t="n">
        <v>11912</v>
      </c>
      <c r="I556" t="n">
        <v>10226.86</v>
      </c>
      <c r="J556" t="n">
        <v>3</v>
      </c>
      <c r="K556" t="inlineStr">
        <is>
          <t>逆5日线（收盘在5日线下，不追多）</t>
        </is>
      </c>
    </row>
    <row r="557">
      <c r="A557" t="inlineStr">
        <is>
          <t>2022-03-07</t>
        </is>
      </c>
      <c r="B557" t="inlineStr">
        <is>
          <t>聚丙烯</t>
        </is>
      </c>
      <c r="C557" t="inlineStr">
        <is>
          <t>多</t>
        </is>
      </c>
      <c r="D557" t="n">
        <v>3</v>
      </c>
      <c r="E557" t="n">
        <v>7</v>
      </c>
      <c r="F557" t="inlineStr">
        <is>
          <t>续持</t>
        </is>
      </c>
      <c r="G557" t="n">
        <v>3</v>
      </c>
      <c r="H557" t="n">
        <v>9414</v>
      </c>
      <c r="I557" t="n">
        <v>8840.139999999999</v>
      </c>
      <c r="J557" t="n">
        <v>1</v>
      </c>
      <c r="K557" t="inlineStr">
        <is>
          <t>续持原仓（2022-03-04开）</t>
        </is>
      </c>
    </row>
    <row r="558">
      <c r="A558" t="inlineStr">
        <is>
          <t>2022-03-07</t>
        </is>
      </c>
      <c r="B558" t="inlineStr">
        <is>
          <t>螺纹钢</t>
        </is>
      </c>
      <c r="C558" t="inlineStr">
        <is>
          <t>多</t>
        </is>
      </c>
      <c r="D558" t="n">
        <v>2</v>
      </c>
      <c r="E558" t="n">
        <v>5</v>
      </c>
      <c r="F558" t="inlineStr">
        <is>
          <t>影子仓</t>
        </is>
      </c>
      <c r="G558" t="n">
        <v>2</v>
      </c>
      <c r="H558" t="n">
        <v>5094</v>
      </c>
      <c r="I558" t="n">
        <v>4702.5</v>
      </c>
      <c r="J558" t="n">
        <v>1</v>
      </c>
      <c r="K558" t="inlineStr">
        <is>
          <t>凯利≤0，开1%影子仓（只统计，不计入组合）</t>
        </is>
      </c>
    </row>
    <row r="559">
      <c r="A559" t="inlineStr">
        <is>
          <t>2022-03-08</t>
        </is>
      </c>
      <c r="B559" t="inlineStr">
        <is>
          <t>菜粕</t>
        </is>
      </c>
      <c r="C559" t="inlineStr">
        <is>
          <t>多</t>
        </is>
      </c>
      <c r="D559" t="n">
        <v>3</v>
      </c>
      <c r="E559" t="n">
        <v>6</v>
      </c>
      <c r="F559" t="inlineStr">
        <is>
          <t>续持</t>
        </is>
      </c>
      <c r="G559" t="n">
        <v>2</v>
      </c>
      <c r="H559" t="n">
        <v>4052</v>
      </c>
      <c r="I559" t="n">
        <v>3595.93</v>
      </c>
      <c r="J559" t="n">
        <v>1</v>
      </c>
      <c r="K559" t="inlineStr">
        <is>
          <t>续持原仓（2022-03-02开）</t>
        </is>
      </c>
    </row>
    <row r="560">
      <c r="A560" t="inlineStr">
        <is>
          <t>2022-03-08</t>
        </is>
      </c>
      <c r="B560" t="inlineStr">
        <is>
          <t>玉米</t>
        </is>
      </c>
      <c r="C560" t="inlineStr">
        <is>
          <t>多</t>
        </is>
      </c>
      <c r="D560" t="n">
        <v>2</v>
      </c>
      <c r="E560" t="n">
        <v>5</v>
      </c>
      <c r="F560" t="inlineStr">
        <is>
          <t>观望</t>
        </is>
      </c>
      <c r="G560" t="n">
        <v>7</v>
      </c>
      <c r="H560" t="n">
        <v>2893</v>
      </c>
      <c r="I560" t="n">
        <v>2766.36</v>
      </c>
      <c r="J560" t="n">
        <v>1</v>
      </c>
      <c r="K560" t="inlineStr">
        <is>
          <t>逆5日线（收盘在5日线下，不追多）</t>
        </is>
      </c>
    </row>
    <row r="561">
      <c r="A561" t="inlineStr">
        <is>
          <t>2022-03-08</t>
        </is>
      </c>
      <c r="B561" t="inlineStr">
        <is>
          <t>玻璃</t>
        </is>
      </c>
      <c r="C561" t="inlineStr">
        <is>
          <t>空</t>
        </is>
      </c>
      <c r="D561" t="n">
        <v>2</v>
      </c>
      <c r="E561" t="n">
        <v>5</v>
      </c>
      <c r="F561" t="inlineStr">
        <is>
          <t>观望</t>
        </is>
      </c>
      <c r="G561" t="n">
        <v>1</v>
      </c>
      <c r="H561" t="n">
        <v>1937</v>
      </c>
      <c r="I561" t="n">
        <v>2198.86</v>
      </c>
      <c r="J561" t="n">
        <v>1</v>
      </c>
      <c r="K561" t="inlineStr">
        <is>
          <t>逆5日线（收盘在5日线上，不追空）</t>
        </is>
      </c>
    </row>
    <row r="562">
      <c r="A562" t="inlineStr">
        <is>
          <t>2022-03-08</t>
        </is>
      </c>
      <c r="B562" t="inlineStr">
        <is>
          <t>豆粕</t>
        </is>
      </c>
      <c r="C562" t="inlineStr">
        <is>
          <t>多</t>
        </is>
      </c>
      <c r="D562" t="n">
        <v>2</v>
      </c>
      <c r="E562" t="n">
        <v>5</v>
      </c>
      <c r="F562" t="inlineStr">
        <is>
          <t>影子仓</t>
        </is>
      </c>
      <c r="G562" t="n">
        <v>2</v>
      </c>
      <c r="H562" t="n">
        <v>4153</v>
      </c>
      <c r="I562" t="n">
        <v>3729.14</v>
      </c>
      <c r="J562" t="n">
        <v>1</v>
      </c>
      <c r="K562" t="inlineStr">
        <is>
          <t>凯利≤0，开1%影子仓（只统计，不计入组合）</t>
        </is>
      </c>
    </row>
    <row r="563">
      <c r="A563" t="inlineStr">
        <is>
          <t>2022-03-08</t>
        </is>
      </c>
      <c r="B563" t="inlineStr">
        <is>
          <t>沥青</t>
        </is>
      </c>
      <c r="C563" t="inlineStr">
        <is>
          <t>多</t>
        </is>
      </c>
      <c r="D563" t="n">
        <v>2</v>
      </c>
      <c r="E563" t="n">
        <v>4</v>
      </c>
      <c r="F563" t="inlineStr">
        <is>
          <t>影子仓</t>
        </is>
      </c>
      <c r="G563" t="n">
        <v>1</v>
      </c>
      <c r="H563" t="n">
        <v>4280</v>
      </c>
      <c r="I563" t="n">
        <v>3747.71</v>
      </c>
      <c r="J563" t="n">
        <v>1</v>
      </c>
      <c r="K563" t="inlineStr">
        <is>
          <t>凯利≤0，开1%影子仓（只统计，不计入组合）</t>
        </is>
      </c>
    </row>
    <row r="564">
      <c r="A564" t="inlineStr">
        <is>
          <t>2022-03-09</t>
        </is>
      </c>
      <c r="B564" t="inlineStr">
        <is>
          <t>豆粕</t>
        </is>
      </c>
      <c r="C564" t="inlineStr">
        <is>
          <t>多</t>
        </is>
      </c>
      <c r="D564" t="n">
        <v>3</v>
      </c>
      <c r="E564" t="n">
        <v>6</v>
      </c>
      <c r="F564" t="inlineStr">
        <is>
          <t>续持</t>
        </is>
      </c>
      <c r="G564" t="n">
        <v>2</v>
      </c>
      <c r="H564" t="n">
        <v>4222</v>
      </c>
      <c r="I564" t="n">
        <v>3831.43</v>
      </c>
      <c r="J564" t="n">
        <v>1</v>
      </c>
      <c r="K564" t="inlineStr">
        <is>
          <t>续持原仓（2022-03-08开）</t>
        </is>
      </c>
    </row>
    <row r="565">
      <c r="A565" t="inlineStr">
        <is>
          <t>2022-03-09</t>
        </is>
      </c>
      <c r="B565" t="inlineStr">
        <is>
          <t>白糖</t>
        </is>
      </c>
      <c r="C565" t="inlineStr">
        <is>
          <t>空</t>
        </is>
      </c>
      <c r="D565" t="n">
        <v>2</v>
      </c>
      <c r="E565" t="n">
        <v>4</v>
      </c>
      <c r="F565" t="inlineStr">
        <is>
          <t>观望</t>
        </is>
      </c>
      <c r="G565" t="n">
        <v>5</v>
      </c>
      <c r="H565" t="n">
        <v>5899</v>
      </c>
      <c r="I565" t="n">
        <v>6092.29</v>
      </c>
      <c r="J565" t="n">
        <v>1</v>
      </c>
      <c r="K565" t="inlineStr">
        <is>
          <t>逆5日线（收盘在5日线上，不追空）</t>
        </is>
      </c>
    </row>
    <row r="566">
      <c r="A566" t="inlineStr">
        <is>
          <t>2022-03-10</t>
        </is>
      </c>
      <c r="B566" t="inlineStr">
        <is>
          <t>棕榈油</t>
        </is>
      </c>
      <c r="C566" t="inlineStr">
        <is>
          <t>多</t>
        </is>
      </c>
      <c r="D566" t="n">
        <v>2</v>
      </c>
      <c r="E566" t="n">
        <v>4</v>
      </c>
      <c r="F566" t="inlineStr">
        <is>
          <t>不做</t>
        </is>
      </c>
      <c r="H566" t="n">
        <v>12254</v>
      </c>
      <c r="J566" t="n">
        <v>1</v>
      </c>
      <c r="K566" t="inlineStr">
        <is>
          <t>1手风险20786元超过预算10000元</t>
        </is>
      </c>
    </row>
    <row r="567">
      <c r="A567" t="inlineStr">
        <is>
          <t>2022-03-10</t>
        </is>
      </c>
      <c r="B567" t="inlineStr">
        <is>
          <t>豆油</t>
        </is>
      </c>
      <c r="C567" t="inlineStr">
        <is>
          <t>多</t>
        </is>
      </c>
      <c r="D567" t="n">
        <v>2</v>
      </c>
      <c r="E567" t="n">
        <v>4</v>
      </c>
      <c r="F567" t="inlineStr">
        <is>
          <t>观望</t>
        </is>
      </c>
      <c r="H567" t="n">
        <v>10694</v>
      </c>
      <c r="J567" t="n">
        <v>1</v>
      </c>
      <c r="K567" t="inlineStr">
        <is>
          <t>逆5日线（收盘在5日线下，不追多）</t>
        </is>
      </c>
    </row>
    <row r="568">
      <c r="A568" t="inlineStr">
        <is>
          <t>2022-03-10</t>
        </is>
      </c>
      <c r="B568" t="inlineStr">
        <is>
          <t>热卷</t>
        </is>
      </c>
      <c r="C568" t="inlineStr">
        <is>
          <t>空</t>
        </is>
      </c>
      <c r="D568" t="n">
        <v>2</v>
      </c>
      <c r="E568" t="n">
        <v>4</v>
      </c>
      <c r="F568" t="inlineStr">
        <is>
          <t>影子仓</t>
        </is>
      </c>
      <c r="G568" t="n">
        <v>2</v>
      </c>
      <c r="H568" t="n">
        <v>5107</v>
      </c>
      <c r="I568" t="n">
        <v>5552.29</v>
      </c>
      <c r="J568" t="n">
        <v>1</v>
      </c>
      <c r="K568" t="inlineStr">
        <is>
          <t>凯利≤0，开1%影子仓（只统计，不计入组合）</t>
        </is>
      </c>
    </row>
    <row r="569">
      <c r="A569" t="inlineStr">
        <is>
          <t>2022-03-10</t>
        </is>
      </c>
      <c r="B569" t="inlineStr">
        <is>
          <t>白糖</t>
        </is>
      </c>
      <c r="C569" t="inlineStr">
        <is>
          <t>空</t>
        </is>
      </c>
      <c r="D569" t="n">
        <v>2</v>
      </c>
      <c r="E569" t="n">
        <v>4</v>
      </c>
      <c r="F569" t="inlineStr">
        <is>
          <t>影子仓</t>
        </is>
      </c>
      <c r="G569" t="n">
        <v>4</v>
      </c>
      <c r="H569" t="n">
        <v>5850</v>
      </c>
      <c r="I569" t="n">
        <v>6051.86</v>
      </c>
      <c r="J569" t="n">
        <v>1</v>
      </c>
      <c r="K569" t="inlineStr">
        <is>
          <t>凯利≤0，开1%影子仓（只统计，不计入组合）</t>
        </is>
      </c>
    </row>
    <row r="570">
      <c r="A570" t="inlineStr">
        <is>
          <t>2022-03-11</t>
        </is>
      </c>
      <c r="B570" t="inlineStr">
        <is>
          <t>棕榈油</t>
        </is>
      </c>
      <c r="C570" t="inlineStr">
        <is>
          <t>多</t>
        </is>
      </c>
      <c r="D570" t="n">
        <v>3</v>
      </c>
      <c r="E570" t="n">
        <v>7</v>
      </c>
      <c r="F570" t="inlineStr">
        <is>
          <t>开仓</t>
        </is>
      </c>
      <c r="G570" t="n">
        <v>1</v>
      </c>
      <c r="H570" t="n">
        <v>12346</v>
      </c>
      <c r="I570" t="n">
        <v>10198.86</v>
      </c>
      <c r="J570" t="n">
        <v>3</v>
      </c>
      <c r="K570" t="inlineStr">
        <is>
          <t>¼凯利超上限，取3%</t>
        </is>
      </c>
    </row>
    <row r="571">
      <c r="A571" t="inlineStr">
        <is>
          <t>2022-03-11</t>
        </is>
      </c>
      <c r="B571" t="inlineStr">
        <is>
          <t>螺纹钢</t>
        </is>
      </c>
      <c r="C571" t="inlineStr">
        <is>
          <t>多</t>
        </is>
      </c>
      <c r="D571" t="n">
        <v>3</v>
      </c>
      <c r="E571" t="n">
        <v>6</v>
      </c>
      <c r="F571" t="inlineStr">
        <is>
          <t>观望</t>
        </is>
      </c>
      <c r="G571" t="n">
        <v>7</v>
      </c>
      <c r="H571" t="n">
        <v>4917</v>
      </c>
      <c r="I571" t="n">
        <v>4509</v>
      </c>
      <c r="J571" t="n">
        <v>3</v>
      </c>
      <c r="K571" t="inlineStr">
        <is>
          <t>逆5日线（收盘在5日线下，不追多）</t>
        </is>
      </c>
    </row>
    <row r="572">
      <c r="A572" t="inlineStr">
        <is>
          <t>2022-03-11</t>
        </is>
      </c>
      <c r="B572" t="inlineStr">
        <is>
          <t>铁矿石</t>
        </is>
      </c>
      <c r="C572" t="inlineStr">
        <is>
          <t>多</t>
        </is>
      </c>
      <c r="D572" t="n">
        <v>3</v>
      </c>
      <c r="E572" t="n">
        <v>6</v>
      </c>
      <c r="F572" t="inlineStr">
        <is>
          <t>观望</t>
        </is>
      </c>
      <c r="G572" t="n">
        <v>2</v>
      </c>
      <c r="H572" t="n">
        <v>822</v>
      </c>
      <c r="I572" t="n">
        <v>684</v>
      </c>
      <c r="J572" t="n">
        <v>3</v>
      </c>
      <c r="K572" t="inlineStr">
        <is>
          <t>逆5日线（收盘在5日线下，不追多）</t>
        </is>
      </c>
    </row>
    <row r="573">
      <c r="A573" t="inlineStr">
        <is>
          <t>2022-03-11</t>
        </is>
      </c>
      <c r="B573" t="inlineStr">
        <is>
          <t>豆油</t>
        </is>
      </c>
      <c r="C573" t="inlineStr">
        <is>
          <t>多</t>
        </is>
      </c>
      <c r="D573" t="n">
        <v>2</v>
      </c>
      <c r="E573" t="n">
        <v>5</v>
      </c>
      <c r="F573" t="inlineStr">
        <is>
          <t>观望</t>
        </is>
      </c>
      <c r="H573" t="n">
        <v>10590</v>
      </c>
      <c r="J573" t="n">
        <v>1</v>
      </c>
      <c r="K573" t="inlineStr">
        <is>
          <t>逆5日线（收盘在5日线下，不追多）</t>
        </is>
      </c>
    </row>
    <row r="574">
      <c r="A574" t="inlineStr">
        <is>
          <t>2022-03-11</t>
        </is>
      </c>
      <c r="B574" t="inlineStr">
        <is>
          <t>PVC</t>
        </is>
      </c>
      <c r="C574" t="inlineStr">
        <is>
          <t>多</t>
        </is>
      </c>
      <c r="D574" t="n">
        <v>2</v>
      </c>
      <c r="E574" t="n">
        <v>4</v>
      </c>
      <c r="F574" t="inlineStr">
        <is>
          <t>观望</t>
        </is>
      </c>
      <c r="G574" t="n">
        <v>2</v>
      </c>
      <c r="H574" t="n">
        <v>9156</v>
      </c>
      <c r="I574" t="n">
        <v>8406.43</v>
      </c>
      <c r="J574" t="n">
        <v>1</v>
      </c>
      <c r="K574" t="inlineStr">
        <is>
          <t>逆5日线（收盘在5日线下，不追多）</t>
        </is>
      </c>
    </row>
    <row r="575">
      <c r="A575" t="inlineStr">
        <is>
          <t>2022-03-14</t>
        </is>
      </c>
      <c r="B575" t="inlineStr">
        <is>
          <t>玉米</t>
        </is>
      </c>
      <c r="C575" t="inlineStr">
        <is>
          <t>多</t>
        </is>
      </c>
      <c r="D575" t="n">
        <v>3</v>
      </c>
      <c r="E575" t="n">
        <v>6</v>
      </c>
      <c r="F575" t="inlineStr">
        <is>
          <t>观望</t>
        </is>
      </c>
      <c r="G575" t="n">
        <v>22</v>
      </c>
      <c r="H575" t="n">
        <v>2855</v>
      </c>
      <c r="I575" t="n">
        <v>2722.36</v>
      </c>
      <c r="J575" t="n">
        <v>3</v>
      </c>
      <c r="K575" t="inlineStr">
        <is>
          <t>逆5日线（收盘在5日线下，不追多）</t>
        </is>
      </c>
    </row>
    <row r="576">
      <c r="A576" t="inlineStr">
        <is>
          <t>2022-03-14</t>
        </is>
      </c>
      <c r="B576" t="inlineStr">
        <is>
          <t>豆粕</t>
        </is>
      </c>
      <c r="C576" t="inlineStr">
        <is>
          <t>多</t>
        </is>
      </c>
      <c r="D576" t="n">
        <v>3</v>
      </c>
      <c r="E576" t="n">
        <v>6</v>
      </c>
      <c r="F576" t="inlineStr">
        <is>
          <t>开仓</t>
        </is>
      </c>
      <c r="G576" t="n">
        <v>6</v>
      </c>
      <c r="H576" t="n">
        <v>4219</v>
      </c>
      <c r="I576" t="n">
        <v>3744.57</v>
      </c>
      <c r="J576" t="n">
        <v>3</v>
      </c>
      <c r="K576" t="inlineStr">
        <is>
          <t>¼凯利超上限，取3%</t>
        </is>
      </c>
    </row>
    <row r="577">
      <c r="A577" t="inlineStr">
        <is>
          <t>2022-03-14</t>
        </is>
      </c>
      <c r="B577" t="inlineStr">
        <is>
          <t>热卷</t>
        </is>
      </c>
      <c r="C577" t="inlineStr">
        <is>
          <t>空</t>
        </is>
      </c>
      <c r="D577" t="n">
        <v>3</v>
      </c>
      <c r="E577" t="n">
        <v>6</v>
      </c>
      <c r="F577" t="inlineStr">
        <is>
          <t>续持</t>
        </is>
      </c>
      <c r="G577" t="n">
        <v>2</v>
      </c>
      <c r="H577" t="n">
        <v>4950</v>
      </c>
      <c r="I577" t="n">
        <v>5405.71</v>
      </c>
      <c r="J577" t="n">
        <v>1</v>
      </c>
      <c r="K577" t="inlineStr">
        <is>
          <t>续持原仓（2022-03-10开）</t>
        </is>
      </c>
    </row>
    <row r="578">
      <c r="A578" t="inlineStr">
        <is>
          <t>2022-03-14</t>
        </is>
      </c>
      <c r="B578" t="inlineStr">
        <is>
          <t>棕榈油</t>
        </is>
      </c>
      <c r="C578" t="inlineStr">
        <is>
          <t>多</t>
        </is>
      </c>
      <c r="D578" t="n">
        <v>2</v>
      </c>
      <c r="E578" t="n">
        <v>5</v>
      </c>
      <c r="F578" t="inlineStr">
        <is>
          <t>观望</t>
        </is>
      </c>
      <c r="H578" t="n">
        <v>11450</v>
      </c>
      <c r="J578" t="n">
        <v>1</v>
      </c>
      <c r="K578" t="inlineStr">
        <is>
          <t>逆5日线（收盘在5日线下，不追多）</t>
        </is>
      </c>
    </row>
    <row r="579">
      <c r="A579" t="inlineStr">
        <is>
          <t>2022-03-14</t>
        </is>
      </c>
      <c r="B579" t="inlineStr">
        <is>
          <t>菜粕</t>
        </is>
      </c>
      <c r="C579" t="inlineStr">
        <is>
          <t>多</t>
        </is>
      </c>
      <c r="D579" t="n">
        <v>2</v>
      </c>
      <c r="E579" t="n">
        <v>5</v>
      </c>
      <c r="F579" t="inlineStr">
        <is>
          <t>观望</t>
        </is>
      </c>
      <c r="G579" t="n">
        <v>1</v>
      </c>
      <c r="H579" t="n">
        <v>4038</v>
      </c>
      <c r="I579" t="n">
        <v>3490.71</v>
      </c>
      <c r="J579" t="n">
        <v>1</v>
      </c>
      <c r="K579" t="inlineStr">
        <is>
          <t>逆5日线（收盘在5日线下，不追多）</t>
        </is>
      </c>
    </row>
    <row r="580">
      <c r="A580" t="inlineStr">
        <is>
          <t>2022-03-14</t>
        </is>
      </c>
      <c r="B580" t="inlineStr">
        <is>
          <t>玻璃</t>
        </is>
      </c>
      <c r="C580" t="inlineStr">
        <is>
          <t>空</t>
        </is>
      </c>
      <c r="D580" t="n">
        <v>2</v>
      </c>
      <c r="E580" t="n">
        <v>5</v>
      </c>
      <c r="F580" t="inlineStr">
        <is>
          <t>影子仓</t>
        </is>
      </c>
      <c r="G580" t="n">
        <v>1</v>
      </c>
      <c r="H580" t="n">
        <v>1903</v>
      </c>
      <c r="I580" t="n">
        <v>2181.79</v>
      </c>
      <c r="J580" t="n">
        <v>1</v>
      </c>
      <c r="K580" t="inlineStr">
        <is>
          <t>凯利≤0，开1%影子仓（只统计，不计入组合）</t>
        </is>
      </c>
    </row>
    <row r="581">
      <c r="A581" t="inlineStr">
        <is>
          <t>2022-03-14</t>
        </is>
      </c>
      <c r="B581" t="inlineStr">
        <is>
          <t>沪铝</t>
        </is>
      </c>
      <c r="C581" t="inlineStr">
        <is>
          <t>空</t>
        </is>
      </c>
      <c r="D581" t="n">
        <v>2</v>
      </c>
      <c r="E581" t="n">
        <v>5</v>
      </c>
      <c r="F581" t="inlineStr">
        <is>
          <t>不做</t>
        </is>
      </c>
      <c r="H581" t="n">
        <v>21855</v>
      </c>
      <c r="J581" t="n">
        <v>1</v>
      </c>
      <c r="K581" t="inlineStr">
        <is>
          <t>1手风险10988元超过预算10000元</t>
        </is>
      </c>
    </row>
    <row r="582">
      <c r="A582" t="inlineStr">
        <is>
          <t>2022-03-14</t>
        </is>
      </c>
      <c r="B582" t="inlineStr">
        <is>
          <t>白糖</t>
        </is>
      </c>
      <c r="C582" t="inlineStr">
        <is>
          <t>空</t>
        </is>
      </c>
      <c r="D582" t="n">
        <v>2</v>
      </c>
      <c r="E582" t="n">
        <v>4</v>
      </c>
      <c r="F582" t="inlineStr">
        <is>
          <t>观望</t>
        </is>
      </c>
      <c r="G582" t="n">
        <v>4</v>
      </c>
      <c r="H582" t="n">
        <v>5870</v>
      </c>
      <c r="I582" t="n">
        <v>6075.07</v>
      </c>
      <c r="J582" t="n">
        <v>1</v>
      </c>
      <c r="K582" t="inlineStr">
        <is>
          <t>逆5日线（收盘在5日线上，不追空）</t>
        </is>
      </c>
    </row>
    <row r="583">
      <c r="A583" t="inlineStr">
        <is>
          <t>2022-03-15</t>
        </is>
      </c>
      <c r="B583" t="inlineStr">
        <is>
          <t>玉米</t>
        </is>
      </c>
      <c r="C583" t="inlineStr">
        <is>
          <t>多</t>
        </is>
      </c>
      <c r="D583" t="n">
        <v>2</v>
      </c>
      <c r="E583" t="n">
        <v>5</v>
      </c>
      <c r="F583" t="inlineStr">
        <is>
          <t>观望</t>
        </is>
      </c>
      <c r="G583" t="n">
        <v>7</v>
      </c>
      <c r="H583" t="n">
        <v>2843</v>
      </c>
      <c r="I583" t="n">
        <v>2712.5</v>
      </c>
      <c r="J583" t="n">
        <v>1</v>
      </c>
      <c r="K583" t="inlineStr">
        <is>
          <t>逆5日线（收盘在5日线下，不追多）</t>
        </is>
      </c>
    </row>
    <row r="584">
      <c r="A584" t="inlineStr">
        <is>
          <t>2022-03-15</t>
        </is>
      </c>
      <c r="B584" t="inlineStr">
        <is>
          <t>棕榈油</t>
        </is>
      </c>
      <c r="C584" t="inlineStr">
        <is>
          <t>多</t>
        </is>
      </c>
      <c r="D584" t="n">
        <v>2</v>
      </c>
      <c r="E584" t="n">
        <v>5</v>
      </c>
      <c r="F584" t="inlineStr">
        <is>
          <t>观望</t>
        </is>
      </c>
      <c r="H584" t="n">
        <v>11012</v>
      </c>
      <c r="J584" t="n">
        <v>1</v>
      </c>
      <c r="K584" t="inlineStr">
        <is>
          <t>逆5日线（收盘在5日线下，不追多）</t>
        </is>
      </c>
    </row>
    <row r="585">
      <c r="A585" t="inlineStr">
        <is>
          <t>2022-03-15</t>
        </is>
      </c>
      <c r="B585" t="inlineStr">
        <is>
          <t>菜粕</t>
        </is>
      </c>
      <c r="C585" t="inlineStr">
        <is>
          <t>多</t>
        </is>
      </c>
      <c r="D585" t="n">
        <v>2</v>
      </c>
      <c r="E585" t="n">
        <v>5</v>
      </c>
      <c r="F585" t="inlineStr">
        <is>
          <t>观望</t>
        </is>
      </c>
      <c r="G585" t="n">
        <v>1</v>
      </c>
      <c r="H585" t="n">
        <v>3910</v>
      </c>
      <c r="I585" t="n">
        <v>3361.86</v>
      </c>
      <c r="J585" t="n">
        <v>1</v>
      </c>
      <c r="K585" t="inlineStr">
        <is>
          <t>逆5日线（收盘在5日线下，不追多）</t>
        </is>
      </c>
    </row>
    <row r="586">
      <c r="A586" t="inlineStr">
        <is>
          <t>2022-03-15</t>
        </is>
      </c>
      <c r="B586" t="inlineStr">
        <is>
          <t>豆粕</t>
        </is>
      </c>
      <c r="C586" t="inlineStr">
        <is>
          <t>多</t>
        </is>
      </c>
      <c r="D586" t="n">
        <v>2</v>
      </c>
      <c r="E586" t="n">
        <v>4</v>
      </c>
      <c r="F586" t="inlineStr">
        <is>
          <t>观望</t>
        </is>
      </c>
      <c r="G586" t="n">
        <v>2</v>
      </c>
      <c r="H586" t="n">
        <v>4121</v>
      </c>
      <c r="I586" t="n">
        <v>3665.43</v>
      </c>
      <c r="J586" t="n">
        <v>1</v>
      </c>
      <c r="K586" t="inlineStr">
        <is>
          <t>逆5日线（收盘在5日线下，不追多）</t>
        </is>
      </c>
    </row>
    <row r="587">
      <c r="A587" t="inlineStr">
        <is>
          <t>2022-03-15</t>
        </is>
      </c>
      <c r="B587" t="inlineStr">
        <is>
          <t>沪铝</t>
        </is>
      </c>
      <c r="C587" t="inlineStr">
        <is>
          <t>空</t>
        </is>
      </c>
      <c r="D587" t="n">
        <v>2</v>
      </c>
      <c r="E587" t="n">
        <v>4</v>
      </c>
      <c r="F587" t="inlineStr">
        <is>
          <t>不做</t>
        </is>
      </c>
      <c r="H587" t="n">
        <v>21595</v>
      </c>
      <c r="J587" t="n">
        <v>1</v>
      </c>
      <c r="K587" t="inlineStr">
        <is>
          <t>1手风险10923元超过预算10000元</t>
        </is>
      </c>
    </row>
    <row r="588">
      <c r="A588" t="inlineStr">
        <is>
          <t>2022-03-15</t>
        </is>
      </c>
      <c r="B588" t="inlineStr">
        <is>
          <t>沪铜</t>
        </is>
      </c>
      <c r="C588" t="inlineStr">
        <is>
          <t>空</t>
        </is>
      </c>
      <c r="D588" t="n">
        <v>2</v>
      </c>
      <c r="E588" t="n">
        <v>4</v>
      </c>
      <c r="F588" t="inlineStr">
        <is>
          <t>不做</t>
        </is>
      </c>
      <c r="H588" t="n">
        <v>71360</v>
      </c>
      <c r="J588" t="n">
        <v>1</v>
      </c>
      <c r="K588" t="inlineStr">
        <is>
          <t>1手风险22768元超过预算10000元</t>
        </is>
      </c>
    </row>
    <row r="589">
      <c r="A589" t="inlineStr">
        <is>
          <t>2022-03-15</t>
        </is>
      </c>
      <c r="B589" t="inlineStr">
        <is>
          <t>铁矿石</t>
        </is>
      </c>
      <c r="C589" t="inlineStr">
        <is>
          <t>空</t>
        </is>
      </c>
      <c r="D589" t="n">
        <v>2</v>
      </c>
      <c r="E589" t="n">
        <v>4</v>
      </c>
      <c r="F589" t="inlineStr">
        <is>
          <t>不做</t>
        </is>
      </c>
      <c r="H589" t="n">
        <v>756</v>
      </c>
      <c r="J589" t="n">
        <v>1</v>
      </c>
      <c r="K589" t="inlineStr">
        <is>
          <t>1手风险14561元超过预算10000元</t>
        </is>
      </c>
    </row>
    <row r="590">
      <c r="A590" t="inlineStr">
        <is>
          <t>2022-03-16</t>
        </is>
      </c>
      <c r="B590" t="inlineStr">
        <is>
          <t>豆粕</t>
        </is>
      </c>
      <c r="C590" t="inlineStr">
        <is>
          <t>多</t>
        </is>
      </c>
      <c r="D590" t="n">
        <v>3</v>
      </c>
      <c r="E590" t="n">
        <v>7</v>
      </c>
      <c r="F590" t="inlineStr">
        <is>
          <t>续持</t>
        </is>
      </c>
      <c r="G590" t="n">
        <v>6</v>
      </c>
      <c r="H590" t="n">
        <v>4194</v>
      </c>
      <c r="I590" t="n">
        <v>3789.43</v>
      </c>
      <c r="J590" t="n">
        <v>3</v>
      </c>
      <c r="K590" t="inlineStr">
        <is>
          <t>续持原仓（2022-03-14开）</t>
        </is>
      </c>
    </row>
    <row r="591">
      <c r="A591" t="inlineStr">
        <is>
          <t>2022-03-16</t>
        </is>
      </c>
      <c r="B591" t="inlineStr">
        <is>
          <t>玉米</t>
        </is>
      </c>
      <c r="C591" t="inlineStr">
        <is>
          <t>多</t>
        </is>
      </c>
      <c r="D591" t="n">
        <v>3</v>
      </c>
      <c r="E591" t="n">
        <v>6</v>
      </c>
      <c r="F591" t="inlineStr">
        <is>
          <t>不做</t>
        </is>
      </c>
      <c r="H591" t="n">
        <v>2863</v>
      </c>
      <c r="J591" t="n">
        <v>0</v>
      </c>
      <c r="K591" t="inlineStr">
        <is>
          <t>农产品板块同方向已近6%，预算缩小</t>
        </is>
      </c>
    </row>
    <row r="592">
      <c r="A592" t="inlineStr">
        <is>
          <t>2022-03-16</t>
        </is>
      </c>
      <c r="B592" t="inlineStr">
        <is>
          <t>棕榈油</t>
        </is>
      </c>
      <c r="C592" t="inlineStr">
        <is>
          <t>多</t>
        </is>
      </c>
      <c r="D592" t="n">
        <v>3</v>
      </c>
      <c r="E592" t="n">
        <v>6</v>
      </c>
      <c r="F592" t="inlineStr">
        <is>
          <t>观望</t>
        </is>
      </c>
      <c r="H592" t="n">
        <v>11418</v>
      </c>
      <c r="J592" t="n">
        <v>0</v>
      </c>
      <c r="K592" t="inlineStr">
        <is>
          <t>逆5日线（收盘在5日线下，不追多）</t>
        </is>
      </c>
    </row>
    <row r="593">
      <c r="A593" t="inlineStr">
        <is>
          <t>2022-03-16</t>
        </is>
      </c>
      <c r="B593" t="inlineStr">
        <is>
          <t>螺纹钢</t>
        </is>
      </c>
      <c r="C593" t="inlineStr">
        <is>
          <t>多</t>
        </is>
      </c>
      <c r="D593" t="n">
        <v>3</v>
      </c>
      <c r="E593" t="n">
        <v>6</v>
      </c>
      <c r="F593" t="inlineStr">
        <is>
          <t>开仓</t>
        </is>
      </c>
      <c r="G593" t="n">
        <v>6</v>
      </c>
      <c r="H593" t="n">
        <v>4904</v>
      </c>
      <c r="I593" t="n">
        <v>4470.07</v>
      </c>
      <c r="J593" t="n">
        <v>3</v>
      </c>
      <c r="K593" t="inlineStr">
        <is>
          <t>¼凯利超上限，取3%</t>
        </is>
      </c>
    </row>
    <row r="594">
      <c r="A594" t="inlineStr">
        <is>
          <t>2022-03-16</t>
        </is>
      </c>
      <c r="B594" t="inlineStr">
        <is>
          <t>菜粕</t>
        </is>
      </c>
      <c r="C594" t="inlineStr">
        <is>
          <t>多</t>
        </is>
      </c>
      <c r="D594" t="n">
        <v>3</v>
      </c>
      <c r="E594" t="n">
        <v>6</v>
      </c>
      <c r="F594" t="inlineStr">
        <is>
          <t>观望</t>
        </is>
      </c>
      <c r="H594" t="n">
        <v>4021</v>
      </c>
      <c r="J594" t="n">
        <v>0</v>
      </c>
      <c r="K594" t="inlineStr">
        <is>
          <t>逆5日线（收盘在5日线下，不追多）</t>
        </is>
      </c>
    </row>
    <row r="595">
      <c r="A595" t="inlineStr">
        <is>
          <t>2022-03-17</t>
        </is>
      </c>
      <c r="B595" t="inlineStr">
        <is>
          <t>沪银</t>
        </is>
      </c>
      <c r="C595" t="inlineStr">
        <is>
          <t>多</t>
        </is>
      </c>
      <c r="D595" t="n">
        <v>3</v>
      </c>
      <c r="E595" t="n">
        <v>7</v>
      </c>
      <c r="F595" t="inlineStr">
        <is>
          <t>开仓</t>
        </is>
      </c>
      <c r="G595" t="n">
        <v>4</v>
      </c>
      <c r="H595" t="n">
        <v>5098</v>
      </c>
      <c r="I595" t="n">
        <v>4639</v>
      </c>
      <c r="J595" t="n">
        <v>3</v>
      </c>
      <c r="K595" t="inlineStr">
        <is>
          <t>¼凯利超上限，取3%</t>
        </is>
      </c>
    </row>
    <row r="596">
      <c r="A596" t="inlineStr">
        <is>
          <t>2022-03-17</t>
        </is>
      </c>
      <c r="B596" t="inlineStr">
        <is>
          <t>棕榈油</t>
        </is>
      </c>
      <c r="C596" t="inlineStr">
        <is>
          <t>多</t>
        </is>
      </c>
      <c r="D596" t="n">
        <v>2</v>
      </c>
      <c r="E596" t="n">
        <v>5</v>
      </c>
      <c r="F596" t="inlineStr">
        <is>
          <t>观望</t>
        </is>
      </c>
      <c r="H596" t="n">
        <v>10938</v>
      </c>
      <c r="J596" t="n">
        <v>1</v>
      </c>
      <c r="K596" t="inlineStr">
        <is>
          <t>逆5日线（收盘在5日线下，不追多）</t>
        </is>
      </c>
    </row>
    <row r="597">
      <c r="A597" t="inlineStr">
        <is>
          <t>2022-03-17</t>
        </is>
      </c>
      <c r="B597" t="inlineStr">
        <is>
          <t>菜粕</t>
        </is>
      </c>
      <c r="C597" t="inlineStr">
        <is>
          <t>多</t>
        </is>
      </c>
      <c r="D597" t="n">
        <v>2</v>
      </c>
      <c r="E597" t="n">
        <v>4</v>
      </c>
      <c r="F597" t="inlineStr">
        <is>
          <t>观望</t>
        </is>
      </c>
      <c r="G597" t="n">
        <v>1</v>
      </c>
      <c r="H597" t="n">
        <v>3982</v>
      </c>
      <c r="I597" t="n">
        <v>3476.07</v>
      </c>
      <c r="J597" t="n">
        <v>1</v>
      </c>
      <c r="K597" t="inlineStr">
        <is>
          <t>逆5日线（收盘在5日线下，不追多）</t>
        </is>
      </c>
    </row>
    <row r="598">
      <c r="A598" t="inlineStr">
        <is>
          <t>2022-03-17</t>
        </is>
      </c>
      <c r="B598" t="inlineStr">
        <is>
          <t>玉米</t>
        </is>
      </c>
      <c r="C598" t="inlineStr">
        <is>
          <t>多</t>
        </is>
      </c>
      <c r="D598" t="n">
        <v>2</v>
      </c>
      <c r="E598" t="n">
        <v>4</v>
      </c>
      <c r="F598" t="inlineStr">
        <is>
          <t>观望</t>
        </is>
      </c>
      <c r="G598" t="n">
        <v>8</v>
      </c>
      <c r="H598" t="n">
        <v>2854</v>
      </c>
      <c r="I598" t="n">
        <v>2734.21</v>
      </c>
      <c r="J598" t="n">
        <v>1</v>
      </c>
      <c r="K598" t="inlineStr">
        <is>
          <t>逆5日线（收盘在5日线下，不追多）</t>
        </is>
      </c>
    </row>
    <row r="599">
      <c r="A599" t="inlineStr">
        <is>
          <t>2022-03-17</t>
        </is>
      </c>
      <c r="B599" t="inlineStr">
        <is>
          <t>玻璃</t>
        </is>
      </c>
      <c r="C599" t="inlineStr">
        <is>
          <t>空</t>
        </is>
      </c>
      <c r="D599" t="n">
        <v>2</v>
      </c>
      <c r="E599" t="n">
        <v>4</v>
      </c>
      <c r="F599" t="inlineStr">
        <is>
          <t>影子仓</t>
        </is>
      </c>
      <c r="G599" t="n">
        <v>1</v>
      </c>
      <c r="H599" t="n">
        <v>1970</v>
      </c>
      <c r="I599" t="n">
        <v>2233.79</v>
      </c>
      <c r="J599" t="n">
        <v>1</v>
      </c>
      <c r="K599" t="inlineStr">
        <is>
          <t>凯利≤0，开1%影子仓（只统计，不计入组合）</t>
        </is>
      </c>
    </row>
    <row r="600">
      <c r="A600" t="inlineStr">
        <is>
          <t>2022-03-17</t>
        </is>
      </c>
      <c r="B600" t="inlineStr">
        <is>
          <t>热卷</t>
        </is>
      </c>
      <c r="C600" t="inlineStr">
        <is>
          <t>空</t>
        </is>
      </c>
      <c r="D600" t="n">
        <v>2</v>
      </c>
      <c r="E600" t="n">
        <v>4</v>
      </c>
      <c r="F600" t="inlineStr">
        <is>
          <t>观望</t>
        </is>
      </c>
      <c r="G600" t="n">
        <v>2</v>
      </c>
      <c r="H600" t="n">
        <v>5054</v>
      </c>
      <c r="I600" t="n">
        <v>5517.93</v>
      </c>
      <c r="J600" t="n">
        <v>1</v>
      </c>
      <c r="K600" t="inlineStr">
        <is>
          <t>逆5日线（收盘在5日线上，不追空）</t>
        </is>
      </c>
    </row>
    <row r="601">
      <c r="A601" t="inlineStr">
        <is>
          <t>2022-03-17</t>
        </is>
      </c>
      <c r="B601" t="inlineStr">
        <is>
          <t>塑料</t>
        </is>
      </c>
      <c r="C601" t="inlineStr">
        <is>
          <t>多</t>
        </is>
      </c>
      <c r="D601" t="n">
        <v>2</v>
      </c>
      <c r="E601" t="n">
        <v>4</v>
      </c>
      <c r="F601" t="inlineStr">
        <is>
          <t>观望</t>
        </is>
      </c>
      <c r="G601" t="n">
        <v>2</v>
      </c>
      <c r="H601" t="n">
        <v>8891</v>
      </c>
      <c r="I601" t="n">
        <v>8018</v>
      </c>
      <c r="J601" t="n">
        <v>1</v>
      </c>
      <c r="K601" t="inlineStr">
        <is>
          <t>逆5日线（收盘在5日线下，不追多）</t>
        </is>
      </c>
    </row>
    <row r="602">
      <c r="A602" t="inlineStr">
        <is>
          <t>2022-03-18</t>
        </is>
      </c>
      <c r="B602" t="inlineStr">
        <is>
          <t>菜粕</t>
        </is>
      </c>
      <c r="C602" t="inlineStr">
        <is>
          <t>多</t>
        </is>
      </c>
      <c r="D602" t="n">
        <v>3</v>
      </c>
      <c r="E602" t="n">
        <v>7</v>
      </c>
      <c r="F602" t="inlineStr">
        <is>
          <t>开仓</t>
        </is>
      </c>
      <c r="G602" t="n">
        <v>5</v>
      </c>
      <c r="H602" t="n">
        <v>4093</v>
      </c>
      <c r="I602" t="n">
        <v>3590.71</v>
      </c>
      <c r="J602" t="n">
        <v>3</v>
      </c>
      <c r="K602" t="inlineStr">
        <is>
          <t>¼凯利超上限，取3%</t>
        </is>
      </c>
    </row>
    <row r="603">
      <c r="A603" t="inlineStr">
        <is>
          <t>2022-03-18</t>
        </is>
      </c>
      <c r="B603" t="inlineStr">
        <is>
          <t>玉米</t>
        </is>
      </c>
      <c r="C603" t="inlineStr">
        <is>
          <t>多</t>
        </is>
      </c>
      <c r="D603" t="n">
        <v>3</v>
      </c>
      <c r="E603" t="n">
        <v>6</v>
      </c>
      <c r="F603" t="inlineStr">
        <is>
          <t>不做</t>
        </is>
      </c>
      <c r="H603" t="n">
        <v>2889</v>
      </c>
      <c r="J603" t="n">
        <v>0</v>
      </c>
      <c r="K603" t="inlineStr">
        <is>
          <t>农产品板块同方向已近6%，预算缩小</t>
        </is>
      </c>
    </row>
    <row r="604">
      <c r="A604" t="inlineStr">
        <is>
          <t>2022-03-18</t>
        </is>
      </c>
      <c r="B604" t="inlineStr">
        <is>
          <t>棕榈油</t>
        </is>
      </c>
      <c r="C604" t="inlineStr">
        <is>
          <t>多</t>
        </is>
      </c>
      <c r="D604" t="n">
        <v>3</v>
      </c>
      <c r="E604" t="n">
        <v>6</v>
      </c>
      <c r="F604" t="inlineStr">
        <is>
          <t>观望</t>
        </is>
      </c>
      <c r="H604" t="n">
        <v>11058</v>
      </c>
      <c r="J604" t="n">
        <v>0</v>
      </c>
      <c r="K604" t="inlineStr">
        <is>
          <t>逆5日线（收盘在5日线下，不追多）</t>
        </is>
      </c>
    </row>
    <row r="605">
      <c r="A605" t="inlineStr">
        <is>
          <t>2022-03-18</t>
        </is>
      </c>
      <c r="B605" t="inlineStr">
        <is>
          <t>塑料</t>
        </is>
      </c>
      <c r="C605" t="inlineStr">
        <is>
          <t>多</t>
        </is>
      </c>
      <c r="D605" t="n">
        <v>3</v>
      </c>
      <c r="E605" t="n">
        <v>6</v>
      </c>
      <c r="F605" t="inlineStr">
        <is>
          <t>开仓</t>
        </is>
      </c>
      <c r="G605" t="n">
        <v>2</v>
      </c>
      <c r="H605" t="n">
        <v>9044</v>
      </c>
      <c r="I605" t="n">
        <v>8171.64</v>
      </c>
      <c r="J605" t="n">
        <v>1</v>
      </c>
      <c r="K605" t="inlineStr">
        <is>
          <t>组合风险已近10%，预算缩小</t>
        </is>
      </c>
    </row>
    <row r="606">
      <c r="A606" t="inlineStr">
        <is>
          <t>2022-03-18</t>
        </is>
      </c>
      <c r="B606" t="inlineStr">
        <is>
          <t>沪银</t>
        </is>
      </c>
      <c r="C606" t="inlineStr">
        <is>
          <t>多</t>
        </is>
      </c>
      <c r="D606" t="n">
        <v>3</v>
      </c>
      <c r="E606" t="n">
        <v>6</v>
      </c>
      <c r="F606" t="inlineStr">
        <is>
          <t>续持</t>
        </is>
      </c>
      <c r="G606" t="n">
        <v>4</v>
      </c>
      <c r="H606" t="n">
        <v>5123</v>
      </c>
      <c r="I606" t="n">
        <v>4716.36</v>
      </c>
      <c r="J606" t="n">
        <v>3</v>
      </c>
      <c r="K606" t="inlineStr">
        <is>
          <t>续持原仓（2022-03-17开）</t>
        </is>
      </c>
    </row>
    <row r="607">
      <c r="A607" t="inlineStr">
        <is>
          <t>2022-03-21</t>
        </is>
      </c>
      <c r="B607" t="inlineStr">
        <is>
          <t>菜粕</t>
        </is>
      </c>
      <c r="C607" t="inlineStr">
        <is>
          <t>多</t>
        </is>
      </c>
      <c r="D607" t="n">
        <v>3</v>
      </c>
      <c r="E607" t="n">
        <v>7</v>
      </c>
      <c r="F607" t="inlineStr">
        <is>
          <t>续持</t>
        </is>
      </c>
      <c r="G607" t="n">
        <v>5</v>
      </c>
      <c r="H607" t="n">
        <v>4134</v>
      </c>
      <c r="I607" t="n">
        <v>3681.57</v>
      </c>
      <c r="J607" t="n">
        <v>3</v>
      </c>
      <c r="K607" t="inlineStr">
        <is>
          <t>续持原仓（2022-03-18开）</t>
        </is>
      </c>
    </row>
    <row r="608">
      <c r="A608" t="inlineStr">
        <is>
          <t>2022-03-21</t>
        </is>
      </c>
      <c r="B608" t="inlineStr">
        <is>
          <t>玉米</t>
        </is>
      </c>
      <c r="C608" t="inlineStr">
        <is>
          <t>多</t>
        </is>
      </c>
      <c r="D608" t="n">
        <v>2</v>
      </c>
      <c r="E608" t="n">
        <v>4</v>
      </c>
      <c r="F608" t="inlineStr">
        <is>
          <t>影子仓</t>
        </is>
      </c>
      <c r="G608" t="n">
        <v>8</v>
      </c>
      <c r="H608" t="n">
        <v>2885</v>
      </c>
      <c r="I608" t="n">
        <v>2769.29</v>
      </c>
      <c r="J608" t="n">
        <v>1</v>
      </c>
      <c r="K608" t="inlineStr">
        <is>
          <t>凯利≤0，开1%影子仓（只统计，不计入组合）</t>
        </is>
      </c>
    </row>
    <row r="609">
      <c r="A609" t="inlineStr">
        <is>
          <t>2022-03-22</t>
        </is>
      </c>
      <c r="B609" t="inlineStr">
        <is>
          <t>菜粕</t>
        </is>
      </c>
      <c r="C609" t="inlineStr">
        <is>
          <t>多</t>
        </is>
      </c>
      <c r="D609" t="n">
        <v>3</v>
      </c>
      <c r="E609" t="n">
        <v>6</v>
      </c>
      <c r="F609" t="inlineStr">
        <is>
          <t>续持</t>
        </is>
      </c>
      <c r="G609" t="n">
        <v>5</v>
      </c>
      <c r="H609" t="n">
        <v>4285</v>
      </c>
      <c r="I609" t="n">
        <v>3813.29</v>
      </c>
      <c r="J609" t="n">
        <v>3</v>
      </c>
      <c r="K609" t="inlineStr">
        <is>
          <t>续持原仓（2022-03-18开）</t>
        </is>
      </c>
    </row>
    <row r="610">
      <c r="A610" t="inlineStr">
        <is>
          <t>2022-03-22</t>
        </is>
      </c>
      <c r="B610" t="inlineStr">
        <is>
          <t>沪银</t>
        </is>
      </c>
      <c r="C610" t="inlineStr">
        <is>
          <t>多</t>
        </is>
      </c>
      <c r="D610" t="n">
        <v>3</v>
      </c>
      <c r="E610" t="n">
        <v>6</v>
      </c>
      <c r="F610" t="inlineStr">
        <is>
          <t>续持</t>
        </is>
      </c>
      <c r="G610" t="n">
        <v>4</v>
      </c>
      <c r="H610" t="n">
        <v>5168</v>
      </c>
      <c r="I610" t="n">
        <v>4758.43</v>
      </c>
      <c r="J610" t="n">
        <v>3</v>
      </c>
      <c r="K610" t="inlineStr">
        <is>
          <t>续持原仓（2022-03-17开）</t>
        </is>
      </c>
    </row>
    <row r="611">
      <c r="A611" t="inlineStr">
        <is>
          <t>2022-03-22</t>
        </is>
      </c>
      <c r="B611" t="inlineStr">
        <is>
          <t>豆粕</t>
        </is>
      </c>
      <c r="C611" t="inlineStr">
        <is>
          <t>多</t>
        </is>
      </c>
      <c r="D611" t="n">
        <v>2</v>
      </c>
      <c r="E611" t="n">
        <v>4</v>
      </c>
      <c r="F611" t="inlineStr">
        <is>
          <t>影子仓</t>
        </is>
      </c>
      <c r="G611" t="n">
        <v>2</v>
      </c>
      <c r="H611" t="n">
        <v>4395</v>
      </c>
      <c r="I611" t="n">
        <v>3987.21</v>
      </c>
      <c r="J611" t="n">
        <v>1</v>
      </c>
      <c r="K611" t="inlineStr">
        <is>
          <t>凯利≤0，开1%影子仓（只统计，不计入组合）</t>
        </is>
      </c>
    </row>
    <row r="612">
      <c r="A612" t="inlineStr">
        <is>
          <t>2022-03-22</t>
        </is>
      </c>
      <c r="B612" t="inlineStr">
        <is>
          <t>乙二醇</t>
        </is>
      </c>
      <c r="C612" t="inlineStr">
        <is>
          <t>空</t>
        </is>
      </c>
      <c r="D612" t="n">
        <v>2</v>
      </c>
      <c r="E612" t="n">
        <v>4</v>
      </c>
      <c r="F612" t="inlineStr">
        <is>
          <t>影子仓</t>
        </is>
      </c>
      <c r="G612" t="n">
        <v>1</v>
      </c>
      <c r="H612" t="n">
        <v>5168</v>
      </c>
      <c r="I612" t="n">
        <v>5932.14</v>
      </c>
      <c r="J612" t="n">
        <v>1</v>
      </c>
      <c r="K612" t="inlineStr">
        <is>
          <t>凯利≤0，开1%影子仓（只统计，不计入组合）</t>
        </is>
      </c>
    </row>
    <row r="613">
      <c r="A613" t="inlineStr">
        <is>
          <t>2022-03-22</t>
        </is>
      </c>
      <c r="B613" t="inlineStr">
        <is>
          <t>沪铝</t>
        </is>
      </c>
      <c r="C613" t="inlineStr">
        <is>
          <t>空</t>
        </is>
      </c>
      <c r="D613" t="n">
        <v>2</v>
      </c>
      <c r="E613" t="n">
        <v>4</v>
      </c>
      <c r="F613" t="inlineStr">
        <is>
          <t>观望</t>
        </is>
      </c>
      <c r="H613" t="n">
        <v>22950</v>
      </c>
      <c r="J613" t="n">
        <v>1</v>
      </c>
      <c r="K613" t="inlineStr">
        <is>
          <t>逆5日线（收盘在5日线上，不追空）</t>
        </is>
      </c>
    </row>
    <row r="614">
      <c r="A614" t="inlineStr">
        <is>
          <t>2022-03-23</t>
        </is>
      </c>
      <c r="B614" t="inlineStr">
        <is>
          <t>棕榈油</t>
        </is>
      </c>
      <c r="C614" t="inlineStr">
        <is>
          <t>多</t>
        </is>
      </c>
      <c r="D614" t="n">
        <v>3</v>
      </c>
      <c r="E614" t="n">
        <v>6</v>
      </c>
      <c r="F614" t="inlineStr">
        <is>
          <t>续持</t>
        </is>
      </c>
      <c r="G614" t="n">
        <v>1</v>
      </c>
      <c r="H614" t="n">
        <v>11482</v>
      </c>
      <c r="I614" t="n">
        <v>10154</v>
      </c>
      <c r="J614" t="n">
        <v>3</v>
      </c>
      <c r="K614" t="inlineStr">
        <is>
          <t>续持原仓（2022-03-11开）</t>
        </is>
      </c>
    </row>
    <row r="615">
      <c r="A615" t="inlineStr">
        <is>
          <t>2022-03-23</t>
        </is>
      </c>
      <c r="B615" t="inlineStr">
        <is>
          <t>豆粕</t>
        </is>
      </c>
      <c r="C615" t="inlineStr">
        <is>
          <t>多</t>
        </is>
      </c>
      <c r="D615" t="n">
        <v>3</v>
      </c>
      <c r="E615" t="n">
        <v>6</v>
      </c>
      <c r="F615" t="inlineStr">
        <is>
          <t>续持</t>
        </is>
      </c>
      <c r="G615" t="n">
        <v>2</v>
      </c>
      <c r="H615" t="n">
        <v>4407</v>
      </c>
      <c r="I615" t="n">
        <v>4017.93</v>
      </c>
      <c r="J615" t="n">
        <v>1</v>
      </c>
      <c r="K615" t="inlineStr">
        <is>
          <t>续持原仓（2022-03-22开）</t>
        </is>
      </c>
    </row>
    <row r="616">
      <c r="A616" t="inlineStr">
        <is>
          <t>2022-03-23</t>
        </is>
      </c>
      <c r="B616" t="inlineStr">
        <is>
          <t>菜粕</t>
        </is>
      </c>
      <c r="C616" t="inlineStr">
        <is>
          <t>多</t>
        </is>
      </c>
      <c r="D616" t="n">
        <v>2</v>
      </c>
      <c r="E616" t="n">
        <v>5</v>
      </c>
      <c r="F616" t="inlineStr">
        <is>
          <t>续持</t>
        </is>
      </c>
      <c r="G616" t="n">
        <v>5</v>
      </c>
      <c r="H616" t="n">
        <v>4281</v>
      </c>
      <c r="I616" t="n">
        <v>3829.57</v>
      </c>
      <c r="J616" t="n">
        <v>3</v>
      </c>
      <c r="K616" t="inlineStr">
        <is>
          <t>续持原仓（2022-03-18开）</t>
        </is>
      </c>
    </row>
    <row r="617">
      <c r="A617" t="inlineStr">
        <is>
          <t>2022-03-23</t>
        </is>
      </c>
      <c r="B617" t="inlineStr">
        <is>
          <t>聚丙烯</t>
        </is>
      </c>
      <c r="C617" t="inlineStr">
        <is>
          <t>多</t>
        </is>
      </c>
      <c r="D617" t="n">
        <v>2</v>
      </c>
      <c r="E617" t="n">
        <v>4</v>
      </c>
      <c r="F617" t="inlineStr">
        <is>
          <t>影子仓</t>
        </is>
      </c>
      <c r="G617" t="n">
        <v>2</v>
      </c>
      <c r="H617" t="n">
        <v>8898</v>
      </c>
      <c r="I617" t="n">
        <v>8041.5</v>
      </c>
      <c r="J617" t="n">
        <v>1</v>
      </c>
      <c r="K617" t="inlineStr">
        <is>
          <t>凯利≤0，开1%影子仓（只统计，不计入组合）</t>
        </is>
      </c>
    </row>
    <row r="618">
      <c r="A618" t="inlineStr">
        <is>
          <t>2022-03-23</t>
        </is>
      </c>
      <c r="B618" t="inlineStr">
        <is>
          <t>沪锌</t>
        </is>
      </c>
      <c r="C618" t="inlineStr">
        <is>
          <t>多</t>
        </is>
      </c>
      <c r="D618" t="n">
        <v>2</v>
      </c>
      <c r="E618" t="n">
        <v>4</v>
      </c>
      <c r="F618" t="inlineStr">
        <is>
          <t>不做</t>
        </is>
      </c>
      <c r="H618" t="n">
        <v>25750</v>
      </c>
      <c r="J618" t="n">
        <v>1</v>
      </c>
      <c r="K618" t="inlineStr">
        <is>
          <t>1手风险11336元超过预算10000元</t>
        </is>
      </c>
    </row>
    <row r="619">
      <c r="A619" t="inlineStr">
        <is>
          <t>2022-03-24</t>
        </is>
      </c>
      <c r="B619" t="inlineStr">
        <is>
          <t>沪银</t>
        </is>
      </c>
      <c r="C619" t="inlineStr">
        <is>
          <t>多</t>
        </is>
      </c>
      <c r="D619" t="n">
        <v>3</v>
      </c>
      <c r="E619" t="n">
        <v>6</v>
      </c>
      <c r="F619" t="inlineStr">
        <is>
          <t>续持</t>
        </is>
      </c>
      <c r="G619" t="n">
        <v>4</v>
      </c>
      <c r="H619" t="n">
        <v>5127</v>
      </c>
      <c r="I619" t="n">
        <v>4758.43</v>
      </c>
      <c r="J619" t="n">
        <v>3</v>
      </c>
      <c r="K619" t="inlineStr">
        <is>
          <t>续持原仓（2022-03-17开）</t>
        </is>
      </c>
    </row>
    <row r="620">
      <c r="A620" t="inlineStr">
        <is>
          <t>2022-03-24</t>
        </is>
      </c>
      <c r="B620" t="inlineStr">
        <is>
          <t>豆粕</t>
        </is>
      </c>
      <c r="C620" t="inlineStr">
        <is>
          <t>多</t>
        </is>
      </c>
      <c r="D620" t="n">
        <v>2</v>
      </c>
      <c r="E620" t="n">
        <v>5</v>
      </c>
      <c r="F620" t="inlineStr">
        <is>
          <t>续持</t>
        </is>
      </c>
      <c r="G620" t="n">
        <v>2</v>
      </c>
      <c r="H620" t="n">
        <v>4388</v>
      </c>
      <c r="I620" t="n">
        <v>4087</v>
      </c>
      <c r="J620" t="n">
        <v>1</v>
      </c>
      <c r="K620" t="inlineStr">
        <is>
          <t>续持原仓（2022-03-22开）</t>
        </is>
      </c>
    </row>
    <row r="621">
      <c r="A621" t="inlineStr">
        <is>
          <t>2022-03-24</t>
        </is>
      </c>
      <c r="B621" t="inlineStr">
        <is>
          <t>PVC</t>
        </is>
      </c>
      <c r="C621" t="inlineStr">
        <is>
          <t>多</t>
        </is>
      </c>
      <c r="D621" t="n">
        <v>2</v>
      </c>
      <c r="E621" t="n">
        <v>5</v>
      </c>
      <c r="F621" t="inlineStr">
        <is>
          <t>影子仓</t>
        </is>
      </c>
      <c r="G621" t="n">
        <v>2</v>
      </c>
      <c r="H621" t="n">
        <v>9048</v>
      </c>
      <c r="I621" t="n">
        <v>8302.5</v>
      </c>
      <c r="J621" t="n">
        <v>1</v>
      </c>
      <c r="K621" t="inlineStr">
        <is>
          <t>凯利≤0，开1%影子仓（只统计，不计入组合）</t>
        </is>
      </c>
    </row>
    <row r="622">
      <c r="A622" t="inlineStr">
        <is>
          <t>2022-03-24</t>
        </is>
      </c>
      <c r="B622" t="inlineStr">
        <is>
          <t>菜粕</t>
        </is>
      </c>
      <c r="C622" t="inlineStr">
        <is>
          <t>多</t>
        </is>
      </c>
      <c r="D622" t="n">
        <v>2</v>
      </c>
      <c r="E622" t="n">
        <v>4</v>
      </c>
      <c r="F622" t="inlineStr">
        <is>
          <t>续持</t>
        </is>
      </c>
      <c r="G622" t="n">
        <v>5</v>
      </c>
      <c r="H622" t="n">
        <v>4233</v>
      </c>
      <c r="I622" t="n">
        <v>3878</v>
      </c>
      <c r="J622" t="n">
        <v>3</v>
      </c>
      <c r="K622" t="inlineStr">
        <is>
          <t>续持原仓（2022-03-18开）</t>
        </is>
      </c>
    </row>
    <row r="623">
      <c r="A623" t="inlineStr">
        <is>
          <t>2022-03-24</t>
        </is>
      </c>
      <c r="B623" t="inlineStr">
        <is>
          <t>塑料</t>
        </is>
      </c>
      <c r="C623" t="inlineStr">
        <is>
          <t>多</t>
        </is>
      </c>
      <c r="D623" t="n">
        <v>2</v>
      </c>
      <c r="E623" t="n">
        <v>4</v>
      </c>
      <c r="F623" t="inlineStr">
        <is>
          <t>续持</t>
        </is>
      </c>
      <c r="G623" t="n">
        <v>2</v>
      </c>
      <c r="H623" t="n">
        <v>9041</v>
      </c>
      <c r="I623" t="n">
        <v>8407.639999999999</v>
      </c>
      <c r="J623" t="n">
        <v>1</v>
      </c>
      <c r="K623" t="inlineStr">
        <is>
          <t>续持原仓（2022-03-18开）</t>
        </is>
      </c>
    </row>
    <row r="624">
      <c r="A624" t="inlineStr">
        <is>
          <t>2022-03-25</t>
        </is>
      </c>
      <c r="B624" t="inlineStr">
        <is>
          <t>沪银</t>
        </is>
      </c>
      <c r="C624" t="inlineStr">
        <is>
          <t>多</t>
        </is>
      </c>
      <c r="D624" t="n">
        <v>3</v>
      </c>
      <c r="E624" t="n">
        <v>7</v>
      </c>
      <c r="F624" t="inlineStr">
        <is>
          <t>续持</t>
        </is>
      </c>
      <c r="G624" t="n">
        <v>4</v>
      </c>
      <c r="H624" t="n">
        <v>5237</v>
      </c>
      <c r="I624" t="n">
        <v>4828.29</v>
      </c>
      <c r="J624" t="n">
        <v>3</v>
      </c>
      <c r="K624" t="inlineStr">
        <is>
          <t>续持原仓（2022-03-17开）</t>
        </is>
      </c>
    </row>
    <row r="625">
      <c r="A625" t="inlineStr">
        <is>
          <t>2022-03-25</t>
        </is>
      </c>
      <c r="B625" t="inlineStr">
        <is>
          <t>沪锌</t>
        </is>
      </c>
      <c r="C625" t="inlineStr">
        <is>
          <t>多</t>
        </is>
      </c>
      <c r="D625" t="n">
        <v>3</v>
      </c>
      <c r="E625" t="n">
        <v>6</v>
      </c>
      <c r="F625" t="inlineStr">
        <is>
          <t>开仓</t>
        </is>
      </c>
      <c r="G625" t="n">
        <v>2</v>
      </c>
      <c r="H625" t="n">
        <v>26380</v>
      </c>
      <c r="I625" t="n">
        <v>24263.93</v>
      </c>
      <c r="J625" t="n">
        <v>3</v>
      </c>
      <c r="K625" t="inlineStr">
        <is>
          <t>¼凯利超上限，取3%</t>
        </is>
      </c>
    </row>
    <row r="626">
      <c r="A626" t="inlineStr">
        <is>
          <t>2022-03-25</t>
        </is>
      </c>
      <c r="B626" t="inlineStr">
        <is>
          <t>沪金</t>
        </is>
      </c>
      <c r="C626" t="inlineStr">
        <is>
          <t>多</t>
        </is>
      </c>
      <c r="D626" t="n">
        <v>2</v>
      </c>
      <c r="E626" t="n">
        <v>4</v>
      </c>
      <c r="F626" t="inlineStr">
        <is>
          <t>不做</t>
        </is>
      </c>
      <c r="H626" t="n">
        <v>401.7</v>
      </c>
      <c r="J626" t="n">
        <v>1</v>
      </c>
      <c r="K626" t="inlineStr">
        <is>
          <t>1手风险22389元超过预算10000元</t>
        </is>
      </c>
    </row>
    <row r="627">
      <c r="A627" t="inlineStr">
        <is>
          <t>2022-03-28</t>
        </is>
      </c>
      <c r="B627" t="inlineStr">
        <is>
          <t>棉花</t>
        </is>
      </c>
      <c r="C627" t="inlineStr">
        <is>
          <t>多</t>
        </is>
      </c>
      <c r="D627" t="n">
        <v>2</v>
      </c>
      <c r="E627" t="n">
        <v>5</v>
      </c>
      <c r="F627" t="inlineStr">
        <is>
          <t>影子仓</t>
        </is>
      </c>
      <c r="G627" t="n">
        <v>2</v>
      </c>
      <c r="H627" t="n">
        <v>21875</v>
      </c>
      <c r="I627" t="n">
        <v>21013.57</v>
      </c>
      <c r="J627" t="n">
        <v>1</v>
      </c>
      <c r="K627" t="inlineStr">
        <is>
          <t>凯利≤0，开1%影子仓（只统计，不计入组合）</t>
        </is>
      </c>
    </row>
    <row r="628">
      <c r="A628" t="inlineStr">
        <is>
          <t>2022-03-28</t>
        </is>
      </c>
      <c r="B628" t="inlineStr">
        <is>
          <t>沪锌</t>
        </is>
      </c>
      <c r="C628" t="inlineStr">
        <is>
          <t>多</t>
        </is>
      </c>
      <c r="D628" t="n">
        <v>2</v>
      </c>
      <c r="E628" t="n">
        <v>4</v>
      </c>
      <c r="F628" t="inlineStr">
        <is>
          <t>续持</t>
        </is>
      </c>
      <c r="G628" t="n">
        <v>2</v>
      </c>
      <c r="H628" t="n">
        <v>26315</v>
      </c>
      <c r="I628" t="n">
        <v>24673.57</v>
      </c>
      <c r="J628" t="n">
        <v>3</v>
      </c>
      <c r="K628" t="inlineStr">
        <is>
          <t>续持原仓（2022-03-25开）</t>
        </is>
      </c>
    </row>
    <row r="629">
      <c r="A629" t="inlineStr">
        <is>
          <t>2022-03-29</t>
        </is>
      </c>
      <c r="B629" t="inlineStr">
        <is>
          <t>沪锌</t>
        </is>
      </c>
      <c r="C629" t="inlineStr">
        <is>
          <t>多</t>
        </is>
      </c>
      <c r="D629" t="n">
        <v>3</v>
      </c>
      <c r="E629" t="n">
        <v>6</v>
      </c>
      <c r="F629" t="inlineStr">
        <is>
          <t>续持</t>
        </is>
      </c>
      <c r="G629" t="n">
        <v>2</v>
      </c>
      <c r="H629" t="n">
        <v>26580</v>
      </c>
      <c r="I629" t="n">
        <v>25418.57</v>
      </c>
      <c r="J629" t="n">
        <v>3</v>
      </c>
      <c r="K629" t="inlineStr">
        <is>
          <t>续持原仓（2022-03-25开）</t>
        </is>
      </c>
    </row>
    <row r="630">
      <c r="A630" t="inlineStr">
        <is>
          <t>2022-03-29</t>
        </is>
      </c>
      <c r="B630" t="inlineStr">
        <is>
          <t>PVC</t>
        </is>
      </c>
      <c r="C630" t="inlineStr">
        <is>
          <t>多</t>
        </is>
      </c>
      <c r="D630" t="n">
        <v>2</v>
      </c>
      <c r="E630" t="n">
        <v>5</v>
      </c>
      <c r="F630" t="inlineStr">
        <is>
          <t>影子仓</t>
        </is>
      </c>
      <c r="G630" t="n">
        <v>2</v>
      </c>
      <c r="H630" t="n">
        <v>9291</v>
      </c>
      <c r="I630" t="n">
        <v>8617.709999999999</v>
      </c>
      <c r="J630" t="n">
        <v>1</v>
      </c>
      <c r="K630" t="inlineStr">
        <is>
          <t>凯利≤0，开1%影子仓（只统计，不计入组合）</t>
        </is>
      </c>
    </row>
    <row r="631">
      <c r="A631" t="inlineStr">
        <is>
          <t>2022-03-29</t>
        </is>
      </c>
      <c r="B631" t="inlineStr">
        <is>
          <t>聚丙烯</t>
        </is>
      </c>
      <c r="C631" t="inlineStr">
        <is>
          <t>多</t>
        </is>
      </c>
      <c r="D631" t="n">
        <v>2</v>
      </c>
      <c r="E631" t="n">
        <v>4</v>
      </c>
      <c r="F631" t="inlineStr">
        <is>
          <t>续持</t>
        </is>
      </c>
      <c r="G631" t="n">
        <v>2</v>
      </c>
      <c r="H631" t="n">
        <v>9149</v>
      </c>
      <c r="I631" t="n">
        <v>8513.209999999999</v>
      </c>
      <c r="J631" t="n">
        <v>1</v>
      </c>
      <c r="K631" t="inlineStr">
        <is>
          <t>续持原仓（2022-03-23开）</t>
        </is>
      </c>
    </row>
    <row r="632">
      <c r="A632" t="inlineStr">
        <is>
          <t>2022-03-30</t>
        </is>
      </c>
      <c r="B632" t="inlineStr">
        <is>
          <t>棉花</t>
        </is>
      </c>
      <c r="C632" t="inlineStr">
        <is>
          <t>多</t>
        </is>
      </c>
      <c r="D632" t="n">
        <v>3</v>
      </c>
      <c r="E632" t="n">
        <v>6</v>
      </c>
      <c r="F632" t="inlineStr">
        <is>
          <t>观望</t>
        </is>
      </c>
      <c r="G632" t="n">
        <v>2</v>
      </c>
      <c r="H632" t="n">
        <v>21745</v>
      </c>
      <c r="I632" t="n">
        <v>20996.07</v>
      </c>
      <c r="J632" t="n">
        <v>1</v>
      </c>
      <c r="K632" t="inlineStr">
        <is>
          <t>逆5日线（收盘在5日线下，不追多）</t>
        </is>
      </c>
    </row>
    <row r="633">
      <c r="A633" t="inlineStr">
        <is>
          <t>2022-03-30</t>
        </is>
      </c>
      <c r="B633" t="inlineStr">
        <is>
          <t>纯碱</t>
        </is>
      </c>
      <c r="C633" t="inlineStr">
        <is>
          <t>多</t>
        </is>
      </c>
      <c r="D633" t="n">
        <v>3</v>
      </c>
      <c r="E633" t="n">
        <v>6</v>
      </c>
      <c r="F633" t="inlineStr">
        <is>
          <t>开仓</t>
        </is>
      </c>
      <c r="G633" t="n">
        <v>1</v>
      </c>
      <c r="H633" t="n">
        <v>3025</v>
      </c>
      <c r="I633" t="n">
        <v>2696.5</v>
      </c>
      <c r="J633" t="n">
        <v>1</v>
      </c>
      <c r="K633" t="inlineStr">
        <is>
          <t>组合风险已近10%，预算缩小</t>
        </is>
      </c>
    </row>
    <row r="634">
      <c r="A634" t="inlineStr">
        <is>
          <t>2022-03-30</t>
        </is>
      </c>
      <c r="B634" t="inlineStr">
        <is>
          <t>PVC</t>
        </is>
      </c>
      <c r="C634" t="inlineStr">
        <is>
          <t>多</t>
        </is>
      </c>
      <c r="D634" t="n">
        <v>2</v>
      </c>
      <c r="E634" t="n">
        <v>5</v>
      </c>
      <c r="F634" t="inlineStr">
        <is>
          <t>续持</t>
        </is>
      </c>
      <c r="G634" t="n">
        <v>2</v>
      </c>
      <c r="H634" t="n">
        <v>9319</v>
      </c>
      <c r="I634" t="n">
        <v>8772.209999999999</v>
      </c>
      <c r="J634" t="n">
        <v>1</v>
      </c>
      <c r="K634" t="inlineStr">
        <is>
          <t>续持原仓（2022-03-29开）</t>
        </is>
      </c>
    </row>
    <row r="635">
      <c r="A635" t="inlineStr">
        <is>
          <t>2022-03-30</t>
        </is>
      </c>
      <c r="B635" t="inlineStr">
        <is>
          <t>沪锌</t>
        </is>
      </c>
      <c r="C635" t="inlineStr">
        <is>
          <t>多</t>
        </is>
      </c>
      <c r="D635" t="n">
        <v>2</v>
      </c>
      <c r="E635" t="n">
        <v>5</v>
      </c>
      <c r="F635" t="inlineStr">
        <is>
          <t>续持</t>
        </is>
      </c>
      <c r="G635" t="n">
        <v>2</v>
      </c>
      <c r="H635" t="n">
        <v>26775</v>
      </c>
      <c r="I635" t="n">
        <v>25747.5</v>
      </c>
      <c r="J635" t="n">
        <v>3</v>
      </c>
      <c r="K635" t="inlineStr">
        <is>
          <t>续持原仓（2022-03-25开）</t>
        </is>
      </c>
    </row>
    <row r="636">
      <c r="A636" t="inlineStr">
        <is>
          <t>2022-03-31</t>
        </is>
      </c>
      <c r="B636" t="inlineStr">
        <is>
          <t>沪锌</t>
        </is>
      </c>
      <c r="C636" t="inlineStr">
        <is>
          <t>多</t>
        </is>
      </c>
      <c r="D636" t="n">
        <v>2</v>
      </c>
      <c r="E636" t="n">
        <v>5</v>
      </c>
      <c r="F636" t="inlineStr">
        <is>
          <t>续持</t>
        </is>
      </c>
      <c r="G636" t="n">
        <v>2</v>
      </c>
      <c r="H636" t="n">
        <v>26785</v>
      </c>
      <c r="I636" t="n">
        <v>25780</v>
      </c>
      <c r="J636" t="n">
        <v>3</v>
      </c>
      <c r="K636" t="inlineStr">
        <is>
          <t>续持原仓（2022-03-25开）</t>
        </is>
      </c>
    </row>
    <row r="637">
      <c r="A637" t="inlineStr">
        <is>
          <t>2022-03-31</t>
        </is>
      </c>
      <c r="B637" t="inlineStr">
        <is>
          <t>沪铝</t>
        </is>
      </c>
      <c r="C637" t="inlineStr">
        <is>
          <t>空</t>
        </is>
      </c>
      <c r="D637" t="n">
        <v>2</v>
      </c>
      <c r="E637" t="n">
        <v>4</v>
      </c>
      <c r="F637" t="inlineStr">
        <is>
          <t>影子仓</t>
        </is>
      </c>
      <c r="G637" t="n">
        <v>1</v>
      </c>
      <c r="H637" t="n">
        <v>22730</v>
      </c>
      <c r="I637" t="n">
        <v>24046.79</v>
      </c>
      <c r="J637" t="n">
        <v>1</v>
      </c>
      <c r="K637" t="inlineStr">
        <is>
          <t>凯利≤0，开1%影子仓（只统计，不计入组合）</t>
        </is>
      </c>
    </row>
    <row r="638">
      <c r="A638" t="inlineStr">
        <is>
          <t>2022-03-31</t>
        </is>
      </c>
      <c r="B638" t="inlineStr">
        <is>
          <t>纯碱</t>
        </is>
      </c>
      <c r="C638" t="inlineStr">
        <is>
          <t>多</t>
        </is>
      </c>
      <c r="D638" t="n">
        <v>2</v>
      </c>
      <c r="E638" t="n">
        <v>4</v>
      </c>
      <c r="F638" t="inlineStr">
        <is>
          <t>续持</t>
        </is>
      </c>
      <c r="G638" t="n">
        <v>1</v>
      </c>
      <c r="H638" t="n">
        <v>3014</v>
      </c>
      <c r="I638" t="n">
        <v>2736.14</v>
      </c>
      <c r="J638" t="n">
        <v>1</v>
      </c>
      <c r="K638" t="inlineStr">
        <is>
          <t>续持原仓（2022-03-30开）</t>
        </is>
      </c>
    </row>
    <row r="639">
      <c r="A639" t="inlineStr">
        <is>
          <t>2022-04-01</t>
        </is>
      </c>
      <c r="B639" t="inlineStr">
        <is>
          <t>螺纹钢</t>
        </is>
      </c>
      <c r="C639" t="inlineStr">
        <is>
          <t>多</t>
        </is>
      </c>
      <c r="D639" t="n">
        <v>3</v>
      </c>
      <c r="E639" t="n">
        <v>7</v>
      </c>
      <c r="F639" t="inlineStr">
        <is>
          <t>不做</t>
        </is>
      </c>
      <c r="H639" t="n">
        <v>5160</v>
      </c>
      <c r="J639" t="n">
        <v>0</v>
      </c>
      <c r="K639" t="inlineStr">
        <is>
          <t>组合风险已近10%，预算缩小</t>
        </is>
      </c>
    </row>
    <row r="640">
      <c r="A640" t="inlineStr">
        <is>
          <t>2022-04-01</t>
        </is>
      </c>
      <c r="B640" t="inlineStr">
        <is>
          <t>PVC</t>
        </is>
      </c>
      <c r="C640" t="inlineStr">
        <is>
          <t>多</t>
        </is>
      </c>
      <c r="D640" t="n">
        <v>3</v>
      </c>
      <c r="E640" t="n">
        <v>6</v>
      </c>
      <c r="F640" t="inlineStr">
        <is>
          <t>不做</t>
        </is>
      </c>
      <c r="H640" t="n">
        <v>9454</v>
      </c>
      <c r="J640" t="n">
        <v>0</v>
      </c>
      <c r="K640" t="inlineStr">
        <is>
          <t>组合风险已近10%，预算缩小</t>
        </is>
      </c>
    </row>
    <row r="641">
      <c r="A641" t="inlineStr">
        <is>
          <t>2022-04-01</t>
        </is>
      </c>
      <c r="B641" t="inlineStr">
        <is>
          <t>沪锌</t>
        </is>
      </c>
      <c r="C641" t="inlineStr">
        <is>
          <t>多</t>
        </is>
      </c>
      <c r="D641" t="n">
        <v>2</v>
      </c>
      <c r="E641" t="n">
        <v>5</v>
      </c>
      <c r="F641" t="inlineStr">
        <is>
          <t>续持</t>
        </is>
      </c>
      <c r="G641" t="n">
        <v>2</v>
      </c>
      <c r="H641" t="n">
        <v>26875</v>
      </c>
      <c r="I641" t="n">
        <v>25846.43</v>
      </c>
      <c r="J641" t="n">
        <v>3</v>
      </c>
      <c r="K641" t="inlineStr">
        <is>
          <t>续持原仓（2022-03-25开）</t>
        </is>
      </c>
    </row>
    <row r="642">
      <c r="A642" t="inlineStr">
        <is>
          <t>2022-04-01</t>
        </is>
      </c>
      <c r="B642" t="inlineStr">
        <is>
          <t>沪铝</t>
        </is>
      </c>
      <c r="C642" t="inlineStr">
        <is>
          <t>空</t>
        </is>
      </c>
      <c r="D642" t="n">
        <v>2</v>
      </c>
      <c r="E642" t="n">
        <v>5</v>
      </c>
      <c r="F642" t="inlineStr">
        <is>
          <t>续持</t>
        </is>
      </c>
      <c r="G642" t="n">
        <v>1</v>
      </c>
      <c r="H642" t="n">
        <v>22640</v>
      </c>
      <c r="I642" t="n">
        <v>23896.07</v>
      </c>
      <c r="J642" t="n">
        <v>1</v>
      </c>
      <c r="K642" t="inlineStr">
        <is>
          <t>续持原仓（2022-03-31开）</t>
        </is>
      </c>
    </row>
    <row r="643">
      <c r="A643" t="inlineStr">
        <is>
          <t>2022-04-01</t>
        </is>
      </c>
      <c r="B643" t="inlineStr">
        <is>
          <t>纯碱</t>
        </is>
      </c>
      <c r="C643" t="inlineStr">
        <is>
          <t>多</t>
        </is>
      </c>
      <c r="D643" t="n">
        <v>2</v>
      </c>
      <c r="E643" t="n">
        <v>5</v>
      </c>
      <c r="F643" t="inlineStr">
        <is>
          <t>续持</t>
        </is>
      </c>
      <c r="G643" t="n">
        <v>1</v>
      </c>
      <c r="H643" t="n">
        <v>3040</v>
      </c>
      <c r="I643" t="n">
        <v>2746</v>
      </c>
      <c r="J643" t="n">
        <v>1</v>
      </c>
      <c r="K643" t="inlineStr">
        <is>
          <t>续持原仓（2022-03-30开）</t>
        </is>
      </c>
    </row>
    <row r="644">
      <c r="A644" t="inlineStr">
        <is>
          <t>2022-04-01</t>
        </is>
      </c>
      <c r="B644" t="inlineStr">
        <is>
          <t>沪金</t>
        </is>
      </c>
      <c r="C644" t="inlineStr">
        <is>
          <t>多</t>
        </is>
      </c>
      <c r="D644" t="n">
        <v>2</v>
      </c>
      <c r="E644" t="n">
        <v>4</v>
      </c>
      <c r="F644" t="inlineStr">
        <is>
          <t>不做</t>
        </is>
      </c>
      <c r="H644" t="n">
        <v>396.26</v>
      </c>
      <c r="J644" t="n">
        <v>1</v>
      </c>
      <c r="K644" t="inlineStr">
        <is>
          <t>1手风险15707元超过预算10000元</t>
        </is>
      </c>
    </row>
    <row r="645">
      <c r="A645" t="inlineStr">
        <is>
          <t>2022-04-06</t>
        </is>
      </c>
      <c r="B645" t="inlineStr">
        <is>
          <t>螺纹钢</t>
        </is>
      </c>
      <c r="C645" t="inlineStr">
        <is>
          <t>多</t>
        </is>
      </c>
      <c r="D645" t="n">
        <v>2</v>
      </c>
      <c r="E645" t="n">
        <v>5</v>
      </c>
      <c r="F645" t="inlineStr">
        <is>
          <t>影子仓</t>
        </is>
      </c>
      <c r="G645" t="n">
        <v>3</v>
      </c>
      <c r="H645" t="n">
        <v>5121</v>
      </c>
      <c r="I645" t="n">
        <v>4812.43</v>
      </c>
      <c r="J645" t="n">
        <v>1</v>
      </c>
      <c r="K645" t="inlineStr">
        <is>
          <t>凯利≤0，开1%影子仓（只统计，不计入组合）</t>
        </is>
      </c>
    </row>
    <row r="646">
      <c r="A646" t="inlineStr">
        <is>
          <t>2022-04-06</t>
        </is>
      </c>
      <c r="B646" t="inlineStr">
        <is>
          <t>沪铝</t>
        </is>
      </c>
      <c r="C646" t="inlineStr">
        <is>
          <t>空</t>
        </is>
      </c>
      <c r="D646" t="n">
        <v>2</v>
      </c>
      <c r="E646" t="n">
        <v>5</v>
      </c>
      <c r="F646" t="inlineStr">
        <is>
          <t>续持</t>
        </is>
      </c>
      <c r="G646" t="n">
        <v>1</v>
      </c>
      <c r="H646" t="n">
        <v>22540</v>
      </c>
      <c r="I646" t="n">
        <v>23763.21</v>
      </c>
      <c r="J646" t="n">
        <v>1</v>
      </c>
      <c r="K646" t="inlineStr">
        <is>
          <t>续持原仓（2022-03-31开）</t>
        </is>
      </c>
    </row>
    <row r="647">
      <c r="A647" t="inlineStr">
        <is>
          <t>2022-04-07</t>
        </is>
      </c>
      <c r="B647" t="inlineStr">
        <is>
          <t>乙二醇</t>
        </is>
      </c>
      <c r="C647" t="inlineStr">
        <is>
          <t>空</t>
        </is>
      </c>
      <c r="D647" t="n">
        <v>3</v>
      </c>
      <c r="E647" t="n">
        <v>6</v>
      </c>
      <c r="F647" t="inlineStr">
        <is>
          <t>开仓</t>
        </is>
      </c>
      <c r="G647" t="n">
        <v>6</v>
      </c>
      <c r="H647" t="n">
        <v>5064</v>
      </c>
      <c r="I647" t="n">
        <v>5493.86</v>
      </c>
      <c r="J647" t="n">
        <v>3</v>
      </c>
      <c r="K647" t="inlineStr">
        <is>
          <t>¼凯利超上限，取3%</t>
        </is>
      </c>
    </row>
    <row r="648">
      <c r="A648" t="inlineStr">
        <is>
          <t>2022-04-07</t>
        </is>
      </c>
      <c r="B648" t="inlineStr">
        <is>
          <t>沪锌</t>
        </is>
      </c>
      <c r="C648" t="inlineStr">
        <is>
          <t>多</t>
        </is>
      </c>
      <c r="D648" t="n">
        <v>2</v>
      </c>
      <c r="E648" t="n">
        <v>5</v>
      </c>
      <c r="F648" t="inlineStr">
        <is>
          <t>影子仓</t>
        </is>
      </c>
      <c r="G648" t="n">
        <v>1</v>
      </c>
      <c r="H648" t="n">
        <v>27280</v>
      </c>
      <c r="I648" t="n">
        <v>25930</v>
      </c>
      <c r="J648" t="n">
        <v>1</v>
      </c>
      <c r="K648" t="inlineStr">
        <is>
          <t>凯利≤0，开1%影子仓（只统计，不计入组合）</t>
        </is>
      </c>
    </row>
    <row r="649">
      <c r="A649" t="inlineStr">
        <is>
          <t>2022-04-07</t>
        </is>
      </c>
      <c r="B649" t="inlineStr">
        <is>
          <t>沪铝</t>
        </is>
      </c>
      <c r="C649" t="inlineStr">
        <is>
          <t>空</t>
        </is>
      </c>
      <c r="D649" t="n">
        <v>2</v>
      </c>
      <c r="E649" t="n">
        <v>4</v>
      </c>
      <c r="F649" t="inlineStr">
        <is>
          <t>续持</t>
        </is>
      </c>
      <c r="G649" t="n">
        <v>1</v>
      </c>
      <c r="H649" t="n">
        <v>21815</v>
      </c>
      <c r="I649" t="n">
        <v>23043.93</v>
      </c>
      <c r="J649" t="n">
        <v>1</v>
      </c>
      <c r="K649" t="inlineStr">
        <is>
          <t>续持原仓（2022-03-31开）</t>
        </is>
      </c>
    </row>
    <row r="650">
      <c r="A650" t="inlineStr">
        <is>
          <t>2022-04-07</t>
        </is>
      </c>
      <c r="B650" t="inlineStr">
        <is>
          <t>沪镍</t>
        </is>
      </c>
      <c r="C650" t="inlineStr">
        <is>
          <t>空</t>
        </is>
      </c>
      <c r="D650" t="n">
        <v>2</v>
      </c>
      <c r="E650" t="n">
        <v>4</v>
      </c>
      <c r="F650" t="inlineStr">
        <is>
          <t>不做</t>
        </is>
      </c>
      <c r="H650" t="n">
        <v>213330</v>
      </c>
      <c r="J650" t="n">
        <v>1</v>
      </c>
      <c r="K650" t="inlineStr">
        <is>
          <t>1手风险54000元超过预算10000元</t>
        </is>
      </c>
    </row>
    <row r="651">
      <c r="A651" t="inlineStr">
        <is>
          <t>2022-04-08</t>
        </is>
      </c>
      <c r="B651" t="inlineStr">
        <is>
          <t>纯碱</t>
        </is>
      </c>
      <c r="C651" t="inlineStr">
        <is>
          <t>多</t>
        </is>
      </c>
      <c r="D651" t="n">
        <v>3</v>
      </c>
      <c r="E651" t="n">
        <v>6</v>
      </c>
      <c r="F651" t="inlineStr">
        <is>
          <t>观望</t>
        </is>
      </c>
      <c r="G651" t="n">
        <v>4</v>
      </c>
      <c r="H651" t="n">
        <v>2944</v>
      </c>
      <c r="I651" t="n">
        <v>2627.5</v>
      </c>
      <c r="J651" t="n">
        <v>3</v>
      </c>
      <c r="K651" t="inlineStr">
        <is>
          <t>逆5日线（收盘在5日线下，不追多）</t>
        </is>
      </c>
    </row>
    <row r="652">
      <c r="A652" t="inlineStr">
        <is>
          <t>2022-04-08</t>
        </is>
      </c>
      <c r="B652" t="inlineStr">
        <is>
          <t>塑料</t>
        </is>
      </c>
      <c r="C652" t="inlineStr">
        <is>
          <t>多</t>
        </is>
      </c>
      <c r="D652" t="n">
        <v>2</v>
      </c>
      <c r="E652" t="n">
        <v>4</v>
      </c>
      <c r="F652" t="inlineStr">
        <is>
          <t>观望</t>
        </is>
      </c>
      <c r="G652" t="n">
        <v>4</v>
      </c>
      <c r="H652" t="n">
        <v>8980</v>
      </c>
      <c r="I652" t="n">
        <v>8503.43</v>
      </c>
      <c r="J652" t="n">
        <v>1</v>
      </c>
      <c r="K652" t="inlineStr">
        <is>
          <t>逆5日线（收盘在5日线下，不追多）</t>
        </is>
      </c>
    </row>
    <row r="653">
      <c r="A653" t="inlineStr">
        <is>
          <t>2022-04-11</t>
        </is>
      </c>
      <c r="B653" t="inlineStr">
        <is>
          <t>沪锌</t>
        </is>
      </c>
      <c r="C653" t="inlineStr">
        <is>
          <t>多</t>
        </is>
      </c>
      <c r="D653" t="n">
        <v>3</v>
      </c>
      <c r="E653" t="n">
        <v>7</v>
      </c>
      <c r="F653" t="inlineStr">
        <is>
          <t>开仓</t>
        </is>
      </c>
      <c r="G653" t="n">
        <v>4</v>
      </c>
      <c r="H653" t="n">
        <v>27240</v>
      </c>
      <c r="I653" t="n">
        <v>25897.5</v>
      </c>
      <c r="J653" t="n">
        <v>3</v>
      </c>
      <c r="K653" t="inlineStr">
        <is>
          <t>¼凯利超上限，取3%</t>
        </is>
      </c>
    </row>
    <row r="654">
      <c r="A654" t="inlineStr">
        <is>
          <t>2022-04-11</t>
        </is>
      </c>
      <c r="B654" t="inlineStr">
        <is>
          <t>沪铝</t>
        </is>
      </c>
      <c r="C654" t="inlineStr">
        <is>
          <t>空</t>
        </is>
      </c>
      <c r="D654" t="n">
        <v>3</v>
      </c>
      <c r="E654" t="n">
        <v>7</v>
      </c>
      <c r="F654" t="inlineStr">
        <is>
          <t>开仓</t>
        </is>
      </c>
      <c r="G654" t="n">
        <v>4</v>
      </c>
      <c r="H654" t="n">
        <v>21005</v>
      </c>
      <c r="I654" t="n">
        <v>22365.71</v>
      </c>
      <c r="J654" t="n">
        <v>3</v>
      </c>
      <c r="K654" t="inlineStr">
        <is>
          <t>¼凯利超上限，取3%</t>
        </is>
      </c>
    </row>
    <row r="655">
      <c r="A655" t="inlineStr">
        <is>
          <t>2022-04-11</t>
        </is>
      </c>
      <c r="B655" t="inlineStr">
        <is>
          <t>乙二醇</t>
        </is>
      </c>
      <c r="C655" t="inlineStr">
        <is>
          <t>空</t>
        </is>
      </c>
      <c r="D655" t="n">
        <v>3</v>
      </c>
      <c r="E655" t="n">
        <v>6</v>
      </c>
      <c r="F655" t="inlineStr">
        <is>
          <t>开仓</t>
        </is>
      </c>
      <c r="G655" t="n">
        <v>2</v>
      </c>
      <c r="H655" t="n">
        <v>4825</v>
      </c>
      <c r="I655" t="n">
        <v>5257.86</v>
      </c>
      <c r="J655" t="n">
        <v>1</v>
      </c>
      <c r="K655" t="inlineStr">
        <is>
          <t>组合风险已近10%，预算缩小</t>
        </is>
      </c>
    </row>
    <row r="656">
      <c r="A656" t="inlineStr">
        <is>
          <t>2022-04-11</t>
        </is>
      </c>
      <c r="B656" t="inlineStr">
        <is>
          <t>纯碱</t>
        </is>
      </c>
      <c r="C656" t="inlineStr">
        <is>
          <t>多</t>
        </is>
      </c>
      <c r="D656" t="n">
        <v>2</v>
      </c>
      <c r="E656" t="n">
        <v>5</v>
      </c>
      <c r="F656" t="inlineStr">
        <is>
          <t>观望</t>
        </is>
      </c>
      <c r="G656" t="n">
        <v>1</v>
      </c>
      <c r="H656" t="n">
        <v>2947</v>
      </c>
      <c r="I656" t="n">
        <v>2633.93</v>
      </c>
      <c r="J656" t="n">
        <v>1</v>
      </c>
      <c r="K656" t="inlineStr">
        <is>
          <t>逆5日线（收盘在5日线下，不追多）</t>
        </is>
      </c>
    </row>
    <row r="657">
      <c r="A657" t="inlineStr">
        <is>
          <t>2022-04-11</t>
        </is>
      </c>
      <c r="B657" t="inlineStr">
        <is>
          <t>螺纹钢</t>
        </is>
      </c>
      <c r="C657" t="inlineStr">
        <is>
          <t>空</t>
        </is>
      </c>
      <c r="D657" t="n">
        <v>2</v>
      </c>
      <c r="E657" t="n">
        <v>4</v>
      </c>
      <c r="F657" t="inlineStr">
        <is>
          <t>影子仓</t>
        </is>
      </c>
      <c r="G657" t="n">
        <v>3</v>
      </c>
      <c r="H657" t="n">
        <v>4867</v>
      </c>
      <c r="I657" t="n">
        <v>5199.14</v>
      </c>
      <c r="J657" t="n">
        <v>1</v>
      </c>
      <c r="K657" t="inlineStr">
        <is>
          <t>凯利≤0，开1%影子仓（只统计，不计入组合）</t>
        </is>
      </c>
    </row>
    <row r="658">
      <c r="A658" t="inlineStr">
        <is>
          <t>2022-04-12</t>
        </is>
      </c>
      <c r="B658" t="inlineStr">
        <is>
          <t>沪锌</t>
        </is>
      </c>
      <c r="C658" t="inlineStr">
        <is>
          <t>多</t>
        </is>
      </c>
      <c r="D658" t="n">
        <v>3</v>
      </c>
      <c r="E658" t="n">
        <v>6</v>
      </c>
      <c r="F658" t="inlineStr">
        <is>
          <t>续持</t>
        </is>
      </c>
      <c r="G658" t="n">
        <v>4</v>
      </c>
      <c r="H658" t="n">
        <v>27870</v>
      </c>
      <c r="I658" t="n">
        <v>26497.5</v>
      </c>
      <c r="J658" t="n">
        <v>3</v>
      </c>
      <c r="K658" t="inlineStr">
        <is>
          <t>续持原仓（2022-04-11开）</t>
        </is>
      </c>
    </row>
    <row r="659">
      <c r="A659" t="inlineStr">
        <is>
          <t>2022-04-13</t>
        </is>
      </c>
      <c r="B659" t="inlineStr">
        <is>
          <t>沪金</t>
        </is>
      </c>
      <c r="C659" t="inlineStr">
        <is>
          <t>多</t>
        </is>
      </c>
      <c r="D659" t="n">
        <v>3</v>
      </c>
      <c r="E659" t="n">
        <v>7</v>
      </c>
      <c r="F659" t="inlineStr">
        <is>
          <t>不做</t>
        </is>
      </c>
      <c r="H659" t="n">
        <v>403.7</v>
      </c>
      <c r="J659" t="n">
        <v>0</v>
      </c>
      <c r="K659" t="inlineStr">
        <is>
          <t>组合风险已近10%，预算缩小</t>
        </is>
      </c>
    </row>
    <row r="660">
      <c r="A660" t="inlineStr">
        <is>
          <t>2022-04-13</t>
        </is>
      </c>
      <c r="B660" t="inlineStr">
        <is>
          <t>乙二醇</t>
        </is>
      </c>
      <c r="C660" t="inlineStr">
        <is>
          <t>空</t>
        </is>
      </c>
      <c r="D660" t="n">
        <v>3</v>
      </c>
      <c r="E660" t="n">
        <v>7</v>
      </c>
      <c r="F660" t="inlineStr">
        <is>
          <t>续持</t>
        </is>
      </c>
      <c r="G660" t="n">
        <v>2</v>
      </c>
      <c r="H660" t="n">
        <v>4782</v>
      </c>
      <c r="I660" t="n">
        <v>5206.57</v>
      </c>
      <c r="J660" t="n">
        <v>1</v>
      </c>
      <c r="K660" t="inlineStr">
        <is>
          <t>续持原仓（2022-04-11开）</t>
        </is>
      </c>
    </row>
    <row r="661">
      <c r="A661" t="inlineStr">
        <is>
          <t>2022-04-13</t>
        </is>
      </c>
      <c r="B661" t="inlineStr">
        <is>
          <t>沪锌</t>
        </is>
      </c>
      <c r="C661" t="inlineStr">
        <is>
          <t>多</t>
        </is>
      </c>
      <c r="D661" t="n">
        <v>3</v>
      </c>
      <c r="E661" t="n">
        <v>6</v>
      </c>
      <c r="F661" t="inlineStr">
        <is>
          <t>续持</t>
        </is>
      </c>
      <c r="G661" t="n">
        <v>4</v>
      </c>
      <c r="H661" t="n">
        <v>28395</v>
      </c>
      <c r="I661" t="n">
        <v>27319.29</v>
      </c>
      <c r="J661" t="n">
        <v>3</v>
      </c>
      <c r="K661" t="inlineStr">
        <is>
          <t>续持原仓（2022-04-11开）</t>
        </is>
      </c>
    </row>
    <row r="662">
      <c r="A662" t="inlineStr">
        <is>
          <t>2022-04-13</t>
        </is>
      </c>
      <c r="B662" t="inlineStr">
        <is>
          <t>纯碱</t>
        </is>
      </c>
      <c r="C662" t="inlineStr">
        <is>
          <t>多</t>
        </is>
      </c>
      <c r="D662" t="n">
        <v>2</v>
      </c>
      <c r="E662" t="n">
        <v>4</v>
      </c>
      <c r="F662" t="inlineStr">
        <is>
          <t>影子仓</t>
        </is>
      </c>
      <c r="G662" t="n">
        <v>1</v>
      </c>
      <c r="H662" t="n">
        <v>3081</v>
      </c>
      <c r="I662" t="n">
        <v>2756.57</v>
      </c>
      <c r="J662" t="n">
        <v>1</v>
      </c>
      <c r="K662" t="inlineStr">
        <is>
          <t>凯利≤0，开1%影子仓（只统计，不计入组合）</t>
        </is>
      </c>
    </row>
    <row r="663">
      <c r="A663" t="inlineStr">
        <is>
          <t>2022-04-14</t>
        </is>
      </c>
      <c r="B663" t="inlineStr">
        <is>
          <t>白糖</t>
        </is>
      </c>
      <c r="C663" t="inlineStr">
        <is>
          <t>多</t>
        </is>
      </c>
      <c r="D663" t="n">
        <v>3</v>
      </c>
      <c r="E663" t="n">
        <v>6</v>
      </c>
      <c r="F663" t="inlineStr">
        <is>
          <t>开仓</t>
        </is>
      </c>
      <c r="G663" t="n">
        <v>18</v>
      </c>
      <c r="H663" t="n">
        <v>6040</v>
      </c>
      <c r="I663" t="n">
        <v>5875</v>
      </c>
      <c r="J663" t="n">
        <v>3</v>
      </c>
      <c r="K663" t="inlineStr">
        <is>
          <t>¼凯利超上限，取3%</t>
        </is>
      </c>
    </row>
    <row r="664">
      <c r="A664" t="inlineStr">
        <is>
          <t>2022-04-14</t>
        </is>
      </c>
      <c r="B664" t="inlineStr">
        <is>
          <t>沪锌</t>
        </is>
      </c>
      <c r="C664" t="inlineStr">
        <is>
          <t>多</t>
        </is>
      </c>
      <c r="D664" t="n">
        <v>2</v>
      </c>
      <c r="E664" t="n">
        <v>4</v>
      </c>
      <c r="F664" t="inlineStr">
        <is>
          <t>续持</t>
        </is>
      </c>
      <c r="G664" t="n">
        <v>4</v>
      </c>
      <c r="H664" t="n">
        <v>27845</v>
      </c>
      <c r="I664" t="n">
        <v>27319.29</v>
      </c>
      <c r="J664" t="n">
        <v>3</v>
      </c>
      <c r="K664" t="inlineStr">
        <is>
          <t>续持原仓（2022-04-11开）</t>
        </is>
      </c>
    </row>
    <row r="665">
      <c r="A665" t="inlineStr">
        <is>
          <t>2022-04-14</t>
        </is>
      </c>
      <c r="B665" t="inlineStr">
        <is>
          <t>沪镍</t>
        </is>
      </c>
      <c r="C665" t="inlineStr">
        <is>
          <t>多</t>
        </is>
      </c>
      <c r="D665" t="n">
        <v>2</v>
      </c>
      <c r="E665" t="n">
        <v>4</v>
      </c>
      <c r="F665" t="inlineStr">
        <is>
          <t>不做</t>
        </is>
      </c>
      <c r="H665" t="n">
        <v>223880</v>
      </c>
      <c r="J665" t="n">
        <v>1</v>
      </c>
      <c r="K665" t="inlineStr">
        <is>
          <t>1手风险51171元超过预算10000元</t>
        </is>
      </c>
    </row>
    <row r="666">
      <c r="A666" t="inlineStr">
        <is>
          <t>2022-04-14</t>
        </is>
      </c>
      <c r="B666" t="inlineStr">
        <is>
          <t>纯碱</t>
        </is>
      </c>
      <c r="C666" t="inlineStr">
        <is>
          <t>多</t>
        </is>
      </c>
      <c r="D666" t="n">
        <v>2</v>
      </c>
      <c r="E666" t="n">
        <v>4</v>
      </c>
      <c r="F666" t="inlineStr">
        <is>
          <t>续持</t>
        </is>
      </c>
      <c r="G666" t="n">
        <v>1</v>
      </c>
      <c r="H666" t="n">
        <v>3138</v>
      </c>
      <c r="I666" t="n">
        <v>2868.79</v>
      </c>
      <c r="J666" t="n">
        <v>1</v>
      </c>
      <c r="K666" t="inlineStr">
        <is>
          <t>续持原仓（2022-04-13开）</t>
        </is>
      </c>
    </row>
    <row r="667">
      <c r="A667" t="inlineStr">
        <is>
          <t>2022-04-15</t>
        </is>
      </c>
      <c r="B667" t="inlineStr">
        <is>
          <t>沪金</t>
        </is>
      </c>
      <c r="C667" t="inlineStr">
        <is>
          <t>多</t>
        </is>
      </c>
      <c r="D667" t="n">
        <v>3</v>
      </c>
      <c r="E667" t="n">
        <v>7</v>
      </c>
      <c r="F667" t="inlineStr">
        <is>
          <t>开仓</t>
        </is>
      </c>
      <c r="G667" t="n">
        <v>2</v>
      </c>
      <c r="H667" t="n">
        <v>405.82</v>
      </c>
      <c r="I667" t="n">
        <v>393.98</v>
      </c>
      <c r="J667" t="n">
        <v>3</v>
      </c>
      <c r="K667" t="inlineStr">
        <is>
          <t>¼凯利超上限，取3%</t>
        </is>
      </c>
    </row>
    <row r="668">
      <c r="A668" t="inlineStr">
        <is>
          <t>2022-04-15</t>
        </is>
      </c>
      <c r="B668" t="inlineStr">
        <is>
          <t>沪镍</t>
        </is>
      </c>
      <c r="C668" t="inlineStr">
        <is>
          <t>多</t>
        </is>
      </c>
      <c r="D668" t="n">
        <v>3</v>
      </c>
      <c r="E668" t="n">
        <v>7</v>
      </c>
      <c r="F668" t="inlineStr">
        <is>
          <t>不做</t>
        </is>
      </c>
      <c r="H668" t="n">
        <v>229400</v>
      </c>
      <c r="J668" t="n">
        <v>0</v>
      </c>
      <c r="K668" t="inlineStr">
        <is>
          <t>组合风险已近10%，预算缩小</t>
        </is>
      </c>
    </row>
    <row r="669">
      <c r="A669" t="inlineStr">
        <is>
          <t>2022-04-15</t>
        </is>
      </c>
      <c r="B669" t="inlineStr">
        <is>
          <t>白糖</t>
        </is>
      </c>
      <c r="C669" t="inlineStr">
        <is>
          <t>多</t>
        </is>
      </c>
      <c r="D669" t="n">
        <v>3</v>
      </c>
      <c r="E669" t="n">
        <v>7</v>
      </c>
      <c r="F669" t="inlineStr">
        <is>
          <t>续持</t>
        </is>
      </c>
      <c r="G669" t="n">
        <v>18</v>
      </c>
      <c r="H669" t="n">
        <v>6065</v>
      </c>
      <c r="I669" t="n">
        <v>5903.93</v>
      </c>
      <c r="J669" t="n">
        <v>3</v>
      </c>
      <c r="K669" t="inlineStr">
        <is>
          <t>续持原仓（2022-04-14开）</t>
        </is>
      </c>
    </row>
    <row r="670">
      <c r="A670" t="inlineStr">
        <is>
          <t>2022-04-15</t>
        </is>
      </c>
      <c r="B670" t="inlineStr">
        <is>
          <t>沪锌</t>
        </is>
      </c>
      <c r="C670" t="inlineStr">
        <is>
          <t>多</t>
        </is>
      </c>
      <c r="D670" t="n">
        <v>3</v>
      </c>
      <c r="E670" t="n">
        <v>6</v>
      </c>
      <c r="F670" t="inlineStr">
        <is>
          <t>续持</t>
        </is>
      </c>
      <c r="G670" t="n">
        <v>4</v>
      </c>
      <c r="H670" t="n">
        <v>28320</v>
      </c>
      <c r="I670" t="n">
        <v>27319.29</v>
      </c>
      <c r="J670" t="n">
        <v>3</v>
      </c>
      <c r="K670" t="inlineStr">
        <is>
          <t>续持原仓（2022-04-11开）</t>
        </is>
      </c>
    </row>
    <row r="671">
      <c r="A671" t="inlineStr">
        <is>
          <t>2022-04-15</t>
        </is>
      </c>
      <c r="B671" t="inlineStr">
        <is>
          <t>沪铜</t>
        </is>
      </c>
      <c r="C671" t="inlineStr">
        <is>
          <t>多</t>
        </is>
      </c>
      <c r="D671" t="n">
        <v>3</v>
      </c>
      <c r="E671" t="n">
        <v>6</v>
      </c>
      <c r="F671" t="inlineStr">
        <is>
          <t>不做</t>
        </is>
      </c>
      <c r="H671" t="n">
        <v>74970</v>
      </c>
      <c r="J671" t="n">
        <v>0</v>
      </c>
      <c r="K671" t="inlineStr">
        <is>
          <t>组合风险已近10%，预算缩小</t>
        </is>
      </c>
    </row>
    <row r="672">
      <c r="A672" t="inlineStr">
        <is>
          <t>2022-04-15</t>
        </is>
      </c>
      <c r="B672" t="inlineStr">
        <is>
          <t>乙二醇</t>
        </is>
      </c>
      <c r="C672" t="inlineStr">
        <is>
          <t>空</t>
        </is>
      </c>
      <c r="D672" t="n">
        <v>2</v>
      </c>
      <c r="E672" t="n">
        <v>5</v>
      </c>
      <c r="F672" t="inlineStr">
        <is>
          <t>续持</t>
        </is>
      </c>
      <c r="G672" t="n">
        <v>2</v>
      </c>
      <c r="H672" t="n">
        <v>4810</v>
      </c>
      <c r="I672" t="n">
        <v>5188.57</v>
      </c>
      <c r="J672" t="n">
        <v>1</v>
      </c>
      <c r="K672" t="inlineStr">
        <is>
          <t>续持原仓（2022-04-11开）</t>
        </is>
      </c>
    </row>
    <row r="673">
      <c r="A673" t="inlineStr">
        <is>
          <t>2022-04-18</t>
        </is>
      </c>
      <c r="B673" t="inlineStr">
        <is>
          <t>沪金</t>
        </is>
      </c>
      <c r="C673" t="inlineStr">
        <is>
          <t>多</t>
        </is>
      </c>
      <c r="D673" t="n">
        <v>3</v>
      </c>
      <c r="E673" t="n">
        <v>6</v>
      </c>
      <c r="F673" t="inlineStr">
        <is>
          <t>续持</t>
        </is>
      </c>
      <c r="G673" t="n">
        <v>2</v>
      </c>
      <c r="H673" t="n">
        <v>408.02</v>
      </c>
      <c r="I673" t="n">
        <v>396.86</v>
      </c>
      <c r="J673" t="n">
        <v>3</v>
      </c>
      <c r="K673" t="inlineStr">
        <is>
          <t>续持原仓（2022-04-15开）</t>
        </is>
      </c>
    </row>
    <row r="674">
      <c r="A674" t="inlineStr">
        <is>
          <t>2022-04-18</t>
        </is>
      </c>
      <c r="B674" t="inlineStr">
        <is>
          <t>沪锌</t>
        </is>
      </c>
      <c r="C674" t="inlineStr">
        <is>
          <t>多</t>
        </is>
      </c>
      <c r="D674" t="n">
        <v>3</v>
      </c>
      <c r="E674" t="n">
        <v>6</v>
      </c>
      <c r="F674" t="inlineStr">
        <is>
          <t>续持</t>
        </is>
      </c>
      <c r="G674" t="n">
        <v>4</v>
      </c>
      <c r="H674" t="n">
        <v>28400</v>
      </c>
      <c r="I674" t="n">
        <v>27319.29</v>
      </c>
      <c r="J674" t="n">
        <v>3</v>
      </c>
      <c r="K674" t="inlineStr">
        <is>
          <t>续持原仓（2022-04-11开）</t>
        </is>
      </c>
    </row>
    <row r="675">
      <c r="A675" t="inlineStr">
        <is>
          <t>2022-04-18</t>
        </is>
      </c>
      <c r="B675" t="inlineStr">
        <is>
          <t>棕榈油</t>
        </is>
      </c>
      <c r="C675" t="inlineStr">
        <is>
          <t>多</t>
        </is>
      </c>
      <c r="D675" t="n">
        <v>3</v>
      </c>
      <c r="E675" t="n">
        <v>6</v>
      </c>
      <c r="F675" t="inlineStr">
        <is>
          <t>不做</t>
        </is>
      </c>
      <c r="H675" t="n">
        <v>11270</v>
      </c>
      <c r="J675" t="n">
        <v>0</v>
      </c>
      <c r="K675" t="inlineStr">
        <is>
          <t>组合风险已近10%，预算缩小</t>
        </is>
      </c>
    </row>
    <row r="676">
      <c r="A676" t="inlineStr">
        <is>
          <t>2022-04-18</t>
        </is>
      </c>
      <c r="B676" t="inlineStr">
        <is>
          <t>聚丙烯</t>
        </is>
      </c>
      <c r="C676" t="inlineStr">
        <is>
          <t>多</t>
        </is>
      </c>
      <c r="D676" t="n">
        <v>2</v>
      </c>
      <c r="E676" t="n">
        <v>4</v>
      </c>
      <c r="F676" t="inlineStr">
        <is>
          <t>影子仓</t>
        </is>
      </c>
      <c r="G676" t="n">
        <v>3</v>
      </c>
      <c r="H676" t="n">
        <v>8840</v>
      </c>
      <c r="I676" t="n">
        <v>8325.709999999999</v>
      </c>
      <c r="J676" t="n">
        <v>1</v>
      </c>
      <c r="K676" t="inlineStr">
        <is>
          <t>凯利≤0，开1%影子仓（只统计，不计入组合）</t>
        </is>
      </c>
    </row>
    <row r="677">
      <c r="A677" t="inlineStr">
        <is>
          <t>2022-04-18</t>
        </is>
      </c>
      <c r="B677" t="inlineStr">
        <is>
          <t>PTA</t>
        </is>
      </c>
      <c r="C677" t="inlineStr">
        <is>
          <t>多</t>
        </is>
      </c>
      <c r="D677" t="n">
        <v>2</v>
      </c>
      <c r="E677" t="n">
        <v>4</v>
      </c>
      <c r="F677" t="inlineStr">
        <is>
          <t>影子仓</t>
        </is>
      </c>
      <c r="G677" t="n">
        <v>3</v>
      </c>
      <c r="H677" t="n">
        <v>6176</v>
      </c>
      <c r="I677" t="n">
        <v>5570.86</v>
      </c>
      <c r="J677" t="n">
        <v>1</v>
      </c>
      <c r="K677" t="inlineStr">
        <is>
          <t>凯利≤0，开1%影子仓（只统计，不计入组合）</t>
        </is>
      </c>
    </row>
    <row r="678">
      <c r="A678" t="inlineStr">
        <is>
          <t>2022-04-19</t>
        </is>
      </c>
      <c r="B678" t="inlineStr">
        <is>
          <t>沪锌</t>
        </is>
      </c>
      <c r="C678" t="inlineStr">
        <is>
          <t>多</t>
        </is>
      </c>
      <c r="D678" t="n">
        <v>3</v>
      </c>
      <c r="E678" t="n">
        <v>7</v>
      </c>
      <c r="F678" t="inlineStr">
        <is>
          <t>续持</t>
        </is>
      </c>
      <c r="G678" t="n">
        <v>4</v>
      </c>
      <c r="H678" t="n">
        <v>28505</v>
      </c>
      <c r="I678" t="n">
        <v>27319.29</v>
      </c>
      <c r="J678" t="n">
        <v>3</v>
      </c>
      <c r="K678" t="inlineStr">
        <is>
          <t>续持原仓（2022-04-11开）</t>
        </is>
      </c>
    </row>
    <row r="679">
      <c r="A679" t="inlineStr">
        <is>
          <t>2022-04-19</t>
        </is>
      </c>
      <c r="B679" t="inlineStr">
        <is>
          <t>沪镍</t>
        </is>
      </c>
      <c r="C679" t="inlineStr">
        <is>
          <t>多</t>
        </is>
      </c>
      <c r="D679" t="n">
        <v>3</v>
      </c>
      <c r="E679" t="n">
        <v>7</v>
      </c>
      <c r="F679" t="inlineStr">
        <is>
          <t>不做</t>
        </is>
      </c>
      <c r="H679" t="n">
        <v>239830</v>
      </c>
      <c r="J679" t="n">
        <v>3</v>
      </c>
      <c r="K679" t="inlineStr">
        <is>
          <t>1手风险33039元超过预算30000元</t>
        </is>
      </c>
    </row>
    <row r="680">
      <c r="A680" t="inlineStr">
        <is>
          <t>2022-04-19</t>
        </is>
      </c>
      <c r="B680" t="inlineStr">
        <is>
          <t>棉花</t>
        </is>
      </c>
      <c r="C680" t="inlineStr">
        <is>
          <t>多</t>
        </is>
      </c>
      <c r="D680" t="n">
        <v>3</v>
      </c>
      <c r="E680" t="n">
        <v>7</v>
      </c>
      <c r="F680" t="inlineStr">
        <is>
          <t>开仓</t>
        </is>
      </c>
      <c r="G680" t="n">
        <v>9</v>
      </c>
      <c r="H680" t="n">
        <v>21570</v>
      </c>
      <c r="I680" t="n">
        <v>20918.57</v>
      </c>
      <c r="J680" t="n">
        <v>3</v>
      </c>
      <c r="K680" t="inlineStr">
        <is>
          <t>¼凯利超上限，取3%</t>
        </is>
      </c>
    </row>
    <row r="681">
      <c r="A681" t="inlineStr">
        <is>
          <t>2022-04-19</t>
        </is>
      </c>
      <c r="B681" t="inlineStr">
        <is>
          <t>白糖</t>
        </is>
      </c>
      <c r="C681" t="inlineStr">
        <is>
          <t>多</t>
        </is>
      </c>
      <c r="D681" t="n">
        <v>2</v>
      </c>
      <c r="E681" t="n">
        <v>5</v>
      </c>
      <c r="F681" t="inlineStr">
        <is>
          <t>续持</t>
        </is>
      </c>
      <c r="G681" t="n">
        <v>18</v>
      </c>
      <c r="H681" t="n">
        <v>6070</v>
      </c>
      <c r="I681" t="n">
        <v>5931.21</v>
      </c>
      <c r="J681" t="n">
        <v>3</v>
      </c>
      <c r="K681" t="inlineStr">
        <is>
          <t>续持原仓（2022-04-14开）</t>
        </is>
      </c>
    </row>
    <row r="682">
      <c r="A682" t="inlineStr">
        <is>
          <t>2022-04-19</t>
        </is>
      </c>
      <c r="B682" t="inlineStr">
        <is>
          <t>PTA</t>
        </is>
      </c>
      <c r="C682" t="inlineStr">
        <is>
          <t>多</t>
        </is>
      </c>
      <c r="D682" t="n">
        <v>2</v>
      </c>
      <c r="E682" t="n">
        <v>5</v>
      </c>
      <c r="F682" t="inlineStr">
        <is>
          <t>续持</t>
        </is>
      </c>
      <c r="G682" t="n">
        <v>3</v>
      </c>
      <c r="H682" t="n">
        <v>6218</v>
      </c>
      <c r="I682" t="n">
        <v>5713.71</v>
      </c>
      <c r="J682" t="n">
        <v>1</v>
      </c>
      <c r="K682" t="inlineStr">
        <is>
          <t>续持原仓（2022-04-18开）</t>
        </is>
      </c>
    </row>
    <row r="683">
      <c r="A683" t="inlineStr">
        <is>
          <t>2022-04-19</t>
        </is>
      </c>
      <c r="B683" t="inlineStr">
        <is>
          <t>甲醇</t>
        </is>
      </c>
      <c r="C683" t="inlineStr">
        <is>
          <t>空</t>
        </is>
      </c>
      <c r="D683" t="n">
        <v>2</v>
      </c>
      <c r="E683" t="n">
        <v>4</v>
      </c>
      <c r="F683" t="inlineStr">
        <is>
          <t>观望</t>
        </is>
      </c>
      <c r="G683" t="n">
        <v>3</v>
      </c>
      <c r="H683" t="n">
        <v>2976</v>
      </c>
      <c r="I683" t="n">
        <v>3234.21</v>
      </c>
      <c r="J683" t="n">
        <v>1</v>
      </c>
      <c r="K683" t="inlineStr">
        <is>
          <t>逆5日线（收盘在5日线上，不追空）</t>
        </is>
      </c>
    </row>
    <row r="684">
      <c r="A684" t="inlineStr">
        <is>
          <t>2022-04-20</t>
        </is>
      </c>
      <c r="B684" t="inlineStr">
        <is>
          <t>沪锌</t>
        </is>
      </c>
      <c r="C684" t="inlineStr">
        <is>
          <t>多</t>
        </is>
      </c>
      <c r="D684" t="n">
        <v>3</v>
      </c>
      <c r="E684" t="n">
        <v>6</v>
      </c>
      <c r="F684" t="inlineStr">
        <is>
          <t>续持</t>
        </is>
      </c>
      <c r="G684" t="n">
        <v>4</v>
      </c>
      <c r="H684" t="n">
        <v>28670</v>
      </c>
      <c r="I684" t="n">
        <v>27339.29</v>
      </c>
      <c r="J684" t="n">
        <v>3</v>
      </c>
      <c r="K684" t="inlineStr">
        <is>
          <t>续持原仓（2022-04-11开）</t>
        </is>
      </c>
    </row>
    <row r="685">
      <c r="A685" t="inlineStr">
        <is>
          <t>2022-04-20</t>
        </is>
      </c>
      <c r="B685" t="inlineStr">
        <is>
          <t>沪镍</t>
        </is>
      </c>
      <c r="C685" t="inlineStr">
        <is>
          <t>多</t>
        </is>
      </c>
      <c r="D685" t="n">
        <v>2</v>
      </c>
      <c r="E685" t="n">
        <v>5</v>
      </c>
      <c r="F685" t="inlineStr">
        <is>
          <t>不做</t>
        </is>
      </c>
      <c r="H685" t="n">
        <v>233780</v>
      </c>
      <c r="J685" t="n">
        <v>1</v>
      </c>
      <c r="K685" t="inlineStr">
        <is>
          <t>1手风险32961元超过预算10000元</t>
        </is>
      </c>
    </row>
    <row r="686">
      <c r="A686" t="inlineStr">
        <is>
          <t>2022-04-20</t>
        </is>
      </c>
      <c r="B686" t="inlineStr">
        <is>
          <t>铁矿石</t>
        </is>
      </c>
      <c r="C686" t="inlineStr">
        <is>
          <t>多</t>
        </is>
      </c>
      <c r="D686" t="n">
        <v>2</v>
      </c>
      <c r="E686" t="n">
        <v>4</v>
      </c>
      <c r="F686" t="inlineStr">
        <is>
          <t>观望</t>
        </is>
      </c>
      <c r="H686" t="n">
        <v>898</v>
      </c>
      <c r="J686" t="n">
        <v>1</v>
      </c>
      <c r="K686" t="inlineStr">
        <is>
          <t>逆5日线（收盘在5日线下，不追多）</t>
        </is>
      </c>
    </row>
    <row r="687">
      <c r="A687" t="inlineStr">
        <is>
          <t>2022-04-20</t>
        </is>
      </c>
      <c r="B687" t="inlineStr">
        <is>
          <t>沪铝</t>
        </is>
      </c>
      <c r="C687" t="inlineStr">
        <is>
          <t>空</t>
        </is>
      </c>
      <c r="D687" t="n">
        <v>2</v>
      </c>
      <c r="E687" t="n">
        <v>4</v>
      </c>
      <c r="F687" t="inlineStr">
        <is>
          <t>观望</t>
        </is>
      </c>
      <c r="G687" t="n">
        <v>1</v>
      </c>
      <c r="H687" t="n">
        <v>21800</v>
      </c>
      <c r="I687" t="n">
        <v>23211.07</v>
      </c>
      <c r="J687" t="n">
        <v>1</v>
      </c>
      <c r="K687" t="inlineStr">
        <is>
          <t>逆5日线（收盘在5日线上，不追空）</t>
        </is>
      </c>
    </row>
    <row r="688">
      <c r="A688" t="inlineStr">
        <is>
          <t>2022-04-21</t>
        </is>
      </c>
      <c r="B688" t="inlineStr">
        <is>
          <t>棕榈油</t>
        </is>
      </c>
      <c r="C688" t="inlineStr">
        <is>
          <t>多</t>
        </is>
      </c>
      <c r="D688" t="n">
        <v>3</v>
      </c>
      <c r="E688" t="n">
        <v>7</v>
      </c>
      <c r="F688" t="inlineStr">
        <is>
          <t>观望</t>
        </is>
      </c>
      <c r="H688" t="n">
        <v>11206</v>
      </c>
      <c r="J688" t="n">
        <v>0</v>
      </c>
      <c r="K688" t="inlineStr">
        <is>
          <t>逆5日线（收盘在5日线下，不追多）</t>
        </is>
      </c>
    </row>
    <row r="689">
      <c r="A689" t="inlineStr">
        <is>
          <t>2022-04-21</t>
        </is>
      </c>
      <c r="B689" t="inlineStr">
        <is>
          <t>沪镍</t>
        </is>
      </c>
      <c r="C689" t="inlineStr">
        <is>
          <t>多</t>
        </is>
      </c>
      <c r="D689" t="n">
        <v>2</v>
      </c>
      <c r="E689" t="n">
        <v>5</v>
      </c>
      <c r="F689" t="inlineStr">
        <is>
          <t>不做</t>
        </is>
      </c>
      <c r="H689" t="n">
        <v>235930</v>
      </c>
      <c r="J689" t="n">
        <v>1</v>
      </c>
      <c r="K689" t="inlineStr">
        <is>
          <t>1手风险30426元超过预算10000元</t>
        </is>
      </c>
    </row>
    <row r="690">
      <c r="A690" t="inlineStr">
        <is>
          <t>2022-04-21</t>
        </is>
      </c>
      <c r="B690" t="inlineStr">
        <is>
          <t>沪锌</t>
        </is>
      </c>
      <c r="C690" t="inlineStr">
        <is>
          <t>多</t>
        </is>
      </c>
      <c r="D690" t="n">
        <v>2</v>
      </c>
      <c r="E690" t="n">
        <v>4</v>
      </c>
      <c r="F690" t="inlineStr">
        <is>
          <t>观望</t>
        </is>
      </c>
      <c r="G690" t="n">
        <v>1</v>
      </c>
      <c r="H690" t="n">
        <v>28400</v>
      </c>
      <c r="I690" t="n">
        <v>26608.57</v>
      </c>
      <c r="J690" t="n">
        <v>1</v>
      </c>
      <c r="K690" t="inlineStr">
        <is>
          <t>逆5日线（收盘在5日线下，不追多）</t>
        </is>
      </c>
    </row>
    <row r="691">
      <c r="A691" t="inlineStr">
        <is>
          <t>2022-04-21</t>
        </is>
      </c>
      <c r="B691" t="inlineStr">
        <is>
          <t>铁矿石</t>
        </is>
      </c>
      <c r="C691" t="inlineStr">
        <is>
          <t>多</t>
        </is>
      </c>
      <c r="D691" t="n">
        <v>2</v>
      </c>
      <c r="E691" t="n">
        <v>4</v>
      </c>
      <c r="F691" t="inlineStr">
        <is>
          <t>观望</t>
        </is>
      </c>
      <c r="H691" t="n">
        <v>904</v>
      </c>
      <c r="J691" t="n">
        <v>1</v>
      </c>
      <c r="K691" t="inlineStr">
        <is>
          <t>逆5日线（收盘在5日线下，不追多）</t>
        </is>
      </c>
    </row>
    <row r="692">
      <c r="A692" t="inlineStr">
        <is>
          <t>2022-04-22</t>
        </is>
      </c>
      <c r="B692" t="inlineStr">
        <is>
          <t>沪镍</t>
        </is>
      </c>
      <c r="C692" t="inlineStr">
        <is>
          <t>多</t>
        </is>
      </c>
      <c r="D692" t="n">
        <v>2</v>
      </c>
      <c r="E692" t="n">
        <v>5</v>
      </c>
      <c r="F692" t="inlineStr">
        <is>
          <t>不做</t>
        </is>
      </c>
      <c r="H692" t="n">
        <v>238580</v>
      </c>
      <c r="J692" t="n">
        <v>1</v>
      </c>
      <c r="K692" t="inlineStr">
        <is>
          <t>1手风险28241元超过预算10000元</t>
        </is>
      </c>
    </row>
    <row r="693">
      <c r="A693" t="inlineStr">
        <is>
          <t>2022-04-22</t>
        </is>
      </c>
      <c r="B693" t="inlineStr">
        <is>
          <t>聚丙烯</t>
        </is>
      </c>
      <c r="C693" t="inlineStr">
        <is>
          <t>空</t>
        </is>
      </c>
      <c r="D693" t="n">
        <v>2</v>
      </c>
      <c r="E693" t="n">
        <v>5</v>
      </c>
      <c r="F693" t="inlineStr">
        <is>
          <t>影子仓</t>
        </is>
      </c>
      <c r="G693" t="n">
        <v>4</v>
      </c>
      <c r="H693" t="n">
        <v>8754</v>
      </c>
      <c r="I693" t="n">
        <v>9189.43</v>
      </c>
      <c r="J693" t="n">
        <v>1</v>
      </c>
      <c r="K693" t="inlineStr">
        <is>
          <t>凯利≤0，开1%影子仓（只统计，不计入组合）</t>
        </is>
      </c>
    </row>
    <row r="694">
      <c r="A694" t="inlineStr">
        <is>
          <t>2022-04-22</t>
        </is>
      </c>
      <c r="B694" t="inlineStr">
        <is>
          <t>棕榈油</t>
        </is>
      </c>
      <c r="C694" t="inlineStr">
        <is>
          <t>多</t>
        </is>
      </c>
      <c r="D694" t="n">
        <v>2</v>
      </c>
      <c r="E694" t="n">
        <v>4</v>
      </c>
      <c r="F694" t="inlineStr">
        <is>
          <t>观望</t>
        </is>
      </c>
      <c r="H694" t="n">
        <v>11078</v>
      </c>
      <c r="J694" t="n">
        <v>1</v>
      </c>
      <c r="K694" t="inlineStr">
        <is>
          <t>逆5日线（收盘在5日线下，不追多）</t>
        </is>
      </c>
    </row>
    <row r="695">
      <c r="A695" t="inlineStr">
        <is>
          <t>2022-04-25</t>
        </is>
      </c>
      <c r="B695" t="inlineStr">
        <is>
          <t>沪锌</t>
        </is>
      </c>
      <c r="C695" t="inlineStr">
        <is>
          <t>多</t>
        </is>
      </c>
      <c r="D695" t="n">
        <v>2</v>
      </c>
      <c r="E695" t="n">
        <v>5</v>
      </c>
      <c r="F695" t="inlineStr">
        <is>
          <t>观望</t>
        </is>
      </c>
      <c r="G695" t="n">
        <v>1</v>
      </c>
      <c r="H695" t="n">
        <v>27650</v>
      </c>
      <c r="I695" t="n">
        <v>25705.36</v>
      </c>
      <c r="J695" t="n">
        <v>1</v>
      </c>
      <c r="K695" t="inlineStr">
        <is>
          <t>逆5日线（收盘在5日线下，不追多）</t>
        </is>
      </c>
    </row>
    <row r="696">
      <c r="A696" t="inlineStr">
        <is>
          <t>2022-04-26</t>
        </is>
      </c>
      <c r="B696" t="inlineStr">
        <is>
          <t>棕榈油</t>
        </is>
      </c>
      <c r="C696" t="inlineStr">
        <is>
          <t>多</t>
        </is>
      </c>
      <c r="D696" t="n">
        <v>3</v>
      </c>
      <c r="E696" t="n">
        <v>6</v>
      </c>
      <c r="F696" t="inlineStr">
        <is>
          <t>开仓</t>
        </is>
      </c>
      <c r="G696" t="n">
        <v>2</v>
      </c>
      <c r="H696" t="n">
        <v>11400</v>
      </c>
      <c r="I696" t="n">
        <v>10237.29</v>
      </c>
      <c r="J696" t="n">
        <v>3</v>
      </c>
      <c r="K696" t="inlineStr">
        <is>
          <t>¼凯利超上限，取3%</t>
        </is>
      </c>
    </row>
    <row r="697">
      <c r="A697" t="inlineStr">
        <is>
          <t>2022-04-26</t>
        </is>
      </c>
      <c r="B697" t="inlineStr">
        <is>
          <t>螺纹钢</t>
        </is>
      </c>
      <c r="C697" t="inlineStr">
        <is>
          <t>多</t>
        </is>
      </c>
      <c r="D697" t="n">
        <v>2</v>
      </c>
      <c r="E697" t="n">
        <v>4</v>
      </c>
      <c r="F697" t="inlineStr">
        <is>
          <t>观望</t>
        </is>
      </c>
      <c r="G697" t="n">
        <v>2</v>
      </c>
      <c r="H697" t="n">
        <v>4829</v>
      </c>
      <c r="I697" t="n">
        <v>4419.07</v>
      </c>
      <c r="J697" t="n">
        <v>1</v>
      </c>
      <c r="K697" t="inlineStr">
        <is>
          <t>逆5日线（收盘在5日线下，不追多）</t>
        </is>
      </c>
    </row>
    <row r="698">
      <c r="A698" t="inlineStr">
        <is>
          <t>2022-04-27</t>
        </is>
      </c>
      <c r="B698" t="inlineStr">
        <is>
          <t>棕榈油</t>
        </is>
      </c>
      <c r="C698" t="inlineStr">
        <is>
          <t>多</t>
        </is>
      </c>
      <c r="D698" t="n">
        <v>3</v>
      </c>
      <c r="E698" t="n">
        <v>6</v>
      </c>
      <c r="F698" t="inlineStr">
        <is>
          <t>续持</t>
        </is>
      </c>
      <c r="G698" t="n">
        <v>2</v>
      </c>
      <c r="H698" t="n">
        <v>11650</v>
      </c>
      <c r="I698" t="n">
        <v>10500.14</v>
      </c>
      <c r="J698" t="n">
        <v>3</v>
      </c>
      <c r="K698" t="inlineStr">
        <is>
          <t>续持原仓（2022-04-26开）</t>
        </is>
      </c>
    </row>
    <row r="699">
      <c r="A699" t="inlineStr">
        <is>
          <t>2022-04-27</t>
        </is>
      </c>
      <c r="B699" t="inlineStr">
        <is>
          <t>甲醇</t>
        </is>
      </c>
      <c r="C699" t="inlineStr">
        <is>
          <t>空</t>
        </is>
      </c>
      <c r="D699" t="n">
        <v>2</v>
      </c>
      <c r="E699" t="n">
        <v>5</v>
      </c>
      <c r="F699" t="inlineStr">
        <is>
          <t>影子仓</t>
        </is>
      </c>
      <c r="G699" t="n">
        <v>3</v>
      </c>
      <c r="H699" t="n">
        <v>2678</v>
      </c>
      <c r="I699" t="n">
        <v>2935.57</v>
      </c>
      <c r="J699" t="n">
        <v>1</v>
      </c>
      <c r="K699" t="inlineStr">
        <is>
          <t>凯利≤0，开1%影子仓（只统计，不计入组合）</t>
        </is>
      </c>
    </row>
    <row r="700">
      <c r="A700" t="inlineStr">
        <is>
          <t>2022-04-27</t>
        </is>
      </c>
      <c r="B700" t="inlineStr">
        <is>
          <t>PVC</t>
        </is>
      </c>
      <c r="C700" t="inlineStr">
        <is>
          <t>多</t>
        </is>
      </c>
      <c r="D700" t="n">
        <v>2</v>
      </c>
      <c r="E700" t="n">
        <v>4</v>
      </c>
      <c r="F700" t="inlineStr">
        <is>
          <t>观望</t>
        </is>
      </c>
      <c r="G700" t="n">
        <v>3</v>
      </c>
      <c r="H700" t="n">
        <v>8671</v>
      </c>
      <c r="I700" t="n">
        <v>8090.29</v>
      </c>
      <c r="J700" t="n">
        <v>1</v>
      </c>
      <c r="K700" t="inlineStr">
        <is>
          <t>逆5日线（收盘在5日线下，不追多）</t>
        </is>
      </c>
    </row>
    <row r="701">
      <c r="A701" t="inlineStr">
        <is>
          <t>2022-04-28</t>
        </is>
      </c>
      <c r="B701" t="inlineStr">
        <is>
          <t>塑料</t>
        </is>
      </c>
      <c r="C701" t="inlineStr">
        <is>
          <t>空</t>
        </is>
      </c>
      <c r="D701" t="n">
        <v>2</v>
      </c>
      <c r="E701" t="n">
        <v>4</v>
      </c>
      <c r="F701" t="inlineStr">
        <is>
          <t>影子仓</t>
        </is>
      </c>
      <c r="G701" t="n">
        <v>4</v>
      </c>
      <c r="H701" t="n">
        <v>8680</v>
      </c>
      <c r="I701" t="n">
        <v>9106.209999999999</v>
      </c>
      <c r="J701" t="n">
        <v>1</v>
      </c>
      <c r="K701" t="inlineStr">
        <is>
          <t>凯利≤0，开1%影子仓（只统计，不计入组合）</t>
        </is>
      </c>
    </row>
    <row r="702">
      <c r="A702" t="inlineStr">
        <is>
          <t>2022-04-29</t>
        </is>
      </c>
      <c r="B702" t="inlineStr">
        <is>
          <t>菜粕</t>
        </is>
      </c>
      <c r="C702" t="inlineStr">
        <is>
          <t>多</t>
        </is>
      </c>
      <c r="D702" t="n">
        <v>3</v>
      </c>
      <c r="E702" t="n">
        <v>6</v>
      </c>
      <c r="F702" t="inlineStr">
        <is>
          <t>开仓</t>
        </is>
      </c>
      <c r="G702" t="n">
        <v>8</v>
      </c>
      <c r="H702" t="n">
        <v>3835</v>
      </c>
      <c r="I702" t="n">
        <v>3496.21</v>
      </c>
      <c r="J702" t="n">
        <v>3</v>
      </c>
      <c r="K702" t="inlineStr">
        <is>
          <t>¼凯利超上限，取3%</t>
        </is>
      </c>
    </row>
    <row r="703">
      <c r="A703" t="inlineStr">
        <is>
          <t>2022-04-29</t>
        </is>
      </c>
      <c r="B703" t="inlineStr">
        <is>
          <t>豆油</t>
        </is>
      </c>
      <c r="C703" t="inlineStr">
        <is>
          <t>多</t>
        </is>
      </c>
      <c r="D703" t="n">
        <v>3</v>
      </c>
      <c r="E703" t="n">
        <v>6</v>
      </c>
      <c r="F703" t="inlineStr">
        <is>
          <t>开仓</t>
        </is>
      </c>
      <c r="G703" t="n">
        <v>3</v>
      </c>
      <c r="H703" t="n">
        <v>11524</v>
      </c>
      <c r="I703" t="n">
        <v>10721.71</v>
      </c>
      <c r="J703" t="n">
        <v>3</v>
      </c>
      <c r="K703" t="inlineStr">
        <is>
          <t>¼凯利超上限，取3%</t>
        </is>
      </c>
    </row>
    <row r="704">
      <c r="A704" t="inlineStr">
        <is>
          <t>2022-04-29</t>
        </is>
      </c>
      <c r="B704" t="inlineStr">
        <is>
          <t>豆粕</t>
        </is>
      </c>
      <c r="C704" t="inlineStr">
        <is>
          <t>多</t>
        </is>
      </c>
      <c r="D704" t="n">
        <v>3</v>
      </c>
      <c r="E704" t="n">
        <v>6</v>
      </c>
      <c r="F704" t="inlineStr">
        <is>
          <t>不做</t>
        </is>
      </c>
      <c r="H704" t="n">
        <v>4073</v>
      </c>
      <c r="J704" t="n">
        <v>0</v>
      </c>
      <c r="K704" t="inlineStr">
        <is>
          <t>农产品板块同方向已近6%，预算缩小</t>
        </is>
      </c>
    </row>
    <row r="705">
      <c r="A705" t="inlineStr">
        <is>
          <t>2022-04-29</t>
        </is>
      </c>
      <c r="B705" t="inlineStr">
        <is>
          <t>玉米</t>
        </is>
      </c>
      <c r="C705" t="inlineStr">
        <is>
          <t>多</t>
        </is>
      </c>
      <c r="D705" t="n">
        <v>3</v>
      </c>
      <c r="E705" t="n">
        <v>6</v>
      </c>
      <c r="F705" t="inlineStr">
        <is>
          <t>不做</t>
        </is>
      </c>
      <c r="H705" t="n">
        <v>3044</v>
      </c>
      <c r="J705" t="n">
        <v>0</v>
      </c>
      <c r="K705" t="inlineStr">
        <is>
          <t>农产品板块同方向已近6%，预算缩小</t>
        </is>
      </c>
    </row>
    <row r="706">
      <c r="A706" t="inlineStr">
        <is>
          <t>2022-04-29</t>
        </is>
      </c>
      <c r="B706" t="inlineStr">
        <is>
          <t>螺纹钢</t>
        </is>
      </c>
      <c r="C706" t="inlineStr">
        <is>
          <t>多</t>
        </is>
      </c>
      <c r="D706" t="n">
        <v>2</v>
      </c>
      <c r="E706" t="n">
        <v>4</v>
      </c>
      <c r="F706" t="inlineStr">
        <is>
          <t>影子仓</t>
        </is>
      </c>
      <c r="G706" t="n">
        <v>2</v>
      </c>
      <c r="H706" t="n">
        <v>4910</v>
      </c>
      <c r="I706" t="n">
        <v>4532</v>
      </c>
      <c r="J706" t="n">
        <v>1</v>
      </c>
      <c r="K706" t="inlineStr">
        <is>
          <t>凯利≤0，开1%影子仓（只统计，不计入组合）</t>
        </is>
      </c>
    </row>
    <row r="707">
      <c r="A707" t="inlineStr">
        <is>
          <t>2022-05-05</t>
        </is>
      </c>
      <c r="B707" t="inlineStr">
        <is>
          <t>沪金</t>
        </is>
      </c>
      <c r="C707" t="inlineStr">
        <is>
          <t>多</t>
        </is>
      </c>
      <c r="D707" t="n">
        <v>2</v>
      </c>
      <c r="E707" t="n">
        <v>5</v>
      </c>
      <c r="F707" t="inlineStr">
        <is>
          <t>不做</t>
        </is>
      </c>
      <c r="H707" t="n">
        <v>404.52</v>
      </c>
      <c r="J707" t="n">
        <v>1</v>
      </c>
      <c r="K707" t="inlineStr">
        <is>
          <t>1手风险12219元超过预算10000元</t>
        </is>
      </c>
    </row>
    <row r="708">
      <c r="A708" t="inlineStr">
        <is>
          <t>2022-05-05</t>
        </is>
      </c>
      <c r="B708" t="inlineStr">
        <is>
          <t>沪镍</t>
        </is>
      </c>
      <c r="C708" t="inlineStr">
        <is>
          <t>多</t>
        </is>
      </c>
      <c r="D708" t="n">
        <v>2</v>
      </c>
      <c r="E708" t="n">
        <v>5</v>
      </c>
      <c r="F708" t="inlineStr">
        <is>
          <t>观望</t>
        </is>
      </c>
      <c r="H708" t="n">
        <v>223310</v>
      </c>
      <c r="J708" t="n">
        <v>1</v>
      </c>
      <c r="K708" t="inlineStr">
        <is>
          <t>逆5日线（收盘在5日线下，不追多）</t>
        </is>
      </c>
    </row>
    <row r="709">
      <c r="A709" t="inlineStr">
        <is>
          <t>2022-05-05</t>
        </is>
      </c>
      <c r="B709" t="inlineStr">
        <is>
          <t>棕榈油</t>
        </is>
      </c>
      <c r="C709" t="inlineStr">
        <is>
          <t>多</t>
        </is>
      </c>
      <c r="D709" t="n">
        <v>2</v>
      </c>
      <c r="E709" t="n">
        <v>5</v>
      </c>
      <c r="F709" t="inlineStr">
        <is>
          <t>不做</t>
        </is>
      </c>
      <c r="H709" t="n">
        <v>11884</v>
      </c>
      <c r="J709" t="n">
        <v>1</v>
      </c>
      <c r="K709" t="inlineStr">
        <is>
          <t>1手风险13311元超过预算10000元</t>
        </is>
      </c>
    </row>
    <row r="710">
      <c r="A710" t="inlineStr">
        <is>
          <t>2022-05-05</t>
        </is>
      </c>
      <c r="B710" t="inlineStr">
        <is>
          <t>甲醇</t>
        </is>
      </c>
      <c r="C710" t="inlineStr">
        <is>
          <t>多</t>
        </is>
      </c>
      <c r="D710" t="n">
        <v>2</v>
      </c>
      <c r="E710" t="n">
        <v>5</v>
      </c>
      <c r="F710" t="inlineStr">
        <is>
          <t>影子仓</t>
        </is>
      </c>
      <c r="G710" t="n">
        <v>4</v>
      </c>
      <c r="H710" t="n">
        <v>2784</v>
      </c>
      <c r="I710" t="n">
        <v>2537.14</v>
      </c>
      <c r="J710" t="n">
        <v>1</v>
      </c>
      <c r="K710" t="inlineStr">
        <is>
          <t>凯利≤0，开1%影子仓（只统计，不计入组合）</t>
        </is>
      </c>
    </row>
    <row r="711">
      <c r="A711" t="inlineStr">
        <is>
          <t>2022-05-05</t>
        </is>
      </c>
      <c r="B711" t="inlineStr">
        <is>
          <t>豆油</t>
        </is>
      </c>
      <c r="C711" t="inlineStr">
        <is>
          <t>多</t>
        </is>
      </c>
      <c r="D711" t="n">
        <v>2</v>
      </c>
      <c r="E711" t="n">
        <v>4</v>
      </c>
      <c r="F711" t="inlineStr">
        <is>
          <t>观望</t>
        </is>
      </c>
      <c r="G711" t="n">
        <v>1</v>
      </c>
      <c r="H711" t="n">
        <v>11278</v>
      </c>
      <c r="I711" t="n">
        <v>10479.57</v>
      </c>
      <c r="J711" t="n">
        <v>1</v>
      </c>
      <c r="K711" t="inlineStr">
        <is>
          <t>逆5日线（收盘在5日线下，不追多）</t>
        </is>
      </c>
    </row>
    <row r="712">
      <c r="A712" t="inlineStr">
        <is>
          <t>2022-05-06</t>
        </is>
      </c>
      <c r="B712" t="inlineStr">
        <is>
          <t>沪金</t>
        </is>
      </c>
      <c r="C712" t="inlineStr">
        <is>
          <t>多</t>
        </is>
      </c>
      <c r="D712" t="n">
        <v>3</v>
      </c>
      <c r="E712" t="n">
        <v>6</v>
      </c>
      <c r="F712" t="inlineStr">
        <is>
          <t>开仓</t>
        </is>
      </c>
      <c r="G712" t="n">
        <v>2</v>
      </c>
      <c r="H712" t="n">
        <v>403.6</v>
      </c>
      <c r="I712" t="n">
        <v>390.8</v>
      </c>
      <c r="J712" t="n">
        <v>3</v>
      </c>
      <c r="K712" t="inlineStr">
        <is>
          <t>¼凯利超上限，取3%</t>
        </is>
      </c>
    </row>
    <row r="713">
      <c r="A713" t="inlineStr">
        <is>
          <t>2022-05-06</t>
        </is>
      </c>
      <c r="B713" t="inlineStr">
        <is>
          <t>PTA</t>
        </is>
      </c>
      <c r="C713" t="inlineStr">
        <is>
          <t>多</t>
        </is>
      </c>
      <c r="D713" t="n">
        <v>3</v>
      </c>
      <c r="E713" t="n">
        <v>6</v>
      </c>
      <c r="F713" t="inlineStr">
        <is>
          <t>开仓</t>
        </is>
      </c>
      <c r="G713" t="n">
        <v>4</v>
      </c>
      <c r="H713" t="n">
        <v>6442</v>
      </c>
      <c r="I713" t="n">
        <v>5975.71</v>
      </c>
      <c r="J713" t="n">
        <v>1</v>
      </c>
      <c r="K713" t="inlineStr">
        <is>
          <t>组合风险已近10%，预算缩小</t>
        </is>
      </c>
    </row>
    <row r="714">
      <c r="A714" t="inlineStr">
        <is>
          <t>2022-05-06</t>
        </is>
      </c>
      <c r="B714" t="inlineStr">
        <is>
          <t>棕榈油</t>
        </is>
      </c>
      <c r="C714" t="inlineStr">
        <is>
          <t>多</t>
        </is>
      </c>
      <c r="D714" t="n">
        <v>2</v>
      </c>
      <c r="E714" t="n">
        <v>5</v>
      </c>
      <c r="F714" t="inlineStr">
        <is>
          <t>观望</t>
        </is>
      </c>
      <c r="H714" t="n">
        <v>11562</v>
      </c>
      <c r="J714" t="n">
        <v>1</v>
      </c>
      <c r="K714" t="inlineStr">
        <is>
          <t>逆5日线（收盘在5日线下，不追多）</t>
        </is>
      </c>
    </row>
    <row r="715">
      <c r="A715" t="inlineStr">
        <is>
          <t>2022-05-06</t>
        </is>
      </c>
      <c r="B715" t="inlineStr">
        <is>
          <t>棉花</t>
        </is>
      </c>
      <c r="C715" t="inlineStr">
        <is>
          <t>多</t>
        </is>
      </c>
      <c r="D715" t="n">
        <v>2</v>
      </c>
      <c r="E715" t="n">
        <v>5</v>
      </c>
      <c r="F715" t="inlineStr">
        <is>
          <t>观望</t>
        </is>
      </c>
      <c r="G715" t="n">
        <v>2</v>
      </c>
      <c r="H715" t="n">
        <v>21300</v>
      </c>
      <c r="I715" t="n">
        <v>20402.14</v>
      </c>
      <c r="J715" t="n">
        <v>1</v>
      </c>
      <c r="K715" t="inlineStr">
        <is>
          <t>逆5日线（收盘在5日线下，不追多）</t>
        </is>
      </c>
    </row>
    <row r="716">
      <c r="A716" t="inlineStr">
        <is>
          <t>2022-05-06</t>
        </is>
      </c>
      <c r="B716" t="inlineStr">
        <is>
          <t>沪锌</t>
        </is>
      </c>
      <c r="C716" t="inlineStr">
        <is>
          <t>空</t>
        </is>
      </c>
      <c r="D716" t="n">
        <v>2</v>
      </c>
      <c r="E716" t="n">
        <v>5</v>
      </c>
      <c r="F716" t="inlineStr">
        <is>
          <t>影子仓</t>
        </is>
      </c>
      <c r="G716" t="n">
        <v>1</v>
      </c>
      <c r="H716" t="n">
        <v>26860</v>
      </c>
      <c r="I716" t="n">
        <v>28657.86</v>
      </c>
      <c r="J716" t="n">
        <v>1</v>
      </c>
      <c r="K716" t="inlineStr">
        <is>
          <t>凯利≤0，开1%影子仓（只统计，不计入组合）</t>
        </is>
      </c>
    </row>
    <row r="717">
      <c r="A717" t="inlineStr">
        <is>
          <t>2022-05-06</t>
        </is>
      </c>
      <c r="B717" t="inlineStr">
        <is>
          <t>豆油</t>
        </is>
      </c>
      <c r="C717" t="inlineStr">
        <is>
          <t>多</t>
        </is>
      </c>
      <c r="D717" t="n">
        <v>2</v>
      </c>
      <c r="E717" t="n">
        <v>4</v>
      </c>
      <c r="F717" t="inlineStr">
        <is>
          <t>观望</t>
        </is>
      </c>
      <c r="G717" t="n">
        <v>1</v>
      </c>
      <c r="H717" t="n">
        <v>11112</v>
      </c>
      <c r="I717" t="n">
        <v>10289.57</v>
      </c>
      <c r="J717" t="n">
        <v>1</v>
      </c>
      <c r="K717" t="inlineStr">
        <is>
          <t>逆5日线（收盘在5日线下，不追多）</t>
        </is>
      </c>
    </row>
    <row r="718">
      <c r="A718" t="inlineStr">
        <is>
          <t>2022-05-06</t>
        </is>
      </c>
      <c r="B718" t="inlineStr">
        <is>
          <t>聚丙烯</t>
        </is>
      </c>
      <c r="C718" t="inlineStr">
        <is>
          <t>空</t>
        </is>
      </c>
      <c r="D718" t="n">
        <v>2</v>
      </c>
      <c r="E718" t="n">
        <v>4</v>
      </c>
      <c r="F718" t="inlineStr">
        <is>
          <t>观望</t>
        </is>
      </c>
      <c r="G718" t="n">
        <v>4</v>
      </c>
      <c r="H718" t="n">
        <v>8809</v>
      </c>
      <c r="I718" t="n">
        <v>9262.43</v>
      </c>
      <c r="J718" t="n">
        <v>1</v>
      </c>
      <c r="K718" t="inlineStr">
        <is>
          <t>逆5日线（收盘在5日线上，不追空）</t>
        </is>
      </c>
    </row>
    <row r="719">
      <c r="A719" t="inlineStr">
        <is>
          <t>2022-05-09</t>
        </is>
      </c>
      <c r="B719" t="inlineStr">
        <is>
          <t>沪金</t>
        </is>
      </c>
      <c r="C719" t="inlineStr">
        <is>
          <t>多</t>
        </is>
      </c>
      <c r="D719" t="n">
        <v>3</v>
      </c>
      <c r="E719" t="n">
        <v>7</v>
      </c>
      <c r="F719" t="inlineStr">
        <is>
          <t>续持</t>
        </is>
      </c>
      <c r="G719" t="n">
        <v>2</v>
      </c>
      <c r="H719" t="n">
        <v>405.36</v>
      </c>
      <c r="I719" t="n">
        <v>393.62</v>
      </c>
      <c r="J719" t="n">
        <v>3</v>
      </c>
      <c r="K719" t="inlineStr">
        <is>
          <t>续持原仓（2022-05-06开）</t>
        </is>
      </c>
    </row>
    <row r="720">
      <c r="A720" t="inlineStr">
        <is>
          <t>2022-05-09</t>
        </is>
      </c>
      <c r="B720" t="inlineStr">
        <is>
          <t>棕榈油</t>
        </is>
      </c>
      <c r="C720" t="inlineStr">
        <is>
          <t>多</t>
        </is>
      </c>
      <c r="D720" t="n">
        <v>2</v>
      </c>
      <c r="E720" t="n">
        <v>5</v>
      </c>
      <c r="F720" t="inlineStr">
        <is>
          <t>观望</t>
        </is>
      </c>
      <c r="H720" t="n">
        <v>11568</v>
      </c>
      <c r="J720" t="n">
        <v>1</v>
      </c>
      <c r="K720" t="inlineStr">
        <is>
          <t>逆5日线（收盘在5日线下，不追多）</t>
        </is>
      </c>
    </row>
    <row r="721">
      <c r="A721" t="inlineStr">
        <is>
          <t>2022-05-09</t>
        </is>
      </c>
      <c r="B721" t="inlineStr">
        <is>
          <t>PTA</t>
        </is>
      </c>
      <c r="C721" t="inlineStr">
        <is>
          <t>多</t>
        </is>
      </c>
      <c r="D721" t="n">
        <v>2</v>
      </c>
      <c r="E721" t="n">
        <v>5</v>
      </c>
      <c r="F721" t="inlineStr">
        <is>
          <t>续持</t>
        </is>
      </c>
      <c r="G721" t="n">
        <v>4</v>
      </c>
      <c r="H721" t="n">
        <v>6388</v>
      </c>
      <c r="I721" t="n">
        <v>5983.71</v>
      </c>
      <c r="J721" t="n">
        <v>1</v>
      </c>
      <c r="K721" t="inlineStr">
        <is>
          <t>续持原仓（2022-05-06开）</t>
        </is>
      </c>
    </row>
    <row r="722">
      <c r="A722" t="inlineStr">
        <is>
          <t>2022-05-09</t>
        </is>
      </c>
      <c r="B722" t="inlineStr">
        <is>
          <t>沪镍</t>
        </is>
      </c>
      <c r="C722" t="inlineStr">
        <is>
          <t>多</t>
        </is>
      </c>
      <c r="D722" t="n">
        <v>2</v>
      </c>
      <c r="E722" t="n">
        <v>5</v>
      </c>
      <c r="F722" t="inlineStr">
        <is>
          <t>观望</t>
        </is>
      </c>
      <c r="H722" t="n">
        <v>209210</v>
      </c>
      <c r="J722" t="n">
        <v>1</v>
      </c>
      <c r="K722" t="inlineStr">
        <is>
          <t>逆5日线（收盘在5日线下，不追多）</t>
        </is>
      </c>
    </row>
    <row r="723">
      <c r="A723" t="inlineStr">
        <is>
          <t>2022-05-10</t>
        </is>
      </c>
      <c r="B723" t="inlineStr">
        <is>
          <t>棕榈油</t>
        </is>
      </c>
      <c r="C723" t="inlineStr">
        <is>
          <t>多</t>
        </is>
      </c>
      <c r="D723" t="n">
        <v>2</v>
      </c>
      <c r="E723" t="n">
        <v>5</v>
      </c>
      <c r="F723" t="inlineStr">
        <is>
          <t>观望</t>
        </is>
      </c>
      <c r="H723" t="n">
        <v>11552</v>
      </c>
      <c r="J723" t="n">
        <v>1</v>
      </c>
      <c r="K723" t="inlineStr">
        <is>
          <t>逆5日线（收盘在5日线下，不追多）</t>
        </is>
      </c>
    </row>
    <row r="724">
      <c r="A724" t="inlineStr">
        <is>
          <t>2022-05-10</t>
        </is>
      </c>
      <c r="B724" t="inlineStr">
        <is>
          <t>乙二醇</t>
        </is>
      </c>
      <c r="C724" t="inlineStr">
        <is>
          <t>多</t>
        </is>
      </c>
      <c r="D724" t="n">
        <v>2</v>
      </c>
      <c r="E724" t="n">
        <v>5</v>
      </c>
      <c r="F724" t="inlineStr">
        <is>
          <t>观望</t>
        </is>
      </c>
      <c r="G724" t="n">
        <v>2</v>
      </c>
      <c r="H724" t="n">
        <v>5011</v>
      </c>
      <c r="I724" t="n">
        <v>4570.86</v>
      </c>
      <c r="J724" t="n">
        <v>1</v>
      </c>
      <c r="K724" t="inlineStr">
        <is>
          <t>逆5日线（收盘在5日线下，不追多）</t>
        </is>
      </c>
    </row>
    <row r="725">
      <c r="A725" t="inlineStr">
        <is>
          <t>2022-05-10</t>
        </is>
      </c>
      <c r="B725" t="inlineStr">
        <is>
          <t>PTA</t>
        </is>
      </c>
      <c r="C725" t="inlineStr">
        <is>
          <t>多</t>
        </is>
      </c>
      <c r="D725" t="n">
        <v>2</v>
      </c>
      <c r="E725" t="n">
        <v>4</v>
      </c>
      <c r="F725" t="inlineStr">
        <is>
          <t>观望</t>
        </is>
      </c>
      <c r="G725" t="n">
        <v>3</v>
      </c>
      <c r="H725" t="n">
        <v>6180</v>
      </c>
      <c r="I725" t="n">
        <v>5678.14</v>
      </c>
      <c r="J725" t="n">
        <v>1</v>
      </c>
      <c r="K725" t="inlineStr">
        <is>
          <t>逆5日线（收盘在5日线下，不追多）</t>
        </is>
      </c>
    </row>
    <row r="726">
      <c r="A726" t="inlineStr">
        <is>
          <t>2022-05-10</t>
        </is>
      </c>
      <c r="B726" t="inlineStr">
        <is>
          <t>沪镍</t>
        </is>
      </c>
      <c r="C726" t="inlineStr">
        <is>
          <t>多</t>
        </is>
      </c>
      <c r="D726" t="n">
        <v>2</v>
      </c>
      <c r="E726" t="n">
        <v>4</v>
      </c>
      <c r="F726" t="inlineStr">
        <is>
          <t>观望</t>
        </is>
      </c>
      <c r="H726" t="n">
        <v>202400</v>
      </c>
      <c r="J726" t="n">
        <v>1</v>
      </c>
      <c r="K726" t="inlineStr">
        <is>
          <t>逆5日线（收盘在5日线下，不追多）</t>
        </is>
      </c>
    </row>
    <row r="727">
      <c r="A727" t="inlineStr">
        <is>
          <t>2022-05-10</t>
        </is>
      </c>
      <c r="B727" t="inlineStr">
        <is>
          <t>沪锌</t>
        </is>
      </c>
      <c r="C727" t="inlineStr">
        <is>
          <t>空</t>
        </is>
      </c>
      <c r="D727" t="n">
        <v>2</v>
      </c>
      <c r="E727" t="n">
        <v>4</v>
      </c>
      <c r="F727" t="inlineStr">
        <is>
          <t>续持</t>
        </is>
      </c>
      <c r="G727" t="n">
        <v>1</v>
      </c>
      <c r="H727" t="n">
        <v>25775</v>
      </c>
      <c r="I727" t="n">
        <v>27205.36</v>
      </c>
      <c r="J727" t="n">
        <v>1</v>
      </c>
      <c r="K727" t="inlineStr">
        <is>
          <t>续持原仓（2022-05-06开）</t>
        </is>
      </c>
    </row>
    <row r="728">
      <c r="A728" t="inlineStr">
        <is>
          <t>2022-05-11</t>
        </is>
      </c>
      <c r="B728" t="inlineStr">
        <is>
          <t>棕榈油</t>
        </is>
      </c>
      <c r="C728" t="inlineStr">
        <is>
          <t>多</t>
        </is>
      </c>
      <c r="D728" t="n">
        <v>3</v>
      </c>
      <c r="E728" t="n">
        <v>6</v>
      </c>
      <c r="F728" t="inlineStr">
        <is>
          <t>观望</t>
        </is>
      </c>
      <c r="H728" t="n">
        <v>11580</v>
      </c>
      <c r="J728" t="n">
        <v>0</v>
      </c>
      <c r="K728" t="inlineStr">
        <is>
          <t>逆5日线（收盘在5日线下，不追多）</t>
        </is>
      </c>
    </row>
    <row r="729">
      <c r="A729" t="inlineStr">
        <is>
          <t>2022-05-11</t>
        </is>
      </c>
      <c r="B729" t="inlineStr">
        <is>
          <t>沥青</t>
        </is>
      </c>
      <c r="C729" t="inlineStr">
        <is>
          <t>多</t>
        </is>
      </c>
      <c r="D729" t="n">
        <v>3</v>
      </c>
      <c r="E729" t="n">
        <v>6</v>
      </c>
      <c r="F729" t="inlineStr">
        <is>
          <t>观望</t>
        </is>
      </c>
      <c r="G729" t="n">
        <v>6</v>
      </c>
      <c r="H729" t="n">
        <v>4303</v>
      </c>
      <c r="I729" t="n">
        <v>3820</v>
      </c>
      <c r="J729" t="n">
        <v>3</v>
      </c>
      <c r="K729" t="inlineStr">
        <is>
          <t>逆5日线（收盘在5日线下，不追多）</t>
        </is>
      </c>
    </row>
    <row r="730">
      <c r="A730" t="inlineStr">
        <is>
          <t>2022-05-11</t>
        </is>
      </c>
      <c r="B730" t="inlineStr">
        <is>
          <t>沪镍</t>
        </is>
      </c>
      <c r="C730" t="inlineStr">
        <is>
          <t>多</t>
        </is>
      </c>
      <c r="D730" t="n">
        <v>3</v>
      </c>
      <c r="E730" t="n">
        <v>6</v>
      </c>
      <c r="F730" t="inlineStr">
        <is>
          <t>观望</t>
        </is>
      </c>
      <c r="H730" t="n">
        <v>206030</v>
      </c>
      <c r="J730" t="n">
        <v>3</v>
      </c>
      <c r="K730" t="inlineStr">
        <is>
          <t>逆5日线（收盘在5日线下，不追多）</t>
        </is>
      </c>
    </row>
    <row r="731">
      <c r="A731" t="inlineStr">
        <is>
          <t>2022-05-11</t>
        </is>
      </c>
      <c r="B731" t="inlineStr">
        <is>
          <t>沪银</t>
        </is>
      </c>
      <c r="C731" t="inlineStr">
        <is>
          <t>空</t>
        </is>
      </c>
      <c r="D731" t="n">
        <v>2</v>
      </c>
      <c r="E731" t="n">
        <v>5</v>
      </c>
      <c r="F731" t="inlineStr">
        <is>
          <t>影子仓</t>
        </is>
      </c>
      <c r="G731" t="n">
        <v>2</v>
      </c>
      <c r="H731" t="n">
        <v>4739</v>
      </c>
      <c r="I731" t="n">
        <v>5022.5</v>
      </c>
      <c r="J731" t="n">
        <v>1</v>
      </c>
      <c r="K731" t="inlineStr">
        <is>
          <t>凯利≤0，开1%影子仓（只统计，不计入组合）</t>
        </is>
      </c>
    </row>
    <row r="732">
      <c r="A732" t="inlineStr">
        <is>
          <t>2022-05-12</t>
        </is>
      </c>
      <c r="B732" t="inlineStr">
        <is>
          <t>沪锌</t>
        </is>
      </c>
      <c r="C732" t="inlineStr">
        <is>
          <t>空</t>
        </is>
      </c>
      <c r="D732" t="n">
        <v>3</v>
      </c>
      <c r="E732" t="n">
        <v>7</v>
      </c>
      <c r="F732" t="inlineStr">
        <is>
          <t>开仓</t>
        </is>
      </c>
      <c r="G732" t="n">
        <v>3</v>
      </c>
      <c r="H732" t="n">
        <v>25545</v>
      </c>
      <c r="I732" t="n">
        <v>27386.79</v>
      </c>
      <c r="J732" t="n">
        <v>3</v>
      </c>
      <c r="K732" t="inlineStr">
        <is>
          <t>¼凯利超上限，取3%</t>
        </is>
      </c>
    </row>
    <row r="733">
      <c r="A733" t="inlineStr">
        <is>
          <t>2022-05-12</t>
        </is>
      </c>
      <c r="B733" t="inlineStr">
        <is>
          <t>沪银</t>
        </is>
      </c>
      <c r="C733" t="inlineStr">
        <is>
          <t>空</t>
        </is>
      </c>
      <c r="D733" t="n">
        <v>3</v>
      </c>
      <c r="E733" t="n">
        <v>6</v>
      </c>
      <c r="F733" t="inlineStr">
        <is>
          <t>续持</t>
        </is>
      </c>
      <c r="G733" t="n">
        <v>2</v>
      </c>
      <c r="H733" t="n">
        <v>4718</v>
      </c>
      <c r="I733" t="n">
        <v>4981.64</v>
      </c>
      <c r="J733" t="n">
        <v>1</v>
      </c>
      <c r="K733" t="inlineStr">
        <is>
          <t>续持原仓（2022-05-11开）</t>
        </is>
      </c>
    </row>
    <row r="734">
      <c r="A734" t="inlineStr">
        <is>
          <t>2022-05-12</t>
        </is>
      </c>
      <c r="B734" t="inlineStr">
        <is>
          <t>豆粕</t>
        </is>
      </c>
      <c r="C734" t="inlineStr">
        <is>
          <t>多</t>
        </is>
      </c>
      <c r="D734" t="n">
        <v>2</v>
      </c>
      <c r="E734" t="n">
        <v>4</v>
      </c>
      <c r="F734" t="inlineStr">
        <is>
          <t>观望</t>
        </is>
      </c>
      <c r="G734" t="n">
        <v>3</v>
      </c>
      <c r="H734" t="n">
        <v>3933</v>
      </c>
      <c r="I734" t="n">
        <v>3607.93</v>
      </c>
      <c r="J734" t="n">
        <v>1</v>
      </c>
      <c r="K734" t="inlineStr">
        <is>
          <t>逆5日线（收盘在5日线下，不追多）</t>
        </is>
      </c>
    </row>
    <row r="735">
      <c r="A735" t="inlineStr">
        <is>
          <t>2022-05-13</t>
        </is>
      </c>
      <c r="B735" t="inlineStr">
        <is>
          <t>豆粕</t>
        </is>
      </c>
      <c r="C735" t="inlineStr">
        <is>
          <t>多</t>
        </is>
      </c>
      <c r="D735" t="n">
        <v>3</v>
      </c>
      <c r="E735" t="n">
        <v>7</v>
      </c>
      <c r="F735" t="inlineStr">
        <is>
          <t>开仓</t>
        </is>
      </c>
      <c r="G735" t="n">
        <v>8</v>
      </c>
      <c r="H735" t="n">
        <v>4054</v>
      </c>
      <c r="I735" t="n">
        <v>3718.21</v>
      </c>
      <c r="J735" t="n">
        <v>3</v>
      </c>
      <c r="K735" t="inlineStr">
        <is>
          <t>¼凯利超上限，取3%</t>
        </is>
      </c>
    </row>
    <row r="736">
      <c r="A736" t="inlineStr">
        <is>
          <t>2022-05-13</t>
        </is>
      </c>
      <c r="B736" t="inlineStr">
        <is>
          <t>棕榈油</t>
        </is>
      </c>
      <c r="C736" t="inlineStr">
        <is>
          <t>多</t>
        </is>
      </c>
      <c r="D736" t="n">
        <v>3</v>
      </c>
      <c r="E736" t="n">
        <v>7</v>
      </c>
      <c r="F736" t="inlineStr">
        <is>
          <t>开仓</t>
        </is>
      </c>
      <c r="G736" t="n">
        <v>2</v>
      </c>
      <c r="H736" t="n">
        <v>11672</v>
      </c>
      <c r="I736" t="n">
        <v>10313.86</v>
      </c>
      <c r="J736" t="n">
        <v>3</v>
      </c>
      <c r="K736" t="inlineStr">
        <is>
          <t>¼凯利超上限，取3%</t>
        </is>
      </c>
    </row>
    <row r="737">
      <c r="A737" t="inlineStr">
        <is>
          <t>2022-05-13</t>
        </is>
      </c>
      <c r="B737" t="inlineStr">
        <is>
          <t>沥青</t>
        </is>
      </c>
      <c r="C737" t="inlineStr">
        <is>
          <t>多</t>
        </is>
      </c>
      <c r="D737" t="n">
        <v>3</v>
      </c>
      <c r="E737" t="n">
        <v>6</v>
      </c>
      <c r="F737" t="inlineStr">
        <is>
          <t>开仓</t>
        </is>
      </c>
      <c r="G737" t="n">
        <v>2</v>
      </c>
      <c r="H737" t="n">
        <v>4323</v>
      </c>
      <c r="I737" t="n">
        <v>3832.5</v>
      </c>
      <c r="J737" t="n">
        <v>1</v>
      </c>
      <c r="K737" t="inlineStr">
        <is>
          <t>组合风险已近10%，预算缩小</t>
        </is>
      </c>
    </row>
    <row r="738">
      <c r="A738" t="inlineStr">
        <is>
          <t>2022-05-13</t>
        </is>
      </c>
      <c r="B738" t="inlineStr">
        <is>
          <t>PTA</t>
        </is>
      </c>
      <c r="C738" t="inlineStr">
        <is>
          <t>多</t>
        </is>
      </c>
      <c r="D738" t="n">
        <v>2</v>
      </c>
      <c r="E738" t="n">
        <v>5</v>
      </c>
      <c r="F738" t="inlineStr">
        <is>
          <t>影子仓</t>
        </is>
      </c>
      <c r="G738" t="n">
        <v>3</v>
      </c>
      <c r="H738" t="n">
        <v>6700</v>
      </c>
      <c r="I738" t="n">
        <v>6115</v>
      </c>
      <c r="J738" t="n">
        <v>1</v>
      </c>
      <c r="K738" t="inlineStr">
        <is>
          <t>凯利≤0，开1%影子仓（只统计，不计入组合）</t>
        </is>
      </c>
    </row>
    <row r="739">
      <c r="A739" t="inlineStr">
        <is>
          <t>2022-05-13</t>
        </is>
      </c>
      <c r="B739" t="inlineStr">
        <is>
          <t>白糖</t>
        </is>
      </c>
      <c r="C739" t="inlineStr">
        <is>
          <t>空</t>
        </is>
      </c>
      <c r="D739" t="n">
        <v>2</v>
      </c>
      <c r="E739" t="n">
        <v>4</v>
      </c>
      <c r="F739" t="inlineStr">
        <is>
          <t>影子仓</t>
        </is>
      </c>
      <c r="G739" t="n">
        <v>6</v>
      </c>
      <c r="H739" t="n">
        <v>5812</v>
      </c>
      <c r="I739" t="n">
        <v>5971.43</v>
      </c>
      <c r="J739" t="n">
        <v>1</v>
      </c>
      <c r="K739" t="inlineStr">
        <is>
          <t>凯利≤0，开1%影子仓（只统计，不计入组合）</t>
        </is>
      </c>
    </row>
    <row r="740">
      <c r="A740" t="inlineStr">
        <is>
          <t>2022-05-13</t>
        </is>
      </c>
      <c r="B740" t="inlineStr">
        <is>
          <t>沪镍</t>
        </is>
      </c>
      <c r="C740" t="inlineStr">
        <is>
          <t>多</t>
        </is>
      </c>
      <c r="D740" t="n">
        <v>2</v>
      </c>
      <c r="E740" t="n">
        <v>4</v>
      </c>
      <c r="F740" t="inlineStr">
        <is>
          <t>观望</t>
        </is>
      </c>
      <c r="H740" t="n">
        <v>203600</v>
      </c>
      <c r="J740" t="n">
        <v>1</v>
      </c>
      <c r="K740" t="inlineStr">
        <is>
          <t>逆5日线（收盘在5日线下，不追多）</t>
        </is>
      </c>
    </row>
    <row r="741">
      <c r="A741" t="inlineStr">
        <is>
          <t>2022-05-16</t>
        </is>
      </c>
      <c r="B741" t="inlineStr">
        <is>
          <t>豆粕</t>
        </is>
      </c>
      <c r="C741" t="inlineStr">
        <is>
          <t>多</t>
        </is>
      </c>
      <c r="D741" t="n">
        <v>3</v>
      </c>
      <c r="E741" t="n">
        <v>6</v>
      </c>
      <c r="F741" t="inlineStr">
        <is>
          <t>续持</t>
        </is>
      </c>
      <c r="G741" t="n">
        <v>8</v>
      </c>
      <c r="H741" t="n">
        <v>4141</v>
      </c>
      <c r="I741" t="n">
        <v>3805.07</v>
      </c>
      <c r="J741" t="n">
        <v>3</v>
      </c>
      <c r="K741" t="inlineStr">
        <is>
          <t>续持原仓（2022-05-13开）</t>
        </is>
      </c>
    </row>
    <row r="742">
      <c r="A742" t="inlineStr">
        <is>
          <t>2022-05-16</t>
        </is>
      </c>
      <c r="B742" t="inlineStr">
        <is>
          <t>PTA</t>
        </is>
      </c>
      <c r="C742" t="inlineStr">
        <is>
          <t>多</t>
        </is>
      </c>
      <c r="D742" t="n">
        <v>2</v>
      </c>
      <c r="E742" t="n">
        <v>5</v>
      </c>
      <c r="F742" t="inlineStr">
        <is>
          <t>续持</t>
        </is>
      </c>
      <c r="G742" t="n">
        <v>3</v>
      </c>
      <c r="H742" t="n">
        <v>6718</v>
      </c>
      <c r="I742" t="n">
        <v>6167.57</v>
      </c>
      <c r="J742" t="n">
        <v>1</v>
      </c>
      <c r="K742" t="inlineStr">
        <is>
          <t>续持原仓（2022-05-13开）</t>
        </is>
      </c>
    </row>
    <row r="743">
      <c r="A743" t="inlineStr">
        <is>
          <t>2022-05-16</t>
        </is>
      </c>
      <c r="B743" t="inlineStr">
        <is>
          <t>沪银</t>
        </is>
      </c>
      <c r="C743" t="inlineStr">
        <is>
          <t>空</t>
        </is>
      </c>
      <c r="D743" t="n">
        <v>2</v>
      </c>
      <c r="E743" t="n">
        <v>4</v>
      </c>
      <c r="F743" t="inlineStr">
        <is>
          <t>影子仓</t>
        </is>
      </c>
      <c r="G743" t="n">
        <v>2</v>
      </c>
      <c r="H743" t="n">
        <v>4662</v>
      </c>
      <c r="I743" t="n">
        <v>4961.79</v>
      </c>
      <c r="J743" t="n">
        <v>1</v>
      </c>
      <c r="K743" t="inlineStr">
        <is>
          <t>凯利≤0，开1%影子仓（只统计，不计入组合）</t>
        </is>
      </c>
    </row>
    <row r="744">
      <c r="A744" t="inlineStr">
        <is>
          <t>2022-05-17</t>
        </is>
      </c>
      <c r="B744" t="inlineStr">
        <is>
          <t>沥青</t>
        </is>
      </c>
      <c r="C744" t="inlineStr">
        <is>
          <t>多</t>
        </is>
      </c>
      <c r="D744" t="n">
        <v>2</v>
      </c>
      <c r="E744" t="n">
        <v>5</v>
      </c>
      <c r="F744" t="inlineStr">
        <is>
          <t>续持</t>
        </is>
      </c>
      <c r="G744" t="n">
        <v>2</v>
      </c>
      <c r="H744" t="n">
        <v>4396</v>
      </c>
      <c r="I744" t="n">
        <v>3910.64</v>
      </c>
      <c r="J744" t="n">
        <v>1</v>
      </c>
      <c r="K744" t="inlineStr">
        <is>
          <t>续持原仓（2022-05-13开）</t>
        </is>
      </c>
    </row>
    <row r="745">
      <c r="A745" t="inlineStr">
        <is>
          <t>2022-05-17</t>
        </is>
      </c>
      <c r="B745" t="inlineStr">
        <is>
          <t>玉米</t>
        </is>
      </c>
      <c r="C745" t="inlineStr">
        <is>
          <t>多</t>
        </is>
      </c>
      <c r="D745" t="n">
        <v>2</v>
      </c>
      <c r="E745" t="n">
        <v>5</v>
      </c>
      <c r="F745" t="inlineStr">
        <is>
          <t>影子仓</t>
        </is>
      </c>
      <c r="G745" t="n">
        <v>9</v>
      </c>
      <c r="H745" t="n">
        <v>3010</v>
      </c>
      <c r="I745" t="n">
        <v>2909.07</v>
      </c>
      <c r="J745" t="n">
        <v>1</v>
      </c>
      <c r="K745" t="inlineStr">
        <is>
          <t>凯利≤0，开1%影子仓（只统计，不计入组合）</t>
        </is>
      </c>
    </row>
    <row r="746">
      <c r="A746" t="inlineStr">
        <is>
          <t>2022-05-18</t>
        </is>
      </c>
      <c r="B746" t="inlineStr">
        <is>
          <t>玻璃</t>
        </is>
      </c>
      <c r="C746" t="inlineStr">
        <is>
          <t>空</t>
        </is>
      </c>
      <c r="D746" t="n">
        <v>3</v>
      </c>
      <c r="E746" t="n">
        <v>6</v>
      </c>
      <c r="F746" t="inlineStr">
        <is>
          <t>开仓</t>
        </is>
      </c>
      <c r="G746" t="n">
        <v>8</v>
      </c>
      <c r="H746" t="n">
        <v>1766</v>
      </c>
      <c r="I746" t="n">
        <v>1943.21</v>
      </c>
      <c r="J746" t="n">
        <v>3</v>
      </c>
      <c r="K746" t="inlineStr">
        <is>
          <t>¼凯利超上限，取3%</t>
        </is>
      </c>
    </row>
    <row r="747">
      <c r="A747" t="inlineStr">
        <is>
          <t>2022-05-18</t>
        </is>
      </c>
      <c r="B747" t="inlineStr">
        <is>
          <t>沪银</t>
        </is>
      </c>
      <c r="C747" t="inlineStr">
        <is>
          <t>空</t>
        </is>
      </c>
      <c r="D747" t="n">
        <v>3</v>
      </c>
      <c r="E747" t="n">
        <v>6</v>
      </c>
      <c r="F747" t="inlineStr">
        <is>
          <t>观望</t>
        </is>
      </c>
      <c r="H747" t="n">
        <v>4707</v>
      </c>
      <c r="J747" t="n">
        <v>0</v>
      </c>
      <c r="K747" t="inlineStr">
        <is>
          <t>逆5日线（收盘在5日线上，不追空）</t>
        </is>
      </c>
    </row>
    <row r="748">
      <c r="A748" t="inlineStr">
        <is>
          <t>2022-05-18</t>
        </is>
      </c>
      <c r="B748" t="inlineStr">
        <is>
          <t>沪锌</t>
        </is>
      </c>
      <c r="C748" t="inlineStr">
        <is>
          <t>空</t>
        </is>
      </c>
      <c r="D748" t="n">
        <v>3</v>
      </c>
      <c r="E748" t="n">
        <v>6</v>
      </c>
      <c r="F748" t="inlineStr">
        <is>
          <t>不做</t>
        </is>
      </c>
      <c r="H748" t="n">
        <v>25475</v>
      </c>
      <c r="J748" t="n">
        <v>0</v>
      </c>
      <c r="K748" t="inlineStr">
        <is>
          <t>组合风险已近10%，预算缩小</t>
        </is>
      </c>
    </row>
    <row r="749">
      <c r="A749" t="inlineStr">
        <is>
          <t>2022-05-18</t>
        </is>
      </c>
      <c r="B749" t="inlineStr">
        <is>
          <t>白糖</t>
        </is>
      </c>
      <c r="C749" t="inlineStr">
        <is>
          <t>空</t>
        </is>
      </c>
      <c r="D749" t="n">
        <v>2</v>
      </c>
      <c r="E749" t="n">
        <v>4</v>
      </c>
      <c r="F749" t="inlineStr">
        <is>
          <t>观望</t>
        </is>
      </c>
      <c r="G749" t="n">
        <v>6</v>
      </c>
      <c r="H749" t="n">
        <v>5943</v>
      </c>
      <c r="I749" t="n">
        <v>6098.14</v>
      </c>
      <c r="J749" t="n">
        <v>1</v>
      </c>
      <c r="K749" t="inlineStr">
        <is>
          <t>逆5日线（收盘在5日线上，不追空）</t>
        </is>
      </c>
    </row>
    <row r="750">
      <c r="A750" t="inlineStr">
        <is>
          <t>2022-05-19</t>
        </is>
      </c>
      <c r="B750" t="inlineStr">
        <is>
          <t>沪锌</t>
        </is>
      </c>
      <c r="C750" t="inlineStr">
        <is>
          <t>空</t>
        </is>
      </c>
      <c r="D750" t="n">
        <v>2</v>
      </c>
      <c r="E750" t="n">
        <v>5</v>
      </c>
      <c r="F750" t="inlineStr">
        <is>
          <t>影子仓</t>
        </is>
      </c>
      <c r="G750" t="n">
        <v>1</v>
      </c>
      <c r="H750" t="n">
        <v>25505</v>
      </c>
      <c r="I750" t="n">
        <v>27246.07</v>
      </c>
      <c r="J750" t="n">
        <v>1</v>
      </c>
      <c r="K750" t="inlineStr">
        <is>
          <t>凯利≤0，开1%影子仓（只统计，不计入组合）</t>
        </is>
      </c>
    </row>
    <row r="751">
      <c r="A751" t="inlineStr">
        <is>
          <t>2022-05-19</t>
        </is>
      </c>
      <c r="B751" t="inlineStr">
        <is>
          <t>沪银</t>
        </is>
      </c>
      <c r="C751" t="inlineStr">
        <is>
          <t>空</t>
        </is>
      </c>
      <c r="D751" t="n">
        <v>2</v>
      </c>
      <c r="E751" t="n">
        <v>4</v>
      </c>
      <c r="F751" t="inlineStr">
        <is>
          <t>观望</t>
        </is>
      </c>
      <c r="G751" t="n">
        <v>2</v>
      </c>
      <c r="H751" t="n">
        <v>4707</v>
      </c>
      <c r="I751" t="n">
        <v>4989.86</v>
      </c>
      <c r="J751" t="n">
        <v>1</v>
      </c>
      <c r="K751" t="inlineStr">
        <is>
          <t>逆5日线（收盘在5日线上，不追空）</t>
        </is>
      </c>
    </row>
    <row r="752">
      <c r="A752" t="inlineStr">
        <is>
          <t>2022-05-20</t>
        </is>
      </c>
      <c r="B752" t="inlineStr">
        <is>
          <t>PTA</t>
        </is>
      </c>
      <c r="C752" t="inlineStr">
        <is>
          <t>多</t>
        </is>
      </c>
      <c r="D752" t="n">
        <v>3</v>
      </c>
      <c r="E752" t="n">
        <v>7</v>
      </c>
      <c r="F752" t="inlineStr">
        <is>
          <t>开仓</t>
        </is>
      </c>
      <c r="G752" t="n">
        <v>3</v>
      </c>
      <c r="H752" t="n">
        <v>6698</v>
      </c>
      <c r="I752" t="n">
        <v>6126.71</v>
      </c>
      <c r="J752" t="n">
        <v>1</v>
      </c>
      <c r="K752" t="inlineStr">
        <is>
          <t>组合风险已近10%，预算缩小</t>
        </is>
      </c>
    </row>
    <row r="753">
      <c r="A753" t="inlineStr">
        <is>
          <t>2022-05-20</t>
        </is>
      </c>
      <c r="B753" t="inlineStr">
        <is>
          <t>沪银</t>
        </is>
      </c>
      <c r="C753" t="inlineStr">
        <is>
          <t>空</t>
        </is>
      </c>
      <c r="D753" t="n">
        <v>2</v>
      </c>
      <c r="E753" t="n">
        <v>4</v>
      </c>
      <c r="F753" t="inlineStr">
        <is>
          <t>观望</t>
        </is>
      </c>
      <c r="G753" t="n">
        <v>2</v>
      </c>
      <c r="H753" t="n">
        <v>4775</v>
      </c>
      <c r="I753" t="n">
        <v>5060.43</v>
      </c>
      <c r="J753" t="n">
        <v>1</v>
      </c>
      <c r="K753" t="inlineStr">
        <is>
          <t>逆5日线（收盘在5日线上，不追空）</t>
        </is>
      </c>
    </row>
    <row r="754">
      <c r="A754" t="inlineStr">
        <is>
          <t>2022-05-20</t>
        </is>
      </c>
      <c r="B754" t="inlineStr">
        <is>
          <t>沪锌</t>
        </is>
      </c>
      <c r="C754" t="inlineStr">
        <is>
          <t>空</t>
        </is>
      </c>
      <c r="D754" t="n">
        <v>2</v>
      </c>
      <c r="E754" t="n">
        <v>4</v>
      </c>
      <c r="F754" t="inlineStr">
        <is>
          <t>观望</t>
        </is>
      </c>
      <c r="G754" t="n">
        <v>1</v>
      </c>
      <c r="H754" t="n">
        <v>25685</v>
      </c>
      <c r="I754" t="n">
        <v>27436.79</v>
      </c>
      <c r="J754" t="n">
        <v>1</v>
      </c>
      <c r="K754" t="inlineStr">
        <is>
          <t>逆5日线（收盘在5日线上，不追空）</t>
        </is>
      </c>
    </row>
    <row r="755">
      <c r="A755" t="inlineStr">
        <is>
          <t>2022-05-20</t>
        </is>
      </c>
      <c r="B755" t="inlineStr">
        <is>
          <t>玉米</t>
        </is>
      </c>
      <c r="C755" t="inlineStr">
        <is>
          <t>多</t>
        </is>
      </c>
      <c r="D755" t="n">
        <v>2</v>
      </c>
      <c r="E755" t="n">
        <v>4</v>
      </c>
      <c r="F755" t="inlineStr">
        <is>
          <t>续持</t>
        </is>
      </c>
      <c r="G755" t="n">
        <v>9</v>
      </c>
      <c r="H755" t="n">
        <v>3010</v>
      </c>
      <c r="I755" t="n">
        <v>2926.57</v>
      </c>
      <c r="J755" t="n">
        <v>1</v>
      </c>
      <c r="K755" t="inlineStr">
        <is>
          <t>续持原仓（2022-05-17开）</t>
        </is>
      </c>
    </row>
    <row r="756">
      <c r="A756" t="inlineStr">
        <is>
          <t>2022-05-20</t>
        </is>
      </c>
      <c r="B756" t="inlineStr">
        <is>
          <t>豆油</t>
        </is>
      </c>
      <c r="C756" t="inlineStr">
        <is>
          <t>多</t>
        </is>
      </c>
      <c r="D756" t="n">
        <v>2</v>
      </c>
      <c r="E756" t="n">
        <v>4</v>
      </c>
      <c r="F756" t="inlineStr">
        <is>
          <t>影子仓</t>
        </is>
      </c>
      <c r="G756" t="n">
        <v>1</v>
      </c>
      <c r="H756" t="n">
        <v>11428</v>
      </c>
      <c r="I756" t="n">
        <v>10699.86</v>
      </c>
      <c r="J756" t="n">
        <v>1</v>
      </c>
      <c r="K756" t="inlineStr">
        <is>
          <t>凯利≤0，开1%影子仓（只统计，不计入组合）</t>
        </is>
      </c>
    </row>
    <row r="757">
      <c r="A757" t="inlineStr">
        <is>
          <t>2022-05-23</t>
        </is>
      </c>
      <c r="B757" t="inlineStr">
        <is>
          <t>沥青</t>
        </is>
      </c>
      <c r="C757" t="inlineStr">
        <is>
          <t>多</t>
        </is>
      </c>
      <c r="D757" t="n">
        <v>2</v>
      </c>
      <c r="E757" t="n">
        <v>4</v>
      </c>
      <c r="F757" t="inlineStr">
        <is>
          <t>影子仓</t>
        </is>
      </c>
      <c r="G757" t="n">
        <v>2</v>
      </c>
      <c r="H757" t="n">
        <v>4415</v>
      </c>
      <c r="I757" t="n">
        <v>3976.14</v>
      </c>
      <c r="J757" t="n">
        <v>1</v>
      </c>
      <c r="K757" t="inlineStr">
        <is>
          <t>凯利≤0，开1%影子仓（只统计，不计入组合）</t>
        </is>
      </c>
    </row>
    <row r="758">
      <c r="A758" t="inlineStr">
        <is>
          <t>2022-05-23</t>
        </is>
      </c>
      <c r="B758" t="inlineStr">
        <is>
          <t>豆油</t>
        </is>
      </c>
      <c r="C758" t="inlineStr">
        <is>
          <t>多</t>
        </is>
      </c>
      <c r="D758" t="n">
        <v>2</v>
      </c>
      <c r="E758" t="n">
        <v>4</v>
      </c>
      <c r="F758" t="inlineStr">
        <is>
          <t>续持</t>
        </is>
      </c>
      <c r="G758" t="n">
        <v>1</v>
      </c>
      <c r="H758" t="n">
        <v>11454</v>
      </c>
      <c r="I758" t="n">
        <v>10836.14</v>
      </c>
      <c r="J758" t="n">
        <v>1</v>
      </c>
      <c r="K758" t="inlineStr">
        <is>
          <t>续持原仓（2022-05-20开）</t>
        </is>
      </c>
    </row>
    <row r="759">
      <c r="A759" t="inlineStr">
        <is>
          <t>2022-05-24</t>
        </is>
      </c>
      <c r="B759" t="inlineStr">
        <is>
          <t>沥青</t>
        </is>
      </c>
      <c r="C759" t="inlineStr">
        <is>
          <t>多</t>
        </is>
      </c>
      <c r="D759" t="n">
        <v>3</v>
      </c>
      <c r="E759" t="n">
        <v>6</v>
      </c>
      <c r="F759" t="inlineStr">
        <is>
          <t>续持</t>
        </is>
      </c>
      <c r="G759" t="n">
        <v>2</v>
      </c>
      <c r="H759" t="n">
        <v>4435</v>
      </c>
      <c r="I759" t="n">
        <v>4024.43</v>
      </c>
      <c r="J759" t="n">
        <v>1</v>
      </c>
      <c r="K759" t="inlineStr">
        <is>
          <t>续持原仓（2022-05-23开）</t>
        </is>
      </c>
    </row>
    <row r="760">
      <c r="A760" t="inlineStr">
        <is>
          <t>2022-05-24</t>
        </is>
      </c>
      <c r="B760" t="inlineStr">
        <is>
          <t>PTA</t>
        </is>
      </c>
      <c r="C760" t="inlineStr">
        <is>
          <t>多</t>
        </is>
      </c>
      <c r="D760" t="n">
        <v>2</v>
      </c>
      <c r="E760" t="n">
        <v>5</v>
      </c>
      <c r="F760" t="inlineStr">
        <is>
          <t>观望</t>
        </is>
      </c>
      <c r="G760" t="n">
        <v>3</v>
      </c>
      <c r="H760" t="n">
        <v>6580</v>
      </c>
      <c r="I760" t="n">
        <v>6019.86</v>
      </c>
      <c r="J760" t="n">
        <v>1</v>
      </c>
      <c r="K760" t="inlineStr">
        <is>
          <t>逆5日线（收盘在5日线下，不追多）</t>
        </is>
      </c>
    </row>
    <row r="761">
      <c r="A761" t="inlineStr">
        <is>
          <t>2022-05-24</t>
        </is>
      </c>
      <c r="B761" t="inlineStr">
        <is>
          <t>豆油</t>
        </is>
      </c>
      <c r="C761" t="inlineStr">
        <is>
          <t>多</t>
        </is>
      </c>
      <c r="D761" t="n">
        <v>2</v>
      </c>
      <c r="E761" t="n">
        <v>5</v>
      </c>
      <c r="F761" t="inlineStr">
        <is>
          <t>续持</t>
        </is>
      </c>
      <c r="G761" t="n">
        <v>1</v>
      </c>
      <c r="H761" t="n">
        <v>11480</v>
      </c>
      <c r="I761" t="n">
        <v>10853.29</v>
      </c>
      <c r="J761" t="n">
        <v>1</v>
      </c>
      <c r="K761" t="inlineStr">
        <is>
          <t>续持原仓（2022-05-20开）</t>
        </is>
      </c>
    </row>
    <row r="762">
      <c r="A762" t="inlineStr">
        <is>
          <t>2022-05-24</t>
        </is>
      </c>
      <c r="B762" t="inlineStr">
        <is>
          <t>甲醇</t>
        </is>
      </c>
      <c r="C762" t="inlineStr">
        <is>
          <t>多</t>
        </is>
      </c>
      <c r="D762" t="n">
        <v>2</v>
      </c>
      <c r="E762" t="n">
        <v>4</v>
      </c>
      <c r="F762" t="inlineStr">
        <is>
          <t>观望</t>
        </is>
      </c>
      <c r="G762" t="n">
        <v>4</v>
      </c>
      <c r="H762" t="n">
        <v>2726</v>
      </c>
      <c r="I762" t="n">
        <v>2480.64</v>
      </c>
      <c r="J762" t="n">
        <v>1</v>
      </c>
      <c r="K762" t="inlineStr">
        <is>
          <t>逆5日线（收盘在5日线下，不追多）</t>
        </is>
      </c>
    </row>
    <row r="763">
      <c r="A763" t="inlineStr">
        <is>
          <t>2022-05-24</t>
        </is>
      </c>
      <c r="B763" t="inlineStr">
        <is>
          <t>玻璃</t>
        </is>
      </c>
      <c r="C763" t="inlineStr">
        <is>
          <t>空</t>
        </is>
      </c>
      <c r="D763" t="n">
        <v>2</v>
      </c>
      <c r="E763" t="n">
        <v>4</v>
      </c>
      <c r="F763" t="inlineStr">
        <is>
          <t>续持</t>
        </is>
      </c>
      <c r="G763" t="n">
        <v>8</v>
      </c>
      <c r="H763" t="n">
        <v>1751</v>
      </c>
      <c r="I763" t="n">
        <v>1910.5</v>
      </c>
      <c r="J763" t="n">
        <v>3</v>
      </c>
      <c r="K763" t="inlineStr">
        <is>
          <t>续持原仓（2022-05-18开）</t>
        </is>
      </c>
    </row>
    <row r="764">
      <c r="A764" t="inlineStr">
        <is>
          <t>2022-05-25</t>
        </is>
      </c>
      <c r="B764" t="inlineStr">
        <is>
          <t>PTA</t>
        </is>
      </c>
      <c r="C764" t="inlineStr">
        <is>
          <t>多</t>
        </is>
      </c>
      <c r="D764" t="n">
        <v>3</v>
      </c>
      <c r="E764" t="n">
        <v>7</v>
      </c>
      <c r="F764" t="inlineStr">
        <is>
          <t>开仓</t>
        </is>
      </c>
      <c r="G764" t="n">
        <v>10</v>
      </c>
      <c r="H764" t="n">
        <v>6718</v>
      </c>
      <c r="I764" t="n">
        <v>6146.71</v>
      </c>
      <c r="J764" t="n">
        <v>3</v>
      </c>
      <c r="K764" t="inlineStr">
        <is>
          <t>¼凯利超上限，取3%</t>
        </is>
      </c>
    </row>
    <row r="765">
      <c r="A765" t="inlineStr">
        <is>
          <t>2022-05-25</t>
        </is>
      </c>
      <c r="B765" t="inlineStr">
        <is>
          <t>豆油</t>
        </is>
      </c>
      <c r="C765" t="inlineStr">
        <is>
          <t>多</t>
        </is>
      </c>
      <c r="D765" t="n">
        <v>3</v>
      </c>
      <c r="E765" t="n">
        <v>7</v>
      </c>
      <c r="F765" t="inlineStr">
        <is>
          <t>续持</t>
        </is>
      </c>
      <c r="G765" t="n">
        <v>1</v>
      </c>
      <c r="H765" t="n">
        <v>11572</v>
      </c>
      <c r="I765" t="n">
        <v>10984.29</v>
      </c>
      <c r="J765" t="n">
        <v>1</v>
      </c>
      <c r="K765" t="inlineStr">
        <is>
          <t>续持原仓（2022-05-20开）</t>
        </is>
      </c>
    </row>
    <row r="766">
      <c r="A766" t="inlineStr">
        <is>
          <t>2022-05-25</t>
        </is>
      </c>
      <c r="B766" t="inlineStr">
        <is>
          <t>甲醇</t>
        </is>
      </c>
      <c r="C766" t="inlineStr">
        <is>
          <t>多</t>
        </is>
      </c>
      <c r="D766" t="n">
        <v>3</v>
      </c>
      <c r="E766" t="n">
        <v>6</v>
      </c>
      <c r="F766" t="inlineStr">
        <is>
          <t>观望</t>
        </is>
      </c>
      <c r="G766" t="n">
        <v>4</v>
      </c>
      <c r="H766" t="n">
        <v>2737</v>
      </c>
      <c r="I766" t="n">
        <v>2499.36</v>
      </c>
      <c r="J766" t="n">
        <v>1</v>
      </c>
      <c r="K766" t="inlineStr">
        <is>
          <t>逆5日线（收盘在5日线下，不追多）</t>
        </is>
      </c>
    </row>
    <row r="767">
      <c r="A767" t="inlineStr">
        <is>
          <t>2022-05-25</t>
        </is>
      </c>
      <c r="B767" t="inlineStr">
        <is>
          <t>沪锌</t>
        </is>
      </c>
      <c r="C767" t="inlineStr">
        <is>
          <t>空</t>
        </is>
      </c>
      <c r="D767" t="n">
        <v>2</v>
      </c>
      <c r="E767" t="n">
        <v>4</v>
      </c>
      <c r="F767" t="inlineStr">
        <is>
          <t>观望</t>
        </is>
      </c>
      <c r="G767" t="n">
        <v>1</v>
      </c>
      <c r="H767" t="n">
        <v>25640</v>
      </c>
      <c r="I767" t="n">
        <v>27329.64</v>
      </c>
      <c r="J767" t="n">
        <v>1</v>
      </c>
      <c r="K767" t="inlineStr">
        <is>
          <t>逆5日线（收盘在5日线上，不追空）</t>
        </is>
      </c>
    </row>
    <row r="768">
      <c r="A768" t="inlineStr">
        <is>
          <t>2022-05-26</t>
        </is>
      </c>
      <c r="B768" t="inlineStr">
        <is>
          <t>沥青</t>
        </is>
      </c>
      <c r="C768" t="inlineStr">
        <is>
          <t>多</t>
        </is>
      </c>
      <c r="D768" t="n">
        <v>3</v>
      </c>
      <c r="E768" t="n">
        <v>7</v>
      </c>
      <c r="F768" t="inlineStr">
        <is>
          <t>开仓</t>
        </is>
      </c>
      <c r="G768" t="n">
        <v>2</v>
      </c>
      <c r="H768" t="n">
        <v>4492</v>
      </c>
      <c r="I768" t="n">
        <v>4073.71</v>
      </c>
      <c r="J768" t="n">
        <v>1</v>
      </c>
      <c r="K768" t="inlineStr">
        <is>
          <t>组合风险已近10%，预算缩小</t>
        </is>
      </c>
    </row>
    <row r="769">
      <c r="A769" t="inlineStr">
        <is>
          <t>2022-05-26</t>
        </is>
      </c>
      <c r="B769" t="inlineStr">
        <is>
          <t>沪银</t>
        </is>
      </c>
      <c r="C769" t="inlineStr">
        <is>
          <t>空</t>
        </is>
      </c>
      <c r="D769" t="n">
        <v>3</v>
      </c>
      <c r="E769" t="n">
        <v>6</v>
      </c>
      <c r="F769" t="inlineStr">
        <is>
          <t>不做</t>
        </is>
      </c>
      <c r="H769" t="n">
        <v>4772</v>
      </c>
      <c r="J769" t="n">
        <v>0</v>
      </c>
      <c r="K769" t="inlineStr">
        <is>
          <t>组合风险已近10%，预算缩小</t>
        </is>
      </c>
    </row>
    <row r="770">
      <c r="A770" t="inlineStr">
        <is>
          <t>2022-05-26</t>
        </is>
      </c>
      <c r="B770" t="inlineStr">
        <is>
          <t>沪锌</t>
        </is>
      </c>
      <c r="C770" t="inlineStr">
        <is>
          <t>空</t>
        </is>
      </c>
      <c r="D770" t="n">
        <v>3</v>
      </c>
      <c r="E770" t="n">
        <v>6</v>
      </c>
      <c r="F770" t="inlineStr">
        <is>
          <t>不做</t>
        </is>
      </c>
      <c r="H770" t="n">
        <v>25390</v>
      </c>
      <c r="J770" t="n">
        <v>0</v>
      </c>
      <c r="K770" t="inlineStr">
        <is>
          <t>组合风险已近10%，预算缩小</t>
        </is>
      </c>
    </row>
    <row r="771">
      <c r="A771" t="inlineStr">
        <is>
          <t>2022-05-26</t>
        </is>
      </c>
      <c r="B771" t="inlineStr">
        <is>
          <t>PTA</t>
        </is>
      </c>
      <c r="C771" t="inlineStr">
        <is>
          <t>多</t>
        </is>
      </c>
      <c r="D771" t="n">
        <v>2</v>
      </c>
      <c r="E771" t="n">
        <v>5</v>
      </c>
      <c r="F771" t="inlineStr">
        <is>
          <t>续持</t>
        </is>
      </c>
      <c r="G771" t="n">
        <v>10</v>
      </c>
      <c r="H771" t="n">
        <v>6720</v>
      </c>
      <c r="I771" t="n">
        <v>6199.71</v>
      </c>
      <c r="J771" t="n">
        <v>3</v>
      </c>
      <c r="K771" t="inlineStr">
        <is>
          <t>续持原仓（2022-05-25开）</t>
        </is>
      </c>
    </row>
    <row r="772">
      <c r="A772" t="inlineStr">
        <is>
          <t>2022-05-26</t>
        </is>
      </c>
      <c r="B772" t="inlineStr">
        <is>
          <t>白糖</t>
        </is>
      </c>
      <c r="C772" t="inlineStr">
        <is>
          <t>多</t>
        </is>
      </c>
      <c r="D772" t="n">
        <v>2</v>
      </c>
      <c r="E772" t="n">
        <v>5</v>
      </c>
      <c r="F772" t="inlineStr">
        <is>
          <t>影子仓</t>
        </is>
      </c>
      <c r="G772" t="n">
        <v>7</v>
      </c>
      <c r="H772" t="n">
        <v>6030</v>
      </c>
      <c r="I772" t="n">
        <v>5887.93</v>
      </c>
      <c r="J772" t="n">
        <v>1</v>
      </c>
      <c r="K772" t="inlineStr">
        <is>
          <t>凯利≤0，开1%影子仓（只统计，不计入组合）</t>
        </is>
      </c>
    </row>
    <row r="773">
      <c r="A773" t="inlineStr">
        <is>
          <t>2022-05-26</t>
        </is>
      </c>
      <c r="B773" t="inlineStr">
        <is>
          <t>甲醇</t>
        </is>
      </c>
      <c r="C773" t="inlineStr">
        <is>
          <t>多</t>
        </is>
      </c>
      <c r="D773" t="n">
        <v>2</v>
      </c>
      <c r="E773" t="n">
        <v>5</v>
      </c>
      <c r="F773" t="inlineStr">
        <is>
          <t>影子仓</t>
        </is>
      </c>
      <c r="G773" t="n">
        <v>4</v>
      </c>
      <c r="H773" t="n">
        <v>2797</v>
      </c>
      <c r="I773" t="n">
        <v>2556.57</v>
      </c>
      <c r="J773" t="n">
        <v>1</v>
      </c>
      <c r="K773" t="inlineStr">
        <is>
          <t>凯利≤0，开1%影子仓（只统计，不计入组合）</t>
        </is>
      </c>
    </row>
    <row r="774">
      <c r="A774" t="inlineStr">
        <is>
          <t>2022-05-26</t>
        </is>
      </c>
      <c r="B774" t="inlineStr">
        <is>
          <t>PVC</t>
        </is>
      </c>
      <c r="C774" t="inlineStr">
        <is>
          <t>空</t>
        </is>
      </c>
      <c r="D774" t="n">
        <v>2</v>
      </c>
      <c r="E774" t="n">
        <v>4</v>
      </c>
      <c r="F774" t="inlineStr">
        <is>
          <t>影子仓</t>
        </is>
      </c>
      <c r="G774" t="n">
        <v>4</v>
      </c>
      <c r="H774" t="n">
        <v>8225</v>
      </c>
      <c r="I774" t="n">
        <v>8652.93</v>
      </c>
      <c r="J774" t="n">
        <v>1</v>
      </c>
      <c r="K774" t="inlineStr">
        <is>
          <t>凯利≤0，开1%影子仓（只统计，不计入组合）</t>
        </is>
      </c>
    </row>
    <row r="775">
      <c r="A775" t="inlineStr">
        <is>
          <t>2022-05-27</t>
        </is>
      </c>
      <c r="B775" t="inlineStr">
        <is>
          <t>玻璃</t>
        </is>
      </c>
      <c r="C775" t="inlineStr">
        <is>
          <t>空</t>
        </is>
      </c>
      <c r="D775" t="n">
        <v>3</v>
      </c>
      <c r="E775" t="n">
        <v>7</v>
      </c>
      <c r="F775" t="inlineStr">
        <is>
          <t>续持</t>
        </is>
      </c>
      <c r="G775" t="n">
        <v>8</v>
      </c>
      <c r="H775" t="n">
        <v>1748</v>
      </c>
      <c r="I775" t="n">
        <v>1887.86</v>
      </c>
      <c r="J775" t="n">
        <v>3</v>
      </c>
      <c r="K775" t="inlineStr">
        <is>
          <t>续持原仓（2022-05-18开）</t>
        </is>
      </c>
    </row>
    <row r="776">
      <c r="A776" t="inlineStr">
        <is>
          <t>2022-05-27</t>
        </is>
      </c>
      <c r="B776" t="inlineStr">
        <is>
          <t>沥青</t>
        </is>
      </c>
      <c r="C776" t="inlineStr">
        <is>
          <t>多</t>
        </is>
      </c>
      <c r="D776" t="n">
        <v>3</v>
      </c>
      <c r="E776" t="n">
        <v>7</v>
      </c>
      <c r="F776" t="inlineStr">
        <is>
          <t>续持</t>
        </is>
      </c>
      <c r="G776" t="n">
        <v>2</v>
      </c>
      <c r="H776" t="n">
        <v>4607</v>
      </c>
      <c r="I776" t="n">
        <v>4232.43</v>
      </c>
      <c r="J776" t="n">
        <v>1</v>
      </c>
      <c r="K776" t="inlineStr">
        <is>
          <t>续持原仓（2022-05-26开）</t>
        </is>
      </c>
    </row>
    <row r="777">
      <c r="A777" t="inlineStr">
        <is>
          <t>2022-05-27</t>
        </is>
      </c>
      <c r="B777" t="inlineStr">
        <is>
          <t>PVC</t>
        </is>
      </c>
      <c r="C777" t="inlineStr">
        <is>
          <t>空</t>
        </is>
      </c>
      <c r="D777" t="n">
        <v>3</v>
      </c>
      <c r="E777" t="n">
        <v>7</v>
      </c>
      <c r="F777" t="inlineStr">
        <is>
          <t>续持</t>
        </is>
      </c>
      <c r="G777" t="n">
        <v>4</v>
      </c>
      <c r="H777" t="n">
        <v>8175</v>
      </c>
      <c r="I777" t="n">
        <v>8552.360000000001</v>
      </c>
      <c r="J777" t="n">
        <v>1</v>
      </c>
      <c r="K777" t="inlineStr">
        <is>
          <t>续持原仓（2022-05-26开）</t>
        </is>
      </c>
    </row>
    <row r="778">
      <c r="A778" t="inlineStr">
        <is>
          <t>2022-05-27</t>
        </is>
      </c>
      <c r="B778" t="inlineStr">
        <is>
          <t>沪铝</t>
        </is>
      </c>
      <c r="C778" t="inlineStr">
        <is>
          <t>多</t>
        </is>
      </c>
      <c r="D778" t="n">
        <v>3</v>
      </c>
      <c r="E778" t="n">
        <v>6</v>
      </c>
      <c r="F778" t="inlineStr">
        <is>
          <t>开仓</t>
        </is>
      </c>
      <c r="G778" t="n">
        <v>5</v>
      </c>
      <c r="H778" t="n">
        <v>20775</v>
      </c>
      <c r="I778" t="n">
        <v>19579.29</v>
      </c>
      <c r="J778" t="n">
        <v>3</v>
      </c>
      <c r="K778" t="inlineStr">
        <is>
          <t>¼凯利超上限，取3%</t>
        </is>
      </c>
    </row>
    <row r="779">
      <c r="A779" t="inlineStr">
        <is>
          <t>2022-05-27</t>
        </is>
      </c>
      <c r="B779" t="inlineStr">
        <is>
          <t>豆油</t>
        </is>
      </c>
      <c r="C779" t="inlineStr">
        <is>
          <t>多</t>
        </is>
      </c>
      <c r="D779" t="n">
        <v>3</v>
      </c>
      <c r="E779" t="n">
        <v>6</v>
      </c>
      <c r="F779" t="inlineStr">
        <is>
          <t>不做</t>
        </is>
      </c>
      <c r="H779" t="n">
        <v>11740</v>
      </c>
      <c r="J779" t="n">
        <v>0</v>
      </c>
      <c r="K779" t="inlineStr">
        <is>
          <t>与棕榈油高度相关（同组≤3%），预算缩小</t>
        </is>
      </c>
    </row>
    <row r="780">
      <c r="A780" t="inlineStr">
        <is>
          <t>2022-05-30</t>
        </is>
      </c>
      <c r="B780" t="inlineStr">
        <is>
          <t>PTA</t>
        </is>
      </c>
      <c r="C780" t="inlineStr">
        <is>
          <t>多</t>
        </is>
      </c>
      <c r="D780" t="n">
        <v>3</v>
      </c>
      <c r="E780" t="n">
        <v>7</v>
      </c>
      <c r="F780" t="inlineStr">
        <is>
          <t>开仓</t>
        </is>
      </c>
      <c r="G780" t="n">
        <v>11</v>
      </c>
      <c r="H780" t="n">
        <v>6754</v>
      </c>
      <c r="I780" t="n">
        <v>6216.57</v>
      </c>
      <c r="J780" t="n">
        <v>3</v>
      </c>
      <c r="K780" t="inlineStr">
        <is>
          <t>¼凯利超上限，取3%</t>
        </is>
      </c>
    </row>
    <row r="781">
      <c r="A781" t="inlineStr">
        <is>
          <t>2022-05-30</t>
        </is>
      </c>
      <c r="B781" t="inlineStr">
        <is>
          <t>玉米</t>
        </is>
      </c>
      <c r="C781" t="inlineStr">
        <is>
          <t>空</t>
        </is>
      </c>
      <c r="D781" t="n">
        <v>3</v>
      </c>
      <c r="E781" t="n">
        <v>6</v>
      </c>
      <c r="F781" t="inlineStr">
        <is>
          <t>开仓</t>
        </is>
      </c>
      <c r="G781" t="n">
        <v>34</v>
      </c>
      <c r="H781" t="n">
        <v>2922</v>
      </c>
      <c r="I781" t="n">
        <v>3008.36</v>
      </c>
      <c r="J781" t="n">
        <v>3</v>
      </c>
      <c r="K781" t="inlineStr">
        <is>
          <t>¼凯利超上限，取3%</t>
        </is>
      </c>
    </row>
    <row r="782">
      <c r="A782" t="inlineStr">
        <is>
          <t>2022-05-30</t>
        </is>
      </c>
      <c r="B782" t="inlineStr">
        <is>
          <t>白糖</t>
        </is>
      </c>
      <c r="C782" t="inlineStr">
        <is>
          <t>多</t>
        </is>
      </c>
      <c r="D782" t="n">
        <v>2</v>
      </c>
      <c r="E782" t="n">
        <v>5</v>
      </c>
      <c r="F782" t="inlineStr">
        <is>
          <t>影子仓</t>
        </is>
      </c>
      <c r="G782" t="n">
        <v>7</v>
      </c>
      <c r="H782" t="n">
        <v>6026</v>
      </c>
      <c r="I782" t="n">
        <v>5887.79</v>
      </c>
      <c r="J782" t="n">
        <v>1</v>
      </c>
      <c r="K782" t="inlineStr">
        <is>
          <t>凯利≤0，开1%影子仓（只统计，不计入组合）</t>
        </is>
      </c>
    </row>
    <row r="783">
      <c r="A783" t="inlineStr">
        <is>
          <t>2022-05-30</t>
        </is>
      </c>
      <c r="B783" t="inlineStr">
        <is>
          <t>沪银</t>
        </is>
      </c>
      <c r="C783" t="inlineStr">
        <is>
          <t>空</t>
        </is>
      </c>
      <c r="D783" t="n">
        <v>2</v>
      </c>
      <c r="E783" t="n">
        <v>5</v>
      </c>
      <c r="F783" t="inlineStr">
        <is>
          <t>观望</t>
        </is>
      </c>
      <c r="G783" t="n">
        <v>2</v>
      </c>
      <c r="H783" t="n">
        <v>4795</v>
      </c>
      <c r="I783" t="n">
        <v>5039.5</v>
      </c>
      <c r="J783" t="n">
        <v>1</v>
      </c>
      <c r="K783" t="inlineStr">
        <is>
          <t>逆5日线（收盘在5日线上，不追空）</t>
        </is>
      </c>
    </row>
    <row r="784">
      <c r="A784" t="inlineStr">
        <is>
          <t>2022-05-30</t>
        </is>
      </c>
      <c r="B784" t="inlineStr">
        <is>
          <t>纯碱</t>
        </is>
      </c>
      <c r="C784" t="inlineStr">
        <is>
          <t>多</t>
        </is>
      </c>
      <c r="D784" t="n">
        <v>2</v>
      </c>
      <c r="E784" t="n">
        <v>5</v>
      </c>
      <c r="F784" t="inlineStr">
        <is>
          <t>影子仓</t>
        </is>
      </c>
      <c r="G784" t="n">
        <v>1</v>
      </c>
      <c r="H784" t="n">
        <v>3072</v>
      </c>
      <c r="I784" t="n">
        <v>2780.14</v>
      </c>
      <c r="J784" t="n">
        <v>1</v>
      </c>
      <c r="K784" t="inlineStr">
        <is>
          <t>凯利≤0，开1%影子仓（只统计，不计入组合）</t>
        </is>
      </c>
    </row>
    <row r="785">
      <c r="A785" t="inlineStr">
        <is>
          <t>2022-05-30</t>
        </is>
      </c>
      <c r="B785" t="inlineStr">
        <is>
          <t>甲醇</t>
        </is>
      </c>
      <c r="C785" t="inlineStr">
        <is>
          <t>多</t>
        </is>
      </c>
      <c r="D785" t="n">
        <v>2</v>
      </c>
      <c r="E785" t="n">
        <v>5</v>
      </c>
      <c r="F785" t="inlineStr">
        <is>
          <t>续持</t>
        </is>
      </c>
      <c r="G785" t="n">
        <v>4</v>
      </c>
      <c r="H785" t="n">
        <v>2784</v>
      </c>
      <c r="I785" t="n">
        <v>2609.29</v>
      </c>
      <c r="J785" t="n">
        <v>1</v>
      </c>
      <c r="K785" t="inlineStr">
        <is>
          <t>续持原仓（2022-05-26开）</t>
        </is>
      </c>
    </row>
    <row r="786">
      <c r="A786" t="inlineStr">
        <is>
          <t>2022-05-31</t>
        </is>
      </c>
      <c r="B786" t="inlineStr">
        <is>
          <t>沪银</t>
        </is>
      </c>
      <c r="C786" t="inlineStr">
        <is>
          <t>空</t>
        </is>
      </c>
      <c r="D786" t="n">
        <v>3</v>
      </c>
      <c r="E786" t="n">
        <v>7</v>
      </c>
      <c r="F786" t="inlineStr">
        <is>
          <t>开仓</t>
        </is>
      </c>
      <c r="G786" t="n">
        <v>8</v>
      </c>
      <c r="H786" t="n">
        <v>4716</v>
      </c>
      <c r="I786" t="n">
        <v>4956</v>
      </c>
      <c r="J786" t="n">
        <v>3</v>
      </c>
      <c r="K786" t="inlineStr">
        <is>
          <t>¼凯利超上限，取3%</t>
        </is>
      </c>
    </row>
    <row r="787">
      <c r="A787" t="inlineStr">
        <is>
          <t>2022-05-31</t>
        </is>
      </c>
      <c r="B787" t="inlineStr">
        <is>
          <t>白糖</t>
        </is>
      </c>
      <c r="C787" t="inlineStr">
        <is>
          <t>多</t>
        </is>
      </c>
      <c r="D787" t="n">
        <v>3</v>
      </c>
      <c r="E787" t="n">
        <v>6</v>
      </c>
      <c r="F787" t="inlineStr">
        <is>
          <t>续持</t>
        </is>
      </c>
      <c r="G787" t="n">
        <v>7</v>
      </c>
      <c r="H787" t="n">
        <v>6088</v>
      </c>
      <c r="I787" t="n">
        <v>5948.93</v>
      </c>
      <c r="J787" t="n">
        <v>1</v>
      </c>
      <c r="K787" t="inlineStr">
        <is>
          <t>续持原仓（2022-05-30开）</t>
        </is>
      </c>
    </row>
    <row r="788">
      <c r="A788" t="inlineStr">
        <is>
          <t>2022-05-31</t>
        </is>
      </c>
      <c r="B788" t="inlineStr">
        <is>
          <t>豆油</t>
        </is>
      </c>
      <c r="C788" t="inlineStr">
        <is>
          <t>多</t>
        </is>
      </c>
      <c r="D788" t="n">
        <v>3</v>
      </c>
      <c r="E788" t="n">
        <v>6</v>
      </c>
      <c r="F788" t="inlineStr">
        <is>
          <t>不做</t>
        </is>
      </c>
      <c r="H788" t="n">
        <v>11776</v>
      </c>
      <c r="J788" t="n">
        <v>0</v>
      </c>
      <c r="K788" t="inlineStr">
        <is>
          <t>与棕榈油高度相关（同组≤3%），预算缩小</t>
        </is>
      </c>
    </row>
    <row r="789">
      <c r="A789" t="inlineStr">
        <is>
          <t>2022-05-31</t>
        </is>
      </c>
      <c r="B789" t="inlineStr">
        <is>
          <t>纯碱</t>
        </is>
      </c>
      <c r="C789" t="inlineStr">
        <is>
          <t>多</t>
        </is>
      </c>
      <c r="D789" t="n">
        <v>2</v>
      </c>
      <c r="E789" t="n">
        <v>5</v>
      </c>
      <c r="F789" t="inlineStr">
        <is>
          <t>续持</t>
        </is>
      </c>
      <c r="G789" t="n">
        <v>1</v>
      </c>
      <c r="H789" t="n">
        <v>3078</v>
      </c>
      <c r="I789" t="n">
        <v>2849.93</v>
      </c>
      <c r="J789" t="n">
        <v>1</v>
      </c>
      <c r="K789" t="inlineStr">
        <is>
          <t>续持原仓（2022-05-30开）</t>
        </is>
      </c>
    </row>
    <row r="790">
      <c r="A790" t="inlineStr">
        <is>
          <t>2022-05-31</t>
        </is>
      </c>
      <c r="B790" t="inlineStr">
        <is>
          <t>甲醇</t>
        </is>
      </c>
      <c r="C790" t="inlineStr">
        <is>
          <t>多</t>
        </is>
      </c>
      <c r="D790" t="n">
        <v>2</v>
      </c>
      <c r="E790" t="n">
        <v>4</v>
      </c>
      <c r="F790" t="inlineStr">
        <is>
          <t>续持</t>
        </is>
      </c>
      <c r="G790" t="n">
        <v>4</v>
      </c>
      <c r="H790" t="n">
        <v>2827</v>
      </c>
      <c r="I790" t="n">
        <v>2629.36</v>
      </c>
      <c r="J790" t="n">
        <v>1</v>
      </c>
      <c r="K790" t="inlineStr">
        <is>
          <t>续持原仓（2022-05-26开）</t>
        </is>
      </c>
    </row>
    <row r="791">
      <c r="A791" t="inlineStr">
        <is>
          <t>2022-05-31</t>
        </is>
      </c>
      <c r="B791" t="inlineStr">
        <is>
          <t>PVC</t>
        </is>
      </c>
      <c r="C791" t="inlineStr">
        <is>
          <t>空</t>
        </is>
      </c>
      <c r="D791" t="n">
        <v>2</v>
      </c>
      <c r="E791" t="n">
        <v>4</v>
      </c>
      <c r="F791" t="inlineStr">
        <is>
          <t>观望</t>
        </is>
      </c>
      <c r="G791" t="n">
        <v>4</v>
      </c>
      <c r="H791" t="n">
        <v>8421</v>
      </c>
      <c r="I791" t="n">
        <v>8833.93</v>
      </c>
      <c r="J791" t="n">
        <v>1</v>
      </c>
      <c r="K791" t="inlineStr">
        <is>
          <t>逆5日线（收盘在5日线上，不追空）</t>
        </is>
      </c>
    </row>
    <row r="792">
      <c r="A792" t="inlineStr">
        <is>
          <t>2022-06-01</t>
        </is>
      </c>
      <c r="B792" t="inlineStr">
        <is>
          <t>沪银</t>
        </is>
      </c>
      <c r="C792" t="inlineStr">
        <is>
          <t>空</t>
        </is>
      </c>
      <c r="D792" t="n">
        <v>3</v>
      </c>
      <c r="E792" t="n">
        <v>7</v>
      </c>
      <c r="F792" t="inlineStr">
        <is>
          <t>续持</t>
        </is>
      </c>
      <c r="G792" t="n">
        <v>8</v>
      </c>
      <c r="H792" t="n">
        <v>4673</v>
      </c>
      <c r="I792" t="n">
        <v>4892.29</v>
      </c>
      <c r="J792" t="n">
        <v>3</v>
      </c>
      <c r="K792" t="inlineStr">
        <is>
          <t>续持原仓（2022-05-31开）</t>
        </is>
      </c>
    </row>
    <row r="793">
      <c r="A793" t="inlineStr">
        <is>
          <t>2022-06-01</t>
        </is>
      </c>
      <c r="B793" t="inlineStr">
        <is>
          <t>白糖</t>
        </is>
      </c>
      <c r="C793" t="inlineStr">
        <is>
          <t>多</t>
        </is>
      </c>
      <c r="D793" t="n">
        <v>3</v>
      </c>
      <c r="E793" t="n">
        <v>6</v>
      </c>
      <c r="F793" t="inlineStr">
        <is>
          <t>续持</t>
        </is>
      </c>
      <c r="G793" t="n">
        <v>7</v>
      </c>
      <c r="H793" t="n">
        <v>6078</v>
      </c>
      <c r="I793" t="n">
        <v>5949.36</v>
      </c>
      <c r="J793" t="n">
        <v>1</v>
      </c>
      <c r="K793" t="inlineStr">
        <is>
          <t>续持原仓（2022-05-30开）</t>
        </is>
      </c>
    </row>
    <row r="794">
      <c r="A794" t="inlineStr">
        <is>
          <t>2022-06-01</t>
        </is>
      </c>
      <c r="B794" t="inlineStr">
        <is>
          <t>纯碱</t>
        </is>
      </c>
      <c r="C794" t="inlineStr">
        <is>
          <t>多</t>
        </is>
      </c>
      <c r="D794" t="n">
        <v>3</v>
      </c>
      <c r="E794" t="n">
        <v>6</v>
      </c>
      <c r="F794" t="inlineStr">
        <is>
          <t>续持</t>
        </is>
      </c>
      <c r="G794" t="n">
        <v>1</v>
      </c>
      <c r="H794" t="n">
        <v>3097</v>
      </c>
      <c r="I794" t="n">
        <v>2867.5</v>
      </c>
      <c r="J794" t="n">
        <v>1</v>
      </c>
      <c r="K794" t="inlineStr">
        <is>
          <t>续持原仓（2022-05-30开）</t>
        </is>
      </c>
    </row>
    <row r="795">
      <c r="A795" t="inlineStr">
        <is>
          <t>2022-06-01</t>
        </is>
      </c>
      <c r="B795" t="inlineStr">
        <is>
          <t>铁矿石</t>
        </is>
      </c>
      <c r="C795" t="inlineStr">
        <is>
          <t>多</t>
        </is>
      </c>
      <c r="D795" t="n">
        <v>2</v>
      </c>
      <c r="E795" t="n">
        <v>5</v>
      </c>
      <c r="F795" t="inlineStr">
        <is>
          <t>不做</t>
        </is>
      </c>
      <c r="H795" t="n">
        <v>905.5</v>
      </c>
      <c r="J795" t="n">
        <v>1</v>
      </c>
      <c r="K795" t="inlineStr">
        <is>
          <t>1手风险10950元超过预算10000元</t>
        </is>
      </c>
    </row>
    <row r="796">
      <c r="A796" t="inlineStr">
        <is>
          <t>2022-06-01</t>
        </is>
      </c>
      <c r="B796" t="inlineStr">
        <is>
          <t>沥青</t>
        </is>
      </c>
      <c r="C796" t="inlineStr">
        <is>
          <t>多</t>
        </is>
      </c>
      <c r="D796" t="n">
        <v>2</v>
      </c>
      <c r="E796" t="n">
        <v>4</v>
      </c>
      <c r="F796" t="inlineStr">
        <is>
          <t>观望</t>
        </is>
      </c>
      <c r="G796" t="n">
        <v>2</v>
      </c>
      <c r="H796" t="n">
        <v>4602</v>
      </c>
      <c r="I796" t="n">
        <v>4230.21</v>
      </c>
      <c r="J796" t="n">
        <v>1</v>
      </c>
      <c r="K796" t="inlineStr">
        <is>
          <t>逆5日线（收盘在5日线下，不追多）</t>
        </is>
      </c>
    </row>
    <row r="797">
      <c r="A797" t="inlineStr">
        <is>
          <t>2022-06-02</t>
        </is>
      </c>
      <c r="B797" t="inlineStr">
        <is>
          <t>豆油</t>
        </is>
      </c>
      <c r="C797" t="inlineStr">
        <is>
          <t>多</t>
        </is>
      </c>
      <c r="D797" t="n">
        <v>3</v>
      </c>
      <c r="E797" t="n">
        <v>7</v>
      </c>
      <c r="F797" t="inlineStr">
        <is>
          <t>不做</t>
        </is>
      </c>
      <c r="H797" t="n">
        <v>11770</v>
      </c>
      <c r="J797" t="n">
        <v>0</v>
      </c>
      <c r="K797" t="inlineStr">
        <is>
          <t>与棕榈油高度相关（同组≤3%），预算缩小</t>
        </is>
      </c>
    </row>
    <row r="798">
      <c r="A798" t="inlineStr">
        <is>
          <t>2022-06-02</t>
        </is>
      </c>
      <c r="B798" t="inlineStr">
        <is>
          <t>沥青</t>
        </is>
      </c>
      <c r="C798" t="inlineStr">
        <is>
          <t>多</t>
        </is>
      </c>
      <c r="D798" t="n">
        <v>3</v>
      </c>
      <c r="E798" t="n">
        <v>7</v>
      </c>
      <c r="F798" t="inlineStr">
        <is>
          <t>观望</t>
        </is>
      </c>
      <c r="G798" t="n">
        <v>2</v>
      </c>
      <c r="H798" t="n">
        <v>4637</v>
      </c>
      <c r="I798" t="n">
        <v>4272.29</v>
      </c>
      <c r="J798" t="n">
        <v>1</v>
      </c>
      <c r="K798" t="inlineStr">
        <is>
          <t>逆5日线（收盘在5日线下，不追多）</t>
        </is>
      </c>
    </row>
    <row r="799">
      <c r="A799" t="inlineStr">
        <is>
          <t>2022-06-02</t>
        </is>
      </c>
      <c r="B799" t="inlineStr">
        <is>
          <t>铁矿石</t>
        </is>
      </c>
      <c r="C799" t="inlineStr">
        <is>
          <t>多</t>
        </is>
      </c>
      <c r="D799" t="n">
        <v>3</v>
      </c>
      <c r="E799" t="n">
        <v>6</v>
      </c>
      <c r="F799" t="inlineStr">
        <is>
          <t>不做</t>
        </is>
      </c>
      <c r="H799" t="n">
        <v>935.5</v>
      </c>
      <c r="J799" t="n">
        <v>1</v>
      </c>
      <c r="K799" t="inlineStr">
        <is>
          <t>1手风险10671元超过预算10000元</t>
        </is>
      </c>
    </row>
    <row r="800">
      <c r="A800" t="inlineStr">
        <is>
          <t>2022-06-02</t>
        </is>
      </c>
      <c r="B800" t="inlineStr">
        <is>
          <t>白糖</t>
        </is>
      </c>
      <c r="C800" t="inlineStr">
        <is>
          <t>多</t>
        </is>
      </c>
      <c r="D800" t="n">
        <v>2</v>
      </c>
      <c r="E800" t="n">
        <v>5</v>
      </c>
      <c r="F800" t="inlineStr">
        <is>
          <t>续持</t>
        </is>
      </c>
      <c r="G800" t="n">
        <v>7</v>
      </c>
      <c r="H800" t="n">
        <v>6090</v>
      </c>
      <c r="I800" t="n">
        <v>5966.21</v>
      </c>
      <c r="J800" t="n">
        <v>1</v>
      </c>
      <c r="K800" t="inlineStr">
        <is>
          <t>续持原仓（2022-05-30开）</t>
        </is>
      </c>
    </row>
    <row r="801">
      <c r="A801" t="inlineStr">
        <is>
          <t>2022-06-02</t>
        </is>
      </c>
      <c r="B801" t="inlineStr">
        <is>
          <t>纯碱</t>
        </is>
      </c>
      <c r="C801" t="inlineStr">
        <is>
          <t>多</t>
        </is>
      </c>
      <c r="D801" t="n">
        <v>2</v>
      </c>
      <c r="E801" t="n">
        <v>5</v>
      </c>
      <c r="F801" t="inlineStr">
        <is>
          <t>续持</t>
        </is>
      </c>
      <c r="G801" t="n">
        <v>1</v>
      </c>
      <c r="H801" t="n">
        <v>3127</v>
      </c>
      <c r="I801" t="n">
        <v>2868.79</v>
      </c>
      <c r="J801" t="n">
        <v>1</v>
      </c>
      <c r="K801" t="inlineStr">
        <is>
          <t>续持原仓（2022-05-30开）</t>
        </is>
      </c>
    </row>
    <row r="802">
      <c r="A802" t="inlineStr">
        <is>
          <t>2022-06-06</t>
        </is>
      </c>
      <c r="B802" t="inlineStr">
        <is>
          <t>沥青</t>
        </is>
      </c>
      <c r="C802" t="inlineStr">
        <is>
          <t>多</t>
        </is>
      </c>
      <c r="D802" t="n">
        <v>3</v>
      </c>
      <c r="E802" t="n">
        <v>6</v>
      </c>
      <c r="F802" t="inlineStr">
        <is>
          <t>开仓</t>
        </is>
      </c>
      <c r="G802" t="n">
        <v>2</v>
      </c>
      <c r="H802" t="n">
        <v>4762</v>
      </c>
      <c r="I802" t="n">
        <v>4397.5</v>
      </c>
      <c r="J802" t="n">
        <v>1</v>
      </c>
      <c r="K802" t="inlineStr">
        <is>
          <t>组合风险已近10%，预算缩小</t>
        </is>
      </c>
    </row>
    <row r="803">
      <c r="A803" t="inlineStr">
        <is>
          <t>2022-06-06</t>
        </is>
      </c>
      <c r="B803" t="inlineStr">
        <is>
          <t>豆粕</t>
        </is>
      </c>
      <c r="C803" t="inlineStr">
        <is>
          <t>多</t>
        </is>
      </c>
      <c r="D803" t="n">
        <v>3</v>
      </c>
      <c r="E803" t="n">
        <v>6</v>
      </c>
      <c r="F803" t="inlineStr">
        <is>
          <t>观望</t>
        </is>
      </c>
      <c r="H803" t="n">
        <v>4146</v>
      </c>
      <c r="J803" t="n">
        <v>0</v>
      </c>
      <c r="K803" t="inlineStr">
        <is>
          <t>逆5日线（收盘在5日线下，不追多）</t>
        </is>
      </c>
    </row>
    <row r="804">
      <c r="A804" t="inlineStr">
        <is>
          <t>2022-06-06</t>
        </is>
      </c>
      <c r="B804" t="inlineStr">
        <is>
          <t>聚丙烯</t>
        </is>
      </c>
      <c r="C804" t="inlineStr">
        <is>
          <t>多</t>
        </is>
      </c>
      <c r="D804" t="n">
        <v>3</v>
      </c>
      <c r="E804" t="n">
        <v>6</v>
      </c>
      <c r="F804" t="inlineStr">
        <is>
          <t>不做</t>
        </is>
      </c>
      <c r="H804" t="n">
        <v>8926</v>
      </c>
      <c r="J804" t="n">
        <v>0</v>
      </c>
      <c r="K804" t="inlineStr">
        <is>
          <t>组合风险已近10%，预算缩小</t>
        </is>
      </c>
    </row>
    <row r="805">
      <c r="A805" t="inlineStr">
        <is>
          <t>2022-06-06</t>
        </is>
      </c>
      <c r="B805" t="inlineStr">
        <is>
          <t>铁矿石</t>
        </is>
      </c>
      <c r="C805" t="inlineStr">
        <is>
          <t>多</t>
        </is>
      </c>
      <c r="D805" t="n">
        <v>2</v>
      </c>
      <c r="E805" t="n">
        <v>5</v>
      </c>
      <c r="F805" t="inlineStr">
        <is>
          <t>不做</t>
        </is>
      </c>
      <c r="H805" t="n">
        <v>925</v>
      </c>
      <c r="J805" t="n">
        <v>1</v>
      </c>
      <c r="K805" t="inlineStr">
        <is>
          <t>1手风险10650元超过预算10000元</t>
        </is>
      </c>
    </row>
    <row r="806">
      <c r="A806" t="inlineStr">
        <is>
          <t>2022-06-06</t>
        </is>
      </c>
      <c r="B806" t="inlineStr">
        <is>
          <t>塑料</t>
        </is>
      </c>
      <c r="C806" t="inlineStr">
        <is>
          <t>多</t>
        </is>
      </c>
      <c r="D806" t="n">
        <v>2</v>
      </c>
      <c r="E806" t="n">
        <v>5</v>
      </c>
      <c r="F806" t="inlineStr">
        <is>
          <t>影子仓</t>
        </is>
      </c>
      <c r="G806" t="n">
        <v>5</v>
      </c>
      <c r="H806" t="n">
        <v>9023</v>
      </c>
      <c r="I806" t="n">
        <v>8628.93</v>
      </c>
      <c r="J806" t="n">
        <v>1</v>
      </c>
      <c r="K806" t="inlineStr">
        <is>
          <t>凯利≤0，开1%影子仓（只统计，不计入组合）</t>
        </is>
      </c>
    </row>
    <row r="807">
      <c r="A807" t="inlineStr">
        <is>
          <t>2022-06-07</t>
        </is>
      </c>
      <c r="B807" t="inlineStr">
        <is>
          <t>PTA</t>
        </is>
      </c>
      <c r="C807" t="inlineStr">
        <is>
          <t>多</t>
        </is>
      </c>
      <c r="D807" t="n">
        <v>3</v>
      </c>
      <c r="E807" t="n">
        <v>6</v>
      </c>
      <c r="F807" t="inlineStr">
        <is>
          <t>开仓</t>
        </is>
      </c>
      <c r="G807" t="n">
        <v>3</v>
      </c>
      <c r="H807" t="n">
        <v>7366</v>
      </c>
      <c r="I807" t="n">
        <v>6784.86</v>
      </c>
      <c r="J807" t="n">
        <v>1</v>
      </c>
      <c r="K807" t="inlineStr">
        <is>
          <t>组合风险已近10%，预算缩小</t>
        </is>
      </c>
    </row>
    <row r="808">
      <c r="A808" t="inlineStr">
        <is>
          <t>2022-06-07</t>
        </is>
      </c>
      <c r="B808" t="inlineStr">
        <is>
          <t>豆油</t>
        </is>
      </c>
      <c r="C808" t="inlineStr">
        <is>
          <t>多</t>
        </is>
      </c>
      <c r="D808" t="n">
        <v>3</v>
      </c>
      <c r="E808" t="n">
        <v>6</v>
      </c>
      <c r="F808" t="inlineStr">
        <is>
          <t>不做</t>
        </is>
      </c>
      <c r="H808" t="n">
        <v>11998</v>
      </c>
      <c r="J808" t="n">
        <v>0</v>
      </c>
      <c r="K808" t="inlineStr">
        <is>
          <t>与棕榈油高度相关（同组≤3%），预算缩小</t>
        </is>
      </c>
    </row>
    <row r="809">
      <c r="A809" t="inlineStr">
        <is>
          <t>2022-06-07</t>
        </is>
      </c>
      <c r="B809" t="inlineStr">
        <is>
          <t>棉花</t>
        </is>
      </c>
      <c r="C809" t="inlineStr">
        <is>
          <t>空</t>
        </is>
      </c>
      <c r="D809" t="n">
        <v>3</v>
      </c>
      <c r="E809" t="n">
        <v>6</v>
      </c>
      <c r="F809" t="inlineStr">
        <is>
          <t>不做</t>
        </is>
      </c>
      <c r="H809" t="n">
        <v>20290</v>
      </c>
      <c r="J809" t="n">
        <v>0</v>
      </c>
      <c r="K809" t="inlineStr">
        <is>
          <t>组合风险已近10%，预算缩小</t>
        </is>
      </c>
    </row>
    <row r="810">
      <c r="A810" t="inlineStr">
        <is>
          <t>2022-06-07</t>
        </is>
      </c>
      <c r="B810" t="inlineStr">
        <is>
          <t>聚丙烯</t>
        </is>
      </c>
      <c r="C810" t="inlineStr">
        <is>
          <t>多</t>
        </is>
      </c>
      <c r="D810" t="n">
        <v>2</v>
      </c>
      <c r="E810" t="n">
        <v>5</v>
      </c>
      <c r="F810" t="inlineStr">
        <is>
          <t>影子仓</t>
        </is>
      </c>
      <c r="G810" t="n">
        <v>5</v>
      </c>
      <c r="H810" t="n">
        <v>8915</v>
      </c>
      <c r="I810" t="n">
        <v>8517.290000000001</v>
      </c>
      <c r="J810" t="n">
        <v>1</v>
      </c>
      <c r="K810" t="inlineStr">
        <is>
          <t>凯利≤0，开1%影子仓（只统计，不计入组合）</t>
        </is>
      </c>
    </row>
    <row r="811">
      <c r="A811" t="inlineStr">
        <is>
          <t>2022-06-07</t>
        </is>
      </c>
      <c r="B811" t="inlineStr">
        <is>
          <t>白糖</t>
        </is>
      </c>
      <c r="C811" t="inlineStr">
        <is>
          <t>多</t>
        </is>
      </c>
      <c r="D811" t="n">
        <v>2</v>
      </c>
      <c r="E811" t="n">
        <v>5</v>
      </c>
      <c r="F811" t="inlineStr">
        <is>
          <t>续持</t>
        </is>
      </c>
      <c r="G811" t="n">
        <v>7</v>
      </c>
      <c r="H811" t="n">
        <v>6089</v>
      </c>
      <c r="I811" t="n">
        <v>5992.5</v>
      </c>
      <c r="J811" t="n">
        <v>1</v>
      </c>
      <c r="K811" t="inlineStr">
        <is>
          <t>续持原仓（2022-05-30开）</t>
        </is>
      </c>
    </row>
    <row r="812">
      <c r="A812" t="inlineStr">
        <is>
          <t>2022-06-07</t>
        </is>
      </c>
      <c r="B812" t="inlineStr">
        <is>
          <t>纯碱</t>
        </is>
      </c>
      <c r="C812" t="inlineStr">
        <is>
          <t>多</t>
        </is>
      </c>
      <c r="D812" t="n">
        <v>2</v>
      </c>
      <c r="E812" t="n">
        <v>5</v>
      </c>
      <c r="F812" t="inlineStr">
        <is>
          <t>观望</t>
        </is>
      </c>
      <c r="G812" t="n">
        <v>1</v>
      </c>
      <c r="H812" t="n">
        <v>3064</v>
      </c>
      <c r="I812" t="n">
        <v>2798.5</v>
      </c>
      <c r="J812" t="n">
        <v>1</v>
      </c>
      <c r="K812" t="inlineStr">
        <is>
          <t>逆5日线（收盘在5日线下，不追多）</t>
        </is>
      </c>
    </row>
    <row r="813">
      <c r="A813" t="inlineStr">
        <is>
          <t>2022-06-08</t>
        </is>
      </c>
      <c r="B813" t="inlineStr">
        <is>
          <t>PTA</t>
        </is>
      </c>
      <c r="C813" t="inlineStr">
        <is>
          <t>多</t>
        </is>
      </c>
      <c r="D813" t="n">
        <v>3</v>
      </c>
      <c r="E813" t="n">
        <v>7</v>
      </c>
      <c r="F813" t="inlineStr">
        <is>
          <t>续持</t>
        </is>
      </c>
      <c r="G813" t="n">
        <v>3</v>
      </c>
      <c r="H813" t="n">
        <v>7540</v>
      </c>
      <c r="I813" t="n">
        <v>7043.29</v>
      </c>
      <c r="J813" t="n">
        <v>1</v>
      </c>
      <c r="K813" t="inlineStr">
        <is>
          <t>续持原仓（2022-06-07开）</t>
        </is>
      </c>
    </row>
    <row r="814">
      <c r="A814" t="inlineStr">
        <is>
          <t>2022-06-08</t>
        </is>
      </c>
      <c r="B814" t="inlineStr">
        <is>
          <t>聚丙烯</t>
        </is>
      </c>
      <c r="C814" t="inlineStr">
        <is>
          <t>多</t>
        </is>
      </c>
      <c r="D814" t="n">
        <v>3</v>
      </c>
      <c r="E814" t="n">
        <v>7</v>
      </c>
      <c r="F814" t="inlineStr">
        <is>
          <t>续持</t>
        </is>
      </c>
      <c r="G814" t="n">
        <v>5</v>
      </c>
      <c r="H814" t="n">
        <v>9005</v>
      </c>
      <c r="I814" t="n">
        <v>8621.5</v>
      </c>
      <c r="J814" t="n">
        <v>1</v>
      </c>
      <c r="K814" t="inlineStr">
        <is>
          <t>续持原仓（2022-06-07开）</t>
        </is>
      </c>
    </row>
    <row r="815">
      <c r="A815" t="inlineStr">
        <is>
          <t>2022-06-08</t>
        </is>
      </c>
      <c r="B815" t="inlineStr">
        <is>
          <t>豆油</t>
        </is>
      </c>
      <c r="C815" t="inlineStr">
        <is>
          <t>多</t>
        </is>
      </c>
      <c r="D815" t="n">
        <v>3</v>
      </c>
      <c r="E815" t="n">
        <v>6</v>
      </c>
      <c r="F815" t="inlineStr">
        <is>
          <t>不做</t>
        </is>
      </c>
      <c r="H815" t="n">
        <v>12122</v>
      </c>
      <c r="J815" t="n">
        <v>0</v>
      </c>
      <c r="K815" t="inlineStr">
        <is>
          <t>与棕榈油高度相关（同组≤3%），预算缩小</t>
        </is>
      </c>
    </row>
    <row r="816">
      <c r="A816" t="inlineStr">
        <is>
          <t>2022-06-08</t>
        </is>
      </c>
      <c r="B816" t="inlineStr">
        <is>
          <t>塑料</t>
        </is>
      </c>
      <c r="C816" t="inlineStr">
        <is>
          <t>多</t>
        </is>
      </c>
      <c r="D816" t="n">
        <v>3</v>
      </c>
      <c r="E816" t="n">
        <v>6</v>
      </c>
      <c r="F816" t="inlineStr">
        <is>
          <t>不做</t>
        </is>
      </c>
      <c r="H816" t="n">
        <v>9144</v>
      </c>
      <c r="J816" t="n">
        <v>0</v>
      </c>
      <c r="K816" t="inlineStr">
        <is>
          <t>组合风险已近10%，预算缩小</t>
        </is>
      </c>
    </row>
    <row r="817">
      <c r="A817" t="inlineStr">
        <is>
          <t>2022-06-08</t>
        </is>
      </c>
      <c r="B817" t="inlineStr">
        <is>
          <t>棉花</t>
        </is>
      </c>
      <c r="C817" t="inlineStr">
        <is>
          <t>空</t>
        </is>
      </c>
      <c r="D817" t="n">
        <v>2</v>
      </c>
      <c r="E817" t="n">
        <v>5</v>
      </c>
      <c r="F817" t="inlineStr">
        <is>
          <t>影子仓</t>
        </is>
      </c>
      <c r="G817" t="n">
        <v>2</v>
      </c>
      <c r="H817" t="n">
        <v>20320</v>
      </c>
      <c r="I817" t="n">
        <v>21267.14</v>
      </c>
      <c r="J817" t="n">
        <v>1</v>
      </c>
      <c r="K817" t="inlineStr">
        <is>
          <t>凯利≤0，开1%影子仓（只统计，不计入组合）</t>
        </is>
      </c>
    </row>
    <row r="818">
      <c r="A818" t="inlineStr">
        <is>
          <t>2022-06-08</t>
        </is>
      </c>
      <c r="B818" t="inlineStr">
        <is>
          <t>热卷</t>
        </is>
      </c>
      <c r="C818" t="inlineStr">
        <is>
          <t>多</t>
        </is>
      </c>
      <c r="D818" t="n">
        <v>2</v>
      </c>
      <c r="E818" t="n">
        <v>5</v>
      </c>
      <c r="F818" t="inlineStr">
        <is>
          <t>影子仓</t>
        </is>
      </c>
      <c r="G818" t="n">
        <v>3</v>
      </c>
      <c r="H818" t="n">
        <v>4868</v>
      </c>
      <c r="I818" t="n">
        <v>4587.93</v>
      </c>
      <c r="J818" t="n">
        <v>1</v>
      </c>
      <c r="K818" t="inlineStr">
        <is>
          <t>凯利≤0，开1%影子仓（只统计，不计入组合）</t>
        </is>
      </c>
    </row>
    <row r="819">
      <c r="A819" t="inlineStr">
        <is>
          <t>2022-06-09</t>
        </is>
      </c>
      <c r="B819" t="inlineStr">
        <is>
          <t>PTA</t>
        </is>
      </c>
      <c r="C819" t="inlineStr">
        <is>
          <t>多</t>
        </is>
      </c>
      <c r="D819" t="n">
        <v>3</v>
      </c>
      <c r="E819" t="n">
        <v>6</v>
      </c>
      <c r="F819" t="inlineStr">
        <is>
          <t>续持</t>
        </is>
      </c>
      <c r="G819" t="n">
        <v>3</v>
      </c>
      <c r="H819" t="n">
        <v>7534</v>
      </c>
      <c r="I819" t="n">
        <v>7044.57</v>
      </c>
      <c r="J819" t="n">
        <v>1</v>
      </c>
      <c r="K819" t="inlineStr">
        <is>
          <t>续持原仓（2022-06-07开）</t>
        </is>
      </c>
    </row>
    <row r="820">
      <c r="A820" t="inlineStr">
        <is>
          <t>2022-06-09</t>
        </is>
      </c>
      <c r="B820" t="inlineStr">
        <is>
          <t>沪锌</t>
        </is>
      </c>
      <c r="C820" t="inlineStr">
        <is>
          <t>多</t>
        </is>
      </c>
      <c r="D820" t="n">
        <v>3</v>
      </c>
      <c r="E820" t="n">
        <v>6</v>
      </c>
      <c r="F820" t="inlineStr">
        <is>
          <t>不做</t>
        </is>
      </c>
      <c r="H820" t="n">
        <v>26460</v>
      </c>
      <c r="J820" t="n">
        <v>0</v>
      </c>
      <c r="K820" t="inlineStr">
        <is>
          <t>组合风险已近10%，预算缩小</t>
        </is>
      </c>
    </row>
    <row r="821">
      <c r="A821" t="inlineStr">
        <is>
          <t>2022-06-09</t>
        </is>
      </c>
      <c r="B821" t="inlineStr">
        <is>
          <t>沪铝</t>
        </is>
      </c>
      <c r="C821" t="inlineStr">
        <is>
          <t>多</t>
        </is>
      </c>
      <c r="D821" t="n">
        <v>3</v>
      </c>
      <c r="E821" t="n">
        <v>6</v>
      </c>
      <c r="F821" t="inlineStr">
        <is>
          <t>不做</t>
        </is>
      </c>
      <c r="H821" t="n">
        <v>20845</v>
      </c>
      <c r="J821" t="n">
        <v>0</v>
      </c>
      <c r="K821" t="inlineStr">
        <is>
          <t>组合风险已近10%，预算缩小</t>
        </is>
      </c>
    </row>
    <row r="822">
      <c r="A822" t="inlineStr">
        <is>
          <t>2022-06-09</t>
        </is>
      </c>
      <c r="B822" t="inlineStr">
        <is>
          <t>白糖</t>
        </is>
      </c>
      <c r="C822" t="inlineStr">
        <is>
          <t>多</t>
        </is>
      </c>
      <c r="D822" t="n">
        <v>3</v>
      </c>
      <c r="E822" t="n">
        <v>6</v>
      </c>
      <c r="F822" t="inlineStr">
        <is>
          <t>观望</t>
        </is>
      </c>
      <c r="H822" t="n">
        <v>6057</v>
      </c>
      <c r="J822" t="n">
        <v>0</v>
      </c>
      <c r="K822" t="inlineStr">
        <is>
          <t>逆5日线（收盘在5日线下，不追多）</t>
        </is>
      </c>
    </row>
    <row r="823">
      <c r="A823" t="inlineStr">
        <is>
          <t>2022-06-09</t>
        </is>
      </c>
      <c r="B823" t="inlineStr">
        <is>
          <t>豆油</t>
        </is>
      </c>
      <c r="C823" t="inlineStr">
        <is>
          <t>多</t>
        </is>
      </c>
      <c r="D823" t="n">
        <v>2</v>
      </c>
      <c r="E823" t="n">
        <v>4</v>
      </c>
      <c r="F823" t="inlineStr">
        <is>
          <t>观望</t>
        </is>
      </c>
      <c r="G823" t="n">
        <v>1</v>
      </c>
      <c r="H823" t="n">
        <v>11794</v>
      </c>
      <c r="I823" t="n">
        <v>11139.57</v>
      </c>
      <c r="J823" t="n">
        <v>1</v>
      </c>
      <c r="K823" t="inlineStr">
        <is>
          <t>逆5日线（收盘在5日线下，不追多）</t>
        </is>
      </c>
    </row>
    <row r="824">
      <c r="A824" t="inlineStr">
        <is>
          <t>2022-06-10</t>
        </is>
      </c>
      <c r="B824" t="inlineStr">
        <is>
          <t>豆油</t>
        </is>
      </c>
      <c r="C824" t="inlineStr">
        <is>
          <t>多</t>
        </is>
      </c>
      <c r="D824" t="n">
        <v>3</v>
      </c>
      <c r="E824" t="n">
        <v>6</v>
      </c>
      <c r="F824" t="inlineStr">
        <is>
          <t>观望</t>
        </is>
      </c>
      <c r="H824" t="n">
        <v>11886</v>
      </c>
      <c r="J824" t="n">
        <v>0</v>
      </c>
      <c r="K824" t="inlineStr">
        <is>
          <t>逆5日线（收盘在5日线下，不追多）</t>
        </is>
      </c>
    </row>
    <row r="825">
      <c r="A825" t="inlineStr">
        <is>
          <t>2022-06-10</t>
        </is>
      </c>
      <c r="B825" t="inlineStr">
        <is>
          <t>棉花</t>
        </is>
      </c>
      <c r="C825" t="inlineStr">
        <is>
          <t>空</t>
        </is>
      </c>
      <c r="D825" t="n">
        <v>3</v>
      </c>
      <c r="E825" t="n">
        <v>6</v>
      </c>
      <c r="F825" t="inlineStr">
        <is>
          <t>开仓</t>
        </is>
      </c>
      <c r="G825" t="n">
        <v>2</v>
      </c>
      <c r="H825" t="n">
        <v>20320</v>
      </c>
      <c r="I825" t="n">
        <v>21288.57</v>
      </c>
      <c r="J825" t="n">
        <v>1</v>
      </c>
      <c r="K825" t="inlineStr">
        <is>
          <t>组合风险已近10%，预算缩小</t>
        </is>
      </c>
    </row>
    <row r="826">
      <c r="A826" t="inlineStr">
        <is>
          <t>2022-06-10</t>
        </is>
      </c>
      <c r="B826" t="inlineStr">
        <is>
          <t>塑料</t>
        </is>
      </c>
      <c r="C826" t="inlineStr">
        <is>
          <t>多</t>
        </is>
      </c>
      <c r="D826" t="n">
        <v>2</v>
      </c>
      <c r="E826" t="n">
        <v>4</v>
      </c>
      <c r="F826" t="inlineStr">
        <is>
          <t>影子仓</t>
        </is>
      </c>
      <c r="G826" t="n">
        <v>5</v>
      </c>
      <c r="H826" t="n">
        <v>9110</v>
      </c>
      <c r="I826" t="n">
        <v>8711.639999999999</v>
      </c>
      <c r="J826" t="n">
        <v>1</v>
      </c>
      <c r="K826" t="inlineStr">
        <is>
          <t>凯利≤0，开1%影子仓（只统计，不计入组合）</t>
        </is>
      </c>
    </row>
    <row r="827">
      <c r="A827" t="inlineStr">
        <is>
          <t>2022-06-10</t>
        </is>
      </c>
      <c r="B827" t="inlineStr">
        <is>
          <t>甲醇</t>
        </is>
      </c>
      <c r="C827" t="inlineStr">
        <is>
          <t>多</t>
        </is>
      </c>
      <c r="D827" t="n">
        <v>2</v>
      </c>
      <c r="E827" t="n">
        <v>4</v>
      </c>
      <c r="F827" t="inlineStr">
        <is>
          <t>影子仓</t>
        </is>
      </c>
      <c r="G827" t="n">
        <v>4</v>
      </c>
      <c r="H827" t="n">
        <v>2911</v>
      </c>
      <c r="I827" t="n">
        <v>2699.93</v>
      </c>
      <c r="J827" t="n">
        <v>1</v>
      </c>
      <c r="K827" t="inlineStr">
        <is>
          <t>凯利≤0，开1%影子仓（只统计，不计入组合）</t>
        </is>
      </c>
    </row>
    <row r="828">
      <c r="A828" t="inlineStr">
        <is>
          <t>2022-06-13</t>
        </is>
      </c>
      <c r="B828" t="inlineStr">
        <is>
          <t>甲醇</t>
        </is>
      </c>
      <c r="C828" t="inlineStr">
        <is>
          <t>多</t>
        </is>
      </c>
      <c r="D828" t="n">
        <v>3</v>
      </c>
      <c r="E828" t="n">
        <v>6</v>
      </c>
      <c r="F828" t="inlineStr">
        <is>
          <t>续持</t>
        </is>
      </c>
      <c r="G828" t="n">
        <v>4</v>
      </c>
      <c r="H828" t="n">
        <v>2941</v>
      </c>
      <c r="I828" t="n">
        <v>2740.86</v>
      </c>
      <c r="J828" t="n">
        <v>1</v>
      </c>
      <c r="K828" t="inlineStr">
        <is>
          <t>续持原仓（2022-06-10开）</t>
        </is>
      </c>
    </row>
    <row r="829">
      <c r="A829" t="inlineStr">
        <is>
          <t>2022-06-13</t>
        </is>
      </c>
      <c r="B829" t="inlineStr">
        <is>
          <t>纯碱</t>
        </is>
      </c>
      <c r="C829" t="inlineStr">
        <is>
          <t>多</t>
        </is>
      </c>
      <c r="D829" t="n">
        <v>2</v>
      </c>
      <c r="E829" t="n">
        <v>5</v>
      </c>
      <c r="F829" t="inlineStr">
        <is>
          <t>观望</t>
        </is>
      </c>
      <c r="G829" t="n">
        <v>1</v>
      </c>
      <c r="H829" t="n">
        <v>3025</v>
      </c>
      <c r="I829" t="n">
        <v>2773.21</v>
      </c>
      <c r="J829" t="n">
        <v>1</v>
      </c>
      <c r="K829" t="inlineStr">
        <is>
          <t>逆5日线（收盘在5日线下，不追多）</t>
        </is>
      </c>
    </row>
    <row r="830">
      <c r="A830" t="inlineStr">
        <is>
          <t>2022-06-14</t>
        </is>
      </c>
      <c r="B830" t="inlineStr">
        <is>
          <t>沥青</t>
        </is>
      </c>
      <c r="C830" t="inlineStr">
        <is>
          <t>多</t>
        </is>
      </c>
      <c r="D830" t="n">
        <v>3</v>
      </c>
      <c r="E830" t="n">
        <v>7</v>
      </c>
      <c r="F830" t="inlineStr">
        <is>
          <t>开仓</t>
        </is>
      </c>
      <c r="G830" t="n">
        <v>8</v>
      </c>
      <c r="H830" t="n">
        <v>4871</v>
      </c>
      <c r="I830" t="n">
        <v>4503.29</v>
      </c>
      <c r="J830" t="n">
        <v>3</v>
      </c>
      <c r="K830" t="inlineStr">
        <is>
          <t>¼凯利超上限，取3%</t>
        </is>
      </c>
    </row>
    <row r="831">
      <c r="A831" t="inlineStr">
        <is>
          <t>2022-06-14</t>
        </is>
      </c>
      <c r="B831" t="inlineStr">
        <is>
          <t>豆油</t>
        </is>
      </c>
      <c r="C831" t="inlineStr">
        <is>
          <t>多</t>
        </is>
      </c>
      <c r="D831" t="n">
        <v>3</v>
      </c>
      <c r="E831" t="n">
        <v>6</v>
      </c>
      <c r="F831" t="inlineStr">
        <is>
          <t>观望</t>
        </is>
      </c>
      <c r="G831" t="n">
        <v>1</v>
      </c>
      <c r="H831" t="n">
        <v>11798</v>
      </c>
      <c r="I831" t="n">
        <v>11151.71</v>
      </c>
      <c r="J831" t="n">
        <v>1</v>
      </c>
      <c r="K831" t="inlineStr">
        <is>
          <t>逆5日线（收盘在5日线下，不追多）</t>
        </is>
      </c>
    </row>
    <row r="832">
      <c r="A832" t="inlineStr">
        <is>
          <t>2022-06-14</t>
        </is>
      </c>
      <c r="B832" t="inlineStr">
        <is>
          <t>纯碱</t>
        </is>
      </c>
      <c r="C832" t="inlineStr">
        <is>
          <t>多</t>
        </is>
      </c>
      <c r="D832" t="n">
        <v>2</v>
      </c>
      <c r="E832" t="n">
        <v>5</v>
      </c>
      <c r="F832" t="inlineStr">
        <is>
          <t>观望</t>
        </is>
      </c>
      <c r="G832" t="n">
        <v>1</v>
      </c>
      <c r="H832" t="n">
        <v>2914</v>
      </c>
      <c r="I832" t="n">
        <v>2639.29</v>
      </c>
      <c r="J832" t="n">
        <v>1</v>
      </c>
      <c r="K832" t="inlineStr">
        <is>
          <t>逆5日线（收盘在5日线下，不追多）</t>
        </is>
      </c>
    </row>
    <row r="833">
      <c r="A833" t="inlineStr">
        <is>
          <t>2022-06-15</t>
        </is>
      </c>
      <c r="B833" t="inlineStr">
        <is>
          <t>燃料油</t>
        </is>
      </c>
      <c r="C833" t="inlineStr">
        <is>
          <t>空</t>
        </is>
      </c>
      <c r="D833" t="n">
        <v>2</v>
      </c>
      <c r="E833" t="n">
        <v>5</v>
      </c>
      <c r="F833" t="inlineStr">
        <is>
          <t>观望</t>
        </is>
      </c>
      <c r="G833" t="n">
        <v>1</v>
      </c>
      <c r="H833" t="n">
        <v>4159</v>
      </c>
      <c r="I833" t="n">
        <v>4710.57</v>
      </c>
      <c r="J833" t="n">
        <v>1</v>
      </c>
      <c r="K833" t="inlineStr">
        <is>
          <t>逆5日线（收盘在5日线上，不追空）</t>
        </is>
      </c>
    </row>
    <row r="834">
      <c r="A834" t="inlineStr">
        <is>
          <t>2022-06-15</t>
        </is>
      </c>
      <c r="B834" t="inlineStr">
        <is>
          <t>豆油</t>
        </is>
      </c>
      <c r="C834" t="inlineStr">
        <is>
          <t>多</t>
        </is>
      </c>
      <c r="D834" t="n">
        <v>2</v>
      </c>
      <c r="E834" t="n">
        <v>4</v>
      </c>
      <c r="F834" t="inlineStr">
        <is>
          <t>观望</t>
        </is>
      </c>
      <c r="G834" t="n">
        <v>1</v>
      </c>
      <c r="H834" t="n">
        <v>11566</v>
      </c>
      <c r="I834" t="n">
        <v>10896.57</v>
      </c>
      <c r="J834" t="n">
        <v>1</v>
      </c>
      <c r="K834" t="inlineStr">
        <is>
          <t>逆5日线（收盘在5日线下，不追多）</t>
        </is>
      </c>
    </row>
    <row r="835">
      <c r="A835" t="inlineStr">
        <is>
          <t>2022-06-15</t>
        </is>
      </c>
      <c r="B835" t="inlineStr">
        <is>
          <t>PVC</t>
        </is>
      </c>
      <c r="C835" t="inlineStr">
        <is>
          <t>空</t>
        </is>
      </c>
      <c r="D835" t="n">
        <v>2</v>
      </c>
      <c r="E835" t="n">
        <v>4</v>
      </c>
      <c r="F835" t="inlineStr">
        <is>
          <t>影子仓</t>
        </is>
      </c>
      <c r="G835" t="n">
        <v>3</v>
      </c>
      <c r="H835" t="n">
        <v>8173</v>
      </c>
      <c r="I835" t="n">
        <v>8674</v>
      </c>
      <c r="J835" t="n">
        <v>1</v>
      </c>
      <c r="K835" t="inlineStr">
        <is>
          <t>凯利≤0，开1%影子仓（只统计，不计入组合）</t>
        </is>
      </c>
    </row>
    <row r="836">
      <c r="A836" t="inlineStr">
        <is>
          <t>2022-06-16</t>
        </is>
      </c>
      <c r="B836" t="inlineStr">
        <is>
          <t>沥青</t>
        </is>
      </c>
      <c r="C836" t="inlineStr">
        <is>
          <t>多</t>
        </is>
      </c>
      <c r="D836" t="n">
        <v>2</v>
      </c>
      <c r="E836" t="n">
        <v>5</v>
      </c>
      <c r="F836" t="inlineStr">
        <is>
          <t>观望</t>
        </is>
      </c>
      <c r="G836" t="n">
        <v>2</v>
      </c>
      <c r="H836" t="n">
        <v>4673</v>
      </c>
      <c r="I836" t="n">
        <v>4291.57</v>
      </c>
      <c r="J836" t="n">
        <v>1</v>
      </c>
      <c r="K836" t="inlineStr">
        <is>
          <t>逆5日线（收盘在5日线下，不追多）</t>
        </is>
      </c>
    </row>
    <row r="837">
      <c r="A837" t="inlineStr">
        <is>
          <t>2022-06-16</t>
        </is>
      </c>
      <c r="B837" t="inlineStr">
        <is>
          <t>沪镍</t>
        </is>
      </c>
      <c r="C837" t="inlineStr">
        <is>
          <t>空</t>
        </is>
      </c>
      <c r="D837" t="n">
        <v>2</v>
      </c>
      <c r="E837" t="n">
        <v>5</v>
      </c>
      <c r="F837" t="inlineStr">
        <is>
          <t>不做</t>
        </is>
      </c>
      <c r="H837" t="n">
        <v>200650</v>
      </c>
      <c r="J837" t="n">
        <v>1</v>
      </c>
      <c r="K837" t="inlineStr">
        <is>
          <t>1手风险25104元超过预算10000元</t>
        </is>
      </c>
    </row>
    <row r="838">
      <c r="A838" t="inlineStr">
        <is>
          <t>2022-06-16</t>
        </is>
      </c>
      <c r="B838" t="inlineStr">
        <is>
          <t>PVC</t>
        </is>
      </c>
      <c r="C838" t="inlineStr">
        <is>
          <t>空</t>
        </is>
      </c>
      <c r="D838" t="n">
        <v>2</v>
      </c>
      <c r="E838" t="n">
        <v>4</v>
      </c>
      <c r="F838" t="inlineStr">
        <is>
          <t>续持</t>
        </is>
      </c>
      <c r="G838" t="n">
        <v>3</v>
      </c>
      <c r="H838" t="n">
        <v>8007</v>
      </c>
      <c r="I838" t="n">
        <v>8534.860000000001</v>
      </c>
      <c r="J838" t="n">
        <v>1</v>
      </c>
      <c r="K838" t="inlineStr">
        <is>
          <t>续持原仓（2022-06-15开）</t>
        </is>
      </c>
    </row>
    <row r="839">
      <c r="A839" t="inlineStr">
        <is>
          <t>2022-06-16</t>
        </is>
      </c>
      <c r="B839" t="inlineStr">
        <is>
          <t>玉米</t>
        </is>
      </c>
      <c r="C839" t="inlineStr">
        <is>
          <t>多</t>
        </is>
      </c>
      <c r="D839" t="n">
        <v>2</v>
      </c>
      <c r="E839" t="n">
        <v>4</v>
      </c>
      <c r="F839" t="inlineStr">
        <is>
          <t>影子仓</t>
        </is>
      </c>
      <c r="G839" t="n">
        <v>10</v>
      </c>
      <c r="H839" t="n">
        <v>2887</v>
      </c>
      <c r="I839" t="n">
        <v>2793.36</v>
      </c>
      <c r="J839" t="n">
        <v>1</v>
      </c>
      <c r="K839" t="inlineStr">
        <is>
          <t>凯利≤0，开1%影子仓（只统计，不计入组合）</t>
        </is>
      </c>
    </row>
    <row r="840">
      <c r="A840" t="inlineStr">
        <is>
          <t>2022-06-17</t>
        </is>
      </c>
      <c r="B840" t="inlineStr">
        <is>
          <t>沥青</t>
        </is>
      </c>
      <c r="C840" t="inlineStr">
        <is>
          <t>多</t>
        </is>
      </c>
      <c r="D840" t="n">
        <v>2</v>
      </c>
      <c r="E840" t="n">
        <v>5</v>
      </c>
      <c r="F840" t="inlineStr">
        <is>
          <t>观望</t>
        </is>
      </c>
      <c r="G840" t="n">
        <v>2</v>
      </c>
      <c r="H840" t="n">
        <v>4630</v>
      </c>
      <c r="I840" t="n">
        <v>4247.07</v>
      </c>
      <c r="J840" t="n">
        <v>1</v>
      </c>
      <c r="K840" t="inlineStr">
        <is>
          <t>逆5日线（收盘在5日线下，不追多）</t>
        </is>
      </c>
    </row>
    <row r="841">
      <c r="A841" t="inlineStr">
        <is>
          <t>2022-06-17</t>
        </is>
      </c>
      <c r="B841" t="inlineStr">
        <is>
          <t>玉米</t>
        </is>
      </c>
      <c r="C841" t="inlineStr">
        <is>
          <t>多</t>
        </is>
      </c>
      <c r="D841" t="n">
        <v>2</v>
      </c>
      <c r="E841" t="n">
        <v>5</v>
      </c>
      <c r="F841" t="inlineStr">
        <is>
          <t>续持</t>
        </is>
      </c>
      <c r="G841" t="n">
        <v>10</v>
      </c>
      <c r="H841" t="n">
        <v>2905</v>
      </c>
      <c r="I841" t="n">
        <v>2817.5</v>
      </c>
      <c r="J841" t="n">
        <v>1</v>
      </c>
      <c r="K841" t="inlineStr">
        <is>
          <t>续持原仓（2022-06-16开）</t>
        </is>
      </c>
    </row>
    <row r="842">
      <c r="A842" t="inlineStr">
        <is>
          <t>2022-06-17</t>
        </is>
      </c>
      <c r="B842" t="inlineStr">
        <is>
          <t>乙二醇</t>
        </is>
      </c>
      <c r="C842" t="inlineStr">
        <is>
          <t>空</t>
        </is>
      </c>
      <c r="D842" t="n">
        <v>2</v>
      </c>
      <c r="E842" t="n">
        <v>4</v>
      </c>
      <c r="F842" t="inlineStr">
        <is>
          <t>影子仓</t>
        </is>
      </c>
      <c r="G842" t="n">
        <v>2</v>
      </c>
      <c r="H842" t="n">
        <v>5185</v>
      </c>
      <c r="I842" t="n">
        <v>5583.79</v>
      </c>
      <c r="J842" t="n">
        <v>1</v>
      </c>
      <c r="K842" t="inlineStr">
        <is>
          <t>凯利≤0，开1%影子仓（只统计，不计入组合）</t>
        </is>
      </c>
    </row>
    <row r="843">
      <c r="A843" t="inlineStr">
        <is>
          <t>2022-06-20</t>
        </is>
      </c>
      <c r="B843" t="inlineStr">
        <is>
          <t>热卷</t>
        </is>
      </c>
      <c r="C843" t="inlineStr">
        <is>
          <t>空</t>
        </is>
      </c>
      <c r="D843" t="n">
        <v>2</v>
      </c>
      <c r="E843" t="n">
        <v>5</v>
      </c>
      <c r="F843" t="inlineStr">
        <is>
          <t>影子仓</t>
        </is>
      </c>
      <c r="G843" t="n">
        <v>3</v>
      </c>
      <c r="H843" t="n">
        <v>4220</v>
      </c>
      <c r="I843" t="n">
        <v>4547</v>
      </c>
      <c r="J843" t="n">
        <v>1</v>
      </c>
      <c r="K843" t="inlineStr">
        <is>
          <t>凯利≤0，开1%影子仓（只统计，不计入组合）</t>
        </is>
      </c>
    </row>
    <row r="844">
      <c r="A844" t="inlineStr">
        <is>
          <t>2022-06-20</t>
        </is>
      </c>
      <c r="B844" t="inlineStr">
        <is>
          <t>玉米</t>
        </is>
      </c>
      <c r="C844" t="inlineStr">
        <is>
          <t>多</t>
        </is>
      </c>
      <c r="D844" t="n">
        <v>2</v>
      </c>
      <c r="E844" t="n">
        <v>4</v>
      </c>
      <c r="F844" t="inlineStr">
        <is>
          <t>续持</t>
        </is>
      </c>
      <c r="G844" t="n">
        <v>10</v>
      </c>
      <c r="H844" t="n">
        <v>2902</v>
      </c>
      <c r="I844" t="n">
        <v>2829.57</v>
      </c>
      <c r="J844" t="n">
        <v>1</v>
      </c>
      <c r="K844" t="inlineStr">
        <is>
          <t>续持原仓（2022-06-16开）</t>
        </is>
      </c>
    </row>
    <row r="845">
      <c r="A845" t="inlineStr">
        <is>
          <t>2022-06-21</t>
        </is>
      </c>
      <c r="B845" t="inlineStr">
        <is>
          <t>玉米</t>
        </is>
      </c>
      <c r="C845" t="inlineStr">
        <is>
          <t>多</t>
        </is>
      </c>
      <c r="D845" t="n">
        <v>2</v>
      </c>
      <c r="E845" t="n">
        <v>4</v>
      </c>
      <c r="F845" t="inlineStr">
        <is>
          <t>续持</t>
        </is>
      </c>
      <c r="G845" t="n">
        <v>10</v>
      </c>
      <c r="H845" t="n">
        <v>2900</v>
      </c>
      <c r="I845" t="n">
        <v>2829.57</v>
      </c>
      <c r="J845" t="n">
        <v>1</v>
      </c>
      <c r="K845" t="inlineStr">
        <is>
          <t>续持原仓（2022-06-16开）</t>
        </is>
      </c>
    </row>
    <row r="846">
      <c r="A846" t="inlineStr">
        <is>
          <t>2022-06-21</t>
        </is>
      </c>
      <c r="B846" t="inlineStr">
        <is>
          <t>沥青</t>
        </is>
      </c>
      <c r="C846" t="inlineStr">
        <is>
          <t>多</t>
        </is>
      </c>
      <c r="D846" t="n">
        <v>2</v>
      </c>
      <c r="E846" t="n">
        <v>4</v>
      </c>
      <c r="F846" t="inlineStr">
        <is>
          <t>观望</t>
        </is>
      </c>
      <c r="G846" t="n">
        <v>2</v>
      </c>
      <c r="H846" t="n">
        <v>4494</v>
      </c>
      <c r="I846" t="n">
        <v>4048.93</v>
      </c>
      <c r="J846" t="n">
        <v>1</v>
      </c>
      <c r="K846" t="inlineStr">
        <is>
          <t>逆5日线（收盘在5日线下，不追多）</t>
        </is>
      </c>
    </row>
    <row r="847">
      <c r="A847" t="inlineStr">
        <is>
          <t>2022-06-21</t>
        </is>
      </c>
      <c r="B847" t="inlineStr">
        <is>
          <t>沪铜</t>
        </is>
      </c>
      <c r="C847" t="inlineStr">
        <is>
          <t>空</t>
        </is>
      </c>
      <c r="D847" t="n">
        <v>2</v>
      </c>
      <c r="E847" t="n">
        <v>4</v>
      </c>
      <c r="F847" t="inlineStr">
        <is>
          <t>不做</t>
        </is>
      </c>
      <c r="H847" t="n">
        <v>68030</v>
      </c>
      <c r="J847" t="n">
        <v>1</v>
      </c>
      <c r="K847" t="inlineStr">
        <is>
          <t>1手风险12396元超过预算10000元</t>
        </is>
      </c>
    </row>
    <row r="848">
      <c r="A848" t="inlineStr">
        <is>
          <t>2022-06-22</t>
        </is>
      </c>
      <c r="B848" t="inlineStr">
        <is>
          <t>PVC</t>
        </is>
      </c>
      <c r="C848" t="inlineStr">
        <is>
          <t>空</t>
        </is>
      </c>
      <c r="D848" t="n">
        <v>3</v>
      </c>
      <c r="E848" t="n">
        <v>6</v>
      </c>
      <c r="F848" t="inlineStr">
        <is>
          <t>开仓</t>
        </is>
      </c>
      <c r="G848" t="n">
        <v>9</v>
      </c>
      <c r="H848" t="n">
        <v>7381</v>
      </c>
      <c r="I848" t="n">
        <v>7997.71</v>
      </c>
      <c r="J848" t="n">
        <v>3</v>
      </c>
      <c r="K848" t="inlineStr">
        <is>
          <t>¼凯利超上限，取3%</t>
        </is>
      </c>
    </row>
    <row r="849">
      <c r="A849" t="inlineStr">
        <is>
          <t>2022-06-22</t>
        </is>
      </c>
      <c r="B849" t="inlineStr">
        <is>
          <t>热卷</t>
        </is>
      </c>
      <c r="C849" t="inlineStr">
        <is>
          <t>空</t>
        </is>
      </c>
      <c r="D849" t="n">
        <v>2</v>
      </c>
      <c r="E849" t="n">
        <v>5</v>
      </c>
      <c r="F849" t="inlineStr">
        <is>
          <t>续持</t>
        </is>
      </c>
      <c r="G849" t="n">
        <v>3</v>
      </c>
      <c r="H849" t="n">
        <v>4195</v>
      </c>
      <c r="I849" t="n">
        <v>4522.14</v>
      </c>
      <c r="J849" t="n">
        <v>1</v>
      </c>
      <c r="K849" t="inlineStr">
        <is>
          <t>续持原仓（2022-06-20开）</t>
        </is>
      </c>
    </row>
    <row r="850">
      <c r="A850" t="inlineStr">
        <is>
          <t>2022-06-23</t>
        </is>
      </c>
      <c r="B850" t="inlineStr">
        <is>
          <t>沪铜</t>
        </is>
      </c>
      <c r="C850" t="inlineStr">
        <is>
          <t>空</t>
        </is>
      </c>
      <c r="D850" t="n">
        <v>3</v>
      </c>
      <c r="E850" t="n">
        <v>7</v>
      </c>
      <c r="F850" t="inlineStr">
        <is>
          <t>开仓</t>
        </is>
      </c>
      <c r="G850" t="n">
        <v>2</v>
      </c>
      <c r="H850" t="n">
        <v>66190</v>
      </c>
      <c r="I850" t="n">
        <v>69185.71000000001</v>
      </c>
      <c r="J850" t="n">
        <v>3</v>
      </c>
      <c r="K850" t="inlineStr">
        <is>
          <t>¼凯利超上限，取3%</t>
        </is>
      </c>
    </row>
    <row r="851">
      <c r="A851" t="inlineStr">
        <is>
          <t>2022-06-23</t>
        </is>
      </c>
      <c r="B851" t="inlineStr">
        <is>
          <t>白糖</t>
        </is>
      </c>
      <c r="C851" t="inlineStr">
        <is>
          <t>空</t>
        </is>
      </c>
      <c r="D851" t="n">
        <v>2</v>
      </c>
      <c r="E851" t="n">
        <v>5</v>
      </c>
      <c r="F851" t="inlineStr">
        <is>
          <t>影子仓</t>
        </is>
      </c>
      <c r="G851" t="n">
        <v>6</v>
      </c>
      <c r="H851" t="n">
        <v>5868</v>
      </c>
      <c r="I851" t="n">
        <v>6023.57</v>
      </c>
      <c r="J851" t="n">
        <v>1</v>
      </c>
      <c r="K851" t="inlineStr">
        <is>
          <t>凯利≤0，开1%影子仓（只统计，不计入组合）</t>
        </is>
      </c>
    </row>
    <row r="852">
      <c r="A852" t="inlineStr">
        <is>
          <t>2022-06-23</t>
        </is>
      </c>
      <c r="B852" t="inlineStr">
        <is>
          <t>沪银</t>
        </is>
      </c>
      <c r="C852" t="inlineStr">
        <is>
          <t>空</t>
        </is>
      </c>
      <c r="D852" t="n">
        <v>2</v>
      </c>
      <c r="E852" t="n">
        <v>4</v>
      </c>
      <c r="F852" t="inlineStr">
        <is>
          <t>影子仓</t>
        </is>
      </c>
      <c r="G852" t="n">
        <v>2</v>
      </c>
      <c r="H852" t="n">
        <v>4649</v>
      </c>
      <c r="I852" t="n">
        <v>4919.21</v>
      </c>
      <c r="J852" t="n">
        <v>1</v>
      </c>
      <c r="K852" t="inlineStr">
        <is>
          <t>凯利≤0，开1%影子仓（只统计，不计入组合）</t>
        </is>
      </c>
    </row>
    <row r="853">
      <c r="A853" t="inlineStr">
        <is>
          <t>2022-06-23</t>
        </is>
      </c>
      <c r="B853" t="inlineStr">
        <is>
          <t>乙二醇</t>
        </is>
      </c>
      <c r="C853" t="inlineStr">
        <is>
          <t>空</t>
        </is>
      </c>
      <c r="D853" t="n">
        <v>2</v>
      </c>
      <c r="E853" t="n">
        <v>4</v>
      </c>
      <c r="F853" t="inlineStr">
        <is>
          <t>影子仓</t>
        </is>
      </c>
      <c r="G853" t="n">
        <v>2</v>
      </c>
      <c r="H853" t="n">
        <v>4631</v>
      </c>
      <c r="I853" t="n">
        <v>5090.21</v>
      </c>
      <c r="J853" t="n">
        <v>1</v>
      </c>
      <c r="K853" t="inlineStr">
        <is>
          <t>凯利≤0，开1%影子仓（只统计，不计入组合）</t>
        </is>
      </c>
    </row>
    <row r="854">
      <c r="A854" t="inlineStr">
        <is>
          <t>2022-06-23</t>
        </is>
      </c>
      <c r="B854" t="inlineStr">
        <is>
          <t>铁矿石</t>
        </is>
      </c>
      <c r="C854" t="inlineStr">
        <is>
          <t>多</t>
        </is>
      </c>
      <c r="D854" t="n">
        <v>2</v>
      </c>
      <c r="E854" t="n">
        <v>4</v>
      </c>
      <c r="F854" t="inlineStr">
        <is>
          <t>观望</t>
        </is>
      </c>
      <c r="H854" t="n">
        <v>749.5</v>
      </c>
      <c r="J854" t="n">
        <v>1</v>
      </c>
      <c r="K854" t="inlineStr">
        <is>
          <t>逆5日线（收盘在5日线下，不追多）</t>
        </is>
      </c>
    </row>
    <row r="855">
      <c r="A855" t="inlineStr">
        <is>
          <t>2022-06-24</t>
        </is>
      </c>
      <c r="B855" t="inlineStr">
        <is>
          <t>沪铜</t>
        </is>
      </c>
      <c r="C855" t="inlineStr">
        <is>
          <t>空</t>
        </is>
      </c>
      <c r="D855" t="n">
        <v>3</v>
      </c>
      <c r="E855" t="n">
        <v>7</v>
      </c>
      <c r="F855" t="inlineStr">
        <is>
          <t>续持</t>
        </is>
      </c>
      <c r="G855" t="n">
        <v>2</v>
      </c>
      <c r="H855" t="n">
        <v>63440</v>
      </c>
      <c r="I855" t="n">
        <v>66742.14</v>
      </c>
      <c r="J855" t="n">
        <v>3</v>
      </c>
      <c r="K855" t="inlineStr">
        <is>
          <t>续持原仓（2022-06-23开）</t>
        </is>
      </c>
    </row>
    <row r="856">
      <c r="A856" t="inlineStr">
        <is>
          <t>2022-06-24</t>
        </is>
      </c>
      <c r="B856" t="inlineStr">
        <is>
          <t>白糖</t>
        </is>
      </c>
      <c r="C856" t="inlineStr">
        <is>
          <t>空</t>
        </is>
      </c>
      <c r="D856" t="n">
        <v>3</v>
      </c>
      <c r="E856" t="n">
        <v>6</v>
      </c>
      <c r="F856" t="inlineStr">
        <is>
          <t>续持</t>
        </is>
      </c>
      <c r="G856" t="n">
        <v>6</v>
      </c>
      <c r="H856" t="n">
        <v>5847</v>
      </c>
      <c r="I856" t="n">
        <v>5978.71</v>
      </c>
      <c r="J856" t="n">
        <v>1</v>
      </c>
      <c r="K856" t="inlineStr">
        <is>
          <t>续持原仓（2022-06-23开）</t>
        </is>
      </c>
    </row>
    <row r="857">
      <c r="A857" t="inlineStr">
        <is>
          <t>2022-06-24</t>
        </is>
      </c>
      <c r="B857" t="inlineStr">
        <is>
          <t>乙二醇</t>
        </is>
      </c>
      <c r="C857" t="inlineStr">
        <is>
          <t>空</t>
        </is>
      </c>
      <c r="D857" t="n">
        <v>3</v>
      </c>
      <c r="E857" t="n">
        <v>6</v>
      </c>
      <c r="F857" t="inlineStr">
        <is>
          <t>续持</t>
        </is>
      </c>
      <c r="G857" t="n">
        <v>2</v>
      </c>
      <c r="H857" t="n">
        <v>4457</v>
      </c>
      <c r="I857" t="n">
        <v>4916.93</v>
      </c>
      <c r="J857" t="n">
        <v>1</v>
      </c>
      <c r="K857" t="inlineStr">
        <is>
          <t>续持原仓（2022-06-23开）</t>
        </is>
      </c>
    </row>
    <row r="858">
      <c r="A858" t="inlineStr">
        <is>
          <t>2022-06-24</t>
        </is>
      </c>
      <c r="B858" t="inlineStr">
        <is>
          <t>铁矿石</t>
        </is>
      </c>
      <c r="C858" t="inlineStr">
        <is>
          <t>空</t>
        </is>
      </c>
      <c r="D858" t="n">
        <v>3</v>
      </c>
      <c r="E858" t="n">
        <v>6</v>
      </c>
      <c r="F858" t="inlineStr">
        <is>
          <t>开仓</t>
        </is>
      </c>
      <c r="G858" t="n">
        <v>2</v>
      </c>
      <c r="H858" t="n">
        <v>736</v>
      </c>
      <c r="I858" t="n">
        <v>859.21</v>
      </c>
      <c r="J858" t="n">
        <v>3</v>
      </c>
      <c r="K858" t="inlineStr">
        <is>
          <t>¼凯利超上限，取3%</t>
        </is>
      </c>
    </row>
    <row r="859">
      <c r="A859" t="inlineStr">
        <is>
          <t>2022-06-24</t>
        </is>
      </c>
      <c r="B859" t="inlineStr">
        <is>
          <t>PVC</t>
        </is>
      </c>
      <c r="C859" t="inlineStr">
        <is>
          <t>空</t>
        </is>
      </c>
      <c r="D859" t="n">
        <v>3</v>
      </c>
      <c r="E859" t="n">
        <v>6</v>
      </c>
      <c r="F859" t="inlineStr">
        <is>
          <t>开仓</t>
        </is>
      </c>
      <c r="G859" t="n">
        <v>9</v>
      </c>
      <c r="H859" t="n">
        <v>7276</v>
      </c>
      <c r="I859" t="n">
        <v>7925.93</v>
      </c>
      <c r="J859" t="n">
        <v>3</v>
      </c>
      <c r="K859" t="inlineStr">
        <is>
          <t>¼凯利超上限，取3%</t>
        </is>
      </c>
    </row>
    <row r="860">
      <c r="A860" t="inlineStr">
        <is>
          <t>2022-06-27</t>
        </is>
      </c>
      <c r="B860" t="inlineStr">
        <is>
          <t>PVC</t>
        </is>
      </c>
      <c r="C860" t="inlineStr">
        <is>
          <t>空</t>
        </is>
      </c>
      <c r="D860" t="n">
        <v>3</v>
      </c>
      <c r="E860" t="n">
        <v>6</v>
      </c>
      <c r="F860" t="inlineStr">
        <is>
          <t>续持</t>
        </is>
      </c>
      <c r="G860" t="n">
        <v>9</v>
      </c>
      <c r="H860" t="n">
        <v>7265</v>
      </c>
      <c r="I860" t="n">
        <v>7846.64</v>
      </c>
      <c r="J860" t="n">
        <v>3</v>
      </c>
      <c r="K860" t="inlineStr">
        <is>
          <t>续持原仓（2022-06-24开）</t>
        </is>
      </c>
    </row>
    <row r="861">
      <c r="A861" t="inlineStr">
        <is>
          <t>2022-06-27</t>
        </is>
      </c>
      <c r="B861" t="inlineStr">
        <is>
          <t>白糖</t>
        </is>
      </c>
      <c r="C861" t="inlineStr">
        <is>
          <t>空</t>
        </is>
      </c>
      <c r="D861" t="n">
        <v>2</v>
      </c>
      <c r="E861" t="n">
        <v>5</v>
      </c>
      <c r="F861" t="inlineStr">
        <is>
          <t>续持</t>
        </is>
      </c>
      <c r="G861" t="n">
        <v>6</v>
      </c>
      <c r="H861" t="n">
        <v>5855</v>
      </c>
      <c r="I861" t="n">
        <v>5972.14</v>
      </c>
      <c r="J861" t="n">
        <v>1</v>
      </c>
      <c r="K861" t="inlineStr">
        <is>
          <t>续持原仓（2022-06-23开）</t>
        </is>
      </c>
    </row>
    <row r="862">
      <c r="A862" t="inlineStr">
        <is>
          <t>2022-06-27</t>
        </is>
      </c>
      <c r="B862" t="inlineStr">
        <is>
          <t>乙二醇</t>
        </is>
      </c>
      <c r="C862" t="inlineStr">
        <is>
          <t>空</t>
        </is>
      </c>
      <c r="D862" t="n">
        <v>2</v>
      </c>
      <c r="E862" t="n">
        <v>4</v>
      </c>
      <c r="F862" t="inlineStr">
        <is>
          <t>续持</t>
        </is>
      </c>
      <c r="G862" t="n">
        <v>2</v>
      </c>
      <c r="H862" t="n">
        <v>4481</v>
      </c>
      <c r="I862" t="n">
        <v>4899.21</v>
      </c>
      <c r="J862" t="n">
        <v>1</v>
      </c>
      <c r="K862" t="inlineStr">
        <is>
          <t>续持原仓（2022-06-23开）</t>
        </is>
      </c>
    </row>
    <row r="863">
      <c r="A863" t="inlineStr">
        <is>
          <t>2022-06-28</t>
        </is>
      </c>
      <c r="B863" t="inlineStr">
        <is>
          <t>白糖</t>
        </is>
      </c>
      <c r="C863" t="inlineStr">
        <is>
          <t>空</t>
        </is>
      </c>
      <c r="D863" t="n">
        <v>2</v>
      </c>
      <c r="E863" t="n">
        <v>5</v>
      </c>
      <c r="F863" t="inlineStr">
        <is>
          <t>观望</t>
        </is>
      </c>
      <c r="G863" t="n">
        <v>6</v>
      </c>
      <c r="H863" t="n">
        <v>5876</v>
      </c>
      <c r="I863" t="n">
        <v>6040.79</v>
      </c>
      <c r="J863" t="n">
        <v>1</v>
      </c>
      <c r="K863" t="inlineStr">
        <is>
          <t>逆5日线（收盘在5日线上，不追空）</t>
        </is>
      </c>
    </row>
    <row r="864">
      <c r="A864" t="inlineStr">
        <is>
          <t>2022-06-28</t>
        </is>
      </c>
      <c r="B864" t="inlineStr">
        <is>
          <t>PVC</t>
        </is>
      </c>
      <c r="C864" t="inlineStr">
        <is>
          <t>空</t>
        </is>
      </c>
      <c r="D864" t="n">
        <v>2</v>
      </c>
      <c r="E864" t="n">
        <v>4</v>
      </c>
      <c r="F864" t="inlineStr">
        <is>
          <t>观望</t>
        </is>
      </c>
      <c r="G864" t="n">
        <v>2</v>
      </c>
      <c r="H864" t="n">
        <v>7423</v>
      </c>
      <c r="I864" t="n">
        <v>8117.5</v>
      </c>
      <c r="J864" t="n">
        <v>1</v>
      </c>
      <c r="K864" t="inlineStr">
        <is>
          <t>逆5日线（收盘在5日线上，不追空）</t>
        </is>
      </c>
    </row>
    <row r="865">
      <c r="A865" t="inlineStr">
        <is>
          <t>2022-06-28</t>
        </is>
      </c>
      <c r="B865" t="inlineStr">
        <is>
          <t>沥青</t>
        </is>
      </c>
      <c r="C865" t="inlineStr">
        <is>
          <t>多</t>
        </is>
      </c>
      <c r="D865" t="n">
        <v>2</v>
      </c>
      <c r="E865" t="n">
        <v>4</v>
      </c>
      <c r="F865" t="inlineStr">
        <is>
          <t>影子仓</t>
        </is>
      </c>
      <c r="G865" t="n">
        <v>2</v>
      </c>
      <c r="H865" t="n">
        <v>4606</v>
      </c>
      <c r="I865" t="n">
        <v>4116.36</v>
      </c>
      <c r="J865" t="n">
        <v>1</v>
      </c>
      <c r="K865" t="inlineStr">
        <is>
          <t>凯利≤0，开1%影子仓（只统计，不计入组合）</t>
        </is>
      </c>
    </row>
    <row r="866">
      <c r="A866" t="inlineStr">
        <is>
          <t>2022-06-29</t>
        </is>
      </c>
      <c r="B866" t="inlineStr">
        <is>
          <t>沪银</t>
        </is>
      </c>
      <c r="C866" t="inlineStr">
        <is>
          <t>空</t>
        </is>
      </c>
      <c r="D866" t="n">
        <v>3</v>
      </c>
      <c r="E866" t="n">
        <v>7</v>
      </c>
      <c r="F866" t="inlineStr">
        <is>
          <t>续持</t>
        </is>
      </c>
      <c r="G866" t="n">
        <v>2</v>
      </c>
      <c r="H866" t="n">
        <v>4527</v>
      </c>
      <c r="I866" t="n">
        <v>4763.86</v>
      </c>
      <c r="J866" t="n">
        <v>1</v>
      </c>
      <c r="K866" t="inlineStr">
        <is>
          <t>续持原仓（2022-06-23开）</t>
        </is>
      </c>
    </row>
    <row r="867">
      <c r="A867" t="inlineStr">
        <is>
          <t>2022-06-29</t>
        </is>
      </c>
      <c r="B867" t="inlineStr">
        <is>
          <t>棕榈油</t>
        </is>
      </c>
      <c r="C867" t="inlineStr">
        <is>
          <t>空</t>
        </is>
      </c>
      <c r="D867" t="n">
        <v>3</v>
      </c>
      <c r="E867" t="n">
        <v>7</v>
      </c>
      <c r="F867" t="inlineStr">
        <is>
          <t>观望</t>
        </is>
      </c>
      <c r="G867" t="n">
        <v>2</v>
      </c>
      <c r="H867" t="n">
        <v>9512</v>
      </c>
      <c r="I867" t="n">
        <v>10737.29</v>
      </c>
      <c r="J867" t="n">
        <v>3</v>
      </c>
      <c r="K867" t="inlineStr">
        <is>
          <t>逆5日线（收盘在5日线上，不追空）</t>
        </is>
      </c>
    </row>
    <row r="868">
      <c r="A868" t="inlineStr">
        <is>
          <t>2022-06-29</t>
        </is>
      </c>
      <c r="B868" t="inlineStr">
        <is>
          <t>热卷</t>
        </is>
      </c>
      <c r="C868" t="inlineStr">
        <is>
          <t>空</t>
        </is>
      </c>
      <c r="D868" t="n">
        <v>3</v>
      </c>
      <c r="E868" t="n">
        <v>6</v>
      </c>
      <c r="F868" t="inlineStr">
        <is>
          <t>观望</t>
        </is>
      </c>
      <c r="G868" t="n">
        <v>7</v>
      </c>
      <c r="H868" t="n">
        <v>4382</v>
      </c>
      <c r="I868" t="n">
        <v>4766.43</v>
      </c>
      <c r="J868" t="n">
        <v>3</v>
      </c>
      <c r="K868" t="inlineStr">
        <is>
          <t>逆5日线（收盘在5日线上，不追空）</t>
        </is>
      </c>
    </row>
    <row r="869">
      <c r="A869" t="inlineStr">
        <is>
          <t>2022-06-29</t>
        </is>
      </c>
      <c r="B869" t="inlineStr">
        <is>
          <t>白糖</t>
        </is>
      </c>
      <c r="C869" t="inlineStr">
        <is>
          <t>空</t>
        </is>
      </c>
      <c r="D869" t="n">
        <v>3</v>
      </c>
      <c r="E869" t="n">
        <v>6</v>
      </c>
      <c r="F869" t="inlineStr">
        <is>
          <t>续持</t>
        </is>
      </c>
      <c r="G869" t="n">
        <v>6</v>
      </c>
      <c r="H869" t="n">
        <v>5846</v>
      </c>
      <c r="I869" t="n">
        <v>5972.14</v>
      </c>
      <c r="J869" t="n">
        <v>1</v>
      </c>
      <c r="K869" t="inlineStr">
        <is>
          <t>续持原仓（2022-06-23开）</t>
        </is>
      </c>
    </row>
    <row r="870">
      <c r="A870" t="inlineStr">
        <is>
          <t>2022-06-29</t>
        </is>
      </c>
      <c r="B870" t="inlineStr">
        <is>
          <t>豆粕</t>
        </is>
      </c>
      <c r="C870" t="inlineStr">
        <is>
          <t>空</t>
        </is>
      </c>
      <c r="D870" t="n">
        <v>3</v>
      </c>
      <c r="E870" t="n">
        <v>6</v>
      </c>
      <c r="F870" t="inlineStr">
        <is>
          <t>观望</t>
        </is>
      </c>
      <c r="G870" t="n">
        <v>9</v>
      </c>
      <c r="H870" t="n">
        <v>3881</v>
      </c>
      <c r="I870" t="n">
        <v>4195.14</v>
      </c>
      <c r="J870" t="n">
        <v>3</v>
      </c>
      <c r="K870" t="inlineStr">
        <is>
          <t>逆5日线（收盘在5日线上，不追空）</t>
        </is>
      </c>
    </row>
    <row r="871">
      <c r="A871" t="inlineStr">
        <is>
          <t>2022-06-30</t>
        </is>
      </c>
      <c r="B871" t="inlineStr">
        <is>
          <t>沪锌</t>
        </is>
      </c>
      <c r="C871" t="inlineStr">
        <is>
          <t>空</t>
        </is>
      </c>
      <c r="D871" t="n">
        <v>3</v>
      </c>
      <c r="E871" t="n">
        <v>6</v>
      </c>
      <c r="F871" t="inlineStr">
        <is>
          <t>开仓</t>
        </is>
      </c>
      <c r="G871" t="n">
        <v>2</v>
      </c>
      <c r="H871" t="n">
        <v>23765</v>
      </c>
      <c r="I871" t="n">
        <v>25805</v>
      </c>
      <c r="J871" t="n">
        <v>3</v>
      </c>
      <c r="K871" t="inlineStr">
        <is>
          <t>¼凯利超上限，取3%</t>
        </is>
      </c>
    </row>
    <row r="872">
      <c r="A872" t="inlineStr">
        <is>
          <t>2022-06-30</t>
        </is>
      </c>
      <c r="B872" t="inlineStr">
        <is>
          <t>沪铜</t>
        </is>
      </c>
      <c r="C872" t="inlineStr">
        <is>
          <t>空</t>
        </is>
      </c>
      <c r="D872" t="n">
        <v>2</v>
      </c>
      <c r="E872" t="n">
        <v>5</v>
      </c>
      <c r="F872" t="inlineStr">
        <is>
          <t>不做</t>
        </is>
      </c>
      <c r="H872" t="n">
        <v>63850</v>
      </c>
      <c r="J872" t="n">
        <v>1</v>
      </c>
      <c r="K872" t="inlineStr">
        <is>
          <t>1手风险23111元超过预算10000元</t>
        </is>
      </c>
    </row>
    <row r="873">
      <c r="A873" t="inlineStr">
        <is>
          <t>2022-06-30</t>
        </is>
      </c>
      <c r="B873" t="inlineStr">
        <is>
          <t>白糖</t>
        </is>
      </c>
      <c r="C873" t="inlineStr">
        <is>
          <t>空</t>
        </is>
      </c>
      <c r="D873" t="n">
        <v>2</v>
      </c>
      <c r="E873" t="n">
        <v>5</v>
      </c>
      <c r="F873" t="inlineStr">
        <is>
          <t>续持</t>
        </is>
      </c>
      <c r="G873" t="n">
        <v>6</v>
      </c>
      <c r="H873" t="n">
        <v>5842</v>
      </c>
      <c r="I873" t="n">
        <v>5970.64</v>
      </c>
      <c r="J873" t="n">
        <v>1</v>
      </c>
      <c r="K873" t="inlineStr">
        <is>
          <t>续持原仓（2022-06-23开）</t>
        </is>
      </c>
    </row>
    <row r="874">
      <c r="A874" t="inlineStr">
        <is>
          <t>2022-06-30</t>
        </is>
      </c>
      <c r="B874" t="inlineStr">
        <is>
          <t>棉花</t>
        </is>
      </c>
      <c r="C874" t="inlineStr">
        <is>
          <t>空</t>
        </is>
      </c>
      <c r="D874" t="n">
        <v>2</v>
      </c>
      <c r="E874" t="n">
        <v>5</v>
      </c>
      <c r="F874" t="inlineStr">
        <is>
          <t>观望</t>
        </is>
      </c>
      <c r="G874" t="n">
        <v>1</v>
      </c>
      <c r="H874" t="n">
        <v>17655</v>
      </c>
      <c r="I874" t="n">
        <v>19505.36</v>
      </c>
      <c r="J874" t="n">
        <v>1</v>
      </c>
      <c r="K874" t="inlineStr">
        <is>
          <t>逆5日线（收盘在5日线上，不追空）</t>
        </is>
      </c>
    </row>
    <row r="875">
      <c r="A875" t="inlineStr">
        <is>
          <t>2022-06-30</t>
        </is>
      </c>
      <c r="B875" t="inlineStr">
        <is>
          <t>乙二醇</t>
        </is>
      </c>
      <c r="C875" t="inlineStr">
        <is>
          <t>空</t>
        </is>
      </c>
      <c r="D875" t="n">
        <v>2</v>
      </c>
      <c r="E875" t="n">
        <v>4</v>
      </c>
      <c r="F875" t="inlineStr">
        <is>
          <t>观望</t>
        </is>
      </c>
      <c r="G875" t="n">
        <v>2</v>
      </c>
      <c r="H875" t="n">
        <v>4553</v>
      </c>
      <c r="I875" t="n">
        <v>5003.21</v>
      </c>
      <c r="J875" t="n">
        <v>1</v>
      </c>
      <c r="K875" t="inlineStr">
        <is>
          <t>逆5日线（收盘在5日线上，不追空）</t>
        </is>
      </c>
    </row>
    <row r="876">
      <c r="A876" t="inlineStr">
        <is>
          <t>2022-07-01</t>
        </is>
      </c>
      <c r="B876" t="inlineStr">
        <is>
          <t>沪锌</t>
        </is>
      </c>
      <c r="C876" t="inlineStr">
        <is>
          <t>空</t>
        </is>
      </c>
      <c r="D876" t="n">
        <v>3</v>
      </c>
      <c r="E876" t="n">
        <v>7</v>
      </c>
      <c r="F876" t="inlineStr">
        <is>
          <t>续持</t>
        </is>
      </c>
      <c r="G876" t="n">
        <v>2</v>
      </c>
      <c r="H876" t="n">
        <v>22910</v>
      </c>
      <c r="I876" t="n">
        <v>24874.64</v>
      </c>
      <c r="J876" t="n">
        <v>3</v>
      </c>
      <c r="K876" t="inlineStr">
        <is>
          <t>续持原仓（2022-06-30开）</t>
        </is>
      </c>
    </row>
    <row r="877">
      <c r="A877" t="inlineStr">
        <is>
          <t>2022-07-01</t>
        </is>
      </c>
      <c r="B877" t="inlineStr">
        <is>
          <t>PTA</t>
        </is>
      </c>
      <c r="C877" t="inlineStr">
        <is>
          <t>空</t>
        </is>
      </c>
      <c r="D877" t="n">
        <v>3</v>
      </c>
      <c r="E877" t="n">
        <v>7</v>
      </c>
      <c r="F877" t="inlineStr">
        <is>
          <t>开仓</t>
        </is>
      </c>
      <c r="G877" t="n">
        <v>8</v>
      </c>
      <c r="H877" t="n">
        <v>6286</v>
      </c>
      <c r="I877" t="n">
        <v>6993.14</v>
      </c>
      <c r="J877" t="n">
        <v>3</v>
      </c>
      <c r="K877" t="inlineStr">
        <is>
          <t>¼凯利超上限，取3%</t>
        </is>
      </c>
    </row>
    <row r="878">
      <c r="A878" t="inlineStr">
        <is>
          <t>2022-07-01</t>
        </is>
      </c>
      <c r="B878" t="inlineStr">
        <is>
          <t>棕榈油</t>
        </is>
      </c>
      <c r="C878" t="inlineStr">
        <is>
          <t>空</t>
        </is>
      </c>
      <c r="D878" t="n">
        <v>3</v>
      </c>
      <c r="E878" t="n">
        <v>7</v>
      </c>
      <c r="F878" t="inlineStr">
        <is>
          <t>不做</t>
        </is>
      </c>
      <c r="H878" t="n">
        <v>8934</v>
      </c>
      <c r="J878" t="n">
        <v>1</v>
      </c>
      <c r="K878" t="inlineStr">
        <is>
          <t>1手风险13440元超过预算10000元</t>
        </is>
      </c>
    </row>
    <row r="879">
      <c r="A879" t="inlineStr">
        <is>
          <t>2022-07-01</t>
        </is>
      </c>
      <c r="B879" t="inlineStr">
        <is>
          <t>沪铜</t>
        </is>
      </c>
      <c r="C879" t="inlineStr">
        <is>
          <t>空</t>
        </is>
      </c>
      <c r="D879" t="n">
        <v>3</v>
      </c>
      <c r="E879" t="n">
        <v>6</v>
      </c>
      <c r="F879" t="inlineStr">
        <is>
          <t>不做</t>
        </is>
      </c>
      <c r="H879" t="n">
        <v>61630</v>
      </c>
      <c r="J879" t="n">
        <v>1</v>
      </c>
      <c r="K879" t="inlineStr">
        <is>
          <t>1手风险24600元超过预算10000元</t>
        </is>
      </c>
    </row>
    <row r="880">
      <c r="A880" t="inlineStr">
        <is>
          <t>2022-07-01</t>
        </is>
      </c>
      <c r="B880" t="inlineStr">
        <is>
          <t>白糖</t>
        </is>
      </c>
      <c r="C880" t="inlineStr">
        <is>
          <t>空</t>
        </is>
      </c>
      <c r="D880" t="n">
        <v>3</v>
      </c>
      <c r="E880" t="n">
        <v>6</v>
      </c>
      <c r="F880" t="inlineStr">
        <is>
          <t>续持</t>
        </is>
      </c>
      <c r="G880" t="n">
        <v>6</v>
      </c>
      <c r="H880" t="n">
        <v>5805</v>
      </c>
      <c r="I880" t="n">
        <v>5946.71</v>
      </c>
      <c r="J880" t="n">
        <v>1</v>
      </c>
      <c r="K880" t="inlineStr">
        <is>
          <t>续持原仓（2022-06-23开）</t>
        </is>
      </c>
    </row>
    <row r="881">
      <c r="A881" t="inlineStr">
        <is>
          <t>2022-07-04</t>
        </is>
      </c>
      <c r="B881" t="inlineStr">
        <is>
          <t>沪铜</t>
        </is>
      </c>
      <c r="C881" t="inlineStr">
        <is>
          <t>空</t>
        </is>
      </c>
      <c r="D881" t="n">
        <v>3</v>
      </c>
      <c r="E881" t="n">
        <v>7</v>
      </c>
      <c r="F881" t="inlineStr">
        <is>
          <t>不做</t>
        </is>
      </c>
      <c r="H881" t="n">
        <v>60660</v>
      </c>
      <c r="J881" t="n">
        <v>1</v>
      </c>
      <c r="K881" t="inlineStr">
        <is>
          <t>1手风险25286元超过预算10000元</t>
        </is>
      </c>
    </row>
    <row r="882">
      <c r="A882" t="inlineStr">
        <is>
          <t>2022-07-04</t>
        </is>
      </c>
      <c r="B882" t="inlineStr">
        <is>
          <t>沪锌</t>
        </is>
      </c>
      <c r="C882" t="inlineStr">
        <is>
          <t>空</t>
        </is>
      </c>
      <c r="D882" t="n">
        <v>3</v>
      </c>
      <c r="E882" t="n">
        <v>7</v>
      </c>
      <c r="F882" t="inlineStr">
        <is>
          <t>续持</t>
        </is>
      </c>
      <c r="G882" t="n">
        <v>2</v>
      </c>
      <c r="H882" t="n">
        <v>22780</v>
      </c>
      <c r="I882" t="n">
        <v>24657.5</v>
      </c>
      <c r="J882" t="n">
        <v>3</v>
      </c>
      <c r="K882" t="inlineStr">
        <is>
          <t>续持原仓（2022-06-30开）</t>
        </is>
      </c>
    </row>
    <row r="883">
      <c r="A883" t="inlineStr">
        <is>
          <t>2022-07-04</t>
        </is>
      </c>
      <c r="B883" t="inlineStr">
        <is>
          <t>棕榈油</t>
        </is>
      </c>
      <c r="C883" t="inlineStr">
        <is>
          <t>空</t>
        </is>
      </c>
      <c r="D883" t="n">
        <v>3</v>
      </c>
      <c r="E883" t="n">
        <v>7</v>
      </c>
      <c r="F883" t="inlineStr">
        <is>
          <t>不做</t>
        </is>
      </c>
      <c r="H883" t="n">
        <v>8900</v>
      </c>
      <c r="J883" t="n">
        <v>1</v>
      </c>
      <c r="K883" t="inlineStr">
        <is>
          <t>1手风险13414元超过预算10000元</t>
        </is>
      </c>
    </row>
    <row r="884">
      <c r="A884" t="inlineStr">
        <is>
          <t>2022-07-04</t>
        </is>
      </c>
      <c r="B884" t="inlineStr">
        <is>
          <t>PVC</t>
        </is>
      </c>
      <c r="C884" t="inlineStr">
        <is>
          <t>空</t>
        </is>
      </c>
      <c r="D884" t="n">
        <v>3</v>
      </c>
      <c r="E884" t="n">
        <v>6</v>
      </c>
      <c r="F884" t="inlineStr">
        <is>
          <t>续持</t>
        </is>
      </c>
      <c r="G884" t="n">
        <v>9</v>
      </c>
      <c r="H884" t="n">
        <v>6996</v>
      </c>
      <c r="I884" t="n">
        <v>7649.43</v>
      </c>
      <c r="J884" t="n">
        <v>3</v>
      </c>
      <c r="K884" t="inlineStr">
        <is>
          <t>续持原仓（2022-06-24开）</t>
        </is>
      </c>
    </row>
    <row r="885">
      <c r="A885" t="inlineStr">
        <is>
          <t>2022-07-04</t>
        </is>
      </c>
      <c r="B885" t="inlineStr">
        <is>
          <t>螺纹钢</t>
        </is>
      </c>
      <c r="C885" t="inlineStr">
        <is>
          <t>空</t>
        </is>
      </c>
      <c r="D885" t="n">
        <v>3</v>
      </c>
      <c r="E885" t="n">
        <v>6</v>
      </c>
      <c r="F885" t="inlineStr">
        <is>
          <t>开仓</t>
        </is>
      </c>
      <c r="G885" t="n">
        <v>2</v>
      </c>
      <c r="H885" t="n">
        <v>4168</v>
      </c>
      <c r="I885" t="n">
        <v>4571.71</v>
      </c>
      <c r="J885" t="n">
        <v>1</v>
      </c>
      <c r="K885" t="inlineStr">
        <is>
          <t>组合风险已近10%，预算缩小</t>
        </is>
      </c>
    </row>
    <row r="886">
      <c r="A886" t="inlineStr">
        <is>
          <t>2022-07-05</t>
        </is>
      </c>
      <c r="B886" t="inlineStr">
        <is>
          <t>白糖</t>
        </is>
      </c>
      <c r="C886" t="inlineStr">
        <is>
          <t>空</t>
        </is>
      </c>
      <c r="D886" t="n">
        <v>3</v>
      </c>
      <c r="E886" t="n">
        <v>7</v>
      </c>
      <c r="F886" t="inlineStr">
        <is>
          <t>续持</t>
        </is>
      </c>
      <c r="G886" t="n">
        <v>6</v>
      </c>
      <c r="H886" t="n">
        <v>5795</v>
      </c>
      <c r="I886" t="n">
        <v>5920.86</v>
      </c>
      <c r="J886" t="n">
        <v>1</v>
      </c>
      <c r="K886" t="inlineStr">
        <is>
          <t>续持原仓（2022-06-23开）</t>
        </is>
      </c>
    </row>
    <row r="887">
      <c r="A887" t="inlineStr">
        <is>
          <t>2022-07-05</t>
        </is>
      </c>
      <c r="B887" t="inlineStr">
        <is>
          <t>豆油</t>
        </is>
      </c>
      <c r="C887" t="inlineStr">
        <is>
          <t>空</t>
        </is>
      </c>
      <c r="D887" t="n">
        <v>3</v>
      </c>
      <c r="E887" t="n">
        <v>6</v>
      </c>
      <c r="F887" t="inlineStr">
        <is>
          <t>开仓</t>
        </is>
      </c>
      <c r="G887" t="n">
        <v>2</v>
      </c>
      <c r="H887" t="n">
        <v>9234</v>
      </c>
      <c r="I887" t="n">
        <v>10310.57</v>
      </c>
      <c r="J887" t="n">
        <v>3</v>
      </c>
      <c r="K887" t="inlineStr">
        <is>
          <t>¼凯利超上限，取3%</t>
        </is>
      </c>
    </row>
    <row r="888">
      <c r="A888" t="inlineStr">
        <is>
          <t>2022-07-05</t>
        </is>
      </c>
      <c r="B888" t="inlineStr">
        <is>
          <t>沪铝</t>
        </is>
      </c>
      <c r="C888" t="inlineStr">
        <is>
          <t>空</t>
        </is>
      </c>
      <c r="D888" t="n">
        <v>3</v>
      </c>
      <c r="E888" t="n">
        <v>6</v>
      </c>
      <c r="F888" t="inlineStr">
        <is>
          <t>开仓</t>
        </is>
      </c>
      <c r="G888" t="n">
        <v>4</v>
      </c>
      <c r="H888" t="n">
        <v>18485</v>
      </c>
      <c r="I888" t="n">
        <v>19859.64</v>
      </c>
      <c r="J888" t="n">
        <v>3</v>
      </c>
      <c r="K888" t="inlineStr">
        <is>
          <t>¼凯利超上限，取3%</t>
        </is>
      </c>
    </row>
    <row r="889">
      <c r="A889" t="inlineStr">
        <is>
          <t>2022-07-05</t>
        </is>
      </c>
      <c r="B889" t="inlineStr">
        <is>
          <t>沪锌</t>
        </is>
      </c>
      <c r="C889" t="inlineStr">
        <is>
          <t>空</t>
        </is>
      </c>
      <c r="D889" t="n">
        <v>2</v>
      </c>
      <c r="E889" t="n">
        <v>5</v>
      </c>
      <c r="F889" t="inlineStr">
        <is>
          <t>续持</t>
        </is>
      </c>
      <c r="G889" t="n">
        <v>2</v>
      </c>
      <c r="H889" t="n">
        <v>23130</v>
      </c>
      <c r="I889" t="n">
        <v>24657.5</v>
      </c>
      <c r="J889" t="n">
        <v>3</v>
      </c>
      <c r="K889" t="inlineStr">
        <is>
          <t>续持原仓（2022-06-30开）</t>
        </is>
      </c>
    </row>
    <row r="890">
      <c r="A890" t="inlineStr">
        <is>
          <t>2022-07-05</t>
        </is>
      </c>
      <c r="B890" t="inlineStr">
        <is>
          <t>热卷</t>
        </is>
      </c>
      <c r="C890" t="inlineStr">
        <is>
          <t>空</t>
        </is>
      </c>
      <c r="D890" t="n">
        <v>2</v>
      </c>
      <c r="E890" t="n">
        <v>5</v>
      </c>
      <c r="F890" t="inlineStr">
        <is>
          <t>影子仓</t>
        </is>
      </c>
      <c r="G890" t="n">
        <v>2</v>
      </c>
      <c r="H890" t="n">
        <v>4262</v>
      </c>
      <c r="I890" t="n">
        <v>4663.36</v>
      </c>
      <c r="J890" t="n">
        <v>1</v>
      </c>
      <c r="K890" t="inlineStr">
        <is>
          <t>凯利≤0，开1%影子仓（只统计，不计入组合）</t>
        </is>
      </c>
    </row>
    <row r="891">
      <c r="A891" t="inlineStr">
        <is>
          <t>2022-07-06</t>
        </is>
      </c>
      <c r="B891" t="inlineStr">
        <is>
          <t>白糖</t>
        </is>
      </c>
      <c r="C891" t="inlineStr">
        <is>
          <t>空</t>
        </is>
      </c>
      <c r="D891" t="n">
        <v>3</v>
      </c>
      <c r="E891" t="n">
        <v>7</v>
      </c>
      <c r="F891" t="inlineStr">
        <is>
          <t>续持</t>
        </is>
      </c>
      <c r="G891" t="n">
        <v>6</v>
      </c>
      <c r="H891" t="n">
        <v>5729</v>
      </c>
      <c r="I891" t="n">
        <v>5867.57</v>
      </c>
      <c r="J891" t="n">
        <v>1</v>
      </c>
      <c r="K891" t="inlineStr">
        <is>
          <t>续持原仓（2022-06-23开）</t>
        </is>
      </c>
    </row>
    <row r="892">
      <c r="A892" t="inlineStr">
        <is>
          <t>2022-07-06</t>
        </is>
      </c>
      <c r="B892" t="inlineStr">
        <is>
          <t>沪锌</t>
        </is>
      </c>
      <c r="C892" t="inlineStr">
        <is>
          <t>空</t>
        </is>
      </c>
      <c r="D892" t="n">
        <v>3</v>
      </c>
      <c r="E892" t="n">
        <v>7</v>
      </c>
      <c r="F892" t="inlineStr">
        <is>
          <t>续持</t>
        </is>
      </c>
      <c r="G892" t="n">
        <v>2</v>
      </c>
      <c r="H892" t="n">
        <v>22890</v>
      </c>
      <c r="I892" t="n">
        <v>24595</v>
      </c>
      <c r="J892" t="n">
        <v>3</v>
      </c>
      <c r="K892" t="inlineStr">
        <is>
          <t>续持原仓（2022-06-30开）</t>
        </is>
      </c>
    </row>
    <row r="893">
      <c r="A893" t="inlineStr">
        <is>
          <t>2022-07-06</t>
        </is>
      </c>
      <c r="B893" t="inlineStr">
        <is>
          <t>豆粕</t>
        </is>
      </c>
      <c r="C893" t="inlineStr">
        <is>
          <t>空</t>
        </is>
      </c>
      <c r="D893" t="n">
        <v>3</v>
      </c>
      <c r="E893" t="n">
        <v>7</v>
      </c>
      <c r="F893" t="inlineStr">
        <is>
          <t>不做</t>
        </is>
      </c>
      <c r="H893" t="n">
        <v>3800</v>
      </c>
      <c r="J893" t="n">
        <v>0</v>
      </c>
      <c r="K893" t="inlineStr">
        <is>
          <t>组合风险已近10%，预算缩小</t>
        </is>
      </c>
    </row>
    <row r="894">
      <c r="A894" t="inlineStr">
        <is>
          <t>2022-07-06</t>
        </is>
      </c>
      <c r="B894" t="inlineStr">
        <is>
          <t>豆油</t>
        </is>
      </c>
      <c r="C894" t="inlineStr">
        <is>
          <t>空</t>
        </is>
      </c>
      <c r="D894" t="n">
        <v>3</v>
      </c>
      <c r="E894" t="n">
        <v>7</v>
      </c>
      <c r="F894" t="inlineStr">
        <is>
          <t>续持</t>
        </is>
      </c>
      <c r="G894" t="n">
        <v>2</v>
      </c>
      <c r="H894" t="n">
        <v>8924</v>
      </c>
      <c r="I894" t="n">
        <v>9822.860000000001</v>
      </c>
      <c r="J894" t="n">
        <v>3</v>
      </c>
      <c r="K894" t="inlineStr">
        <is>
          <t>续持原仓（2022-07-05开）</t>
        </is>
      </c>
    </row>
    <row r="895">
      <c r="A895" t="inlineStr">
        <is>
          <t>2022-07-06</t>
        </is>
      </c>
      <c r="B895" t="inlineStr">
        <is>
          <t>棕榈油</t>
        </is>
      </c>
      <c r="C895" t="inlineStr">
        <is>
          <t>空</t>
        </is>
      </c>
      <c r="D895" t="n">
        <v>3</v>
      </c>
      <c r="E895" t="n">
        <v>7</v>
      </c>
      <c r="F895" t="inlineStr">
        <is>
          <t>不做</t>
        </is>
      </c>
      <c r="H895" t="n">
        <v>8014</v>
      </c>
      <c r="J895" t="n">
        <v>0</v>
      </c>
      <c r="K895" t="inlineStr">
        <is>
          <t>与豆油高度相关（同组≤3%），预算缩小</t>
        </is>
      </c>
    </row>
    <row r="896">
      <c r="A896" t="inlineStr">
        <is>
          <t>2022-07-06</t>
        </is>
      </c>
      <c r="B896" t="inlineStr">
        <is>
          <t>沪镍</t>
        </is>
      </c>
      <c r="C896" t="inlineStr">
        <is>
          <t>多</t>
        </is>
      </c>
      <c r="D896" t="n">
        <v>2</v>
      </c>
      <c r="E896" t="n">
        <v>5</v>
      </c>
      <c r="F896" t="inlineStr">
        <is>
          <t>不做</t>
        </is>
      </c>
      <c r="H896" t="n">
        <v>169370</v>
      </c>
      <c r="J896" t="n">
        <v>1</v>
      </c>
      <c r="K896" t="inlineStr">
        <is>
          <t>1手风险32014元超过预算10000元</t>
        </is>
      </c>
    </row>
    <row r="897">
      <c r="A897" t="inlineStr">
        <is>
          <t>2022-07-07</t>
        </is>
      </c>
      <c r="B897" t="inlineStr">
        <is>
          <t>PVC</t>
        </is>
      </c>
      <c r="C897" t="inlineStr">
        <is>
          <t>空</t>
        </is>
      </c>
      <c r="D897" t="n">
        <v>3</v>
      </c>
      <c r="E897" t="n">
        <v>7</v>
      </c>
      <c r="F897" t="inlineStr">
        <is>
          <t>开仓</t>
        </is>
      </c>
      <c r="G897" t="n">
        <v>2</v>
      </c>
      <c r="H897" t="n">
        <v>6698</v>
      </c>
      <c r="I897" t="n">
        <v>7450.57</v>
      </c>
      <c r="J897" t="n">
        <v>1</v>
      </c>
      <c r="K897" t="inlineStr">
        <is>
          <t>组合风险已近10%，预算缩小</t>
        </is>
      </c>
    </row>
    <row r="898">
      <c r="A898" t="inlineStr">
        <is>
          <t>2022-07-07</t>
        </is>
      </c>
      <c r="B898" t="inlineStr">
        <is>
          <t>热卷</t>
        </is>
      </c>
      <c r="C898" t="inlineStr">
        <is>
          <t>空</t>
        </is>
      </c>
      <c r="D898" t="n">
        <v>3</v>
      </c>
      <c r="E898" t="n">
        <v>6</v>
      </c>
      <c r="F898" t="inlineStr">
        <is>
          <t>续持</t>
        </is>
      </c>
      <c r="G898" t="n">
        <v>2</v>
      </c>
      <c r="H898" t="n">
        <v>4202</v>
      </c>
      <c r="I898" t="n">
        <v>4533.57</v>
      </c>
      <c r="J898" t="n">
        <v>1</v>
      </c>
      <c r="K898" t="inlineStr">
        <is>
          <t>续持原仓（2022-07-05开）</t>
        </is>
      </c>
    </row>
    <row r="899">
      <c r="A899" t="inlineStr">
        <is>
          <t>2022-07-07</t>
        </is>
      </c>
      <c r="B899" t="inlineStr">
        <is>
          <t>短纤</t>
        </is>
      </c>
      <c r="C899" t="inlineStr">
        <is>
          <t>空</t>
        </is>
      </c>
      <c r="D899" t="n">
        <v>3</v>
      </c>
      <c r="E899" t="n">
        <v>6</v>
      </c>
      <c r="F899" t="inlineStr">
        <is>
          <t>不做</t>
        </is>
      </c>
      <c r="H899" t="n">
        <v>7456</v>
      </c>
      <c r="J899" t="n">
        <v>0</v>
      </c>
      <c r="K899" t="inlineStr">
        <is>
          <t>组合风险已近10%，预算缩小</t>
        </is>
      </c>
    </row>
    <row r="900">
      <c r="A900" t="inlineStr">
        <is>
          <t>2022-07-07</t>
        </is>
      </c>
      <c r="B900" t="inlineStr">
        <is>
          <t>沪铝</t>
        </is>
      </c>
      <c r="C900" t="inlineStr">
        <is>
          <t>空</t>
        </is>
      </c>
      <c r="D900" t="n">
        <v>2</v>
      </c>
      <c r="E900" t="n">
        <v>5</v>
      </c>
      <c r="F900" t="inlineStr">
        <is>
          <t>续持</t>
        </is>
      </c>
      <c r="G900" t="n">
        <v>4</v>
      </c>
      <c r="H900" t="n">
        <v>18360</v>
      </c>
      <c r="I900" t="n">
        <v>19313.21</v>
      </c>
      <c r="J900" t="n">
        <v>3</v>
      </c>
      <c r="K900" t="inlineStr">
        <is>
          <t>续持原仓（2022-07-05开）</t>
        </is>
      </c>
    </row>
    <row r="901">
      <c r="A901" t="inlineStr">
        <is>
          <t>2022-07-07</t>
        </is>
      </c>
      <c r="B901" t="inlineStr">
        <is>
          <t>豆油</t>
        </is>
      </c>
      <c r="C901" t="inlineStr">
        <is>
          <t>空</t>
        </is>
      </c>
      <c r="D901" t="n">
        <v>2</v>
      </c>
      <c r="E901" t="n">
        <v>5</v>
      </c>
      <c r="F901" t="inlineStr">
        <is>
          <t>续持</t>
        </is>
      </c>
      <c r="G901" t="n">
        <v>2</v>
      </c>
      <c r="H901" t="n">
        <v>8916</v>
      </c>
      <c r="I901" t="n">
        <v>9822.860000000001</v>
      </c>
      <c r="J901" t="n">
        <v>3</v>
      </c>
      <c r="K901" t="inlineStr">
        <is>
          <t>续持原仓（2022-07-05开）</t>
        </is>
      </c>
    </row>
    <row r="902">
      <c r="A902" t="inlineStr">
        <is>
          <t>2022-07-08</t>
        </is>
      </c>
      <c r="B902" t="inlineStr">
        <is>
          <t>PVC</t>
        </is>
      </c>
      <c r="C902" t="inlineStr">
        <is>
          <t>空</t>
        </is>
      </c>
      <c r="D902" t="n">
        <v>3</v>
      </c>
      <c r="E902" t="n">
        <v>7</v>
      </c>
      <c r="F902" t="inlineStr">
        <is>
          <t>续持</t>
        </is>
      </c>
      <c r="G902" t="n">
        <v>2</v>
      </c>
      <c r="H902" t="n">
        <v>6512</v>
      </c>
      <c r="I902" t="n">
        <v>7260.21</v>
      </c>
      <c r="J902" t="n">
        <v>1</v>
      </c>
      <c r="K902" t="inlineStr">
        <is>
          <t>续持原仓（2022-07-07开）</t>
        </is>
      </c>
    </row>
    <row r="903">
      <c r="A903" t="inlineStr">
        <is>
          <t>2022-07-08</t>
        </is>
      </c>
      <c r="B903" t="inlineStr">
        <is>
          <t>甲醇</t>
        </is>
      </c>
      <c r="C903" t="inlineStr">
        <is>
          <t>空</t>
        </is>
      </c>
      <c r="D903" t="n">
        <v>3</v>
      </c>
      <c r="E903" t="n">
        <v>6</v>
      </c>
      <c r="F903" t="inlineStr">
        <is>
          <t>开仓</t>
        </is>
      </c>
      <c r="G903" t="n">
        <v>11</v>
      </c>
      <c r="H903" t="n">
        <v>2485</v>
      </c>
      <c r="I903" t="n">
        <v>2750.93</v>
      </c>
      <c r="J903" t="n">
        <v>3</v>
      </c>
      <c r="K903" t="inlineStr">
        <is>
          <t>¼凯利超上限，取3%</t>
        </is>
      </c>
    </row>
    <row r="904">
      <c r="A904" t="inlineStr">
        <is>
          <t>2022-07-08</t>
        </is>
      </c>
      <c r="B904" t="inlineStr">
        <is>
          <t>热卷</t>
        </is>
      </c>
      <c r="C904" t="inlineStr">
        <is>
          <t>空</t>
        </is>
      </c>
      <c r="D904" t="n">
        <v>2</v>
      </c>
      <c r="E904" t="n">
        <v>5</v>
      </c>
      <c r="F904" t="inlineStr">
        <is>
          <t>续持</t>
        </is>
      </c>
      <c r="G904" t="n">
        <v>2</v>
      </c>
      <c r="H904" t="n">
        <v>4206</v>
      </c>
      <c r="I904" t="n">
        <v>4494.79</v>
      </c>
      <c r="J904" t="n">
        <v>1</v>
      </c>
      <c r="K904" t="inlineStr">
        <is>
          <t>续持原仓（2022-07-05开）</t>
        </is>
      </c>
    </row>
    <row r="905">
      <c r="A905" t="inlineStr">
        <is>
          <t>2022-07-08</t>
        </is>
      </c>
      <c r="B905" t="inlineStr">
        <is>
          <t>棕榈油</t>
        </is>
      </c>
      <c r="C905" t="inlineStr">
        <is>
          <t>空</t>
        </is>
      </c>
      <c r="D905" t="n">
        <v>2</v>
      </c>
      <c r="E905" t="n">
        <v>5</v>
      </c>
      <c r="F905" t="inlineStr">
        <is>
          <t>不做</t>
        </is>
      </c>
      <c r="H905" t="n">
        <v>8238</v>
      </c>
      <c r="J905" t="n">
        <v>1</v>
      </c>
      <c r="K905" t="inlineStr">
        <is>
          <t>1手风险14481元超过预算10000元</t>
        </is>
      </c>
    </row>
    <row r="906">
      <c r="A906" t="inlineStr">
        <is>
          <t>2022-07-08</t>
        </is>
      </c>
      <c r="B906" t="inlineStr">
        <is>
          <t>沪银</t>
        </is>
      </c>
      <c r="C906" t="inlineStr">
        <is>
          <t>空</t>
        </is>
      </c>
      <c r="D906" t="n">
        <v>2</v>
      </c>
      <c r="E906" t="n">
        <v>5</v>
      </c>
      <c r="F906" t="inlineStr">
        <is>
          <t>影子仓</t>
        </is>
      </c>
      <c r="G906" t="n">
        <v>1</v>
      </c>
      <c r="H906" t="n">
        <v>4233</v>
      </c>
      <c r="I906" t="n">
        <v>4597.93</v>
      </c>
      <c r="J906" t="n">
        <v>1</v>
      </c>
      <c r="K906" t="inlineStr">
        <is>
          <t>凯利≤0，开1%影子仓（只统计，不计入组合）</t>
        </is>
      </c>
    </row>
    <row r="907">
      <c r="A907" t="inlineStr">
        <is>
          <t>2022-07-11</t>
        </is>
      </c>
      <c r="B907" t="inlineStr">
        <is>
          <t>沪铜</t>
        </is>
      </c>
      <c r="C907" t="inlineStr">
        <is>
          <t>空</t>
        </is>
      </c>
      <c r="D907" t="n">
        <v>3</v>
      </c>
      <c r="E907" t="n">
        <v>6</v>
      </c>
      <c r="F907" t="inlineStr">
        <is>
          <t>不做</t>
        </is>
      </c>
      <c r="H907" t="n">
        <v>58480</v>
      </c>
      <c r="J907" t="n">
        <v>3</v>
      </c>
      <c r="K907" t="inlineStr">
        <is>
          <t>1手风险32250元超过预算30000元</t>
        </is>
      </c>
    </row>
    <row r="908">
      <c r="A908" t="inlineStr">
        <is>
          <t>2022-07-11</t>
        </is>
      </c>
      <c r="B908" t="inlineStr">
        <is>
          <t>PVC</t>
        </is>
      </c>
      <c r="C908" t="inlineStr">
        <is>
          <t>空</t>
        </is>
      </c>
      <c r="D908" t="n">
        <v>3</v>
      </c>
      <c r="E908" t="n">
        <v>6</v>
      </c>
      <c r="F908" t="inlineStr">
        <is>
          <t>续持</t>
        </is>
      </c>
      <c r="G908" t="n">
        <v>2</v>
      </c>
      <c r="H908" t="n">
        <v>6582</v>
      </c>
      <c r="I908" t="n">
        <v>7199.86</v>
      </c>
      <c r="J908" t="n">
        <v>1</v>
      </c>
      <c r="K908" t="inlineStr">
        <is>
          <t>续持原仓（2022-07-07开）</t>
        </is>
      </c>
    </row>
    <row r="909">
      <c r="A909" t="inlineStr">
        <is>
          <t>2022-07-11</t>
        </is>
      </c>
      <c r="B909" t="inlineStr">
        <is>
          <t>燃料油</t>
        </is>
      </c>
      <c r="C909" t="inlineStr">
        <is>
          <t>空</t>
        </is>
      </c>
      <c r="D909" t="n">
        <v>3</v>
      </c>
      <c r="E909" t="n">
        <v>6</v>
      </c>
      <c r="F909" t="inlineStr">
        <is>
          <t>开仓</t>
        </is>
      </c>
      <c r="G909" t="n">
        <v>5</v>
      </c>
      <c r="H909" t="n">
        <v>3230</v>
      </c>
      <c r="I909" t="n">
        <v>3762.5</v>
      </c>
      <c r="J909" t="n">
        <v>3</v>
      </c>
      <c r="K909" t="inlineStr">
        <is>
          <t>¼凯利超上限，取3%</t>
        </is>
      </c>
    </row>
    <row r="910">
      <c r="A910" t="inlineStr">
        <is>
          <t>2022-07-11</t>
        </is>
      </c>
      <c r="B910" t="inlineStr">
        <is>
          <t>热卷</t>
        </is>
      </c>
      <c r="C910" t="inlineStr">
        <is>
          <t>空</t>
        </is>
      </c>
      <c r="D910" t="n">
        <v>2</v>
      </c>
      <c r="E910" t="n">
        <v>5</v>
      </c>
      <c r="F910" t="inlineStr">
        <is>
          <t>续持</t>
        </is>
      </c>
      <c r="G910" t="n">
        <v>2</v>
      </c>
      <c r="H910" t="n">
        <v>4049</v>
      </c>
      <c r="I910" t="n">
        <v>4356.07</v>
      </c>
      <c r="J910" t="n">
        <v>1</v>
      </c>
      <c r="K910" t="inlineStr">
        <is>
          <t>续持原仓（2022-07-05开）</t>
        </is>
      </c>
    </row>
    <row r="911">
      <c r="A911" t="inlineStr">
        <is>
          <t>2022-07-11</t>
        </is>
      </c>
      <c r="B911" t="inlineStr">
        <is>
          <t>白糖</t>
        </is>
      </c>
      <c r="C911" t="inlineStr">
        <is>
          <t>空</t>
        </is>
      </c>
      <c r="D911" t="n">
        <v>2</v>
      </c>
      <c r="E911" t="n">
        <v>5</v>
      </c>
      <c r="F911" t="inlineStr">
        <is>
          <t>观望</t>
        </is>
      </c>
      <c r="G911" t="n">
        <v>5</v>
      </c>
      <c r="H911" t="n">
        <v>5783</v>
      </c>
      <c r="I911" t="n">
        <v>5974.14</v>
      </c>
      <c r="J911" t="n">
        <v>1</v>
      </c>
      <c r="K911" t="inlineStr">
        <is>
          <t>逆5日线（收盘在5日线上，不追空）</t>
        </is>
      </c>
    </row>
    <row r="912">
      <c r="A912" t="inlineStr">
        <is>
          <t>2022-07-12</t>
        </is>
      </c>
      <c r="B912" t="inlineStr">
        <is>
          <t>乙二醇</t>
        </is>
      </c>
      <c r="C912" t="inlineStr">
        <is>
          <t>空</t>
        </is>
      </c>
      <c r="D912" t="n">
        <v>3</v>
      </c>
      <c r="E912" t="n">
        <v>7</v>
      </c>
      <c r="F912" t="inlineStr">
        <is>
          <t>开仓</t>
        </is>
      </c>
      <c r="G912" t="n">
        <v>6</v>
      </c>
      <c r="H912" t="n">
        <v>4251</v>
      </c>
      <c r="I912" t="n">
        <v>4722.86</v>
      </c>
      <c r="J912" t="n">
        <v>3</v>
      </c>
      <c r="K912" t="inlineStr">
        <is>
          <t>¼凯利超上限，取3%</t>
        </is>
      </c>
    </row>
    <row r="913">
      <c r="A913" t="inlineStr">
        <is>
          <t>2022-07-12</t>
        </is>
      </c>
      <c r="B913" t="inlineStr">
        <is>
          <t>纯碱</t>
        </is>
      </c>
      <c r="C913" t="inlineStr">
        <is>
          <t>空</t>
        </is>
      </c>
      <c r="D913" t="n">
        <v>3</v>
      </c>
      <c r="E913" t="n">
        <v>7</v>
      </c>
      <c r="F913" t="inlineStr">
        <is>
          <t>开仓</t>
        </is>
      </c>
      <c r="G913" t="n">
        <v>4</v>
      </c>
      <c r="H913" t="n">
        <v>2446</v>
      </c>
      <c r="I913" t="n">
        <v>2771.93</v>
      </c>
      <c r="J913" t="n">
        <v>3</v>
      </c>
      <c r="K913" t="inlineStr">
        <is>
          <t>¼凯利超上限，取3%</t>
        </is>
      </c>
    </row>
    <row r="914">
      <c r="A914" t="inlineStr">
        <is>
          <t>2022-07-12</t>
        </is>
      </c>
      <c r="B914" t="inlineStr">
        <is>
          <t>沪铝</t>
        </is>
      </c>
      <c r="C914" t="inlineStr">
        <is>
          <t>空</t>
        </is>
      </c>
      <c r="D914" t="n">
        <v>3</v>
      </c>
      <c r="E914" t="n">
        <v>6</v>
      </c>
      <c r="F914" t="inlineStr">
        <is>
          <t>开仓</t>
        </is>
      </c>
      <c r="G914" t="n">
        <v>1</v>
      </c>
      <c r="H914" t="n">
        <v>17585</v>
      </c>
      <c r="I914" t="n">
        <v>18936.07</v>
      </c>
      <c r="J914" t="n">
        <v>1</v>
      </c>
      <c r="K914" t="inlineStr">
        <is>
          <t>组合风险已近10%，预算缩小</t>
        </is>
      </c>
    </row>
    <row r="915">
      <c r="A915" t="inlineStr">
        <is>
          <t>2022-07-12</t>
        </is>
      </c>
      <c r="B915" t="inlineStr">
        <is>
          <t>沪铜</t>
        </is>
      </c>
      <c r="C915" t="inlineStr">
        <is>
          <t>空</t>
        </is>
      </c>
      <c r="D915" t="n">
        <v>3</v>
      </c>
      <c r="E915" t="n">
        <v>6</v>
      </c>
      <c r="F915" t="inlineStr">
        <is>
          <t>不做</t>
        </is>
      </c>
      <c r="H915" t="n">
        <v>57320</v>
      </c>
      <c r="J915" t="n">
        <v>0</v>
      </c>
      <c r="K915" t="inlineStr">
        <is>
          <t>组合风险已近10%，预算缩小</t>
        </is>
      </c>
    </row>
    <row r="916">
      <c r="A916" t="inlineStr">
        <is>
          <t>2022-07-12</t>
        </is>
      </c>
      <c r="B916" t="inlineStr">
        <is>
          <t>白糖</t>
        </is>
      </c>
      <c r="C916" t="inlineStr">
        <is>
          <t>空</t>
        </is>
      </c>
      <c r="D916" t="n">
        <v>3</v>
      </c>
      <c r="E916" t="n">
        <v>6</v>
      </c>
      <c r="F916" t="inlineStr">
        <is>
          <t>观望</t>
        </is>
      </c>
      <c r="H916" t="n">
        <v>5776</v>
      </c>
      <c r="J916" t="n">
        <v>0</v>
      </c>
      <c r="K916" t="inlineStr">
        <is>
          <t>逆5日线（收盘在5日线上，不追空）</t>
        </is>
      </c>
    </row>
    <row r="917">
      <c r="A917" t="inlineStr">
        <is>
          <t>2022-07-13</t>
        </is>
      </c>
      <c r="B917" t="inlineStr">
        <is>
          <t>豆粕</t>
        </is>
      </c>
      <c r="C917" t="inlineStr">
        <is>
          <t>空</t>
        </is>
      </c>
      <c r="D917" t="n">
        <v>3</v>
      </c>
      <c r="E917" t="n">
        <v>7</v>
      </c>
      <c r="F917" t="inlineStr">
        <is>
          <t>开仓</t>
        </is>
      </c>
      <c r="G917" t="n">
        <v>9</v>
      </c>
      <c r="H917" t="n">
        <v>3910</v>
      </c>
      <c r="I917" t="n">
        <v>4236.14</v>
      </c>
      <c r="J917" t="n">
        <v>3</v>
      </c>
      <c r="K917" t="inlineStr">
        <is>
          <t>¼凯利超上限，取3%</t>
        </is>
      </c>
    </row>
    <row r="918">
      <c r="A918" t="inlineStr">
        <is>
          <t>2022-07-13</t>
        </is>
      </c>
      <c r="B918" t="inlineStr">
        <is>
          <t>沪银</t>
        </is>
      </c>
      <c r="C918" t="inlineStr">
        <is>
          <t>空</t>
        </is>
      </c>
      <c r="D918" t="n">
        <v>3</v>
      </c>
      <c r="E918" t="n">
        <v>7</v>
      </c>
      <c r="F918" t="inlineStr">
        <is>
          <t>续持</t>
        </is>
      </c>
      <c r="G918" t="n">
        <v>1</v>
      </c>
      <c r="H918" t="n">
        <v>4194</v>
      </c>
      <c r="I918" t="n">
        <v>4510.14</v>
      </c>
      <c r="J918" t="n">
        <v>1</v>
      </c>
      <c r="K918" t="inlineStr">
        <is>
          <t>续持原仓（2022-07-08开）</t>
        </is>
      </c>
    </row>
    <row r="919">
      <c r="A919" t="inlineStr">
        <is>
          <t>2022-07-13</t>
        </is>
      </c>
      <c r="B919" t="inlineStr">
        <is>
          <t>沪铜</t>
        </is>
      </c>
      <c r="C919" t="inlineStr">
        <is>
          <t>空</t>
        </is>
      </c>
      <c r="D919" t="n">
        <v>3</v>
      </c>
      <c r="E919" t="n">
        <v>6</v>
      </c>
      <c r="F919" t="inlineStr">
        <is>
          <t>不做</t>
        </is>
      </c>
      <c r="H919" t="n">
        <v>56030</v>
      </c>
      <c r="J919" t="n">
        <v>1</v>
      </c>
      <c r="K919" t="inlineStr">
        <is>
          <t>1手风险31843元超过预算10000元</t>
        </is>
      </c>
    </row>
    <row r="920">
      <c r="A920" t="inlineStr">
        <is>
          <t>2022-07-13</t>
        </is>
      </c>
      <c r="B920" t="inlineStr">
        <is>
          <t>沪金</t>
        </is>
      </c>
      <c r="C920" t="inlineStr">
        <is>
          <t>空</t>
        </is>
      </c>
      <c r="D920" t="n">
        <v>3</v>
      </c>
      <c r="E920" t="n">
        <v>6</v>
      </c>
      <c r="F920" t="inlineStr">
        <is>
          <t>不做</t>
        </is>
      </c>
      <c r="H920" t="n">
        <v>375.6</v>
      </c>
      <c r="J920" t="n">
        <v>1</v>
      </c>
      <c r="K920" t="inlineStr">
        <is>
          <t>1手风险13196元超过预算10000元</t>
        </is>
      </c>
    </row>
    <row r="921">
      <c r="A921" t="inlineStr">
        <is>
          <t>2022-07-13</t>
        </is>
      </c>
      <c r="B921" t="inlineStr">
        <is>
          <t>豆油</t>
        </is>
      </c>
      <c r="C921" t="inlineStr">
        <is>
          <t>空</t>
        </is>
      </c>
      <c r="D921" t="n">
        <v>3</v>
      </c>
      <c r="E921" t="n">
        <v>6</v>
      </c>
      <c r="F921" t="inlineStr">
        <is>
          <t>不做</t>
        </is>
      </c>
      <c r="H921" t="n">
        <v>8830</v>
      </c>
      <c r="J921" t="n">
        <v>1</v>
      </c>
      <c r="K921" t="inlineStr">
        <is>
          <t>1手风险12356元超过预算10000元</t>
        </is>
      </c>
    </row>
    <row r="922">
      <c r="A922" t="inlineStr">
        <is>
          <t>2022-07-14</t>
        </is>
      </c>
      <c r="B922" t="inlineStr">
        <is>
          <t>玻璃</t>
        </is>
      </c>
      <c r="C922" t="inlineStr">
        <is>
          <t>空</t>
        </is>
      </c>
      <c r="D922" t="n">
        <v>3</v>
      </c>
      <c r="E922" t="n">
        <v>6</v>
      </c>
      <c r="F922" t="inlineStr">
        <is>
          <t>开仓</t>
        </is>
      </c>
      <c r="G922" t="n">
        <v>11</v>
      </c>
      <c r="H922" t="n">
        <v>1528</v>
      </c>
      <c r="I922" t="n">
        <v>1657.64</v>
      </c>
      <c r="J922" t="n">
        <v>3</v>
      </c>
      <c r="K922" t="inlineStr">
        <is>
          <t>¼凯利超上限，取3%</t>
        </is>
      </c>
    </row>
    <row r="923">
      <c r="A923" t="inlineStr">
        <is>
          <t>2022-07-14</t>
        </is>
      </c>
      <c r="B923" t="inlineStr">
        <is>
          <t>沪铜</t>
        </is>
      </c>
      <c r="C923" t="inlineStr">
        <is>
          <t>空</t>
        </is>
      </c>
      <c r="D923" t="n">
        <v>3</v>
      </c>
      <c r="E923" t="n">
        <v>6</v>
      </c>
      <c r="F923" t="inlineStr">
        <is>
          <t>不做</t>
        </is>
      </c>
      <c r="H923" t="n">
        <v>55450</v>
      </c>
      <c r="J923" t="n">
        <v>3</v>
      </c>
      <c r="K923" t="inlineStr">
        <is>
          <t>1手风险30879元超过预算30000元</t>
        </is>
      </c>
    </row>
    <row r="924">
      <c r="A924" t="inlineStr">
        <is>
          <t>2022-07-14</t>
        </is>
      </c>
      <c r="B924" t="inlineStr">
        <is>
          <t>PVC</t>
        </is>
      </c>
      <c r="C924" t="inlineStr">
        <is>
          <t>空</t>
        </is>
      </c>
      <c r="D924" t="n">
        <v>3</v>
      </c>
      <c r="E924" t="n">
        <v>6</v>
      </c>
      <c r="F924" t="inlineStr">
        <is>
          <t>开仓</t>
        </is>
      </c>
      <c r="G924" t="n">
        <v>8</v>
      </c>
      <c r="H924" t="n">
        <v>6223</v>
      </c>
      <c r="I924" t="n">
        <v>6920.07</v>
      </c>
      <c r="J924" t="n">
        <v>3</v>
      </c>
      <c r="K924" t="inlineStr">
        <is>
          <t>¼凯利超上限，取3%</t>
        </is>
      </c>
    </row>
    <row r="925">
      <c r="A925" t="inlineStr">
        <is>
          <t>2022-07-14</t>
        </is>
      </c>
      <c r="B925" t="inlineStr">
        <is>
          <t>沪铝</t>
        </is>
      </c>
      <c r="C925" t="inlineStr">
        <is>
          <t>空</t>
        </is>
      </c>
      <c r="D925" t="n">
        <v>2</v>
      </c>
      <c r="E925" t="n">
        <v>5</v>
      </c>
      <c r="F925" t="inlineStr">
        <is>
          <t>影子仓</t>
        </is>
      </c>
      <c r="G925" t="n">
        <v>1</v>
      </c>
      <c r="H925" t="n">
        <v>17255</v>
      </c>
      <c r="I925" t="n">
        <v>18606.07</v>
      </c>
      <c r="J925" t="n">
        <v>1</v>
      </c>
      <c r="K925" t="inlineStr">
        <is>
          <t>凯利≤0，开1%影子仓（只统计，不计入组合）</t>
        </is>
      </c>
    </row>
    <row r="926">
      <c r="A926" t="inlineStr">
        <is>
          <t>2022-07-14</t>
        </is>
      </c>
      <c r="B926" t="inlineStr">
        <is>
          <t>聚丙烯</t>
        </is>
      </c>
      <c r="C926" t="inlineStr">
        <is>
          <t>空</t>
        </is>
      </c>
      <c r="D926" t="n">
        <v>2</v>
      </c>
      <c r="E926" t="n">
        <v>5</v>
      </c>
      <c r="F926" t="inlineStr">
        <is>
          <t>影子仓</t>
        </is>
      </c>
      <c r="G926" t="n">
        <v>3</v>
      </c>
      <c r="H926" t="n">
        <v>7970</v>
      </c>
      <c r="I926" t="n">
        <v>8505.07</v>
      </c>
      <c r="J926" t="n">
        <v>1</v>
      </c>
      <c r="K926" t="inlineStr">
        <is>
          <t>凯利≤0，开1%影子仓（只统计，不计入组合）</t>
        </is>
      </c>
    </row>
    <row r="927">
      <c r="A927" t="inlineStr">
        <is>
          <t>2022-07-15</t>
        </is>
      </c>
      <c r="B927" t="inlineStr">
        <is>
          <t>PTA</t>
        </is>
      </c>
      <c r="C927" t="inlineStr">
        <is>
          <t>空</t>
        </is>
      </c>
      <c r="D927" t="n">
        <v>3</v>
      </c>
      <c r="E927" t="n">
        <v>7</v>
      </c>
      <c r="F927" t="inlineStr">
        <is>
          <t>开仓</t>
        </is>
      </c>
      <c r="G927" t="n">
        <v>8</v>
      </c>
      <c r="H927" t="n">
        <v>5224</v>
      </c>
      <c r="I927" t="n">
        <v>5938.86</v>
      </c>
      <c r="J927" t="n">
        <v>3</v>
      </c>
      <c r="K927" t="inlineStr">
        <is>
          <t>¼凯利超上限，取3%</t>
        </is>
      </c>
    </row>
    <row r="928">
      <c r="A928" t="inlineStr">
        <is>
          <t>2022-07-15</t>
        </is>
      </c>
      <c r="B928" t="inlineStr">
        <is>
          <t>沪银</t>
        </is>
      </c>
      <c r="C928" t="inlineStr">
        <is>
          <t>空</t>
        </is>
      </c>
      <c r="D928" t="n">
        <v>3</v>
      </c>
      <c r="E928" t="n">
        <v>6</v>
      </c>
      <c r="F928" t="inlineStr">
        <is>
          <t>开仓</t>
        </is>
      </c>
      <c r="G928" t="n">
        <v>1</v>
      </c>
      <c r="H928" t="n">
        <v>4021</v>
      </c>
      <c r="I928" t="n">
        <v>4366.86</v>
      </c>
      <c r="J928" t="n">
        <v>1</v>
      </c>
      <c r="K928" t="inlineStr">
        <is>
          <t>组合风险已近10%，预算缩小</t>
        </is>
      </c>
    </row>
    <row r="929">
      <c r="A929" t="inlineStr">
        <is>
          <t>2022-07-15</t>
        </is>
      </c>
      <c r="B929" t="inlineStr">
        <is>
          <t>聚丙烯</t>
        </is>
      </c>
      <c r="C929" t="inlineStr">
        <is>
          <t>空</t>
        </is>
      </c>
      <c r="D929" t="n">
        <v>3</v>
      </c>
      <c r="E929" t="n">
        <v>6</v>
      </c>
      <c r="F929" t="inlineStr">
        <is>
          <t>续持</t>
        </is>
      </c>
      <c r="G929" t="n">
        <v>3</v>
      </c>
      <c r="H929" t="n">
        <v>7681</v>
      </c>
      <c r="I929" t="n">
        <v>8218.790000000001</v>
      </c>
      <c r="J929" t="n">
        <v>1</v>
      </c>
      <c r="K929" t="inlineStr">
        <is>
          <t>续持原仓（2022-07-14开）</t>
        </is>
      </c>
    </row>
    <row r="930">
      <c r="A930" t="inlineStr">
        <is>
          <t>2022-07-15</t>
        </is>
      </c>
      <c r="B930" t="inlineStr">
        <is>
          <t>铁矿石</t>
        </is>
      </c>
      <c r="C930" t="inlineStr">
        <is>
          <t>空</t>
        </is>
      </c>
      <c r="D930" t="n">
        <v>3</v>
      </c>
      <c r="E930" t="n">
        <v>6</v>
      </c>
      <c r="F930" t="inlineStr">
        <is>
          <t>不做</t>
        </is>
      </c>
      <c r="H930" t="n">
        <v>645</v>
      </c>
      <c r="J930" t="n">
        <v>0</v>
      </c>
      <c r="K930" t="inlineStr">
        <is>
          <t>组合风险已近10%，预算缩小</t>
        </is>
      </c>
    </row>
    <row r="931">
      <c r="A931" t="inlineStr">
        <is>
          <t>2022-07-15</t>
        </is>
      </c>
      <c r="B931" t="inlineStr">
        <is>
          <t>沥青</t>
        </is>
      </c>
      <c r="C931" t="inlineStr">
        <is>
          <t>空</t>
        </is>
      </c>
      <c r="D931" t="n">
        <v>2</v>
      </c>
      <c r="E931" t="n">
        <v>5</v>
      </c>
      <c r="F931" t="inlineStr">
        <is>
          <t>影子仓</t>
        </is>
      </c>
      <c r="G931" t="n">
        <v>1</v>
      </c>
      <c r="H931" t="n">
        <v>3685</v>
      </c>
      <c r="I931" t="n">
        <v>4187.07</v>
      </c>
      <c r="J931" t="n">
        <v>1</v>
      </c>
      <c r="K931" t="inlineStr">
        <is>
          <t>凯利≤0，开1%影子仓（只统计，不计入组合）</t>
        </is>
      </c>
    </row>
    <row r="932">
      <c r="A932" t="inlineStr">
        <is>
          <t>2022-07-18</t>
        </is>
      </c>
      <c r="B932" t="inlineStr">
        <is>
          <t>沪铝</t>
        </is>
      </c>
      <c r="C932" t="inlineStr">
        <is>
          <t>空</t>
        </is>
      </c>
      <c r="D932" t="n">
        <v>2</v>
      </c>
      <c r="E932" t="n">
        <v>5</v>
      </c>
      <c r="F932" t="inlineStr">
        <is>
          <t>观望</t>
        </is>
      </c>
      <c r="G932" t="n">
        <v>1</v>
      </c>
      <c r="H932" t="n">
        <v>17830</v>
      </c>
      <c r="I932" t="n">
        <v>19183.21</v>
      </c>
      <c r="J932" t="n">
        <v>1</v>
      </c>
      <c r="K932" t="inlineStr">
        <is>
          <t>逆5日线（收盘在5日线上，不追空）</t>
        </is>
      </c>
    </row>
    <row r="933">
      <c r="A933" t="inlineStr">
        <is>
          <t>2022-07-18</t>
        </is>
      </c>
      <c r="B933" t="inlineStr">
        <is>
          <t>PTA</t>
        </is>
      </c>
      <c r="C933" t="inlineStr">
        <is>
          <t>空</t>
        </is>
      </c>
      <c r="D933" t="n">
        <v>2</v>
      </c>
      <c r="E933" t="n">
        <v>5</v>
      </c>
      <c r="F933" t="inlineStr">
        <is>
          <t>观望</t>
        </is>
      </c>
      <c r="G933" t="n">
        <v>2</v>
      </c>
      <c r="H933" t="n">
        <v>5594</v>
      </c>
      <c r="I933" t="n">
        <v>6354.29</v>
      </c>
      <c r="J933" t="n">
        <v>1</v>
      </c>
      <c r="K933" t="inlineStr">
        <is>
          <t>逆5日线（收盘在5日线上，不追空）</t>
        </is>
      </c>
    </row>
    <row r="934">
      <c r="A934" t="inlineStr">
        <is>
          <t>2022-07-18</t>
        </is>
      </c>
      <c r="B934" t="inlineStr">
        <is>
          <t>沪铜</t>
        </is>
      </c>
      <c r="C934" t="inlineStr">
        <is>
          <t>空</t>
        </is>
      </c>
      <c r="D934" t="n">
        <v>2</v>
      </c>
      <c r="E934" t="n">
        <v>4</v>
      </c>
      <c r="F934" t="inlineStr">
        <is>
          <t>观望</t>
        </is>
      </c>
      <c r="H934" t="n">
        <v>56390</v>
      </c>
      <c r="J934" t="n">
        <v>1</v>
      </c>
      <c r="K934" t="inlineStr">
        <is>
          <t>逆5日线（收盘在5日线上，不追空）</t>
        </is>
      </c>
    </row>
    <row r="935">
      <c r="A935" t="inlineStr">
        <is>
          <t>2022-07-18</t>
        </is>
      </c>
      <c r="B935" t="inlineStr">
        <is>
          <t>沪银</t>
        </is>
      </c>
      <c r="C935" t="inlineStr">
        <is>
          <t>空</t>
        </is>
      </c>
      <c r="D935" t="n">
        <v>2</v>
      </c>
      <c r="E935" t="n">
        <v>4</v>
      </c>
      <c r="F935" t="inlineStr">
        <is>
          <t>续持</t>
        </is>
      </c>
      <c r="G935" t="n">
        <v>1</v>
      </c>
      <c r="H935" t="n">
        <v>4151</v>
      </c>
      <c r="I935" t="n">
        <v>4432.5</v>
      </c>
      <c r="J935" t="n">
        <v>1</v>
      </c>
      <c r="K935" t="inlineStr">
        <is>
          <t>续持原仓（2022-07-15开）</t>
        </is>
      </c>
    </row>
    <row r="936">
      <c r="A936" t="inlineStr">
        <is>
          <t>2022-07-18</t>
        </is>
      </c>
      <c r="B936" t="inlineStr">
        <is>
          <t>热卷</t>
        </is>
      </c>
      <c r="C936" t="inlineStr">
        <is>
          <t>空</t>
        </is>
      </c>
      <c r="D936" t="n">
        <v>2</v>
      </c>
      <c r="E936" t="n">
        <v>4</v>
      </c>
      <c r="F936" t="inlineStr">
        <is>
          <t>影子仓</t>
        </is>
      </c>
      <c r="G936" t="n">
        <v>2</v>
      </c>
      <c r="H936" t="n">
        <v>3785</v>
      </c>
      <c r="I936" t="n">
        <v>4202.21</v>
      </c>
      <c r="J936" t="n">
        <v>1</v>
      </c>
      <c r="K936" t="inlineStr">
        <is>
          <t>凯利≤0，开1%影子仓（只统计，不计入组合）</t>
        </is>
      </c>
    </row>
    <row r="937">
      <c r="A937" t="inlineStr">
        <is>
          <t>2022-07-19</t>
        </is>
      </c>
      <c r="B937" t="inlineStr">
        <is>
          <t>沪铜</t>
        </is>
      </c>
      <c r="C937" t="inlineStr">
        <is>
          <t>空</t>
        </is>
      </c>
      <c r="D937" t="n">
        <v>3</v>
      </c>
      <c r="E937" t="n">
        <v>6</v>
      </c>
      <c r="F937" t="inlineStr">
        <is>
          <t>观望</t>
        </is>
      </c>
      <c r="H937" t="n">
        <v>56030</v>
      </c>
      <c r="J937" t="n">
        <v>3</v>
      </c>
      <c r="K937" t="inlineStr">
        <is>
          <t>逆5日线（收盘在5日线上，不追空）</t>
        </is>
      </c>
    </row>
    <row r="938">
      <c r="A938" t="inlineStr">
        <is>
          <t>2022-07-19</t>
        </is>
      </c>
      <c r="B938" t="inlineStr">
        <is>
          <t>沪锌</t>
        </is>
      </c>
      <c r="C938" t="inlineStr">
        <is>
          <t>空</t>
        </is>
      </c>
      <c r="D938" t="n">
        <v>3</v>
      </c>
      <c r="E938" t="n">
        <v>6</v>
      </c>
      <c r="F938" t="inlineStr">
        <is>
          <t>观望</t>
        </is>
      </c>
      <c r="G938" t="n">
        <v>2</v>
      </c>
      <c r="H938" t="n">
        <v>22330</v>
      </c>
      <c r="I938" t="n">
        <v>24548.93</v>
      </c>
      <c r="J938" t="n">
        <v>3</v>
      </c>
      <c r="K938" t="inlineStr">
        <is>
          <t>逆5日线（收盘在5日线上，不追空）</t>
        </is>
      </c>
    </row>
    <row r="939">
      <c r="A939" t="inlineStr">
        <is>
          <t>2022-07-19</t>
        </is>
      </c>
      <c r="B939" t="inlineStr">
        <is>
          <t>沪银</t>
        </is>
      </c>
      <c r="C939" t="inlineStr">
        <is>
          <t>空</t>
        </is>
      </c>
      <c r="D939" t="n">
        <v>3</v>
      </c>
      <c r="E939" t="n">
        <v>6</v>
      </c>
      <c r="F939" t="inlineStr">
        <is>
          <t>续持</t>
        </is>
      </c>
      <c r="G939" t="n">
        <v>1</v>
      </c>
      <c r="H939" t="n">
        <v>4131</v>
      </c>
      <c r="I939" t="n">
        <v>4428.43</v>
      </c>
      <c r="J939" t="n">
        <v>1</v>
      </c>
      <c r="K939" t="inlineStr">
        <is>
          <t>续持原仓（2022-07-15开）</t>
        </is>
      </c>
    </row>
    <row r="940">
      <c r="A940" t="inlineStr">
        <is>
          <t>2022-07-19</t>
        </is>
      </c>
      <c r="B940" t="inlineStr">
        <is>
          <t>沥青</t>
        </is>
      </c>
      <c r="C940" t="inlineStr">
        <is>
          <t>空</t>
        </is>
      </c>
      <c r="D940" t="n">
        <v>3</v>
      </c>
      <c r="E940" t="n">
        <v>6</v>
      </c>
      <c r="F940" t="inlineStr">
        <is>
          <t>观望</t>
        </is>
      </c>
      <c r="G940" t="n">
        <v>5</v>
      </c>
      <c r="H940" t="n">
        <v>4022</v>
      </c>
      <c r="I940" t="n">
        <v>4588.57</v>
      </c>
      <c r="J940" t="n">
        <v>3</v>
      </c>
      <c r="K940" t="inlineStr">
        <is>
          <t>逆5日线（收盘在5日线上，不追空）</t>
        </is>
      </c>
    </row>
    <row r="941">
      <c r="A941" t="inlineStr">
        <is>
          <t>2022-07-19</t>
        </is>
      </c>
      <c r="B941" t="inlineStr">
        <is>
          <t>PTA</t>
        </is>
      </c>
      <c r="C941" t="inlineStr">
        <is>
          <t>空</t>
        </is>
      </c>
      <c r="D941" t="n">
        <v>2</v>
      </c>
      <c r="E941" t="n">
        <v>5</v>
      </c>
      <c r="F941" t="inlineStr">
        <is>
          <t>续持</t>
        </is>
      </c>
      <c r="G941" t="n">
        <v>8</v>
      </c>
      <c r="H941" t="n">
        <v>5426</v>
      </c>
      <c r="I941" t="n">
        <v>6002.86</v>
      </c>
      <c r="J941" t="n">
        <v>3</v>
      </c>
      <c r="K941" t="inlineStr">
        <is>
          <t>续持原仓（2022-07-15开）</t>
        </is>
      </c>
    </row>
    <row r="942">
      <c r="A942" t="inlineStr">
        <is>
          <t>2022-07-20</t>
        </is>
      </c>
      <c r="B942" t="inlineStr">
        <is>
          <t>沥青</t>
        </is>
      </c>
      <c r="C942" t="inlineStr">
        <is>
          <t>空</t>
        </is>
      </c>
      <c r="D942" t="n">
        <v>3</v>
      </c>
      <c r="E942" t="n">
        <v>6</v>
      </c>
      <c r="F942" t="inlineStr">
        <is>
          <t>观望</t>
        </is>
      </c>
      <c r="G942" t="n">
        <v>5</v>
      </c>
      <c r="H942" t="n">
        <v>3937</v>
      </c>
      <c r="I942" t="n">
        <v>4508.07</v>
      </c>
      <c r="J942" t="n">
        <v>3</v>
      </c>
      <c r="K942" t="inlineStr">
        <is>
          <t>逆5日线（收盘在5日线上，不追空）</t>
        </is>
      </c>
    </row>
    <row r="943">
      <c r="A943" t="inlineStr">
        <is>
          <t>2022-07-20</t>
        </is>
      </c>
      <c r="B943" t="inlineStr">
        <is>
          <t>沪金</t>
        </is>
      </c>
      <c r="C943" t="inlineStr">
        <is>
          <t>空</t>
        </is>
      </c>
      <c r="D943" t="n">
        <v>2</v>
      </c>
      <c r="E943" t="n">
        <v>5</v>
      </c>
      <c r="F943" t="inlineStr">
        <is>
          <t>不做</t>
        </is>
      </c>
      <c r="H943" t="n">
        <v>373.52</v>
      </c>
      <c r="J943" t="n">
        <v>1</v>
      </c>
      <c r="K943" t="inlineStr">
        <is>
          <t>1手风险13264元超过预算10000元</t>
        </is>
      </c>
    </row>
    <row r="944">
      <c r="A944" t="inlineStr">
        <is>
          <t>2022-07-20</t>
        </is>
      </c>
      <c r="B944" t="inlineStr">
        <is>
          <t>PTA</t>
        </is>
      </c>
      <c r="C944" t="inlineStr">
        <is>
          <t>空</t>
        </is>
      </c>
      <c r="D944" t="n">
        <v>2</v>
      </c>
      <c r="E944" t="n">
        <v>5</v>
      </c>
      <c r="F944" t="inlineStr">
        <is>
          <t>观望</t>
        </is>
      </c>
      <c r="G944" t="n">
        <v>2</v>
      </c>
      <c r="H944" t="n">
        <v>5516</v>
      </c>
      <c r="I944" t="n">
        <v>6296.86</v>
      </c>
      <c r="J944" t="n">
        <v>1</v>
      </c>
      <c r="K944" t="inlineStr">
        <is>
          <t>逆5日线（收盘在5日线上，不追空）</t>
        </is>
      </c>
    </row>
    <row r="945">
      <c r="A945" t="inlineStr">
        <is>
          <t>2022-07-20</t>
        </is>
      </c>
      <c r="B945" t="inlineStr">
        <is>
          <t>燃料油</t>
        </is>
      </c>
      <c r="C945" t="inlineStr">
        <is>
          <t>空</t>
        </is>
      </c>
      <c r="D945" t="n">
        <v>2</v>
      </c>
      <c r="E945" t="n">
        <v>5</v>
      </c>
      <c r="F945" t="inlineStr">
        <is>
          <t>观望</t>
        </is>
      </c>
      <c r="G945" t="n">
        <v>1</v>
      </c>
      <c r="H945" t="n">
        <v>3049</v>
      </c>
      <c r="I945" t="n">
        <v>3604.86</v>
      </c>
      <c r="J945" t="n">
        <v>1</v>
      </c>
      <c r="K945" t="inlineStr">
        <is>
          <t>逆5日线（收盘在5日线上，不追空）</t>
        </is>
      </c>
    </row>
    <row r="946">
      <c r="A946" t="inlineStr">
        <is>
          <t>2022-07-20</t>
        </is>
      </c>
      <c r="B946" t="inlineStr">
        <is>
          <t>聚丙烯</t>
        </is>
      </c>
      <c r="C946" t="inlineStr">
        <is>
          <t>空</t>
        </is>
      </c>
      <c r="D946" t="n">
        <v>2</v>
      </c>
      <c r="E946" t="n">
        <v>4</v>
      </c>
      <c r="F946" t="inlineStr">
        <is>
          <t>影子仓</t>
        </is>
      </c>
      <c r="G946" t="n">
        <v>3</v>
      </c>
      <c r="H946" t="n">
        <v>7896</v>
      </c>
      <c r="I946" t="n">
        <v>8520.209999999999</v>
      </c>
      <c r="J946" t="n">
        <v>1</v>
      </c>
      <c r="K946" t="inlineStr">
        <is>
          <t>凯利≤0，开1%影子仓（只统计，不计入组合）</t>
        </is>
      </c>
    </row>
    <row r="947">
      <c r="A947" t="inlineStr">
        <is>
          <t>2022-07-21</t>
        </is>
      </c>
      <c r="B947" t="inlineStr">
        <is>
          <t>沥青</t>
        </is>
      </c>
      <c r="C947" t="inlineStr">
        <is>
          <t>空</t>
        </is>
      </c>
      <c r="D947" t="n">
        <v>3</v>
      </c>
      <c r="E947" t="n">
        <v>7</v>
      </c>
      <c r="F947" t="inlineStr">
        <is>
          <t>续持</t>
        </is>
      </c>
      <c r="G947" t="n">
        <v>1</v>
      </c>
      <c r="H947" t="n">
        <v>3909</v>
      </c>
      <c r="I947" t="n">
        <v>4252.07</v>
      </c>
      <c r="J947" t="n">
        <v>1</v>
      </c>
      <c r="K947" t="inlineStr">
        <is>
          <t>续持原仓（2022-07-15开）</t>
        </is>
      </c>
    </row>
    <row r="948">
      <c r="A948" t="inlineStr">
        <is>
          <t>2022-07-21</t>
        </is>
      </c>
      <c r="B948" t="inlineStr">
        <is>
          <t>沪铜</t>
        </is>
      </c>
      <c r="C948" t="inlineStr">
        <is>
          <t>空</t>
        </is>
      </c>
      <c r="D948" t="n">
        <v>3</v>
      </c>
      <c r="E948" t="n">
        <v>6</v>
      </c>
      <c r="F948" t="inlineStr">
        <is>
          <t>观望</t>
        </is>
      </c>
      <c r="H948" t="n">
        <v>56180</v>
      </c>
      <c r="J948" t="n">
        <v>3</v>
      </c>
      <c r="K948" t="inlineStr">
        <is>
          <t>逆5日线（收盘在5日线上，不追空）</t>
        </is>
      </c>
    </row>
    <row r="949">
      <c r="A949" t="inlineStr">
        <is>
          <t>2022-07-21</t>
        </is>
      </c>
      <c r="B949" t="inlineStr">
        <is>
          <t>沪金</t>
        </is>
      </c>
      <c r="C949" t="inlineStr">
        <is>
          <t>空</t>
        </is>
      </c>
      <c r="D949" t="n">
        <v>3</v>
      </c>
      <c r="E949" t="n">
        <v>6</v>
      </c>
      <c r="F949" t="inlineStr">
        <is>
          <t>开仓</t>
        </is>
      </c>
      <c r="G949" t="n">
        <v>2</v>
      </c>
      <c r="H949" t="n">
        <v>370.32</v>
      </c>
      <c r="I949" t="n">
        <v>383.49</v>
      </c>
      <c r="J949" t="n">
        <v>3</v>
      </c>
      <c r="K949" t="inlineStr">
        <is>
          <t>¼凯利超上限，取3%</t>
        </is>
      </c>
    </row>
    <row r="950">
      <c r="A950" t="inlineStr">
        <is>
          <t>2022-07-21</t>
        </is>
      </c>
      <c r="B950" t="inlineStr">
        <is>
          <t>沪铝</t>
        </is>
      </c>
      <c r="C950" t="inlineStr">
        <is>
          <t>空</t>
        </is>
      </c>
      <c r="D950" t="n">
        <v>3</v>
      </c>
      <c r="E950" t="n">
        <v>6</v>
      </c>
      <c r="F950" t="inlineStr">
        <is>
          <t>观望</t>
        </is>
      </c>
      <c r="G950" t="n">
        <v>1</v>
      </c>
      <c r="H950" t="n">
        <v>17910</v>
      </c>
      <c r="I950" t="n">
        <v>19312.5</v>
      </c>
      <c r="J950" t="n">
        <v>1</v>
      </c>
      <c r="K950" t="inlineStr">
        <is>
          <t>逆5日线（收盘在5日线上，不追空）</t>
        </is>
      </c>
    </row>
    <row r="951">
      <c r="A951" t="inlineStr">
        <is>
          <t>2022-07-21</t>
        </is>
      </c>
      <c r="B951" t="inlineStr">
        <is>
          <t>短纤</t>
        </is>
      </c>
      <c r="C951" t="inlineStr">
        <is>
          <t>空</t>
        </is>
      </c>
      <c r="D951" t="n">
        <v>2</v>
      </c>
      <c r="E951" t="n">
        <v>5</v>
      </c>
      <c r="F951" t="inlineStr">
        <is>
          <t>观望</t>
        </is>
      </c>
      <c r="G951" t="n">
        <v>2</v>
      </c>
      <c r="H951" t="n">
        <v>6972</v>
      </c>
      <c r="I951" t="n">
        <v>7726.29</v>
      </c>
      <c r="J951" t="n">
        <v>1</v>
      </c>
      <c r="K951" t="inlineStr">
        <is>
          <t>逆5日线（收盘在5日线上，不追空）</t>
        </is>
      </c>
    </row>
    <row r="952">
      <c r="A952" t="inlineStr">
        <is>
          <t>2022-07-22</t>
        </is>
      </c>
      <c r="B952" t="inlineStr">
        <is>
          <t>玉米</t>
        </is>
      </c>
      <c r="C952" t="inlineStr">
        <is>
          <t>空</t>
        </is>
      </c>
      <c r="D952" t="n">
        <v>3</v>
      </c>
      <c r="E952" t="n">
        <v>7</v>
      </c>
      <c r="F952" t="inlineStr">
        <is>
          <t>开仓</t>
        </is>
      </c>
      <c r="G952" t="n">
        <v>24</v>
      </c>
      <c r="H952" t="n">
        <v>2564</v>
      </c>
      <c r="I952" t="n">
        <v>2687.43</v>
      </c>
      <c r="J952" t="n">
        <v>3</v>
      </c>
      <c r="K952" t="inlineStr">
        <is>
          <t>¼凯利超上限，取3%</t>
        </is>
      </c>
    </row>
    <row r="953">
      <c r="A953" t="inlineStr">
        <is>
          <t>2022-07-22</t>
        </is>
      </c>
      <c r="B953" t="inlineStr">
        <is>
          <t>棕榈油</t>
        </is>
      </c>
      <c r="C953" t="inlineStr">
        <is>
          <t>空</t>
        </is>
      </c>
      <c r="D953" t="n">
        <v>3</v>
      </c>
      <c r="E953" t="n">
        <v>7</v>
      </c>
      <c r="F953" t="inlineStr">
        <is>
          <t>不做</t>
        </is>
      </c>
      <c r="H953" t="n">
        <v>7782</v>
      </c>
      <c r="J953" t="n">
        <v>0</v>
      </c>
      <c r="K953" t="inlineStr">
        <is>
          <t>农产品板块同方向已近6%，预算缩小</t>
        </is>
      </c>
    </row>
    <row r="954">
      <c r="A954" t="inlineStr">
        <is>
          <t>2022-07-22</t>
        </is>
      </c>
      <c r="B954" t="inlineStr">
        <is>
          <t>沪铝</t>
        </is>
      </c>
      <c r="C954" t="inlineStr">
        <is>
          <t>空</t>
        </is>
      </c>
      <c r="D954" t="n">
        <v>3</v>
      </c>
      <c r="E954" t="n">
        <v>6</v>
      </c>
      <c r="F954" t="inlineStr">
        <is>
          <t>观望</t>
        </is>
      </c>
      <c r="G954" t="n">
        <v>1</v>
      </c>
      <c r="H954" t="n">
        <v>17970</v>
      </c>
      <c r="I954" t="n">
        <v>19348.93</v>
      </c>
      <c r="J954" t="n">
        <v>1</v>
      </c>
      <c r="K954" t="inlineStr">
        <is>
          <t>逆5日线（收盘在5日线上，不追空）</t>
        </is>
      </c>
    </row>
    <row r="955">
      <c r="A955" t="inlineStr">
        <is>
          <t>2022-07-22</t>
        </is>
      </c>
      <c r="B955" t="inlineStr">
        <is>
          <t>沥青</t>
        </is>
      </c>
      <c r="C955" t="inlineStr">
        <is>
          <t>空</t>
        </is>
      </c>
      <c r="D955" t="n">
        <v>2</v>
      </c>
      <c r="E955" t="n">
        <v>4</v>
      </c>
      <c r="F955" t="inlineStr">
        <is>
          <t>续持</t>
        </is>
      </c>
      <c r="G955" t="n">
        <v>1</v>
      </c>
      <c r="H955" t="n">
        <v>3957</v>
      </c>
      <c r="I955" t="n">
        <v>4252.07</v>
      </c>
      <c r="J955" t="n">
        <v>1</v>
      </c>
      <c r="K955" t="inlineStr">
        <is>
          <t>续持原仓（2022-07-15开）</t>
        </is>
      </c>
    </row>
    <row r="956">
      <c r="A956" t="inlineStr">
        <is>
          <t>2022-07-25</t>
        </is>
      </c>
      <c r="B956" t="inlineStr">
        <is>
          <t>沪铝</t>
        </is>
      </c>
      <c r="C956" t="inlineStr">
        <is>
          <t>空</t>
        </is>
      </c>
      <c r="D956" t="n">
        <v>3</v>
      </c>
      <c r="E956" t="n">
        <v>7</v>
      </c>
      <c r="F956" t="inlineStr">
        <is>
          <t>开仓</t>
        </is>
      </c>
      <c r="G956" t="n">
        <v>4</v>
      </c>
      <c r="H956" t="n">
        <v>17775</v>
      </c>
      <c r="I956" t="n">
        <v>19112.14</v>
      </c>
      <c r="J956" t="n">
        <v>3</v>
      </c>
      <c r="K956" t="inlineStr">
        <is>
          <t>¼凯利超上限，取3%</t>
        </is>
      </c>
    </row>
    <row r="957">
      <c r="A957" t="inlineStr">
        <is>
          <t>2022-07-25</t>
        </is>
      </c>
      <c r="B957" t="inlineStr">
        <is>
          <t>棕榈油</t>
        </is>
      </c>
      <c r="C957" t="inlineStr">
        <is>
          <t>空</t>
        </is>
      </c>
      <c r="D957" t="n">
        <v>3</v>
      </c>
      <c r="E957" t="n">
        <v>7</v>
      </c>
      <c r="F957" t="inlineStr">
        <is>
          <t>不做</t>
        </is>
      </c>
      <c r="H957" t="n">
        <v>7738</v>
      </c>
      <c r="J957" t="n">
        <v>0</v>
      </c>
      <c r="K957" t="inlineStr">
        <is>
          <t>农产品板块同方向已近6%，预算缩小</t>
        </is>
      </c>
    </row>
    <row r="958">
      <c r="A958" t="inlineStr">
        <is>
          <t>2022-07-25</t>
        </is>
      </c>
      <c r="B958" t="inlineStr">
        <is>
          <t>甲醇</t>
        </is>
      </c>
      <c r="C958" t="inlineStr">
        <is>
          <t>空</t>
        </is>
      </c>
      <c r="D958" t="n">
        <v>3</v>
      </c>
      <c r="E958" t="n">
        <v>6</v>
      </c>
      <c r="F958" t="inlineStr">
        <is>
          <t>观望</t>
        </is>
      </c>
      <c r="G958" t="n">
        <v>3</v>
      </c>
      <c r="H958" t="n">
        <v>2429</v>
      </c>
      <c r="I958" t="n">
        <v>2714.86</v>
      </c>
      <c r="J958" t="n">
        <v>1</v>
      </c>
      <c r="K958" t="inlineStr">
        <is>
          <t>逆5日线（收盘在5日线上，不追空）</t>
        </is>
      </c>
    </row>
    <row r="959">
      <c r="A959" t="inlineStr">
        <is>
          <t>2022-07-25</t>
        </is>
      </c>
      <c r="B959" t="inlineStr">
        <is>
          <t>玉米</t>
        </is>
      </c>
      <c r="C959" t="inlineStr">
        <is>
          <t>空</t>
        </is>
      </c>
      <c r="D959" t="n">
        <v>2</v>
      </c>
      <c r="E959" t="n">
        <v>5</v>
      </c>
      <c r="F959" t="inlineStr">
        <is>
          <t>续持</t>
        </is>
      </c>
      <c r="G959" t="n">
        <v>24</v>
      </c>
      <c r="H959" t="n">
        <v>2599</v>
      </c>
      <c r="I959" t="n">
        <v>2674.86</v>
      </c>
      <c r="J959" t="n">
        <v>3</v>
      </c>
      <c r="K959" t="inlineStr">
        <is>
          <t>续持原仓（2022-07-22开）</t>
        </is>
      </c>
    </row>
    <row r="960">
      <c r="A960" t="inlineStr">
        <is>
          <t>2022-07-25</t>
        </is>
      </c>
      <c r="B960" t="inlineStr">
        <is>
          <t>螺纹钢</t>
        </is>
      </c>
      <c r="C960" t="inlineStr">
        <is>
          <t>空</t>
        </is>
      </c>
      <c r="D960" t="n">
        <v>2</v>
      </c>
      <c r="E960" t="n">
        <v>5</v>
      </c>
      <c r="F960" t="inlineStr">
        <is>
          <t>观望</t>
        </is>
      </c>
      <c r="G960" t="n">
        <v>2</v>
      </c>
      <c r="H960" t="n">
        <v>3859</v>
      </c>
      <c r="I960" t="n">
        <v>4283.29</v>
      </c>
      <c r="J960" t="n">
        <v>1</v>
      </c>
      <c r="K960" t="inlineStr">
        <is>
          <t>逆5日线（收盘在5日线上，不追空）</t>
        </is>
      </c>
    </row>
    <row r="961">
      <c r="A961" t="inlineStr">
        <is>
          <t>2022-07-26</t>
        </is>
      </c>
      <c r="B961" t="inlineStr">
        <is>
          <t>沪镍</t>
        </is>
      </c>
      <c r="C961" t="inlineStr">
        <is>
          <t>多</t>
        </is>
      </c>
      <c r="D961" t="n">
        <v>3</v>
      </c>
      <c r="E961" t="n">
        <v>7</v>
      </c>
      <c r="F961" t="inlineStr">
        <is>
          <t>不做</t>
        </is>
      </c>
      <c r="H961" t="n">
        <v>180960</v>
      </c>
      <c r="J961" t="n">
        <v>1</v>
      </c>
      <c r="K961" t="inlineStr">
        <is>
          <t>1手风险28232元超过预算10000元</t>
        </is>
      </c>
    </row>
    <row r="962">
      <c r="A962" t="inlineStr">
        <is>
          <t>2022-07-26</t>
        </is>
      </c>
      <c r="B962" t="inlineStr">
        <is>
          <t>玻璃</t>
        </is>
      </c>
      <c r="C962" t="inlineStr">
        <is>
          <t>空</t>
        </is>
      </c>
      <c r="D962" t="n">
        <v>3</v>
      </c>
      <c r="E962" t="n">
        <v>6</v>
      </c>
      <c r="F962" t="inlineStr">
        <is>
          <t>观望</t>
        </is>
      </c>
      <c r="G962" t="n">
        <v>3</v>
      </c>
      <c r="H962" t="n">
        <v>1448</v>
      </c>
      <c r="I962" t="n">
        <v>1585.36</v>
      </c>
      <c r="J962" t="n">
        <v>1</v>
      </c>
      <c r="K962" t="inlineStr">
        <is>
          <t>逆5日线（收盘在5日线上，不追空）</t>
        </is>
      </c>
    </row>
    <row r="963">
      <c r="A963" t="inlineStr">
        <is>
          <t>2022-07-26</t>
        </is>
      </c>
      <c r="B963" t="inlineStr">
        <is>
          <t>棉花</t>
        </is>
      </c>
      <c r="C963" t="inlineStr">
        <is>
          <t>空</t>
        </is>
      </c>
      <c r="D963" t="n">
        <v>3</v>
      </c>
      <c r="E963" t="n">
        <v>6</v>
      </c>
      <c r="F963" t="inlineStr">
        <is>
          <t>观望</t>
        </is>
      </c>
      <c r="H963" t="n">
        <v>14985</v>
      </c>
      <c r="J963" t="n">
        <v>1</v>
      </c>
      <c r="K963" t="inlineStr">
        <is>
          <t>逆5日线（收盘在5日线上，不追空）</t>
        </is>
      </c>
    </row>
    <row r="964">
      <c r="A964" t="inlineStr">
        <is>
          <t>2022-07-26</t>
        </is>
      </c>
      <c r="B964" t="inlineStr">
        <is>
          <t>沪锌</t>
        </is>
      </c>
      <c r="C964" t="inlineStr">
        <is>
          <t>多</t>
        </is>
      </c>
      <c r="D964" t="n">
        <v>2</v>
      </c>
      <c r="E964" t="n">
        <v>4</v>
      </c>
      <c r="F964" t="inlineStr">
        <is>
          <t>影子仓</t>
        </is>
      </c>
      <c r="G964" t="n">
        <v>1</v>
      </c>
      <c r="H964" t="n">
        <v>22895</v>
      </c>
      <c r="I964" t="n">
        <v>20992.14</v>
      </c>
      <c r="J964" t="n">
        <v>1</v>
      </c>
      <c r="K964" t="inlineStr">
        <is>
          <t>凯利≤0，开1%影子仓（只统计，不计入组合）</t>
        </is>
      </c>
    </row>
    <row r="965">
      <c r="A965" t="inlineStr">
        <is>
          <t>2022-07-27</t>
        </is>
      </c>
      <c r="B965" t="inlineStr">
        <is>
          <t>棕榈油</t>
        </is>
      </c>
      <c r="C965" t="inlineStr">
        <is>
          <t>空</t>
        </is>
      </c>
      <c r="D965" t="n">
        <v>3</v>
      </c>
      <c r="E965" t="n">
        <v>6</v>
      </c>
      <c r="F965" t="inlineStr">
        <is>
          <t>观望</t>
        </is>
      </c>
      <c r="H965" t="n">
        <v>7874</v>
      </c>
      <c r="J965" t="n">
        <v>0</v>
      </c>
      <c r="K965" t="inlineStr">
        <is>
          <t>逆5日线（收盘在5日线上，不追空）</t>
        </is>
      </c>
    </row>
    <row r="966">
      <c r="A966" t="inlineStr">
        <is>
          <t>2022-07-27</t>
        </is>
      </c>
      <c r="B966" t="inlineStr">
        <is>
          <t>棉花</t>
        </is>
      </c>
      <c r="C966" t="inlineStr">
        <is>
          <t>空</t>
        </is>
      </c>
      <c r="D966" t="n">
        <v>2</v>
      </c>
      <c r="E966" t="n">
        <v>5</v>
      </c>
      <c r="F966" t="inlineStr">
        <is>
          <t>观望</t>
        </is>
      </c>
      <c r="H966" t="n">
        <v>14270</v>
      </c>
      <c r="J966" t="n">
        <v>1</v>
      </c>
      <c r="K966" t="inlineStr">
        <is>
          <t>逆5日线（收盘在5日线上，不追空）</t>
        </is>
      </c>
    </row>
    <row r="967">
      <c r="A967" t="inlineStr">
        <is>
          <t>2022-07-27</t>
        </is>
      </c>
      <c r="B967" t="inlineStr">
        <is>
          <t>铁矿石</t>
        </is>
      </c>
      <c r="C967" t="inlineStr">
        <is>
          <t>空</t>
        </is>
      </c>
      <c r="D967" t="n">
        <v>2</v>
      </c>
      <c r="E967" t="n">
        <v>5</v>
      </c>
      <c r="F967" t="inlineStr">
        <is>
          <t>观望</t>
        </is>
      </c>
      <c r="H967" t="n">
        <v>744.5</v>
      </c>
      <c r="J967" t="n">
        <v>1</v>
      </c>
      <c r="K967" t="inlineStr">
        <is>
          <t>逆5日线（收盘在5日线上，不追空）</t>
        </is>
      </c>
    </row>
    <row r="968">
      <c r="A968" t="inlineStr">
        <is>
          <t>2022-07-27</t>
        </is>
      </c>
      <c r="B968" t="inlineStr">
        <is>
          <t>PTA</t>
        </is>
      </c>
      <c r="C968" t="inlineStr">
        <is>
          <t>空</t>
        </is>
      </c>
      <c r="D968" t="n">
        <v>2</v>
      </c>
      <c r="E968" t="n">
        <v>4</v>
      </c>
      <c r="F968" t="inlineStr">
        <is>
          <t>观望</t>
        </is>
      </c>
      <c r="G968" t="n">
        <v>2</v>
      </c>
      <c r="H968" t="n">
        <v>5804</v>
      </c>
      <c r="I968" t="n">
        <v>6566.86</v>
      </c>
      <c r="J968" t="n">
        <v>1</v>
      </c>
      <c r="K968" t="inlineStr">
        <is>
          <t>逆5日线（收盘在5日线上，不追空）</t>
        </is>
      </c>
    </row>
    <row r="969">
      <c r="A969" t="inlineStr">
        <is>
          <t>2022-07-27</t>
        </is>
      </c>
      <c r="B969" t="inlineStr">
        <is>
          <t>螺纹钢</t>
        </is>
      </c>
      <c r="C969" t="inlineStr">
        <is>
          <t>多</t>
        </is>
      </c>
      <c r="D969" t="n">
        <v>2</v>
      </c>
      <c r="E969" t="n">
        <v>4</v>
      </c>
      <c r="F969" t="inlineStr">
        <is>
          <t>影子仓</t>
        </is>
      </c>
      <c r="G969" t="n">
        <v>2</v>
      </c>
      <c r="H969" t="n">
        <v>3916</v>
      </c>
      <c r="I969" t="n">
        <v>3489.57</v>
      </c>
      <c r="J969" t="n">
        <v>1</v>
      </c>
      <c r="K969" t="inlineStr">
        <is>
          <t>凯利≤0，开1%影子仓（只统计，不计入组合）</t>
        </is>
      </c>
    </row>
    <row r="970">
      <c r="A970" t="inlineStr">
        <is>
          <t>2022-07-28</t>
        </is>
      </c>
      <c r="B970" t="inlineStr">
        <is>
          <t>螺纹钢</t>
        </is>
      </c>
      <c r="C970" t="inlineStr">
        <is>
          <t>多</t>
        </is>
      </c>
      <c r="D970" t="n">
        <v>3</v>
      </c>
      <c r="E970" t="n">
        <v>7</v>
      </c>
      <c r="F970" t="inlineStr">
        <is>
          <t>续持</t>
        </is>
      </c>
      <c r="G970" t="n">
        <v>2</v>
      </c>
      <c r="H970" t="n">
        <v>4058</v>
      </c>
      <c r="I970" t="n">
        <v>3625.07</v>
      </c>
      <c r="J970" t="n">
        <v>1</v>
      </c>
      <c r="K970" t="inlineStr">
        <is>
          <t>续持原仓（2022-07-27开）</t>
        </is>
      </c>
    </row>
    <row r="971">
      <c r="A971" t="inlineStr">
        <is>
          <t>2022-07-28</t>
        </is>
      </c>
      <c r="B971" t="inlineStr">
        <is>
          <t>PVC</t>
        </is>
      </c>
      <c r="C971" t="inlineStr">
        <is>
          <t>多</t>
        </is>
      </c>
      <c r="D971" t="n">
        <v>3</v>
      </c>
      <c r="E971" t="n">
        <v>6</v>
      </c>
      <c r="F971" t="inlineStr">
        <is>
          <t>开仓</t>
        </is>
      </c>
      <c r="G971" t="n">
        <v>8</v>
      </c>
      <c r="H971" t="n">
        <v>6772</v>
      </c>
      <c r="I971" t="n">
        <v>6075.57</v>
      </c>
      <c r="J971" t="n">
        <v>3</v>
      </c>
      <c r="K971" t="inlineStr">
        <is>
          <t>¼凯利超上限，取3%</t>
        </is>
      </c>
    </row>
    <row r="972">
      <c r="A972" t="inlineStr">
        <is>
          <t>2022-07-28</t>
        </is>
      </c>
      <c r="B972" t="inlineStr">
        <is>
          <t>豆油</t>
        </is>
      </c>
      <c r="C972" t="inlineStr">
        <is>
          <t>多</t>
        </is>
      </c>
      <c r="D972" t="n">
        <v>2</v>
      </c>
      <c r="E972" t="n">
        <v>5</v>
      </c>
      <c r="F972" t="inlineStr">
        <is>
          <t>不做</t>
        </is>
      </c>
      <c r="H972" t="n">
        <v>9880</v>
      </c>
      <c r="J972" t="n">
        <v>1</v>
      </c>
      <c r="K972" t="inlineStr">
        <is>
          <t>1手风险10671元超过预算10000元</t>
        </is>
      </c>
    </row>
    <row r="973">
      <c r="A973" t="inlineStr">
        <is>
          <t>2022-07-29</t>
        </is>
      </c>
      <c r="B973" t="inlineStr">
        <is>
          <t>PVC</t>
        </is>
      </c>
      <c r="C973" t="inlineStr">
        <is>
          <t>多</t>
        </is>
      </c>
      <c r="D973" t="n">
        <v>3</v>
      </c>
      <c r="E973" t="n">
        <v>7</v>
      </c>
      <c r="F973" t="inlineStr">
        <is>
          <t>续持</t>
        </is>
      </c>
      <c r="G973" t="n">
        <v>8</v>
      </c>
      <c r="H973" t="n">
        <v>6883</v>
      </c>
      <c r="I973" t="n">
        <v>6253.21</v>
      </c>
      <c r="J973" t="n">
        <v>3</v>
      </c>
      <c r="K973" t="inlineStr">
        <is>
          <t>续持原仓（2022-07-28开）</t>
        </is>
      </c>
    </row>
    <row r="974">
      <c r="A974" t="inlineStr">
        <is>
          <t>2022-07-29</t>
        </is>
      </c>
      <c r="B974" t="inlineStr">
        <is>
          <t>豆油</t>
        </is>
      </c>
      <c r="C974" t="inlineStr">
        <is>
          <t>多</t>
        </is>
      </c>
      <c r="D974" t="n">
        <v>2</v>
      </c>
      <c r="E974" t="n">
        <v>5</v>
      </c>
      <c r="F974" t="inlineStr">
        <is>
          <t>不做</t>
        </is>
      </c>
      <c r="H974" t="n">
        <v>10062</v>
      </c>
      <c r="J974" t="n">
        <v>1</v>
      </c>
      <c r="K974" t="inlineStr">
        <is>
          <t>1手风险10530元超过预算10000元</t>
        </is>
      </c>
    </row>
    <row r="975">
      <c r="A975" t="inlineStr">
        <is>
          <t>2022-07-29</t>
        </is>
      </c>
      <c r="B975" t="inlineStr">
        <is>
          <t>PTA</t>
        </is>
      </c>
      <c r="C975" t="inlineStr">
        <is>
          <t>空</t>
        </is>
      </c>
      <c r="D975" t="n">
        <v>2</v>
      </c>
      <c r="E975" t="n">
        <v>5</v>
      </c>
      <c r="F975" t="inlineStr">
        <is>
          <t>观望</t>
        </is>
      </c>
      <c r="G975" t="n">
        <v>2</v>
      </c>
      <c r="H975" t="n">
        <v>5866</v>
      </c>
      <c r="I975" t="n">
        <v>6633.14</v>
      </c>
      <c r="J975" t="n">
        <v>1</v>
      </c>
      <c r="K975" t="inlineStr">
        <is>
          <t>逆5日线（收盘在5日线上，不追空）</t>
        </is>
      </c>
    </row>
    <row r="976">
      <c r="A976" t="inlineStr">
        <is>
          <t>2022-07-29</t>
        </is>
      </c>
      <c r="B976" t="inlineStr">
        <is>
          <t>螺纹钢</t>
        </is>
      </c>
      <c r="C976" t="inlineStr">
        <is>
          <t>多</t>
        </is>
      </c>
      <c r="D976" t="n">
        <v>2</v>
      </c>
      <c r="E976" t="n">
        <v>4</v>
      </c>
      <c r="F976" t="inlineStr">
        <is>
          <t>续持</t>
        </is>
      </c>
      <c r="G976" t="n">
        <v>2</v>
      </c>
      <c r="H976" t="n">
        <v>3996</v>
      </c>
      <c r="I976" t="n">
        <v>3667.07</v>
      </c>
      <c r="J976" t="n">
        <v>1</v>
      </c>
      <c r="K976" t="inlineStr">
        <is>
          <t>续持原仓（2022-07-27开）</t>
        </is>
      </c>
    </row>
    <row r="977">
      <c r="A977" t="inlineStr">
        <is>
          <t>2022-07-29</t>
        </is>
      </c>
      <c r="B977" t="inlineStr">
        <is>
          <t>聚丙烯</t>
        </is>
      </c>
      <c r="C977" t="inlineStr">
        <is>
          <t>多</t>
        </is>
      </c>
      <c r="D977" t="n">
        <v>2</v>
      </c>
      <c r="E977" t="n">
        <v>4</v>
      </c>
      <c r="F977" t="inlineStr">
        <is>
          <t>影子仓</t>
        </is>
      </c>
      <c r="G977" t="n">
        <v>3</v>
      </c>
      <c r="H977" t="n">
        <v>8141</v>
      </c>
      <c r="I977" t="n">
        <v>7572.5</v>
      </c>
      <c r="J977" t="n">
        <v>1</v>
      </c>
      <c r="K977" t="inlineStr">
        <is>
          <t>凯利≤0，开1%影子仓（只统计，不计入组合）</t>
        </is>
      </c>
    </row>
    <row r="978">
      <c r="A978" t="inlineStr">
        <is>
          <t>2022-08-01</t>
        </is>
      </c>
      <c r="B978" t="inlineStr">
        <is>
          <t>沪镍</t>
        </is>
      </c>
      <c r="C978" t="inlineStr">
        <is>
          <t>多</t>
        </is>
      </c>
      <c r="D978" t="n">
        <v>3</v>
      </c>
      <c r="E978" t="n">
        <v>7</v>
      </c>
      <c r="F978" t="inlineStr">
        <is>
          <t>开仓</t>
        </is>
      </c>
      <c r="G978" t="n">
        <v>1</v>
      </c>
      <c r="H978" t="n">
        <v>180390</v>
      </c>
      <c r="I978" t="n">
        <v>151590</v>
      </c>
      <c r="J978" t="n">
        <v>3</v>
      </c>
      <c r="K978" t="inlineStr">
        <is>
          <t>¼凯利超上限，取3%</t>
        </is>
      </c>
    </row>
    <row r="979">
      <c r="A979" t="inlineStr">
        <is>
          <t>2022-08-01</t>
        </is>
      </c>
      <c r="B979" t="inlineStr">
        <is>
          <t>豆粕</t>
        </is>
      </c>
      <c r="C979" t="inlineStr">
        <is>
          <t>多</t>
        </is>
      </c>
      <c r="D979" t="n">
        <v>3</v>
      </c>
      <c r="E979" t="n">
        <v>6</v>
      </c>
      <c r="F979" t="inlineStr">
        <is>
          <t>开仓</t>
        </is>
      </c>
      <c r="G979" t="n">
        <v>10</v>
      </c>
      <c r="H979" t="n">
        <v>4008</v>
      </c>
      <c r="I979" t="n">
        <v>3726</v>
      </c>
      <c r="J979" t="n">
        <v>3</v>
      </c>
      <c r="K979" t="inlineStr">
        <is>
          <t>¼凯利超上限，取3%</t>
        </is>
      </c>
    </row>
    <row r="980">
      <c r="A980" t="inlineStr">
        <is>
          <t>2022-08-01</t>
        </is>
      </c>
      <c r="B980" t="inlineStr">
        <is>
          <t>沪锌</t>
        </is>
      </c>
      <c r="C980" t="inlineStr">
        <is>
          <t>多</t>
        </is>
      </c>
      <c r="D980" t="n">
        <v>3</v>
      </c>
      <c r="E980" t="n">
        <v>6</v>
      </c>
      <c r="F980" t="inlineStr">
        <is>
          <t>开仓</t>
        </is>
      </c>
      <c r="G980" t="n">
        <v>1</v>
      </c>
      <c r="H980" t="n">
        <v>24060</v>
      </c>
      <c r="I980" t="n">
        <v>22127.14</v>
      </c>
      <c r="J980" t="n">
        <v>1</v>
      </c>
      <c r="K980" t="inlineStr">
        <is>
          <t>组合风险已近10%，预算缩小</t>
        </is>
      </c>
    </row>
    <row r="981">
      <c r="A981" t="inlineStr">
        <is>
          <t>2022-08-01</t>
        </is>
      </c>
      <c r="B981" t="inlineStr">
        <is>
          <t>白糖</t>
        </is>
      </c>
      <c r="C981" t="inlineStr">
        <is>
          <t>空</t>
        </is>
      </c>
      <c r="D981" t="n">
        <v>2</v>
      </c>
      <c r="E981" t="n">
        <v>4</v>
      </c>
      <c r="F981" t="inlineStr">
        <is>
          <t>观望</t>
        </is>
      </c>
      <c r="G981" t="n">
        <v>4</v>
      </c>
      <c r="H981" t="n">
        <v>5767</v>
      </c>
      <c r="I981" t="n">
        <v>5986.43</v>
      </c>
      <c r="J981" t="n">
        <v>1</v>
      </c>
      <c r="K981" t="inlineStr">
        <is>
          <t>逆5日线（收盘在5日线上，不追空）</t>
        </is>
      </c>
    </row>
    <row r="982">
      <c r="A982" t="inlineStr">
        <is>
          <t>2022-08-01</t>
        </is>
      </c>
      <c r="B982" t="inlineStr">
        <is>
          <t>沪铝</t>
        </is>
      </c>
      <c r="C982" t="inlineStr">
        <is>
          <t>空</t>
        </is>
      </c>
      <c r="D982" t="n">
        <v>2</v>
      </c>
      <c r="E982" t="n">
        <v>4</v>
      </c>
      <c r="F982" t="inlineStr">
        <is>
          <t>续持</t>
        </is>
      </c>
      <c r="G982" t="n">
        <v>4</v>
      </c>
      <c r="H982" t="n">
        <v>18205</v>
      </c>
      <c r="I982" t="n">
        <v>18990.71</v>
      </c>
      <c r="J982" t="n">
        <v>3</v>
      </c>
      <c r="K982" t="inlineStr">
        <is>
          <t>续持原仓（2022-07-25开）</t>
        </is>
      </c>
    </row>
    <row r="983">
      <c r="A983" t="inlineStr">
        <is>
          <t>2022-08-02</t>
        </is>
      </c>
      <c r="B983" t="inlineStr">
        <is>
          <t>螺纹钢</t>
        </is>
      </c>
      <c r="C983" t="inlineStr">
        <is>
          <t>多</t>
        </is>
      </c>
      <c r="D983" t="n">
        <v>2</v>
      </c>
      <c r="E983" t="n">
        <v>5</v>
      </c>
      <c r="F983" t="inlineStr">
        <is>
          <t>影子仓</t>
        </is>
      </c>
      <c r="G983" t="n">
        <v>2</v>
      </c>
      <c r="H983" t="n">
        <v>4104</v>
      </c>
      <c r="I983" t="n">
        <v>3709.5</v>
      </c>
      <c r="J983" t="n">
        <v>1</v>
      </c>
      <c r="K983" t="inlineStr">
        <is>
          <t>凯利≤0，开1%影子仓（只统计，不计入组合）</t>
        </is>
      </c>
    </row>
    <row r="984">
      <c r="A984" t="inlineStr">
        <is>
          <t>2022-08-02</t>
        </is>
      </c>
      <c r="B984" t="inlineStr">
        <is>
          <t>玻璃</t>
        </is>
      </c>
      <c r="C984" t="inlineStr">
        <is>
          <t>多</t>
        </is>
      </c>
      <c r="D984" t="n">
        <v>2</v>
      </c>
      <c r="E984" t="n">
        <v>5</v>
      </c>
      <c r="F984" t="inlineStr">
        <is>
          <t>影子仓</t>
        </is>
      </c>
      <c r="G984" t="n">
        <v>3</v>
      </c>
      <c r="H984" t="n">
        <v>1523</v>
      </c>
      <c r="I984" t="n">
        <v>1381.57</v>
      </c>
      <c r="J984" t="n">
        <v>1</v>
      </c>
      <c r="K984" t="inlineStr">
        <is>
          <t>凯利≤0，开1%影子仓（只统计，不计入组合）</t>
        </is>
      </c>
    </row>
    <row r="985">
      <c r="A985" t="inlineStr">
        <is>
          <t>2022-08-03</t>
        </is>
      </c>
      <c r="B985" t="inlineStr">
        <is>
          <t>棕榈油</t>
        </is>
      </c>
      <c r="C985" t="inlineStr">
        <is>
          <t>空</t>
        </is>
      </c>
      <c r="D985" t="n">
        <v>3</v>
      </c>
      <c r="E985" t="n">
        <v>7</v>
      </c>
      <c r="F985" t="inlineStr">
        <is>
          <t>开仓</t>
        </is>
      </c>
      <c r="G985" t="n">
        <v>2</v>
      </c>
      <c r="H985" t="n">
        <v>8096</v>
      </c>
      <c r="I985" t="n">
        <v>9329</v>
      </c>
      <c r="J985" t="n">
        <v>3</v>
      </c>
      <c r="K985" t="inlineStr">
        <is>
          <t>¼凯利超上限，取3%</t>
        </is>
      </c>
    </row>
    <row r="986">
      <c r="A986" t="inlineStr">
        <is>
          <t>2022-08-03</t>
        </is>
      </c>
      <c r="B986" t="inlineStr">
        <is>
          <t>螺纹钢</t>
        </is>
      </c>
      <c r="C986" t="inlineStr">
        <is>
          <t>多</t>
        </is>
      </c>
      <c r="D986" t="n">
        <v>2</v>
      </c>
      <c r="E986" t="n">
        <v>5</v>
      </c>
      <c r="F986" t="inlineStr">
        <is>
          <t>续持</t>
        </is>
      </c>
      <c r="G986" t="n">
        <v>2</v>
      </c>
      <c r="H986" t="n">
        <v>4063</v>
      </c>
      <c r="I986" t="n">
        <v>3748.79</v>
      </c>
      <c r="J986" t="n">
        <v>1</v>
      </c>
      <c r="K986" t="inlineStr">
        <is>
          <t>续持原仓（2022-08-02开）</t>
        </is>
      </c>
    </row>
    <row r="987">
      <c r="A987" t="inlineStr">
        <is>
          <t>2022-08-03</t>
        </is>
      </c>
      <c r="B987" t="inlineStr">
        <is>
          <t>沪镍</t>
        </is>
      </c>
      <c r="C987" t="inlineStr">
        <is>
          <t>多</t>
        </is>
      </c>
      <c r="D987" t="n">
        <v>2</v>
      </c>
      <c r="E987" t="n">
        <v>4</v>
      </c>
      <c r="F987" t="inlineStr">
        <is>
          <t>观望</t>
        </is>
      </c>
      <c r="H987" t="n">
        <v>174250</v>
      </c>
      <c r="J987" t="n">
        <v>1</v>
      </c>
      <c r="K987" t="inlineStr">
        <is>
          <t>逆5日线（收盘在5日线下，不追多）</t>
        </is>
      </c>
    </row>
    <row r="988">
      <c r="A988" t="inlineStr">
        <is>
          <t>2022-08-04</t>
        </is>
      </c>
      <c r="B988" t="inlineStr">
        <is>
          <t>玻璃</t>
        </is>
      </c>
      <c r="C988" t="inlineStr">
        <is>
          <t>多</t>
        </is>
      </c>
      <c r="D988" t="n">
        <v>3</v>
      </c>
      <c r="E988" t="n">
        <v>6</v>
      </c>
      <c r="F988" t="inlineStr">
        <is>
          <t>续持</t>
        </is>
      </c>
      <c r="G988" t="n">
        <v>3</v>
      </c>
      <c r="H988" t="n">
        <v>1550</v>
      </c>
      <c r="I988" t="n">
        <v>1421.93</v>
      </c>
      <c r="J988" t="n">
        <v>1</v>
      </c>
      <c r="K988" t="inlineStr">
        <is>
          <t>续持原仓（2022-08-02开）</t>
        </is>
      </c>
    </row>
    <row r="989">
      <c r="A989" t="inlineStr">
        <is>
          <t>2022-08-04</t>
        </is>
      </c>
      <c r="B989" t="inlineStr">
        <is>
          <t>棕榈油</t>
        </is>
      </c>
      <c r="C989" t="inlineStr">
        <is>
          <t>空</t>
        </is>
      </c>
      <c r="D989" t="n">
        <v>2</v>
      </c>
      <c r="E989" t="n">
        <v>5</v>
      </c>
      <c r="F989" t="inlineStr">
        <is>
          <t>续持</t>
        </is>
      </c>
      <c r="G989" t="n">
        <v>2</v>
      </c>
      <c r="H989" t="n">
        <v>7822</v>
      </c>
      <c r="I989" t="n">
        <v>8978.860000000001</v>
      </c>
      <c r="J989" t="n">
        <v>3</v>
      </c>
      <c r="K989" t="inlineStr">
        <is>
          <t>续持原仓（2022-08-03开）</t>
        </is>
      </c>
    </row>
    <row r="990">
      <c r="A990" t="inlineStr">
        <is>
          <t>2022-08-05</t>
        </is>
      </c>
      <c r="B990" t="inlineStr">
        <is>
          <t>沪镍</t>
        </is>
      </c>
      <c r="C990" t="inlineStr">
        <is>
          <t>多</t>
        </is>
      </c>
      <c r="D990" t="n">
        <v>3</v>
      </c>
      <c r="E990" t="n">
        <v>6</v>
      </c>
      <c r="F990" t="inlineStr">
        <is>
          <t>开仓</t>
        </is>
      </c>
      <c r="G990" t="n">
        <v>1</v>
      </c>
      <c r="H990" t="n">
        <v>177260</v>
      </c>
      <c r="I990" t="n">
        <v>151479.29</v>
      </c>
      <c r="J990" t="n">
        <v>3</v>
      </c>
      <c r="K990" t="inlineStr">
        <is>
          <t>¼凯利超上限，取3%</t>
        </is>
      </c>
    </row>
    <row r="991">
      <c r="A991" t="inlineStr">
        <is>
          <t>2022-08-05</t>
        </is>
      </c>
      <c r="B991" t="inlineStr">
        <is>
          <t>沪金</t>
        </is>
      </c>
      <c r="C991" t="inlineStr">
        <is>
          <t>多</t>
        </is>
      </c>
      <c r="D991" t="n">
        <v>2</v>
      </c>
      <c r="E991" t="n">
        <v>5</v>
      </c>
      <c r="F991" t="inlineStr">
        <is>
          <t>不做</t>
        </is>
      </c>
      <c r="H991" t="n">
        <v>391.1</v>
      </c>
      <c r="J991" t="n">
        <v>1</v>
      </c>
      <c r="K991" t="inlineStr">
        <is>
          <t>1手风险12651元超过预算10000元</t>
        </is>
      </c>
    </row>
    <row r="992">
      <c r="A992" t="inlineStr">
        <is>
          <t>2022-08-05</t>
        </is>
      </c>
      <c r="B992" t="inlineStr">
        <is>
          <t>螺纹钢</t>
        </is>
      </c>
      <c r="C992" t="inlineStr">
        <is>
          <t>多</t>
        </is>
      </c>
      <c r="D992" t="n">
        <v>2</v>
      </c>
      <c r="E992" t="n">
        <v>4</v>
      </c>
      <c r="F992" t="inlineStr">
        <is>
          <t>观望</t>
        </is>
      </c>
      <c r="G992" t="n">
        <v>2</v>
      </c>
      <c r="H992" t="n">
        <v>4036</v>
      </c>
      <c r="I992" t="n">
        <v>3687.36</v>
      </c>
      <c r="J992" t="n">
        <v>1</v>
      </c>
      <c r="K992" t="inlineStr">
        <is>
          <t>逆5日线（收盘在5日线下，不追多）</t>
        </is>
      </c>
    </row>
    <row r="993">
      <c r="A993" t="inlineStr">
        <is>
          <t>2022-08-09</t>
        </is>
      </c>
      <c r="B993" t="inlineStr">
        <is>
          <t>玻璃</t>
        </is>
      </c>
      <c r="C993" t="inlineStr">
        <is>
          <t>多</t>
        </is>
      </c>
      <c r="D993" t="n">
        <v>2</v>
      </c>
      <c r="E993" t="n">
        <v>5</v>
      </c>
      <c r="F993" t="inlineStr">
        <is>
          <t>影子仓</t>
        </is>
      </c>
      <c r="G993" t="n">
        <v>3</v>
      </c>
      <c r="H993" t="n">
        <v>1602</v>
      </c>
      <c r="I993" t="n">
        <v>1469.14</v>
      </c>
      <c r="J993" t="n">
        <v>1</v>
      </c>
      <c r="K993" t="inlineStr">
        <is>
          <t>凯利≤0，开1%影子仓（只统计，不计入组合）</t>
        </is>
      </c>
    </row>
    <row r="994">
      <c r="A994" t="inlineStr">
        <is>
          <t>2022-08-09</t>
        </is>
      </c>
      <c r="B994" t="inlineStr">
        <is>
          <t>沪铝</t>
        </is>
      </c>
      <c r="C994" t="inlineStr">
        <is>
          <t>空</t>
        </is>
      </c>
      <c r="D994" t="n">
        <v>2</v>
      </c>
      <c r="E994" t="n">
        <v>4</v>
      </c>
      <c r="F994" t="inlineStr">
        <is>
          <t>观望</t>
        </is>
      </c>
      <c r="G994" t="n">
        <v>1</v>
      </c>
      <c r="H994" t="n">
        <v>18540</v>
      </c>
      <c r="I994" t="n">
        <v>19766.79</v>
      </c>
      <c r="J994" t="n">
        <v>1</v>
      </c>
      <c r="K994" t="inlineStr">
        <is>
          <t>逆5日线（收盘在5日线上，不追空）</t>
        </is>
      </c>
    </row>
    <row r="995">
      <c r="A995" t="inlineStr">
        <is>
          <t>2022-08-09</t>
        </is>
      </c>
      <c r="B995" t="inlineStr">
        <is>
          <t>棉花</t>
        </is>
      </c>
      <c r="C995" t="inlineStr">
        <is>
          <t>多</t>
        </is>
      </c>
      <c r="D995" t="n">
        <v>2</v>
      </c>
      <c r="E995" t="n">
        <v>4</v>
      </c>
      <c r="F995" t="inlineStr">
        <is>
          <t>影子仓</t>
        </is>
      </c>
      <c r="G995" t="n">
        <v>1</v>
      </c>
      <c r="H995" t="n">
        <v>14295</v>
      </c>
      <c r="I995" t="n">
        <v>12965.36</v>
      </c>
      <c r="J995" t="n">
        <v>1</v>
      </c>
      <c r="K995" t="inlineStr">
        <is>
          <t>凯利≤0，开1%影子仓（只统计，不计入组合）</t>
        </is>
      </c>
    </row>
    <row r="996">
      <c r="A996" t="inlineStr">
        <is>
          <t>2022-08-10</t>
        </is>
      </c>
      <c r="B996" t="inlineStr">
        <is>
          <t>沪金</t>
        </is>
      </c>
      <c r="C996" t="inlineStr">
        <is>
          <t>多</t>
        </is>
      </c>
      <c r="D996" t="n">
        <v>3</v>
      </c>
      <c r="E996" t="n">
        <v>6</v>
      </c>
      <c r="F996" t="inlineStr">
        <is>
          <t>开仓</t>
        </is>
      </c>
      <c r="G996" t="n">
        <v>2</v>
      </c>
      <c r="H996" t="n">
        <v>391.18</v>
      </c>
      <c r="I996" t="n">
        <v>378.55</v>
      </c>
      <c r="J996" t="n">
        <v>3</v>
      </c>
      <c r="K996" t="inlineStr">
        <is>
          <t>¼凯利超上限，取3%</t>
        </is>
      </c>
    </row>
    <row r="997">
      <c r="A997" t="inlineStr">
        <is>
          <t>2022-08-10</t>
        </is>
      </c>
      <c r="B997" t="inlineStr">
        <is>
          <t>玉米</t>
        </is>
      </c>
      <c r="C997" t="inlineStr">
        <is>
          <t>多</t>
        </is>
      </c>
      <c r="D997" t="n">
        <v>3</v>
      </c>
      <c r="E997" t="n">
        <v>6</v>
      </c>
      <c r="F997" t="inlineStr">
        <is>
          <t>开仓</t>
        </is>
      </c>
      <c r="G997" t="n">
        <v>8</v>
      </c>
      <c r="H997" t="n">
        <v>2740</v>
      </c>
      <c r="I997" t="n">
        <v>2628.57</v>
      </c>
      <c r="J997" t="n">
        <v>1</v>
      </c>
      <c r="K997" t="inlineStr">
        <is>
          <t>组合风险已近10%，预算缩小</t>
        </is>
      </c>
    </row>
    <row r="998">
      <c r="A998" t="inlineStr">
        <is>
          <t>2022-08-10</t>
        </is>
      </c>
      <c r="B998" t="inlineStr">
        <is>
          <t>豆油</t>
        </is>
      </c>
      <c r="C998" t="inlineStr">
        <is>
          <t>多</t>
        </is>
      </c>
      <c r="D998" t="n">
        <v>3</v>
      </c>
      <c r="E998" t="n">
        <v>6</v>
      </c>
      <c r="F998" t="inlineStr">
        <is>
          <t>不做</t>
        </is>
      </c>
      <c r="H998" t="n">
        <v>9624</v>
      </c>
      <c r="J998" t="n">
        <v>0</v>
      </c>
      <c r="K998" t="inlineStr">
        <is>
          <t>组合风险已近10%，预算缩小</t>
        </is>
      </c>
    </row>
    <row r="999">
      <c r="A999" t="inlineStr">
        <is>
          <t>2022-08-10</t>
        </is>
      </c>
      <c r="B999" t="inlineStr">
        <is>
          <t>热卷</t>
        </is>
      </c>
      <c r="C999" t="inlineStr">
        <is>
          <t>空</t>
        </is>
      </c>
      <c r="D999" t="n">
        <v>3</v>
      </c>
      <c r="E999" t="n">
        <v>6</v>
      </c>
      <c r="F999" t="inlineStr">
        <is>
          <t>观望</t>
        </is>
      </c>
      <c r="H999" t="n">
        <v>4028</v>
      </c>
      <c r="J999" t="n">
        <v>0</v>
      </c>
      <c r="K999" t="inlineStr">
        <is>
          <t>逆5日线（收盘在5日线上，不追空）</t>
        </is>
      </c>
    </row>
    <row r="1000">
      <c r="A1000" t="inlineStr">
        <is>
          <t>2022-08-10</t>
        </is>
      </c>
      <c r="B1000" t="inlineStr">
        <is>
          <t>豆粕</t>
        </is>
      </c>
      <c r="C1000" t="inlineStr">
        <is>
          <t>多</t>
        </is>
      </c>
      <c r="D1000" t="n">
        <v>2</v>
      </c>
      <c r="E1000" t="n">
        <v>5</v>
      </c>
      <c r="F1000" t="inlineStr">
        <is>
          <t>影子仓</t>
        </is>
      </c>
      <c r="G1000" t="n">
        <v>3</v>
      </c>
      <c r="H1000" t="n">
        <v>3716</v>
      </c>
      <c r="I1000" t="n">
        <v>3463.79</v>
      </c>
      <c r="J1000" t="n">
        <v>1</v>
      </c>
      <c r="K1000" t="inlineStr">
        <is>
          <t>凯利≤0，开1%影子仓（只统计，不计入组合）</t>
        </is>
      </c>
    </row>
    <row r="1001">
      <c r="A1001" t="inlineStr">
        <is>
          <t>2022-08-10</t>
        </is>
      </c>
      <c r="B1001" t="inlineStr">
        <is>
          <t>乙二醇</t>
        </is>
      </c>
      <c r="C1001" t="inlineStr">
        <is>
          <t>空</t>
        </is>
      </c>
      <c r="D1001" t="n">
        <v>2</v>
      </c>
      <c r="E1001" t="n">
        <v>4</v>
      </c>
      <c r="F1001" t="inlineStr">
        <is>
          <t>影子仓</t>
        </is>
      </c>
      <c r="G1001" t="n">
        <v>2</v>
      </c>
      <c r="H1001" t="n">
        <v>4076</v>
      </c>
      <c r="I1001" t="n">
        <v>4443.71</v>
      </c>
      <c r="J1001" t="n">
        <v>1</v>
      </c>
      <c r="K1001" t="inlineStr">
        <is>
          <t>凯利≤0，开1%影子仓（只统计，不计入组合）</t>
        </is>
      </c>
    </row>
    <row r="1002">
      <c r="A1002" t="inlineStr">
        <is>
          <t>2022-08-11</t>
        </is>
      </c>
      <c r="B1002" t="inlineStr">
        <is>
          <t>豆油</t>
        </is>
      </c>
      <c r="C1002" t="inlineStr">
        <is>
          <t>多</t>
        </is>
      </c>
      <c r="D1002" t="n">
        <v>3</v>
      </c>
      <c r="E1002" t="n">
        <v>6</v>
      </c>
      <c r="F1002" t="inlineStr">
        <is>
          <t>开仓</t>
        </is>
      </c>
      <c r="G1002" t="n">
        <v>3</v>
      </c>
      <c r="H1002" t="n">
        <v>9732</v>
      </c>
      <c r="I1002" t="n">
        <v>8760.860000000001</v>
      </c>
      <c r="J1002" t="n">
        <v>3</v>
      </c>
      <c r="K1002" t="inlineStr">
        <is>
          <t>¼凯利超上限，取3%</t>
        </is>
      </c>
    </row>
    <row r="1003">
      <c r="A1003" t="inlineStr">
        <is>
          <t>2022-08-11</t>
        </is>
      </c>
      <c r="B1003" t="inlineStr">
        <is>
          <t>玻璃</t>
        </is>
      </c>
      <c r="C1003" t="inlineStr">
        <is>
          <t>多</t>
        </is>
      </c>
      <c r="D1003" t="n">
        <v>2</v>
      </c>
      <c r="E1003" t="n">
        <v>4</v>
      </c>
      <c r="F1003" t="inlineStr">
        <is>
          <t>续持</t>
        </is>
      </c>
      <c r="G1003" t="n">
        <v>3</v>
      </c>
      <c r="H1003" t="n">
        <v>1591</v>
      </c>
      <c r="I1003" t="n">
        <v>1480.14</v>
      </c>
      <c r="J1003" t="n">
        <v>1</v>
      </c>
      <c r="K1003" t="inlineStr">
        <is>
          <t>续持原仓（2022-08-09开）</t>
        </is>
      </c>
    </row>
    <row r="1004">
      <c r="A1004" t="inlineStr">
        <is>
          <t>2022-08-11</t>
        </is>
      </c>
      <c r="B1004" t="inlineStr">
        <is>
          <t>白糖</t>
        </is>
      </c>
      <c r="C1004" t="inlineStr">
        <is>
          <t>空</t>
        </is>
      </c>
      <c r="D1004" t="n">
        <v>2</v>
      </c>
      <c r="E1004" t="n">
        <v>4</v>
      </c>
      <c r="F1004" t="inlineStr">
        <is>
          <t>观望</t>
        </is>
      </c>
      <c r="G1004" t="n">
        <v>4</v>
      </c>
      <c r="H1004" t="n">
        <v>5591</v>
      </c>
      <c r="I1004" t="n">
        <v>5819</v>
      </c>
      <c r="J1004" t="n">
        <v>1</v>
      </c>
      <c r="K1004" t="inlineStr">
        <is>
          <t>逆5日线（收盘在5日线上，不追空）</t>
        </is>
      </c>
    </row>
    <row r="1005">
      <c r="A1005" t="inlineStr">
        <is>
          <t>2022-08-12</t>
        </is>
      </c>
      <c r="B1005" t="inlineStr">
        <is>
          <t>豆粕</t>
        </is>
      </c>
      <c r="C1005" t="inlineStr">
        <is>
          <t>多</t>
        </is>
      </c>
      <c r="D1005" t="n">
        <v>3</v>
      </c>
      <c r="E1005" t="n">
        <v>6</v>
      </c>
      <c r="F1005" t="inlineStr">
        <is>
          <t>开仓</t>
        </is>
      </c>
      <c r="G1005" t="n">
        <v>12</v>
      </c>
      <c r="H1005" t="n">
        <v>3761</v>
      </c>
      <c r="I1005" t="n">
        <v>3516.93</v>
      </c>
      <c r="J1005" t="n">
        <v>3</v>
      </c>
      <c r="K1005" t="inlineStr">
        <is>
          <t>¼凯利超上限，取3%</t>
        </is>
      </c>
    </row>
    <row r="1006">
      <c r="A1006" t="inlineStr">
        <is>
          <t>2022-08-12</t>
        </is>
      </c>
      <c r="B1006" t="inlineStr">
        <is>
          <t>热卷</t>
        </is>
      </c>
      <c r="C1006" t="inlineStr">
        <is>
          <t>多</t>
        </is>
      </c>
      <c r="D1006" t="n">
        <v>2</v>
      </c>
      <c r="E1006" t="n">
        <v>4</v>
      </c>
      <c r="F1006" t="inlineStr">
        <is>
          <t>影子仓</t>
        </is>
      </c>
      <c r="G1006" t="n">
        <v>3</v>
      </c>
      <c r="H1006" t="n">
        <v>4087</v>
      </c>
      <c r="I1006" t="n">
        <v>3781</v>
      </c>
      <c r="J1006" t="n">
        <v>1</v>
      </c>
      <c r="K1006" t="inlineStr">
        <is>
          <t>凯利≤0，开1%影子仓（只统计，不计入组合）</t>
        </is>
      </c>
    </row>
    <row r="1007">
      <c r="A1007" t="inlineStr">
        <is>
          <t>2022-08-15</t>
        </is>
      </c>
      <c r="B1007" t="inlineStr">
        <is>
          <t>玉米</t>
        </is>
      </c>
      <c r="C1007" t="inlineStr">
        <is>
          <t>多</t>
        </is>
      </c>
      <c r="D1007" t="n">
        <v>2</v>
      </c>
      <c r="E1007" t="n">
        <v>5</v>
      </c>
      <c r="F1007" t="inlineStr">
        <is>
          <t>观望</t>
        </is>
      </c>
      <c r="G1007" t="n">
        <v>9</v>
      </c>
      <c r="H1007" t="n">
        <v>2718</v>
      </c>
      <c r="I1007" t="n">
        <v>2611.29</v>
      </c>
      <c r="J1007" t="n">
        <v>1</v>
      </c>
      <c r="K1007" t="inlineStr">
        <is>
          <t>逆5日线（收盘在5日线下，不追多）</t>
        </is>
      </c>
    </row>
    <row r="1008">
      <c r="A1008" t="inlineStr">
        <is>
          <t>2022-08-15</t>
        </is>
      </c>
      <c r="B1008" t="inlineStr">
        <is>
          <t>豆粕</t>
        </is>
      </c>
      <c r="C1008" t="inlineStr">
        <is>
          <t>多</t>
        </is>
      </c>
      <c r="D1008" t="n">
        <v>2</v>
      </c>
      <c r="E1008" t="n">
        <v>5</v>
      </c>
      <c r="F1008" t="inlineStr">
        <is>
          <t>观望</t>
        </is>
      </c>
      <c r="G1008" t="n">
        <v>4</v>
      </c>
      <c r="H1008" t="n">
        <v>3686</v>
      </c>
      <c r="I1008" t="n">
        <v>3440.21</v>
      </c>
      <c r="J1008" t="n">
        <v>1</v>
      </c>
      <c r="K1008" t="inlineStr">
        <is>
          <t>逆5日线（收盘在5日线下，不追多）</t>
        </is>
      </c>
    </row>
    <row r="1009">
      <c r="A1009" t="inlineStr">
        <is>
          <t>2022-08-16</t>
        </is>
      </c>
      <c r="B1009" t="inlineStr">
        <is>
          <t>沪金</t>
        </is>
      </c>
      <c r="C1009" t="inlineStr">
        <is>
          <t>多</t>
        </is>
      </c>
      <c r="D1009" t="n">
        <v>3</v>
      </c>
      <c r="E1009" t="n">
        <v>6</v>
      </c>
      <c r="F1009" t="inlineStr">
        <is>
          <t>续持</t>
        </is>
      </c>
      <c r="G1009" t="n">
        <v>2</v>
      </c>
      <c r="H1009" t="n">
        <v>391.52</v>
      </c>
      <c r="I1009" t="n">
        <v>381.57</v>
      </c>
      <c r="J1009" t="n">
        <v>3</v>
      </c>
      <c r="K1009" t="inlineStr">
        <is>
          <t>续持原仓（2022-08-10开）</t>
        </is>
      </c>
    </row>
    <row r="1010">
      <c r="A1010" t="inlineStr">
        <is>
          <t>2022-08-16</t>
        </is>
      </c>
      <c r="B1010" t="inlineStr">
        <is>
          <t>玉米</t>
        </is>
      </c>
      <c r="C1010" t="inlineStr">
        <is>
          <t>多</t>
        </is>
      </c>
      <c r="D1010" t="n">
        <v>3</v>
      </c>
      <c r="E1010" t="n">
        <v>6</v>
      </c>
      <c r="F1010" t="inlineStr">
        <is>
          <t>开仓</t>
        </is>
      </c>
      <c r="G1010" t="n">
        <v>25</v>
      </c>
      <c r="H1010" t="n">
        <v>2755</v>
      </c>
      <c r="I1010" t="n">
        <v>2639.5</v>
      </c>
      <c r="J1010" t="n">
        <v>3</v>
      </c>
      <c r="K1010" t="inlineStr">
        <is>
          <t>¼凯利超上限，取3%</t>
        </is>
      </c>
    </row>
    <row r="1011">
      <c r="A1011" t="inlineStr">
        <is>
          <t>2022-08-16</t>
        </is>
      </c>
      <c r="B1011" t="inlineStr">
        <is>
          <t>沪铜</t>
        </is>
      </c>
      <c r="C1011" t="inlineStr">
        <is>
          <t>多</t>
        </is>
      </c>
      <c r="D1011" t="n">
        <v>3</v>
      </c>
      <c r="E1011" t="n">
        <v>6</v>
      </c>
      <c r="F1011" t="inlineStr">
        <is>
          <t>不做</t>
        </is>
      </c>
      <c r="H1011" t="n">
        <v>62040</v>
      </c>
      <c r="J1011" t="n">
        <v>1</v>
      </c>
      <c r="K1011" t="inlineStr">
        <is>
          <t>1手风险21921元超过预算10000元</t>
        </is>
      </c>
    </row>
    <row r="1012">
      <c r="A1012" t="inlineStr">
        <is>
          <t>2022-08-16</t>
        </is>
      </c>
      <c r="B1012" t="inlineStr">
        <is>
          <t>乙二醇</t>
        </is>
      </c>
      <c r="C1012" t="inlineStr">
        <is>
          <t>空</t>
        </is>
      </c>
      <c r="D1012" t="n">
        <v>3</v>
      </c>
      <c r="E1012" t="n">
        <v>6</v>
      </c>
      <c r="F1012" t="inlineStr">
        <is>
          <t>开仓</t>
        </is>
      </c>
      <c r="G1012" t="n">
        <v>2</v>
      </c>
      <c r="H1012" t="n">
        <v>3951</v>
      </c>
      <c r="I1012" t="n">
        <v>4298.79</v>
      </c>
      <c r="J1012" t="n">
        <v>1</v>
      </c>
      <c r="K1012" t="inlineStr">
        <is>
          <t>组合风险已近10%，预算缩小</t>
        </is>
      </c>
    </row>
    <row r="1013">
      <c r="A1013" t="inlineStr">
        <is>
          <t>2022-08-16</t>
        </is>
      </c>
      <c r="B1013" t="inlineStr">
        <is>
          <t>纯碱</t>
        </is>
      </c>
      <c r="C1013" t="inlineStr">
        <is>
          <t>空</t>
        </is>
      </c>
      <c r="D1013" t="n">
        <v>2</v>
      </c>
      <c r="E1013" t="n">
        <v>5</v>
      </c>
      <c r="F1013" t="inlineStr">
        <is>
          <t>影子仓</t>
        </is>
      </c>
      <c r="G1013" t="n">
        <v>1</v>
      </c>
      <c r="H1013" t="n">
        <v>2343</v>
      </c>
      <c r="I1013" t="n">
        <v>2615.36</v>
      </c>
      <c r="J1013" t="n">
        <v>1</v>
      </c>
      <c r="K1013" t="inlineStr">
        <is>
          <t>凯利≤0，开1%影子仓（只统计，不计入组合）</t>
        </is>
      </c>
    </row>
    <row r="1014">
      <c r="A1014" t="inlineStr">
        <is>
          <t>2022-08-16</t>
        </is>
      </c>
      <c r="B1014" t="inlineStr">
        <is>
          <t>塑料</t>
        </is>
      </c>
      <c r="C1014" t="inlineStr">
        <is>
          <t>空</t>
        </is>
      </c>
      <c r="D1014" t="n">
        <v>2</v>
      </c>
      <c r="E1014" t="n">
        <v>4</v>
      </c>
      <c r="F1014" t="inlineStr">
        <is>
          <t>影子仓</t>
        </is>
      </c>
      <c r="G1014" t="n">
        <v>4</v>
      </c>
      <c r="H1014" t="n">
        <v>7699</v>
      </c>
      <c r="I1014" t="n">
        <v>8165.29</v>
      </c>
      <c r="J1014" t="n">
        <v>1</v>
      </c>
      <c r="K1014" t="inlineStr">
        <is>
          <t>凯利≤0，开1%影子仓（只统计，不计入组合）</t>
        </is>
      </c>
    </row>
    <row r="1015">
      <c r="A1015" t="inlineStr">
        <is>
          <t>2022-08-17</t>
        </is>
      </c>
      <c r="B1015" t="inlineStr">
        <is>
          <t>沪铝</t>
        </is>
      </c>
      <c r="C1015" t="inlineStr">
        <is>
          <t>多</t>
        </is>
      </c>
      <c r="D1015" t="n">
        <v>3</v>
      </c>
      <c r="E1015" t="n">
        <v>7</v>
      </c>
      <c r="F1015" t="inlineStr">
        <is>
          <t>不做</t>
        </is>
      </c>
      <c r="H1015" t="n">
        <v>18660</v>
      </c>
      <c r="J1015" t="n">
        <v>0</v>
      </c>
      <c r="K1015" t="inlineStr">
        <is>
          <t>组合风险已近10%，预算缩小</t>
        </is>
      </c>
    </row>
    <row r="1016">
      <c r="A1016" t="inlineStr">
        <is>
          <t>2022-08-17</t>
        </is>
      </c>
      <c r="B1016" t="inlineStr">
        <is>
          <t>PVC</t>
        </is>
      </c>
      <c r="C1016" t="inlineStr">
        <is>
          <t>空</t>
        </is>
      </c>
      <c r="D1016" t="n">
        <v>3</v>
      </c>
      <c r="E1016" t="n">
        <v>6</v>
      </c>
      <c r="F1016" t="inlineStr">
        <is>
          <t>不做</t>
        </is>
      </c>
      <c r="H1016" t="n">
        <v>6141</v>
      </c>
      <c r="J1016" t="n">
        <v>0</v>
      </c>
      <c r="K1016" t="inlineStr">
        <is>
          <t>组合风险已近10%，预算缩小</t>
        </is>
      </c>
    </row>
    <row r="1017">
      <c r="A1017" t="inlineStr">
        <is>
          <t>2022-08-17</t>
        </is>
      </c>
      <c r="B1017" t="inlineStr">
        <is>
          <t>塑料</t>
        </is>
      </c>
      <c r="C1017" t="inlineStr">
        <is>
          <t>空</t>
        </is>
      </c>
      <c r="D1017" t="n">
        <v>3</v>
      </c>
      <c r="E1017" t="n">
        <v>6</v>
      </c>
      <c r="F1017" t="inlineStr">
        <is>
          <t>续持</t>
        </is>
      </c>
      <c r="G1017" t="n">
        <v>4</v>
      </c>
      <c r="H1017" t="n">
        <v>7505</v>
      </c>
      <c r="I1017" t="n">
        <v>7965.64</v>
      </c>
      <c r="J1017" t="n">
        <v>1</v>
      </c>
      <c r="K1017" t="inlineStr">
        <is>
          <t>续持原仓（2022-08-16开）</t>
        </is>
      </c>
    </row>
    <row r="1018">
      <c r="A1018" t="inlineStr">
        <is>
          <t>2022-08-17</t>
        </is>
      </c>
      <c r="B1018" t="inlineStr">
        <is>
          <t>乙二醇</t>
        </is>
      </c>
      <c r="C1018" t="inlineStr">
        <is>
          <t>空</t>
        </is>
      </c>
      <c r="D1018" t="n">
        <v>2</v>
      </c>
      <c r="E1018" t="n">
        <v>5</v>
      </c>
      <c r="F1018" t="inlineStr">
        <is>
          <t>续持</t>
        </is>
      </c>
      <c r="G1018" t="n">
        <v>2</v>
      </c>
      <c r="H1018" t="n">
        <v>3920</v>
      </c>
      <c r="I1018" t="n">
        <v>4228.5</v>
      </c>
      <c r="J1018" t="n">
        <v>1</v>
      </c>
      <c r="K1018" t="inlineStr">
        <is>
          <t>续持原仓（2022-08-16开）</t>
        </is>
      </c>
    </row>
    <row r="1019">
      <c r="A1019" t="inlineStr">
        <is>
          <t>2022-08-17</t>
        </is>
      </c>
      <c r="B1019" t="inlineStr">
        <is>
          <t>沪镍</t>
        </is>
      </c>
      <c r="C1019" t="inlineStr">
        <is>
          <t>空</t>
        </is>
      </c>
      <c r="D1019" t="n">
        <v>2</v>
      </c>
      <c r="E1019" t="n">
        <v>5</v>
      </c>
      <c r="F1019" t="inlineStr">
        <is>
          <t>不做</t>
        </is>
      </c>
      <c r="H1019" t="n">
        <v>172680</v>
      </c>
      <c r="J1019" t="n">
        <v>1</v>
      </c>
      <c r="K1019" t="inlineStr">
        <is>
          <t>1手风险23623元超过预算10000元</t>
        </is>
      </c>
    </row>
    <row r="1020">
      <c r="A1020" t="inlineStr">
        <is>
          <t>2022-08-17</t>
        </is>
      </c>
      <c r="B1020" t="inlineStr">
        <is>
          <t>热卷</t>
        </is>
      </c>
      <c r="C1020" t="inlineStr">
        <is>
          <t>空</t>
        </is>
      </c>
      <c r="D1020" t="n">
        <v>2</v>
      </c>
      <c r="E1020" t="n">
        <v>4</v>
      </c>
      <c r="F1020" t="inlineStr">
        <is>
          <t>影子仓</t>
        </is>
      </c>
      <c r="G1020" t="n">
        <v>3</v>
      </c>
      <c r="H1020" t="n">
        <v>3905</v>
      </c>
      <c r="I1020" t="n">
        <v>4212.07</v>
      </c>
      <c r="J1020" t="n">
        <v>1</v>
      </c>
      <c r="K1020" t="inlineStr">
        <is>
          <t>凯利≤0，开1%影子仓（只统计，不计入组合）</t>
        </is>
      </c>
    </row>
    <row r="1021">
      <c r="A1021" t="inlineStr">
        <is>
          <t>2022-08-18</t>
        </is>
      </c>
      <c r="B1021" t="inlineStr">
        <is>
          <t>乙二醇</t>
        </is>
      </c>
      <c r="C1021" t="inlineStr">
        <is>
          <t>空</t>
        </is>
      </c>
      <c r="D1021" t="n">
        <v>3</v>
      </c>
      <c r="E1021" t="n">
        <v>7</v>
      </c>
      <c r="F1021" t="inlineStr">
        <is>
          <t>续持</t>
        </is>
      </c>
      <c r="G1021" t="n">
        <v>2</v>
      </c>
      <c r="H1021" t="n">
        <v>3856</v>
      </c>
      <c r="I1021" t="n">
        <v>4198.07</v>
      </c>
      <c r="J1021" t="n">
        <v>1</v>
      </c>
      <c r="K1021" t="inlineStr">
        <is>
          <t>续持原仓（2022-08-16开）</t>
        </is>
      </c>
    </row>
    <row r="1022">
      <c r="A1022" t="inlineStr">
        <is>
          <t>2022-08-18</t>
        </is>
      </c>
      <c r="B1022" t="inlineStr">
        <is>
          <t>PVC</t>
        </is>
      </c>
      <c r="C1022" t="inlineStr">
        <is>
          <t>空</t>
        </is>
      </c>
      <c r="D1022" t="n">
        <v>3</v>
      </c>
      <c r="E1022" t="n">
        <v>7</v>
      </c>
      <c r="F1022" t="inlineStr">
        <is>
          <t>不做</t>
        </is>
      </c>
      <c r="H1022" t="n">
        <v>6059</v>
      </c>
      <c r="J1022" t="n">
        <v>0</v>
      </c>
      <c r="K1022" t="inlineStr">
        <is>
          <t>组合风险已近10%，预算缩小</t>
        </is>
      </c>
    </row>
    <row r="1023">
      <c r="A1023" t="inlineStr">
        <is>
          <t>2022-08-18</t>
        </is>
      </c>
      <c r="B1023" t="inlineStr">
        <is>
          <t>玻璃</t>
        </is>
      </c>
      <c r="C1023" t="inlineStr">
        <is>
          <t>空</t>
        </is>
      </c>
      <c r="D1023" t="n">
        <v>3</v>
      </c>
      <c r="E1023" t="n">
        <v>7</v>
      </c>
      <c r="F1023" t="inlineStr">
        <is>
          <t>不做</t>
        </is>
      </c>
      <c r="H1023" t="n">
        <v>1461</v>
      </c>
      <c r="J1023" t="n">
        <v>0</v>
      </c>
      <c r="K1023" t="inlineStr">
        <is>
          <t>组合风险已近10%，预算缩小</t>
        </is>
      </c>
    </row>
    <row r="1024">
      <c r="A1024" t="inlineStr">
        <is>
          <t>2022-08-18</t>
        </is>
      </c>
      <c r="B1024" t="inlineStr">
        <is>
          <t>沪镍</t>
        </is>
      </c>
      <c r="C1024" t="inlineStr">
        <is>
          <t>空</t>
        </is>
      </c>
      <c r="D1024" t="n">
        <v>3</v>
      </c>
      <c r="E1024" t="n">
        <v>6</v>
      </c>
      <c r="F1024" t="inlineStr">
        <is>
          <t>不做</t>
        </is>
      </c>
      <c r="H1024" t="n">
        <v>169670</v>
      </c>
      <c r="J1024" t="n">
        <v>0</v>
      </c>
      <c r="K1024" t="inlineStr">
        <is>
          <t>组合风险已近10%，预算缩小</t>
        </is>
      </c>
    </row>
    <row r="1025">
      <c r="A1025" t="inlineStr">
        <is>
          <t>2022-08-18</t>
        </is>
      </c>
      <c r="B1025" t="inlineStr">
        <is>
          <t>塑料</t>
        </is>
      </c>
      <c r="C1025" t="inlineStr">
        <is>
          <t>空</t>
        </is>
      </c>
      <c r="D1025" t="n">
        <v>2</v>
      </c>
      <c r="E1025" t="n">
        <v>5</v>
      </c>
      <c r="F1025" t="inlineStr">
        <is>
          <t>续持</t>
        </is>
      </c>
      <c r="G1025" t="n">
        <v>4</v>
      </c>
      <c r="H1025" t="n">
        <v>7451</v>
      </c>
      <c r="I1025" t="n">
        <v>7905.93</v>
      </c>
      <c r="J1025" t="n">
        <v>1</v>
      </c>
      <c r="K1025" t="inlineStr">
        <is>
          <t>续持原仓（2022-08-16开）</t>
        </is>
      </c>
    </row>
    <row r="1026">
      <c r="A1026" t="inlineStr">
        <is>
          <t>2022-08-19</t>
        </is>
      </c>
      <c r="B1026" t="inlineStr">
        <is>
          <t>PVC</t>
        </is>
      </c>
      <c r="C1026" t="inlineStr">
        <is>
          <t>空</t>
        </is>
      </c>
      <c r="D1026" t="n">
        <v>3</v>
      </c>
      <c r="E1026" t="n">
        <v>6</v>
      </c>
      <c r="F1026" t="inlineStr">
        <is>
          <t>不做</t>
        </is>
      </c>
      <c r="H1026" t="n">
        <v>6102</v>
      </c>
      <c r="J1026" t="n">
        <v>0</v>
      </c>
      <c r="K1026" t="inlineStr">
        <is>
          <t>组合风险已近10%，预算缩小</t>
        </is>
      </c>
    </row>
    <row r="1027">
      <c r="A1027" t="inlineStr">
        <is>
          <t>2022-08-19</t>
        </is>
      </c>
      <c r="B1027" t="inlineStr">
        <is>
          <t>纯碱</t>
        </is>
      </c>
      <c r="C1027" t="inlineStr">
        <is>
          <t>空</t>
        </is>
      </c>
      <c r="D1027" t="n">
        <v>2</v>
      </c>
      <c r="E1027" t="n">
        <v>5</v>
      </c>
      <c r="F1027" t="inlineStr">
        <is>
          <t>影子仓</t>
        </is>
      </c>
      <c r="G1027" t="n">
        <v>1</v>
      </c>
      <c r="H1027" t="n">
        <v>2238</v>
      </c>
      <c r="I1027" t="n">
        <v>2501.57</v>
      </c>
      <c r="J1027" t="n">
        <v>1</v>
      </c>
      <c r="K1027" t="inlineStr">
        <is>
          <t>凯利≤0，开1%影子仓（只统计，不计入组合）</t>
        </is>
      </c>
    </row>
    <row r="1028">
      <c r="A1028" t="inlineStr">
        <is>
          <t>2022-08-19</t>
        </is>
      </c>
      <c r="B1028" t="inlineStr">
        <is>
          <t>乙二醇</t>
        </is>
      </c>
      <c r="C1028" t="inlineStr">
        <is>
          <t>空</t>
        </is>
      </c>
      <c r="D1028" t="n">
        <v>2</v>
      </c>
      <c r="E1028" t="n">
        <v>5</v>
      </c>
      <c r="F1028" t="inlineStr">
        <is>
          <t>续持</t>
        </is>
      </c>
      <c r="G1028" t="n">
        <v>2</v>
      </c>
      <c r="H1028" t="n">
        <v>3969</v>
      </c>
      <c r="I1028" t="n">
        <v>4249</v>
      </c>
      <c r="J1028" t="n">
        <v>1</v>
      </c>
      <c r="K1028" t="inlineStr">
        <is>
          <t>续持原仓（2022-08-16开）</t>
        </is>
      </c>
    </row>
    <row r="1029">
      <c r="A1029" t="inlineStr">
        <is>
          <t>2022-08-19</t>
        </is>
      </c>
      <c r="B1029" t="inlineStr">
        <is>
          <t>棉花</t>
        </is>
      </c>
      <c r="C1029" t="inlineStr">
        <is>
          <t>空</t>
        </is>
      </c>
      <c r="D1029" t="n">
        <v>2</v>
      </c>
      <c r="E1029" t="n">
        <v>4</v>
      </c>
      <c r="F1029" t="inlineStr">
        <is>
          <t>影子仓</t>
        </is>
      </c>
      <c r="G1029" t="n">
        <v>1</v>
      </c>
      <c r="H1029" t="n">
        <v>14810</v>
      </c>
      <c r="I1029" t="n">
        <v>16147.14</v>
      </c>
      <c r="J1029" t="n">
        <v>1</v>
      </c>
      <c r="K1029" t="inlineStr">
        <is>
          <t>凯利≤0，开1%影子仓（只统计，不计入组合）</t>
        </is>
      </c>
    </row>
    <row r="1030">
      <c r="A1030" t="inlineStr">
        <is>
          <t>2022-08-19</t>
        </is>
      </c>
      <c r="B1030" t="inlineStr">
        <is>
          <t>聚丙烯</t>
        </is>
      </c>
      <c r="C1030" t="inlineStr">
        <is>
          <t>空</t>
        </is>
      </c>
      <c r="D1030" t="n">
        <v>2</v>
      </c>
      <c r="E1030" t="n">
        <v>4</v>
      </c>
      <c r="F1030" t="inlineStr">
        <is>
          <t>影子仓</t>
        </is>
      </c>
      <c r="G1030" t="n">
        <v>4</v>
      </c>
      <c r="H1030" t="n">
        <v>7535</v>
      </c>
      <c r="I1030" t="n">
        <v>7958</v>
      </c>
      <c r="J1030" t="n">
        <v>1</v>
      </c>
      <c r="K1030" t="inlineStr">
        <is>
          <t>凯利≤0，开1%影子仓（只统计，不计入组合）</t>
        </is>
      </c>
    </row>
    <row r="1031">
      <c r="A1031" t="inlineStr">
        <is>
          <t>2022-08-22</t>
        </is>
      </c>
      <c r="B1031" t="inlineStr">
        <is>
          <t>豆油</t>
        </is>
      </c>
      <c r="C1031" t="inlineStr">
        <is>
          <t>多</t>
        </is>
      </c>
      <c r="D1031" t="n">
        <v>3</v>
      </c>
      <c r="E1031" t="n">
        <v>7</v>
      </c>
      <c r="F1031" t="inlineStr">
        <is>
          <t>不做</t>
        </is>
      </c>
      <c r="H1031" t="n">
        <v>9746</v>
      </c>
      <c r="J1031" t="n">
        <v>0</v>
      </c>
      <c r="K1031" t="inlineStr">
        <is>
          <t>农产品板块同方向已近6%，预算缩小</t>
        </is>
      </c>
    </row>
    <row r="1032">
      <c r="A1032" t="inlineStr">
        <is>
          <t>2022-08-22</t>
        </is>
      </c>
      <c r="B1032" t="inlineStr">
        <is>
          <t>沪锌</t>
        </is>
      </c>
      <c r="C1032" t="inlineStr">
        <is>
          <t>多</t>
        </is>
      </c>
      <c r="D1032" t="n">
        <v>3</v>
      </c>
      <c r="E1032" t="n">
        <v>6</v>
      </c>
      <c r="F1032" t="inlineStr">
        <is>
          <t>不做</t>
        </is>
      </c>
      <c r="H1032" t="n">
        <v>25125</v>
      </c>
      <c r="J1032" t="n">
        <v>0</v>
      </c>
      <c r="K1032" t="inlineStr">
        <is>
          <t>组合风险已近10%，预算缩小</t>
        </is>
      </c>
    </row>
    <row r="1033">
      <c r="A1033" t="inlineStr">
        <is>
          <t>2022-08-22</t>
        </is>
      </c>
      <c r="B1033" t="inlineStr">
        <is>
          <t>白糖</t>
        </is>
      </c>
      <c r="C1033" t="inlineStr">
        <is>
          <t>空</t>
        </is>
      </c>
      <c r="D1033" t="n">
        <v>2</v>
      </c>
      <c r="E1033" t="n">
        <v>5</v>
      </c>
      <c r="F1033" t="inlineStr">
        <is>
          <t>影子仓</t>
        </is>
      </c>
      <c r="G1033" t="n">
        <v>5</v>
      </c>
      <c r="H1033" t="n">
        <v>5528</v>
      </c>
      <c r="I1033" t="n">
        <v>5711.43</v>
      </c>
      <c r="J1033" t="n">
        <v>1</v>
      </c>
      <c r="K1033" t="inlineStr">
        <is>
          <t>凯利≤0，开1%影子仓（只统计，不计入组合）</t>
        </is>
      </c>
    </row>
    <row r="1034">
      <c r="A1034" t="inlineStr">
        <is>
          <t>2022-08-22</t>
        </is>
      </c>
      <c r="B1034" t="inlineStr">
        <is>
          <t>纯碱</t>
        </is>
      </c>
      <c r="C1034" t="inlineStr">
        <is>
          <t>空</t>
        </is>
      </c>
      <c r="D1034" t="n">
        <v>2</v>
      </c>
      <c r="E1034" t="n">
        <v>4</v>
      </c>
      <c r="F1034" t="inlineStr">
        <is>
          <t>观望</t>
        </is>
      </c>
      <c r="G1034" t="n">
        <v>1</v>
      </c>
      <c r="H1034" t="n">
        <v>2358</v>
      </c>
      <c r="I1034" t="n">
        <v>2636.36</v>
      </c>
      <c r="J1034" t="n">
        <v>1</v>
      </c>
      <c r="K1034" t="inlineStr">
        <is>
          <t>逆5日线（收盘在5日线上，不追空）</t>
        </is>
      </c>
    </row>
    <row r="1035">
      <c r="A1035" t="inlineStr">
        <is>
          <t>2022-08-22</t>
        </is>
      </c>
      <c r="B1035" t="inlineStr">
        <is>
          <t>沪铝</t>
        </is>
      </c>
      <c r="C1035" t="inlineStr">
        <is>
          <t>多</t>
        </is>
      </c>
      <c r="D1035" t="n">
        <v>2</v>
      </c>
      <c r="E1035" t="n">
        <v>4</v>
      </c>
      <c r="F1035" t="inlineStr">
        <is>
          <t>影子仓</t>
        </is>
      </c>
      <c r="G1035" t="n">
        <v>1</v>
      </c>
      <c r="H1035" t="n">
        <v>18580</v>
      </c>
      <c r="I1035" t="n">
        <v>17438.93</v>
      </c>
      <c r="J1035" t="n">
        <v>1</v>
      </c>
      <c r="K1035" t="inlineStr">
        <is>
          <t>凯利≤0，开1%影子仓（只统计，不计入组合）</t>
        </is>
      </c>
    </row>
    <row r="1036">
      <c r="A1036" t="inlineStr">
        <is>
          <t>2022-08-23</t>
        </is>
      </c>
      <c r="B1036" t="inlineStr">
        <is>
          <t>PVC</t>
        </is>
      </c>
      <c r="C1036" t="inlineStr">
        <is>
          <t>空</t>
        </is>
      </c>
      <c r="D1036" t="n">
        <v>3</v>
      </c>
      <c r="E1036" t="n">
        <v>6</v>
      </c>
      <c r="F1036" t="inlineStr">
        <is>
          <t>观望</t>
        </is>
      </c>
      <c r="H1036" t="n">
        <v>6196</v>
      </c>
      <c r="J1036" t="n">
        <v>0</v>
      </c>
      <c r="K1036" t="inlineStr">
        <is>
          <t>逆5日线（收盘在5日线上，不追空）</t>
        </is>
      </c>
    </row>
    <row r="1037">
      <c r="A1037" t="inlineStr">
        <is>
          <t>2022-08-23</t>
        </is>
      </c>
      <c r="B1037" t="inlineStr">
        <is>
          <t>白糖</t>
        </is>
      </c>
      <c r="C1037" t="inlineStr">
        <is>
          <t>空</t>
        </is>
      </c>
      <c r="D1037" t="n">
        <v>2</v>
      </c>
      <c r="E1037" t="n">
        <v>5</v>
      </c>
      <c r="F1037" t="inlineStr">
        <is>
          <t>观望</t>
        </is>
      </c>
      <c r="G1037" t="n">
        <v>5</v>
      </c>
      <c r="H1037" t="n">
        <v>5529</v>
      </c>
      <c r="I1037" t="n">
        <v>5700.64</v>
      </c>
      <c r="J1037" t="n">
        <v>1</v>
      </c>
      <c r="K1037" t="inlineStr">
        <is>
          <t>逆5日线（收盘在5日线上，不追空）</t>
        </is>
      </c>
    </row>
    <row r="1038">
      <c r="A1038" t="inlineStr">
        <is>
          <t>2022-08-23</t>
        </is>
      </c>
      <c r="B1038" t="inlineStr">
        <is>
          <t>沪铝</t>
        </is>
      </c>
      <c r="C1038" t="inlineStr">
        <is>
          <t>多</t>
        </is>
      </c>
      <c r="D1038" t="n">
        <v>2</v>
      </c>
      <c r="E1038" t="n">
        <v>5</v>
      </c>
      <c r="F1038" t="inlineStr">
        <is>
          <t>续持</t>
        </is>
      </c>
      <c r="G1038" t="n">
        <v>1</v>
      </c>
      <c r="H1038" t="n">
        <v>18685</v>
      </c>
      <c r="I1038" t="n">
        <v>17623.93</v>
      </c>
      <c r="J1038" t="n">
        <v>1</v>
      </c>
      <c r="K1038" t="inlineStr">
        <is>
          <t>续持原仓（2022-08-22开）</t>
        </is>
      </c>
    </row>
    <row r="1039">
      <c r="A1039" t="inlineStr">
        <is>
          <t>2022-08-24</t>
        </is>
      </c>
      <c r="B1039" t="inlineStr">
        <is>
          <t>白糖</t>
        </is>
      </c>
      <c r="C1039" t="inlineStr">
        <is>
          <t>空</t>
        </is>
      </c>
      <c r="D1039" t="n">
        <v>3</v>
      </c>
      <c r="E1039" t="n">
        <v>7</v>
      </c>
      <c r="F1039" t="inlineStr">
        <is>
          <t>续持</t>
        </is>
      </c>
      <c r="G1039" t="n">
        <v>5</v>
      </c>
      <c r="H1039" t="n">
        <v>5513</v>
      </c>
      <c r="I1039" t="n">
        <v>5645.36</v>
      </c>
      <c r="J1039" t="n">
        <v>1</v>
      </c>
      <c r="K1039" t="inlineStr">
        <is>
          <t>续持原仓（2022-08-22开）</t>
        </is>
      </c>
    </row>
    <row r="1040">
      <c r="A1040" t="inlineStr">
        <is>
          <t>2022-08-24</t>
        </is>
      </c>
      <c r="B1040" t="inlineStr">
        <is>
          <t>豆油</t>
        </is>
      </c>
      <c r="C1040" t="inlineStr">
        <is>
          <t>多</t>
        </is>
      </c>
      <c r="D1040" t="n">
        <v>3</v>
      </c>
      <c r="E1040" t="n">
        <v>6</v>
      </c>
      <c r="F1040" t="inlineStr">
        <is>
          <t>不做</t>
        </is>
      </c>
      <c r="H1040" t="n">
        <v>10020</v>
      </c>
      <c r="J1040" t="n">
        <v>0</v>
      </c>
      <c r="K1040" t="inlineStr">
        <is>
          <t>农产品板块同方向已近6%，预算缩小</t>
        </is>
      </c>
    </row>
    <row r="1041">
      <c r="A1041" t="inlineStr">
        <is>
          <t>2022-08-24</t>
        </is>
      </c>
      <c r="B1041" t="inlineStr">
        <is>
          <t>纯碱</t>
        </is>
      </c>
      <c r="C1041" t="inlineStr">
        <is>
          <t>空</t>
        </is>
      </c>
      <c r="D1041" t="n">
        <v>3</v>
      </c>
      <c r="E1041" t="n">
        <v>6</v>
      </c>
      <c r="F1041" t="inlineStr">
        <is>
          <t>观望</t>
        </is>
      </c>
      <c r="G1041" t="n">
        <v>1</v>
      </c>
      <c r="H1041" t="n">
        <v>2365</v>
      </c>
      <c r="I1041" t="n">
        <v>2615.93</v>
      </c>
      <c r="J1041" t="n">
        <v>1</v>
      </c>
      <c r="K1041" t="inlineStr">
        <is>
          <t>逆5日线（收盘在5日线上，不追空）</t>
        </is>
      </c>
    </row>
    <row r="1042">
      <c r="A1042" t="inlineStr">
        <is>
          <t>2022-08-24</t>
        </is>
      </c>
      <c r="B1042" t="inlineStr">
        <is>
          <t>沪镍</t>
        </is>
      </c>
      <c r="C1042" t="inlineStr">
        <is>
          <t>空</t>
        </is>
      </c>
      <c r="D1042" t="n">
        <v>2</v>
      </c>
      <c r="E1042" t="n">
        <v>5</v>
      </c>
      <c r="F1042" t="inlineStr">
        <is>
          <t>不做</t>
        </is>
      </c>
      <c r="H1042" t="n">
        <v>173690</v>
      </c>
      <c r="J1042" t="n">
        <v>1</v>
      </c>
      <c r="K1042" t="inlineStr">
        <is>
          <t>1手风险20657元超过预算10000元</t>
        </is>
      </c>
    </row>
    <row r="1043">
      <c r="A1043" t="inlineStr">
        <is>
          <t>2022-08-25</t>
        </is>
      </c>
      <c r="B1043" t="inlineStr">
        <is>
          <t>乙二醇</t>
        </is>
      </c>
      <c r="C1043" t="inlineStr">
        <is>
          <t>空</t>
        </is>
      </c>
      <c r="D1043" t="n">
        <v>3</v>
      </c>
      <c r="E1043" t="n">
        <v>6</v>
      </c>
      <c r="F1043" t="inlineStr">
        <is>
          <t>开仓</t>
        </is>
      </c>
      <c r="G1043" t="n">
        <v>3</v>
      </c>
      <c r="H1043" t="n">
        <v>4045</v>
      </c>
      <c r="I1043" t="n">
        <v>4349.93</v>
      </c>
      <c r="J1043" t="n">
        <v>1</v>
      </c>
      <c r="K1043" t="inlineStr">
        <is>
          <t>组合风险已近10%，预算缩小</t>
        </is>
      </c>
    </row>
    <row r="1044">
      <c r="A1044" t="inlineStr">
        <is>
          <t>2022-08-25</t>
        </is>
      </c>
      <c r="B1044" t="inlineStr">
        <is>
          <t>白糖</t>
        </is>
      </c>
      <c r="C1044" t="inlineStr">
        <is>
          <t>空</t>
        </is>
      </c>
      <c r="D1044" t="n">
        <v>3</v>
      </c>
      <c r="E1044" t="n">
        <v>6</v>
      </c>
      <c r="F1044" t="inlineStr">
        <is>
          <t>续持</t>
        </is>
      </c>
      <c r="G1044" t="n">
        <v>5</v>
      </c>
      <c r="H1044" t="n">
        <v>5493</v>
      </c>
      <c r="I1044" t="n">
        <v>5642.79</v>
      </c>
      <c r="J1044" t="n">
        <v>1</v>
      </c>
      <c r="K1044" t="inlineStr">
        <is>
          <t>续持原仓（2022-08-22开）</t>
        </is>
      </c>
    </row>
    <row r="1045">
      <c r="A1045" t="inlineStr">
        <is>
          <t>2022-08-25</t>
        </is>
      </c>
      <c r="B1045" t="inlineStr">
        <is>
          <t>玻璃</t>
        </is>
      </c>
      <c r="C1045" t="inlineStr">
        <is>
          <t>空</t>
        </is>
      </c>
      <c r="D1045" t="n">
        <v>2</v>
      </c>
      <c r="E1045" t="n">
        <v>5</v>
      </c>
      <c r="F1045" t="inlineStr">
        <is>
          <t>影子仓</t>
        </is>
      </c>
      <c r="G1045" t="n">
        <v>3</v>
      </c>
      <c r="H1045" t="n">
        <v>1458</v>
      </c>
      <c r="I1045" t="n">
        <v>1594.71</v>
      </c>
      <c r="J1045" t="n">
        <v>1</v>
      </c>
      <c r="K1045" t="inlineStr">
        <is>
          <t>凯利≤0，开1%影子仓（只统计，不计入组合）</t>
        </is>
      </c>
    </row>
    <row r="1046">
      <c r="A1046" t="inlineStr">
        <is>
          <t>2022-08-25</t>
        </is>
      </c>
      <c r="B1046" t="inlineStr">
        <is>
          <t>沪锌</t>
        </is>
      </c>
      <c r="C1046" t="inlineStr">
        <is>
          <t>多</t>
        </is>
      </c>
      <c r="D1046" t="n">
        <v>2</v>
      </c>
      <c r="E1046" t="n">
        <v>5</v>
      </c>
      <c r="F1046" t="inlineStr">
        <is>
          <t>影子仓</t>
        </is>
      </c>
      <c r="G1046" t="n">
        <v>1</v>
      </c>
      <c r="H1046" t="n">
        <v>25325</v>
      </c>
      <c r="I1046" t="n">
        <v>23594.64</v>
      </c>
      <c r="J1046" t="n">
        <v>1</v>
      </c>
      <c r="K1046" t="inlineStr">
        <is>
          <t>凯利≤0，开1%影子仓（只统计，不计入组合）</t>
        </is>
      </c>
    </row>
    <row r="1047">
      <c r="A1047" t="inlineStr">
        <is>
          <t>2022-08-25</t>
        </is>
      </c>
      <c r="B1047" t="inlineStr">
        <is>
          <t>PVC</t>
        </is>
      </c>
      <c r="C1047" t="inlineStr">
        <is>
          <t>空</t>
        </is>
      </c>
      <c r="D1047" t="n">
        <v>2</v>
      </c>
      <c r="E1047" t="n">
        <v>5</v>
      </c>
      <c r="F1047" t="inlineStr">
        <is>
          <t>观望</t>
        </is>
      </c>
      <c r="G1047" t="n">
        <v>3</v>
      </c>
      <c r="H1047" t="n">
        <v>6308</v>
      </c>
      <c r="I1047" t="n">
        <v>6809.43</v>
      </c>
      <c r="J1047" t="n">
        <v>1</v>
      </c>
      <c r="K1047" t="inlineStr">
        <is>
          <t>逆5日线（收盘在5日线上，不追空）</t>
        </is>
      </c>
    </row>
    <row r="1048">
      <c r="A1048" t="inlineStr">
        <is>
          <t>2022-08-26</t>
        </is>
      </c>
      <c r="B1048" t="inlineStr">
        <is>
          <t>豆油</t>
        </is>
      </c>
      <c r="C1048" t="inlineStr">
        <is>
          <t>多</t>
        </is>
      </c>
      <c r="D1048" t="n">
        <v>3</v>
      </c>
      <c r="E1048" t="n">
        <v>6</v>
      </c>
      <c r="F1048" t="inlineStr">
        <is>
          <t>不做</t>
        </is>
      </c>
      <c r="H1048" t="n">
        <v>9928</v>
      </c>
      <c r="J1048" t="n">
        <v>0</v>
      </c>
      <c r="K1048" t="inlineStr">
        <is>
          <t>农产品板块同方向已近6%，预算缩小</t>
        </is>
      </c>
    </row>
    <row r="1049">
      <c r="A1049" t="inlineStr">
        <is>
          <t>2022-08-26</t>
        </is>
      </c>
      <c r="B1049" t="inlineStr">
        <is>
          <t>沪锌</t>
        </is>
      </c>
      <c r="C1049" t="inlineStr">
        <is>
          <t>多</t>
        </is>
      </c>
      <c r="D1049" t="n">
        <v>3</v>
      </c>
      <c r="E1049" t="n">
        <v>6</v>
      </c>
      <c r="F1049" t="inlineStr">
        <is>
          <t>续持</t>
        </is>
      </c>
      <c r="G1049" t="n">
        <v>1</v>
      </c>
      <c r="H1049" t="n">
        <v>25500</v>
      </c>
      <c r="I1049" t="n">
        <v>23965</v>
      </c>
      <c r="J1049" t="n">
        <v>1</v>
      </c>
      <c r="K1049" t="inlineStr">
        <is>
          <t>续持原仓（2022-08-25开）</t>
        </is>
      </c>
    </row>
    <row r="1050">
      <c r="A1050" t="inlineStr">
        <is>
          <t>2022-08-26</t>
        </is>
      </c>
      <c r="B1050" t="inlineStr">
        <is>
          <t>沪铜</t>
        </is>
      </c>
      <c r="C1050" t="inlineStr">
        <is>
          <t>多</t>
        </is>
      </c>
      <c r="D1050" t="n">
        <v>3</v>
      </c>
      <c r="E1050" t="n">
        <v>6</v>
      </c>
      <c r="F1050" t="inlineStr">
        <is>
          <t>不做</t>
        </is>
      </c>
      <c r="H1050" t="n">
        <v>63690</v>
      </c>
      <c r="J1050" t="n">
        <v>0</v>
      </c>
      <c r="K1050" t="inlineStr">
        <is>
          <t>组合风险已近10%，预算缩小</t>
        </is>
      </c>
    </row>
    <row r="1051">
      <c r="A1051" t="inlineStr">
        <is>
          <t>2022-08-26</t>
        </is>
      </c>
      <c r="B1051" t="inlineStr">
        <is>
          <t>乙二醇</t>
        </is>
      </c>
      <c r="C1051" t="inlineStr">
        <is>
          <t>空</t>
        </is>
      </c>
      <c r="D1051" t="n">
        <v>2</v>
      </c>
      <c r="E1051" t="n">
        <v>4</v>
      </c>
      <c r="F1051" t="inlineStr">
        <is>
          <t>观望</t>
        </is>
      </c>
      <c r="G1051" t="n">
        <v>3</v>
      </c>
      <c r="H1051" t="n">
        <v>4099</v>
      </c>
      <c r="I1051" t="n">
        <v>4392.57</v>
      </c>
      <c r="J1051" t="n">
        <v>1</v>
      </c>
      <c r="K1051" t="inlineStr">
        <is>
          <t>逆5日线（收盘在5日线上，不追空）</t>
        </is>
      </c>
    </row>
    <row r="1052">
      <c r="A1052" t="inlineStr">
        <is>
          <t>2022-08-26</t>
        </is>
      </c>
      <c r="B1052" t="inlineStr">
        <is>
          <t>白糖</t>
        </is>
      </c>
      <c r="C1052" t="inlineStr">
        <is>
          <t>空</t>
        </is>
      </c>
      <c r="D1052" t="n">
        <v>2</v>
      </c>
      <c r="E1052" t="n">
        <v>4</v>
      </c>
      <c r="F1052" t="inlineStr">
        <is>
          <t>观望</t>
        </is>
      </c>
      <c r="G1052" t="n">
        <v>6</v>
      </c>
      <c r="H1052" t="n">
        <v>5525</v>
      </c>
      <c r="I1052" t="n">
        <v>5686.57</v>
      </c>
      <c r="J1052" t="n">
        <v>1</v>
      </c>
      <c r="K1052" t="inlineStr">
        <is>
          <t>逆5日线（收盘在5日线上，不追空）</t>
        </is>
      </c>
    </row>
    <row r="1053">
      <c r="A1053" t="inlineStr">
        <is>
          <t>2022-08-26</t>
        </is>
      </c>
      <c r="B1053" t="inlineStr">
        <is>
          <t>沪镍</t>
        </is>
      </c>
      <c r="C1053" t="inlineStr">
        <is>
          <t>空</t>
        </is>
      </c>
      <c r="D1053" t="n">
        <v>2</v>
      </c>
      <c r="E1053" t="n">
        <v>4</v>
      </c>
      <c r="F1053" t="inlineStr">
        <is>
          <t>观望</t>
        </is>
      </c>
      <c r="H1053" t="n">
        <v>174200</v>
      </c>
      <c r="J1053" t="n">
        <v>1</v>
      </c>
      <c r="K1053" t="inlineStr">
        <is>
          <t>逆5日线（收盘在5日线上，不追空）</t>
        </is>
      </c>
    </row>
    <row r="1054">
      <c r="A1054" t="inlineStr">
        <is>
          <t>2022-08-29</t>
        </is>
      </c>
      <c r="B1054" t="inlineStr">
        <is>
          <t>玻璃</t>
        </is>
      </c>
      <c r="C1054" t="inlineStr">
        <is>
          <t>空</t>
        </is>
      </c>
      <c r="D1054" t="n">
        <v>3</v>
      </c>
      <c r="E1054" t="n">
        <v>7</v>
      </c>
      <c r="F1054" t="inlineStr">
        <is>
          <t>续持</t>
        </is>
      </c>
      <c r="G1054" t="n">
        <v>3</v>
      </c>
      <c r="H1054" t="n">
        <v>1457</v>
      </c>
      <c r="I1054" t="n">
        <v>1573.71</v>
      </c>
      <c r="J1054" t="n">
        <v>1</v>
      </c>
      <c r="K1054" t="inlineStr">
        <is>
          <t>续持原仓（2022-08-25开）</t>
        </is>
      </c>
    </row>
    <row r="1055">
      <c r="A1055" t="inlineStr">
        <is>
          <t>2022-08-29</t>
        </is>
      </c>
      <c r="B1055" t="inlineStr">
        <is>
          <t>沪镍</t>
        </is>
      </c>
      <c r="C1055" t="inlineStr">
        <is>
          <t>空</t>
        </is>
      </c>
      <c r="D1055" t="n">
        <v>3</v>
      </c>
      <c r="E1055" t="n">
        <v>6</v>
      </c>
      <c r="F1055" t="inlineStr">
        <is>
          <t>不做</t>
        </is>
      </c>
      <c r="H1055" t="n">
        <v>165060</v>
      </c>
      <c r="J1055" t="n">
        <v>0</v>
      </c>
      <c r="K1055" t="inlineStr">
        <is>
          <t>组合风险已近10%，预算缩小</t>
        </is>
      </c>
    </row>
    <row r="1056">
      <c r="A1056" t="inlineStr">
        <is>
          <t>2022-08-29</t>
        </is>
      </c>
      <c r="B1056" t="inlineStr">
        <is>
          <t>沪锌</t>
        </is>
      </c>
      <c r="C1056" t="inlineStr">
        <is>
          <t>多</t>
        </is>
      </c>
      <c r="D1056" t="n">
        <v>2</v>
      </c>
      <c r="E1056" t="n">
        <v>4</v>
      </c>
      <c r="F1056" t="inlineStr">
        <is>
          <t>观望</t>
        </is>
      </c>
      <c r="G1056" t="n">
        <v>1</v>
      </c>
      <c r="H1056" t="n">
        <v>25025</v>
      </c>
      <c r="I1056" t="n">
        <v>23242.14</v>
      </c>
      <c r="J1056" t="n">
        <v>1</v>
      </c>
      <c r="K1056" t="inlineStr">
        <is>
          <t>逆5日线（收盘在5日线下，不追多）</t>
        </is>
      </c>
    </row>
    <row r="1057">
      <c r="A1057" t="inlineStr">
        <is>
          <t>2022-08-29</t>
        </is>
      </c>
      <c r="B1057" t="inlineStr">
        <is>
          <t>PVC</t>
        </is>
      </c>
      <c r="C1057" t="inlineStr">
        <is>
          <t>空</t>
        </is>
      </c>
      <c r="D1057" t="n">
        <v>2</v>
      </c>
      <c r="E1057" t="n">
        <v>4</v>
      </c>
      <c r="F1057" t="inlineStr">
        <is>
          <t>影子仓</t>
        </is>
      </c>
      <c r="G1057" t="n">
        <v>4</v>
      </c>
      <c r="H1057" t="n">
        <v>6313</v>
      </c>
      <c r="I1057" t="n">
        <v>6805.43</v>
      </c>
      <c r="J1057" t="n">
        <v>1</v>
      </c>
      <c r="K1057" t="inlineStr">
        <is>
          <t>凯利≤0，开1%影子仓（只统计，不计入组合）</t>
        </is>
      </c>
    </row>
    <row r="1058">
      <c r="A1058" t="inlineStr">
        <is>
          <t>2022-08-30</t>
        </is>
      </c>
      <c r="B1058" t="inlineStr">
        <is>
          <t>玻璃</t>
        </is>
      </c>
      <c r="C1058" t="inlineStr">
        <is>
          <t>空</t>
        </is>
      </c>
      <c r="D1058" t="n">
        <v>3</v>
      </c>
      <c r="E1058" t="n">
        <v>7</v>
      </c>
      <c r="F1058" t="inlineStr">
        <is>
          <t>续持</t>
        </is>
      </c>
      <c r="G1058" t="n">
        <v>3</v>
      </c>
      <c r="H1058" t="n">
        <v>1423</v>
      </c>
      <c r="I1058" t="n">
        <v>1542.29</v>
      </c>
      <c r="J1058" t="n">
        <v>1</v>
      </c>
      <c r="K1058" t="inlineStr">
        <is>
          <t>续持原仓（2022-08-25开）</t>
        </is>
      </c>
    </row>
    <row r="1059">
      <c r="A1059" t="inlineStr">
        <is>
          <t>2022-08-30</t>
        </is>
      </c>
      <c r="B1059" t="inlineStr">
        <is>
          <t>沪锌</t>
        </is>
      </c>
      <c r="C1059" t="inlineStr">
        <is>
          <t>多</t>
        </is>
      </c>
      <c r="D1059" t="n">
        <v>2</v>
      </c>
      <c r="E1059" t="n">
        <v>5</v>
      </c>
      <c r="F1059" t="inlineStr">
        <is>
          <t>观望</t>
        </is>
      </c>
      <c r="G1059" t="n">
        <v>1</v>
      </c>
      <c r="H1059" t="n">
        <v>24840</v>
      </c>
      <c r="I1059" t="n">
        <v>23083.93</v>
      </c>
      <c r="J1059" t="n">
        <v>1</v>
      </c>
      <c r="K1059" t="inlineStr">
        <is>
          <t>逆5日线（收盘在5日线下，不追多）</t>
        </is>
      </c>
    </row>
    <row r="1060">
      <c r="A1060" t="inlineStr">
        <is>
          <t>2022-08-30</t>
        </is>
      </c>
      <c r="B1060" t="inlineStr">
        <is>
          <t>沪铜</t>
        </is>
      </c>
      <c r="C1060" t="inlineStr">
        <is>
          <t>多</t>
        </is>
      </c>
      <c r="D1060" t="n">
        <v>2</v>
      </c>
      <c r="E1060" t="n">
        <v>5</v>
      </c>
      <c r="F1060" t="inlineStr">
        <is>
          <t>观望</t>
        </is>
      </c>
      <c r="H1060" t="n">
        <v>62200</v>
      </c>
      <c r="J1060" t="n">
        <v>1</v>
      </c>
      <c r="K1060" t="inlineStr">
        <is>
          <t>逆5日线（收盘在5日线下，不追多）</t>
        </is>
      </c>
    </row>
    <row r="1061">
      <c r="A1061" t="inlineStr">
        <is>
          <t>2022-08-30</t>
        </is>
      </c>
      <c r="B1061" t="inlineStr">
        <is>
          <t>PVC</t>
        </is>
      </c>
      <c r="C1061" t="inlineStr">
        <is>
          <t>空</t>
        </is>
      </c>
      <c r="D1061" t="n">
        <v>2</v>
      </c>
      <c r="E1061" t="n">
        <v>4</v>
      </c>
      <c r="F1061" t="inlineStr">
        <is>
          <t>续持</t>
        </is>
      </c>
      <c r="G1061" t="n">
        <v>4</v>
      </c>
      <c r="H1061" t="n">
        <v>6245</v>
      </c>
      <c r="I1061" t="n">
        <v>6719.14</v>
      </c>
      <c r="J1061" t="n">
        <v>1</v>
      </c>
      <c r="K1061" t="inlineStr">
        <is>
          <t>续持原仓（2022-08-29开）</t>
        </is>
      </c>
    </row>
    <row r="1062">
      <c r="A1062" t="inlineStr">
        <is>
          <t>2022-08-31</t>
        </is>
      </c>
      <c r="B1062" t="inlineStr">
        <is>
          <t>沪锌</t>
        </is>
      </c>
      <c r="C1062" t="inlineStr">
        <is>
          <t>多</t>
        </is>
      </c>
      <c r="D1062" t="n">
        <v>3</v>
      </c>
      <c r="E1062" t="n">
        <v>6</v>
      </c>
      <c r="F1062" t="inlineStr">
        <is>
          <t>观望</t>
        </is>
      </c>
      <c r="H1062" t="n">
        <v>24965</v>
      </c>
      <c r="J1062" t="n">
        <v>0</v>
      </c>
      <c r="K1062" t="inlineStr">
        <is>
          <t>逆5日线（收盘在5日线下，不追多）</t>
        </is>
      </c>
    </row>
    <row r="1063">
      <c r="A1063" t="inlineStr">
        <is>
          <t>2022-08-31</t>
        </is>
      </c>
      <c r="B1063" t="inlineStr">
        <is>
          <t>乙二醇</t>
        </is>
      </c>
      <c r="C1063" t="inlineStr">
        <is>
          <t>空</t>
        </is>
      </c>
      <c r="D1063" t="n">
        <v>2</v>
      </c>
      <c r="E1063" t="n">
        <v>5</v>
      </c>
      <c r="F1063" t="inlineStr">
        <is>
          <t>续持</t>
        </is>
      </c>
      <c r="G1063" t="n">
        <v>3</v>
      </c>
      <c r="H1063" t="n">
        <v>4064</v>
      </c>
      <c r="I1063" t="n">
        <v>4298</v>
      </c>
      <c r="J1063" t="n">
        <v>1</v>
      </c>
      <c r="K1063" t="inlineStr">
        <is>
          <t>续持原仓（2022-08-25开）</t>
        </is>
      </c>
    </row>
    <row r="1064">
      <c r="A1064" t="inlineStr">
        <is>
          <t>2022-08-31</t>
        </is>
      </c>
      <c r="B1064" t="inlineStr">
        <is>
          <t>玻璃</t>
        </is>
      </c>
      <c r="C1064" t="inlineStr">
        <is>
          <t>空</t>
        </is>
      </c>
      <c r="D1064" t="n">
        <v>2</v>
      </c>
      <c r="E1064" t="n">
        <v>4</v>
      </c>
      <c r="F1064" t="inlineStr">
        <is>
          <t>观望</t>
        </is>
      </c>
      <c r="G1064" t="n">
        <v>4</v>
      </c>
      <c r="H1064" t="n">
        <v>1460</v>
      </c>
      <c r="I1064" t="n">
        <v>1583.43</v>
      </c>
      <c r="J1064" t="n">
        <v>1</v>
      </c>
      <c r="K1064" t="inlineStr">
        <is>
          <t>逆5日线（收盘在5日线上，不追空）</t>
        </is>
      </c>
    </row>
    <row r="1065">
      <c r="A1065" t="inlineStr">
        <is>
          <t>2022-09-01</t>
        </is>
      </c>
      <c r="B1065" t="inlineStr">
        <is>
          <t>沪银</t>
        </is>
      </c>
      <c r="C1065" t="inlineStr">
        <is>
          <t>空</t>
        </is>
      </c>
      <c r="D1065" t="n">
        <v>3</v>
      </c>
      <c r="E1065" t="n">
        <v>7</v>
      </c>
      <c r="F1065" t="inlineStr">
        <is>
          <t>开仓</t>
        </is>
      </c>
      <c r="G1065" t="n">
        <v>7</v>
      </c>
      <c r="H1065" t="n">
        <v>4120</v>
      </c>
      <c r="I1065" t="n">
        <v>4374.79</v>
      </c>
      <c r="J1065" t="n">
        <v>3</v>
      </c>
      <c r="K1065" t="inlineStr">
        <is>
          <t>¼凯利超上限，取3%</t>
        </is>
      </c>
    </row>
    <row r="1066">
      <c r="A1066" t="inlineStr">
        <is>
          <t>2022-09-01</t>
        </is>
      </c>
      <c r="B1066" t="inlineStr">
        <is>
          <t>玻璃</t>
        </is>
      </c>
      <c r="C1066" t="inlineStr">
        <is>
          <t>空</t>
        </is>
      </c>
      <c r="D1066" t="n">
        <v>3</v>
      </c>
      <c r="E1066" t="n">
        <v>6</v>
      </c>
      <c r="F1066" t="inlineStr">
        <is>
          <t>续持</t>
        </is>
      </c>
      <c r="G1066" t="n">
        <v>3</v>
      </c>
      <c r="H1066" t="n">
        <v>1440</v>
      </c>
      <c r="I1066" t="n">
        <v>1535.64</v>
      </c>
      <c r="J1066" t="n">
        <v>1</v>
      </c>
      <c r="K1066" t="inlineStr">
        <is>
          <t>续持原仓（2022-08-25开）</t>
        </is>
      </c>
    </row>
    <row r="1067">
      <c r="A1067" t="inlineStr">
        <is>
          <t>2022-09-05</t>
        </is>
      </c>
      <c r="B1067" t="inlineStr">
        <is>
          <t>PVC</t>
        </is>
      </c>
      <c r="C1067" t="inlineStr">
        <is>
          <t>空</t>
        </is>
      </c>
      <c r="D1067" t="n">
        <v>2</v>
      </c>
      <c r="E1067" t="n">
        <v>5</v>
      </c>
      <c r="F1067" t="inlineStr">
        <is>
          <t>观望</t>
        </is>
      </c>
      <c r="G1067" t="n">
        <v>4</v>
      </c>
      <c r="H1067" t="n">
        <v>6404</v>
      </c>
      <c r="I1067" t="n">
        <v>6898.57</v>
      </c>
      <c r="J1067" t="n">
        <v>1</v>
      </c>
      <c r="K1067" t="inlineStr">
        <is>
          <t>逆5日线（收盘在5日线上，不追空）</t>
        </is>
      </c>
    </row>
    <row r="1068">
      <c r="A1068" t="inlineStr">
        <is>
          <t>2022-09-05</t>
        </is>
      </c>
      <c r="B1068" t="inlineStr">
        <is>
          <t>甲醇</t>
        </is>
      </c>
      <c r="C1068" t="inlineStr">
        <is>
          <t>多</t>
        </is>
      </c>
      <c r="D1068" t="n">
        <v>2</v>
      </c>
      <c r="E1068" t="n">
        <v>5</v>
      </c>
      <c r="F1068" t="inlineStr">
        <is>
          <t>影子仓</t>
        </is>
      </c>
      <c r="G1068" t="n">
        <v>5</v>
      </c>
      <c r="H1068" t="n">
        <v>2621</v>
      </c>
      <c r="I1068" t="n">
        <v>2438.21</v>
      </c>
      <c r="J1068" t="n">
        <v>1</v>
      </c>
      <c r="K1068" t="inlineStr">
        <is>
          <t>凯利≤0，开1%影子仓（只统计，不计入组合）</t>
        </is>
      </c>
    </row>
    <row r="1069">
      <c r="A1069" t="inlineStr">
        <is>
          <t>2022-09-05</t>
        </is>
      </c>
      <c r="B1069" t="inlineStr">
        <is>
          <t>沪锌</t>
        </is>
      </c>
      <c r="C1069" t="inlineStr">
        <is>
          <t>多</t>
        </is>
      </c>
      <c r="D1069" t="n">
        <v>2</v>
      </c>
      <c r="E1069" t="n">
        <v>4</v>
      </c>
      <c r="F1069" t="inlineStr">
        <is>
          <t>观望</t>
        </is>
      </c>
      <c r="G1069" t="n">
        <v>1</v>
      </c>
      <c r="H1069" t="n">
        <v>24165</v>
      </c>
      <c r="I1069" t="n">
        <v>22350</v>
      </c>
      <c r="J1069" t="n">
        <v>1</v>
      </c>
      <c r="K1069" t="inlineStr">
        <is>
          <t>逆5日线（收盘在5日线下，不追多）</t>
        </is>
      </c>
    </row>
    <row r="1070">
      <c r="A1070" t="inlineStr">
        <is>
          <t>2022-09-06</t>
        </is>
      </c>
      <c r="B1070" t="inlineStr">
        <is>
          <t>玻璃</t>
        </is>
      </c>
      <c r="C1070" t="inlineStr">
        <is>
          <t>空</t>
        </is>
      </c>
      <c r="D1070" t="n">
        <v>3</v>
      </c>
      <c r="E1070" t="n">
        <v>6</v>
      </c>
      <c r="F1070" t="inlineStr">
        <is>
          <t>观望</t>
        </is>
      </c>
      <c r="G1070" t="n">
        <v>12</v>
      </c>
      <c r="H1070" t="n">
        <v>1473</v>
      </c>
      <c r="I1070" t="n">
        <v>1587.21</v>
      </c>
      <c r="J1070" t="n">
        <v>2.94</v>
      </c>
      <c r="K1070" t="inlineStr">
        <is>
          <t>逆5日线（收盘在5日线上，不追空）</t>
        </is>
      </c>
    </row>
    <row r="1071">
      <c r="A1071" t="inlineStr">
        <is>
          <t>2022-09-06</t>
        </is>
      </c>
      <c r="B1071" t="inlineStr">
        <is>
          <t>乙二醇</t>
        </is>
      </c>
      <c r="C1071" t="inlineStr">
        <is>
          <t>空</t>
        </is>
      </c>
      <c r="D1071" t="n">
        <v>2</v>
      </c>
      <c r="E1071" t="n">
        <v>5</v>
      </c>
      <c r="F1071" t="inlineStr">
        <is>
          <t>观望</t>
        </is>
      </c>
      <c r="G1071" t="n">
        <v>2</v>
      </c>
      <c r="H1071" t="n">
        <v>4351</v>
      </c>
      <c r="I1071" t="n">
        <v>4696</v>
      </c>
      <c r="J1071" t="n">
        <v>1</v>
      </c>
      <c r="K1071" t="inlineStr">
        <is>
          <t>逆5日线（收盘在5日线上，不追空）</t>
        </is>
      </c>
    </row>
    <row r="1072">
      <c r="A1072" t="inlineStr">
        <is>
          <t>2022-09-06</t>
        </is>
      </c>
      <c r="B1072" t="inlineStr">
        <is>
          <t>甲醇</t>
        </is>
      </c>
      <c r="C1072" t="inlineStr">
        <is>
          <t>多</t>
        </is>
      </c>
      <c r="D1072" t="n">
        <v>2</v>
      </c>
      <c r="E1072" t="n">
        <v>5</v>
      </c>
      <c r="F1072" t="inlineStr">
        <is>
          <t>续持</t>
        </is>
      </c>
      <c r="G1072" t="n">
        <v>5</v>
      </c>
      <c r="H1072" t="n">
        <v>2704</v>
      </c>
      <c r="I1072" t="n">
        <v>2527.79</v>
      </c>
      <c r="J1072" t="n">
        <v>1</v>
      </c>
      <c r="K1072" t="inlineStr">
        <is>
          <t>续持原仓（2022-09-05开）</t>
        </is>
      </c>
    </row>
    <row r="1073">
      <c r="A1073" t="inlineStr">
        <is>
          <t>2022-09-06</t>
        </is>
      </c>
      <c r="B1073" t="inlineStr">
        <is>
          <t>菜粕</t>
        </is>
      </c>
      <c r="C1073" t="inlineStr">
        <is>
          <t>空</t>
        </is>
      </c>
      <c r="D1073" t="n">
        <v>2</v>
      </c>
      <c r="E1073" t="n">
        <v>4</v>
      </c>
      <c r="F1073" t="inlineStr">
        <is>
          <t>影子仓</t>
        </is>
      </c>
      <c r="G1073" t="n">
        <v>4</v>
      </c>
      <c r="H1073" t="n">
        <v>2914</v>
      </c>
      <c r="I1073" t="n">
        <v>3140.5</v>
      </c>
      <c r="J1073" t="n">
        <v>1</v>
      </c>
      <c r="K1073" t="inlineStr">
        <is>
          <t>凯利≤0，开1%影子仓（只统计，不计入组合）</t>
        </is>
      </c>
    </row>
    <row r="1074">
      <c r="A1074" t="inlineStr">
        <is>
          <t>2022-09-07</t>
        </is>
      </c>
      <c r="B1074" t="inlineStr">
        <is>
          <t>纯碱</t>
        </is>
      </c>
      <c r="C1074" t="inlineStr">
        <is>
          <t>空</t>
        </is>
      </c>
      <c r="D1074" t="n">
        <v>3</v>
      </c>
      <c r="E1074" t="n">
        <v>7</v>
      </c>
      <c r="F1074" t="inlineStr">
        <is>
          <t>开仓</t>
        </is>
      </c>
      <c r="G1074" t="n">
        <v>6</v>
      </c>
      <c r="H1074" t="n">
        <v>2279</v>
      </c>
      <c r="I1074" t="n">
        <v>2493.5</v>
      </c>
      <c r="J1074" t="n">
        <v>2.94</v>
      </c>
      <c r="K1074" t="inlineStr">
        <is>
          <t>¼凯利</t>
        </is>
      </c>
    </row>
    <row r="1075">
      <c r="A1075" t="inlineStr">
        <is>
          <t>2022-09-07</t>
        </is>
      </c>
      <c r="B1075" t="inlineStr">
        <is>
          <t>玻璃</t>
        </is>
      </c>
      <c r="C1075" t="inlineStr">
        <is>
          <t>空</t>
        </is>
      </c>
      <c r="D1075" t="n">
        <v>3</v>
      </c>
      <c r="E1075" t="n">
        <v>6</v>
      </c>
      <c r="F1075" t="inlineStr">
        <is>
          <t>观望</t>
        </is>
      </c>
      <c r="G1075" t="n">
        <v>4</v>
      </c>
      <c r="H1075" t="n">
        <v>1465</v>
      </c>
      <c r="I1075" t="n">
        <v>1574.29</v>
      </c>
      <c r="J1075" t="n">
        <v>1.06</v>
      </c>
      <c r="K1075" t="inlineStr">
        <is>
          <t>逆5日线（收盘在5日线上，不追空）</t>
        </is>
      </c>
    </row>
    <row r="1076">
      <c r="A1076" t="inlineStr">
        <is>
          <t>2022-09-07</t>
        </is>
      </c>
      <c r="B1076" t="inlineStr">
        <is>
          <t>乙二醇</t>
        </is>
      </c>
      <c r="C1076" t="inlineStr">
        <is>
          <t>空</t>
        </is>
      </c>
      <c r="D1076" t="n">
        <v>3</v>
      </c>
      <c r="E1076" t="n">
        <v>6</v>
      </c>
      <c r="F1076" t="inlineStr">
        <is>
          <t>观望</t>
        </is>
      </c>
      <c r="G1076" t="n">
        <v>3</v>
      </c>
      <c r="H1076" t="n">
        <v>4306</v>
      </c>
      <c r="I1076" t="n">
        <v>4645.21</v>
      </c>
      <c r="J1076" t="n">
        <v>1.06</v>
      </c>
      <c r="K1076" t="inlineStr">
        <is>
          <t>逆5日线（收盘在5日线上，不追空）</t>
        </is>
      </c>
    </row>
    <row r="1077">
      <c r="A1077" t="inlineStr">
        <is>
          <t>2022-09-08</t>
        </is>
      </c>
      <c r="B1077" t="inlineStr">
        <is>
          <t>燃料油</t>
        </is>
      </c>
      <c r="C1077" t="inlineStr">
        <is>
          <t>空</t>
        </is>
      </c>
      <c r="D1077" t="n">
        <v>2</v>
      </c>
      <c r="E1077" t="n">
        <v>5</v>
      </c>
      <c r="F1077" t="inlineStr">
        <is>
          <t>影子仓</t>
        </is>
      </c>
      <c r="G1077" t="n">
        <v>2</v>
      </c>
      <c r="H1077" t="n">
        <v>2755</v>
      </c>
      <c r="I1077" t="n">
        <v>3123.79</v>
      </c>
      <c r="J1077" t="n">
        <v>1</v>
      </c>
      <c r="K1077" t="inlineStr">
        <is>
          <t>凯利≤0，开1%影子仓（只统计，不计入组合）</t>
        </is>
      </c>
    </row>
    <row r="1078">
      <c r="A1078" t="inlineStr">
        <is>
          <t>2022-09-08</t>
        </is>
      </c>
      <c r="B1078" t="inlineStr">
        <is>
          <t>玻璃</t>
        </is>
      </c>
      <c r="C1078" t="inlineStr">
        <is>
          <t>空</t>
        </is>
      </c>
      <c r="D1078" t="n">
        <v>2</v>
      </c>
      <c r="E1078" t="n">
        <v>4</v>
      </c>
      <c r="F1078" t="inlineStr">
        <is>
          <t>观望</t>
        </is>
      </c>
      <c r="G1078" t="n">
        <v>4</v>
      </c>
      <c r="H1078" t="n">
        <v>1487</v>
      </c>
      <c r="I1078" t="n">
        <v>1595.21</v>
      </c>
      <c r="J1078" t="n">
        <v>1</v>
      </c>
      <c r="K1078" t="inlineStr">
        <is>
          <t>逆5日线（收盘在5日线上，不追空）</t>
        </is>
      </c>
    </row>
    <row r="1079">
      <c r="A1079" t="inlineStr">
        <is>
          <t>2022-09-08</t>
        </is>
      </c>
      <c r="B1079" t="inlineStr">
        <is>
          <t>沪锌</t>
        </is>
      </c>
      <c r="C1079" t="inlineStr">
        <is>
          <t>多</t>
        </is>
      </c>
      <c r="D1079" t="n">
        <v>2</v>
      </c>
      <c r="E1079" t="n">
        <v>4</v>
      </c>
      <c r="F1079" t="inlineStr">
        <is>
          <t>影子仓</t>
        </is>
      </c>
      <c r="G1079" t="n">
        <v>1</v>
      </c>
      <c r="H1079" t="n">
        <v>24145</v>
      </c>
      <c r="I1079" t="n">
        <v>22504.64</v>
      </c>
      <c r="J1079" t="n">
        <v>1</v>
      </c>
      <c r="K1079" t="inlineStr">
        <is>
          <t>凯利≤0，开1%影子仓（只统计，不计入组合）</t>
        </is>
      </c>
    </row>
    <row r="1080">
      <c r="A1080" t="inlineStr">
        <is>
          <t>2022-09-09</t>
        </is>
      </c>
      <c r="B1080" t="inlineStr">
        <is>
          <t>燃料油</t>
        </is>
      </c>
      <c r="C1080" t="inlineStr">
        <is>
          <t>空</t>
        </is>
      </c>
      <c r="D1080" t="n">
        <v>3</v>
      </c>
      <c r="E1080" t="n">
        <v>7</v>
      </c>
      <c r="F1080" t="inlineStr">
        <is>
          <t>续持</t>
        </is>
      </c>
      <c r="G1080" t="n">
        <v>2</v>
      </c>
      <c r="H1080" t="n">
        <v>2751</v>
      </c>
      <c r="I1080" t="n">
        <v>3097.64</v>
      </c>
      <c r="J1080" t="n">
        <v>1</v>
      </c>
      <c r="K1080" t="inlineStr">
        <is>
          <t>续持原仓（2022-09-08开）</t>
        </is>
      </c>
    </row>
    <row r="1081">
      <c r="A1081" t="inlineStr">
        <is>
          <t>2022-09-09</t>
        </is>
      </c>
      <c r="B1081" t="inlineStr">
        <is>
          <t>豆油</t>
        </is>
      </c>
      <c r="C1081" t="inlineStr">
        <is>
          <t>多</t>
        </is>
      </c>
      <c r="D1081" t="n">
        <v>3</v>
      </c>
      <c r="E1081" t="n">
        <v>6</v>
      </c>
      <c r="F1081" t="inlineStr">
        <is>
          <t>观望</t>
        </is>
      </c>
      <c r="H1081" t="n">
        <v>9136</v>
      </c>
      <c r="J1081" t="n">
        <v>0</v>
      </c>
      <c r="K1081" t="inlineStr">
        <is>
          <t>逆5日线（收盘在5日线下，不追多）</t>
        </is>
      </c>
    </row>
    <row r="1082">
      <c r="A1082" t="inlineStr">
        <is>
          <t>2022-09-14</t>
        </is>
      </c>
      <c r="B1082" t="inlineStr">
        <is>
          <t>沪锌</t>
        </is>
      </c>
      <c r="C1082" t="inlineStr">
        <is>
          <t>多</t>
        </is>
      </c>
      <c r="D1082" t="n">
        <v>3</v>
      </c>
      <c r="E1082" t="n">
        <v>6</v>
      </c>
      <c r="F1082" t="inlineStr">
        <is>
          <t>开仓</t>
        </is>
      </c>
      <c r="G1082" t="n">
        <v>1</v>
      </c>
      <c r="H1082" t="n">
        <v>24760</v>
      </c>
      <c r="I1082" t="n">
        <v>23087.5</v>
      </c>
      <c r="J1082" t="n">
        <v>1.06</v>
      </c>
      <c r="K1082" t="inlineStr">
        <is>
          <t>组合风险已近10%，预算缩小</t>
        </is>
      </c>
    </row>
    <row r="1083">
      <c r="A1083" t="inlineStr">
        <is>
          <t>2022-09-14</t>
        </is>
      </c>
      <c r="B1083" t="inlineStr">
        <is>
          <t>PTA</t>
        </is>
      </c>
      <c r="C1083" t="inlineStr">
        <is>
          <t>空</t>
        </is>
      </c>
      <c r="D1083" t="n">
        <v>2</v>
      </c>
      <c r="E1083" t="n">
        <v>4</v>
      </c>
      <c r="F1083" t="inlineStr">
        <is>
          <t>观望</t>
        </is>
      </c>
      <c r="G1083" t="n">
        <v>3</v>
      </c>
      <c r="H1083" t="n">
        <v>5718</v>
      </c>
      <c r="I1083" t="n">
        <v>6234</v>
      </c>
      <c r="J1083" t="n">
        <v>1</v>
      </c>
      <c r="K1083" t="inlineStr">
        <is>
          <t>逆5日线（收盘在5日线上，不追空）</t>
        </is>
      </c>
    </row>
    <row r="1084">
      <c r="A1084" t="inlineStr">
        <is>
          <t>2022-09-15</t>
        </is>
      </c>
      <c r="B1084" t="inlineStr">
        <is>
          <t>燃料油</t>
        </is>
      </c>
      <c r="C1084" t="inlineStr">
        <is>
          <t>空</t>
        </is>
      </c>
      <c r="D1084" t="n">
        <v>3</v>
      </c>
      <c r="E1084" t="n">
        <v>6</v>
      </c>
      <c r="F1084" t="inlineStr">
        <is>
          <t>观望</t>
        </is>
      </c>
      <c r="H1084" t="n">
        <v>2852</v>
      </c>
      <c r="J1084" t="n">
        <v>0</v>
      </c>
      <c r="K1084" t="inlineStr">
        <is>
          <t>逆5日线（收盘在5日线上，不追空）</t>
        </is>
      </c>
    </row>
    <row r="1085">
      <c r="A1085" t="inlineStr">
        <is>
          <t>2022-09-15</t>
        </is>
      </c>
      <c r="B1085" t="inlineStr">
        <is>
          <t>PTA</t>
        </is>
      </c>
      <c r="C1085" t="inlineStr">
        <is>
          <t>空</t>
        </is>
      </c>
      <c r="D1085" t="n">
        <v>2</v>
      </c>
      <c r="E1085" t="n">
        <v>5</v>
      </c>
      <c r="F1085" t="inlineStr">
        <is>
          <t>观望</t>
        </is>
      </c>
      <c r="G1085" t="n">
        <v>3</v>
      </c>
      <c r="H1085" t="n">
        <v>5710</v>
      </c>
      <c r="I1085" t="n">
        <v>6231.57</v>
      </c>
      <c r="J1085" t="n">
        <v>1</v>
      </c>
      <c r="K1085" t="inlineStr">
        <is>
          <t>逆5日线（收盘在5日线上，不追空）</t>
        </is>
      </c>
    </row>
    <row r="1086">
      <c r="A1086" t="inlineStr">
        <is>
          <t>2022-09-15</t>
        </is>
      </c>
      <c r="B1086" t="inlineStr">
        <is>
          <t>沪锌</t>
        </is>
      </c>
      <c r="C1086" t="inlineStr">
        <is>
          <t>多</t>
        </is>
      </c>
      <c r="D1086" t="n">
        <v>2</v>
      </c>
      <c r="E1086" t="n">
        <v>4</v>
      </c>
      <c r="F1086" t="inlineStr">
        <is>
          <t>续持</t>
        </is>
      </c>
      <c r="G1086" t="n">
        <v>1</v>
      </c>
      <c r="H1086" t="n">
        <v>24675</v>
      </c>
      <c r="I1086" t="n">
        <v>23297.86</v>
      </c>
      <c r="J1086" t="n">
        <v>1.06</v>
      </c>
      <c r="K1086" t="inlineStr">
        <is>
          <t>续持原仓（2022-09-14开）</t>
        </is>
      </c>
    </row>
    <row r="1087">
      <c r="A1087" t="inlineStr">
        <is>
          <t>2022-09-16</t>
        </is>
      </c>
      <c r="B1087" t="inlineStr">
        <is>
          <t>硅铁</t>
        </is>
      </c>
      <c r="C1087" t="inlineStr">
        <is>
          <t>空</t>
        </is>
      </c>
      <c r="D1087" t="n">
        <v>2</v>
      </c>
      <c r="E1087" t="n">
        <v>4</v>
      </c>
      <c r="F1087" t="inlineStr">
        <is>
          <t>影子仓</t>
        </is>
      </c>
      <c r="G1087" t="n">
        <v>2</v>
      </c>
      <c r="H1087" t="n">
        <v>8054</v>
      </c>
      <c r="I1087" t="n">
        <v>8756</v>
      </c>
      <c r="J1087" t="n">
        <v>1</v>
      </c>
      <c r="K1087" t="inlineStr">
        <is>
          <t>凯利≤0，开1%影子仓（只统计，不计入组合）</t>
        </is>
      </c>
    </row>
    <row r="1088">
      <c r="A1088" t="inlineStr">
        <is>
          <t>2022-09-16</t>
        </is>
      </c>
      <c r="B1088" t="inlineStr">
        <is>
          <t>燃料油</t>
        </is>
      </c>
      <c r="C1088" t="inlineStr">
        <is>
          <t>空</t>
        </is>
      </c>
      <c r="D1088" t="n">
        <v>2</v>
      </c>
      <c r="E1088" t="n">
        <v>4</v>
      </c>
      <c r="F1088" t="inlineStr">
        <is>
          <t>影子仓</t>
        </is>
      </c>
      <c r="G1088" t="n">
        <v>2</v>
      </c>
      <c r="H1088" t="n">
        <v>2825</v>
      </c>
      <c r="I1088" t="n">
        <v>3171.5</v>
      </c>
      <c r="J1088" t="n">
        <v>1</v>
      </c>
      <c r="K1088" t="inlineStr">
        <is>
          <t>凯利≤0，开1%影子仓（只统计，不计入组合）</t>
        </is>
      </c>
    </row>
    <row r="1089">
      <c r="A1089" t="inlineStr">
        <is>
          <t>2022-09-16</t>
        </is>
      </c>
      <c r="B1089" t="inlineStr">
        <is>
          <t>甲醇</t>
        </is>
      </c>
      <c r="C1089" t="inlineStr">
        <is>
          <t>多</t>
        </is>
      </c>
      <c r="D1089" t="n">
        <v>2</v>
      </c>
      <c r="E1089" t="n">
        <v>4</v>
      </c>
      <c r="F1089" t="inlineStr">
        <is>
          <t>影子仓</t>
        </is>
      </c>
      <c r="G1089" t="n">
        <v>5</v>
      </c>
      <c r="H1089" t="n">
        <v>2749</v>
      </c>
      <c r="I1089" t="n">
        <v>2574.79</v>
      </c>
      <c r="J1089" t="n">
        <v>1</v>
      </c>
      <c r="K1089" t="inlineStr">
        <is>
          <t>凯利≤0，开1%影子仓（只统计，不计入组合）</t>
        </is>
      </c>
    </row>
    <row r="1090">
      <c r="A1090" t="inlineStr">
        <is>
          <t>2022-09-19</t>
        </is>
      </c>
      <c r="B1090" t="inlineStr">
        <is>
          <t>沪金</t>
        </is>
      </c>
      <c r="C1090" t="inlineStr">
        <is>
          <t>多</t>
        </is>
      </c>
      <c r="D1090" t="n">
        <v>2</v>
      </c>
      <c r="E1090" t="n">
        <v>5</v>
      </c>
      <c r="F1090" t="inlineStr">
        <is>
          <t>观望</t>
        </is>
      </c>
      <c r="G1090" t="n">
        <v>1</v>
      </c>
      <c r="H1090" t="n">
        <v>384.7</v>
      </c>
      <c r="I1090" t="n">
        <v>375.23</v>
      </c>
      <c r="J1090" t="n">
        <v>1</v>
      </c>
      <c r="K1090" t="inlineStr">
        <is>
          <t>逆5日线（收盘在5日线下，不追多）</t>
        </is>
      </c>
    </row>
    <row r="1091">
      <c r="A1091" t="inlineStr">
        <is>
          <t>2022-09-19</t>
        </is>
      </c>
      <c r="B1091" t="inlineStr">
        <is>
          <t>白糖</t>
        </is>
      </c>
      <c r="C1091" t="inlineStr">
        <is>
          <t>空</t>
        </is>
      </c>
      <c r="D1091" t="n">
        <v>2</v>
      </c>
      <c r="E1091" t="n">
        <v>5</v>
      </c>
      <c r="F1091" t="inlineStr">
        <is>
          <t>影子仓</t>
        </is>
      </c>
      <c r="G1091" t="n">
        <v>7</v>
      </c>
      <c r="H1091" t="n">
        <v>5591</v>
      </c>
      <c r="I1091" t="n">
        <v>5725.36</v>
      </c>
      <c r="J1091" t="n">
        <v>1</v>
      </c>
      <c r="K1091" t="inlineStr">
        <is>
          <t>凯利≤0，开1%影子仓（只统计，不计入组合）</t>
        </is>
      </c>
    </row>
    <row r="1092">
      <c r="A1092" t="inlineStr">
        <is>
          <t>2022-09-20</t>
        </is>
      </c>
      <c r="B1092" t="inlineStr">
        <is>
          <t>棉花</t>
        </is>
      </c>
      <c r="C1092" t="inlineStr">
        <is>
          <t>空</t>
        </is>
      </c>
      <c r="D1092" t="n">
        <v>3</v>
      </c>
      <c r="E1092" t="n">
        <v>6</v>
      </c>
      <c r="F1092" t="inlineStr">
        <is>
          <t>开仓</t>
        </is>
      </c>
      <c r="G1092" t="n">
        <v>2</v>
      </c>
      <c r="H1092" t="n">
        <v>14180</v>
      </c>
      <c r="I1092" t="n">
        <v>15171.07</v>
      </c>
      <c r="J1092" t="n">
        <v>1.06</v>
      </c>
      <c r="K1092" t="inlineStr">
        <is>
          <t>组合风险已近10%，预算缩小</t>
        </is>
      </c>
    </row>
    <row r="1093">
      <c r="A1093" t="inlineStr">
        <is>
          <t>2022-09-20</t>
        </is>
      </c>
      <c r="B1093" t="inlineStr">
        <is>
          <t>沪铝</t>
        </is>
      </c>
      <c r="C1093" t="inlineStr">
        <is>
          <t>空</t>
        </is>
      </c>
      <c r="D1093" t="n">
        <v>2</v>
      </c>
      <c r="E1093" t="n">
        <v>5</v>
      </c>
      <c r="F1093" t="inlineStr">
        <is>
          <t>影子仓</t>
        </is>
      </c>
      <c r="G1093" t="n">
        <v>1</v>
      </c>
      <c r="H1093" t="n">
        <v>18650</v>
      </c>
      <c r="I1093" t="n">
        <v>19745</v>
      </c>
      <c r="J1093" t="n">
        <v>1</v>
      </c>
      <c r="K1093" t="inlineStr">
        <is>
          <t>凯利≤0，开1%影子仓（只统计，不计入组合）</t>
        </is>
      </c>
    </row>
    <row r="1094">
      <c r="A1094" t="inlineStr">
        <is>
          <t>2022-09-21</t>
        </is>
      </c>
      <c r="B1094" t="inlineStr">
        <is>
          <t>棉花</t>
        </is>
      </c>
      <c r="C1094" t="inlineStr">
        <is>
          <t>空</t>
        </is>
      </c>
      <c r="D1094" t="n">
        <v>3</v>
      </c>
      <c r="E1094" t="n">
        <v>6</v>
      </c>
      <c r="F1094" t="inlineStr">
        <is>
          <t>续持</t>
        </is>
      </c>
      <c r="G1094" t="n">
        <v>2</v>
      </c>
      <c r="H1094" t="n">
        <v>14045</v>
      </c>
      <c r="I1094" t="n">
        <v>14916.79</v>
      </c>
      <c r="J1094" t="n">
        <v>1.06</v>
      </c>
      <c r="K1094" t="inlineStr">
        <is>
          <t>续持原仓（2022-09-20开）</t>
        </is>
      </c>
    </row>
    <row r="1095">
      <c r="A1095" t="inlineStr">
        <is>
          <t>2022-09-22</t>
        </is>
      </c>
      <c r="B1095" t="inlineStr">
        <is>
          <t>棉花</t>
        </is>
      </c>
      <c r="C1095" t="inlineStr">
        <is>
          <t>空</t>
        </is>
      </c>
      <c r="D1095" t="n">
        <v>2</v>
      </c>
      <c r="E1095" t="n">
        <v>4</v>
      </c>
      <c r="F1095" t="inlineStr">
        <is>
          <t>续持</t>
        </is>
      </c>
      <c r="G1095" t="n">
        <v>2</v>
      </c>
      <c r="H1095" t="n">
        <v>14205</v>
      </c>
      <c r="I1095" t="n">
        <v>14916.79</v>
      </c>
      <c r="J1095" t="n">
        <v>1.06</v>
      </c>
      <c r="K1095" t="inlineStr">
        <is>
          <t>续持原仓（2022-09-20开）</t>
        </is>
      </c>
    </row>
    <row r="1096">
      <c r="A1096" t="inlineStr">
        <is>
          <t>2022-09-23</t>
        </is>
      </c>
      <c r="B1096" t="inlineStr">
        <is>
          <t>沪银</t>
        </is>
      </c>
      <c r="C1096" t="inlineStr">
        <is>
          <t>多</t>
        </is>
      </c>
      <c r="D1096" t="n">
        <v>3</v>
      </c>
      <c r="E1096" t="n">
        <v>7</v>
      </c>
      <c r="F1096" t="inlineStr">
        <is>
          <t>不做</t>
        </is>
      </c>
      <c r="H1096" t="n">
        <v>4542</v>
      </c>
      <c r="J1096" t="n">
        <v>0</v>
      </c>
      <c r="K1096" t="inlineStr">
        <is>
          <t>组合风险已近10%，预算缩小</t>
        </is>
      </c>
    </row>
    <row r="1097">
      <c r="A1097" t="inlineStr">
        <is>
          <t>2022-09-23</t>
        </is>
      </c>
      <c r="B1097" t="inlineStr">
        <is>
          <t>棉花</t>
        </is>
      </c>
      <c r="C1097" t="inlineStr">
        <is>
          <t>空</t>
        </is>
      </c>
      <c r="D1097" t="n">
        <v>3</v>
      </c>
      <c r="E1097" t="n">
        <v>7</v>
      </c>
      <c r="F1097" t="inlineStr">
        <is>
          <t>续持</t>
        </is>
      </c>
      <c r="G1097" t="n">
        <v>2</v>
      </c>
      <c r="H1097" t="n">
        <v>13780</v>
      </c>
      <c r="I1097" t="n">
        <v>14675.36</v>
      </c>
      <c r="J1097" t="n">
        <v>1.06</v>
      </c>
      <c r="K1097" t="inlineStr">
        <is>
          <t>续持原仓（2022-09-20开）</t>
        </is>
      </c>
    </row>
    <row r="1098">
      <c r="A1098" t="inlineStr">
        <is>
          <t>2022-09-23</t>
        </is>
      </c>
      <c r="B1098" t="inlineStr">
        <is>
          <t>沪铝</t>
        </is>
      </c>
      <c r="C1098" t="inlineStr">
        <is>
          <t>空</t>
        </is>
      </c>
      <c r="D1098" t="n">
        <v>3</v>
      </c>
      <c r="E1098" t="n">
        <v>6</v>
      </c>
      <c r="F1098" t="inlineStr">
        <is>
          <t>续持</t>
        </is>
      </c>
      <c r="G1098" t="n">
        <v>1</v>
      </c>
      <c r="H1098" t="n">
        <v>18630</v>
      </c>
      <c r="I1098" t="n">
        <v>19467.86</v>
      </c>
      <c r="J1098" t="n">
        <v>1</v>
      </c>
      <c r="K1098" t="inlineStr">
        <is>
          <t>续持原仓（2022-09-20开）</t>
        </is>
      </c>
    </row>
    <row r="1099">
      <c r="A1099" t="inlineStr">
        <is>
          <t>2022-09-23</t>
        </is>
      </c>
      <c r="B1099" t="inlineStr">
        <is>
          <t>沪铜</t>
        </is>
      </c>
      <c r="C1099" t="inlineStr">
        <is>
          <t>空</t>
        </is>
      </c>
      <c r="D1099" t="n">
        <v>2</v>
      </c>
      <c r="E1099" t="n">
        <v>5</v>
      </c>
      <c r="F1099" t="inlineStr">
        <is>
          <t>不做</t>
        </is>
      </c>
      <c r="H1099" t="n">
        <v>62180</v>
      </c>
      <c r="J1099" t="n">
        <v>1</v>
      </c>
      <c r="K1099" t="inlineStr">
        <is>
          <t>1手风险15589元超过预算10000元</t>
        </is>
      </c>
    </row>
    <row r="1100">
      <c r="A1100" t="inlineStr">
        <is>
          <t>2022-09-26</t>
        </is>
      </c>
      <c r="B1100" t="inlineStr">
        <is>
          <t>棉花</t>
        </is>
      </c>
      <c r="C1100" t="inlineStr">
        <is>
          <t>空</t>
        </is>
      </c>
      <c r="D1100" t="n">
        <v>3</v>
      </c>
      <c r="E1100" t="n">
        <v>6</v>
      </c>
      <c r="F1100" t="inlineStr">
        <is>
          <t>续持</t>
        </is>
      </c>
      <c r="G1100" t="n">
        <v>2</v>
      </c>
      <c r="H1100" t="n">
        <v>13520</v>
      </c>
      <c r="I1100" t="n">
        <v>14335.36</v>
      </c>
      <c r="J1100" t="n">
        <v>1.06</v>
      </c>
      <c r="K1100" t="inlineStr">
        <is>
          <t>续持原仓（2022-09-20开）</t>
        </is>
      </c>
    </row>
    <row r="1101">
      <c r="A1101" t="inlineStr">
        <is>
          <t>2022-09-27</t>
        </is>
      </c>
      <c r="B1101" t="inlineStr">
        <is>
          <t>棉花</t>
        </is>
      </c>
      <c r="C1101" t="inlineStr">
        <is>
          <t>空</t>
        </is>
      </c>
      <c r="D1101" t="n">
        <v>3</v>
      </c>
      <c r="E1101" t="n">
        <v>6</v>
      </c>
      <c r="F1101" t="inlineStr">
        <is>
          <t>续持</t>
        </is>
      </c>
      <c r="G1101" t="n">
        <v>2</v>
      </c>
      <c r="H1101" t="n">
        <v>13450</v>
      </c>
      <c r="I1101" t="n">
        <v>14220</v>
      </c>
      <c r="J1101" t="n">
        <v>1.06</v>
      </c>
      <c r="K1101" t="inlineStr">
        <is>
          <t>续持原仓（2022-09-20开）</t>
        </is>
      </c>
    </row>
    <row r="1102">
      <c r="A1102" t="inlineStr">
        <is>
          <t>2022-09-27</t>
        </is>
      </c>
      <c r="B1102" t="inlineStr">
        <is>
          <t>燃料油</t>
        </is>
      </c>
      <c r="C1102" t="inlineStr">
        <is>
          <t>空</t>
        </is>
      </c>
      <c r="D1102" t="n">
        <v>2</v>
      </c>
      <c r="E1102" t="n">
        <v>4</v>
      </c>
      <c r="F1102" t="inlineStr">
        <is>
          <t>影子仓</t>
        </is>
      </c>
      <c r="G1102" t="n">
        <v>2</v>
      </c>
      <c r="H1102" t="n">
        <v>2654</v>
      </c>
      <c r="I1102" t="n">
        <v>3005</v>
      </c>
      <c r="J1102" t="n">
        <v>1</v>
      </c>
      <c r="K1102" t="inlineStr">
        <is>
          <t>凯利≤0，开1%影子仓（只统计，不计入组合）</t>
        </is>
      </c>
    </row>
    <row r="1103">
      <c r="A1103" t="inlineStr">
        <is>
          <t>2022-09-28</t>
        </is>
      </c>
      <c r="B1103" t="inlineStr">
        <is>
          <t>棉花</t>
        </is>
      </c>
      <c r="C1103" t="inlineStr">
        <is>
          <t>空</t>
        </is>
      </c>
      <c r="D1103" t="n">
        <v>3</v>
      </c>
      <c r="E1103" t="n">
        <v>6</v>
      </c>
      <c r="F1103" t="inlineStr">
        <is>
          <t>续持</t>
        </is>
      </c>
      <c r="G1103" t="n">
        <v>2</v>
      </c>
      <c r="H1103" t="n">
        <v>13220</v>
      </c>
      <c r="I1103" t="n">
        <v>14195.71</v>
      </c>
      <c r="J1103" t="n">
        <v>1.06</v>
      </c>
      <c r="K1103" t="inlineStr">
        <is>
          <t>续持原仓（2022-09-20开）</t>
        </is>
      </c>
    </row>
    <row r="1104">
      <c r="A1104" t="inlineStr">
        <is>
          <t>2022-09-28</t>
        </is>
      </c>
      <c r="B1104" t="inlineStr">
        <is>
          <t>PTA</t>
        </is>
      </c>
      <c r="C1104" t="inlineStr">
        <is>
          <t>空</t>
        </is>
      </c>
      <c r="D1104" t="n">
        <v>2</v>
      </c>
      <c r="E1104" t="n">
        <v>5</v>
      </c>
      <c r="F1104" t="inlineStr">
        <is>
          <t>影子仓</t>
        </is>
      </c>
      <c r="G1104" t="n">
        <v>4</v>
      </c>
      <c r="H1104" t="n">
        <v>5194</v>
      </c>
      <c r="I1104" t="n">
        <v>5671</v>
      </c>
      <c r="J1104" t="n">
        <v>1</v>
      </c>
      <c r="K1104" t="inlineStr">
        <is>
          <t>凯利≤0，开1%影子仓（只统计，不计入组合）</t>
        </is>
      </c>
    </row>
    <row r="1105">
      <c r="A1105" t="inlineStr">
        <is>
          <t>2022-09-28</t>
        </is>
      </c>
      <c r="B1105" t="inlineStr">
        <is>
          <t>燃料油</t>
        </is>
      </c>
      <c r="C1105" t="inlineStr">
        <is>
          <t>空</t>
        </is>
      </c>
      <c r="D1105" t="n">
        <v>2</v>
      </c>
      <c r="E1105" t="n">
        <v>4</v>
      </c>
      <c r="F1105" t="inlineStr">
        <is>
          <t>续持</t>
        </is>
      </c>
      <c r="G1105" t="n">
        <v>2</v>
      </c>
      <c r="H1105" t="n">
        <v>2653</v>
      </c>
      <c r="I1105" t="n">
        <v>2952.64</v>
      </c>
      <c r="J1105" t="n">
        <v>1</v>
      </c>
      <c r="K1105" t="inlineStr">
        <is>
          <t>续持原仓（2022-09-27开）</t>
        </is>
      </c>
    </row>
    <row r="1106">
      <c r="A1106" t="inlineStr">
        <is>
          <t>2022-09-29</t>
        </is>
      </c>
      <c r="B1106" t="inlineStr">
        <is>
          <t>沪银</t>
        </is>
      </c>
      <c r="C1106" t="inlineStr">
        <is>
          <t>多</t>
        </is>
      </c>
      <c r="D1106" t="n">
        <v>3</v>
      </c>
      <c r="E1106" t="n">
        <v>7</v>
      </c>
      <c r="F1106" t="inlineStr">
        <is>
          <t>观望</t>
        </is>
      </c>
      <c r="G1106" t="n">
        <v>5</v>
      </c>
      <c r="H1106" t="n">
        <v>4385</v>
      </c>
      <c r="I1106" t="n">
        <v>4058.43</v>
      </c>
      <c r="J1106" t="n">
        <v>2.74</v>
      </c>
      <c r="K1106" t="inlineStr">
        <is>
          <t>逆5日线（收盘在5日线下，不追多）</t>
        </is>
      </c>
    </row>
    <row r="1107">
      <c r="A1107" t="inlineStr">
        <is>
          <t>2022-09-29</t>
        </is>
      </c>
      <c r="B1107" t="inlineStr">
        <is>
          <t>纯碱</t>
        </is>
      </c>
      <c r="C1107" t="inlineStr">
        <is>
          <t>多</t>
        </is>
      </c>
      <c r="D1107" t="n">
        <v>2</v>
      </c>
      <c r="E1107" t="n">
        <v>5</v>
      </c>
      <c r="F1107" t="inlineStr">
        <is>
          <t>影子仓</t>
        </is>
      </c>
      <c r="G1107" t="n">
        <v>2</v>
      </c>
      <c r="H1107" t="n">
        <v>2488</v>
      </c>
      <c r="I1107" t="n">
        <v>2320.64</v>
      </c>
      <c r="J1107" t="n">
        <v>1</v>
      </c>
      <c r="K1107" t="inlineStr">
        <is>
          <t>凯利≤0，开1%影子仓（只统计，不计入组合）</t>
        </is>
      </c>
    </row>
    <row r="1108">
      <c r="A1108" t="inlineStr">
        <is>
          <t>2022-09-29</t>
        </is>
      </c>
      <c r="B1108" t="inlineStr">
        <is>
          <t>棉花</t>
        </is>
      </c>
      <c r="C1108" t="inlineStr">
        <is>
          <t>空</t>
        </is>
      </c>
      <c r="D1108" t="n">
        <v>2</v>
      </c>
      <c r="E1108" t="n">
        <v>4</v>
      </c>
      <c r="F1108" t="inlineStr">
        <is>
          <t>续持</t>
        </is>
      </c>
      <c r="G1108" t="n">
        <v>2</v>
      </c>
      <c r="H1108" t="n">
        <v>13395</v>
      </c>
      <c r="I1108" t="n">
        <v>14195.71</v>
      </c>
      <c r="J1108" t="n">
        <v>1.06</v>
      </c>
      <c r="K1108" t="inlineStr">
        <is>
          <t>续持原仓（2022-09-20开）</t>
        </is>
      </c>
    </row>
    <row r="1109">
      <c r="A1109" t="inlineStr">
        <is>
          <t>2022-09-29</t>
        </is>
      </c>
      <c r="B1109" t="inlineStr">
        <is>
          <t>硅铁</t>
        </is>
      </c>
      <c r="C1109" t="inlineStr">
        <is>
          <t>多</t>
        </is>
      </c>
      <c r="D1109" t="n">
        <v>2</v>
      </c>
      <c r="E1109" t="n">
        <v>4</v>
      </c>
      <c r="F1109" t="inlineStr">
        <is>
          <t>观望</t>
        </is>
      </c>
      <c r="G1109" t="n">
        <v>2</v>
      </c>
      <c r="H1109" t="n">
        <v>8304</v>
      </c>
      <c r="I1109" t="n">
        <v>7588.71</v>
      </c>
      <c r="J1109" t="n">
        <v>1</v>
      </c>
      <c r="K1109" t="inlineStr">
        <is>
          <t>逆5日线（收盘在5日线下，不追多）</t>
        </is>
      </c>
    </row>
    <row r="1110">
      <c r="A1110" t="inlineStr">
        <is>
          <t>2022-09-29</t>
        </is>
      </c>
      <c r="B1110" t="inlineStr">
        <is>
          <t>沪铜</t>
        </is>
      </c>
      <c r="C1110" t="inlineStr">
        <is>
          <t>多</t>
        </is>
      </c>
      <c r="D1110" t="n">
        <v>2</v>
      </c>
      <c r="E1110" t="n">
        <v>4</v>
      </c>
      <c r="F1110" t="inlineStr">
        <is>
          <t>不做</t>
        </is>
      </c>
      <c r="H1110" t="n">
        <v>60870</v>
      </c>
      <c r="J1110" t="n">
        <v>1</v>
      </c>
      <c r="K1110" t="inlineStr">
        <is>
          <t>1手风险16007元超过预算10000元</t>
        </is>
      </c>
    </row>
    <row r="1111">
      <c r="A1111" t="inlineStr">
        <is>
          <t>2022-09-30</t>
        </is>
      </c>
      <c r="B1111" t="inlineStr">
        <is>
          <t>燃料油</t>
        </is>
      </c>
      <c r="C1111" t="inlineStr">
        <is>
          <t>空</t>
        </is>
      </c>
      <c r="D1111" t="n">
        <v>3</v>
      </c>
      <c r="E1111" t="n">
        <v>6</v>
      </c>
      <c r="F1111" t="inlineStr">
        <is>
          <t>观望</t>
        </is>
      </c>
      <c r="G1111" t="n">
        <v>9</v>
      </c>
      <c r="H1111" t="n">
        <v>2727</v>
      </c>
      <c r="I1111" t="n">
        <v>3047.36</v>
      </c>
      <c r="J1111" t="n">
        <v>2.94</v>
      </c>
      <c r="K1111" t="inlineStr">
        <is>
          <t>逆5日线（收盘在5日线上，不追空）</t>
        </is>
      </c>
    </row>
    <row r="1112">
      <c r="A1112" t="inlineStr">
        <is>
          <t>2022-09-30</t>
        </is>
      </c>
      <c r="B1112" t="inlineStr">
        <is>
          <t>沪银</t>
        </is>
      </c>
      <c r="C1112" t="inlineStr">
        <is>
          <t>多</t>
        </is>
      </c>
      <c r="D1112" t="n">
        <v>3</v>
      </c>
      <c r="E1112" t="n">
        <v>6</v>
      </c>
      <c r="F1112" t="inlineStr">
        <is>
          <t>开仓</t>
        </is>
      </c>
      <c r="G1112" t="n">
        <v>6</v>
      </c>
      <c r="H1112" t="n">
        <v>4424</v>
      </c>
      <c r="I1112" t="n">
        <v>4101.29</v>
      </c>
      <c r="J1112" t="n">
        <v>2.94</v>
      </c>
      <c r="K1112" t="inlineStr">
        <is>
          <t>¼凯利</t>
        </is>
      </c>
    </row>
    <row r="1113">
      <c r="A1113" t="inlineStr">
        <is>
          <t>2022-09-30</t>
        </is>
      </c>
      <c r="B1113" t="inlineStr">
        <is>
          <t>纯碱</t>
        </is>
      </c>
      <c r="C1113" t="inlineStr">
        <is>
          <t>多</t>
        </is>
      </c>
      <c r="D1113" t="n">
        <v>2</v>
      </c>
      <c r="E1113" t="n">
        <v>5</v>
      </c>
      <c r="F1113" t="inlineStr">
        <is>
          <t>续持</t>
        </is>
      </c>
      <c r="G1113" t="n">
        <v>2</v>
      </c>
      <c r="H1113" t="n">
        <v>2537</v>
      </c>
      <c r="I1113" t="n">
        <v>2368.93</v>
      </c>
      <c r="J1113" t="n">
        <v>1</v>
      </c>
      <c r="K1113" t="inlineStr">
        <is>
          <t>续持原仓（2022-09-29开）</t>
        </is>
      </c>
    </row>
    <row r="1114">
      <c r="A1114" t="inlineStr">
        <is>
          <t>2022-09-30</t>
        </is>
      </c>
      <c r="B1114" t="inlineStr">
        <is>
          <t>沪铜</t>
        </is>
      </c>
      <c r="C1114" t="inlineStr">
        <is>
          <t>多</t>
        </is>
      </c>
      <c r="D1114" t="n">
        <v>2</v>
      </c>
      <c r="E1114" t="n">
        <v>4</v>
      </c>
      <c r="F1114" t="inlineStr">
        <is>
          <t>不做</t>
        </is>
      </c>
      <c r="H1114" t="n">
        <v>61320</v>
      </c>
      <c r="J1114" t="n">
        <v>1</v>
      </c>
      <c r="K1114" t="inlineStr">
        <is>
          <t>1手风险14754元超过预算10000元</t>
        </is>
      </c>
    </row>
    <row r="1115">
      <c r="A1115" t="inlineStr">
        <is>
          <t>2022-10-10</t>
        </is>
      </c>
      <c r="B1115" t="inlineStr">
        <is>
          <t>沪银</t>
        </is>
      </c>
      <c r="C1115" t="inlineStr">
        <is>
          <t>多</t>
        </is>
      </c>
      <c r="D1115" t="n">
        <v>3</v>
      </c>
      <c r="E1115" t="n">
        <v>6</v>
      </c>
      <c r="F1115" t="inlineStr">
        <is>
          <t>续持</t>
        </is>
      </c>
      <c r="G1115" t="n">
        <v>6</v>
      </c>
      <c r="H1115" t="n">
        <v>4544</v>
      </c>
      <c r="I1115" t="n">
        <v>4265.07</v>
      </c>
      <c r="J1115" t="n">
        <v>2.94</v>
      </c>
      <c r="K1115" t="inlineStr">
        <is>
          <t>续持原仓（2022-09-30开）</t>
        </is>
      </c>
    </row>
    <row r="1116">
      <c r="A1116" t="inlineStr">
        <is>
          <t>2022-10-11</t>
        </is>
      </c>
      <c r="B1116" t="inlineStr">
        <is>
          <t>沪银</t>
        </is>
      </c>
      <c r="C1116" t="inlineStr">
        <is>
          <t>多</t>
        </is>
      </c>
      <c r="D1116" t="n">
        <v>3</v>
      </c>
      <c r="E1116" t="n">
        <v>6</v>
      </c>
      <c r="F1116" t="inlineStr">
        <is>
          <t>续持</t>
        </is>
      </c>
      <c r="G1116" t="n">
        <v>6</v>
      </c>
      <c r="H1116" t="n">
        <v>4524</v>
      </c>
      <c r="I1116" t="n">
        <v>4275.79</v>
      </c>
      <c r="J1116" t="n">
        <v>2.94</v>
      </c>
      <c r="K1116" t="inlineStr">
        <is>
          <t>续持原仓（2022-09-30开）</t>
        </is>
      </c>
    </row>
    <row r="1117">
      <c r="A1117" t="inlineStr">
        <is>
          <t>2022-10-11</t>
        </is>
      </c>
      <c r="B1117" t="inlineStr">
        <is>
          <t>沪铜</t>
        </is>
      </c>
      <c r="C1117" t="inlineStr">
        <is>
          <t>多</t>
        </is>
      </c>
      <c r="D1117" t="n">
        <v>2</v>
      </c>
      <c r="E1117" t="n">
        <v>5</v>
      </c>
      <c r="F1117" t="inlineStr">
        <is>
          <t>不做</t>
        </is>
      </c>
      <c r="H1117" t="n">
        <v>62360</v>
      </c>
      <c r="J1117" t="n">
        <v>1</v>
      </c>
      <c r="K1117" t="inlineStr">
        <is>
          <t>1手风险15075元超过预算10000元</t>
        </is>
      </c>
    </row>
    <row r="1118">
      <c r="A1118" t="inlineStr">
        <is>
          <t>2022-10-12</t>
        </is>
      </c>
      <c r="B1118" t="inlineStr">
        <is>
          <t>沥青</t>
        </is>
      </c>
      <c r="C1118" t="inlineStr">
        <is>
          <t>多</t>
        </is>
      </c>
      <c r="D1118" t="n">
        <v>2</v>
      </c>
      <c r="E1118" t="n">
        <v>5</v>
      </c>
      <c r="F1118" t="inlineStr">
        <is>
          <t>影子仓</t>
        </is>
      </c>
      <c r="G1118" t="n">
        <v>3</v>
      </c>
      <c r="H1118" t="n">
        <v>4007</v>
      </c>
      <c r="I1118" t="n">
        <v>3712.36</v>
      </c>
      <c r="J1118" t="n">
        <v>1</v>
      </c>
      <c r="K1118" t="inlineStr">
        <is>
          <t>凯利≤0，开1%影子仓（只统计，不计入组合）</t>
        </is>
      </c>
    </row>
    <row r="1119">
      <c r="A1119" t="inlineStr">
        <is>
          <t>2022-10-13</t>
        </is>
      </c>
      <c r="B1119" t="inlineStr">
        <is>
          <t>热卷</t>
        </is>
      </c>
      <c r="C1119" t="inlineStr">
        <is>
          <t>空</t>
        </is>
      </c>
      <c r="D1119" t="n">
        <v>3</v>
      </c>
      <c r="E1119" t="n">
        <v>7</v>
      </c>
      <c r="F1119" t="inlineStr">
        <is>
          <t>开仓</t>
        </is>
      </c>
      <c r="G1119" t="n">
        <v>13</v>
      </c>
      <c r="H1119" t="n">
        <v>3722</v>
      </c>
      <c r="I1119" t="n">
        <v>3942.5</v>
      </c>
      <c r="J1119" t="n">
        <v>2.94</v>
      </c>
      <c r="K1119" t="inlineStr">
        <is>
          <t>¼凯利</t>
        </is>
      </c>
    </row>
    <row r="1120">
      <c r="A1120" t="inlineStr">
        <is>
          <t>2022-10-13</t>
        </is>
      </c>
      <c r="B1120" t="inlineStr">
        <is>
          <t>PTA</t>
        </is>
      </c>
      <c r="C1120" t="inlineStr">
        <is>
          <t>空</t>
        </is>
      </c>
      <c r="D1120" t="n">
        <v>2</v>
      </c>
      <c r="E1120" t="n">
        <v>4</v>
      </c>
      <c r="F1120" t="inlineStr">
        <is>
          <t>影子仓</t>
        </is>
      </c>
      <c r="G1120" t="n">
        <v>3</v>
      </c>
      <c r="H1120" t="n">
        <v>5444</v>
      </c>
      <c r="I1120" t="n">
        <v>5966</v>
      </c>
      <c r="J1120" t="n">
        <v>1</v>
      </c>
      <c r="K1120" t="inlineStr">
        <is>
          <t>凯利≤0，开1%影子仓（只统计，不计入组合）</t>
        </is>
      </c>
    </row>
    <row r="1121">
      <c r="A1121" t="inlineStr">
        <is>
          <t>2022-10-13</t>
        </is>
      </c>
      <c r="B1121" t="inlineStr">
        <is>
          <t>沪铜</t>
        </is>
      </c>
      <c r="C1121" t="inlineStr">
        <is>
          <t>多</t>
        </is>
      </c>
      <c r="D1121" t="n">
        <v>2</v>
      </c>
      <c r="E1121" t="n">
        <v>4</v>
      </c>
      <c r="F1121" t="inlineStr">
        <is>
          <t>不做</t>
        </is>
      </c>
      <c r="H1121" t="n">
        <v>62340</v>
      </c>
      <c r="J1121" t="n">
        <v>1</v>
      </c>
      <c r="K1121" t="inlineStr">
        <is>
          <t>1手风险15000元超过预算10000元</t>
        </is>
      </c>
    </row>
    <row r="1122">
      <c r="A1122" t="inlineStr">
        <is>
          <t>2022-10-14</t>
        </is>
      </c>
      <c r="B1122" t="inlineStr">
        <is>
          <t>热卷</t>
        </is>
      </c>
      <c r="C1122" t="inlineStr">
        <is>
          <t>空</t>
        </is>
      </c>
      <c r="D1122" t="n">
        <v>2</v>
      </c>
      <c r="E1122" t="n">
        <v>5</v>
      </c>
      <c r="F1122" t="inlineStr">
        <is>
          <t>续持</t>
        </is>
      </c>
      <c r="G1122" t="n">
        <v>13</v>
      </c>
      <c r="H1122" t="n">
        <v>3762</v>
      </c>
      <c r="I1122" t="n">
        <v>3916.57</v>
      </c>
      <c r="J1122" t="n">
        <v>2.94</v>
      </c>
      <c r="K1122" t="inlineStr">
        <is>
          <t>续持原仓（2022-10-13开）</t>
        </is>
      </c>
    </row>
    <row r="1123">
      <c r="A1123" t="inlineStr">
        <is>
          <t>2022-10-14</t>
        </is>
      </c>
      <c r="B1123" t="inlineStr">
        <is>
          <t>沪铜</t>
        </is>
      </c>
      <c r="C1123" t="inlineStr">
        <is>
          <t>多</t>
        </is>
      </c>
      <c r="D1123" t="n">
        <v>2</v>
      </c>
      <c r="E1123" t="n">
        <v>4</v>
      </c>
      <c r="F1123" t="inlineStr">
        <is>
          <t>不做</t>
        </is>
      </c>
      <c r="H1123" t="n">
        <v>63700</v>
      </c>
      <c r="J1123" t="n">
        <v>1</v>
      </c>
      <c r="K1123" t="inlineStr">
        <is>
          <t>1手风险15654元超过预算10000元</t>
        </is>
      </c>
    </row>
    <row r="1124">
      <c r="A1124" t="inlineStr">
        <is>
          <t>2022-10-17</t>
        </is>
      </c>
      <c r="B1124" t="inlineStr">
        <is>
          <t>燃料油</t>
        </is>
      </c>
      <c r="C1124" t="inlineStr">
        <is>
          <t>空</t>
        </is>
      </c>
      <c r="D1124" t="n">
        <v>3</v>
      </c>
      <c r="E1124" t="n">
        <v>6</v>
      </c>
      <c r="F1124" t="inlineStr">
        <is>
          <t>开仓</t>
        </is>
      </c>
      <c r="G1124" t="n">
        <v>3</v>
      </c>
      <c r="H1124" t="n">
        <v>2646</v>
      </c>
      <c r="I1124" t="n">
        <v>3015.21</v>
      </c>
      <c r="J1124" t="n">
        <v>1.12</v>
      </c>
      <c r="K1124" t="inlineStr">
        <is>
          <t>组合风险已近10%，预算缩小</t>
        </is>
      </c>
    </row>
    <row r="1125">
      <c r="A1125" t="inlineStr">
        <is>
          <t>2022-10-17</t>
        </is>
      </c>
      <c r="B1125" t="inlineStr">
        <is>
          <t>热卷</t>
        </is>
      </c>
      <c r="C1125" t="inlineStr">
        <is>
          <t>空</t>
        </is>
      </c>
      <c r="D1125" t="n">
        <v>3</v>
      </c>
      <c r="E1125" t="n">
        <v>6</v>
      </c>
      <c r="F1125" t="inlineStr">
        <is>
          <t>续持</t>
        </is>
      </c>
      <c r="G1125" t="n">
        <v>13</v>
      </c>
      <c r="H1125" t="n">
        <v>3688</v>
      </c>
      <c r="I1125" t="n">
        <v>3898.29</v>
      </c>
      <c r="J1125" t="n">
        <v>2.94</v>
      </c>
      <c r="K1125" t="inlineStr">
        <is>
          <t>续持原仓（2022-10-13开）</t>
        </is>
      </c>
    </row>
    <row r="1126">
      <c r="A1126" t="inlineStr">
        <is>
          <t>2022-10-17</t>
        </is>
      </c>
      <c r="B1126" t="inlineStr">
        <is>
          <t>沪铝</t>
        </is>
      </c>
      <c r="C1126" t="inlineStr">
        <is>
          <t>空</t>
        </is>
      </c>
      <c r="D1126" t="n">
        <v>2</v>
      </c>
      <c r="E1126" t="n">
        <v>5</v>
      </c>
      <c r="F1126" t="inlineStr">
        <is>
          <t>影子仓</t>
        </is>
      </c>
      <c r="G1126" t="n">
        <v>1</v>
      </c>
      <c r="H1126" t="n">
        <v>18435</v>
      </c>
      <c r="I1126" t="n">
        <v>19568.57</v>
      </c>
      <c r="J1126" t="n">
        <v>1</v>
      </c>
      <c r="K1126" t="inlineStr">
        <is>
          <t>凯利≤0，开1%影子仓（只统计，不计入组合）</t>
        </is>
      </c>
    </row>
    <row r="1127">
      <c r="A1127" t="inlineStr">
        <is>
          <t>2022-10-17</t>
        </is>
      </c>
      <c r="B1127" t="inlineStr">
        <is>
          <t>螺纹钢</t>
        </is>
      </c>
      <c r="C1127" t="inlineStr">
        <is>
          <t>空</t>
        </is>
      </c>
      <c r="D1127" t="n">
        <v>2</v>
      </c>
      <c r="E1127" t="n">
        <v>4</v>
      </c>
      <c r="F1127" t="inlineStr">
        <is>
          <t>影子仓</t>
        </is>
      </c>
      <c r="G1127" t="n">
        <v>4</v>
      </c>
      <c r="H1127" t="n">
        <v>3675</v>
      </c>
      <c r="I1127" t="n">
        <v>3906</v>
      </c>
      <c r="J1127" t="n">
        <v>1</v>
      </c>
      <c r="K1127" t="inlineStr">
        <is>
          <t>凯利≤0，开1%影子仓（只统计，不计入组合）</t>
        </is>
      </c>
    </row>
    <row r="1128">
      <c r="A1128" t="inlineStr">
        <is>
          <t>2022-10-17</t>
        </is>
      </c>
      <c r="B1128" t="inlineStr">
        <is>
          <t>沪镍</t>
        </is>
      </c>
      <c r="C1128" t="inlineStr">
        <is>
          <t>空</t>
        </is>
      </c>
      <c r="D1128" t="n">
        <v>2</v>
      </c>
      <c r="E1128" t="n">
        <v>4</v>
      </c>
      <c r="F1128" t="inlineStr">
        <is>
          <t>不做</t>
        </is>
      </c>
      <c r="H1128" t="n">
        <v>181810</v>
      </c>
      <c r="J1128" t="n">
        <v>1</v>
      </c>
      <c r="K1128" t="inlineStr">
        <is>
          <t>1手风险23173元超过预算10000元</t>
        </is>
      </c>
    </row>
    <row r="1129">
      <c r="A1129" t="inlineStr">
        <is>
          <t>2022-10-18</t>
        </is>
      </c>
      <c r="B1129" t="inlineStr">
        <is>
          <t>豆油</t>
        </is>
      </c>
      <c r="C1129" t="inlineStr">
        <is>
          <t>多</t>
        </is>
      </c>
      <c r="D1129" t="n">
        <v>3</v>
      </c>
      <c r="E1129" t="n">
        <v>6</v>
      </c>
      <c r="F1129" t="inlineStr">
        <is>
          <t>开仓</t>
        </is>
      </c>
      <c r="G1129" t="n">
        <v>4</v>
      </c>
      <c r="H1129" t="n">
        <v>9480</v>
      </c>
      <c r="I1129" t="n">
        <v>8757.43</v>
      </c>
      <c r="J1129" t="n">
        <v>2.94</v>
      </c>
      <c r="K1129" t="inlineStr">
        <is>
          <t>组合风险已近10%，预算缩小</t>
        </is>
      </c>
    </row>
    <row r="1130">
      <c r="A1130" t="inlineStr">
        <is>
          <t>2022-10-18</t>
        </is>
      </c>
      <c r="B1130" t="inlineStr">
        <is>
          <t>棉花</t>
        </is>
      </c>
      <c r="C1130" t="inlineStr">
        <is>
          <t>空</t>
        </is>
      </c>
      <c r="D1130" t="n">
        <v>3</v>
      </c>
      <c r="E1130" t="n">
        <v>6</v>
      </c>
      <c r="F1130" t="inlineStr">
        <is>
          <t>不做</t>
        </is>
      </c>
      <c r="H1130" t="n">
        <v>13615</v>
      </c>
      <c r="J1130" t="n">
        <v>0</v>
      </c>
      <c r="K1130" t="inlineStr">
        <is>
          <t>组合风险已近10%，预算缩小</t>
        </is>
      </c>
    </row>
    <row r="1131">
      <c r="A1131" t="inlineStr">
        <is>
          <t>2022-10-18</t>
        </is>
      </c>
      <c r="B1131" t="inlineStr">
        <is>
          <t>沪镍</t>
        </is>
      </c>
      <c r="C1131" t="inlineStr">
        <is>
          <t>空</t>
        </is>
      </c>
      <c r="D1131" t="n">
        <v>3</v>
      </c>
      <c r="E1131" t="n">
        <v>6</v>
      </c>
      <c r="F1131" t="inlineStr">
        <is>
          <t>不做</t>
        </is>
      </c>
      <c r="H1131" t="n">
        <v>180100</v>
      </c>
      <c r="J1131" t="n">
        <v>0</v>
      </c>
      <c r="K1131" t="inlineStr">
        <is>
          <t>组合风险已近10%，预算缩小</t>
        </is>
      </c>
    </row>
    <row r="1132">
      <c r="A1132" t="inlineStr">
        <is>
          <t>2022-10-18</t>
        </is>
      </c>
      <c r="B1132" t="inlineStr">
        <is>
          <t>聚丙烯</t>
        </is>
      </c>
      <c r="C1132" t="inlineStr">
        <is>
          <t>空</t>
        </is>
      </c>
      <c r="D1132" t="n">
        <v>2</v>
      </c>
      <c r="E1132" t="n">
        <v>5</v>
      </c>
      <c r="F1132" t="inlineStr">
        <is>
          <t>影子仓</t>
        </is>
      </c>
      <c r="G1132" t="n">
        <v>4</v>
      </c>
      <c r="H1132" t="n">
        <v>7630</v>
      </c>
      <c r="I1132" t="n">
        <v>8065.21</v>
      </c>
      <c r="J1132" t="n">
        <v>1</v>
      </c>
      <c r="K1132" t="inlineStr">
        <is>
          <t>凯利≤0，开1%影子仓（只统计，不计入组合）</t>
        </is>
      </c>
    </row>
    <row r="1133">
      <c r="A1133" t="inlineStr">
        <is>
          <t>2022-10-18</t>
        </is>
      </c>
      <c r="B1133" t="inlineStr">
        <is>
          <t>沪铝</t>
        </is>
      </c>
      <c r="C1133" t="inlineStr">
        <is>
          <t>空</t>
        </is>
      </c>
      <c r="D1133" t="n">
        <v>2</v>
      </c>
      <c r="E1133" t="n">
        <v>5</v>
      </c>
      <c r="F1133" t="inlineStr">
        <is>
          <t>续持</t>
        </is>
      </c>
      <c r="G1133" t="n">
        <v>1</v>
      </c>
      <c r="H1133" t="n">
        <v>18315</v>
      </c>
      <c r="I1133" t="n">
        <v>19346.43</v>
      </c>
      <c r="J1133" t="n">
        <v>1</v>
      </c>
      <c r="K1133" t="inlineStr">
        <is>
          <t>续持原仓（2022-10-17开）</t>
        </is>
      </c>
    </row>
    <row r="1134">
      <c r="A1134" t="inlineStr">
        <is>
          <t>2022-10-18</t>
        </is>
      </c>
      <c r="B1134" t="inlineStr">
        <is>
          <t>乙二醇</t>
        </is>
      </c>
      <c r="C1134" t="inlineStr">
        <is>
          <t>空</t>
        </is>
      </c>
      <c r="D1134" t="n">
        <v>2</v>
      </c>
      <c r="E1134" t="n">
        <v>4</v>
      </c>
      <c r="F1134" t="inlineStr">
        <is>
          <t>影子仓</t>
        </is>
      </c>
      <c r="G1134" t="n">
        <v>3</v>
      </c>
      <c r="H1134" t="n">
        <v>4057</v>
      </c>
      <c r="I1134" t="n">
        <v>4370.71</v>
      </c>
      <c r="J1134" t="n">
        <v>1</v>
      </c>
      <c r="K1134" t="inlineStr">
        <is>
          <t>凯利≤0，开1%影子仓（只统计，不计入组合）</t>
        </is>
      </c>
    </row>
    <row r="1135">
      <c r="A1135" t="inlineStr">
        <is>
          <t>2022-10-19</t>
        </is>
      </c>
      <c r="B1135" t="inlineStr">
        <is>
          <t>棉花</t>
        </is>
      </c>
      <c r="C1135" t="inlineStr">
        <is>
          <t>空</t>
        </is>
      </c>
      <c r="D1135" t="n">
        <v>3</v>
      </c>
      <c r="E1135" t="n">
        <v>7</v>
      </c>
      <c r="F1135" t="inlineStr">
        <is>
          <t>开仓</t>
        </is>
      </c>
      <c r="G1135" t="n">
        <v>5</v>
      </c>
      <c r="H1135" t="n">
        <v>13510</v>
      </c>
      <c r="I1135" t="n">
        <v>14527.86</v>
      </c>
      <c r="J1135" t="n">
        <v>3</v>
      </c>
      <c r="K1135" t="inlineStr">
        <is>
          <t>¼凯利超上限，取3%</t>
        </is>
      </c>
    </row>
    <row r="1136">
      <c r="A1136" t="inlineStr">
        <is>
          <t>2022-10-19</t>
        </is>
      </c>
      <c r="B1136" t="inlineStr">
        <is>
          <t>乙二醇</t>
        </is>
      </c>
      <c r="C1136" t="inlineStr">
        <is>
          <t>空</t>
        </is>
      </c>
      <c r="D1136" t="n">
        <v>3</v>
      </c>
      <c r="E1136" t="n">
        <v>6</v>
      </c>
      <c r="F1136" t="inlineStr">
        <is>
          <t>续持</t>
        </is>
      </c>
      <c r="G1136" t="n">
        <v>3</v>
      </c>
      <c r="H1136" t="n">
        <v>3984</v>
      </c>
      <c r="I1136" t="n">
        <v>4277.21</v>
      </c>
      <c r="J1136" t="n">
        <v>1</v>
      </c>
      <c r="K1136" t="inlineStr">
        <is>
          <t>续持原仓（2022-10-18开）</t>
        </is>
      </c>
    </row>
    <row r="1137">
      <c r="A1137" t="inlineStr">
        <is>
          <t>2022-10-19</t>
        </is>
      </c>
      <c r="B1137" t="inlineStr">
        <is>
          <t>豆油</t>
        </is>
      </c>
      <c r="C1137" t="inlineStr">
        <is>
          <t>多</t>
        </is>
      </c>
      <c r="D1137" t="n">
        <v>2</v>
      </c>
      <c r="E1137" t="n">
        <v>5</v>
      </c>
      <c r="F1137" t="inlineStr">
        <is>
          <t>续持</t>
        </is>
      </c>
      <c r="G1137" t="n">
        <v>4</v>
      </c>
      <c r="H1137" t="n">
        <v>9540</v>
      </c>
      <c r="I1137" t="n">
        <v>8896.290000000001</v>
      </c>
      <c r="J1137" t="n">
        <v>2.94</v>
      </c>
      <c r="K1137" t="inlineStr">
        <is>
          <t>续持原仓（2022-10-18开）</t>
        </is>
      </c>
    </row>
    <row r="1138">
      <c r="A1138" t="inlineStr">
        <is>
          <t>2022-10-19</t>
        </is>
      </c>
      <c r="B1138" t="inlineStr">
        <is>
          <t>白糖</t>
        </is>
      </c>
      <c r="C1138" t="inlineStr">
        <is>
          <t>空</t>
        </is>
      </c>
      <c r="D1138" t="n">
        <v>2</v>
      </c>
      <c r="E1138" t="n">
        <v>5</v>
      </c>
      <c r="F1138" t="inlineStr">
        <is>
          <t>观望</t>
        </is>
      </c>
      <c r="G1138" t="n">
        <v>5</v>
      </c>
      <c r="H1138" t="n">
        <v>5646</v>
      </c>
      <c r="I1138" t="n">
        <v>5821.71</v>
      </c>
      <c r="J1138" t="n">
        <v>1</v>
      </c>
      <c r="K1138" t="inlineStr">
        <is>
          <t>逆5日线（收盘在5日线上，不追空）</t>
        </is>
      </c>
    </row>
    <row r="1139">
      <c r="A1139" t="inlineStr">
        <is>
          <t>2022-10-19</t>
        </is>
      </c>
      <c r="B1139" t="inlineStr">
        <is>
          <t>螺纹钢</t>
        </is>
      </c>
      <c r="C1139" t="inlineStr">
        <is>
          <t>空</t>
        </is>
      </c>
      <c r="D1139" t="n">
        <v>2</v>
      </c>
      <c r="E1139" t="n">
        <v>5</v>
      </c>
      <c r="F1139" t="inlineStr">
        <is>
          <t>续持</t>
        </is>
      </c>
      <c r="G1139" t="n">
        <v>4</v>
      </c>
      <c r="H1139" t="n">
        <v>3647</v>
      </c>
      <c r="I1139" t="n">
        <v>3854.64</v>
      </c>
      <c r="J1139" t="n">
        <v>1</v>
      </c>
      <c r="K1139" t="inlineStr">
        <is>
          <t>续持原仓（2022-10-17开）</t>
        </is>
      </c>
    </row>
    <row r="1140">
      <c r="A1140" t="inlineStr">
        <is>
          <t>2022-10-19</t>
        </is>
      </c>
      <c r="B1140" t="inlineStr">
        <is>
          <t>聚丙烯</t>
        </is>
      </c>
      <c r="C1140" t="inlineStr">
        <is>
          <t>空</t>
        </is>
      </c>
      <c r="D1140" t="n">
        <v>2</v>
      </c>
      <c r="E1140" t="n">
        <v>4</v>
      </c>
      <c r="F1140" t="inlineStr">
        <is>
          <t>续持</t>
        </is>
      </c>
      <c r="G1140" t="n">
        <v>4</v>
      </c>
      <c r="H1140" t="n">
        <v>7605</v>
      </c>
      <c r="I1140" t="n">
        <v>7976.29</v>
      </c>
      <c r="J1140" t="n">
        <v>1</v>
      </c>
      <c r="K1140" t="inlineStr">
        <is>
          <t>续持原仓（2022-10-18开）</t>
        </is>
      </c>
    </row>
    <row r="1141">
      <c r="A1141" t="inlineStr">
        <is>
          <t>2022-10-20</t>
        </is>
      </c>
      <c r="B1141" t="inlineStr">
        <is>
          <t>热卷</t>
        </is>
      </c>
      <c r="C1141" t="inlineStr">
        <is>
          <t>空</t>
        </is>
      </c>
      <c r="D1141" t="n">
        <v>3</v>
      </c>
      <c r="E1141" t="n">
        <v>7</v>
      </c>
      <c r="F1141" t="inlineStr">
        <is>
          <t>开仓</t>
        </is>
      </c>
      <c r="G1141" t="n">
        <v>12</v>
      </c>
      <c r="H1141" t="n">
        <v>3612</v>
      </c>
      <c r="I1141" t="n">
        <v>3839.36</v>
      </c>
      <c r="J1141" t="n">
        <v>2.94</v>
      </c>
      <c r="K1141" t="inlineStr">
        <is>
          <t>组合风险已近10%，预算缩小</t>
        </is>
      </c>
    </row>
    <row r="1142">
      <c r="A1142" t="inlineStr">
        <is>
          <t>2022-10-20</t>
        </is>
      </c>
      <c r="B1142" t="inlineStr">
        <is>
          <t>棉花</t>
        </is>
      </c>
      <c r="C1142" t="inlineStr">
        <is>
          <t>空</t>
        </is>
      </c>
      <c r="D1142" t="n">
        <v>3</v>
      </c>
      <c r="E1142" t="n">
        <v>7</v>
      </c>
      <c r="F1142" t="inlineStr">
        <is>
          <t>续持</t>
        </is>
      </c>
      <c r="G1142" t="n">
        <v>5</v>
      </c>
      <c r="H1142" t="n">
        <v>13200</v>
      </c>
      <c r="I1142" t="n">
        <v>14128.57</v>
      </c>
      <c r="J1142" t="n">
        <v>3</v>
      </c>
      <c r="K1142" t="inlineStr">
        <is>
          <t>续持原仓（2022-10-19开）</t>
        </is>
      </c>
    </row>
    <row r="1143">
      <c r="A1143" t="inlineStr">
        <is>
          <t>2022-10-20</t>
        </is>
      </c>
      <c r="B1143" t="inlineStr">
        <is>
          <t>铁矿石</t>
        </is>
      </c>
      <c r="C1143" t="inlineStr">
        <is>
          <t>空</t>
        </is>
      </c>
      <c r="D1143" t="n">
        <v>3</v>
      </c>
      <c r="E1143" t="n">
        <v>6</v>
      </c>
      <c r="F1143" t="inlineStr">
        <is>
          <t>不做</t>
        </is>
      </c>
      <c r="H1143" t="n">
        <v>667</v>
      </c>
      <c r="J1143" t="n">
        <v>0</v>
      </c>
      <c r="K1143" t="inlineStr">
        <is>
          <t>组合风险已近10%，预算缩小</t>
        </is>
      </c>
    </row>
    <row r="1144">
      <c r="A1144" t="inlineStr">
        <is>
          <t>2022-10-20</t>
        </is>
      </c>
      <c r="B1144" t="inlineStr">
        <is>
          <t>棕榈油</t>
        </is>
      </c>
      <c r="C1144" t="inlineStr">
        <is>
          <t>多</t>
        </is>
      </c>
      <c r="D1144" t="n">
        <v>2</v>
      </c>
      <c r="E1144" t="n">
        <v>5</v>
      </c>
      <c r="F1144" t="inlineStr">
        <is>
          <t>影子仓</t>
        </is>
      </c>
      <c r="G1144" t="n">
        <v>1</v>
      </c>
      <c r="H1144" t="n">
        <v>8204</v>
      </c>
      <c r="I1144" t="n">
        <v>7300.57</v>
      </c>
      <c r="J1144" t="n">
        <v>1</v>
      </c>
      <c r="K1144" t="inlineStr">
        <is>
          <t>凯利≤0，开1%影子仓（只统计，不计入组合）</t>
        </is>
      </c>
    </row>
    <row r="1145">
      <c r="A1145" t="inlineStr">
        <is>
          <t>2022-10-20</t>
        </is>
      </c>
      <c r="B1145" t="inlineStr">
        <is>
          <t>纯碱</t>
        </is>
      </c>
      <c r="C1145" t="inlineStr">
        <is>
          <t>空</t>
        </is>
      </c>
      <c r="D1145" t="n">
        <v>2</v>
      </c>
      <c r="E1145" t="n">
        <v>5</v>
      </c>
      <c r="F1145" t="inlineStr">
        <is>
          <t>影子仓</t>
        </is>
      </c>
      <c r="G1145" t="n">
        <v>3</v>
      </c>
      <c r="H1145" t="n">
        <v>2436</v>
      </c>
      <c r="I1145" t="n">
        <v>2591.14</v>
      </c>
      <c r="J1145" t="n">
        <v>1</v>
      </c>
      <c r="K1145" t="inlineStr">
        <is>
          <t>凯利≤0，开1%影子仓（只统计，不计入组合）</t>
        </is>
      </c>
    </row>
    <row r="1146">
      <c r="A1146" t="inlineStr">
        <is>
          <t>2022-10-20</t>
        </is>
      </c>
      <c r="B1146" t="inlineStr">
        <is>
          <t>沥青</t>
        </is>
      </c>
      <c r="C1146" t="inlineStr">
        <is>
          <t>空</t>
        </is>
      </c>
      <c r="D1146" t="n">
        <v>2</v>
      </c>
      <c r="E1146" t="n">
        <v>5</v>
      </c>
      <c r="F1146" t="inlineStr">
        <is>
          <t>影子仓</t>
        </is>
      </c>
      <c r="G1146" t="n">
        <v>3</v>
      </c>
      <c r="H1146" t="n">
        <v>3845</v>
      </c>
      <c r="I1146" t="n">
        <v>4134.71</v>
      </c>
      <c r="J1146" t="n">
        <v>1</v>
      </c>
      <c r="K1146" t="inlineStr">
        <is>
          <t>凯利≤0，开1%影子仓（只统计，不计入组合）</t>
        </is>
      </c>
    </row>
    <row r="1147">
      <c r="A1147" t="inlineStr">
        <is>
          <t>2022-10-20</t>
        </is>
      </c>
      <c r="B1147" t="inlineStr">
        <is>
          <t>PTA</t>
        </is>
      </c>
      <c r="C1147" t="inlineStr">
        <is>
          <t>多</t>
        </is>
      </c>
      <c r="D1147" t="n">
        <v>2</v>
      </c>
      <c r="E1147" t="n">
        <v>4</v>
      </c>
      <c r="F1147" t="inlineStr">
        <is>
          <t>观望</t>
        </is>
      </c>
      <c r="G1147" t="n">
        <v>3</v>
      </c>
      <c r="H1147" t="n">
        <v>5416</v>
      </c>
      <c r="I1147" t="n">
        <v>4915</v>
      </c>
      <c r="J1147" t="n">
        <v>1</v>
      </c>
      <c r="K1147" t="inlineStr">
        <is>
          <t>逆5日线（收盘在5日线下，不追多）</t>
        </is>
      </c>
    </row>
    <row r="1148">
      <c r="A1148" t="inlineStr">
        <is>
          <t>2022-10-21</t>
        </is>
      </c>
      <c r="B1148" t="inlineStr">
        <is>
          <t>豆油</t>
        </is>
      </c>
      <c r="C1148" t="inlineStr">
        <is>
          <t>多</t>
        </is>
      </c>
      <c r="D1148" t="n">
        <v>3</v>
      </c>
      <c r="E1148" t="n">
        <v>6</v>
      </c>
      <c r="F1148" t="inlineStr">
        <is>
          <t>开仓</t>
        </is>
      </c>
      <c r="G1148" t="n">
        <v>4</v>
      </c>
      <c r="H1148" t="n">
        <v>9594</v>
      </c>
      <c r="I1148" t="n">
        <v>8915.139999999999</v>
      </c>
      <c r="J1148" t="n">
        <v>3</v>
      </c>
      <c r="K1148" t="inlineStr">
        <is>
          <t>¼凯利超上限，取3%</t>
        </is>
      </c>
    </row>
    <row r="1149">
      <c r="A1149" t="inlineStr">
        <is>
          <t>2022-10-21</t>
        </is>
      </c>
      <c r="B1149" t="inlineStr">
        <is>
          <t>PVC</t>
        </is>
      </c>
      <c r="C1149" t="inlineStr">
        <is>
          <t>空</t>
        </is>
      </c>
      <c r="D1149" t="n">
        <v>3</v>
      </c>
      <c r="E1149" t="n">
        <v>6</v>
      </c>
      <c r="F1149" t="inlineStr">
        <is>
          <t>不做</t>
        </is>
      </c>
      <c r="H1149" t="n">
        <v>5861</v>
      </c>
      <c r="J1149" t="n">
        <v>0</v>
      </c>
      <c r="K1149" t="inlineStr">
        <is>
          <t>组合风险已近10%，预算缩小</t>
        </is>
      </c>
    </row>
    <row r="1150">
      <c r="A1150" t="inlineStr">
        <is>
          <t>2022-10-21</t>
        </is>
      </c>
      <c r="B1150" t="inlineStr">
        <is>
          <t>聚丙烯</t>
        </is>
      </c>
      <c r="C1150" t="inlineStr">
        <is>
          <t>空</t>
        </is>
      </c>
      <c r="D1150" t="n">
        <v>3</v>
      </c>
      <c r="E1150" t="n">
        <v>6</v>
      </c>
      <c r="F1150" t="inlineStr">
        <is>
          <t>续持</t>
        </is>
      </c>
      <c r="G1150" t="n">
        <v>4</v>
      </c>
      <c r="H1150" t="n">
        <v>7566</v>
      </c>
      <c r="I1150" t="n">
        <v>7946.07</v>
      </c>
      <c r="J1150" t="n">
        <v>1</v>
      </c>
      <c r="K1150" t="inlineStr">
        <is>
          <t>续持原仓（2022-10-18开）</t>
        </is>
      </c>
    </row>
    <row r="1151">
      <c r="A1151" t="inlineStr">
        <is>
          <t>2022-10-21</t>
        </is>
      </c>
      <c r="B1151" t="inlineStr">
        <is>
          <t>塑料</t>
        </is>
      </c>
      <c r="C1151" t="inlineStr">
        <is>
          <t>空</t>
        </is>
      </c>
      <c r="D1151" t="n">
        <v>2</v>
      </c>
      <c r="E1151" t="n">
        <v>5</v>
      </c>
      <c r="F1151" t="inlineStr">
        <is>
          <t>影子仓</t>
        </is>
      </c>
      <c r="G1151" t="n">
        <v>4</v>
      </c>
      <c r="H1151" t="n">
        <v>7726</v>
      </c>
      <c r="I1151" t="n">
        <v>8167.21</v>
      </c>
      <c r="J1151" t="n">
        <v>1</v>
      </c>
      <c r="K1151" t="inlineStr">
        <is>
          <t>凯利≤0，开1%影子仓（只统计，不计入组合）</t>
        </is>
      </c>
    </row>
    <row r="1152">
      <c r="A1152" t="inlineStr">
        <is>
          <t>2022-10-21</t>
        </is>
      </c>
      <c r="B1152" t="inlineStr">
        <is>
          <t>沥青</t>
        </is>
      </c>
      <c r="C1152" t="inlineStr">
        <is>
          <t>空</t>
        </is>
      </c>
      <c r="D1152" t="n">
        <v>2</v>
      </c>
      <c r="E1152" t="n">
        <v>5</v>
      </c>
      <c r="F1152" t="inlineStr">
        <is>
          <t>续持</t>
        </is>
      </c>
      <c r="G1152" t="n">
        <v>3</v>
      </c>
      <c r="H1152" t="n">
        <v>3821</v>
      </c>
      <c r="I1152" t="n">
        <v>4096.29</v>
      </c>
      <c r="J1152" t="n">
        <v>1</v>
      </c>
      <c r="K1152" t="inlineStr">
        <is>
          <t>续持原仓（2022-10-20开）</t>
        </is>
      </c>
    </row>
    <row r="1153">
      <c r="A1153" t="inlineStr">
        <is>
          <t>2022-10-21</t>
        </is>
      </c>
      <c r="B1153" t="inlineStr">
        <is>
          <t>沪铝</t>
        </is>
      </c>
      <c r="C1153" t="inlineStr">
        <is>
          <t>空</t>
        </is>
      </c>
      <c r="D1153" t="n">
        <v>2</v>
      </c>
      <c r="E1153" t="n">
        <v>4</v>
      </c>
      <c r="F1153" t="inlineStr">
        <is>
          <t>观望</t>
        </is>
      </c>
      <c r="G1153" t="n">
        <v>1</v>
      </c>
      <c r="H1153" t="n">
        <v>18535</v>
      </c>
      <c r="I1153" t="n">
        <v>19560.36</v>
      </c>
      <c r="J1153" t="n">
        <v>1</v>
      </c>
      <c r="K1153" t="inlineStr">
        <is>
          <t>逆5日线（收盘在5日线上，不追空）</t>
        </is>
      </c>
    </row>
    <row r="1154">
      <c r="A1154" t="inlineStr">
        <is>
          <t>2022-10-24</t>
        </is>
      </c>
      <c r="B1154" t="inlineStr">
        <is>
          <t>乙二醇</t>
        </is>
      </c>
      <c r="C1154" t="inlineStr">
        <is>
          <t>空</t>
        </is>
      </c>
      <c r="D1154" t="n">
        <v>3</v>
      </c>
      <c r="E1154" t="n">
        <v>7</v>
      </c>
      <c r="F1154" t="inlineStr">
        <is>
          <t>开仓</t>
        </is>
      </c>
      <c r="G1154" t="n">
        <v>10</v>
      </c>
      <c r="H1154" t="n">
        <v>4018</v>
      </c>
      <c r="I1154" t="n">
        <v>4294.21</v>
      </c>
      <c r="J1154" t="n">
        <v>3</v>
      </c>
      <c r="K1154" t="inlineStr">
        <is>
          <t>¼凯利超上限，取3%</t>
        </is>
      </c>
    </row>
    <row r="1155">
      <c r="A1155" t="inlineStr">
        <is>
          <t>2022-10-24</t>
        </is>
      </c>
      <c r="B1155" t="inlineStr">
        <is>
          <t>白糖</t>
        </is>
      </c>
      <c r="C1155" t="inlineStr">
        <is>
          <t>空</t>
        </is>
      </c>
      <c r="D1155" t="n">
        <v>3</v>
      </c>
      <c r="E1155" t="n">
        <v>6</v>
      </c>
      <c r="F1155" t="inlineStr">
        <is>
          <t>不做</t>
        </is>
      </c>
      <c r="H1155" t="n">
        <v>5580</v>
      </c>
      <c r="J1155" t="n">
        <v>0</v>
      </c>
      <c r="K1155" t="inlineStr">
        <is>
          <t>组合风险已近10%，预算缩小</t>
        </is>
      </c>
    </row>
    <row r="1156">
      <c r="A1156" t="inlineStr">
        <is>
          <t>2022-10-24</t>
        </is>
      </c>
      <c r="B1156" t="inlineStr">
        <is>
          <t>聚丙烯</t>
        </is>
      </c>
      <c r="C1156" t="inlineStr">
        <is>
          <t>空</t>
        </is>
      </c>
      <c r="D1156" t="n">
        <v>3</v>
      </c>
      <c r="E1156" t="n">
        <v>6</v>
      </c>
      <c r="F1156" t="inlineStr">
        <is>
          <t>续持</t>
        </is>
      </c>
      <c r="G1156" t="n">
        <v>4</v>
      </c>
      <c r="H1156" t="n">
        <v>7578</v>
      </c>
      <c r="I1156" t="n">
        <v>7946.07</v>
      </c>
      <c r="J1156" t="n">
        <v>1</v>
      </c>
      <c r="K1156" t="inlineStr">
        <is>
          <t>续持原仓（2022-10-18开）</t>
        </is>
      </c>
    </row>
    <row r="1157">
      <c r="A1157" t="inlineStr">
        <is>
          <t>2022-10-24</t>
        </is>
      </c>
      <c r="B1157" t="inlineStr">
        <is>
          <t>PTA</t>
        </is>
      </c>
      <c r="C1157" t="inlineStr">
        <is>
          <t>空</t>
        </is>
      </c>
      <c r="D1157" t="n">
        <v>2</v>
      </c>
      <c r="E1157" t="n">
        <v>4</v>
      </c>
      <c r="F1157" t="inlineStr">
        <is>
          <t>影子仓</t>
        </is>
      </c>
      <c r="G1157" t="n">
        <v>4</v>
      </c>
      <c r="H1157" t="n">
        <v>5314</v>
      </c>
      <c r="I1157" t="n">
        <v>5790.14</v>
      </c>
      <c r="J1157" t="n">
        <v>1</v>
      </c>
      <c r="K1157" t="inlineStr">
        <is>
          <t>凯利≤0，开1%影子仓（只统计，不计入组合）</t>
        </is>
      </c>
    </row>
    <row r="1158">
      <c r="A1158" t="inlineStr">
        <is>
          <t>2022-10-24</t>
        </is>
      </c>
      <c r="B1158" t="inlineStr">
        <is>
          <t>沪铝</t>
        </is>
      </c>
      <c r="C1158" t="inlineStr">
        <is>
          <t>空</t>
        </is>
      </c>
      <c r="D1158" t="n">
        <v>2</v>
      </c>
      <c r="E1158" t="n">
        <v>4</v>
      </c>
      <c r="F1158" t="inlineStr">
        <is>
          <t>观望</t>
        </is>
      </c>
      <c r="G1158" t="n">
        <v>1</v>
      </c>
      <c r="H1158" t="n">
        <v>18575</v>
      </c>
      <c r="I1158" t="n">
        <v>19581.07</v>
      </c>
      <c r="J1158" t="n">
        <v>1</v>
      </c>
      <c r="K1158" t="inlineStr">
        <is>
          <t>逆5日线（收盘在5日线上，不追空）</t>
        </is>
      </c>
    </row>
    <row r="1159">
      <c r="A1159" t="inlineStr">
        <is>
          <t>2022-10-25</t>
        </is>
      </c>
      <c r="B1159" t="inlineStr">
        <is>
          <t>乙二醇</t>
        </is>
      </c>
      <c r="C1159" t="inlineStr">
        <is>
          <t>空</t>
        </is>
      </c>
      <c r="D1159" t="n">
        <v>3</v>
      </c>
      <c r="E1159" t="n">
        <v>7</v>
      </c>
      <c r="F1159" t="inlineStr">
        <is>
          <t>续持</t>
        </is>
      </c>
      <c r="G1159" t="n">
        <v>10</v>
      </c>
      <c r="H1159" t="n">
        <v>3974</v>
      </c>
      <c r="I1159" t="n">
        <v>4222.64</v>
      </c>
      <c r="J1159" t="n">
        <v>3</v>
      </c>
      <c r="K1159" t="inlineStr">
        <is>
          <t>续持原仓（2022-10-24开）</t>
        </is>
      </c>
    </row>
    <row r="1160">
      <c r="A1160" t="inlineStr">
        <is>
          <t>2022-10-25</t>
        </is>
      </c>
      <c r="B1160" t="inlineStr">
        <is>
          <t>热卷</t>
        </is>
      </c>
      <c r="C1160" t="inlineStr">
        <is>
          <t>空</t>
        </is>
      </c>
      <c r="D1160" t="n">
        <v>3</v>
      </c>
      <c r="E1160" t="n">
        <v>7</v>
      </c>
      <c r="F1160" t="inlineStr">
        <is>
          <t>续持</t>
        </is>
      </c>
      <c r="G1160" t="n">
        <v>12</v>
      </c>
      <c r="H1160" t="n">
        <v>3623</v>
      </c>
      <c r="I1160" t="n">
        <v>3823.14</v>
      </c>
      <c r="J1160" t="n">
        <v>2.94</v>
      </c>
      <c r="K1160" t="inlineStr">
        <is>
          <t>续持原仓（2022-10-20开）</t>
        </is>
      </c>
    </row>
    <row r="1161">
      <c r="A1161" t="inlineStr">
        <is>
          <t>2022-10-25</t>
        </is>
      </c>
      <c r="B1161" t="inlineStr">
        <is>
          <t>聚丙烯</t>
        </is>
      </c>
      <c r="C1161" t="inlineStr">
        <is>
          <t>空</t>
        </is>
      </c>
      <c r="D1161" t="n">
        <v>3</v>
      </c>
      <c r="E1161" t="n">
        <v>6</v>
      </c>
      <c r="F1161" t="inlineStr">
        <is>
          <t>续持</t>
        </is>
      </c>
      <c r="G1161" t="n">
        <v>4</v>
      </c>
      <c r="H1161" t="n">
        <v>7524</v>
      </c>
      <c r="I1161" t="n">
        <v>7882.86</v>
      </c>
      <c r="J1161" t="n">
        <v>1</v>
      </c>
      <c r="K1161" t="inlineStr">
        <is>
          <t>续持原仓（2022-10-18开）</t>
        </is>
      </c>
    </row>
    <row r="1162">
      <c r="A1162" t="inlineStr">
        <is>
          <t>2022-10-25</t>
        </is>
      </c>
      <c r="B1162" t="inlineStr">
        <is>
          <t>塑料</t>
        </is>
      </c>
      <c r="C1162" t="inlineStr">
        <is>
          <t>空</t>
        </is>
      </c>
      <c r="D1162" t="n">
        <v>3</v>
      </c>
      <c r="E1162" t="n">
        <v>6</v>
      </c>
      <c r="F1162" t="inlineStr">
        <is>
          <t>续持</t>
        </is>
      </c>
      <c r="G1162" t="n">
        <v>4</v>
      </c>
      <c r="H1162" t="n">
        <v>7685</v>
      </c>
      <c r="I1162" t="n">
        <v>8114</v>
      </c>
      <c r="J1162" t="n">
        <v>1</v>
      </c>
      <c r="K1162" t="inlineStr">
        <is>
          <t>续持原仓（2022-10-21开）</t>
        </is>
      </c>
    </row>
    <row r="1163">
      <c r="A1163" t="inlineStr">
        <is>
          <t>2022-10-25</t>
        </is>
      </c>
      <c r="B1163" t="inlineStr">
        <is>
          <t>玉米</t>
        </is>
      </c>
      <c r="C1163" t="inlineStr">
        <is>
          <t>多</t>
        </is>
      </c>
      <c r="D1163" t="n">
        <v>2</v>
      </c>
      <c r="E1163" t="n">
        <v>5</v>
      </c>
      <c r="F1163" t="inlineStr">
        <is>
          <t>观望</t>
        </is>
      </c>
      <c r="G1163" t="n">
        <v>11</v>
      </c>
      <c r="H1163" t="n">
        <v>2856</v>
      </c>
      <c r="I1163" t="n">
        <v>2767.5</v>
      </c>
      <c r="J1163" t="n">
        <v>1</v>
      </c>
      <c r="K1163" t="inlineStr">
        <is>
          <t>逆5日线（收盘在5日线下，不追多）</t>
        </is>
      </c>
    </row>
    <row r="1164">
      <c r="A1164" t="inlineStr">
        <is>
          <t>2022-10-25</t>
        </is>
      </c>
      <c r="B1164" t="inlineStr">
        <is>
          <t>棕榈油</t>
        </is>
      </c>
      <c r="C1164" t="inlineStr">
        <is>
          <t>多</t>
        </is>
      </c>
      <c r="D1164" t="n">
        <v>2</v>
      </c>
      <c r="E1164" t="n">
        <v>5</v>
      </c>
      <c r="F1164" t="inlineStr">
        <is>
          <t>影子仓</t>
        </is>
      </c>
      <c r="G1164" t="n">
        <v>1</v>
      </c>
      <c r="H1164" t="n">
        <v>8240</v>
      </c>
      <c r="I1164" t="n">
        <v>7404.29</v>
      </c>
      <c r="J1164" t="n">
        <v>1</v>
      </c>
      <c r="K1164" t="inlineStr">
        <is>
          <t>凯利≤0，开1%影子仓（只统计，不计入组合）</t>
        </is>
      </c>
    </row>
    <row r="1165">
      <c r="A1165" t="inlineStr">
        <is>
          <t>2022-10-25</t>
        </is>
      </c>
      <c r="B1165" t="inlineStr">
        <is>
          <t>螺纹钢</t>
        </is>
      </c>
      <c r="C1165" t="inlineStr">
        <is>
          <t>空</t>
        </is>
      </c>
      <c r="D1165" t="n">
        <v>2</v>
      </c>
      <c r="E1165" t="n">
        <v>5</v>
      </c>
      <c r="F1165" t="inlineStr">
        <is>
          <t>影子仓</t>
        </is>
      </c>
      <c r="G1165" t="n">
        <v>4</v>
      </c>
      <c r="H1165" t="n">
        <v>3574</v>
      </c>
      <c r="I1165" t="n">
        <v>3804.36</v>
      </c>
      <c r="J1165" t="n">
        <v>1</v>
      </c>
      <c r="K1165" t="inlineStr">
        <is>
          <t>凯利≤0，开1%影子仓（只统计，不计入组合）</t>
        </is>
      </c>
    </row>
    <row r="1166">
      <c r="A1166" t="inlineStr">
        <is>
          <t>2022-10-26</t>
        </is>
      </c>
      <c r="B1166" t="inlineStr">
        <is>
          <t>乙二醇</t>
        </is>
      </c>
      <c r="C1166" t="inlineStr">
        <is>
          <t>空</t>
        </is>
      </c>
      <c r="D1166" t="n">
        <v>3</v>
      </c>
      <c r="E1166" t="n">
        <v>7</v>
      </c>
      <c r="F1166" t="inlineStr">
        <is>
          <t>续持</t>
        </is>
      </c>
      <c r="G1166" t="n">
        <v>10</v>
      </c>
      <c r="H1166" t="n">
        <v>3912</v>
      </c>
      <c r="I1166" t="n">
        <v>4191.71</v>
      </c>
      <c r="J1166" t="n">
        <v>3</v>
      </c>
      <c r="K1166" t="inlineStr">
        <is>
          <t>续持原仓（2022-10-24开）</t>
        </is>
      </c>
    </row>
    <row r="1167">
      <c r="A1167" t="inlineStr">
        <is>
          <t>2022-10-26</t>
        </is>
      </c>
      <c r="B1167" t="inlineStr">
        <is>
          <t>锰硅</t>
        </is>
      </c>
      <c r="C1167" t="inlineStr">
        <is>
          <t>空</t>
        </is>
      </c>
      <c r="D1167" t="n">
        <v>3</v>
      </c>
      <c r="E1167" t="n">
        <v>7</v>
      </c>
      <c r="F1167" t="inlineStr">
        <is>
          <t>开仓</t>
        </is>
      </c>
      <c r="G1167" t="n">
        <v>14</v>
      </c>
      <c r="H1167" t="n">
        <v>6938</v>
      </c>
      <c r="I1167" t="n">
        <v>7346</v>
      </c>
      <c r="J1167" t="n">
        <v>2.94</v>
      </c>
      <c r="K1167" t="inlineStr">
        <is>
          <t>组合风险已近10%，预算缩小</t>
        </is>
      </c>
    </row>
    <row r="1168">
      <c r="A1168" t="inlineStr">
        <is>
          <t>2022-10-26</t>
        </is>
      </c>
      <c r="B1168" t="inlineStr">
        <is>
          <t>PVC</t>
        </is>
      </c>
      <c r="C1168" t="inlineStr">
        <is>
          <t>空</t>
        </is>
      </c>
      <c r="D1168" t="n">
        <v>3</v>
      </c>
      <c r="E1168" t="n">
        <v>6</v>
      </c>
      <c r="F1168" t="inlineStr">
        <is>
          <t>不做</t>
        </is>
      </c>
      <c r="H1168" t="n">
        <v>5754</v>
      </c>
      <c r="J1168" t="n">
        <v>0</v>
      </c>
      <c r="K1168" t="inlineStr">
        <is>
          <t>组合风险已近10%，预算缩小</t>
        </is>
      </c>
    </row>
    <row r="1169">
      <c r="A1169" t="inlineStr">
        <is>
          <t>2022-10-26</t>
        </is>
      </c>
      <c r="B1169" t="inlineStr">
        <is>
          <t>棉花</t>
        </is>
      </c>
      <c r="C1169" t="inlineStr">
        <is>
          <t>空</t>
        </is>
      </c>
      <c r="D1169" t="n">
        <v>3</v>
      </c>
      <c r="E1169" t="n">
        <v>6</v>
      </c>
      <c r="F1169" t="inlineStr">
        <is>
          <t>不做</t>
        </is>
      </c>
      <c r="H1169" t="n">
        <v>13150</v>
      </c>
      <c r="J1169" t="n">
        <v>0</v>
      </c>
      <c r="K1169" t="inlineStr">
        <is>
          <t>组合风险已近10%，预算缩小</t>
        </is>
      </c>
    </row>
    <row r="1170">
      <c r="A1170" t="inlineStr">
        <is>
          <t>2022-10-26</t>
        </is>
      </c>
      <c r="B1170" t="inlineStr">
        <is>
          <t>热卷</t>
        </is>
      </c>
      <c r="C1170" t="inlineStr">
        <is>
          <t>空</t>
        </is>
      </c>
      <c r="D1170" t="n">
        <v>2</v>
      </c>
      <c r="E1170" t="n">
        <v>5</v>
      </c>
      <c r="F1170" t="inlineStr">
        <is>
          <t>续持</t>
        </is>
      </c>
      <c r="G1170" t="n">
        <v>12</v>
      </c>
      <c r="H1170" t="n">
        <v>3627</v>
      </c>
      <c r="I1170" t="n">
        <v>3823.14</v>
      </c>
      <c r="J1170" t="n">
        <v>2.94</v>
      </c>
      <c r="K1170" t="inlineStr">
        <is>
          <t>续持原仓（2022-10-20开）</t>
        </is>
      </c>
    </row>
    <row r="1171">
      <c r="A1171" t="inlineStr">
        <is>
          <t>2022-10-26</t>
        </is>
      </c>
      <c r="B1171" t="inlineStr">
        <is>
          <t>玉米</t>
        </is>
      </c>
      <c r="C1171" t="inlineStr">
        <is>
          <t>多</t>
        </is>
      </c>
      <c r="D1171" t="n">
        <v>2</v>
      </c>
      <c r="E1171" t="n">
        <v>5</v>
      </c>
      <c r="F1171" t="inlineStr">
        <is>
          <t>影子仓</t>
        </is>
      </c>
      <c r="G1171" t="n">
        <v>11</v>
      </c>
      <c r="H1171" t="n">
        <v>2871</v>
      </c>
      <c r="I1171" t="n">
        <v>2782.07</v>
      </c>
      <c r="J1171" t="n">
        <v>1</v>
      </c>
      <c r="K1171" t="inlineStr">
        <is>
          <t>凯利≤0，开1%影子仓（只统计，不计入组合）</t>
        </is>
      </c>
    </row>
    <row r="1172">
      <c r="A1172" t="inlineStr">
        <is>
          <t>2022-10-27</t>
        </is>
      </c>
      <c r="B1172" t="inlineStr">
        <is>
          <t>乙二醇</t>
        </is>
      </c>
      <c r="C1172" t="inlineStr">
        <is>
          <t>空</t>
        </is>
      </c>
      <c r="D1172" t="n">
        <v>3</v>
      </c>
      <c r="E1172" t="n">
        <v>7</v>
      </c>
      <c r="F1172" t="inlineStr">
        <is>
          <t>续持</t>
        </is>
      </c>
      <c r="G1172" t="n">
        <v>10</v>
      </c>
      <c r="H1172" t="n">
        <v>3867</v>
      </c>
      <c r="I1172" t="n">
        <v>4145.93</v>
      </c>
      <c r="J1172" t="n">
        <v>3</v>
      </c>
      <c r="K1172" t="inlineStr">
        <is>
          <t>续持原仓（2022-10-24开）</t>
        </is>
      </c>
    </row>
    <row r="1173">
      <c r="A1173" t="inlineStr">
        <is>
          <t>2022-10-27</t>
        </is>
      </c>
      <c r="B1173" t="inlineStr">
        <is>
          <t>锰硅</t>
        </is>
      </c>
      <c r="C1173" t="inlineStr">
        <is>
          <t>空</t>
        </is>
      </c>
      <c r="D1173" t="n">
        <v>3</v>
      </c>
      <c r="E1173" t="n">
        <v>7</v>
      </c>
      <c r="F1173" t="inlineStr">
        <is>
          <t>续持</t>
        </is>
      </c>
      <c r="G1173" t="n">
        <v>14</v>
      </c>
      <c r="H1173" t="n">
        <v>6906</v>
      </c>
      <c r="I1173" t="n">
        <v>7311.29</v>
      </c>
      <c r="J1173" t="n">
        <v>2.94</v>
      </c>
      <c r="K1173" t="inlineStr">
        <is>
          <t>续持原仓（2022-10-26开）</t>
        </is>
      </c>
    </row>
    <row r="1174">
      <c r="A1174" t="inlineStr">
        <is>
          <t>2022-10-27</t>
        </is>
      </c>
      <c r="B1174" t="inlineStr">
        <is>
          <t>玻璃</t>
        </is>
      </c>
      <c r="C1174" t="inlineStr">
        <is>
          <t>空</t>
        </is>
      </c>
      <c r="D1174" t="n">
        <v>3</v>
      </c>
      <c r="E1174" t="n">
        <v>6</v>
      </c>
      <c r="F1174" t="inlineStr">
        <is>
          <t>不做</t>
        </is>
      </c>
      <c r="H1174" t="n">
        <v>1385</v>
      </c>
      <c r="J1174" t="n">
        <v>0</v>
      </c>
      <c r="K1174" t="inlineStr">
        <is>
          <t>组合风险已近10%，预算缩小</t>
        </is>
      </c>
    </row>
    <row r="1175">
      <c r="A1175" t="inlineStr">
        <is>
          <t>2022-10-27</t>
        </is>
      </c>
      <c r="B1175" t="inlineStr">
        <is>
          <t>PVC</t>
        </is>
      </c>
      <c r="C1175" t="inlineStr">
        <is>
          <t>空</t>
        </is>
      </c>
      <c r="D1175" t="n">
        <v>3</v>
      </c>
      <c r="E1175" t="n">
        <v>6</v>
      </c>
      <c r="F1175" t="inlineStr">
        <is>
          <t>不做</t>
        </is>
      </c>
      <c r="H1175" t="n">
        <v>5735</v>
      </c>
      <c r="J1175" t="n">
        <v>0</v>
      </c>
      <c r="K1175" t="inlineStr">
        <is>
          <t>组合风险已近10%，预算缩小</t>
        </is>
      </c>
    </row>
    <row r="1176">
      <c r="A1176" t="inlineStr">
        <is>
          <t>2022-10-27</t>
        </is>
      </c>
      <c r="B1176" t="inlineStr">
        <is>
          <t>热卷</t>
        </is>
      </c>
      <c r="C1176" t="inlineStr">
        <is>
          <t>空</t>
        </is>
      </c>
      <c r="D1176" t="n">
        <v>3</v>
      </c>
      <c r="E1176" t="n">
        <v>6</v>
      </c>
      <c r="F1176" t="inlineStr">
        <is>
          <t>续持</t>
        </is>
      </c>
      <c r="G1176" t="n">
        <v>12</v>
      </c>
      <c r="H1176" t="n">
        <v>3614</v>
      </c>
      <c r="I1176" t="n">
        <v>3823.14</v>
      </c>
      <c r="J1176" t="n">
        <v>2.94</v>
      </c>
      <c r="K1176" t="inlineStr">
        <is>
          <t>续持原仓（2022-10-20开）</t>
        </is>
      </c>
    </row>
    <row r="1177">
      <c r="A1177" t="inlineStr">
        <is>
          <t>2022-10-27</t>
        </is>
      </c>
      <c r="B1177" t="inlineStr">
        <is>
          <t>沪铜</t>
        </is>
      </c>
      <c r="C1177" t="inlineStr">
        <is>
          <t>多</t>
        </is>
      </c>
      <c r="D1177" t="n">
        <v>2</v>
      </c>
      <c r="E1177" t="n">
        <v>5</v>
      </c>
      <c r="F1177" t="inlineStr">
        <is>
          <t>不做</t>
        </is>
      </c>
      <c r="H1177" t="n">
        <v>63450</v>
      </c>
      <c r="J1177" t="n">
        <v>1</v>
      </c>
      <c r="K1177" t="inlineStr">
        <is>
          <t>1手风险14250元超过预算10000元</t>
        </is>
      </c>
    </row>
    <row r="1178">
      <c r="A1178" t="inlineStr">
        <is>
          <t>2022-10-28</t>
        </is>
      </c>
      <c r="B1178" t="inlineStr">
        <is>
          <t>热卷</t>
        </is>
      </c>
      <c r="C1178" t="inlineStr">
        <is>
          <t>空</t>
        </is>
      </c>
      <c r="D1178" t="n">
        <v>3</v>
      </c>
      <c r="E1178" t="n">
        <v>7</v>
      </c>
      <c r="F1178" t="inlineStr">
        <is>
          <t>续持</t>
        </is>
      </c>
      <c r="G1178" t="n">
        <v>12</v>
      </c>
      <c r="H1178" t="n">
        <v>3530</v>
      </c>
      <c r="I1178" t="n">
        <v>3745.86</v>
      </c>
      <c r="J1178" t="n">
        <v>2.94</v>
      </c>
      <c r="K1178" t="inlineStr">
        <is>
          <t>续持原仓（2022-10-20开）</t>
        </is>
      </c>
    </row>
    <row r="1179">
      <c r="A1179" t="inlineStr">
        <is>
          <t>2022-10-28</t>
        </is>
      </c>
      <c r="B1179" t="inlineStr">
        <is>
          <t>乙二醇</t>
        </is>
      </c>
      <c r="C1179" t="inlineStr">
        <is>
          <t>空</t>
        </is>
      </c>
      <c r="D1179" t="n">
        <v>3</v>
      </c>
      <c r="E1179" t="n">
        <v>6</v>
      </c>
      <c r="F1179" t="inlineStr">
        <is>
          <t>续持</t>
        </is>
      </c>
      <c r="G1179" t="n">
        <v>10</v>
      </c>
      <c r="H1179" t="n">
        <v>3821</v>
      </c>
      <c r="I1179" t="n">
        <v>4072.71</v>
      </c>
      <c r="J1179" t="n">
        <v>3</v>
      </c>
      <c r="K1179" t="inlineStr">
        <is>
          <t>续持原仓（2022-10-24开）</t>
        </is>
      </c>
    </row>
    <row r="1180">
      <c r="A1180" t="inlineStr">
        <is>
          <t>2022-10-28</t>
        </is>
      </c>
      <c r="B1180" t="inlineStr">
        <is>
          <t>PVC</t>
        </is>
      </c>
      <c r="C1180" t="inlineStr">
        <is>
          <t>空</t>
        </is>
      </c>
      <c r="D1180" t="n">
        <v>3</v>
      </c>
      <c r="E1180" t="n">
        <v>6</v>
      </c>
      <c r="F1180" t="inlineStr">
        <is>
          <t>不做</t>
        </is>
      </c>
      <c r="H1180" t="n">
        <v>5664</v>
      </c>
      <c r="J1180" t="n">
        <v>0</v>
      </c>
      <c r="K1180" t="inlineStr">
        <is>
          <t>组合风险已近10%，预算缩小</t>
        </is>
      </c>
    </row>
    <row r="1181">
      <c r="A1181" t="inlineStr">
        <is>
          <t>2022-10-28</t>
        </is>
      </c>
      <c r="B1181" t="inlineStr">
        <is>
          <t>纯碱</t>
        </is>
      </c>
      <c r="C1181" t="inlineStr">
        <is>
          <t>空</t>
        </is>
      </c>
      <c r="D1181" t="n">
        <v>3</v>
      </c>
      <c r="E1181" t="n">
        <v>6</v>
      </c>
      <c r="F1181" t="inlineStr">
        <is>
          <t>不做</t>
        </is>
      </c>
      <c r="H1181" t="n">
        <v>2373</v>
      </c>
      <c r="J1181" t="n">
        <v>0</v>
      </c>
      <c r="K1181" t="inlineStr">
        <is>
          <t>组合风险已近10%，预算缩小</t>
        </is>
      </c>
    </row>
    <row r="1182">
      <c r="A1182" t="inlineStr">
        <is>
          <t>2022-10-28</t>
        </is>
      </c>
      <c r="B1182" t="inlineStr">
        <is>
          <t>锰硅</t>
        </is>
      </c>
      <c r="C1182" t="inlineStr">
        <is>
          <t>空</t>
        </is>
      </c>
      <c r="D1182" t="n">
        <v>2</v>
      </c>
      <c r="E1182" t="n">
        <v>5</v>
      </c>
      <c r="F1182" t="inlineStr">
        <is>
          <t>观望</t>
        </is>
      </c>
      <c r="G1182" t="n">
        <v>4</v>
      </c>
      <c r="H1182" t="n">
        <v>6966</v>
      </c>
      <c r="I1182" t="n">
        <v>7379.14</v>
      </c>
      <c r="J1182" t="n">
        <v>1</v>
      </c>
      <c r="K1182" t="inlineStr">
        <is>
          <t>逆5日线（收盘在5日线上，不追空）</t>
        </is>
      </c>
    </row>
    <row r="1183">
      <c r="A1183" t="inlineStr">
        <is>
          <t>2022-10-31</t>
        </is>
      </c>
      <c r="B1183" t="inlineStr">
        <is>
          <t>玻璃</t>
        </is>
      </c>
      <c r="C1183" t="inlineStr">
        <is>
          <t>空</t>
        </is>
      </c>
      <c r="D1183" t="n">
        <v>3</v>
      </c>
      <c r="E1183" t="n">
        <v>7</v>
      </c>
      <c r="F1183" t="inlineStr">
        <is>
          <t>开仓</t>
        </is>
      </c>
      <c r="G1183" t="n">
        <v>14</v>
      </c>
      <c r="H1183" t="n">
        <v>1346</v>
      </c>
      <c r="I1183" t="n">
        <v>1446.29</v>
      </c>
      <c r="J1183" t="n">
        <v>2.94</v>
      </c>
      <c r="K1183" t="inlineStr">
        <is>
          <t>组合风险已近10%，预算缩小</t>
        </is>
      </c>
    </row>
    <row r="1184">
      <c r="A1184" t="inlineStr">
        <is>
          <t>2022-10-31</t>
        </is>
      </c>
      <c r="B1184" t="inlineStr">
        <is>
          <t>锰硅</t>
        </is>
      </c>
      <c r="C1184" t="inlineStr">
        <is>
          <t>空</t>
        </is>
      </c>
      <c r="D1184" t="n">
        <v>3</v>
      </c>
      <c r="E1184" t="n">
        <v>7</v>
      </c>
      <c r="F1184" t="inlineStr">
        <is>
          <t>续持</t>
        </is>
      </c>
      <c r="G1184" t="n">
        <v>14</v>
      </c>
      <c r="H1184" t="n">
        <v>6810</v>
      </c>
      <c r="I1184" t="n">
        <v>7171.43</v>
      </c>
      <c r="J1184" t="n">
        <v>2.94</v>
      </c>
      <c r="K1184" t="inlineStr">
        <is>
          <t>续持原仓（2022-10-26开）</t>
        </is>
      </c>
    </row>
    <row r="1185">
      <c r="A1185" t="inlineStr">
        <is>
          <t>2022-10-31</t>
        </is>
      </c>
      <c r="B1185" t="inlineStr">
        <is>
          <t>PVC</t>
        </is>
      </c>
      <c r="C1185" t="inlineStr">
        <is>
          <t>空</t>
        </is>
      </c>
      <c r="D1185" t="n">
        <v>3</v>
      </c>
      <c r="E1185" t="n">
        <v>7</v>
      </c>
      <c r="F1185" t="inlineStr">
        <is>
          <t>不做</t>
        </is>
      </c>
      <c r="H1185" t="n">
        <v>5528</v>
      </c>
      <c r="J1185" t="n">
        <v>0</v>
      </c>
      <c r="K1185" t="inlineStr">
        <is>
          <t>组合风险已近10%，预算缩小</t>
        </is>
      </c>
    </row>
    <row r="1186">
      <c r="A1186" t="inlineStr">
        <is>
          <t>2022-10-31</t>
        </is>
      </c>
      <c r="B1186" t="inlineStr">
        <is>
          <t>聚丙烯</t>
        </is>
      </c>
      <c r="C1186" t="inlineStr">
        <is>
          <t>空</t>
        </is>
      </c>
      <c r="D1186" t="n">
        <v>3</v>
      </c>
      <c r="E1186" t="n">
        <v>7</v>
      </c>
      <c r="F1186" t="inlineStr">
        <is>
          <t>续持</t>
        </is>
      </c>
      <c r="G1186" t="n">
        <v>4</v>
      </c>
      <c r="H1186" t="n">
        <v>7363</v>
      </c>
      <c r="I1186" t="n">
        <v>7712.07</v>
      </c>
      <c r="J1186" t="n">
        <v>1</v>
      </c>
      <c r="K1186" t="inlineStr">
        <is>
          <t>续持原仓（2022-10-18开）</t>
        </is>
      </c>
    </row>
    <row r="1187">
      <c r="A1187" t="inlineStr">
        <is>
          <t>2022-10-31</t>
        </is>
      </c>
      <c r="B1187" t="inlineStr">
        <is>
          <t>乙二醇</t>
        </is>
      </c>
      <c r="C1187" t="inlineStr">
        <is>
          <t>空</t>
        </is>
      </c>
      <c r="D1187" t="n">
        <v>3</v>
      </c>
      <c r="E1187" t="n">
        <v>6</v>
      </c>
      <c r="F1187" t="inlineStr">
        <is>
          <t>续持</t>
        </is>
      </c>
      <c r="G1187" t="n">
        <v>10</v>
      </c>
      <c r="H1187" t="n">
        <v>3769</v>
      </c>
      <c r="I1187" t="n">
        <v>3979.93</v>
      </c>
      <c r="J1187" t="n">
        <v>3</v>
      </c>
      <c r="K1187" t="inlineStr">
        <is>
          <t>续持原仓（2022-10-24开）</t>
        </is>
      </c>
    </row>
    <row r="1188">
      <c r="A1188" t="inlineStr">
        <is>
          <t>2022-10-31</t>
        </is>
      </c>
      <c r="B1188" t="inlineStr">
        <is>
          <t>玉米</t>
        </is>
      </c>
      <c r="C1188" t="inlineStr">
        <is>
          <t>多</t>
        </is>
      </c>
      <c r="D1188" t="n">
        <v>2</v>
      </c>
      <c r="E1188" t="n">
        <v>5</v>
      </c>
      <c r="F1188" t="inlineStr">
        <is>
          <t>影子仓</t>
        </is>
      </c>
      <c r="G1188" t="n">
        <v>10</v>
      </c>
      <c r="H1188" t="n">
        <v>2885</v>
      </c>
      <c r="I1188" t="n">
        <v>2792.86</v>
      </c>
      <c r="J1188" t="n">
        <v>1</v>
      </c>
      <c r="K1188" t="inlineStr">
        <is>
          <t>凯利≤0，开1%影子仓（只统计，不计入组合）</t>
        </is>
      </c>
    </row>
    <row r="1189">
      <c r="A1189" t="inlineStr">
        <is>
          <t>2022-11-01</t>
        </is>
      </c>
      <c r="B1189" t="inlineStr">
        <is>
          <t>乙二醇</t>
        </is>
      </c>
      <c r="C1189" t="inlineStr">
        <is>
          <t>空</t>
        </is>
      </c>
      <c r="D1189" t="n">
        <v>3</v>
      </c>
      <c r="E1189" t="n">
        <v>6</v>
      </c>
      <c r="F1189" t="inlineStr">
        <is>
          <t>续持</t>
        </is>
      </c>
      <c r="G1189" t="n">
        <v>10</v>
      </c>
      <c r="H1189" t="n">
        <v>3799</v>
      </c>
      <c r="I1189" t="n">
        <v>3961.21</v>
      </c>
      <c r="J1189" t="n">
        <v>3</v>
      </c>
      <c r="K1189" t="inlineStr">
        <is>
          <t>续持原仓（2022-10-24开）</t>
        </is>
      </c>
    </row>
    <row r="1190">
      <c r="A1190" t="inlineStr">
        <is>
          <t>2022-11-01</t>
        </is>
      </c>
      <c r="B1190" t="inlineStr">
        <is>
          <t>玻璃</t>
        </is>
      </c>
      <c r="C1190" t="inlineStr">
        <is>
          <t>空</t>
        </is>
      </c>
      <c r="D1190" t="n">
        <v>2</v>
      </c>
      <c r="E1190" t="n">
        <v>5</v>
      </c>
      <c r="F1190" t="inlineStr">
        <is>
          <t>续持</t>
        </is>
      </c>
      <c r="G1190" t="n">
        <v>14</v>
      </c>
      <c r="H1190" t="n">
        <v>1358</v>
      </c>
      <c r="I1190" t="n">
        <v>1438.29</v>
      </c>
      <c r="J1190" t="n">
        <v>2.94</v>
      </c>
      <c r="K1190" t="inlineStr">
        <is>
          <t>续持原仓（2022-10-31开）</t>
        </is>
      </c>
    </row>
    <row r="1191">
      <c r="A1191" t="inlineStr">
        <is>
          <t>2022-11-01</t>
        </is>
      </c>
      <c r="B1191" t="inlineStr">
        <is>
          <t>锰硅</t>
        </is>
      </c>
      <c r="C1191" t="inlineStr">
        <is>
          <t>空</t>
        </is>
      </c>
      <c r="D1191" t="n">
        <v>2</v>
      </c>
      <c r="E1191" t="n">
        <v>5</v>
      </c>
      <c r="F1191" t="inlineStr">
        <is>
          <t>续持</t>
        </is>
      </c>
      <c r="G1191" t="n">
        <v>14</v>
      </c>
      <c r="H1191" t="n">
        <v>6824</v>
      </c>
      <c r="I1191" t="n">
        <v>7152</v>
      </c>
      <c r="J1191" t="n">
        <v>2.94</v>
      </c>
      <c r="K1191" t="inlineStr">
        <is>
          <t>续持原仓（2022-10-26开）</t>
        </is>
      </c>
    </row>
    <row r="1192">
      <c r="A1192" t="inlineStr">
        <is>
          <t>2022-11-01</t>
        </is>
      </c>
      <c r="B1192" t="inlineStr">
        <is>
          <t>PVC</t>
        </is>
      </c>
      <c r="C1192" t="inlineStr">
        <is>
          <t>空</t>
        </is>
      </c>
      <c r="D1192" t="n">
        <v>2</v>
      </c>
      <c r="E1192" t="n">
        <v>4</v>
      </c>
      <c r="F1192" t="inlineStr">
        <is>
          <t>观望</t>
        </is>
      </c>
      <c r="G1192" t="n">
        <v>5</v>
      </c>
      <c r="H1192" t="n">
        <v>5723</v>
      </c>
      <c r="I1192" t="n">
        <v>6105.71</v>
      </c>
      <c r="J1192" t="n">
        <v>1</v>
      </c>
      <c r="K1192" t="inlineStr">
        <is>
          <t>逆5日线（收盘在5日线上，不追空）</t>
        </is>
      </c>
    </row>
    <row r="1193">
      <c r="A1193" t="inlineStr">
        <is>
          <t>2022-11-01</t>
        </is>
      </c>
      <c r="B1193" t="inlineStr">
        <is>
          <t>玉米</t>
        </is>
      </c>
      <c r="C1193" t="inlineStr">
        <is>
          <t>多</t>
        </is>
      </c>
      <c r="D1193" t="n">
        <v>2</v>
      </c>
      <c r="E1193" t="n">
        <v>4</v>
      </c>
      <c r="F1193" t="inlineStr">
        <is>
          <t>续持</t>
        </is>
      </c>
      <c r="G1193" t="n">
        <v>10</v>
      </c>
      <c r="H1193" t="n">
        <v>2882</v>
      </c>
      <c r="I1193" t="n">
        <v>2800.14</v>
      </c>
      <c r="J1193" t="n">
        <v>1</v>
      </c>
      <c r="K1193" t="inlineStr">
        <is>
          <t>续持原仓（2022-10-31开）</t>
        </is>
      </c>
    </row>
    <row r="1194">
      <c r="A1194" t="inlineStr">
        <is>
          <t>2022-11-01</t>
        </is>
      </c>
      <c r="B1194" t="inlineStr">
        <is>
          <t>沪铝</t>
        </is>
      </c>
      <c r="C1194" t="inlineStr">
        <is>
          <t>多</t>
        </is>
      </c>
      <c r="D1194" t="n">
        <v>2</v>
      </c>
      <c r="E1194" t="n">
        <v>4</v>
      </c>
      <c r="F1194" t="inlineStr">
        <is>
          <t>观望</t>
        </is>
      </c>
      <c r="G1194" t="n">
        <v>1</v>
      </c>
      <c r="H1194" t="n">
        <v>17905</v>
      </c>
      <c r="I1194" t="n">
        <v>16826.07</v>
      </c>
      <c r="J1194" t="n">
        <v>1</v>
      </c>
      <c r="K1194" t="inlineStr">
        <is>
          <t>逆5日线（收盘在5日线下，不追多）</t>
        </is>
      </c>
    </row>
    <row r="1195">
      <c r="A1195" t="inlineStr">
        <is>
          <t>2022-11-02</t>
        </is>
      </c>
      <c r="B1195" t="inlineStr">
        <is>
          <t>玻璃</t>
        </is>
      </c>
      <c r="C1195" t="inlineStr">
        <is>
          <t>空</t>
        </is>
      </c>
      <c r="D1195" t="n">
        <v>2</v>
      </c>
      <c r="E1195" t="n">
        <v>5</v>
      </c>
      <c r="F1195" t="inlineStr">
        <is>
          <t>续持</t>
        </is>
      </c>
      <c r="G1195" t="n">
        <v>14</v>
      </c>
      <c r="H1195" t="n">
        <v>1354</v>
      </c>
      <c r="I1195" t="n">
        <v>1430.14</v>
      </c>
      <c r="J1195" t="n">
        <v>2.94</v>
      </c>
      <c r="K1195" t="inlineStr">
        <is>
          <t>续持原仓（2022-10-31开）</t>
        </is>
      </c>
    </row>
    <row r="1196">
      <c r="A1196" t="inlineStr">
        <is>
          <t>2022-11-02</t>
        </is>
      </c>
      <c r="B1196" t="inlineStr">
        <is>
          <t>螺纹钢</t>
        </is>
      </c>
      <c r="C1196" t="inlineStr">
        <is>
          <t>空</t>
        </is>
      </c>
      <c r="D1196" t="n">
        <v>2</v>
      </c>
      <c r="E1196" t="n">
        <v>5</v>
      </c>
      <c r="F1196" t="inlineStr">
        <is>
          <t>观望</t>
        </is>
      </c>
      <c r="G1196" t="n">
        <v>4</v>
      </c>
      <c r="H1196" t="n">
        <v>3485</v>
      </c>
      <c r="I1196" t="n">
        <v>3717.07</v>
      </c>
      <c r="J1196" t="n">
        <v>1</v>
      </c>
      <c r="K1196" t="inlineStr">
        <is>
          <t>逆5日线（收盘在5日线上，不追空）</t>
        </is>
      </c>
    </row>
    <row r="1197">
      <c r="A1197" t="inlineStr">
        <is>
          <t>2022-11-02</t>
        </is>
      </c>
      <c r="B1197" t="inlineStr">
        <is>
          <t>锰硅</t>
        </is>
      </c>
      <c r="C1197" t="inlineStr">
        <is>
          <t>空</t>
        </is>
      </c>
      <c r="D1197" t="n">
        <v>2</v>
      </c>
      <c r="E1197" t="n">
        <v>5</v>
      </c>
      <c r="F1197" t="inlineStr">
        <is>
          <t>观望</t>
        </is>
      </c>
      <c r="G1197" t="n">
        <v>5</v>
      </c>
      <c r="H1197" t="n">
        <v>6934</v>
      </c>
      <c r="I1197" t="n">
        <v>7327</v>
      </c>
      <c r="J1197" t="n">
        <v>1</v>
      </c>
      <c r="K1197" t="inlineStr">
        <is>
          <t>逆5日线（收盘在5日线上，不追空）</t>
        </is>
      </c>
    </row>
    <row r="1198">
      <c r="A1198" t="inlineStr">
        <is>
          <t>2022-11-02</t>
        </is>
      </c>
      <c r="B1198" t="inlineStr">
        <is>
          <t>豆油</t>
        </is>
      </c>
      <c r="C1198" t="inlineStr">
        <is>
          <t>多</t>
        </is>
      </c>
      <c r="D1198" t="n">
        <v>2</v>
      </c>
      <c r="E1198" t="n">
        <v>5</v>
      </c>
      <c r="F1198" t="inlineStr">
        <is>
          <t>影子仓</t>
        </is>
      </c>
      <c r="G1198" t="n">
        <v>1</v>
      </c>
      <c r="H1198" t="n">
        <v>9528</v>
      </c>
      <c r="I1198" t="n">
        <v>8839.709999999999</v>
      </c>
      <c r="J1198" t="n">
        <v>1</v>
      </c>
      <c r="K1198" t="inlineStr">
        <is>
          <t>凯利≤0，开1%影子仓（只统计，不计入组合）</t>
        </is>
      </c>
    </row>
    <row r="1199">
      <c r="A1199" t="inlineStr">
        <is>
          <t>2022-11-02</t>
        </is>
      </c>
      <c r="B1199" t="inlineStr">
        <is>
          <t>铁矿石</t>
        </is>
      </c>
      <c r="C1199" t="inlineStr">
        <is>
          <t>多</t>
        </is>
      </c>
      <c r="D1199" t="n">
        <v>2</v>
      </c>
      <c r="E1199" t="n">
        <v>4</v>
      </c>
      <c r="F1199" t="inlineStr">
        <is>
          <t>影子仓</t>
        </is>
      </c>
      <c r="G1199" t="n">
        <v>1</v>
      </c>
      <c r="H1199" t="n">
        <v>629</v>
      </c>
      <c r="I1199" t="n">
        <v>563.21</v>
      </c>
      <c r="J1199" t="n">
        <v>1</v>
      </c>
      <c r="K1199" t="inlineStr">
        <is>
          <t>凯利≤0，开1%影子仓（只统计，不计入组合）</t>
        </is>
      </c>
    </row>
    <row r="1200">
      <c r="A1200" t="inlineStr">
        <is>
          <t>2022-11-02</t>
        </is>
      </c>
      <c r="B1200" t="inlineStr">
        <is>
          <t>菜粕</t>
        </is>
      </c>
      <c r="C1200" t="inlineStr">
        <is>
          <t>空</t>
        </is>
      </c>
      <c r="D1200" t="n">
        <v>2</v>
      </c>
      <c r="E1200" t="n">
        <v>4</v>
      </c>
      <c r="F1200" t="inlineStr">
        <is>
          <t>观望</t>
        </is>
      </c>
      <c r="G1200" t="n">
        <v>3</v>
      </c>
      <c r="H1200" t="n">
        <v>3069</v>
      </c>
      <c r="I1200" t="n">
        <v>3325.93</v>
      </c>
      <c r="J1200" t="n">
        <v>1</v>
      </c>
      <c r="K1200" t="inlineStr">
        <is>
          <t>逆5日线（收盘在5日线上，不追空）</t>
        </is>
      </c>
    </row>
    <row r="1201">
      <c r="A1201" t="inlineStr">
        <is>
          <t>2022-11-03</t>
        </is>
      </c>
      <c r="B1201" t="inlineStr">
        <is>
          <t>玻璃</t>
        </is>
      </c>
      <c r="C1201" t="inlineStr">
        <is>
          <t>空</t>
        </is>
      </c>
      <c r="D1201" t="n">
        <v>3</v>
      </c>
      <c r="E1201" t="n">
        <v>6</v>
      </c>
      <c r="F1201" t="inlineStr">
        <is>
          <t>续持</t>
        </is>
      </c>
      <c r="G1201" t="n">
        <v>14</v>
      </c>
      <c r="H1201" t="n">
        <v>1355</v>
      </c>
      <c r="I1201" t="n">
        <v>1427.79</v>
      </c>
      <c r="J1201" t="n">
        <v>2.94</v>
      </c>
      <c r="K1201" t="inlineStr">
        <is>
          <t>续持原仓（2022-10-31开）</t>
        </is>
      </c>
    </row>
    <row r="1202">
      <c r="A1202" t="inlineStr">
        <is>
          <t>2022-11-03</t>
        </is>
      </c>
      <c r="B1202" t="inlineStr">
        <is>
          <t>豆油</t>
        </is>
      </c>
      <c r="C1202" t="inlineStr">
        <is>
          <t>多</t>
        </is>
      </c>
      <c r="D1202" t="n">
        <v>3</v>
      </c>
      <c r="E1202" t="n">
        <v>6</v>
      </c>
      <c r="F1202" t="inlineStr">
        <is>
          <t>续持</t>
        </is>
      </c>
      <c r="G1202" t="n">
        <v>1</v>
      </c>
      <c r="H1202" t="n">
        <v>9560</v>
      </c>
      <c r="I1202" t="n">
        <v>8932.290000000001</v>
      </c>
      <c r="J1202" t="n">
        <v>1</v>
      </c>
      <c r="K1202" t="inlineStr">
        <is>
          <t>续持原仓（2022-11-02开）</t>
        </is>
      </c>
    </row>
    <row r="1203">
      <c r="A1203" t="inlineStr">
        <is>
          <t>2022-11-03</t>
        </is>
      </c>
      <c r="B1203" t="inlineStr">
        <is>
          <t>螺纹钢</t>
        </is>
      </c>
      <c r="C1203" t="inlineStr">
        <is>
          <t>空</t>
        </is>
      </c>
      <c r="D1203" t="n">
        <v>2</v>
      </c>
      <c r="E1203" t="n">
        <v>5</v>
      </c>
      <c r="F1203" t="inlineStr">
        <is>
          <t>观望</t>
        </is>
      </c>
      <c r="G1203" t="n">
        <v>4</v>
      </c>
      <c r="H1203" t="n">
        <v>3504</v>
      </c>
      <c r="I1203" t="n">
        <v>3730.93</v>
      </c>
      <c r="J1203" t="n">
        <v>1</v>
      </c>
      <c r="K1203" t="inlineStr">
        <is>
          <t>逆5日线（收盘在5日线上，不追空）</t>
        </is>
      </c>
    </row>
    <row r="1204">
      <c r="A1204" t="inlineStr">
        <is>
          <t>2022-11-03</t>
        </is>
      </c>
      <c r="B1204" t="inlineStr">
        <is>
          <t>热卷</t>
        </is>
      </c>
      <c r="C1204" t="inlineStr">
        <is>
          <t>空</t>
        </is>
      </c>
      <c r="D1204" t="n">
        <v>2</v>
      </c>
      <c r="E1204" t="n">
        <v>5</v>
      </c>
      <c r="F1204" t="inlineStr">
        <is>
          <t>观望</t>
        </is>
      </c>
      <c r="G1204" t="n">
        <v>4</v>
      </c>
      <c r="H1204" t="n">
        <v>3576</v>
      </c>
      <c r="I1204" t="n">
        <v>3796.07</v>
      </c>
      <c r="J1204" t="n">
        <v>1</v>
      </c>
      <c r="K1204" t="inlineStr">
        <is>
          <t>逆5日线（收盘在5日线上，不追空）</t>
        </is>
      </c>
    </row>
    <row r="1205">
      <c r="A1205" t="inlineStr">
        <is>
          <t>2022-11-03</t>
        </is>
      </c>
      <c r="B1205" t="inlineStr">
        <is>
          <t>聚丙烯</t>
        </is>
      </c>
      <c r="C1205" t="inlineStr">
        <is>
          <t>空</t>
        </is>
      </c>
      <c r="D1205" t="n">
        <v>2</v>
      </c>
      <c r="E1205" t="n">
        <v>5</v>
      </c>
      <c r="F1205" t="inlineStr">
        <is>
          <t>观望</t>
        </is>
      </c>
      <c r="G1205" t="n">
        <v>5</v>
      </c>
      <c r="H1205" t="n">
        <v>7589</v>
      </c>
      <c r="I1205" t="n">
        <v>7982.43</v>
      </c>
      <c r="J1205" t="n">
        <v>1</v>
      </c>
      <c r="K1205" t="inlineStr">
        <is>
          <t>逆5日线（收盘在5日线上，不追空）</t>
        </is>
      </c>
    </row>
    <row r="1206">
      <c r="A1206" t="inlineStr">
        <is>
          <t>2022-11-03</t>
        </is>
      </c>
      <c r="B1206" t="inlineStr">
        <is>
          <t>沥青</t>
        </is>
      </c>
      <c r="C1206" t="inlineStr">
        <is>
          <t>空</t>
        </is>
      </c>
      <c r="D1206" t="n">
        <v>2</v>
      </c>
      <c r="E1206" t="n">
        <v>5</v>
      </c>
      <c r="F1206" t="inlineStr">
        <is>
          <t>影子仓</t>
        </is>
      </c>
      <c r="G1206" t="n">
        <v>3</v>
      </c>
      <c r="H1206" t="n">
        <v>3601</v>
      </c>
      <c r="I1206" t="n">
        <v>3898.64</v>
      </c>
      <c r="J1206" t="n">
        <v>1</v>
      </c>
      <c r="K1206" t="inlineStr">
        <is>
          <t>凯利≤0，开1%影子仓（只统计，不计入组合）</t>
        </is>
      </c>
    </row>
    <row r="1207">
      <c r="A1207" t="inlineStr">
        <is>
          <t>2022-11-04</t>
        </is>
      </c>
      <c r="B1207" t="inlineStr">
        <is>
          <t>豆油</t>
        </is>
      </c>
      <c r="C1207" t="inlineStr">
        <is>
          <t>多</t>
        </is>
      </c>
      <c r="D1207" t="n">
        <v>3</v>
      </c>
      <c r="E1207" t="n">
        <v>6</v>
      </c>
      <c r="F1207" t="inlineStr">
        <is>
          <t>续持</t>
        </is>
      </c>
      <c r="G1207" t="n">
        <v>1</v>
      </c>
      <c r="H1207" t="n">
        <v>9654</v>
      </c>
      <c r="I1207" t="n">
        <v>9013.57</v>
      </c>
      <c r="J1207" t="n">
        <v>1</v>
      </c>
      <c r="K1207" t="inlineStr">
        <is>
          <t>续持原仓（2022-11-02开）</t>
        </is>
      </c>
    </row>
    <row r="1208">
      <c r="A1208" t="inlineStr">
        <is>
          <t>2022-11-04</t>
        </is>
      </c>
      <c r="B1208" t="inlineStr">
        <is>
          <t>聚丙烯</t>
        </is>
      </c>
      <c r="C1208" t="inlineStr">
        <is>
          <t>空</t>
        </is>
      </c>
      <c r="D1208" t="n">
        <v>2</v>
      </c>
      <c r="E1208" t="n">
        <v>4</v>
      </c>
      <c r="F1208" t="inlineStr">
        <is>
          <t>观望</t>
        </is>
      </c>
      <c r="G1208" t="n">
        <v>4</v>
      </c>
      <c r="H1208" t="n">
        <v>7675</v>
      </c>
      <c r="I1208" t="n">
        <v>8081.93</v>
      </c>
      <c r="J1208" t="n">
        <v>1</v>
      </c>
      <c r="K1208" t="inlineStr">
        <is>
          <t>逆5日线（收盘在5日线上，不追空）</t>
        </is>
      </c>
    </row>
    <row r="1209">
      <c r="A1209" t="inlineStr">
        <is>
          <t>2022-11-07</t>
        </is>
      </c>
      <c r="B1209" t="inlineStr">
        <is>
          <t>玻璃</t>
        </is>
      </c>
      <c r="C1209" t="inlineStr">
        <is>
          <t>空</t>
        </is>
      </c>
      <c r="D1209" t="n">
        <v>3</v>
      </c>
      <c r="E1209" t="n">
        <v>6</v>
      </c>
      <c r="F1209" t="inlineStr">
        <is>
          <t>观望</t>
        </is>
      </c>
      <c r="H1209" t="n">
        <v>1370</v>
      </c>
      <c r="J1209" t="n">
        <v>0.06</v>
      </c>
      <c r="K1209" t="inlineStr">
        <is>
          <t>逆5日线（收盘在5日线上，不追空）</t>
        </is>
      </c>
    </row>
    <row r="1210">
      <c r="A1210" t="inlineStr">
        <is>
          <t>2022-11-07</t>
        </is>
      </c>
      <c r="B1210" t="inlineStr">
        <is>
          <t>聚丙烯</t>
        </is>
      </c>
      <c r="C1210" t="inlineStr">
        <is>
          <t>空</t>
        </is>
      </c>
      <c r="D1210" t="n">
        <v>3</v>
      </c>
      <c r="E1210" t="n">
        <v>6</v>
      </c>
      <c r="F1210" t="inlineStr">
        <is>
          <t>开仓</t>
        </is>
      </c>
      <c r="G1210" t="n">
        <v>13</v>
      </c>
      <c r="H1210" t="n">
        <v>7562</v>
      </c>
      <c r="I1210" t="n">
        <v>7993.57</v>
      </c>
      <c r="J1210" t="n">
        <v>3</v>
      </c>
      <c r="K1210" t="inlineStr">
        <is>
          <t>¼凯利超上限，取3%</t>
        </is>
      </c>
    </row>
    <row r="1211">
      <c r="A1211" t="inlineStr">
        <is>
          <t>2022-11-08</t>
        </is>
      </c>
      <c r="B1211" t="inlineStr">
        <is>
          <t>沪银</t>
        </is>
      </c>
      <c r="C1211" t="inlineStr">
        <is>
          <t>多</t>
        </is>
      </c>
      <c r="D1211" t="n">
        <v>2</v>
      </c>
      <c r="E1211" t="n">
        <v>5</v>
      </c>
      <c r="F1211" t="inlineStr">
        <is>
          <t>影子仓</t>
        </is>
      </c>
      <c r="G1211" t="n">
        <v>2</v>
      </c>
      <c r="H1211" t="n">
        <v>4795</v>
      </c>
      <c r="I1211" t="n">
        <v>4499.07</v>
      </c>
      <c r="J1211" t="n">
        <v>1</v>
      </c>
      <c r="K1211" t="inlineStr">
        <is>
          <t>凯利≤0，开1%影子仓（只统计，不计入组合）</t>
        </is>
      </c>
    </row>
    <row r="1212">
      <c r="A1212" t="inlineStr">
        <is>
          <t>2022-11-08</t>
        </is>
      </c>
      <c r="B1212" t="inlineStr">
        <is>
          <t>沪锌</t>
        </is>
      </c>
      <c r="C1212" t="inlineStr">
        <is>
          <t>多</t>
        </is>
      </c>
      <c r="D1212" t="n">
        <v>2</v>
      </c>
      <c r="E1212" t="n">
        <v>4</v>
      </c>
      <c r="F1212" t="inlineStr">
        <is>
          <t>影子仓</t>
        </is>
      </c>
      <c r="G1212" t="n">
        <v>1</v>
      </c>
      <c r="H1212" t="n">
        <v>23715</v>
      </c>
      <c r="I1212" t="n">
        <v>21871.07</v>
      </c>
      <c r="J1212" t="n">
        <v>1</v>
      </c>
      <c r="K1212" t="inlineStr">
        <is>
          <t>凯利≤0，开1%影子仓（只统计，不计入组合）</t>
        </is>
      </c>
    </row>
    <row r="1213">
      <c r="A1213" t="inlineStr">
        <is>
          <t>2022-11-09</t>
        </is>
      </c>
      <c r="B1213" t="inlineStr">
        <is>
          <t>沥青</t>
        </is>
      </c>
      <c r="C1213" t="inlineStr">
        <is>
          <t>空</t>
        </is>
      </c>
      <c r="D1213" t="n">
        <v>2</v>
      </c>
      <c r="E1213" t="n">
        <v>5</v>
      </c>
      <c r="F1213" t="inlineStr">
        <is>
          <t>影子仓</t>
        </is>
      </c>
      <c r="G1213" t="n">
        <v>3</v>
      </c>
      <c r="H1213" t="n">
        <v>3626</v>
      </c>
      <c r="I1213" t="n">
        <v>3921.93</v>
      </c>
      <c r="J1213" t="n">
        <v>1</v>
      </c>
      <c r="K1213" t="inlineStr">
        <is>
          <t>凯利≤0，开1%影子仓（只统计，不计入组合）</t>
        </is>
      </c>
    </row>
    <row r="1214">
      <c r="A1214" t="inlineStr">
        <is>
          <t>2022-11-09</t>
        </is>
      </c>
      <c r="B1214" t="inlineStr">
        <is>
          <t>铁矿石</t>
        </is>
      </c>
      <c r="C1214" t="inlineStr">
        <is>
          <t>多</t>
        </is>
      </c>
      <c r="D1214" t="n">
        <v>2</v>
      </c>
      <c r="E1214" t="n">
        <v>4</v>
      </c>
      <c r="F1214" t="inlineStr">
        <is>
          <t>影子仓</t>
        </is>
      </c>
      <c r="G1214" t="n">
        <v>1</v>
      </c>
      <c r="H1214" t="n">
        <v>686</v>
      </c>
      <c r="I1214" t="n">
        <v>616.5700000000001</v>
      </c>
      <c r="J1214" t="n">
        <v>1</v>
      </c>
      <c r="K1214" t="inlineStr">
        <is>
          <t>凯利≤0，开1%影子仓（只统计，不计入组合）</t>
        </is>
      </c>
    </row>
    <row r="1215">
      <c r="A1215" t="inlineStr">
        <is>
          <t>2022-11-09</t>
        </is>
      </c>
      <c r="B1215" t="inlineStr">
        <is>
          <t>聚丙烯</t>
        </is>
      </c>
      <c r="C1215" t="inlineStr">
        <is>
          <t>多</t>
        </is>
      </c>
      <c r="D1215" t="n">
        <v>2</v>
      </c>
      <c r="E1215" t="n">
        <v>4</v>
      </c>
      <c r="F1215" t="inlineStr">
        <is>
          <t>影子仓</t>
        </is>
      </c>
      <c r="G1215" t="n">
        <v>4</v>
      </c>
      <c r="H1215" t="n">
        <v>7669</v>
      </c>
      <c r="I1215" t="n">
        <v>7225.64</v>
      </c>
      <c r="J1215" t="n">
        <v>1</v>
      </c>
      <c r="K1215" t="inlineStr">
        <is>
          <t>凯利≤0，开1%影子仓（只统计，不计入组合）</t>
        </is>
      </c>
    </row>
    <row r="1216">
      <c r="A1216" t="inlineStr">
        <is>
          <t>2022-11-10</t>
        </is>
      </c>
      <c r="B1216" t="inlineStr">
        <is>
          <t>PTA</t>
        </is>
      </c>
      <c r="C1216" t="inlineStr">
        <is>
          <t>空</t>
        </is>
      </c>
      <c r="D1216" t="n">
        <v>3</v>
      </c>
      <c r="E1216" t="n">
        <v>6</v>
      </c>
      <c r="F1216" t="inlineStr">
        <is>
          <t>开仓</t>
        </is>
      </c>
      <c r="G1216" t="n">
        <v>14</v>
      </c>
      <c r="H1216" t="n">
        <v>5254</v>
      </c>
      <c r="I1216" t="n">
        <v>5662.43</v>
      </c>
      <c r="J1216" t="n">
        <v>3</v>
      </c>
      <c r="K1216" t="inlineStr">
        <is>
          <t>¼凯利超上限，取3%</t>
        </is>
      </c>
    </row>
    <row r="1217">
      <c r="A1217" t="inlineStr">
        <is>
          <t>2022-11-10</t>
        </is>
      </c>
      <c r="B1217" t="inlineStr">
        <is>
          <t>甲醇</t>
        </is>
      </c>
      <c r="C1217" t="inlineStr">
        <is>
          <t>空</t>
        </is>
      </c>
      <c r="D1217" t="n">
        <v>2</v>
      </c>
      <c r="E1217" t="n">
        <v>5</v>
      </c>
      <c r="F1217" t="inlineStr">
        <is>
          <t>影子仓</t>
        </is>
      </c>
      <c r="G1217" t="n">
        <v>5</v>
      </c>
      <c r="H1217" t="n">
        <v>2472</v>
      </c>
      <c r="I1217" t="n">
        <v>2670.21</v>
      </c>
      <c r="J1217" t="n">
        <v>1</v>
      </c>
      <c r="K1217" t="inlineStr">
        <is>
          <t>凯利≤0，开1%影子仓（只统计，不计入组合）</t>
        </is>
      </c>
    </row>
    <row r="1218">
      <c r="A1218" t="inlineStr">
        <is>
          <t>2022-11-10</t>
        </is>
      </c>
      <c r="B1218" t="inlineStr">
        <is>
          <t>沪银</t>
        </is>
      </c>
      <c r="C1218" t="inlineStr">
        <is>
          <t>多</t>
        </is>
      </c>
      <c r="D1218" t="n">
        <v>2</v>
      </c>
      <c r="E1218" t="n">
        <v>5</v>
      </c>
      <c r="F1218" t="inlineStr">
        <is>
          <t>影子仓</t>
        </is>
      </c>
      <c r="G1218" t="n">
        <v>1</v>
      </c>
      <c r="H1218" t="n">
        <v>4919</v>
      </c>
      <c r="I1218" t="n">
        <v>4585.14</v>
      </c>
      <c r="J1218" t="n">
        <v>1</v>
      </c>
      <c r="K1218" t="inlineStr">
        <is>
          <t>凯利≤0，开1%影子仓（只统计，不计入组合）</t>
        </is>
      </c>
    </row>
    <row r="1219">
      <c r="A1219" t="inlineStr">
        <is>
          <t>2022-11-10</t>
        </is>
      </c>
      <c r="B1219" t="inlineStr">
        <is>
          <t>菜粕</t>
        </is>
      </c>
      <c r="C1219" t="inlineStr">
        <is>
          <t>多</t>
        </is>
      </c>
      <c r="D1219" t="n">
        <v>2</v>
      </c>
      <c r="E1219" t="n">
        <v>4</v>
      </c>
      <c r="F1219" t="inlineStr">
        <is>
          <t>影子仓</t>
        </is>
      </c>
      <c r="G1219" t="n">
        <v>4</v>
      </c>
      <c r="H1219" t="n">
        <v>3219</v>
      </c>
      <c r="I1219" t="n">
        <v>2984.57</v>
      </c>
      <c r="J1219" t="n">
        <v>1</v>
      </c>
      <c r="K1219" t="inlineStr">
        <is>
          <t>凯利≤0，开1%影子仓（只统计，不计入组合）</t>
        </is>
      </c>
    </row>
    <row r="1220">
      <c r="A1220" t="inlineStr">
        <is>
          <t>2022-11-11</t>
        </is>
      </c>
      <c r="B1220" t="inlineStr">
        <is>
          <t>沪铜</t>
        </is>
      </c>
      <c r="C1220" t="inlineStr">
        <is>
          <t>多</t>
        </is>
      </c>
      <c r="D1220" t="n">
        <v>3</v>
      </c>
      <c r="E1220" t="n">
        <v>6</v>
      </c>
      <c r="F1220" t="inlineStr">
        <is>
          <t>开仓</t>
        </is>
      </c>
      <c r="G1220" t="n">
        <v>1</v>
      </c>
      <c r="H1220" t="n">
        <v>67630</v>
      </c>
      <c r="I1220" t="n">
        <v>64083.57</v>
      </c>
      <c r="J1220" t="n">
        <v>3</v>
      </c>
      <c r="K1220" t="inlineStr">
        <is>
          <t>¼凯利超上限，取3%</t>
        </is>
      </c>
    </row>
    <row r="1221">
      <c r="A1221" t="inlineStr">
        <is>
          <t>2022-11-11</t>
        </is>
      </c>
      <c r="B1221" t="inlineStr">
        <is>
          <t>螺纹钢</t>
        </is>
      </c>
      <c r="C1221" t="inlineStr">
        <is>
          <t>多</t>
        </is>
      </c>
      <c r="D1221" t="n">
        <v>2</v>
      </c>
      <c r="E1221" t="n">
        <v>5</v>
      </c>
      <c r="F1221" t="inlineStr">
        <is>
          <t>影子仓</t>
        </is>
      </c>
      <c r="G1221" t="n">
        <v>4</v>
      </c>
      <c r="H1221" t="n">
        <v>3637</v>
      </c>
      <c r="I1221" t="n">
        <v>3396.57</v>
      </c>
      <c r="J1221" t="n">
        <v>1</v>
      </c>
      <c r="K1221" t="inlineStr">
        <is>
          <t>凯利≤0，开1%影子仓（只统计，不计入组合）</t>
        </is>
      </c>
    </row>
    <row r="1222">
      <c r="A1222" t="inlineStr">
        <is>
          <t>2022-11-11</t>
        </is>
      </c>
      <c r="B1222" t="inlineStr">
        <is>
          <t>聚丙烯</t>
        </is>
      </c>
      <c r="C1222" t="inlineStr">
        <is>
          <t>多</t>
        </is>
      </c>
      <c r="D1222" t="n">
        <v>2</v>
      </c>
      <c r="E1222" t="n">
        <v>4</v>
      </c>
      <c r="F1222" t="inlineStr">
        <is>
          <t>续持</t>
        </is>
      </c>
      <c r="G1222" t="n">
        <v>4</v>
      </c>
      <c r="H1222" t="n">
        <v>7744</v>
      </c>
      <c r="I1222" t="n">
        <v>7277.86</v>
      </c>
      <c r="J1222" t="n">
        <v>1</v>
      </c>
      <c r="K1222" t="inlineStr">
        <is>
          <t>续持原仓（2022-11-09开）</t>
        </is>
      </c>
    </row>
    <row r="1223">
      <c r="A1223" t="inlineStr">
        <is>
          <t>2022-11-14</t>
        </is>
      </c>
      <c r="B1223" t="inlineStr">
        <is>
          <t>棉花</t>
        </is>
      </c>
      <c r="C1223" t="inlineStr">
        <is>
          <t>空</t>
        </is>
      </c>
      <c r="D1223" t="n">
        <v>2</v>
      </c>
      <c r="E1223" t="n">
        <v>5</v>
      </c>
      <c r="F1223" t="inlineStr">
        <is>
          <t>观望</t>
        </is>
      </c>
      <c r="G1223" t="n">
        <v>2</v>
      </c>
      <c r="H1223" t="n">
        <v>13230</v>
      </c>
      <c r="I1223" t="n">
        <v>14202.86</v>
      </c>
      <c r="J1223" t="n">
        <v>1</v>
      </c>
      <c r="K1223" t="inlineStr">
        <is>
          <t>逆5日线（收盘在5日线上，不追空）</t>
        </is>
      </c>
    </row>
    <row r="1224">
      <c r="A1224" t="inlineStr">
        <is>
          <t>2022-11-14</t>
        </is>
      </c>
      <c r="B1224" t="inlineStr">
        <is>
          <t>沪金</t>
        </is>
      </c>
      <c r="C1224" t="inlineStr">
        <is>
          <t>多</t>
        </is>
      </c>
      <c r="D1224" t="n">
        <v>2</v>
      </c>
      <c r="E1224" t="n">
        <v>4</v>
      </c>
      <c r="F1224" t="inlineStr">
        <is>
          <t>不做</t>
        </is>
      </c>
      <c r="H1224" t="n">
        <v>403.6</v>
      </c>
      <c r="J1224" t="n">
        <v>1</v>
      </c>
      <c r="K1224" t="inlineStr">
        <is>
          <t>1手风险10179元超过预算10000元</t>
        </is>
      </c>
    </row>
    <row r="1225">
      <c r="A1225" t="inlineStr">
        <is>
          <t>2022-11-14</t>
        </is>
      </c>
      <c r="B1225" t="inlineStr">
        <is>
          <t>聚丙烯</t>
        </is>
      </c>
      <c r="C1225" t="inlineStr">
        <is>
          <t>多</t>
        </is>
      </c>
      <c r="D1225" t="n">
        <v>2</v>
      </c>
      <c r="E1225" t="n">
        <v>4</v>
      </c>
      <c r="F1225" t="inlineStr">
        <is>
          <t>续持</t>
        </is>
      </c>
      <c r="G1225" t="n">
        <v>4</v>
      </c>
      <c r="H1225" t="n">
        <v>7778</v>
      </c>
      <c r="I1225" t="n">
        <v>7354.86</v>
      </c>
      <c r="J1225" t="n">
        <v>1</v>
      </c>
      <c r="K1225" t="inlineStr">
        <is>
          <t>续持原仓（2022-11-09开）</t>
        </is>
      </c>
    </row>
    <row r="1226">
      <c r="A1226" t="inlineStr">
        <is>
          <t>2022-11-15</t>
        </is>
      </c>
      <c r="B1226" t="inlineStr">
        <is>
          <t>铁矿石</t>
        </is>
      </c>
      <c r="C1226" t="inlineStr">
        <is>
          <t>多</t>
        </is>
      </c>
      <c r="D1226" t="n">
        <v>2</v>
      </c>
      <c r="E1226" t="n">
        <v>5</v>
      </c>
      <c r="F1226" t="inlineStr">
        <is>
          <t>影子仓</t>
        </is>
      </c>
      <c r="G1226" t="n">
        <v>1</v>
      </c>
      <c r="H1226" t="n">
        <v>719</v>
      </c>
      <c r="I1226" t="n">
        <v>642.29</v>
      </c>
      <c r="J1226" t="n">
        <v>1</v>
      </c>
      <c r="K1226" t="inlineStr">
        <is>
          <t>凯利≤0，开1%影子仓（只统计，不计入组合）</t>
        </is>
      </c>
    </row>
    <row r="1227">
      <c r="A1227" t="inlineStr">
        <is>
          <t>2022-11-15</t>
        </is>
      </c>
      <c r="B1227" t="inlineStr">
        <is>
          <t>热卷</t>
        </is>
      </c>
      <c r="C1227" t="inlineStr">
        <is>
          <t>多</t>
        </is>
      </c>
      <c r="D1227" t="n">
        <v>2</v>
      </c>
      <c r="E1227" t="n">
        <v>5</v>
      </c>
      <c r="F1227" t="inlineStr">
        <is>
          <t>影子仓</t>
        </is>
      </c>
      <c r="G1227" t="n">
        <v>4</v>
      </c>
      <c r="H1227" t="n">
        <v>3780</v>
      </c>
      <c r="I1227" t="n">
        <v>3553.07</v>
      </c>
      <c r="J1227" t="n">
        <v>1</v>
      </c>
      <c r="K1227" t="inlineStr">
        <is>
          <t>凯利≤0，开1%影子仓（只统计，不计入组合）</t>
        </is>
      </c>
    </row>
    <row r="1228">
      <c r="A1228" t="inlineStr">
        <is>
          <t>2022-11-15</t>
        </is>
      </c>
      <c r="B1228" t="inlineStr">
        <is>
          <t>沪镍</t>
        </is>
      </c>
      <c r="C1228" t="inlineStr">
        <is>
          <t>多</t>
        </is>
      </c>
      <c r="D1228" t="n">
        <v>2</v>
      </c>
      <c r="E1228" t="n">
        <v>4</v>
      </c>
      <c r="F1228" t="inlineStr">
        <is>
          <t>不做</t>
        </is>
      </c>
      <c r="H1228" t="n">
        <v>206460</v>
      </c>
      <c r="J1228" t="n">
        <v>1</v>
      </c>
      <c r="K1228" t="inlineStr">
        <is>
          <t>1手风险23012元超过预算10000元</t>
        </is>
      </c>
    </row>
    <row r="1229">
      <c r="A1229" t="inlineStr">
        <is>
          <t>2022-11-16</t>
        </is>
      </c>
      <c r="B1229" t="inlineStr">
        <is>
          <t>沪金</t>
        </is>
      </c>
      <c r="C1229" t="inlineStr">
        <is>
          <t>多</t>
        </is>
      </c>
      <c r="D1229" t="n">
        <v>2</v>
      </c>
      <c r="E1229" t="n">
        <v>5</v>
      </c>
      <c r="F1229" t="inlineStr">
        <is>
          <t>不做</t>
        </is>
      </c>
      <c r="H1229" t="n">
        <v>407.12</v>
      </c>
      <c r="J1229" t="n">
        <v>1</v>
      </c>
      <c r="K1229" t="inlineStr">
        <is>
          <t>1手风险10753元超过预算10000元</t>
        </is>
      </c>
    </row>
    <row r="1230">
      <c r="A1230" t="inlineStr">
        <is>
          <t>2022-11-16</t>
        </is>
      </c>
      <c r="B1230" t="inlineStr">
        <is>
          <t>玉米</t>
        </is>
      </c>
      <c r="C1230" t="inlineStr">
        <is>
          <t>空</t>
        </is>
      </c>
      <c r="D1230" t="n">
        <v>2</v>
      </c>
      <c r="E1230" t="n">
        <v>5</v>
      </c>
      <c r="F1230" t="inlineStr">
        <is>
          <t>影子仓</t>
        </is>
      </c>
      <c r="G1230" t="n">
        <v>10</v>
      </c>
      <c r="H1230" t="n">
        <v>2828</v>
      </c>
      <c r="I1230" t="n">
        <v>2924.86</v>
      </c>
      <c r="J1230" t="n">
        <v>1</v>
      </c>
      <c r="K1230" t="inlineStr">
        <is>
          <t>凯利≤0，开1%影子仓（只统计，不计入组合）</t>
        </is>
      </c>
    </row>
    <row r="1231">
      <c r="A1231" t="inlineStr">
        <is>
          <t>2022-11-16</t>
        </is>
      </c>
      <c r="B1231" t="inlineStr">
        <is>
          <t>沪镍</t>
        </is>
      </c>
      <c r="C1231" t="inlineStr">
        <is>
          <t>多</t>
        </is>
      </c>
      <c r="D1231" t="n">
        <v>2</v>
      </c>
      <c r="E1231" t="n">
        <v>5</v>
      </c>
      <c r="F1231" t="inlineStr">
        <is>
          <t>不做</t>
        </is>
      </c>
      <c r="H1231" t="n">
        <v>206370</v>
      </c>
      <c r="J1231" t="n">
        <v>1</v>
      </c>
      <c r="K1231" t="inlineStr">
        <is>
          <t>1手风险23233元超过预算10000元</t>
        </is>
      </c>
    </row>
    <row r="1232">
      <c r="A1232" t="inlineStr">
        <is>
          <t>2022-11-16</t>
        </is>
      </c>
      <c r="B1232" t="inlineStr">
        <is>
          <t>铁矿石</t>
        </is>
      </c>
      <c r="C1232" t="inlineStr">
        <is>
          <t>多</t>
        </is>
      </c>
      <c r="D1232" t="n">
        <v>2</v>
      </c>
      <c r="E1232" t="n">
        <v>5</v>
      </c>
      <c r="F1232" t="inlineStr">
        <is>
          <t>续持</t>
        </is>
      </c>
      <c r="G1232" t="n">
        <v>1</v>
      </c>
      <c r="H1232" t="n">
        <v>734</v>
      </c>
      <c r="I1232" t="n">
        <v>663.64</v>
      </c>
      <c r="J1232" t="n">
        <v>1</v>
      </c>
      <c r="K1232" t="inlineStr">
        <is>
          <t>续持原仓（2022-11-15开）</t>
        </is>
      </c>
    </row>
    <row r="1233">
      <c r="A1233" t="inlineStr">
        <is>
          <t>2022-11-16</t>
        </is>
      </c>
      <c r="B1233" t="inlineStr">
        <is>
          <t>纯碱</t>
        </is>
      </c>
      <c r="C1233" t="inlineStr">
        <is>
          <t>多</t>
        </is>
      </c>
      <c r="D1233" t="n">
        <v>2</v>
      </c>
      <c r="E1233" t="n">
        <v>5</v>
      </c>
      <c r="F1233" t="inlineStr">
        <is>
          <t>影子仓</t>
        </is>
      </c>
      <c r="G1233" t="n">
        <v>2</v>
      </c>
      <c r="H1233" t="n">
        <v>2575</v>
      </c>
      <c r="I1233" t="n">
        <v>2390.5</v>
      </c>
      <c r="J1233" t="n">
        <v>1</v>
      </c>
      <c r="K1233" t="inlineStr">
        <is>
          <t>凯利≤0，开1%影子仓（只统计，不计入组合）</t>
        </is>
      </c>
    </row>
    <row r="1234">
      <c r="A1234" t="inlineStr">
        <is>
          <t>2022-11-16</t>
        </is>
      </c>
      <c r="B1234" t="inlineStr">
        <is>
          <t>螺纹钢</t>
        </is>
      </c>
      <c r="C1234" t="inlineStr">
        <is>
          <t>多</t>
        </is>
      </c>
      <c r="D1234" t="n">
        <v>2</v>
      </c>
      <c r="E1234" t="n">
        <v>4</v>
      </c>
      <c r="F1234" t="inlineStr">
        <is>
          <t>影子仓</t>
        </is>
      </c>
      <c r="G1234" t="n">
        <v>4</v>
      </c>
      <c r="H1234" t="n">
        <v>3742</v>
      </c>
      <c r="I1234" t="n">
        <v>3500.29</v>
      </c>
      <c r="J1234" t="n">
        <v>1</v>
      </c>
      <c r="K1234" t="inlineStr">
        <is>
          <t>凯利≤0，开1%影子仓（只统计，不计入组合）</t>
        </is>
      </c>
    </row>
    <row r="1235">
      <c r="A1235" t="inlineStr">
        <is>
          <t>2022-11-17</t>
        </is>
      </c>
      <c r="B1235" t="inlineStr">
        <is>
          <t>沪金</t>
        </is>
      </c>
      <c r="C1235" t="inlineStr">
        <is>
          <t>多</t>
        </is>
      </c>
      <c r="D1235" t="n">
        <v>3</v>
      </c>
      <c r="E1235" t="n">
        <v>6</v>
      </c>
      <c r="F1235" t="inlineStr">
        <is>
          <t>开仓</t>
        </is>
      </c>
      <c r="G1235" t="n">
        <v>2</v>
      </c>
      <c r="H1235" t="n">
        <v>407.7</v>
      </c>
      <c r="I1235" t="n">
        <v>396.78</v>
      </c>
      <c r="J1235" t="n">
        <v>2.94</v>
      </c>
      <c r="K1235" t="inlineStr">
        <is>
          <t>¼凯利</t>
        </is>
      </c>
    </row>
    <row r="1236">
      <c r="A1236" t="inlineStr">
        <is>
          <t>2022-11-17</t>
        </is>
      </c>
      <c r="B1236" t="inlineStr">
        <is>
          <t>玉米</t>
        </is>
      </c>
      <c r="C1236" t="inlineStr">
        <is>
          <t>空</t>
        </is>
      </c>
      <c r="D1236" t="n">
        <v>2</v>
      </c>
      <c r="E1236" t="n">
        <v>5</v>
      </c>
      <c r="F1236" t="inlineStr">
        <is>
          <t>续持</t>
        </is>
      </c>
      <c r="G1236" t="n">
        <v>10</v>
      </c>
      <c r="H1236" t="n">
        <v>2814</v>
      </c>
      <c r="I1236" t="n">
        <v>2905.36</v>
      </c>
      <c r="J1236" t="n">
        <v>1</v>
      </c>
      <c r="K1236" t="inlineStr">
        <is>
          <t>续持原仓（2022-11-16开）</t>
        </is>
      </c>
    </row>
    <row r="1237">
      <c r="A1237" t="inlineStr">
        <is>
          <t>2022-11-17</t>
        </is>
      </c>
      <c r="B1237" t="inlineStr">
        <is>
          <t>白糖</t>
        </is>
      </c>
      <c r="C1237" t="inlineStr">
        <is>
          <t>多</t>
        </is>
      </c>
      <c r="D1237" t="n">
        <v>2</v>
      </c>
      <c r="E1237" t="n">
        <v>4</v>
      </c>
      <c r="F1237" t="inlineStr">
        <is>
          <t>影子仓</t>
        </is>
      </c>
      <c r="G1237" t="n">
        <v>5</v>
      </c>
      <c r="H1237" t="n">
        <v>5761</v>
      </c>
      <c r="I1237" t="n">
        <v>5590</v>
      </c>
      <c r="J1237" t="n">
        <v>1</v>
      </c>
      <c r="K1237" t="inlineStr">
        <is>
          <t>凯利≤0，开1%影子仓（只统计，不计入组合）</t>
        </is>
      </c>
    </row>
    <row r="1238">
      <c r="A1238" t="inlineStr">
        <is>
          <t>2022-11-17</t>
        </is>
      </c>
      <c r="B1238" t="inlineStr">
        <is>
          <t>纯碱</t>
        </is>
      </c>
      <c r="C1238" t="inlineStr">
        <is>
          <t>多</t>
        </is>
      </c>
      <c r="D1238" t="n">
        <v>2</v>
      </c>
      <c r="E1238" t="n">
        <v>4</v>
      </c>
      <c r="F1238" t="inlineStr">
        <is>
          <t>续持</t>
        </is>
      </c>
      <c r="G1238" t="n">
        <v>2</v>
      </c>
      <c r="H1238" t="n">
        <v>2591</v>
      </c>
      <c r="I1238" t="n">
        <v>2419.93</v>
      </c>
      <c r="J1238" t="n">
        <v>1</v>
      </c>
      <c r="K1238" t="inlineStr">
        <is>
          <t>续持原仓（2022-11-16开）</t>
        </is>
      </c>
    </row>
    <row r="1239">
      <c r="A1239" t="inlineStr">
        <is>
          <t>2022-11-17</t>
        </is>
      </c>
      <c r="B1239" t="inlineStr">
        <is>
          <t>沪银</t>
        </is>
      </c>
      <c r="C1239" t="inlineStr">
        <is>
          <t>多</t>
        </is>
      </c>
      <c r="D1239" t="n">
        <v>2</v>
      </c>
      <c r="E1239" t="n">
        <v>4</v>
      </c>
      <c r="F1239" t="inlineStr">
        <is>
          <t>观望</t>
        </is>
      </c>
      <c r="G1239" t="n">
        <v>1</v>
      </c>
      <c r="H1239" t="n">
        <v>4909</v>
      </c>
      <c r="I1239" t="n">
        <v>4539.14</v>
      </c>
      <c r="J1239" t="n">
        <v>1</v>
      </c>
      <c r="K1239" t="inlineStr">
        <is>
          <t>逆5日线（收盘在5日线下，不追多）</t>
        </is>
      </c>
    </row>
    <row r="1240">
      <c r="A1240" t="inlineStr">
        <is>
          <t>2022-11-17</t>
        </is>
      </c>
      <c r="B1240" t="inlineStr">
        <is>
          <t>棉花</t>
        </is>
      </c>
      <c r="C1240" t="inlineStr">
        <is>
          <t>多</t>
        </is>
      </c>
      <c r="D1240" t="n">
        <v>2</v>
      </c>
      <c r="E1240" t="n">
        <v>4</v>
      </c>
      <c r="F1240" t="inlineStr">
        <is>
          <t>影子仓</t>
        </is>
      </c>
      <c r="G1240" t="n">
        <v>2</v>
      </c>
      <c r="H1240" t="n">
        <v>13510</v>
      </c>
      <c r="I1240" t="n">
        <v>12555.36</v>
      </c>
      <c r="J1240" t="n">
        <v>1</v>
      </c>
      <c r="K1240" t="inlineStr">
        <is>
          <t>凯利≤0，开1%影子仓（只统计，不计入组合）</t>
        </is>
      </c>
    </row>
    <row r="1241">
      <c r="A1241" t="inlineStr">
        <is>
          <t>2022-11-18</t>
        </is>
      </c>
      <c r="B1241" t="inlineStr">
        <is>
          <t>纯碱</t>
        </is>
      </c>
      <c r="C1241" t="inlineStr">
        <is>
          <t>多</t>
        </is>
      </c>
      <c r="D1241" t="n">
        <v>3</v>
      </c>
      <c r="E1241" t="n">
        <v>7</v>
      </c>
      <c r="F1241" t="inlineStr">
        <is>
          <t>续持</t>
        </is>
      </c>
      <c r="G1241" t="n">
        <v>2</v>
      </c>
      <c r="H1241" t="n">
        <v>2610</v>
      </c>
      <c r="I1241" t="n">
        <v>2442.93</v>
      </c>
      <c r="J1241" t="n">
        <v>1</v>
      </c>
      <c r="K1241" t="inlineStr">
        <is>
          <t>续持原仓（2022-11-16开）</t>
        </is>
      </c>
    </row>
    <row r="1242">
      <c r="A1242" t="inlineStr">
        <is>
          <t>2022-11-18</t>
        </is>
      </c>
      <c r="B1242" t="inlineStr">
        <is>
          <t>沪金</t>
        </is>
      </c>
      <c r="C1242" t="inlineStr">
        <is>
          <t>多</t>
        </is>
      </c>
      <c r="D1242" t="n">
        <v>3</v>
      </c>
      <c r="E1242" t="n">
        <v>6</v>
      </c>
      <c r="F1242" t="inlineStr">
        <is>
          <t>续持</t>
        </is>
      </c>
      <c r="G1242" t="n">
        <v>2</v>
      </c>
      <c r="H1242" t="n">
        <v>407.42</v>
      </c>
      <c r="I1242" t="n">
        <v>397.7</v>
      </c>
      <c r="J1242" t="n">
        <v>2.94</v>
      </c>
      <c r="K1242" t="inlineStr">
        <is>
          <t>续持原仓（2022-11-17开）</t>
        </is>
      </c>
    </row>
    <row r="1243">
      <c r="A1243" t="inlineStr">
        <is>
          <t>2022-11-18</t>
        </is>
      </c>
      <c r="B1243" t="inlineStr">
        <is>
          <t>沪铝</t>
        </is>
      </c>
      <c r="C1243" t="inlineStr">
        <is>
          <t>多</t>
        </is>
      </c>
      <c r="D1243" t="n">
        <v>3</v>
      </c>
      <c r="E1243" t="n">
        <v>6</v>
      </c>
      <c r="F1243" t="inlineStr">
        <is>
          <t>开仓</t>
        </is>
      </c>
      <c r="G1243" t="n">
        <v>5</v>
      </c>
      <c r="H1243" t="n">
        <v>19200</v>
      </c>
      <c r="I1243" t="n">
        <v>18176.79</v>
      </c>
      <c r="J1243" t="n">
        <v>2.94</v>
      </c>
      <c r="K1243" t="inlineStr">
        <is>
          <t>¼凯利</t>
        </is>
      </c>
    </row>
    <row r="1244">
      <c r="A1244" t="inlineStr">
        <is>
          <t>2022-11-18</t>
        </is>
      </c>
      <c r="B1244" t="inlineStr">
        <is>
          <t>铁矿石</t>
        </is>
      </c>
      <c r="C1244" t="inlineStr">
        <is>
          <t>多</t>
        </is>
      </c>
      <c r="D1244" t="n">
        <v>2</v>
      </c>
      <c r="E1244" t="n">
        <v>5</v>
      </c>
      <c r="F1244" t="inlineStr">
        <is>
          <t>影子仓</t>
        </is>
      </c>
      <c r="G1244" t="n">
        <v>1</v>
      </c>
      <c r="H1244" t="n">
        <v>753.5</v>
      </c>
      <c r="I1244" t="n">
        <v>677.3200000000001</v>
      </c>
      <c r="J1244" t="n">
        <v>1</v>
      </c>
      <c r="K1244" t="inlineStr">
        <is>
          <t>凯利≤0，开1%影子仓（只统计，不计入组合）</t>
        </is>
      </c>
    </row>
    <row r="1245">
      <c r="A1245" t="inlineStr">
        <is>
          <t>2022-11-18</t>
        </is>
      </c>
      <c r="B1245" t="inlineStr">
        <is>
          <t>棉花</t>
        </is>
      </c>
      <c r="C1245" t="inlineStr">
        <is>
          <t>多</t>
        </is>
      </c>
      <c r="D1245" t="n">
        <v>2</v>
      </c>
      <c r="E1245" t="n">
        <v>4</v>
      </c>
      <c r="F1245" t="inlineStr">
        <is>
          <t>续持</t>
        </is>
      </c>
      <c r="G1245" t="n">
        <v>2</v>
      </c>
      <c r="H1245" t="n">
        <v>13555</v>
      </c>
      <c r="I1245" t="n">
        <v>12727.5</v>
      </c>
      <c r="J1245" t="n">
        <v>1</v>
      </c>
      <c r="K1245" t="inlineStr">
        <is>
          <t>续持原仓（2022-11-17开）</t>
        </is>
      </c>
    </row>
    <row r="1246">
      <c r="A1246" t="inlineStr">
        <is>
          <t>2022-11-21</t>
        </is>
      </c>
      <c r="B1246" t="inlineStr">
        <is>
          <t>纯碱</t>
        </is>
      </c>
      <c r="C1246" t="inlineStr">
        <is>
          <t>多</t>
        </is>
      </c>
      <c r="D1246" t="n">
        <v>2</v>
      </c>
      <c r="E1246" t="n">
        <v>5</v>
      </c>
      <c r="F1246" t="inlineStr">
        <is>
          <t>续持</t>
        </is>
      </c>
      <c r="G1246" t="n">
        <v>2</v>
      </c>
      <c r="H1246" t="n">
        <v>2620</v>
      </c>
      <c r="I1246" t="n">
        <v>2457.14</v>
      </c>
      <c r="J1246" t="n">
        <v>1</v>
      </c>
      <c r="K1246" t="inlineStr">
        <is>
          <t>续持原仓（2022-11-16开）</t>
        </is>
      </c>
    </row>
    <row r="1247">
      <c r="A1247" t="inlineStr">
        <is>
          <t>2022-11-21</t>
        </is>
      </c>
      <c r="B1247" t="inlineStr">
        <is>
          <t>沪金</t>
        </is>
      </c>
      <c r="C1247" t="inlineStr">
        <is>
          <t>多</t>
        </is>
      </c>
      <c r="D1247" t="n">
        <v>2</v>
      </c>
      <c r="E1247" t="n">
        <v>4</v>
      </c>
      <c r="F1247" t="inlineStr">
        <is>
          <t>观望</t>
        </is>
      </c>
      <c r="H1247" t="n">
        <v>405.2</v>
      </c>
      <c r="J1247" t="n">
        <v>1</v>
      </c>
      <c r="K1247" t="inlineStr">
        <is>
          <t>逆5日线（收盘在5日线下，不追多）</t>
        </is>
      </c>
    </row>
    <row r="1248">
      <c r="A1248" t="inlineStr">
        <is>
          <t>2022-11-21</t>
        </is>
      </c>
      <c r="B1248" t="inlineStr">
        <is>
          <t>玉米</t>
        </is>
      </c>
      <c r="C1248" t="inlineStr">
        <is>
          <t>空</t>
        </is>
      </c>
      <c r="D1248" t="n">
        <v>2</v>
      </c>
      <c r="E1248" t="n">
        <v>4</v>
      </c>
      <c r="F1248" t="inlineStr">
        <is>
          <t>观望</t>
        </is>
      </c>
      <c r="G1248" t="n">
        <v>10</v>
      </c>
      <c r="H1248" t="n">
        <v>2853</v>
      </c>
      <c r="I1248" t="n">
        <v>2945.36</v>
      </c>
      <c r="J1248" t="n">
        <v>1</v>
      </c>
      <c r="K1248" t="inlineStr">
        <is>
          <t>逆5日线（收盘在5日线上，不追空）</t>
        </is>
      </c>
    </row>
    <row r="1249">
      <c r="A1249" t="inlineStr">
        <is>
          <t>2022-11-22</t>
        </is>
      </c>
      <c r="B1249" t="inlineStr">
        <is>
          <t>沪金</t>
        </is>
      </c>
      <c r="C1249" t="inlineStr">
        <is>
          <t>多</t>
        </is>
      </c>
      <c r="D1249" t="n">
        <v>2</v>
      </c>
      <c r="E1249" t="n">
        <v>4</v>
      </c>
      <c r="F1249" t="inlineStr">
        <is>
          <t>观望</t>
        </is>
      </c>
      <c r="H1249" t="n">
        <v>404.86</v>
      </c>
      <c r="J1249" t="n">
        <v>1</v>
      </c>
      <c r="K1249" t="inlineStr">
        <is>
          <t>逆5日线（收盘在5日线下，不追多）</t>
        </is>
      </c>
    </row>
    <row r="1250">
      <c r="A1250" t="inlineStr">
        <is>
          <t>2022-11-22</t>
        </is>
      </c>
      <c r="B1250" t="inlineStr">
        <is>
          <t>乙二醇</t>
        </is>
      </c>
      <c r="C1250" t="inlineStr">
        <is>
          <t>多</t>
        </is>
      </c>
      <c r="D1250" t="n">
        <v>2</v>
      </c>
      <c r="E1250" t="n">
        <v>4</v>
      </c>
      <c r="F1250" t="inlineStr">
        <is>
          <t>观望</t>
        </is>
      </c>
      <c r="G1250" t="n">
        <v>3</v>
      </c>
      <c r="H1250" t="n">
        <v>3810</v>
      </c>
      <c r="I1250" t="n">
        <v>3512.79</v>
      </c>
      <c r="J1250" t="n">
        <v>1</v>
      </c>
      <c r="K1250" t="inlineStr">
        <is>
          <t>逆5日线（收盘在5日线下，不追多）</t>
        </is>
      </c>
    </row>
    <row r="1251">
      <c r="A1251" t="inlineStr">
        <is>
          <t>2022-11-22</t>
        </is>
      </c>
      <c r="B1251" t="inlineStr">
        <is>
          <t>沪锌</t>
        </is>
      </c>
      <c r="C1251" t="inlineStr">
        <is>
          <t>空</t>
        </is>
      </c>
      <c r="D1251" t="n">
        <v>2</v>
      </c>
      <c r="E1251" t="n">
        <v>4</v>
      </c>
      <c r="F1251" t="inlineStr">
        <is>
          <t>影子仓</t>
        </is>
      </c>
      <c r="G1251" t="n">
        <v>1</v>
      </c>
      <c r="H1251" t="n">
        <v>23690</v>
      </c>
      <c r="I1251" t="n">
        <v>25338.93</v>
      </c>
      <c r="J1251" t="n">
        <v>1</v>
      </c>
      <c r="K1251" t="inlineStr">
        <is>
          <t>凯利≤0，开1%影子仓（只统计，不计入组合）</t>
        </is>
      </c>
    </row>
    <row r="1252">
      <c r="A1252" t="inlineStr">
        <is>
          <t>2022-11-23</t>
        </is>
      </c>
      <c r="B1252" t="inlineStr">
        <is>
          <t>纯碱</t>
        </is>
      </c>
      <c r="C1252" t="inlineStr">
        <is>
          <t>多</t>
        </is>
      </c>
      <c r="D1252" t="n">
        <v>3</v>
      </c>
      <c r="E1252" t="n">
        <v>7</v>
      </c>
      <c r="F1252" t="inlineStr">
        <is>
          <t>开仓</t>
        </is>
      </c>
      <c r="G1252" t="n">
        <v>8</v>
      </c>
      <c r="H1252" t="n">
        <v>2635</v>
      </c>
      <c r="I1252" t="n">
        <v>2470</v>
      </c>
      <c r="J1252" t="n">
        <v>2.91</v>
      </c>
      <c r="K1252" t="inlineStr">
        <is>
          <t>¼凯利</t>
        </is>
      </c>
    </row>
    <row r="1253">
      <c r="A1253" t="inlineStr">
        <is>
          <t>2022-11-23</t>
        </is>
      </c>
      <c r="B1253" t="inlineStr">
        <is>
          <t>热卷</t>
        </is>
      </c>
      <c r="C1253" t="inlineStr">
        <is>
          <t>多</t>
        </is>
      </c>
      <c r="D1253" t="n">
        <v>3</v>
      </c>
      <c r="E1253" t="n">
        <v>6</v>
      </c>
      <c r="F1253" t="inlineStr">
        <is>
          <t>观望</t>
        </is>
      </c>
      <c r="G1253" t="n">
        <v>5</v>
      </c>
      <c r="H1253" t="n">
        <v>3774</v>
      </c>
      <c r="I1253" t="n">
        <v>3570.64</v>
      </c>
      <c r="J1253" t="n">
        <v>1.21</v>
      </c>
      <c r="K1253" t="inlineStr">
        <is>
          <t>逆5日线（收盘在5日线下，不追多）</t>
        </is>
      </c>
    </row>
    <row r="1254">
      <c r="A1254" t="inlineStr">
        <is>
          <t>2022-11-23</t>
        </is>
      </c>
      <c r="B1254" t="inlineStr">
        <is>
          <t>沪金</t>
        </is>
      </c>
      <c r="C1254" t="inlineStr">
        <is>
          <t>多</t>
        </is>
      </c>
      <c r="D1254" t="n">
        <v>2</v>
      </c>
      <c r="E1254" t="n">
        <v>5</v>
      </c>
      <c r="F1254" t="inlineStr">
        <is>
          <t>观望</t>
        </is>
      </c>
      <c r="H1254" t="n">
        <v>404.66</v>
      </c>
      <c r="J1254" t="n">
        <v>1</v>
      </c>
      <c r="K1254" t="inlineStr">
        <is>
          <t>逆5日线（收盘在5日线下，不追多）</t>
        </is>
      </c>
    </row>
    <row r="1255">
      <c r="A1255" t="inlineStr">
        <is>
          <t>2022-11-23</t>
        </is>
      </c>
      <c r="B1255" t="inlineStr">
        <is>
          <t>螺纹钢</t>
        </is>
      </c>
      <c r="C1255" t="inlineStr">
        <is>
          <t>多</t>
        </is>
      </c>
      <c r="D1255" t="n">
        <v>2</v>
      </c>
      <c r="E1255" t="n">
        <v>4</v>
      </c>
      <c r="F1255" t="inlineStr">
        <is>
          <t>观望</t>
        </is>
      </c>
      <c r="G1255" t="n">
        <v>4</v>
      </c>
      <c r="H1255" t="n">
        <v>3691</v>
      </c>
      <c r="I1255" t="n">
        <v>3475.43</v>
      </c>
      <c r="J1255" t="n">
        <v>1</v>
      </c>
      <c r="K1255" t="inlineStr">
        <is>
          <t>逆5日线（收盘在5日线下，不追多）</t>
        </is>
      </c>
    </row>
    <row r="1256">
      <c r="A1256" t="inlineStr">
        <is>
          <t>2022-11-23</t>
        </is>
      </c>
      <c r="B1256" t="inlineStr">
        <is>
          <t>甲醇</t>
        </is>
      </c>
      <c r="C1256" t="inlineStr">
        <is>
          <t>多</t>
        </is>
      </c>
      <c r="D1256" t="n">
        <v>2</v>
      </c>
      <c r="E1256" t="n">
        <v>4</v>
      </c>
      <c r="F1256" t="inlineStr">
        <is>
          <t>观望</t>
        </is>
      </c>
      <c r="G1256" t="n">
        <v>4</v>
      </c>
      <c r="H1256" t="n">
        <v>2542</v>
      </c>
      <c r="I1256" t="n">
        <v>2327.71</v>
      </c>
      <c r="J1256" t="n">
        <v>1</v>
      </c>
      <c r="K1256" t="inlineStr">
        <is>
          <t>逆5日线（收盘在5日线下，不追多）</t>
        </is>
      </c>
    </row>
    <row r="1257">
      <c r="A1257" t="inlineStr">
        <is>
          <t>2022-11-24</t>
        </is>
      </c>
      <c r="B1257" t="inlineStr">
        <is>
          <t>沪金</t>
        </is>
      </c>
      <c r="C1257" t="inlineStr">
        <is>
          <t>多</t>
        </is>
      </c>
      <c r="D1257" t="n">
        <v>3</v>
      </c>
      <c r="E1257" t="n">
        <v>7</v>
      </c>
      <c r="F1257" t="inlineStr">
        <is>
          <t>续持</t>
        </is>
      </c>
      <c r="G1257" t="n">
        <v>2</v>
      </c>
      <c r="H1257" t="n">
        <v>406.4</v>
      </c>
      <c r="I1257" t="n">
        <v>397.9</v>
      </c>
      <c r="J1257" t="n">
        <v>2.94</v>
      </c>
      <c r="K1257" t="inlineStr">
        <is>
          <t>续持原仓（2022-11-17开）</t>
        </is>
      </c>
    </row>
    <row r="1258">
      <c r="A1258" t="inlineStr">
        <is>
          <t>2022-11-24</t>
        </is>
      </c>
      <c r="B1258" t="inlineStr">
        <is>
          <t>沪锌</t>
        </is>
      </c>
      <c r="C1258" t="inlineStr">
        <is>
          <t>多</t>
        </is>
      </c>
      <c r="D1258" t="n">
        <v>3</v>
      </c>
      <c r="E1258" t="n">
        <v>7</v>
      </c>
      <c r="F1258" t="inlineStr">
        <is>
          <t>观望</t>
        </is>
      </c>
      <c r="G1258" t="n">
        <v>1</v>
      </c>
      <c r="H1258" t="n">
        <v>23620</v>
      </c>
      <c r="I1258" t="n">
        <v>22152.14</v>
      </c>
      <c r="J1258" t="n">
        <v>1.21</v>
      </c>
      <c r="K1258" t="inlineStr">
        <is>
          <t>逆5日线（收盘在5日线下，不追多）</t>
        </is>
      </c>
    </row>
    <row r="1259">
      <c r="A1259" t="inlineStr">
        <is>
          <t>2022-11-24</t>
        </is>
      </c>
      <c r="B1259" t="inlineStr">
        <is>
          <t>纯碱</t>
        </is>
      </c>
      <c r="C1259" t="inlineStr">
        <is>
          <t>多</t>
        </is>
      </c>
      <c r="D1259" t="n">
        <v>3</v>
      </c>
      <c r="E1259" t="n">
        <v>6</v>
      </c>
      <c r="F1259" t="inlineStr">
        <is>
          <t>续持</t>
        </is>
      </c>
      <c r="G1259" t="n">
        <v>8</v>
      </c>
      <c r="H1259" t="n">
        <v>2688</v>
      </c>
      <c r="I1259" t="n">
        <v>2539.86</v>
      </c>
      <c r="J1259" t="n">
        <v>2.91</v>
      </c>
      <c r="K1259" t="inlineStr">
        <is>
          <t>续持原仓（2022-11-23开）</t>
        </is>
      </c>
    </row>
    <row r="1260">
      <c r="A1260" t="inlineStr">
        <is>
          <t>2022-11-24</t>
        </is>
      </c>
      <c r="B1260" t="inlineStr">
        <is>
          <t>沪铝</t>
        </is>
      </c>
      <c r="C1260" t="inlineStr">
        <is>
          <t>多</t>
        </is>
      </c>
      <c r="D1260" t="n">
        <v>3</v>
      </c>
      <c r="E1260" t="n">
        <v>6</v>
      </c>
      <c r="F1260" t="inlineStr">
        <is>
          <t>开仓</t>
        </is>
      </c>
      <c r="G1260" t="n">
        <v>2</v>
      </c>
      <c r="H1260" t="n">
        <v>19025</v>
      </c>
      <c r="I1260" t="n">
        <v>18086.43</v>
      </c>
      <c r="J1260" t="n">
        <v>1.21</v>
      </c>
      <c r="K1260" t="inlineStr">
        <is>
          <t>组合风险已近10%，预算缩小</t>
        </is>
      </c>
    </row>
    <row r="1261">
      <c r="A1261" t="inlineStr">
        <is>
          <t>2022-11-24</t>
        </is>
      </c>
      <c r="B1261" t="inlineStr">
        <is>
          <t>螺纹钢</t>
        </is>
      </c>
      <c r="C1261" t="inlineStr">
        <is>
          <t>多</t>
        </is>
      </c>
      <c r="D1261" t="n">
        <v>3</v>
      </c>
      <c r="E1261" t="n">
        <v>6</v>
      </c>
      <c r="F1261" t="inlineStr">
        <is>
          <t>观望</t>
        </is>
      </c>
      <c r="H1261" t="n">
        <v>3681</v>
      </c>
      <c r="J1261" t="n">
        <v>0</v>
      </c>
      <c r="K1261" t="inlineStr">
        <is>
          <t>逆5日线（收盘在5日线下，不追多）</t>
        </is>
      </c>
    </row>
    <row r="1262">
      <c r="A1262" t="inlineStr">
        <is>
          <t>2022-11-25</t>
        </is>
      </c>
      <c r="B1262" t="inlineStr">
        <is>
          <t>沪锌</t>
        </is>
      </c>
      <c r="C1262" t="inlineStr">
        <is>
          <t>多</t>
        </is>
      </c>
      <c r="D1262" t="n">
        <v>3</v>
      </c>
      <c r="E1262" t="n">
        <v>7</v>
      </c>
      <c r="F1262" t="inlineStr">
        <is>
          <t>开仓</t>
        </is>
      </c>
      <c r="G1262" t="n">
        <v>3</v>
      </c>
      <c r="H1262" t="n">
        <v>23700</v>
      </c>
      <c r="I1262" t="n">
        <v>22315.71</v>
      </c>
      <c r="J1262" t="n">
        <v>2.65</v>
      </c>
      <c r="K1262" t="inlineStr">
        <is>
          <t>¼凯利</t>
        </is>
      </c>
    </row>
    <row r="1263">
      <c r="A1263" t="inlineStr">
        <is>
          <t>2022-11-25</t>
        </is>
      </c>
      <c r="B1263" t="inlineStr">
        <is>
          <t>螺纹钢</t>
        </is>
      </c>
      <c r="C1263" t="inlineStr">
        <is>
          <t>多</t>
        </is>
      </c>
      <c r="D1263" t="n">
        <v>3</v>
      </c>
      <c r="E1263" t="n">
        <v>7</v>
      </c>
      <c r="F1263" t="inlineStr">
        <is>
          <t>不做</t>
        </is>
      </c>
      <c r="H1263" t="n">
        <v>3736</v>
      </c>
      <c r="J1263" t="n">
        <v>0.29</v>
      </c>
      <c r="K1263" t="inlineStr">
        <is>
          <t>组合风险已近10%，预算缩小</t>
        </is>
      </c>
    </row>
    <row r="1264">
      <c r="A1264" t="inlineStr">
        <is>
          <t>2022-11-25</t>
        </is>
      </c>
      <c r="B1264" t="inlineStr">
        <is>
          <t>纯碱</t>
        </is>
      </c>
      <c r="C1264" t="inlineStr">
        <is>
          <t>多</t>
        </is>
      </c>
      <c r="D1264" t="n">
        <v>3</v>
      </c>
      <c r="E1264" t="n">
        <v>6</v>
      </c>
      <c r="F1264" t="inlineStr">
        <is>
          <t>续持</t>
        </is>
      </c>
      <c r="G1264" t="n">
        <v>8</v>
      </c>
      <c r="H1264" t="n">
        <v>2710</v>
      </c>
      <c r="I1264" t="n">
        <v>2562.5</v>
      </c>
      <c r="J1264" t="n">
        <v>2.91</v>
      </c>
      <c r="K1264" t="inlineStr">
        <is>
          <t>续持原仓（2022-11-23开）</t>
        </is>
      </c>
    </row>
    <row r="1265">
      <c r="A1265" t="inlineStr">
        <is>
          <t>2022-11-25</t>
        </is>
      </c>
      <c r="B1265" t="inlineStr">
        <is>
          <t>热卷</t>
        </is>
      </c>
      <c r="C1265" t="inlineStr">
        <is>
          <t>多</t>
        </is>
      </c>
      <c r="D1265" t="n">
        <v>3</v>
      </c>
      <c r="E1265" t="n">
        <v>6</v>
      </c>
      <c r="F1265" t="inlineStr">
        <is>
          <t>不做</t>
        </is>
      </c>
      <c r="H1265" t="n">
        <v>3835</v>
      </c>
      <c r="J1265" t="n">
        <v>0.29</v>
      </c>
      <c r="K1265" t="inlineStr">
        <is>
          <t>组合风险已近10%，预算缩小</t>
        </is>
      </c>
    </row>
    <row r="1266">
      <c r="A1266" t="inlineStr">
        <is>
          <t>2022-11-25</t>
        </is>
      </c>
      <c r="B1266" t="inlineStr">
        <is>
          <t>塑料</t>
        </is>
      </c>
      <c r="C1266" t="inlineStr">
        <is>
          <t>多</t>
        </is>
      </c>
      <c r="D1266" t="n">
        <v>3</v>
      </c>
      <c r="E1266" t="n">
        <v>6</v>
      </c>
      <c r="F1266" t="inlineStr">
        <is>
          <t>不做</t>
        </is>
      </c>
      <c r="H1266" t="n">
        <v>8031</v>
      </c>
      <c r="J1266" t="n">
        <v>0.29</v>
      </c>
      <c r="K1266" t="inlineStr">
        <is>
          <t>组合风险已近10%，预算缩小</t>
        </is>
      </c>
    </row>
    <row r="1267">
      <c r="A1267" t="inlineStr">
        <is>
          <t>2022-11-28</t>
        </is>
      </c>
      <c r="B1267" t="inlineStr">
        <is>
          <t>纯碱</t>
        </is>
      </c>
      <c r="C1267" t="inlineStr">
        <is>
          <t>多</t>
        </is>
      </c>
      <c r="D1267" t="n">
        <v>3</v>
      </c>
      <c r="E1267" t="n">
        <v>6</v>
      </c>
      <c r="F1267" t="inlineStr">
        <is>
          <t>续持</t>
        </is>
      </c>
      <c r="G1267" t="n">
        <v>8</v>
      </c>
      <c r="H1267" t="n">
        <v>2699</v>
      </c>
      <c r="I1267" t="n">
        <v>2578.93</v>
      </c>
      <c r="J1267" t="n">
        <v>2.91</v>
      </c>
      <c r="K1267" t="inlineStr">
        <is>
          <t>续持原仓（2022-11-23开）</t>
        </is>
      </c>
    </row>
    <row r="1268">
      <c r="A1268" t="inlineStr">
        <is>
          <t>2022-11-28</t>
        </is>
      </c>
      <c r="B1268" t="inlineStr">
        <is>
          <t>螺纹钢</t>
        </is>
      </c>
      <c r="C1268" t="inlineStr">
        <is>
          <t>多</t>
        </is>
      </c>
      <c r="D1268" t="n">
        <v>3</v>
      </c>
      <c r="E1268" t="n">
        <v>6</v>
      </c>
      <c r="F1268" t="inlineStr">
        <is>
          <t>不做</t>
        </is>
      </c>
      <c r="H1268" t="n">
        <v>3738</v>
      </c>
      <c r="J1268" t="n">
        <v>0.29</v>
      </c>
      <c r="K1268" t="inlineStr">
        <is>
          <t>组合风险已近10%，预算缩小</t>
        </is>
      </c>
    </row>
    <row r="1269">
      <c r="A1269" t="inlineStr">
        <is>
          <t>2022-11-28</t>
        </is>
      </c>
      <c r="B1269" t="inlineStr">
        <is>
          <t>热卷</t>
        </is>
      </c>
      <c r="C1269" t="inlineStr">
        <is>
          <t>多</t>
        </is>
      </c>
      <c r="D1269" t="n">
        <v>2</v>
      </c>
      <c r="E1269" t="n">
        <v>5</v>
      </c>
      <c r="F1269" t="inlineStr">
        <is>
          <t>影子仓</t>
        </is>
      </c>
      <c r="G1269" t="n">
        <v>5</v>
      </c>
      <c r="H1269" t="n">
        <v>3845</v>
      </c>
      <c r="I1269" t="n">
        <v>3646.14</v>
      </c>
      <c r="J1269" t="n">
        <v>1</v>
      </c>
      <c r="K1269" t="inlineStr">
        <is>
          <t>凯利≤0，开1%影子仓（只统计，不计入组合）</t>
        </is>
      </c>
    </row>
    <row r="1270">
      <c r="A1270" t="inlineStr">
        <is>
          <t>2022-11-28</t>
        </is>
      </c>
      <c r="B1270" t="inlineStr">
        <is>
          <t>沪金</t>
        </is>
      </c>
      <c r="C1270" t="inlineStr">
        <is>
          <t>多</t>
        </is>
      </c>
      <c r="D1270" t="n">
        <v>2</v>
      </c>
      <c r="E1270" t="n">
        <v>4</v>
      </c>
      <c r="F1270" t="inlineStr">
        <is>
          <t>续持</t>
        </is>
      </c>
      <c r="G1270" t="n">
        <v>2</v>
      </c>
      <c r="H1270" t="n">
        <v>408.02</v>
      </c>
      <c r="I1270" t="n">
        <v>399.3</v>
      </c>
      <c r="J1270" t="n">
        <v>2.94</v>
      </c>
      <c r="K1270" t="inlineStr">
        <is>
          <t>续持原仓（2022-11-17开）</t>
        </is>
      </c>
    </row>
    <row r="1271">
      <c r="A1271" t="inlineStr">
        <is>
          <t>2022-11-28</t>
        </is>
      </c>
      <c r="B1271" t="inlineStr">
        <is>
          <t>PTA</t>
        </is>
      </c>
      <c r="C1271" t="inlineStr">
        <is>
          <t>空</t>
        </is>
      </c>
      <c r="D1271" t="n">
        <v>2</v>
      </c>
      <c r="E1271" t="n">
        <v>4</v>
      </c>
      <c r="F1271" t="inlineStr">
        <is>
          <t>影子仓</t>
        </is>
      </c>
      <c r="G1271" t="n">
        <v>5</v>
      </c>
      <c r="H1271" t="n">
        <v>5058</v>
      </c>
      <c r="I1271" t="n">
        <v>5439.86</v>
      </c>
      <c r="J1271" t="n">
        <v>1</v>
      </c>
      <c r="K1271" t="inlineStr">
        <is>
          <t>凯利≤0，开1%影子仓（只统计，不计入组合）</t>
        </is>
      </c>
    </row>
    <row r="1272">
      <c r="A1272" t="inlineStr">
        <is>
          <t>2022-11-28</t>
        </is>
      </c>
      <c r="B1272" t="inlineStr">
        <is>
          <t>铁矿石</t>
        </is>
      </c>
      <c r="C1272" t="inlineStr">
        <is>
          <t>多</t>
        </is>
      </c>
      <c r="D1272" t="n">
        <v>2</v>
      </c>
      <c r="E1272" t="n">
        <v>4</v>
      </c>
      <c r="F1272" t="inlineStr">
        <is>
          <t>影子仓</t>
        </is>
      </c>
      <c r="G1272" t="n">
        <v>1</v>
      </c>
      <c r="H1272" t="n">
        <v>755.5</v>
      </c>
      <c r="I1272" t="n">
        <v>679.75</v>
      </c>
      <c r="J1272" t="n">
        <v>1</v>
      </c>
      <c r="K1272" t="inlineStr">
        <is>
          <t>凯利≤0，开1%影子仓（只统计，不计入组合）</t>
        </is>
      </c>
    </row>
    <row r="1273">
      <c r="A1273" t="inlineStr">
        <is>
          <t>2022-11-29</t>
        </is>
      </c>
      <c r="B1273" t="inlineStr">
        <is>
          <t>螺纹钢</t>
        </is>
      </c>
      <c r="C1273" t="inlineStr">
        <is>
          <t>多</t>
        </is>
      </c>
      <c r="D1273" t="n">
        <v>3</v>
      </c>
      <c r="E1273" t="n">
        <v>7</v>
      </c>
      <c r="F1273" t="inlineStr">
        <is>
          <t>开仓</t>
        </is>
      </c>
      <c r="G1273" t="n">
        <v>13</v>
      </c>
      <c r="H1273" t="n">
        <v>3729</v>
      </c>
      <c r="I1273" t="n">
        <v>3516.21</v>
      </c>
      <c r="J1273" t="n">
        <v>2.78</v>
      </c>
      <c r="K1273" t="inlineStr">
        <is>
          <t>¼凯利</t>
        </is>
      </c>
    </row>
    <row r="1274">
      <c r="A1274" t="inlineStr">
        <is>
          <t>2022-11-29</t>
        </is>
      </c>
      <c r="B1274" t="inlineStr">
        <is>
          <t>热卷</t>
        </is>
      </c>
      <c r="C1274" t="inlineStr">
        <is>
          <t>多</t>
        </is>
      </c>
      <c r="D1274" t="n">
        <v>3</v>
      </c>
      <c r="E1274" t="n">
        <v>7</v>
      </c>
      <c r="F1274" t="inlineStr">
        <is>
          <t>续持</t>
        </is>
      </c>
      <c r="G1274" t="n">
        <v>5</v>
      </c>
      <c r="H1274" t="n">
        <v>3880</v>
      </c>
      <c r="I1274" t="n">
        <v>3691.57</v>
      </c>
      <c r="J1274" t="n">
        <v>1</v>
      </c>
      <c r="K1274" t="inlineStr">
        <is>
          <t>续持原仓（2022-11-28开）</t>
        </is>
      </c>
    </row>
    <row r="1275">
      <c r="A1275" t="inlineStr">
        <is>
          <t>2022-11-29</t>
        </is>
      </c>
      <c r="B1275" t="inlineStr">
        <is>
          <t>沪金</t>
        </is>
      </c>
      <c r="C1275" t="inlineStr">
        <is>
          <t>多</t>
        </is>
      </c>
      <c r="D1275" t="n">
        <v>2</v>
      </c>
      <c r="E1275" t="n">
        <v>5</v>
      </c>
      <c r="F1275" t="inlineStr">
        <is>
          <t>观望</t>
        </is>
      </c>
      <c r="G1275" t="n">
        <v>1</v>
      </c>
      <c r="H1275" t="n">
        <v>406.56</v>
      </c>
      <c r="I1275" t="n">
        <v>397.05</v>
      </c>
      <c r="J1275" t="n">
        <v>1</v>
      </c>
      <c r="K1275" t="inlineStr">
        <is>
          <t>逆5日线（收盘在5日线下，不追多）</t>
        </is>
      </c>
    </row>
    <row r="1276">
      <c r="A1276" t="inlineStr">
        <is>
          <t>2022-11-29</t>
        </is>
      </c>
      <c r="B1276" t="inlineStr">
        <is>
          <t>沪锌</t>
        </is>
      </c>
      <c r="C1276" t="inlineStr">
        <is>
          <t>多</t>
        </is>
      </c>
      <c r="D1276" t="n">
        <v>2</v>
      </c>
      <c r="E1276" t="n">
        <v>5</v>
      </c>
      <c r="F1276" t="inlineStr">
        <is>
          <t>续持</t>
        </is>
      </c>
      <c r="G1276" t="n">
        <v>3</v>
      </c>
      <c r="H1276" t="n">
        <v>23980</v>
      </c>
      <c r="I1276" t="n">
        <v>22688.21</v>
      </c>
      <c r="J1276" t="n">
        <v>2.65</v>
      </c>
      <c r="K1276" t="inlineStr">
        <is>
          <t>续持原仓（2022-11-25开）</t>
        </is>
      </c>
    </row>
    <row r="1277">
      <c r="A1277" t="inlineStr">
        <is>
          <t>2022-11-29</t>
        </is>
      </c>
      <c r="B1277" t="inlineStr">
        <is>
          <t>棉花</t>
        </is>
      </c>
      <c r="C1277" t="inlineStr">
        <is>
          <t>多</t>
        </is>
      </c>
      <c r="D1277" t="n">
        <v>2</v>
      </c>
      <c r="E1277" t="n">
        <v>5</v>
      </c>
      <c r="F1277" t="inlineStr">
        <is>
          <t>影子仓</t>
        </is>
      </c>
      <c r="G1277" t="n">
        <v>2</v>
      </c>
      <c r="H1277" t="n">
        <v>13115</v>
      </c>
      <c r="I1277" t="n">
        <v>12382.14</v>
      </c>
      <c r="J1277" t="n">
        <v>1</v>
      </c>
      <c r="K1277" t="inlineStr">
        <is>
          <t>凯利≤0，开1%影子仓（只统计，不计入组合）</t>
        </is>
      </c>
    </row>
    <row r="1278">
      <c r="A1278" t="inlineStr">
        <is>
          <t>2022-11-30</t>
        </is>
      </c>
      <c r="B1278" t="inlineStr">
        <is>
          <t>豆粕</t>
        </is>
      </c>
      <c r="C1278" t="inlineStr">
        <is>
          <t>多</t>
        </is>
      </c>
      <c r="D1278" t="n">
        <v>3</v>
      </c>
      <c r="E1278" t="n">
        <v>7</v>
      </c>
      <c r="F1278" t="inlineStr">
        <is>
          <t>开仓</t>
        </is>
      </c>
      <c r="G1278" t="n">
        <v>8</v>
      </c>
      <c r="H1278" t="n">
        <v>4298</v>
      </c>
      <c r="I1278" t="n">
        <v>4100.21</v>
      </c>
      <c r="J1278" t="n">
        <v>1.63</v>
      </c>
      <c r="K1278" t="inlineStr">
        <is>
          <t>组合风险已近10%，预算缩小</t>
        </is>
      </c>
    </row>
    <row r="1279">
      <c r="A1279" t="inlineStr">
        <is>
          <t>2022-11-30</t>
        </is>
      </c>
      <c r="B1279" t="inlineStr">
        <is>
          <t>沪金</t>
        </is>
      </c>
      <c r="C1279" t="inlineStr">
        <is>
          <t>多</t>
        </is>
      </c>
      <c r="D1279" t="n">
        <v>2</v>
      </c>
      <c r="E1279" t="n">
        <v>5</v>
      </c>
      <c r="F1279" t="inlineStr">
        <is>
          <t>观望</t>
        </is>
      </c>
      <c r="G1279" t="n">
        <v>1</v>
      </c>
      <c r="H1279" t="n">
        <v>406.12</v>
      </c>
      <c r="I1279" t="n">
        <v>396.52</v>
      </c>
      <c r="J1279" t="n">
        <v>1</v>
      </c>
      <c r="K1279" t="inlineStr">
        <is>
          <t>逆5日线（收盘在5日线下，不追多）</t>
        </is>
      </c>
    </row>
    <row r="1280">
      <c r="A1280" t="inlineStr">
        <is>
          <t>2022-11-30</t>
        </is>
      </c>
      <c r="B1280" t="inlineStr">
        <is>
          <t>螺纹钢</t>
        </is>
      </c>
      <c r="C1280" t="inlineStr">
        <is>
          <t>多</t>
        </is>
      </c>
      <c r="D1280" t="n">
        <v>2</v>
      </c>
      <c r="E1280" t="n">
        <v>5</v>
      </c>
      <c r="F1280" t="inlineStr">
        <is>
          <t>续持</t>
        </is>
      </c>
      <c r="G1280" t="n">
        <v>13</v>
      </c>
      <c r="H1280" t="n">
        <v>3719</v>
      </c>
      <c r="I1280" t="n">
        <v>3538.71</v>
      </c>
      <c r="J1280" t="n">
        <v>2.78</v>
      </c>
      <c r="K1280" t="inlineStr">
        <is>
          <t>续持原仓（2022-11-29开）</t>
        </is>
      </c>
    </row>
    <row r="1281">
      <c r="A1281" t="inlineStr">
        <is>
          <t>2022-11-30</t>
        </is>
      </c>
      <c r="B1281" t="inlineStr">
        <is>
          <t>热卷</t>
        </is>
      </c>
      <c r="C1281" t="inlineStr">
        <is>
          <t>多</t>
        </is>
      </c>
      <c r="D1281" t="n">
        <v>2</v>
      </c>
      <c r="E1281" t="n">
        <v>5</v>
      </c>
      <c r="F1281" t="inlineStr">
        <is>
          <t>续持</t>
        </is>
      </c>
      <c r="G1281" t="n">
        <v>5</v>
      </c>
      <c r="H1281" t="n">
        <v>3862</v>
      </c>
      <c r="I1281" t="n">
        <v>3698.43</v>
      </c>
      <c r="J1281" t="n">
        <v>1</v>
      </c>
      <c r="K1281" t="inlineStr">
        <is>
          <t>续持原仓（2022-11-28开）</t>
        </is>
      </c>
    </row>
    <row r="1282">
      <c r="A1282" t="inlineStr">
        <is>
          <t>2022-11-30</t>
        </is>
      </c>
      <c r="B1282" t="inlineStr">
        <is>
          <t>玉米</t>
        </is>
      </c>
      <c r="C1282" t="inlineStr">
        <is>
          <t>空</t>
        </is>
      </c>
      <c r="D1282" t="n">
        <v>2</v>
      </c>
      <c r="E1282" t="n">
        <v>4</v>
      </c>
      <c r="F1282" t="inlineStr">
        <is>
          <t>影子仓</t>
        </is>
      </c>
      <c r="G1282" t="n">
        <v>10</v>
      </c>
      <c r="H1282" t="n">
        <v>2885</v>
      </c>
      <c r="I1282" t="n">
        <v>2981.43</v>
      </c>
      <c r="J1282" t="n">
        <v>1</v>
      </c>
      <c r="K1282" t="inlineStr">
        <is>
          <t>凯利≤0，开1%影子仓（只统计，不计入组合）</t>
        </is>
      </c>
    </row>
    <row r="1283">
      <c r="A1283" t="inlineStr">
        <is>
          <t>2022-11-30</t>
        </is>
      </c>
      <c r="B1283" t="inlineStr">
        <is>
          <t>塑料</t>
        </is>
      </c>
      <c r="C1283" t="inlineStr">
        <is>
          <t>多</t>
        </is>
      </c>
      <c r="D1283" t="n">
        <v>2</v>
      </c>
      <c r="E1283" t="n">
        <v>4</v>
      </c>
      <c r="F1283" t="inlineStr">
        <is>
          <t>影子仓</t>
        </is>
      </c>
      <c r="G1283" t="n">
        <v>4</v>
      </c>
      <c r="H1283" t="n">
        <v>8043</v>
      </c>
      <c r="I1283" t="n">
        <v>7639.93</v>
      </c>
      <c r="J1283" t="n">
        <v>1</v>
      </c>
      <c r="K1283" t="inlineStr">
        <is>
          <t>凯利≤0，开1%影子仓（只统计，不计入组合）</t>
        </is>
      </c>
    </row>
    <row r="1284">
      <c r="A1284" t="inlineStr">
        <is>
          <t>2022-12-01</t>
        </is>
      </c>
      <c r="B1284" t="inlineStr">
        <is>
          <t>螺纹钢</t>
        </is>
      </c>
      <c r="C1284" t="inlineStr">
        <is>
          <t>多</t>
        </is>
      </c>
      <c r="D1284" t="n">
        <v>3</v>
      </c>
      <c r="E1284" t="n">
        <v>6</v>
      </c>
      <c r="F1284" t="inlineStr">
        <is>
          <t>续持</t>
        </is>
      </c>
      <c r="G1284" t="n">
        <v>13</v>
      </c>
      <c r="H1284" t="n">
        <v>3733</v>
      </c>
      <c r="I1284" t="n">
        <v>3573.36</v>
      </c>
      <c r="J1284" t="n">
        <v>2.78</v>
      </c>
      <c r="K1284" t="inlineStr">
        <is>
          <t>续持原仓（2022-11-29开）</t>
        </is>
      </c>
    </row>
    <row r="1285">
      <c r="A1285" t="inlineStr">
        <is>
          <t>2022-12-01</t>
        </is>
      </c>
      <c r="B1285" t="inlineStr">
        <is>
          <t>沪镍</t>
        </is>
      </c>
      <c r="C1285" t="inlineStr">
        <is>
          <t>多</t>
        </is>
      </c>
      <c r="D1285" t="n">
        <v>2</v>
      </c>
      <c r="E1285" t="n">
        <v>5</v>
      </c>
      <c r="F1285" t="inlineStr">
        <is>
          <t>不做</t>
        </is>
      </c>
      <c r="H1285" t="n">
        <v>202440</v>
      </c>
      <c r="J1285" t="n">
        <v>1</v>
      </c>
      <c r="K1285" t="inlineStr">
        <is>
          <t>1手风险19924元超过预算10000元</t>
        </is>
      </c>
    </row>
    <row r="1286">
      <c r="A1286" t="inlineStr">
        <is>
          <t>2022-12-01</t>
        </is>
      </c>
      <c r="B1286" t="inlineStr">
        <is>
          <t>热卷</t>
        </is>
      </c>
      <c r="C1286" t="inlineStr">
        <is>
          <t>多</t>
        </is>
      </c>
      <c r="D1286" t="n">
        <v>2</v>
      </c>
      <c r="E1286" t="n">
        <v>5</v>
      </c>
      <c r="F1286" t="inlineStr">
        <is>
          <t>续持</t>
        </is>
      </c>
      <c r="G1286" t="n">
        <v>5</v>
      </c>
      <c r="H1286" t="n">
        <v>3873</v>
      </c>
      <c r="I1286" t="n">
        <v>3737.71</v>
      </c>
      <c r="J1286" t="n">
        <v>1</v>
      </c>
      <c r="K1286" t="inlineStr">
        <is>
          <t>续持原仓（2022-11-28开）</t>
        </is>
      </c>
    </row>
    <row r="1287">
      <c r="A1287" t="inlineStr">
        <is>
          <t>2022-12-01</t>
        </is>
      </c>
      <c r="B1287" t="inlineStr">
        <is>
          <t>乙二醇</t>
        </is>
      </c>
      <c r="C1287" t="inlineStr">
        <is>
          <t>多</t>
        </is>
      </c>
      <c r="D1287" t="n">
        <v>2</v>
      </c>
      <c r="E1287" t="n">
        <v>4</v>
      </c>
      <c r="F1287" t="inlineStr">
        <is>
          <t>影子仓</t>
        </is>
      </c>
      <c r="G1287" t="n">
        <v>3</v>
      </c>
      <c r="H1287" t="n">
        <v>3918</v>
      </c>
      <c r="I1287" t="n">
        <v>3635.79</v>
      </c>
      <c r="J1287" t="n">
        <v>1</v>
      </c>
      <c r="K1287" t="inlineStr">
        <is>
          <t>凯利≤0，开1%影子仓（只统计，不计入组合）</t>
        </is>
      </c>
    </row>
    <row r="1288">
      <c r="A1288" t="inlineStr">
        <is>
          <t>2022-12-01</t>
        </is>
      </c>
      <c r="B1288" t="inlineStr">
        <is>
          <t>玉米</t>
        </is>
      </c>
      <c r="C1288" t="inlineStr">
        <is>
          <t>空</t>
        </is>
      </c>
      <c r="D1288" t="n">
        <v>2</v>
      </c>
      <c r="E1288" t="n">
        <v>4</v>
      </c>
      <c r="F1288" t="inlineStr">
        <is>
          <t>续持</t>
        </is>
      </c>
      <c r="G1288" t="n">
        <v>10</v>
      </c>
      <c r="H1288" t="n">
        <v>2877</v>
      </c>
      <c r="I1288" t="n">
        <v>2968</v>
      </c>
      <c r="J1288" t="n">
        <v>1</v>
      </c>
      <c r="K1288" t="inlineStr">
        <is>
          <t>续持原仓（2022-11-30开）</t>
        </is>
      </c>
    </row>
    <row r="1289">
      <c r="A1289" t="inlineStr">
        <is>
          <t>2022-12-02</t>
        </is>
      </c>
      <c r="B1289" t="inlineStr">
        <is>
          <t>热卷</t>
        </is>
      </c>
      <c r="C1289" t="inlineStr">
        <is>
          <t>多</t>
        </is>
      </c>
      <c r="D1289" t="n">
        <v>3</v>
      </c>
      <c r="E1289" t="n">
        <v>7</v>
      </c>
      <c r="F1289" t="inlineStr">
        <is>
          <t>续持</t>
        </is>
      </c>
      <c r="G1289" t="n">
        <v>5</v>
      </c>
      <c r="H1289" t="n">
        <v>3918</v>
      </c>
      <c r="I1289" t="n">
        <v>3748.93</v>
      </c>
      <c r="J1289" t="n">
        <v>1</v>
      </c>
      <c r="K1289" t="inlineStr">
        <is>
          <t>续持原仓（2022-11-28开）</t>
        </is>
      </c>
    </row>
    <row r="1290">
      <c r="A1290" t="inlineStr">
        <is>
          <t>2022-12-02</t>
        </is>
      </c>
      <c r="B1290" t="inlineStr">
        <is>
          <t>沪金</t>
        </is>
      </c>
      <c r="C1290" t="inlineStr">
        <is>
          <t>多</t>
        </is>
      </c>
      <c r="D1290" t="n">
        <v>3</v>
      </c>
      <c r="E1290" t="n">
        <v>6</v>
      </c>
      <c r="F1290" t="inlineStr">
        <is>
          <t>开仓</t>
        </is>
      </c>
      <c r="G1290" t="n">
        <v>3</v>
      </c>
      <c r="H1290" t="n">
        <v>409.72</v>
      </c>
      <c r="I1290" t="n">
        <v>400.76</v>
      </c>
      <c r="J1290" t="n">
        <v>2.74</v>
      </c>
      <c r="K1290" t="inlineStr">
        <is>
          <t>¼凯利</t>
        </is>
      </c>
    </row>
    <row r="1291">
      <c r="A1291" t="inlineStr">
        <is>
          <t>2022-12-02</t>
        </is>
      </c>
      <c r="B1291" t="inlineStr">
        <is>
          <t>棉花</t>
        </is>
      </c>
      <c r="C1291" t="inlineStr">
        <is>
          <t>多</t>
        </is>
      </c>
      <c r="D1291" t="n">
        <v>3</v>
      </c>
      <c r="E1291" t="n">
        <v>6</v>
      </c>
      <c r="F1291" t="inlineStr">
        <is>
          <t>不做</t>
        </is>
      </c>
      <c r="H1291" t="n">
        <v>13455</v>
      </c>
      <c r="J1291" t="n">
        <v>0.2</v>
      </c>
      <c r="K1291" t="inlineStr">
        <is>
          <t>组合风险已近10%，预算缩小</t>
        </is>
      </c>
    </row>
    <row r="1292">
      <c r="A1292" t="inlineStr">
        <is>
          <t>2022-12-02</t>
        </is>
      </c>
      <c r="B1292" t="inlineStr">
        <is>
          <t>玉米</t>
        </is>
      </c>
      <c r="C1292" t="inlineStr">
        <is>
          <t>空</t>
        </is>
      </c>
      <c r="D1292" t="n">
        <v>3</v>
      </c>
      <c r="E1292" t="n">
        <v>6</v>
      </c>
      <c r="F1292" t="inlineStr">
        <is>
          <t>续持</t>
        </is>
      </c>
      <c r="G1292" t="n">
        <v>10</v>
      </c>
      <c r="H1292" t="n">
        <v>2862</v>
      </c>
      <c r="I1292" t="n">
        <v>2943.43</v>
      </c>
      <c r="J1292" t="n">
        <v>1</v>
      </c>
      <c r="K1292" t="inlineStr">
        <is>
          <t>续持原仓（2022-11-30开）</t>
        </is>
      </c>
    </row>
    <row r="1293">
      <c r="A1293" t="inlineStr">
        <is>
          <t>2022-12-02</t>
        </is>
      </c>
      <c r="B1293" t="inlineStr">
        <is>
          <t>螺纹钢</t>
        </is>
      </c>
      <c r="C1293" t="inlineStr">
        <is>
          <t>多</t>
        </is>
      </c>
      <c r="D1293" t="n">
        <v>3</v>
      </c>
      <c r="E1293" t="n">
        <v>6</v>
      </c>
      <c r="F1293" t="inlineStr">
        <is>
          <t>续持</t>
        </is>
      </c>
      <c r="G1293" t="n">
        <v>13</v>
      </c>
      <c r="H1293" t="n">
        <v>3808</v>
      </c>
      <c r="I1293" t="n">
        <v>3620.21</v>
      </c>
      <c r="J1293" t="n">
        <v>2.78</v>
      </c>
      <c r="K1293" t="inlineStr">
        <is>
          <t>续持原仓（2022-11-29开）</t>
        </is>
      </c>
    </row>
    <row r="1294">
      <c r="A1294" t="inlineStr">
        <is>
          <t>2022-12-02</t>
        </is>
      </c>
      <c r="B1294" t="inlineStr">
        <is>
          <t>铁矿石</t>
        </is>
      </c>
      <c r="C1294" t="inlineStr">
        <is>
          <t>多</t>
        </is>
      </c>
      <c r="D1294" t="n">
        <v>3</v>
      </c>
      <c r="E1294" t="n">
        <v>6</v>
      </c>
      <c r="F1294" t="inlineStr">
        <is>
          <t>不做</t>
        </is>
      </c>
      <c r="H1294" t="n">
        <v>787.5</v>
      </c>
      <c r="J1294" t="n">
        <v>0.2</v>
      </c>
      <c r="K1294" t="inlineStr">
        <is>
          <t>组合风险已近10%，预算缩小</t>
        </is>
      </c>
    </row>
    <row r="1295">
      <c r="A1295" t="inlineStr">
        <is>
          <t>2022-12-02</t>
        </is>
      </c>
      <c r="B1295" t="inlineStr">
        <is>
          <t>燃料油</t>
        </is>
      </c>
      <c r="C1295" t="inlineStr">
        <is>
          <t>空</t>
        </is>
      </c>
      <c r="D1295" t="n">
        <v>2</v>
      </c>
      <c r="E1295" t="n">
        <v>5</v>
      </c>
      <c r="F1295" t="inlineStr">
        <is>
          <t>影子仓</t>
        </is>
      </c>
      <c r="G1295" t="n">
        <v>3</v>
      </c>
      <c r="H1295" t="n">
        <v>2548</v>
      </c>
      <c r="I1295" t="n">
        <v>2841.36</v>
      </c>
      <c r="J1295" t="n">
        <v>1</v>
      </c>
      <c r="K1295" t="inlineStr">
        <is>
          <t>凯利≤0，开1%影子仓（只统计，不计入组合）</t>
        </is>
      </c>
    </row>
    <row r="1296">
      <c r="A1296" t="inlineStr">
        <is>
          <t>2022-12-02</t>
        </is>
      </c>
      <c r="B1296" t="inlineStr">
        <is>
          <t>棕榈油</t>
        </is>
      </c>
      <c r="C1296" t="inlineStr">
        <is>
          <t>空</t>
        </is>
      </c>
      <c r="D1296" t="n">
        <v>2</v>
      </c>
      <c r="E1296" t="n">
        <v>4</v>
      </c>
      <c r="F1296" t="inlineStr">
        <is>
          <t>影子仓</t>
        </is>
      </c>
      <c r="G1296" t="n">
        <v>1</v>
      </c>
      <c r="H1296" t="n">
        <v>8272</v>
      </c>
      <c r="I1296" t="n">
        <v>9007</v>
      </c>
      <c r="J1296" t="n">
        <v>1</v>
      </c>
      <c r="K1296" t="inlineStr">
        <is>
          <t>凯利≤0，开1%影子仓（只统计，不计入组合）</t>
        </is>
      </c>
    </row>
    <row r="1297">
      <c r="A1297" t="inlineStr">
        <is>
          <t>2022-12-05</t>
        </is>
      </c>
      <c r="B1297" t="inlineStr">
        <is>
          <t>铁矿石</t>
        </is>
      </c>
      <c r="C1297" t="inlineStr">
        <is>
          <t>多</t>
        </is>
      </c>
      <c r="D1297" t="n">
        <v>2</v>
      </c>
      <c r="E1297" t="n">
        <v>5</v>
      </c>
      <c r="F1297" t="inlineStr">
        <is>
          <t>影子仓</t>
        </is>
      </c>
      <c r="G1297" t="n">
        <v>1</v>
      </c>
      <c r="H1297" t="n">
        <v>779.5</v>
      </c>
      <c r="I1297" t="n">
        <v>707.61</v>
      </c>
      <c r="J1297" t="n">
        <v>1</v>
      </c>
      <c r="K1297" t="inlineStr">
        <is>
          <t>凯利≤0，开1%影子仓（只统计，不计入组合）</t>
        </is>
      </c>
    </row>
    <row r="1298">
      <c r="A1298" t="inlineStr">
        <is>
          <t>2022-12-05</t>
        </is>
      </c>
      <c r="B1298" t="inlineStr">
        <is>
          <t>塑料</t>
        </is>
      </c>
      <c r="C1298" t="inlineStr">
        <is>
          <t>多</t>
        </is>
      </c>
      <c r="D1298" t="n">
        <v>2</v>
      </c>
      <c r="E1298" t="n">
        <v>5</v>
      </c>
      <c r="F1298" t="inlineStr">
        <is>
          <t>影子仓</t>
        </is>
      </c>
      <c r="G1298" t="n">
        <v>5</v>
      </c>
      <c r="H1298" t="n">
        <v>8129</v>
      </c>
      <c r="I1298" t="n">
        <v>7749.93</v>
      </c>
      <c r="J1298" t="n">
        <v>1</v>
      </c>
      <c r="K1298" t="inlineStr">
        <is>
          <t>凯利≤0，开1%影子仓（只统计，不计入组合）</t>
        </is>
      </c>
    </row>
    <row r="1299">
      <c r="A1299" t="inlineStr">
        <is>
          <t>2022-12-05</t>
        </is>
      </c>
      <c r="B1299" t="inlineStr">
        <is>
          <t>沪铝</t>
        </is>
      </c>
      <c r="C1299" t="inlineStr">
        <is>
          <t>多</t>
        </is>
      </c>
      <c r="D1299" t="n">
        <v>2</v>
      </c>
      <c r="E1299" t="n">
        <v>4</v>
      </c>
      <c r="F1299" t="inlineStr">
        <is>
          <t>影子仓</t>
        </is>
      </c>
      <c r="G1299" t="n">
        <v>2</v>
      </c>
      <c r="H1299" t="n">
        <v>19320</v>
      </c>
      <c r="I1299" t="n">
        <v>18327.86</v>
      </c>
      <c r="J1299" t="n">
        <v>1</v>
      </c>
      <c r="K1299" t="inlineStr">
        <is>
          <t>凯利≤0，开1%影子仓（只统计，不计入组合）</t>
        </is>
      </c>
    </row>
    <row r="1300">
      <c r="A1300" t="inlineStr">
        <is>
          <t>2022-12-05</t>
        </is>
      </c>
      <c r="B1300" t="inlineStr">
        <is>
          <t>棕榈油</t>
        </is>
      </c>
      <c r="C1300" t="inlineStr">
        <is>
          <t>空</t>
        </is>
      </c>
      <c r="D1300" t="n">
        <v>2</v>
      </c>
      <c r="E1300" t="n">
        <v>4</v>
      </c>
      <c r="F1300" t="inlineStr">
        <is>
          <t>续持</t>
        </is>
      </c>
      <c r="G1300" t="n">
        <v>1</v>
      </c>
      <c r="H1300" t="n">
        <v>8182</v>
      </c>
      <c r="I1300" t="n">
        <v>8859.709999999999</v>
      </c>
      <c r="J1300" t="n">
        <v>1</v>
      </c>
      <c r="K1300" t="inlineStr">
        <is>
          <t>续持原仓（2022-12-02开）</t>
        </is>
      </c>
    </row>
    <row r="1301">
      <c r="A1301" t="inlineStr">
        <is>
          <t>2022-12-05</t>
        </is>
      </c>
      <c r="B1301" t="inlineStr">
        <is>
          <t>沥青</t>
        </is>
      </c>
      <c r="C1301" t="inlineStr">
        <is>
          <t>空</t>
        </is>
      </c>
      <c r="D1301" t="n">
        <v>2</v>
      </c>
      <c r="E1301" t="n">
        <v>4</v>
      </c>
      <c r="F1301" t="inlineStr">
        <is>
          <t>观望</t>
        </is>
      </c>
      <c r="G1301" t="n">
        <v>3</v>
      </c>
      <c r="H1301" t="n">
        <v>3487</v>
      </c>
      <c r="I1301" t="n">
        <v>3820</v>
      </c>
      <c r="J1301" t="n">
        <v>1</v>
      </c>
      <c r="K1301" t="inlineStr">
        <is>
          <t>逆5日线（收盘在5日线上，不追空）</t>
        </is>
      </c>
    </row>
    <row r="1302">
      <c r="A1302" t="inlineStr">
        <is>
          <t>2022-12-06</t>
        </is>
      </c>
      <c r="B1302" t="inlineStr">
        <is>
          <t>燃料油</t>
        </is>
      </c>
      <c r="C1302" t="inlineStr">
        <is>
          <t>空</t>
        </is>
      </c>
      <c r="D1302" t="n">
        <v>3</v>
      </c>
      <c r="E1302" t="n">
        <v>7</v>
      </c>
      <c r="F1302" t="inlineStr">
        <is>
          <t>开仓</t>
        </is>
      </c>
      <c r="G1302" t="n">
        <v>9</v>
      </c>
      <c r="H1302" t="n">
        <v>2539</v>
      </c>
      <c r="I1302" t="n">
        <v>2838.79</v>
      </c>
      <c r="J1302" t="n">
        <v>2.98</v>
      </c>
      <c r="K1302" t="inlineStr">
        <is>
          <t>组合风险已近10%，预算缩小</t>
        </is>
      </c>
    </row>
    <row r="1303">
      <c r="A1303" t="inlineStr">
        <is>
          <t>2022-12-06</t>
        </is>
      </c>
      <c r="B1303" t="inlineStr">
        <is>
          <t>乙二醇</t>
        </is>
      </c>
      <c r="C1303" t="inlineStr">
        <is>
          <t>多</t>
        </is>
      </c>
      <c r="D1303" t="n">
        <v>3</v>
      </c>
      <c r="E1303" t="n">
        <v>6</v>
      </c>
      <c r="F1303" t="inlineStr">
        <is>
          <t>不做</t>
        </is>
      </c>
      <c r="H1303" t="n">
        <v>3953</v>
      </c>
      <c r="J1303" t="n">
        <v>0</v>
      </c>
      <c r="K1303" t="inlineStr">
        <is>
          <t>组合风险已近10%，预算缩小</t>
        </is>
      </c>
    </row>
    <row r="1304">
      <c r="A1304" t="inlineStr">
        <is>
          <t>2022-12-06</t>
        </is>
      </c>
      <c r="B1304" t="inlineStr">
        <is>
          <t>铁矿石</t>
        </is>
      </c>
      <c r="C1304" t="inlineStr">
        <is>
          <t>多</t>
        </is>
      </c>
      <c r="D1304" t="n">
        <v>3</v>
      </c>
      <c r="E1304" t="n">
        <v>6</v>
      </c>
      <c r="F1304" t="inlineStr">
        <is>
          <t>续持</t>
        </is>
      </c>
      <c r="G1304" t="n">
        <v>1</v>
      </c>
      <c r="H1304" t="n">
        <v>780</v>
      </c>
      <c r="I1304" t="n">
        <v>722.3200000000001</v>
      </c>
      <c r="J1304" t="n">
        <v>1</v>
      </c>
      <c r="K1304" t="inlineStr">
        <is>
          <t>续持原仓（2022-12-05开）</t>
        </is>
      </c>
    </row>
    <row r="1305">
      <c r="A1305" t="inlineStr">
        <is>
          <t>2022-12-06</t>
        </is>
      </c>
      <c r="B1305" t="inlineStr">
        <is>
          <t>塑料</t>
        </is>
      </c>
      <c r="C1305" t="inlineStr">
        <is>
          <t>多</t>
        </is>
      </c>
      <c r="D1305" t="n">
        <v>2</v>
      </c>
      <c r="E1305" t="n">
        <v>5</v>
      </c>
      <c r="F1305" t="inlineStr">
        <is>
          <t>观望</t>
        </is>
      </c>
      <c r="G1305" t="n">
        <v>5</v>
      </c>
      <c r="H1305" t="n">
        <v>8087</v>
      </c>
      <c r="I1305" t="n">
        <v>7705.14</v>
      </c>
      <c r="J1305" t="n">
        <v>1</v>
      </c>
      <c r="K1305" t="inlineStr">
        <is>
          <t>逆5日线（收盘在5日线下，不追多）</t>
        </is>
      </c>
    </row>
    <row r="1306">
      <c r="A1306" t="inlineStr">
        <is>
          <t>2022-12-06</t>
        </is>
      </c>
      <c r="B1306" t="inlineStr">
        <is>
          <t>沪锌</t>
        </is>
      </c>
      <c r="C1306" t="inlineStr">
        <is>
          <t>多</t>
        </is>
      </c>
      <c r="D1306" t="n">
        <v>2</v>
      </c>
      <c r="E1306" t="n">
        <v>4</v>
      </c>
      <c r="F1306" t="inlineStr">
        <is>
          <t>续持</t>
        </is>
      </c>
      <c r="G1306" t="n">
        <v>3</v>
      </c>
      <c r="H1306" t="n">
        <v>24615</v>
      </c>
      <c r="I1306" t="n">
        <v>23542.5</v>
      </c>
      <c r="J1306" t="n">
        <v>2.65</v>
      </c>
      <c r="K1306" t="inlineStr">
        <is>
          <t>续持原仓（2022-11-25开）</t>
        </is>
      </c>
    </row>
    <row r="1307">
      <c r="A1307" t="inlineStr">
        <is>
          <t>2022-12-06</t>
        </is>
      </c>
      <c r="B1307" t="inlineStr">
        <is>
          <t>棕榈油</t>
        </is>
      </c>
      <c r="C1307" t="inlineStr">
        <is>
          <t>空</t>
        </is>
      </c>
      <c r="D1307" t="n">
        <v>2</v>
      </c>
      <c r="E1307" t="n">
        <v>4</v>
      </c>
      <c r="F1307" t="inlineStr">
        <is>
          <t>续持</t>
        </is>
      </c>
      <c r="G1307" t="n">
        <v>1</v>
      </c>
      <c r="H1307" t="n">
        <v>8098</v>
      </c>
      <c r="I1307" t="n">
        <v>8714.43</v>
      </c>
      <c r="J1307" t="n">
        <v>1</v>
      </c>
      <c r="K1307" t="inlineStr">
        <is>
          <t>续持原仓（2022-12-02开）</t>
        </is>
      </c>
    </row>
    <row r="1308">
      <c r="A1308" t="inlineStr">
        <is>
          <t>2022-12-06</t>
        </is>
      </c>
      <c r="B1308" t="inlineStr">
        <is>
          <t>纯碱</t>
        </is>
      </c>
      <c r="C1308" t="inlineStr">
        <is>
          <t>多</t>
        </is>
      </c>
      <c r="D1308" t="n">
        <v>2</v>
      </c>
      <c r="E1308" t="n">
        <v>4</v>
      </c>
      <c r="F1308" t="inlineStr">
        <is>
          <t>观望</t>
        </is>
      </c>
      <c r="G1308" t="n">
        <v>3</v>
      </c>
      <c r="H1308" t="n">
        <v>2520</v>
      </c>
      <c r="I1308" t="n">
        <v>2366.36</v>
      </c>
      <c r="J1308" t="n">
        <v>1</v>
      </c>
      <c r="K1308" t="inlineStr">
        <is>
          <t>逆5日线（收盘在5日线下，不追多）</t>
        </is>
      </c>
    </row>
    <row r="1309">
      <c r="A1309" t="inlineStr">
        <is>
          <t>2022-12-07</t>
        </is>
      </c>
      <c r="B1309" t="inlineStr">
        <is>
          <t>燃料油</t>
        </is>
      </c>
      <c r="C1309" t="inlineStr">
        <is>
          <t>空</t>
        </is>
      </c>
      <c r="D1309" t="n">
        <v>3</v>
      </c>
      <c r="E1309" t="n">
        <v>7</v>
      </c>
      <c r="F1309" t="inlineStr">
        <is>
          <t>续持</t>
        </is>
      </c>
      <c r="G1309" t="n">
        <v>9</v>
      </c>
      <c r="H1309" t="n">
        <v>2495</v>
      </c>
      <c r="I1309" t="n">
        <v>2770.79</v>
      </c>
      <c r="J1309" t="n">
        <v>2.98</v>
      </c>
      <c r="K1309" t="inlineStr">
        <is>
          <t>续持原仓（2022-12-06开）</t>
        </is>
      </c>
    </row>
    <row r="1310">
      <c r="A1310" t="inlineStr">
        <is>
          <t>2022-12-07</t>
        </is>
      </c>
      <c r="B1310" t="inlineStr">
        <is>
          <t>热卷</t>
        </is>
      </c>
      <c r="C1310" t="inlineStr">
        <is>
          <t>多</t>
        </is>
      </c>
      <c r="D1310" t="n">
        <v>3</v>
      </c>
      <c r="E1310" t="n">
        <v>6</v>
      </c>
      <c r="F1310" t="inlineStr">
        <is>
          <t>开仓</t>
        </is>
      </c>
      <c r="G1310" t="n">
        <v>13</v>
      </c>
      <c r="H1310" t="n">
        <v>3902</v>
      </c>
      <c r="I1310" t="n">
        <v>3707.43</v>
      </c>
      <c r="J1310" t="n">
        <v>2.65</v>
      </c>
      <c r="K1310" t="inlineStr">
        <is>
          <t>组合风险已近10%，预算缩小</t>
        </is>
      </c>
    </row>
    <row r="1311">
      <c r="A1311" t="inlineStr">
        <is>
          <t>2022-12-07</t>
        </is>
      </c>
      <c r="B1311" t="inlineStr">
        <is>
          <t>沪铜</t>
        </is>
      </c>
      <c r="C1311" t="inlineStr">
        <is>
          <t>空</t>
        </is>
      </c>
      <c r="D1311" t="n">
        <v>3</v>
      </c>
      <c r="E1311" t="n">
        <v>6</v>
      </c>
      <c r="F1311" t="inlineStr">
        <is>
          <t>不做</t>
        </is>
      </c>
      <c r="H1311" t="n">
        <v>65440</v>
      </c>
      <c r="J1311" t="n">
        <v>0</v>
      </c>
      <c r="K1311" t="inlineStr">
        <is>
          <t>组合风险已近10%，预算缩小</t>
        </is>
      </c>
    </row>
    <row r="1312">
      <c r="A1312" t="inlineStr">
        <is>
          <t>2022-12-07</t>
        </is>
      </c>
      <c r="B1312" t="inlineStr">
        <is>
          <t>棉花</t>
        </is>
      </c>
      <c r="C1312" t="inlineStr">
        <is>
          <t>多</t>
        </is>
      </c>
      <c r="D1312" t="n">
        <v>2</v>
      </c>
      <c r="E1312" t="n">
        <v>5</v>
      </c>
      <c r="F1312" t="inlineStr">
        <is>
          <t>影子仓</t>
        </is>
      </c>
      <c r="G1312" t="n">
        <v>3</v>
      </c>
      <c r="H1312" t="n">
        <v>13620</v>
      </c>
      <c r="I1312" t="n">
        <v>12954.64</v>
      </c>
      <c r="J1312" t="n">
        <v>1</v>
      </c>
      <c r="K1312" t="inlineStr">
        <is>
          <t>凯利≤0，开1%影子仓（只统计，不计入组合）</t>
        </is>
      </c>
    </row>
    <row r="1313">
      <c r="A1313" t="inlineStr">
        <is>
          <t>2022-12-07</t>
        </is>
      </c>
      <c r="B1313" t="inlineStr">
        <is>
          <t>铁矿石</t>
        </is>
      </c>
      <c r="C1313" t="inlineStr">
        <is>
          <t>空</t>
        </is>
      </c>
      <c r="D1313" t="n">
        <v>2</v>
      </c>
      <c r="E1313" t="n">
        <v>4</v>
      </c>
      <c r="F1313" t="inlineStr">
        <is>
          <t>影子仓</t>
        </is>
      </c>
      <c r="G1313" t="n">
        <v>1</v>
      </c>
      <c r="H1313" t="n">
        <v>765</v>
      </c>
      <c r="I1313" t="n">
        <v>837.64</v>
      </c>
      <c r="J1313" t="n">
        <v>1</v>
      </c>
      <c r="K1313" t="inlineStr">
        <is>
          <t>凯利≤0，开1%影子仓（只统计，不计入组合）</t>
        </is>
      </c>
    </row>
    <row r="1314">
      <c r="A1314" t="inlineStr">
        <is>
          <t>2022-12-08</t>
        </is>
      </c>
      <c r="B1314" t="inlineStr">
        <is>
          <t>纯碱</t>
        </is>
      </c>
      <c r="C1314" t="inlineStr">
        <is>
          <t>多</t>
        </is>
      </c>
      <c r="D1314" t="n">
        <v>3</v>
      </c>
      <c r="E1314" t="n">
        <v>7</v>
      </c>
      <c r="F1314" t="inlineStr">
        <is>
          <t>不做</t>
        </is>
      </c>
      <c r="H1314" t="n">
        <v>2570</v>
      </c>
      <c r="J1314" t="n">
        <v>0</v>
      </c>
      <c r="K1314" t="inlineStr">
        <is>
          <t>组合风险已近10%，预算缩小</t>
        </is>
      </c>
    </row>
    <row r="1315">
      <c r="A1315" t="inlineStr">
        <is>
          <t>2022-12-08</t>
        </is>
      </c>
      <c r="B1315" t="inlineStr">
        <is>
          <t>螺纹钢</t>
        </is>
      </c>
      <c r="C1315" t="inlineStr">
        <is>
          <t>多</t>
        </is>
      </c>
      <c r="D1315" t="n">
        <v>3</v>
      </c>
      <c r="E1315" t="n">
        <v>7</v>
      </c>
      <c r="F1315" t="inlineStr">
        <is>
          <t>不做</t>
        </is>
      </c>
      <c r="H1315" t="n">
        <v>3839</v>
      </c>
      <c r="J1315" t="n">
        <v>0</v>
      </c>
      <c r="K1315" t="inlineStr">
        <is>
          <t>组合风险已近10%，预算缩小</t>
        </is>
      </c>
    </row>
    <row r="1316">
      <c r="A1316" t="inlineStr">
        <is>
          <t>2022-12-08</t>
        </is>
      </c>
      <c r="B1316" t="inlineStr">
        <is>
          <t>棉花</t>
        </is>
      </c>
      <c r="C1316" t="inlineStr">
        <is>
          <t>多</t>
        </is>
      </c>
      <c r="D1316" t="n">
        <v>3</v>
      </c>
      <c r="E1316" t="n">
        <v>7</v>
      </c>
      <c r="F1316" t="inlineStr">
        <is>
          <t>续持</t>
        </is>
      </c>
      <c r="G1316" t="n">
        <v>3</v>
      </c>
      <c r="H1316" t="n">
        <v>13690</v>
      </c>
      <c r="I1316" t="n">
        <v>13041.07</v>
      </c>
      <c r="J1316" t="n">
        <v>1</v>
      </c>
      <c r="K1316" t="inlineStr">
        <is>
          <t>续持原仓（2022-12-07开）</t>
        </is>
      </c>
    </row>
    <row r="1317">
      <c r="A1317" t="inlineStr">
        <is>
          <t>2022-12-08</t>
        </is>
      </c>
      <c r="B1317" t="inlineStr">
        <is>
          <t>豆粕</t>
        </is>
      </c>
      <c r="C1317" t="inlineStr">
        <is>
          <t>多</t>
        </is>
      </c>
      <c r="D1317" t="n">
        <v>3</v>
      </c>
      <c r="E1317" t="n">
        <v>6</v>
      </c>
      <c r="F1317" t="inlineStr">
        <is>
          <t>续持</t>
        </is>
      </c>
      <c r="G1317" t="n">
        <v>8</v>
      </c>
      <c r="H1317" t="n">
        <v>4428</v>
      </c>
      <c r="I1317" t="n">
        <v>4235.5</v>
      </c>
      <c r="J1317" t="n">
        <v>1.63</v>
      </c>
      <c r="K1317" t="inlineStr">
        <is>
          <t>续持原仓（2022-11-30开）</t>
        </is>
      </c>
    </row>
    <row r="1318">
      <c r="A1318" t="inlineStr">
        <is>
          <t>2022-12-08</t>
        </is>
      </c>
      <c r="B1318" t="inlineStr">
        <is>
          <t>热卷</t>
        </is>
      </c>
      <c r="C1318" t="inlineStr">
        <is>
          <t>多</t>
        </is>
      </c>
      <c r="D1318" t="n">
        <v>3</v>
      </c>
      <c r="E1318" t="n">
        <v>6</v>
      </c>
      <c r="F1318" t="inlineStr">
        <is>
          <t>续持</t>
        </is>
      </c>
      <c r="G1318" t="n">
        <v>13</v>
      </c>
      <c r="H1318" t="n">
        <v>3945</v>
      </c>
      <c r="I1318" t="n">
        <v>3759.86</v>
      </c>
      <c r="J1318" t="n">
        <v>2.65</v>
      </c>
      <c r="K1318" t="inlineStr">
        <is>
          <t>续持原仓（2022-12-07开）</t>
        </is>
      </c>
    </row>
    <row r="1319">
      <c r="A1319" t="inlineStr">
        <is>
          <t>2022-12-08</t>
        </is>
      </c>
      <c r="B1319" t="inlineStr">
        <is>
          <t>燃料油</t>
        </is>
      </c>
      <c r="C1319" t="inlineStr">
        <is>
          <t>空</t>
        </is>
      </c>
      <c r="D1319" t="n">
        <v>2</v>
      </c>
      <c r="E1319" t="n">
        <v>4</v>
      </c>
      <c r="F1319" t="inlineStr">
        <is>
          <t>续持</t>
        </is>
      </c>
      <c r="G1319" t="n">
        <v>9</v>
      </c>
      <c r="H1319" t="n">
        <v>2514</v>
      </c>
      <c r="I1319" t="n">
        <v>2759.36</v>
      </c>
      <c r="J1319" t="n">
        <v>2.98</v>
      </c>
      <c r="K1319" t="inlineStr">
        <is>
          <t>续持原仓（2022-12-06开）</t>
        </is>
      </c>
    </row>
    <row r="1320">
      <c r="A1320" t="inlineStr">
        <is>
          <t>2022-12-09</t>
        </is>
      </c>
      <c r="B1320" t="inlineStr">
        <is>
          <t>纯碱</t>
        </is>
      </c>
      <c r="C1320" t="inlineStr">
        <is>
          <t>多</t>
        </is>
      </c>
      <c r="D1320" t="n">
        <v>3</v>
      </c>
      <c r="E1320" t="n">
        <v>7</v>
      </c>
      <c r="F1320" t="inlineStr">
        <is>
          <t>不做</t>
        </is>
      </c>
      <c r="H1320" t="n">
        <v>2640</v>
      </c>
      <c r="J1320" t="n">
        <v>0</v>
      </c>
      <c r="K1320" t="inlineStr">
        <is>
          <t>组合风险已近10%，预算缩小</t>
        </is>
      </c>
    </row>
    <row r="1321">
      <c r="A1321" t="inlineStr">
        <is>
          <t>2022-12-09</t>
        </is>
      </c>
      <c r="B1321" t="inlineStr">
        <is>
          <t>棉花</t>
        </is>
      </c>
      <c r="C1321" t="inlineStr">
        <is>
          <t>多</t>
        </is>
      </c>
      <c r="D1321" t="n">
        <v>3</v>
      </c>
      <c r="E1321" t="n">
        <v>7</v>
      </c>
      <c r="F1321" t="inlineStr">
        <is>
          <t>续持</t>
        </is>
      </c>
      <c r="G1321" t="n">
        <v>3</v>
      </c>
      <c r="H1321" t="n">
        <v>13845</v>
      </c>
      <c r="I1321" t="n">
        <v>13230.71</v>
      </c>
      <c r="J1321" t="n">
        <v>1</v>
      </c>
      <c r="K1321" t="inlineStr">
        <is>
          <t>续持原仓（2022-12-07开）</t>
        </is>
      </c>
    </row>
    <row r="1322">
      <c r="A1322" t="inlineStr">
        <is>
          <t>2022-12-09</t>
        </is>
      </c>
      <c r="B1322" t="inlineStr">
        <is>
          <t>螺纹钢</t>
        </is>
      </c>
      <c r="C1322" t="inlineStr">
        <is>
          <t>多</t>
        </is>
      </c>
      <c r="D1322" t="n">
        <v>3</v>
      </c>
      <c r="E1322" t="n">
        <v>6</v>
      </c>
      <c r="F1322" t="inlineStr">
        <is>
          <t>不做</t>
        </is>
      </c>
      <c r="H1322" t="n">
        <v>3945</v>
      </c>
      <c r="J1322" t="n">
        <v>0</v>
      </c>
      <c r="K1322" t="inlineStr">
        <is>
          <t>组合风险已近10%，预算缩小</t>
        </is>
      </c>
    </row>
    <row r="1323">
      <c r="A1323" t="inlineStr">
        <is>
          <t>2022-12-09</t>
        </is>
      </c>
      <c r="B1323" t="inlineStr">
        <is>
          <t>豆粕</t>
        </is>
      </c>
      <c r="C1323" t="inlineStr">
        <is>
          <t>多</t>
        </is>
      </c>
      <c r="D1323" t="n">
        <v>3</v>
      </c>
      <c r="E1323" t="n">
        <v>6</v>
      </c>
      <c r="F1323" t="inlineStr">
        <is>
          <t>续持</t>
        </is>
      </c>
      <c r="G1323" t="n">
        <v>8</v>
      </c>
      <c r="H1323" t="n">
        <v>4444</v>
      </c>
      <c r="I1323" t="n">
        <v>4250.21</v>
      </c>
      <c r="J1323" t="n">
        <v>1.63</v>
      </c>
      <c r="K1323" t="inlineStr">
        <is>
          <t>续持原仓（2022-11-30开）</t>
        </is>
      </c>
    </row>
    <row r="1324">
      <c r="A1324" t="inlineStr">
        <is>
          <t>2022-12-09</t>
        </is>
      </c>
      <c r="B1324" t="inlineStr">
        <is>
          <t>热卷</t>
        </is>
      </c>
      <c r="C1324" t="inlineStr">
        <is>
          <t>多</t>
        </is>
      </c>
      <c r="D1324" t="n">
        <v>3</v>
      </c>
      <c r="E1324" t="n">
        <v>6</v>
      </c>
      <c r="F1324" t="inlineStr">
        <is>
          <t>续持</t>
        </is>
      </c>
      <c r="G1324" t="n">
        <v>13</v>
      </c>
      <c r="H1324" t="n">
        <v>4031</v>
      </c>
      <c r="I1324" t="n">
        <v>3847.64</v>
      </c>
      <c r="J1324" t="n">
        <v>2.65</v>
      </c>
      <c r="K1324" t="inlineStr">
        <is>
          <t>续持原仓（2022-12-07开）</t>
        </is>
      </c>
    </row>
    <row r="1325">
      <c r="A1325" t="inlineStr">
        <is>
          <t>2022-12-09</t>
        </is>
      </c>
      <c r="B1325" t="inlineStr">
        <is>
          <t>燃料油</t>
        </is>
      </c>
      <c r="C1325" t="inlineStr">
        <is>
          <t>空</t>
        </is>
      </c>
      <c r="D1325" t="n">
        <v>2</v>
      </c>
      <c r="E1325" t="n">
        <v>4</v>
      </c>
      <c r="F1325" t="inlineStr">
        <is>
          <t>观望</t>
        </is>
      </c>
      <c r="G1325" t="n">
        <v>3</v>
      </c>
      <c r="H1325" t="n">
        <v>2561</v>
      </c>
      <c r="I1325" t="n">
        <v>2826.29</v>
      </c>
      <c r="J1325" t="n">
        <v>1</v>
      </c>
      <c r="K1325" t="inlineStr">
        <is>
          <t>逆5日线（收盘在5日线上，不追空）</t>
        </is>
      </c>
    </row>
    <row r="1326">
      <c r="A1326" t="inlineStr">
        <is>
          <t>2022-12-12</t>
        </is>
      </c>
      <c r="B1326" t="inlineStr">
        <is>
          <t>沪银</t>
        </is>
      </c>
      <c r="C1326" t="inlineStr">
        <is>
          <t>多</t>
        </is>
      </c>
      <c r="D1326" t="n">
        <v>3</v>
      </c>
      <c r="E1326" t="n">
        <v>7</v>
      </c>
      <c r="F1326" t="inlineStr">
        <is>
          <t>不做</t>
        </is>
      </c>
      <c r="H1326" t="n">
        <v>5303</v>
      </c>
      <c r="J1326" t="n">
        <v>0</v>
      </c>
      <c r="K1326" t="inlineStr">
        <is>
          <t>组合风险已近10%，预算缩小</t>
        </is>
      </c>
    </row>
    <row r="1327">
      <c r="A1327" t="inlineStr">
        <is>
          <t>2022-12-12</t>
        </is>
      </c>
      <c r="B1327" t="inlineStr">
        <is>
          <t>纯碱</t>
        </is>
      </c>
      <c r="C1327" t="inlineStr">
        <is>
          <t>多</t>
        </is>
      </c>
      <c r="D1327" t="n">
        <v>3</v>
      </c>
      <c r="E1327" t="n">
        <v>6</v>
      </c>
      <c r="F1327" t="inlineStr">
        <is>
          <t>不做</t>
        </is>
      </c>
      <c r="H1327" t="n">
        <v>2654</v>
      </c>
      <c r="J1327" t="n">
        <v>0</v>
      </c>
      <c r="K1327" t="inlineStr">
        <is>
          <t>组合风险已近10%，预算缩小</t>
        </is>
      </c>
    </row>
    <row r="1328">
      <c r="A1328" t="inlineStr">
        <is>
          <t>2022-12-12</t>
        </is>
      </c>
      <c r="B1328" t="inlineStr">
        <is>
          <t>螺纹钢</t>
        </is>
      </c>
      <c r="C1328" t="inlineStr">
        <is>
          <t>多</t>
        </is>
      </c>
      <c r="D1328" t="n">
        <v>3</v>
      </c>
      <c r="E1328" t="n">
        <v>6</v>
      </c>
      <c r="F1328" t="inlineStr">
        <is>
          <t>不做</t>
        </is>
      </c>
      <c r="H1328" t="n">
        <v>3935</v>
      </c>
      <c r="J1328" t="n">
        <v>0</v>
      </c>
      <c r="K1328" t="inlineStr">
        <is>
          <t>组合风险已近10%，预算缩小</t>
        </is>
      </c>
    </row>
    <row r="1329">
      <c r="A1329" t="inlineStr">
        <is>
          <t>2022-12-12</t>
        </is>
      </c>
      <c r="B1329" t="inlineStr">
        <is>
          <t>燃料油</t>
        </is>
      </c>
      <c r="C1329" t="inlineStr">
        <is>
          <t>空</t>
        </is>
      </c>
      <c r="D1329" t="n">
        <v>3</v>
      </c>
      <c r="E1329" t="n">
        <v>6</v>
      </c>
      <c r="F1329" t="inlineStr">
        <is>
          <t>续持</t>
        </is>
      </c>
      <c r="G1329" t="n">
        <v>9</v>
      </c>
      <c r="H1329" t="n">
        <v>2520</v>
      </c>
      <c r="I1329" t="n">
        <v>2737.71</v>
      </c>
      <c r="J1329" t="n">
        <v>2.98</v>
      </c>
      <c r="K1329" t="inlineStr">
        <is>
          <t>续持原仓（2022-12-06开）</t>
        </is>
      </c>
    </row>
    <row r="1330">
      <c r="A1330" t="inlineStr">
        <is>
          <t>2022-12-12</t>
        </is>
      </c>
      <c r="B1330" t="inlineStr">
        <is>
          <t>豆粕</t>
        </is>
      </c>
      <c r="C1330" t="inlineStr">
        <is>
          <t>多</t>
        </is>
      </c>
      <c r="D1330" t="n">
        <v>2</v>
      </c>
      <c r="E1330" t="n">
        <v>5</v>
      </c>
      <c r="F1330" t="inlineStr">
        <is>
          <t>续持</t>
        </is>
      </c>
      <c r="G1330" t="n">
        <v>8</v>
      </c>
      <c r="H1330" t="n">
        <v>4377</v>
      </c>
      <c r="I1330" t="n">
        <v>4250.21</v>
      </c>
      <c r="J1330" t="n">
        <v>1.63</v>
      </c>
      <c r="K1330" t="inlineStr">
        <is>
          <t>续持原仓（2022-11-30开）</t>
        </is>
      </c>
    </row>
    <row r="1331">
      <c r="A1331" t="inlineStr">
        <is>
          <t>2022-12-12</t>
        </is>
      </c>
      <c r="B1331" t="inlineStr">
        <is>
          <t>热卷</t>
        </is>
      </c>
      <c r="C1331" t="inlineStr">
        <is>
          <t>多</t>
        </is>
      </c>
      <c r="D1331" t="n">
        <v>2</v>
      </c>
      <c r="E1331" t="n">
        <v>5</v>
      </c>
      <c r="F1331" t="inlineStr">
        <is>
          <t>续持</t>
        </is>
      </c>
      <c r="G1331" t="n">
        <v>13</v>
      </c>
      <c r="H1331" t="n">
        <v>4036</v>
      </c>
      <c r="I1331" t="n">
        <v>3885.64</v>
      </c>
      <c r="J1331" t="n">
        <v>2.65</v>
      </c>
      <c r="K1331" t="inlineStr">
        <is>
          <t>续持原仓（2022-12-07开）</t>
        </is>
      </c>
    </row>
    <row r="1332">
      <c r="A1332" t="inlineStr">
        <is>
          <t>2022-12-12</t>
        </is>
      </c>
      <c r="B1332" t="inlineStr">
        <is>
          <t>硅铁</t>
        </is>
      </c>
      <c r="C1332" t="inlineStr">
        <is>
          <t>空</t>
        </is>
      </c>
      <c r="D1332" t="n">
        <v>2</v>
      </c>
      <c r="E1332" t="n">
        <v>4</v>
      </c>
      <c r="F1332" t="inlineStr">
        <is>
          <t>观望</t>
        </is>
      </c>
      <c r="G1332" t="n">
        <v>3</v>
      </c>
      <c r="H1332" t="n">
        <v>8588</v>
      </c>
      <c r="I1332" t="n">
        <v>9206.43</v>
      </c>
      <c r="J1332" t="n">
        <v>1</v>
      </c>
      <c r="K1332" t="inlineStr">
        <is>
          <t>逆5日线（收盘在5日线上，不追空）</t>
        </is>
      </c>
    </row>
    <row r="1333">
      <c r="A1333" t="inlineStr">
        <is>
          <t>2022-12-13</t>
        </is>
      </c>
      <c r="B1333" t="inlineStr">
        <is>
          <t>沪银</t>
        </is>
      </c>
      <c r="C1333" t="inlineStr">
        <is>
          <t>多</t>
        </is>
      </c>
      <c r="D1333" t="n">
        <v>3</v>
      </c>
      <c r="E1333" t="n">
        <v>7</v>
      </c>
      <c r="F1333" t="inlineStr">
        <is>
          <t>不做</t>
        </is>
      </c>
      <c r="H1333" t="n">
        <v>5320</v>
      </c>
      <c r="J1333" t="n">
        <v>0</v>
      </c>
      <c r="K1333" t="inlineStr">
        <is>
          <t>组合风险已近10%，预算缩小</t>
        </is>
      </c>
    </row>
    <row r="1334">
      <c r="A1334" t="inlineStr">
        <is>
          <t>2022-12-13</t>
        </is>
      </c>
      <c r="B1334" t="inlineStr">
        <is>
          <t>螺纹钢</t>
        </is>
      </c>
      <c r="C1334" t="inlineStr">
        <is>
          <t>多</t>
        </is>
      </c>
      <c r="D1334" t="n">
        <v>3</v>
      </c>
      <c r="E1334" t="n">
        <v>6</v>
      </c>
      <c r="F1334" t="inlineStr">
        <is>
          <t>不做</t>
        </is>
      </c>
      <c r="H1334" t="n">
        <v>3937</v>
      </c>
      <c r="J1334" t="n">
        <v>0</v>
      </c>
      <c r="K1334" t="inlineStr">
        <is>
          <t>组合风险已近10%，预算缩小</t>
        </is>
      </c>
    </row>
    <row r="1335">
      <c r="A1335" t="inlineStr">
        <is>
          <t>2022-12-13</t>
        </is>
      </c>
      <c r="B1335" t="inlineStr">
        <is>
          <t>棉花</t>
        </is>
      </c>
      <c r="C1335" t="inlineStr">
        <is>
          <t>多</t>
        </is>
      </c>
      <c r="D1335" t="n">
        <v>3</v>
      </c>
      <c r="E1335" t="n">
        <v>6</v>
      </c>
      <c r="F1335" t="inlineStr">
        <is>
          <t>续持</t>
        </is>
      </c>
      <c r="G1335" t="n">
        <v>3</v>
      </c>
      <c r="H1335" t="n">
        <v>13840</v>
      </c>
      <c r="I1335" t="n">
        <v>13480.71</v>
      </c>
      <c r="J1335" t="n">
        <v>1</v>
      </c>
      <c r="K1335" t="inlineStr">
        <is>
          <t>续持原仓（2022-12-07开）</t>
        </is>
      </c>
    </row>
    <row r="1336">
      <c r="A1336" t="inlineStr">
        <is>
          <t>2022-12-13</t>
        </is>
      </c>
      <c r="B1336" t="inlineStr">
        <is>
          <t>豆粕</t>
        </is>
      </c>
      <c r="C1336" t="inlineStr">
        <is>
          <t>多</t>
        </is>
      </c>
      <c r="D1336" t="n">
        <v>2</v>
      </c>
      <c r="E1336" t="n">
        <v>5</v>
      </c>
      <c r="F1336" t="inlineStr">
        <is>
          <t>观望</t>
        </is>
      </c>
      <c r="G1336" t="n">
        <v>4</v>
      </c>
      <c r="H1336" t="n">
        <v>4369</v>
      </c>
      <c r="I1336" t="n">
        <v>4168</v>
      </c>
      <c r="J1336" t="n">
        <v>1</v>
      </c>
      <c r="K1336" t="inlineStr">
        <is>
          <t>逆5日线（收盘在5日线下，不追多）</t>
        </is>
      </c>
    </row>
    <row r="1337">
      <c r="A1337" t="inlineStr">
        <is>
          <t>2022-12-13</t>
        </is>
      </c>
      <c r="B1337" t="inlineStr">
        <is>
          <t>热卷</t>
        </is>
      </c>
      <c r="C1337" t="inlineStr">
        <is>
          <t>多</t>
        </is>
      </c>
      <c r="D1337" t="n">
        <v>2</v>
      </c>
      <c r="E1337" t="n">
        <v>5</v>
      </c>
      <c r="F1337" t="inlineStr">
        <is>
          <t>续持</t>
        </is>
      </c>
      <c r="G1337" t="n">
        <v>13</v>
      </c>
      <c r="H1337" t="n">
        <v>4032</v>
      </c>
      <c r="I1337" t="n">
        <v>3885.64</v>
      </c>
      <c r="J1337" t="n">
        <v>2.65</v>
      </c>
      <c r="K1337" t="inlineStr">
        <is>
          <t>续持原仓（2022-12-07开）</t>
        </is>
      </c>
    </row>
    <row r="1338">
      <c r="A1338" t="inlineStr">
        <is>
          <t>2022-12-13</t>
        </is>
      </c>
      <c r="B1338" t="inlineStr">
        <is>
          <t>聚丙烯</t>
        </is>
      </c>
      <c r="C1338" t="inlineStr">
        <is>
          <t>空</t>
        </is>
      </c>
      <c r="D1338" t="n">
        <v>2</v>
      </c>
      <c r="E1338" t="n">
        <v>5</v>
      </c>
      <c r="F1338" t="inlineStr">
        <is>
          <t>观望</t>
        </is>
      </c>
      <c r="G1338" t="n">
        <v>5</v>
      </c>
      <c r="H1338" t="n">
        <v>7790</v>
      </c>
      <c r="I1338" t="n">
        <v>8180.64</v>
      </c>
      <c r="J1338" t="n">
        <v>1</v>
      </c>
      <c r="K1338" t="inlineStr">
        <is>
          <t>逆5日线（收盘在5日线上，不追空）</t>
        </is>
      </c>
    </row>
    <row r="1339">
      <c r="A1339" t="inlineStr">
        <is>
          <t>2022-12-14</t>
        </is>
      </c>
      <c r="B1339" t="inlineStr">
        <is>
          <t>热卷</t>
        </is>
      </c>
      <c r="C1339" t="inlineStr">
        <is>
          <t>多</t>
        </is>
      </c>
      <c r="D1339" t="n">
        <v>3</v>
      </c>
      <c r="E1339" t="n">
        <v>7</v>
      </c>
      <c r="F1339" t="inlineStr">
        <is>
          <t>续持</t>
        </is>
      </c>
      <c r="G1339" t="n">
        <v>13</v>
      </c>
      <c r="H1339" t="n">
        <v>4069</v>
      </c>
      <c r="I1339" t="n">
        <v>3885.64</v>
      </c>
      <c r="J1339" t="n">
        <v>2.65</v>
      </c>
      <c r="K1339" t="inlineStr">
        <is>
          <t>续持原仓（2022-12-07开）</t>
        </is>
      </c>
    </row>
    <row r="1340">
      <c r="A1340" t="inlineStr">
        <is>
          <t>2022-12-14</t>
        </is>
      </c>
      <c r="B1340" t="inlineStr">
        <is>
          <t>棉花</t>
        </is>
      </c>
      <c r="C1340" t="inlineStr">
        <is>
          <t>多</t>
        </is>
      </c>
      <c r="D1340" t="n">
        <v>3</v>
      </c>
      <c r="E1340" t="n">
        <v>7</v>
      </c>
      <c r="F1340" t="inlineStr">
        <is>
          <t>续持</t>
        </is>
      </c>
      <c r="G1340" t="n">
        <v>3</v>
      </c>
      <c r="H1340" t="n">
        <v>13900</v>
      </c>
      <c r="I1340" t="n">
        <v>13480.71</v>
      </c>
      <c r="J1340" t="n">
        <v>1</v>
      </c>
      <c r="K1340" t="inlineStr">
        <is>
          <t>续持原仓（2022-12-07开）</t>
        </is>
      </c>
    </row>
    <row r="1341">
      <c r="A1341" t="inlineStr">
        <is>
          <t>2022-12-14</t>
        </is>
      </c>
      <c r="B1341" t="inlineStr">
        <is>
          <t>PVC</t>
        </is>
      </c>
      <c r="C1341" t="inlineStr">
        <is>
          <t>多</t>
        </is>
      </c>
      <c r="D1341" t="n">
        <v>3</v>
      </c>
      <c r="E1341" t="n">
        <v>6</v>
      </c>
      <c r="F1341" t="inlineStr">
        <is>
          <t>开仓</t>
        </is>
      </c>
      <c r="G1341" t="n">
        <v>13</v>
      </c>
      <c r="H1341" t="n">
        <v>6333</v>
      </c>
      <c r="I1341" t="n">
        <v>5920.71</v>
      </c>
      <c r="J1341" t="n">
        <v>2.74</v>
      </c>
      <c r="K1341" t="inlineStr">
        <is>
          <t>组合风险已近10%，预算缩小</t>
        </is>
      </c>
    </row>
    <row r="1342">
      <c r="A1342" t="inlineStr">
        <is>
          <t>2022-12-14</t>
        </is>
      </c>
      <c r="B1342" t="inlineStr">
        <is>
          <t>玻璃</t>
        </is>
      </c>
      <c r="C1342" t="inlineStr">
        <is>
          <t>多</t>
        </is>
      </c>
      <c r="D1342" t="n">
        <v>3</v>
      </c>
      <c r="E1342" t="n">
        <v>6</v>
      </c>
      <c r="F1342" t="inlineStr">
        <is>
          <t>不做</t>
        </is>
      </c>
      <c r="H1342" t="n">
        <v>1574</v>
      </c>
      <c r="J1342" t="n">
        <v>0</v>
      </c>
      <c r="K1342" t="inlineStr">
        <is>
          <t>组合风险已近10%，预算缩小</t>
        </is>
      </c>
    </row>
    <row r="1343">
      <c r="A1343" t="inlineStr">
        <is>
          <t>2022-12-14</t>
        </is>
      </c>
      <c r="B1343" t="inlineStr">
        <is>
          <t>纯碱</t>
        </is>
      </c>
      <c r="C1343" t="inlineStr">
        <is>
          <t>多</t>
        </is>
      </c>
      <c r="D1343" t="n">
        <v>2</v>
      </c>
      <c r="E1343" t="n">
        <v>5</v>
      </c>
      <c r="F1343" t="inlineStr">
        <is>
          <t>影子仓</t>
        </is>
      </c>
      <c r="G1343" t="n">
        <v>3</v>
      </c>
      <c r="H1343" t="n">
        <v>2662</v>
      </c>
      <c r="I1343" t="n">
        <v>2497.21</v>
      </c>
      <c r="J1343" t="n">
        <v>1</v>
      </c>
      <c r="K1343" t="inlineStr">
        <is>
          <t>凯利≤0，开1%影子仓（只统计，不计入组合）</t>
        </is>
      </c>
    </row>
    <row r="1344">
      <c r="A1344" t="inlineStr">
        <is>
          <t>2022-12-15</t>
        </is>
      </c>
      <c r="B1344" t="inlineStr">
        <is>
          <t>热卷</t>
        </is>
      </c>
      <c r="C1344" t="inlineStr">
        <is>
          <t>多</t>
        </is>
      </c>
      <c r="D1344" t="n">
        <v>3</v>
      </c>
      <c r="E1344" t="n">
        <v>7</v>
      </c>
      <c r="F1344" t="inlineStr">
        <is>
          <t>续持</t>
        </is>
      </c>
      <c r="G1344" t="n">
        <v>13</v>
      </c>
      <c r="H1344" t="n">
        <v>4149</v>
      </c>
      <c r="I1344" t="n">
        <v>3952.07</v>
      </c>
      <c r="J1344" t="n">
        <v>2.65</v>
      </c>
      <c r="K1344" t="inlineStr">
        <is>
          <t>续持原仓（2022-12-07开）</t>
        </is>
      </c>
    </row>
    <row r="1345">
      <c r="A1345" t="inlineStr">
        <is>
          <t>2022-12-15</t>
        </is>
      </c>
      <c r="B1345" t="inlineStr">
        <is>
          <t>塑料</t>
        </is>
      </c>
      <c r="C1345" t="inlineStr">
        <is>
          <t>多</t>
        </is>
      </c>
      <c r="D1345" t="n">
        <v>3</v>
      </c>
      <c r="E1345" t="n">
        <v>7</v>
      </c>
      <c r="F1345" t="inlineStr">
        <is>
          <t>开仓</t>
        </is>
      </c>
      <c r="G1345" t="n">
        <v>16</v>
      </c>
      <c r="H1345" t="n">
        <v>8246</v>
      </c>
      <c r="I1345" t="n">
        <v>7882.79</v>
      </c>
      <c r="J1345" t="n">
        <v>3</v>
      </c>
      <c r="K1345" t="inlineStr">
        <is>
          <t>¼凯利超上限，取3%</t>
        </is>
      </c>
    </row>
    <row r="1346">
      <c r="A1346" t="inlineStr">
        <is>
          <t>2022-12-15</t>
        </is>
      </c>
      <c r="B1346" t="inlineStr">
        <is>
          <t>纯碱</t>
        </is>
      </c>
      <c r="C1346" t="inlineStr">
        <is>
          <t>多</t>
        </is>
      </c>
      <c r="D1346" t="n">
        <v>3</v>
      </c>
      <c r="E1346" t="n">
        <v>6</v>
      </c>
      <c r="F1346" t="inlineStr">
        <is>
          <t>续持</t>
        </is>
      </c>
      <c r="G1346" t="n">
        <v>3</v>
      </c>
      <c r="H1346" t="n">
        <v>2747</v>
      </c>
      <c r="I1346" t="n">
        <v>2579.57</v>
      </c>
      <c r="J1346" t="n">
        <v>1</v>
      </c>
      <c r="K1346" t="inlineStr">
        <is>
          <t>续持原仓（2022-12-14开）</t>
        </is>
      </c>
    </row>
    <row r="1347">
      <c r="A1347" t="inlineStr">
        <is>
          <t>2022-12-15</t>
        </is>
      </c>
      <c r="B1347" t="inlineStr">
        <is>
          <t>螺纹钢</t>
        </is>
      </c>
      <c r="C1347" t="inlineStr">
        <is>
          <t>多</t>
        </is>
      </c>
      <c r="D1347" t="n">
        <v>3</v>
      </c>
      <c r="E1347" t="n">
        <v>6</v>
      </c>
      <c r="F1347" t="inlineStr">
        <is>
          <t>开仓</t>
        </is>
      </c>
      <c r="G1347" t="n">
        <v>1</v>
      </c>
      <c r="H1347" t="n">
        <v>4084</v>
      </c>
      <c r="I1347" t="n">
        <v>3862</v>
      </c>
      <c r="J1347" t="n">
        <v>0.35</v>
      </c>
      <c r="K1347" t="inlineStr">
        <is>
          <t>与热卷高度相关（同组≤3%），预算缩小</t>
        </is>
      </c>
    </row>
    <row r="1348">
      <c r="A1348" t="inlineStr">
        <is>
          <t>2022-12-15</t>
        </is>
      </c>
      <c r="B1348" t="inlineStr">
        <is>
          <t>沪银</t>
        </is>
      </c>
      <c r="C1348" t="inlineStr">
        <is>
          <t>多</t>
        </is>
      </c>
      <c r="D1348" t="n">
        <v>2</v>
      </c>
      <c r="E1348" t="n">
        <v>4</v>
      </c>
      <c r="F1348" t="inlineStr">
        <is>
          <t>观望</t>
        </is>
      </c>
      <c r="G1348" t="n">
        <v>1</v>
      </c>
      <c r="H1348" t="n">
        <v>5285</v>
      </c>
      <c r="I1348" t="n">
        <v>4913</v>
      </c>
      <c r="J1348" t="n">
        <v>1</v>
      </c>
      <c r="K1348" t="inlineStr">
        <is>
          <t>逆5日线（收盘在5日线下，不追多）</t>
        </is>
      </c>
    </row>
    <row r="1349">
      <c r="A1349" t="inlineStr">
        <is>
          <t>2022-12-16</t>
        </is>
      </c>
      <c r="B1349" t="inlineStr">
        <is>
          <t>纯碱</t>
        </is>
      </c>
      <c r="C1349" t="inlineStr">
        <is>
          <t>多</t>
        </is>
      </c>
      <c r="D1349" t="n">
        <v>3</v>
      </c>
      <c r="E1349" t="n">
        <v>6</v>
      </c>
      <c r="F1349" t="inlineStr">
        <is>
          <t>续持</t>
        </is>
      </c>
      <c r="G1349" t="n">
        <v>3</v>
      </c>
      <c r="H1349" t="n">
        <v>2754</v>
      </c>
      <c r="I1349" t="n">
        <v>2619.71</v>
      </c>
      <c r="J1349" t="n">
        <v>1</v>
      </c>
      <c r="K1349" t="inlineStr">
        <is>
          <t>续持原仓（2022-12-14开）</t>
        </is>
      </c>
    </row>
    <row r="1350">
      <c r="A1350" t="inlineStr">
        <is>
          <t>2022-12-16</t>
        </is>
      </c>
      <c r="B1350" t="inlineStr">
        <is>
          <t>塑料</t>
        </is>
      </c>
      <c r="C1350" t="inlineStr">
        <is>
          <t>多</t>
        </is>
      </c>
      <c r="D1350" t="n">
        <v>3</v>
      </c>
      <c r="E1350" t="n">
        <v>6</v>
      </c>
      <c r="F1350" t="inlineStr">
        <is>
          <t>续持</t>
        </is>
      </c>
      <c r="G1350" t="n">
        <v>16</v>
      </c>
      <c r="H1350" t="n">
        <v>8235</v>
      </c>
      <c r="I1350" t="n">
        <v>7931</v>
      </c>
      <c r="J1350" t="n">
        <v>3</v>
      </c>
      <c r="K1350" t="inlineStr">
        <is>
          <t>续持原仓（2022-12-15开）</t>
        </is>
      </c>
    </row>
    <row r="1351">
      <c r="A1351" t="inlineStr">
        <is>
          <t>2022-12-16</t>
        </is>
      </c>
      <c r="B1351" t="inlineStr">
        <is>
          <t>热卷</t>
        </is>
      </c>
      <c r="C1351" t="inlineStr">
        <is>
          <t>多</t>
        </is>
      </c>
      <c r="D1351" t="n">
        <v>2</v>
      </c>
      <c r="E1351" t="n">
        <v>5</v>
      </c>
      <c r="F1351" t="inlineStr">
        <is>
          <t>续持</t>
        </is>
      </c>
      <c r="G1351" t="n">
        <v>13</v>
      </c>
      <c r="H1351" t="n">
        <v>4105</v>
      </c>
      <c r="I1351" t="n">
        <v>3984.57</v>
      </c>
      <c r="J1351" t="n">
        <v>2.65</v>
      </c>
      <c r="K1351" t="inlineStr">
        <is>
          <t>续持原仓（2022-12-07开）</t>
        </is>
      </c>
    </row>
    <row r="1352">
      <c r="A1352" t="inlineStr">
        <is>
          <t>2022-12-16</t>
        </is>
      </c>
      <c r="B1352" t="inlineStr">
        <is>
          <t>螺纹钢</t>
        </is>
      </c>
      <c r="C1352" t="inlineStr">
        <is>
          <t>多</t>
        </is>
      </c>
      <c r="D1352" t="n">
        <v>2</v>
      </c>
      <c r="E1352" t="n">
        <v>5</v>
      </c>
      <c r="F1352" t="inlineStr">
        <is>
          <t>续持</t>
        </is>
      </c>
      <c r="G1352" t="n">
        <v>1</v>
      </c>
      <c r="H1352" t="n">
        <v>4049</v>
      </c>
      <c r="I1352" t="n">
        <v>3898.71</v>
      </c>
      <c r="J1352" t="n">
        <v>0.35</v>
      </c>
      <c r="K1352" t="inlineStr">
        <is>
          <t>续持原仓（2022-12-15开）</t>
        </is>
      </c>
    </row>
    <row r="1353">
      <c r="A1353" t="inlineStr">
        <is>
          <t>2022-12-16</t>
        </is>
      </c>
      <c r="B1353" t="inlineStr">
        <is>
          <t>沪银</t>
        </is>
      </c>
      <c r="C1353" t="inlineStr">
        <is>
          <t>多</t>
        </is>
      </c>
      <c r="D1353" t="n">
        <v>2</v>
      </c>
      <c r="E1353" t="n">
        <v>4</v>
      </c>
      <c r="F1353" t="inlineStr">
        <is>
          <t>观望</t>
        </is>
      </c>
      <c r="G1353" t="n">
        <v>1</v>
      </c>
      <c r="H1353" t="n">
        <v>5208</v>
      </c>
      <c r="I1353" t="n">
        <v>4819.29</v>
      </c>
      <c r="J1353" t="n">
        <v>1</v>
      </c>
      <c r="K1353" t="inlineStr">
        <is>
          <t>逆5日线（收盘在5日线下，不追多）</t>
        </is>
      </c>
    </row>
    <row r="1354">
      <c r="A1354" t="inlineStr">
        <is>
          <t>2022-12-19</t>
        </is>
      </c>
      <c r="B1354" t="inlineStr">
        <is>
          <t>纯碱</t>
        </is>
      </c>
      <c r="C1354" t="inlineStr">
        <is>
          <t>多</t>
        </is>
      </c>
      <c r="D1354" t="n">
        <v>2</v>
      </c>
      <c r="E1354" t="n">
        <v>5</v>
      </c>
      <c r="F1354" t="inlineStr">
        <is>
          <t>观望</t>
        </is>
      </c>
      <c r="G1354" t="n">
        <v>2</v>
      </c>
      <c r="H1354" t="n">
        <v>2677</v>
      </c>
      <c r="I1354" t="n">
        <v>2482.21</v>
      </c>
      <c r="J1354" t="n">
        <v>1</v>
      </c>
      <c r="K1354" t="inlineStr">
        <is>
          <t>逆5日线（收盘在5日线下，不追多）</t>
        </is>
      </c>
    </row>
    <row r="1355">
      <c r="A1355" t="inlineStr">
        <is>
          <t>2022-12-19</t>
        </is>
      </c>
      <c r="B1355" t="inlineStr">
        <is>
          <t>热卷</t>
        </is>
      </c>
      <c r="C1355" t="inlineStr">
        <is>
          <t>多</t>
        </is>
      </c>
      <c r="D1355" t="n">
        <v>2</v>
      </c>
      <c r="E1355" t="n">
        <v>5</v>
      </c>
      <c r="F1355" t="inlineStr">
        <is>
          <t>观望</t>
        </is>
      </c>
      <c r="G1355" t="n">
        <v>4</v>
      </c>
      <c r="H1355" t="n">
        <v>3981</v>
      </c>
      <c r="I1355" t="n">
        <v>3735.43</v>
      </c>
      <c r="J1355" t="n">
        <v>1</v>
      </c>
      <c r="K1355" t="inlineStr">
        <is>
          <t>逆5日线（收盘在5日线下，不追多）</t>
        </is>
      </c>
    </row>
    <row r="1356">
      <c r="A1356" t="inlineStr">
        <is>
          <t>2022-12-19</t>
        </is>
      </c>
      <c r="B1356" t="inlineStr">
        <is>
          <t>玉米</t>
        </is>
      </c>
      <c r="C1356" t="inlineStr">
        <is>
          <t>空</t>
        </is>
      </c>
      <c r="D1356" t="n">
        <v>2</v>
      </c>
      <c r="E1356" t="n">
        <v>5</v>
      </c>
      <c r="F1356" t="inlineStr">
        <is>
          <t>影子仓</t>
        </is>
      </c>
      <c r="G1356" t="n">
        <v>10</v>
      </c>
      <c r="H1356" t="n">
        <v>2787</v>
      </c>
      <c r="I1356" t="n">
        <v>2883.43</v>
      </c>
      <c r="J1356" t="n">
        <v>1</v>
      </c>
      <c r="K1356" t="inlineStr">
        <is>
          <t>凯利≤0，开1%影子仓（只统计，不计入组合）</t>
        </is>
      </c>
    </row>
    <row r="1357">
      <c r="A1357" t="inlineStr">
        <is>
          <t>2022-12-19</t>
        </is>
      </c>
      <c r="B1357" t="inlineStr">
        <is>
          <t>棉花</t>
        </is>
      </c>
      <c r="C1357" t="inlineStr">
        <is>
          <t>多</t>
        </is>
      </c>
      <c r="D1357" t="n">
        <v>2</v>
      </c>
      <c r="E1357" t="n">
        <v>5</v>
      </c>
      <c r="F1357" t="inlineStr">
        <is>
          <t>观望</t>
        </is>
      </c>
      <c r="G1357" t="n">
        <v>2</v>
      </c>
      <c r="H1357" t="n">
        <v>13775</v>
      </c>
      <c r="I1357" t="n">
        <v>13052.86</v>
      </c>
      <c r="J1357" t="n">
        <v>1</v>
      </c>
      <c r="K1357" t="inlineStr">
        <is>
          <t>逆5日线（收盘在5日线下，不追多）</t>
        </is>
      </c>
    </row>
    <row r="1358">
      <c r="A1358" t="inlineStr">
        <is>
          <t>2022-12-19</t>
        </is>
      </c>
      <c r="B1358" t="inlineStr">
        <is>
          <t>螺纹钢</t>
        </is>
      </c>
      <c r="C1358" t="inlineStr">
        <is>
          <t>多</t>
        </is>
      </c>
      <c r="D1358" t="n">
        <v>2</v>
      </c>
      <c r="E1358" t="n">
        <v>4</v>
      </c>
      <c r="F1358" t="inlineStr">
        <is>
          <t>观望</t>
        </is>
      </c>
      <c r="G1358" t="n">
        <v>3</v>
      </c>
      <c r="H1358" t="n">
        <v>3927</v>
      </c>
      <c r="I1358" t="n">
        <v>3666.64</v>
      </c>
      <c r="J1358" t="n">
        <v>1</v>
      </c>
      <c r="K1358" t="inlineStr">
        <is>
          <t>逆5日线（收盘在5日线下，不追多）</t>
        </is>
      </c>
    </row>
    <row r="1359">
      <c r="A1359" t="inlineStr">
        <is>
          <t>2022-12-19</t>
        </is>
      </c>
      <c r="B1359" t="inlineStr">
        <is>
          <t>塑料</t>
        </is>
      </c>
      <c r="C1359" t="inlineStr">
        <is>
          <t>多</t>
        </is>
      </c>
      <c r="D1359" t="n">
        <v>2</v>
      </c>
      <c r="E1359" t="n">
        <v>4</v>
      </c>
      <c r="F1359" t="inlineStr">
        <is>
          <t>观望</t>
        </is>
      </c>
      <c r="G1359" t="n">
        <v>5</v>
      </c>
      <c r="H1359" t="n">
        <v>8112</v>
      </c>
      <c r="I1359" t="n">
        <v>7762.71</v>
      </c>
      <c r="J1359" t="n">
        <v>1</v>
      </c>
      <c r="K1359" t="inlineStr">
        <is>
          <t>逆5日线（收盘在5日线下，不追多）</t>
        </is>
      </c>
    </row>
    <row r="1360">
      <c r="A1360" t="inlineStr">
        <is>
          <t>2022-12-19</t>
        </is>
      </c>
      <c r="B1360" t="inlineStr">
        <is>
          <t>沪锌</t>
        </is>
      </c>
      <c r="C1360" t="inlineStr">
        <is>
          <t>空</t>
        </is>
      </c>
      <c r="D1360" t="n">
        <v>2</v>
      </c>
      <c r="E1360" t="n">
        <v>4</v>
      </c>
      <c r="F1360" t="inlineStr">
        <is>
          <t>影子仓</t>
        </is>
      </c>
      <c r="G1360" t="n">
        <v>1</v>
      </c>
      <c r="H1360" t="n">
        <v>23790</v>
      </c>
      <c r="I1360" t="n">
        <v>25008.21</v>
      </c>
      <c r="J1360" t="n">
        <v>1</v>
      </c>
      <c r="K1360" t="inlineStr">
        <is>
          <t>凯利≤0，开1%影子仓（只统计，不计入组合）</t>
        </is>
      </c>
    </row>
    <row r="1361">
      <c r="A1361" t="inlineStr">
        <is>
          <t>2022-12-20</t>
        </is>
      </c>
      <c r="B1361" t="inlineStr">
        <is>
          <t>热卷</t>
        </is>
      </c>
      <c r="C1361" t="inlineStr">
        <is>
          <t>多</t>
        </is>
      </c>
      <c r="D1361" t="n">
        <v>3</v>
      </c>
      <c r="E1361" t="n">
        <v>7</v>
      </c>
      <c r="F1361" t="inlineStr">
        <is>
          <t>观望</t>
        </is>
      </c>
      <c r="G1361" t="n">
        <v>12</v>
      </c>
      <c r="H1361" t="n">
        <v>3996</v>
      </c>
      <c r="I1361" t="n">
        <v>3746.36</v>
      </c>
      <c r="J1361" t="n">
        <v>3</v>
      </c>
      <c r="K1361" t="inlineStr">
        <is>
          <t>逆5日线（收盘在5日线下，不追多）</t>
        </is>
      </c>
    </row>
    <row r="1362">
      <c r="A1362" t="inlineStr">
        <is>
          <t>2022-12-20</t>
        </is>
      </c>
      <c r="B1362" t="inlineStr">
        <is>
          <t>纯碱</t>
        </is>
      </c>
      <c r="C1362" t="inlineStr">
        <is>
          <t>多</t>
        </is>
      </c>
      <c r="D1362" t="n">
        <v>3</v>
      </c>
      <c r="E1362" t="n">
        <v>6</v>
      </c>
      <c r="F1362" t="inlineStr">
        <is>
          <t>续持</t>
        </is>
      </c>
      <c r="G1362" t="n">
        <v>3</v>
      </c>
      <c r="H1362" t="n">
        <v>2724</v>
      </c>
      <c r="I1362" t="n">
        <v>2619.71</v>
      </c>
      <c r="J1362" t="n">
        <v>1</v>
      </c>
      <c r="K1362" t="inlineStr">
        <is>
          <t>续持原仓（2022-12-14开）</t>
        </is>
      </c>
    </row>
    <row r="1363">
      <c r="A1363" t="inlineStr">
        <is>
          <t>2022-12-20</t>
        </is>
      </c>
      <c r="B1363" t="inlineStr">
        <is>
          <t>塑料</t>
        </is>
      </c>
      <c r="C1363" t="inlineStr">
        <is>
          <t>多</t>
        </is>
      </c>
      <c r="D1363" t="n">
        <v>3</v>
      </c>
      <c r="E1363" t="n">
        <v>6</v>
      </c>
      <c r="F1363" t="inlineStr">
        <is>
          <t>观望</t>
        </is>
      </c>
      <c r="H1363" t="n">
        <v>8181</v>
      </c>
      <c r="J1363" t="n">
        <v>0</v>
      </c>
      <c r="K1363" t="inlineStr">
        <is>
          <t>逆5日线（收盘在5日线下，不追多）</t>
        </is>
      </c>
    </row>
    <row r="1364">
      <c r="A1364" t="inlineStr">
        <is>
          <t>2022-12-20</t>
        </is>
      </c>
      <c r="B1364" t="inlineStr">
        <is>
          <t>螺纹钢</t>
        </is>
      </c>
      <c r="C1364" t="inlineStr">
        <is>
          <t>多</t>
        </is>
      </c>
      <c r="D1364" t="n">
        <v>2</v>
      </c>
      <c r="E1364" t="n">
        <v>5</v>
      </c>
      <c r="F1364" t="inlineStr">
        <is>
          <t>观望</t>
        </is>
      </c>
      <c r="G1364" t="n">
        <v>3</v>
      </c>
      <c r="H1364" t="n">
        <v>3939</v>
      </c>
      <c r="I1364" t="n">
        <v>3677.14</v>
      </c>
      <c r="J1364" t="n">
        <v>1</v>
      </c>
      <c r="K1364" t="inlineStr">
        <is>
          <t>逆5日线（收盘在5日线下，不追多）</t>
        </is>
      </c>
    </row>
    <row r="1365">
      <c r="A1365" t="inlineStr">
        <is>
          <t>2022-12-20</t>
        </is>
      </c>
      <c r="B1365" t="inlineStr">
        <is>
          <t>玉米</t>
        </is>
      </c>
      <c r="C1365" t="inlineStr">
        <is>
          <t>空</t>
        </is>
      </c>
      <c r="D1365" t="n">
        <v>2</v>
      </c>
      <c r="E1365" t="n">
        <v>5</v>
      </c>
      <c r="F1365" t="inlineStr">
        <is>
          <t>续持</t>
        </is>
      </c>
      <c r="G1365" t="n">
        <v>10</v>
      </c>
      <c r="H1365" t="n">
        <v>2761</v>
      </c>
      <c r="I1365" t="n">
        <v>2851.79</v>
      </c>
      <c r="J1365" t="n">
        <v>1</v>
      </c>
      <c r="K1365" t="inlineStr">
        <is>
          <t>续持原仓（2022-12-19开）</t>
        </is>
      </c>
    </row>
    <row r="1366">
      <c r="A1366" t="inlineStr">
        <is>
          <t>2022-12-20</t>
        </is>
      </c>
      <c r="B1366" t="inlineStr">
        <is>
          <t>棉花</t>
        </is>
      </c>
      <c r="C1366" t="inlineStr">
        <is>
          <t>多</t>
        </is>
      </c>
      <c r="D1366" t="n">
        <v>2</v>
      </c>
      <c r="E1366" t="n">
        <v>5</v>
      </c>
      <c r="F1366" t="inlineStr">
        <is>
          <t>观望</t>
        </is>
      </c>
      <c r="G1366" t="n">
        <v>2</v>
      </c>
      <c r="H1366" t="n">
        <v>13880</v>
      </c>
      <c r="I1366" t="n">
        <v>13153.57</v>
      </c>
      <c r="J1366" t="n">
        <v>1</v>
      </c>
      <c r="K1366" t="inlineStr">
        <is>
          <t>逆5日线（收盘在5日线下，不追多）</t>
        </is>
      </c>
    </row>
    <row r="1367">
      <c r="A1367" t="inlineStr">
        <is>
          <t>2022-12-21</t>
        </is>
      </c>
      <c r="B1367" t="inlineStr">
        <is>
          <t>纯碱</t>
        </is>
      </c>
      <c r="C1367" t="inlineStr">
        <is>
          <t>多</t>
        </is>
      </c>
      <c r="D1367" t="n">
        <v>3</v>
      </c>
      <c r="E1367" t="n">
        <v>6</v>
      </c>
      <c r="F1367" t="inlineStr">
        <is>
          <t>续持</t>
        </is>
      </c>
      <c r="G1367" t="n">
        <v>3</v>
      </c>
      <c r="H1367" t="n">
        <v>2740</v>
      </c>
      <c r="I1367" t="n">
        <v>2619.71</v>
      </c>
      <c r="J1367" t="n">
        <v>1</v>
      </c>
      <c r="K1367" t="inlineStr">
        <is>
          <t>续持原仓（2022-12-14开）</t>
        </is>
      </c>
    </row>
    <row r="1368">
      <c r="A1368" t="inlineStr">
        <is>
          <t>2022-12-21</t>
        </is>
      </c>
      <c r="B1368" t="inlineStr">
        <is>
          <t>沪银</t>
        </is>
      </c>
      <c r="C1368" t="inlineStr">
        <is>
          <t>多</t>
        </is>
      </c>
      <c r="D1368" t="n">
        <v>3</v>
      </c>
      <c r="E1368" t="n">
        <v>6</v>
      </c>
      <c r="F1368" t="inlineStr">
        <is>
          <t>开仓</t>
        </is>
      </c>
      <c r="G1368" t="n">
        <v>5</v>
      </c>
      <c r="H1368" t="n">
        <v>5395</v>
      </c>
      <c r="I1368" t="n">
        <v>4997.07</v>
      </c>
      <c r="J1368" t="n">
        <v>3</v>
      </c>
      <c r="K1368" t="inlineStr">
        <is>
          <t>¼凯利超上限，取3%</t>
        </is>
      </c>
    </row>
    <row r="1369">
      <c r="A1369" t="inlineStr">
        <is>
          <t>2022-12-21</t>
        </is>
      </c>
      <c r="B1369" t="inlineStr">
        <is>
          <t>螺纹钢</t>
        </is>
      </c>
      <c r="C1369" t="inlineStr">
        <is>
          <t>多</t>
        </is>
      </c>
      <c r="D1369" t="n">
        <v>3</v>
      </c>
      <c r="E1369" t="n">
        <v>6</v>
      </c>
      <c r="F1369" t="inlineStr">
        <is>
          <t>开仓</t>
        </is>
      </c>
      <c r="G1369" t="n">
        <v>3</v>
      </c>
      <c r="H1369" t="n">
        <v>4034</v>
      </c>
      <c r="I1369" t="n">
        <v>3761.43</v>
      </c>
      <c r="J1369" t="n">
        <v>1.02</v>
      </c>
      <c r="K1369" t="inlineStr">
        <is>
          <t>组合风险已近10%，预算缩小</t>
        </is>
      </c>
    </row>
    <row r="1370">
      <c r="A1370" t="inlineStr">
        <is>
          <t>2022-12-21</t>
        </is>
      </c>
      <c r="B1370" t="inlineStr">
        <is>
          <t>玉米</t>
        </is>
      </c>
      <c r="C1370" t="inlineStr">
        <is>
          <t>空</t>
        </is>
      </c>
      <c r="D1370" t="n">
        <v>2</v>
      </c>
      <c r="E1370" t="n">
        <v>5</v>
      </c>
      <c r="F1370" t="inlineStr">
        <is>
          <t>续持</t>
        </is>
      </c>
      <c r="G1370" t="n">
        <v>10</v>
      </c>
      <c r="H1370" t="n">
        <v>2745</v>
      </c>
      <c r="I1370" t="n">
        <v>2820.93</v>
      </c>
      <c r="J1370" t="n">
        <v>1</v>
      </c>
      <c r="K1370" t="inlineStr">
        <is>
          <t>续持原仓（2022-12-19开）</t>
        </is>
      </c>
    </row>
    <row r="1371">
      <c r="A1371" t="inlineStr">
        <is>
          <t>2022-12-21</t>
        </is>
      </c>
      <c r="B1371" t="inlineStr">
        <is>
          <t>塑料</t>
        </is>
      </c>
      <c r="C1371" t="inlineStr">
        <is>
          <t>多</t>
        </is>
      </c>
      <c r="D1371" t="n">
        <v>2</v>
      </c>
      <c r="E1371" t="n">
        <v>5</v>
      </c>
      <c r="F1371" t="inlineStr">
        <is>
          <t>观望</t>
        </is>
      </c>
      <c r="G1371" t="n">
        <v>5</v>
      </c>
      <c r="H1371" t="n">
        <v>8184</v>
      </c>
      <c r="I1371" t="n">
        <v>7827.86</v>
      </c>
      <c r="J1371" t="n">
        <v>1</v>
      </c>
      <c r="K1371" t="inlineStr">
        <is>
          <t>逆5日线（收盘在5日线下，不追多）</t>
        </is>
      </c>
    </row>
    <row r="1372">
      <c r="A1372" t="inlineStr">
        <is>
          <t>2022-12-21</t>
        </is>
      </c>
      <c r="B1372" t="inlineStr">
        <is>
          <t>PTA</t>
        </is>
      </c>
      <c r="C1372" t="inlineStr">
        <is>
          <t>多</t>
        </is>
      </c>
      <c r="D1372" t="n">
        <v>2</v>
      </c>
      <c r="E1372" t="n">
        <v>5</v>
      </c>
      <c r="F1372" t="inlineStr">
        <is>
          <t>影子仓</t>
        </is>
      </c>
      <c r="G1372" t="n">
        <v>5</v>
      </c>
      <c r="H1372" t="n">
        <v>5424</v>
      </c>
      <c r="I1372" t="n">
        <v>5081.57</v>
      </c>
      <c r="J1372" t="n">
        <v>1</v>
      </c>
      <c r="K1372" t="inlineStr">
        <is>
          <t>凯利≤0，开1%影子仓（只统计，不计入组合）</t>
        </is>
      </c>
    </row>
    <row r="1373">
      <c r="A1373" t="inlineStr">
        <is>
          <t>2022-12-21</t>
        </is>
      </c>
      <c r="B1373" t="inlineStr">
        <is>
          <t>棕榈油</t>
        </is>
      </c>
      <c r="C1373" t="inlineStr">
        <is>
          <t>空</t>
        </is>
      </c>
      <c r="D1373" t="n">
        <v>2</v>
      </c>
      <c r="E1373" t="n">
        <v>4</v>
      </c>
      <c r="F1373" t="inlineStr">
        <is>
          <t>观望</t>
        </is>
      </c>
      <c r="G1373" t="n">
        <v>1</v>
      </c>
      <c r="H1373" t="n">
        <v>7846</v>
      </c>
      <c r="I1373" t="n">
        <v>8605</v>
      </c>
      <c r="J1373" t="n">
        <v>1</v>
      </c>
      <c r="K1373" t="inlineStr">
        <is>
          <t>逆5日线（收盘在5日线上，不追空）</t>
        </is>
      </c>
    </row>
    <row r="1374">
      <c r="A1374" t="inlineStr">
        <is>
          <t>2022-12-22</t>
        </is>
      </c>
      <c r="B1374" t="inlineStr">
        <is>
          <t>沪镍</t>
        </is>
      </c>
      <c r="C1374" t="inlineStr">
        <is>
          <t>多</t>
        </is>
      </c>
      <c r="D1374" t="n">
        <v>3</v>
      </c>
      <c r="E1374" t="n">
        <v>6</v>
      </c>
      <c r="F1374" t="inlineStr">
        <is>
          <t>开仓</t>
        </is>
      </c>
      <c r="G1374" t="n">
        <v>1</v>
      </c>
      <c r="H1374" t="n">
        <v>218960</v>
      </c>
      <c r="I1374" t="n">
        <v>196241.43</v>
      </c>
      <c r="J1374" t="n">
        <v>3</v>
      </c>
      <c r="K1374" t="inlineStr">
        <is>
          <t>¼凯利超上限，取3%</t>
        </is>
      </c>
    </row>
    <row r="1375">
      <c r="A1375" t="inlineStr">
        <is>
          <t>2022-12-22</t>
        </is>
      </c>
      <c r="B1375" t="inlineStr">
        <is>
          <t>玉米</t>
        </is>
      </c>
      <c r="C1375" t="inlineStr">
        <is>
          <t>空</t>
        </is>
      </c>
      <c r="D1375" t="n">
        <v>3</v>
      </c>
      <c r="E1375" t="n">
        <v>6</v>
      </c>
      <c r="F1375" t="inlineStr">
        <is>
          <t>续持</t>
        </is>
      </c>
      <c r="G1375" t="n">
        <v>10</v>
      </c>
      <c r="H1375" t="n">
        <v>2754</v>
      </c>
      <c r="I1375" t="n">
        <v>2819.64</v>
      </c>
      <c r="J1375" t="n">
        <v>1</v>
      </c>
      <c r="K1375" t="inlineStr">
        <is>
          <t>续持原仓（2022-12-19开）</t>
        </is>
      </c>
    </row>
    <row r="1376">
      <c r="A1376" t="inlineStr">
        <is>
          <t>2022-12-22</t>
        </is>
      </c>
      <c r="B1376" t="inlineStr">
        <is>
          <t>棕榈油</t>
        </is>
      </c>
      <c r="C1376" t="inlineStr">
        <is>
          <t>空</t>
        </is>
      </c>
      <c r="D1376" t="n">
        <v>3</v>
      </c>
      <c r="E1376" t="n">
        <v>6</v>
      </c>
      <c r="F1376" t="inlineStr">
        <is>
          <t>开仓</t>
        </is>
      </c>
      <c r="G1376" t="n">
        <v>3</v>
      </c>
      <c r="H1376" t="n">
        <v>7678</v>
      </c>
      <c r="I1376" t="n">
        <v>8423.290000000001</v>
      </c>
      <c r="J1376" t="n">
        <v>2.98</v>
      </c>
      <c r="K1376" t="inlineStr">
        <is>
          <t>组合风险已近10%，预算缩小</t>
        </is>
      </c>
    </row>
    <row r="1377">
      <c r="A1377" t="inlineStr">
        <is>
          <t>2022-12-22</t>
        </is>
      </c>
      <c r="B1377" t="inlineStr">
        <is>
          <t>白糖</t>
        </is>
      </c>
      <c r="C1377" t="inlineStr">
        <is>
          <t>多</t>
        </is>
      </c>
      <c r="D1377" t="n">
        <v>2</v>
      </c>
      <c r="E1377" t="n">
        <v>5</v>
      </c>
      <c r="F1377" t="inlineStr">
        <is>
          <t>影子仓</t>
        </is>
      </c>
      <c r="G1377" t="n">
        <v>5</v>
      </c>
      <c r="H1377" t="n">
        <v>5753</v>
      </c>
      <c r="I1377" t="n">
        <v>5580.5</v>
      </c>
      <c r="J1377" t="n">
        <v>1</v>
      </c>
      <c r="K1377" t="inlineStr">
        <is>
          <t>凯利≤0，开1%影子仓（只统计，不计入组合）</t>
        </is>
      </c>
    </row>
    <row r="1378">
      <c r="A1378" t="inlineStr">
        <is>
          <t>2022-12-22</t>
        </is>
      </c>
      <c r="B1378" t="inlineStr">
        <is>
          <t>塑料</t>
        </is>
      </c>
      <c r="C1378" t="inlineStr">
        <is>
          <t>多</t>
        </is>
      </c>
      <c r="D1378" t="n">
        <v>2</v>
      </c>
      <c r="E1378" t="n">
        <v>5</v>
      </c>
      <c r="F1378" t="inlineStr">
        <is>
          <t>观望</t>
        </is>
      </c>
      <c r="G1378" t="n">
        <v>5</v>
      </c>
      <c r="H1378" t="n">
        <v>8141</v>
      </c>
      <c r="I1378" t="n">
        <v>7776.29</v>
      </c>
      <c r="J1378" t="n">
        <v>1</v>
      </c>
      <c r="K1378" t="inlineStr">
        <is>
          <t>逆5日线（收盘在5日线下，不追多）</t>
        </is>
      </c>
    </row>
    <row r="1379">
      <c r="A1379" t="inlineStr">
        <is>
          <t>2022-12-22</t>
        </is>
      </c>
      <c r="B1379" t="inlineStr">
        <is>
          <t>沪锌</t>
        </is>
      </c>
      <c r="C1379" t="inlineStr">
        <is>
          <t>空</t>
        </is>
      </c>
      <c r="D1379" t="n">
        <v>2</v>
      </c>
      <c r="E1379" t="n">
        <v>5</v>
      </c>
      <c r="F1379" t="inlineStr">
        <is>
          <t>影子仓</t>
        </is>
      </c>
      <c r="G1379" t="n">
        <v>1</v>
      </c>
      <c r="H1379" t="n">
        <v>23285</v>
      </c>
      <c r="I1379" t="n">
        <v>24448.57</v>
      </c>
      <c r="J1379" t="n">
        <v>1</v>
      </c>
      <c r="K1379" t="inlineStr">
        <is>
          <t>凯利≤0，开1%影子仓（只统计，不计入组合）</t>
        </is>
      </c>
    </row>
    <row r="1380">
      <c r="A1380" t="inlineStr">
        <is>
          <t>2022-12-22</t>
        </is>
      </c>
      <c r="B1380" t="inlineStr">
        <is>
          <t>螺纹钢</t>
        </is>
      </c>
      <c r="C1380" t="inlineStr">
        <is>
          <t>多</t>
        </is>
      </c>
      <c r="D1380" t="n">
        <v>2</v>
      </c>
      <c r="E1380" t="n">
        <v>4</v>
      </c>
      <c r="F1380" t="inlineStr">
        <is>
          <t>观望</t>
        </is>
      </c>
      <c r="G1380" t="n">
        <v>3</v>
      </c>
      <c r="H1380" t="n">
        <v>3961</v>
      </c>
      <c r="I1380" t="n">
        <v>3687.36</v>
      </c>
      <c r="J1380" t="n">
        <v>1</v>
      </c>
      <c r="K1380" t="inlineStr">
        <is>
          <t>逆5日线（收盘在5日线下，不追多）</t>
        </is>
      </c>
    </row>
    <row r="1381">
      <c r="A1381" t="inlineStr">
        <is>
          <t>2022-12-22</t>
        </is>
      </c>
      <c r="B1381" t="inlineStr">
        <is>
          <t>PTA</t>
        </is>
      </c>
      <c r="C1381" t="inlineStr">
        <is>
          <t>多</t>
        </is>
      </c>
      <c r="D1381" t="n">
        <v>2</v>
      </c>
      <c r="E1381" t="n">
        <v>4</v>
      </c>
      <c r="F1381" t="inlineStr">
        <is>
          <t>续持</t>
        </is>
      </c>
      <c r="G1381" t="n">
        <v>5</v>
      </c>
      <c r="H1381" t="n">
        <v>5428</v>
      </c>
      <c r="I1381" t="n">
        <v>5143.57</v>
      </c>
      <c r="J1381" t="n">
        <v>1</v>
      </c>
      <c r="K1381" t="inlineStr">
        <is>
          <t>续持原仓（2022-12-21开）</t>
        </is>
      </c>
    </row>
    <row r="1382">
      <c r="A1382" t="inlineStr">
        <is>
          <t>2022-12-23</t>
        </is>
      </c>
      <c r="B1382" t="inlineStr">
        <is>
          <t>棕榈油</t>
        </is>
      </c>
      <c r="C1382" t="inlineStr">
        <is>
          <t>空</t>
        </is>
      </c>
      <c r="D1382" t="n">
        <v>3</v>
      </c>
      <c r="E1382" t="n">
        <v>7</v>
      </c>
      <c r="F1382" t="inlineStr">
        <is>
          <t>续持</t>
        </is>
      </c>
      <c r="G1382" t="n">
        <v>3</v>
      </c>
      <c r="H1382" t="n">
        <v>7606</v>
      </c>
      <c r="I1382" t="n">
        <v>8274.709999999999</v>
      </c>
      <c r="J1382" t="n">
        <v>2.98</v>
      </c>
      <c r="K1382" t="inlineStr">
        <is>
          <t>续持原仓（2022-12-22开）</t>
        </is>
      </c>
    </row>
    <row r="1383">
      <c r="A1383" t="inlineStr">
        <is>
          <t>2022-12-23</t>
        </is>
      </c>
      <c r="B1383" t="inlineStr">
        <is>
          <t>螺纹钢</t>
        </is>
      </c>
      <c r="C1383" t="inlineStr">
        <is>
          <t>多</t>
        </is>
      </c>
      <c r="D1383" t="n">
        <v>3</v>
      </c>
      <c r="E1383" t="n">
        <v>6</v>
      </c>
      <c r="F1383" t="inlineStr">
        <is>
          <t>续持</t>
        </is>
      </c>
      <c r="G1383" t="n">
        <v>3</v>
      </c>
      <c r="H1383" t="n">
        <v>4005</v>
      </c>
      <c r="I1383" t="n">
        <v>3776.57</v>
      </c>
      <c r="J1383" t="n">
        <v>1.02</v>
      </c>
      <c r="K1383" t="inlineStr">
        <is>
          <t>续持原仓（2022-12-21开）</t>
        </is>
      </c>
    </row>
    <row r="1384">
      <c r="A1384" t="inlineStr">
        <is>
          <t>2022-12-23</t>
        </is>
      </c>
      <c r="B1384" t="inlineStr">
        <is>
          <t>玉米</t>
        </is>
      </c>
      <c r="C1384" t="inlineStr">
        <is>
          <t>空</t>
        </is>
      </c>
      <c r="D1384" t="n">
        <v>3</v>
      </c>
      <c r="E1384" t="n">
        <v>6</v>
      </c>
      <c r="F1384" t="inlineStr">
        <is>
          <t>续持</t>
        </is>
      </c>
      <c r="G1384" t="n">
        <v>10</v>
      </c>
      <c r="H1384" t="n">
        <v>2752</v>
      </c>
      <c r="I1384" t="n">
        <v>2814.07</v>
      </c>
      <c r="J1384" t="n">
        <v>1</v>
      </c>
      <c r="K1384" t="inlineStr">
        <is>
          <t>续持原仓（2022-12-19开）</t>
        </is>
      </c>
    </row>
    <row r="1385">
      <c r="A1385" t="inlineStr">
        <is>
          <t>2022-12-23</t>
        </is>
      </c>
      <c r="B1385" t="inlineStr">
        <is>
          <t>白糖</t>
        </is>
      </c>
      <c r="C1385" t="inlineStr">
        <is>
          <t>多</t>
        </is>
      </c>
      <c r="D1385" t="n">
        <v>3</v>
      </c>
      <c r="E1385" t="n">
        <v>6</v>
      </c>
      <c r="F1385" t="inlineStr">
        <is>
          <t>续持</t>
        </is>
      </c>
      <c r="G1385" t="n">
        <v>5</v>
      </c>
      <c r="H1385" t="n">
        <v>5777</v>
      </c>
      <c r="I1385" t="n">
        <v>5603.93</v>
      </c>
      <c r="J1385" t="n">
        <v>1</v>
      </c>
      <c r="K1385" t="inlineStr">
        <is>
          <t>续持原仓（2022-12-22开）</t>
        </is>
      </c>
    </row>
    <row r="1386">
      <c r="A1386" t="inlineStr">
        <is>
          <t>2022-12-23</t>
        </is>
      </c>
      <c r="B1386" t="inlineStr">
        <is>
          <t>沥青</t>
        </is>
      </c>
      <c r="C1386" t="inlineStr">
        <is>
          <t>多</t>
        </is>
      </c>
      <c r="D1386" t="n">
        <v>2</v>
      </c>
      <c r="E1386" t="n">
        <v>5</v>
      </c>
      <c r="F1386" t="inlineStr">
        <is>
          <t>影子仓</t>
        </is>
      </c>
      <c r="G1386" t="n">
        <v>3</v>
      </c>
      <c r="H1386" t="n">
        <v>3721</v>
      </c>
      <c r="I1386" t="n">
        <v>3467.29</v>
      </c>
      <c r="J1386" t="n">
        <v>1</v>
      </c>
      <c r="K1386" t="inlineStr">
        <is>
          <t>凯利≤0，开1%影子仓（只统计，不计入组合）</t>
        </is>
      </c>
    </row>
    <row r="1387">
      <c r="A1387" t="inlineStr">
        <is>
          <t>2022-12-23</t>
        </is>
      </c>
      <c r="B1387" t="inlineStr">
        <is>
          <t>塑料</t>
        </is>
      </c>
      <c r="C1387" t="inlineStr">
        <is>
          <t>多</t>
        </is>
      </c>
      <c r="D1387" t="n">
        <v>2</v>
      </c>
      <c r="E1387" t="n">
        <v>4</v>
      </c>
      <c r="F1387" t="inlineStr">
        <is>
          <t>观望</t>
        </is>
      </c>
      <c r="G1387" t="n">
        <v>5</v>
      </c>
      <c r="H1387" t="n">
        <v>7965</v>
      </c>
      <c r="I1387" t="n">
        <v>7578.43</v>
      </c>
      <c r="J1387" t="n">
        <v>1</v>
      </c>
      <c r="K1387" t="inlineStr">
        <is>
          <t>逆5日线（收盘在5日线下，不追多）</t>
        </is>
      </c>
    </row>
    <row r="1388">
      <c r="A1388" t="inlineStr">
        <is>
          <t>2022-12-23</t>
        </is>
      </c>
      <c r="B1388" t="inlineStr">
        <is>
          <t>PTA</t>
        </is>
      </c>
      <c r="C1388" t="inlineStr">
        <is>
          <t>多</t>
        </is>
      </c>
      <c r="D1388" t="n">
        <v>2</v>
      </c>
      <c r="E1388" t="n">
        <v>4</v>
      </c>
      <c r="F1388" t="inlineStr">
        <is>
          <t>续持</t>
        </is>
      </c>
      <c r="G1388" t="n">
        <v>5</v>
      </c>
      <c r="H1388" t="n">
        <v>5406</v>
      </c>
      <c r="I1388" t="n">
        <v>5153.43</v>
      </c>
      <c r="J1388" t="n">
        <v>1</v>
      </c>
      <c r="K1388" t="inlineStr">
        <is>
          <t>续持原仓（2022-12-21开）</t>
        </is>
      </c>
    </row>
    <row r="1389">
      <c r="A1389" t="inlineStr">
        <is>
          <t>2022-12-23</t>
        </is>
      </c>
      <c r="B1389" t="inlineStr">
        <is>
          <t>沪银</t>
        </is>
      </c>
      <c r="C1389" t="inlineStr">
        <is>
          <t>空</t>
        </is>
      </c>
      <c r="D1389" t="n">
        <v>2</v>
      </c>
      <c r="E1389" t="n">
        <v>4</v>
      </c>
      <c r="F1389" t="inlineStr">
        <is>
          <t>观望</t>
        </is>
      </c>
      <c r="G1389" t="n">
        <v>1</v>
      </c>
      <c r="H1389" t="n">
        <v>5319</v>
      </c>
      <c r="I1389" t="n">
        <v>5680.71</v>
      </c>
      <c r="J1389" t="n">
        <v>1</v>
      </c>
      <c r="K1389" t="inlineStr">
        <is>
          <t>逆5日线（收盘在5日线上，不追空）</t>
        </is>
      </c>
    </row>
    <row r="1390">
      <c r="A1390" t="inlineStr">
        <is>
          <t>2022-12-26</t>
        </is>
      </c>
      <c r="B1390" t="inlineStr">
        <is>
          <t>纯碱</t>
        </is>
      </c>
      <c r="C1390" t="inlineStr">
        <is>
          <t>多</t>
        </is>
      </c>
      <c r="D1390" t="n">
        <v>3</v>
      </c>
      <c r="E1390" t="n">
        <v>7</v>
      </c>
      <c r="F1390" t="inlineStr">
        <is>
          <t>观望</t>
        </is>
      </c>
      <c r="H1390" t="n">
        <v>2688</v>
      </c>
      <c r="J1390" t="n">
        <v>0</v>
      </c>
      <c r="K1390" t="inlineStr">
        <is>
          <t>逆5日线（收盘在5日线下，不追多）</t>
        </is>
      </c>
    </row>
    <row r="1391">
      <c r="A1391" t="inlineStr">
        <is>
          <t>2022-12-26</t>
        </is>
      </c>
      <c r="B1391" t="inlineStr">
        <is>
          <t>棉花</t>
        </is>
      </c>
      <c r="C1391" t="inlineStr">
        <is>
          <t>多</t>
        </is>
      </c>
      <c r="D1391" t="n">
        <v>3</v>
      </c>
      <c r="E1391" t="n">
        <v>7</v>
      </c>
      <c r="F1391" t="inlineStr">
        <is>
          <t>不做</t>
        </is>
      </c>
      <c r="H1391" t="n">
        <v>14025</v>
      </c>
      <c r="J1391" t="n">
        <v>0</v>
      </c>
      <c r="K1391" t="inlineStr">
        <is>
          <t>组合风险已近10%，预算缩小</t>
        </is>
      </c>
    </row>
    <row r="1392">
      <c r="A1392" t="inlineStr">
        <is>
          <t>2022-12-26</t>
        </is>
      </c>
      <c r="B1392" t="inlineStr">
        <is>
          <t>菜粕</t>
        </is>
      </c>
      <c r="C1392" t="inlineStr">
        <is>
          <t>多</t>
        </is>
      </c>
      <c r="D1392" t="n">
        <v>3</v>
      </c>
      <c r="E1392" t="n">
        <v>6</v>
      </c>
      <c r="F1392" t="inlineStr">
        <is>
          <t>不做</t>
        </is>
      </c>
      <c r="H1392" t="n">
        <v>3134</v>
      </c>
      <c r="J1392" t="n">
        <v>0</v>
      </c>
      <c r="K1392" t="inlineStr">
        <is>
          <t>组合风险已近10%，预算缩小</t>
        </is>
      </c>
    </row>
    <row r="1393">
      <c r="A1393" t="inlineStr">
        <is>
          <t>2022-12-26</t>
        </is>
      </c>
      <c r="B1393" t="inlineStr">
        <is>
          <t>铁矿石</t>
        </is>
      </c>
      <c r="C1393" t="inlineStr">
        <is>
          <t>多</t>
        </is>
      </c>
      <c r="D1393" t="n">
        <v>3</v>
      </c>
      <c r="E1393" t="n">
        <v>6</v>
      </c>
      <c r="F1393" t="inlineStr">
        <is>
          <t>不做</t>
        </is>
      </c>
      <c r="H1393" t="n">
        <v>828</v>
      </c>
      <c r="J1393" t="n">
        <v>0</v>
      </c>
      <c r="K1393" t="inlineStr">
        <is>
          <t>组合风险已近10%，预算缩小</t>
        </is>
      </c>
    </row>
    <row r="1394">
      <c r="A1394" t="inlineStr">
        <is>
          <t>2022-12-26</t>
        </is>
      </c>
      <c r="B1394" t="inlineStr">
        <is>
          <t>玉米</t>
        </is>
      </c>
      <c r="C1394" t="inlineStr">
        <is>
          <t>空</t>
        </is>
      </c>
      <c r="D1394" t="n">
        <v>3</v>
      </c>
      <c r="E1394" t="n">
        <v>6</v>
      </c>
      <c r="F1394" t="inlineStr">
        <is>
          <t>观望</t>
        </is>
      </c>
      <c r="H1394" t="n">
        <v>2776</v>
      </c>
      <c r="J1394" t="n">
        <v>0</v>
      </c>
      <c r="K1394" t="inlineStr">
        <is>
          <t>逆5日线（收盘在5日线上，不追空）</t>
        </is>
      </c>
    </row>
    <row r="1395">
      <c r="A1395" t="inlineStr">
        <is>
          <t>2022-12-26</t>
        </is>
      </c>
      <c r="B1395" t="inlineStr">
        <is>
          <t>塑料</t>
        </is>
      </c>
      <c r="C1395" t="inlineStr">
        <is>
          <t>多</t>
        </is>
      </c>
      <c r="D1395" t="n">
        <v>3</v>
      </c>
      <c r="E1395" t="n">
        <v>6</v>
      </c>
      <c r="F1395" t="inlineStr">
        <is>
          <t>观望</t>
        </is>
      </c>
      <c r="H1395" t="n">
        <v>8015</v>
      </c>
      <c r="J1395" t="n">
        <v>0</v>
      </c>
      <c r="K1395" t="inlineStr">
        <is>
          <t>逆5日线（收盘在5日线下，不追多）</t>
        </is>
      </c>
    </row>
    <row r="1396">
      <c r="A1396" t="inlineStr">
        <is>
          <t>2022-12-26</t>
        </is>
      </c>
      <c r="B1396" t="inlineStr">
        <is>
          <t>棕榈油</t>
        </is>
      </c>
      <c r="C1396" t="inlineStr">
        <is>
          <t>空</t>
        </is>
      </c>
      <c r="D1396" t="n">
        <v>2</v>
      </c>
      <c r="E1396" t="n">
        <v>5</v>
      </c>
      <c r="F1396" t="inlineStr">
        <is>
          <t>观望</t>
        </is>
      </c>
      <c r="G1396" t="n">
        <v>1</v>
      </c>
      <c r="H1396" t="n">
        <v>7894</v>
      </c>
      <c r="I1396" t="n">
        <v>8617.860000000001</v>
      </c>
      <c r="J1396" t="n">
        <v>1</v>
      </c>
      <c r="K1396" t="inlineStr">
        <is>
          <t>逆5日线（收盘在5日线上，不追空）</t>
        </is>
      </c>
    </row>
    <row r="1397">
      <c r="A1397" t="inlineStr">
        <is>
          <t>2022-12-27</t>
        </is>
      </c>
      <c r="B1397" t="inlineStr">
        <is>
          <t>菜粕</t>
        </is>
      </c>
      <c r="C1397" t="inlineStr">
        <is>
          <t>多</t>
        </is>
      </c>
      <c r="D1397" t="n">
        <v>3</v>
      </c>
      <c r="E1397" t="n">
        <v>7</v>
      </c>
      <c r="F1397" t="inlineStr">
        <is>
          <t>开仓</t>
        </is>
      </c>
      <c r="G1397" t="n">
        <v>5</v>
      </c>
      <c r="H1397" t="n">
        <v>3157</v>
      </c>
      <c r="I1397" t="n">
        <v>2970.79</v>
      </c>
      <c r="J1397" t="n">
        <v>1.02</v>
      </c>
      <c r="K1397" t="inlineStr">
        <is>
          <t>组合风险已近10%，预算缩小</t>
        </is>
      </c>
    </row>
    <row r="1398">
      <c r="A1398" t="inlineStr">
        <is>
          <t>2022-12-27</t>
        </is>
      </c>
      <c r="B1398" t="inlineStr">
        <is>
          <t>沥青</t>
        </is>
      </c>
      <c r="C1398" t="inlineStr">
        <is>
          <t>多</t>
        </is>
      </c>
      <c r="D1398" t="n">
        <v>3</v>
      </c>
      <c r="E1398" t="n">
        <v>7</v>
      </c>
      <c r="F1398" t="inlineStr">
        <is>
          <t>不做</t>
        </is>
      </c>
      <c r="H1398" t="n">
        <v>3812</v>
      </c>
      <c r="J1398" t="n">
        <v>0</v>
      </c>
      <c r="K1398" t="inlineStr">
        <is>
          <t>组合风险已近10%，预算缩小</t>
        </is>
      </c>
    </row>
    <row r="1399">
      <c r="A1399" t="inlineStr">
        <is>
          <t>2022-12-27</t>
        </is>
      </c>
      <c r="B1399" t="inlineStr">
        <is>
          <t>白糖</t>
        </is>
      </c>
      <c r="C1399" t="inlineStr">
        <is>
          <t>多</t>
        </is>
      </c>
      <c r="D1399" t="n">
        <v>3</v>
      </c>
      <c r="E1399" t="n">
        <v>7</v>
      </c>
      <c r="F1399" t="inlineStr">
        <is>
          <t>续持</t>
        </is>
      </c>
      <c r="G1399" t="n">
        <v>5</v>
      </c>
      <c r="H1399" t="n">
        <v>5826</v>
      </c>
      <c r="I1399" t="n">
        <v>5653.71</v>
      </c>
      <c r="J1399" t="n">
        <v>1</v>
      </c>
      <c r="K1399" t="inlineStr">
        <is>
          <t>续持原仓（2022-12-22开）</t>
        </is>
      </c>
    </row>
    <row r="1400">
      <c r="A1400" t="inlineStr">
        <is>
          <t>2022-12-27</t>
        </is>
      </c>
      <c r="B1400" t="inlineStr">
        <is>
          <t>铁矿石</t>
        </is>
      </c>
      <c r="C1400" t="inlineStr">
        <is>
          <t>多</t>
        </is>
      </c>
      <c r="D1400" t="n">
        <v>3</v>
      </c>
      <c r="E1400" t="n">
        <v>6</v>
      </c>
      <c r="F1400" t="inlineStr">
        <is>
          <t>不做</t>
        </is>
      </c>
      <c r="H1400" t="n">
        <v>836</v>
      </c>
      <c r="J1400" t="n">
        <v>0</v>
      </c>
      <c r="K1400" t="inlineStr">
        <is>
          <t>组合风险已近10%，预算缩小</t>
        </is>
      </c>
    </row>
    <row r="1401">
      <c r="A1401" t="inlineStr">
        <is>
          <t>2022-12-27</t>
        </is>
      </c>
      <c r="B1401" t="inlineStr">
        <is>
          <t>纯碱</t>
        </is>
      </c>
      <c r="C1401" t="inlineStr">
        <is>
          <t>多</t>
        </is>
      </c>
      <c r="D1401" t="n">
        <v>3</v>
      </c>
      <c r="E1401" t="n">
        <v>6</v>
      </c>
      <c r="F1401" t="inlineStr">
        <is>
          <t>不做</t>
        </is>
      </c>
      <c r="H1401" t="n">
        <v>2730</v>
      </c>
      <c r="J1401" t="n">
        <v>0</v>
      </c>
      <c r="K1401" t="inlineStr">
        <is>
          <t>组合风险已近10%，预算缩小</t>
        </is>
      </c>
    </row>
    <row r="1402">
      <c r="A1402" t="inlineStr">
        <is>
          <t>2022-12-27</t>
        </is>
      </c>
      <c r="B1402" t="inlineStr">
        <is>
          <t>棕榈油</t>
        </is>
      </c>
      <c r="C1402" t="inlineStr">
        <is>
          <t>空</t>
        </is>
      </c>
      <c r="D1402" t="n">
        <v>2</v>
      </c>
      <c r="E1402" t="n">
        <v>5</v>
      </c>
      <c r="F1402" t="inlineStr">
        <is>
          <t>观望</t>
        </is>
      </c>
      <c r="G1402" t="n">
        <v>1</v>
      </c>
      <c r="H1402" t="n">
        <v>8170</v>
      </c>
      <c r="I1402" t="n">
        <v>8910.57</v>
      </c>
      <c r="J1402" t="n">
        <v>1</v>
      </c>
      <c r="K1402" t="inlineStr">
        <is>
          <t>逆5日线（收盘在5日线上，不追空）</t>
        </is>
      </c>
    </row>
    <row r="1403">
      <c r="A1403" t="inlineStr">
        <is>
          <t>2022-12-27</t>
        </is>
      </c>
      <c r="B1403" t="inlineStr">
        <is>
          <t>玉米</t>
        </is>
      </c>
      <c r="C1403" t="inlineStr">
        <is>
          <t>空</t>
        </is>
      </c>
      <c r="D1403" t="n">
        <v>2</v>
      </c>
      <c r="E1403" t="n">
        <v>4</v>
      </c>
      <c r="F1403" t="inlineStr">
        <is>
          <t>观望</t>
        </is>
      </c>
      <c r="G1403" t="n">
        <v>10</v>
      </c>
      <c r="H1403" t="n">
        <v>2788</v>
      </c>
      <c r="I1403" t="n">
        <v>2879.71</v>
      </c>
      <c r="J1403" t="n">
        <v>1</v>
      </c>
      <c r="K1403" t="inlineStr">
        <is>
          <t>逆5日线（收盘在5日线上，不追空）</t>
        </is>
      </c>
    </row>
    <row r="1404">
      <c r="A1404" t="inlineStr">
        <is>
          <t>2022-12-28</t>
        </is>
      </c>
      <c r="B1404" t="inlineStr">
        <is>
          <t>沥青</t>
        </is>
      </c>
      <c r="C1404" t="inlineStr">
        <is>
          <t>多</t>
        </is>
      </c>
      <c r="D1404" t="n">
        <v>3</v>
      </c>
      <c r="E1404" t="n">
        <v>7</v>
      </c>
      <c r="F1404" t="inlineStr">
        <is>
          <t>不做</t>
        </is>
      </c>
      <c r="H1404" t="n">
        <v>3843</v>
      </c>
      <c r="J1404" t="n">
        <v>0</v>
      </c>
      <c r="K1404" t="inlineStr">
        <is>
          <t>组合风险已近10%，预算缩小</t>
        </is>
      </c>
    </row>
    <row r="1405">
      <c r="A1405" t="inlineStr">
        <is>
          <t>2022-12-28</t>
        </is>
      </c>
      <c r="B1405" t="inlineStr">
        <is>
          <t>菜粕</t>
        </is>
      </c>
      <c r="C1405" t="inlineStr">
        <is>
          <t>多</t>
        </is>
      </c>
      <c r="D1405" t="n">
        <v>3</v>
      </c>
      <c r="E1405" t="n">
        <v>6</v>
      </c>
      <c r="F1405" t="inlineStr">
        <is>
          <t>续持</t>
        </is>
      </c>
      <c r="G1405" t="n">
        <v>5</v>
      </c>
      <c r="H1405" t="n">
        <v>3135</v>
      </c>
      <c r="I1405" t="n">
        <v>2981.36</v>
      </c>
      <c r="J1405" t="n">
        <v>1.02</v>
      </c>
      <c r="K1405" t="inlineStr">
        <is>
          <t>续持原仓（2022-12-27开）</t>
        </is>
      </c>
    </row>
    <row r="1406">
      <c r="A1406" t="inlineStr">
        <is>
          <t>2022-12-28</t>
        </is>
      </c>
      <c r="B1406" t="inlineStr">
        <is>
          <t>棕榈油</t>
        </is>
      </c>
      <c r="C1406" t="inlineStr">
        <is>
          <t>空</t>
        </is>
      </c>
      <c r="D1406" t="n">
        <v>3</v>
      </c>
      <c r="E1406" t="n">
        <v>6</v>
      </c>
      <c r="F1406" t="inlineStr">
        <is>
          <t>观望</t>
        </is>
      </c>
      <c r="H1406" t="n">
        <v>8174</v>
      </c>
      <c r="J1406" t="n">
        <v>0</v>
      </c>
      <c r="K1406" t="inlineStr">
        <is>
          <t>逆5日线（收盘在5日线上，不追空）</t>
        </is>
      </c>
    </row>
    <row r="1407">
      <c r="A1407" t="inlineStr">
        <is>
          <t>2022-12-28</t>
        </is>
      </c>
      <c r="B1407" t="inlineStr">
        <is>
          <t>纯碱</t>
        </is>
      </c>
      <c r="C1407" t="inlineStr">
        <is>
          <t>多</t>
        </is>
      </c>
      <c r="D1407" t="n">
        <v>2</v>
      </c>
      <c r="E1407" t="n">
        <v>5</v>
      </c>
      <c r="F1407" t="inlineStr">
        <is>
          <t>影子仓</t>
        </is>
      </c>
      <c r="G1407" t="n">
        <v>2</v>
      </c>
      <c r="H1407" t="n">
        <v>2731</v>
      </c>
      <c r="I1407" t="n">
        <v>2523.14</v>
      </c>
      <c r="J1407" t="n">
        <v>1</v>
      </c>
      <c r="K1407" t="inlineStr">
        <is>
          <t>凯利≤0，开1%影子仓（只统计，不计入组合）</t>
        </is>
      </c>
    </row>
    <row r="1408">
      <c r="A1408" t="inlineStr">
        <is>
          <t>2022-12-28</t>
        </is>
      </c>
      <c r="B1408" t="inlineStr">
        <is>
          <t>铁矿石</t>
        </is>
      </c>
      <c r="C1408" t="inlineStr">
        <is>
          <t>多</t>
        </is>
      </c>
      <c r="D1408" t="n">
        <v>2</v>
      </c>
      <c r="E1408" t="n">
        <v>5</v>
      </c>
      <c r="F1408" t="inlineStr">
        <is>
          <t>影子仓</t>
        </is>
      </c>
      <c r="G1408" t="n">
        <v>1</v>
      </c>
      <c r="H1408" t="n">
        <v>835.5</v>
      </c>
      <c r="I1408" t="n">
        <v>762.54</v>
      </c>
      <c r="J1408" t="n">
        <v>1</v>
      </c>
      <c r="K1408" t="inlineStr">
        <is>
          <t>凯利≤0，开1%影子仓（只统计，不计入组合）</t>
        </is>
      </c>
    </row>
    <row r="1409">
      <c r="A1409" t="inlineStr">
        <is>
          <t>2022-12-28</t>
        </is>
      </c>
      <c r="B1409" t="inlineStr">
        <is>
          <t>棉花</t>
        </is>
      </c>
      <c r="C1409" t="inlineStr">
        <is>
          <t>多</t>
        </is>
      </c>
      <c r="D1409" t="n">
        <v>2</v>
      </c>
      <c r="E1409" t="n">
        <v>5</v>
      </c>
      <c r="F1409" t="inlineStr">
        <is>
          <t>影子仓</t>
        </is>
      </c>
      <c r="G1409" t="n">
        <v>2</v>
      </c>
      <c r="H1409" t="n">
        <v>14230</v>
      </c>
      <c r="I1409" t="n">
        <v>13453.21</v>
      </c>
      <c r="J1409" t="n">
        <v>1</v>
      </c>
      <c r="K1409" t="inlineStr">
        <is>
          <t>凯利≤0，开1%影子仓（只统计，不计入组合）</t>
        </is>
      </c>
    </row>
    <row r="1410">
      <c r="A1410" t="inlineStr">
        <is>
          <t>2022-12-29</t>
        </is>
      </c>
      <c r="B1410" t="inlineStr">
        <is>
          <t>铁矿石</t>
        </is>
      </c>
      <c r="C1410" t="inlineStr">
        <is>
          <t>多</t>
        </is>
      </c>
      <c r="D1410" t="n">
        <v>3</v>
      </c>
      <c r="E1410" t="n">
        <v>6</v>
      </c>
      <c r="F1410" t="inlineStr">
        <is>
          <t>续持</t>
        </is>
      </c>
      <c r="G1410" t="n">
        <v>1</v>
      </c>
      <c r="H1410" t="n">
        <v>845</v>
      </c>
      <c r="I1410" t="n">
        <v>778.0700000000001</v>
      </c>
      <c r="J1410" t="n">
        <v>1</v>
      </c>
      <c r="K1410" t="inlineStr">
        <is>
          <t>续持原仓（2022-12-28开）</t>
        </is>
      </c>
    </row>
    <row r="1411">
      <c r="A1411" t="inlineStr">
        <is>
          <t>2022-12-29</t>
        </is>
      </c>
      <c r="B1411" t="inlineStr">
        <is>
          <t>白糖</t>
        </is>
      </c>
      <c r="C1411" t="inlineStr">
        <is>
          <t>多</t>
        </is>
      </c>
      <c r="D1411" t="n">
        <v>3</v>
      </c>
      <c r="E1411" t="n">
        <v>6</v>
      </c>
      <c r="F1411" t="inlineStr">
        <is>
          <t>观望</t>
        </is>
      </c>
      <c r="G1411" t="n">
        <v>15</v>
      </c>
      <c r="H1411" t="n">
        <v>5773</v>
      </c>
      <c r="I1411" t="n">
        <v>5583.36</v>
      </c>
      <c r="J1411" t="n">
        <v>2.97</v>
      </c>
      <c r="K1411" t="inlineStr">
        <is>
          <t>逆5日线（收盘在5日线下，不追多）</t>
        </is>
      </c>
    </row>
    <row r="1412">
      <c r="A1412" t="inlineStr">
        <is>
          <t>2022-12-29</t>
        </is>
      </c>
      <c r="B1412" t="inlineStr">
        <is>
          <t>棉花</t>
        </is>
      </c>
      <c r="C1412" t="inlineStr">
        <is>
          <t>多</t>
        </is>
      </c>
      <c r="D1412" t="n">
        <v>3</v>
      </c>
      <c r="E1412" t="n">
        <v>6</v>
      </c>
      <c r="F1412" t="inlineStr">
        <is>
          <t>续持</t>
        </is>
      </c>
      <c r="G1412" t="n">
        <v>2</v>
      </c>
      <c r="H1412" t="n">
        <v>14180</v>
      </c>
      <c r="I1412" t="n">
        <v>13475.36</v>
      </c>
      <c r="J1412" t="n">
        <v>1</v>
      </c>
      <c r="K1412" t="inlineStr">
        <is>
          <t>续持原仓（2022-12-28开）</t>
        </is>
      </c>
    </row>
    <row r="1413">
      <c r="A1413" t="inlineStr">
        <is>
          <t>2022-12-29</t>
        </is>
      </c>
      <c r="B1413" t="inlineStr">
        <is>
          <t>沥青</t>
        </is>
      </c>
      <c r="C1413" t="inlineStr">
        <is>
          <t>多</t>
        </is>
      </c>
      <c r="D1413" t="n">
        <v>2</v>
      </c>
      <c r="E1413" t="n">
        <v>5</v>
      </c>
      <c r="F1413" t="inlineStr">
        <is>
          <t>影子仓</t>
        </is>
      </c>
      <c r="G1413" t="n">
        <v>4</v>
      </c>
      <c r="H1413" t="n">
        <v>3834</v>
      </c>
      <c r="I1413" t="n">
        <v>3598.07</v>
      </c>
      <c r="J1413" t="n">
        <v>1</v>
      </c>
      <c r="K1413" t="inlineStr">
        <is>
          <t>凯利≤0，开1%影子仓（只统计，不计入组合）</t>
        </is>
      </c>
    </row>
    <row r="1414">
      <c r="A1414" t="inlineStr">
        <is>
          <t>2022-12-29</t>
        </is>
      </c>
      <c r="B1414" t="inlineStr">
        <is>
          <t>豆粕</t>
        </is>
      </c>
      <c r="C1414" t="inlineStr">
        <is>
          <t>多</t>
        </is>
      </c>
      <c r="D1414" t="n">
        <v>2</v>
      </c>
      <c r="E1414" t="n">
        <v>5</v>
      </c>
      <c r="F1414" t="inlineStr">
        <is>
          <t>影子仓</t>
        </is>
      </c>
      <c r="G1414" t="n">
        <v>5</v>
      </c>
      <c r="H1414" t="n">
        <v>3882</v>
      </c>
      <c r="I1414" t="n">
        <v>3698.14</v>
      </c>
      <c r="J1414" t="n">
        <v>1</v>
      </c>
      <c r="K1414" t="inlineStr">
        <is>
          <t>凯利≤0，开1%影子仓（只统计，不计入组合）</t>
        </is>
      </c>
    </row>
    <row r="1415">
      <c r="A1415" t="inlineStr">
        <is>
          <t>2022-12-30</t>
        </is>
      </c>
      <c r="B1415" t="inlineStr">
        <is>
          <t>菜粕</t>
        </is>
      </c>
      <c r="C1415" t="inlineStr">
        <is>
          <t>多</t>
        </is>
      </c>
      <c r="D1415" t="n">
        <v>3</v>
      </c>
      <c r="E1415" t="n">
        <v>7</v>
      </c>
      <c r="F1415" t="inlineStr">
        <is>
          <t>开仓</t>
        </is>
      </c>
      <c r="G1415" t="n">
        <v>16</v>
      </c>
      <c r="H1415" t="n">
        <v>3223</v>
      </c>
      <c r="I1415" t="n">
        <v>3042.14</v>
      </c>
      <c r="J1415" t="n">
        <v>2.97</v>
      </c>
      <c r="K1415" t="inlineStr">
        <is>
          <t>¼凯利</t>
        </is>
      </c>
    </row>
    <row r="1416">
      <c r="A1416" t="inlineStr">
        <is>
          <t>2022-12-30</t>
        </is>
      </c>
      <c r="B1416" t="inlineStr">
        <is>
          <t>沪镍</t>
        </is>
      </c>
      <c r="C1416" t="inlineStr">
        <is>
          <t>多</t>
        </is>
      </c>
      <c r="D1416" t="n">
        <v>3</v>
      </c>
      <c r="E1416" t="n">
        <v>6</v>
      </c>
      <c r="F1416" t="inlineStr">
        <is>
          <t>开仓</t>
        </is>
      </c>
      <c r="G1416" t="n">
        <v>1</v>
      </c>
      <c r="H1416" t="n">
        <v>232000</v>
      </c>
      <c r="I1416" t="n">
        <v>212485</v>
      </c>
      <c r="J1416" t="n">
        <v>2.97</v>
      </c>
      <c r="K1416" t="inlineStr">
        <is>
          <t>¼凯利</t>
        </is>
      </c>
    </row>
    <row r="1417">
      <c r="A1417" t="inlineStr">
        <is>
          <t>2022-12-30</t>
        </is>
      </c>
      <c r="B1417" t="inlineStr">
        <is>
          <t>沥青</t>
        </is>
      </c>
      <c r="C1417" t="inlineStr">
        <is>
          <t>多</t>
        </is>
      </c>
      <c r="D1417" t="n">
        <v>3</v>
      </c>
      <c r="E1417" t="n">
        <v>6</v>
      </c>
      <c r="F1417" t="inlineStr">
        <is>
          <t>续持</t>
        </is>
      </c>
      <c r="G1417" t="n">
        <v>4</v>
      </c>
      <c r="H1417" t="n">
        <v>3865</v>
      </c>
      <c r="I1417" t="n">
        <v>3646</v>
      </c>
      <c r="J1417" t="n">
        <v>1</v>
      </c>
      <c r="K1417" t="inlineStr">
        <is>
          <t>续持原仓（2022-12-29开）</t>
        </is>
      </c>
    </row>
    <row r="1418">
      <c r="A1418" t="inlineStr">
        <is>
          <t>2022-12-30</t>
        </is>
      </c>
      <c r="B1418" t="inlineStr">
        <is>
          <t>铁矿石</t>
        </is>
      </c>
      <c r="C1418" t="inlineStr">
        <is>
          <t>多</t>
        </is>
      </c>
      <c r="D1418" t="n">
        <v>3</v>
      </c>
      <c r="E1418" t="n">
        <v>6</v>
      </c>
      <c r="F1418" t="inlineStr">
        <is>
          <t>续持</t>
        </is>
      </c>
      <c r="G1418" t="n">
        <v>1</v>
      </c>
      <c r="H1418" t="n">
        <v>863</v>
      </c>
      <c r="I1418" t="n">
        <v>797.4299999999999</v>
      </c>
      <c r="J1418" t="n">
        <v>1</v>
      </c>
      <c r="K1418" t="inlineStr">
        <is>
          <t>续持原仓（2022-12-28开）</t>
        </is>
      </c>
    </row>
    <row r="1419">
      <c r="A1419" t="inlineStr">
        <is>
          <t>2022-12-30</t>
        </is>
      </c>
      <c r="B1419" t="inlineStr">
        <is>
          <t>玻璃</t>
        </is>
      </c>
      <c r="C1419" t="inlineStr">
        <is>
          <t>多</t>
        </is>
      </c>
      <c r="D1419" t="n">
        <v>3</v>
      </c>
      <c r="E1419" t="n">
        <v>6</v>
      </c>
      <c r="F1419" t="inlineStr">
        <is>
          <t>开仓</t>
        </is>
      </c>
      <c r="G1419" t="n">
        <v>4</v>
      </c>
      <c r="H1419" t="n">
        <v>1660</v>
      </c>
      <c r="I1419" t="n">
        <v>1538.29</v>
      </c>
      <c r="J1419" t="n">
        <v>1.06</v>
      </c>
      <c r="K1419" t="inlineStr">
        <is>
          <t>组合风险已近10%，预算缩小</t>
        </is>
      </c>
    </row>
    <row r="1420">
      <c r="A1420" t="inlineStr">
        <is>
          <t>2022-12-30</t>
        </is>
      </c>
      <c r="B1420" t="inlineStr">
        <is>
          <t>棕榈油</t>
        </is>
      </c>
      <c r="C1420" t="inlineStr">
        <is>
          <t>空</t>
        </is>
      </c>
      <c r="D1420" t="n">
        <v>2</v>
      </c>
      <c r="E1420" t="n">
        <v>5</v>
      </c>
      <c r="F1420" t="inlineStr">
        <is>
          <t>观望</t>
        </is>
      </c>
      <c r="G1420" t="n">
        <v>1</v>
      </c>
      <c r="H1420" t="n">
        <v>8338</v>
      </c>
      <c r="I1420" t="n">
        <v>8995</v>
      </c>
      <c r="J1420" t="n">
        <v>1</v>
      </c>
      <c r="K1420" t="inlineStr">
        <is>
          <t>逆5日线（收盘在5日线上，不追空）</t>
        </is>
      </c>
    </row>
    <row r="1421">
      <c r="A1421" t="inlineStr">
        <is>
          <t>2023-01-03</t>
        </is>
      </c>
      <c r="B1421" t="inlineStr">
        <is>
          <t>玻璃</t>
        </is>
      </c>
      <c r="C1421" t="inlineStr">
        <is>
          <t>多</t>
        </is>
      </c>
      <c r="D1421" t="n">
        <v>3</v>
      </c>
      <c r="E1421" t="n">
        <v>7</v>
      </c>
      <c r="F1421" t="inlineStr">
        <is>
          <t>续持</t>
        </is>
      </c>
      <c r="G1421" t="n">
        <v>4</v>
      </c>
      <c r="H1421" t="n">
        <v>1672</v>
      </c>
      <c r="I1421" t="n">
        <v>1557.79</v>
      </c>
      <c r="J1421" t="n">
        <v>1.06</v>
      </c>
      <c r="K1421" t="inlineStr">
        <is>
          <t>续持原仓（2022-12-30开）</t>
        </is>
      </c>
    </row>
    <row r="1422">
      <c r="A1422" t="inlineStr">
        <is>
          <t>2023-01-03</t>
        </is>
      </c>
      <c r="B1422" t="inlineStr">
        <is>
          <t>沥青</t>
        </is>
      </c>
      <c r="C1422" t="inlineStr">
        <is>
          <t>多</t>
        </is>
      </c>
      <c r="D1422" t="n">
        <v>3</v>
      </c>
      <c r="E1422" t="n">
        <v>6</v>
      </c>
      <c r="F1422" t="inlineStr">
        <is>
          <t>续持</t>
        </is>
      </c>
      <c r="G1422" t="n">
        <v>4</v>
      </c>
      <c r="H1422" t="n">
        <v>3886</v>
      </c>
      <c r="I1422" t="n">
        <v>3698.07</v>
      </c>
      <c r="J1422" t="n">
        <v>1</v>
      </c>
      <c r="K1422" t="inlineStr">
        <is>
          <t>续持原仓（2022-12-29开）</t>
        </is>
      </c>
    </row>
    <row r="1423">
      <c r="A1423" t="inlineStr">
        <is>
          <t>2023-01-03</t>
        </is>
      </c>
      <c r="B1423" t="inlineStr">
        <is>
          <t>棉花</t>
        </is>
      </c>
      <c r="C1423" t="inlineStr">
        <is>
          <t>多</t>
        </is>
      </c>
      <c r="D1423" t="n">
        <v>3</v>
      </c>
      <c r="E1423" t="n">
        <v>6</v>
      </c>
      <c r="F1423" t="inlineStr">
        <is>
          <t>续持</t>
        </is>
      </c>
      <c r="G1423" t="n">
        <v>2</v>
      </c>
      <c r="H1423" t="n">
        <v>14360</v>
      </c>
      <c r="I1423" t="n">
        <v>13626.79</v>
      </c>
      <c r="J1423" t="n">
        <v>1</v>
      </c>
      <c r="K1423" t="inlineStr">
        <is>
          <t>续持原仓（2022-12-28开）</t>
        </is>
      </c>
    </row>
    <row r="1424">
      <c r="A1424" t="inlineStr">
        <is>
          <t>2023-01-03</t>
        </is>
      </c>
      <c r="B1424" t="inlineStr">
        <is>
          <t>菜粕</t>
        </is>
      </c>
      <c r="C1424" t="inlineStr">
        <is>
          <t>多</t>
        </is>
      </c>
      <c r="D1424" t="n">
        <v>2</v>
      </c>
      <c r="E1424" t="n">
        <v>5</v>
      </c>
      <c r="F1424" t="inlineStr">
        <is>
          <t>续持</t>
        </is>
      </c>
      <c r="G1424" t="n">
        <v>16</v>
      </c>
      <c r="H1424" t="n">
        <v>3222</v>
      </c>
      <c r="I1424" t="n">
        <v>3082.93</v>
      </c>
      <c r="J1424" t="n">
        <v>2.97</v>
      </c>
      <c r="K1424" t="inlineStr">
        <is>
          <t>续持原仓（2022-12-30开）</t>
        </is>
      </c>
    </row>
    <row r="1425">
      <c r="A1425" t="inlineStr">
        <is>
          <t>2023-01-03</t>
        </is>
      </c>
      <c r="B1425" t="inlineStr">
        <is>
          <t>白糖</t>
        </is>
      </c>
      <c r="C1425" t="inlineStr">
        <is>
          <t>多</t>
        </is>
      </c>
      <c r="D1425" t="n">
        <v>2</v>
      </c>
      <c r="E1425" t="n">
        <v>4</v>
      </c>
      <c r="F1425" t="inlineStr">
        <is>
          <t>影子仓</t>
        </is>
      </c>
      <c r="G1425" t="n">
        <v>5</v>
      </c>
      <c r="H1425" t="n">
        <v>5784</v>
      </c>
      <c r="I1425" t="n">
        <v>5596.71</v>
      </c>
      <c r="J1425" t="n">
        <v>1</v>
      </c>
      <c r="K1425" t="inlineStr">
        <is>
          <t>凯利≤0，开1%影子仓（只统计，不计入组合）</t>
        </is>
      </c>
    </row>
    <row r="1426">
      <c r="A1426" t="inlineStr">
        <is>
          <t>2023-01-04</t>
        </is>
      </c>
      <c r="B1426" t="inlineStr">
        <is>
          <t>玻璃</t>
        </is>
      </c>
      <c r="C1426" t="inlineStr">
        <is>
          <t>多</t>
        </is>
      </c>
      <c r="D1426" t="n">
        <v>3</v>
      </c>
      <c r="E1426" t="n">
        <v>6</v>
      </c>
      <c r="F1426" t="inlineStr">
        <is>
          <t>续持</t>
        </is>
      </c>
      <c r="G1426" t="n">
        <v>4</v>
      </c>
      <c r="H1426" t="n">
        <v>1662</v>
      </c>
      <c r="I1426" t="n">
        <v>1557.79</v>
      </c>
      <c r="J1426" t="n">
        <v>1.06</v>
      </c>
      <c r="K1426" t="inlineStr">
        <is>
          <t>续持原仓（2022-12-30开）</t>
        </is>
      </c>
    </row>
    <row r="1427">
      <c r="A1427" t="inlineStr">
        <is>
          <t>2023-01-04</t>
        </is>
      </c>
      <c r="B1427" t="inlineStr">
        <is>
          <t>纯碱</t>
        </is>
      </c>
      <c r="C1427" t="inlineStr">
        <is>
          <t>多</t>
        </is>
      </c>
      <c r="D1427" t="n">
        <v>2</v>
      </c>
      <c r="E1427" t="n">
        <v>5</v>
      </c>
      <c r="F1427" t="inlineStr">
        <is>
          <t>影子仓</t>
        </is>
      </c>
      <c r="G1427" t="n">
        <v>2</v>
      </c>
      <c r="H1427" t="n">
        <v>2773</v>
      </c>
      <c r="I1427" t="n">
        <v>2551</v>
      </c>
      <c r="J1427" t="n">
        <v>1</v>
      </c>
      <c r="K1427" t="inlineStr">
        <is>
          <t>凯利≤0，开1%影子仓（只统计，不计入组合）</t>
        </is>
      </c>
    </row>
    <row r="1428">
      <c r="A1428" t="inlineStr">
        <is>
          <t>2023-01-04</t>
        </is>
      </c>
      <c r="B1428" t="inlineStr">
        <is>
          <t>菜粕</t>
        </is>
      </c>
      <c r="C1428" t="inlineStr">
        <is>
          <t>多</t>
        </is>
      </c>
      <c r="D1428" t="n">
        <v>2</v>
      </c>
      <c r="E1428" t="n">
        <v>5</v>
      </c>
      <c r="F1428" t="inlineStr">
        <is>
          <t>续持</t>
        </is>
      </c>
      <c r="G1428" t="n">
        <v>16</v>
      </c>
      <c r="H1428" t="n">
        <v>3184</v>
      </c>
      <c r="I1428" t="n">
        <v>3083.14</v>
      </c>
      <c r="J1428" t="n">
        <v>2.97</v>
      </c>
      <c r="K1428" t="inlineStr">
        <is>
          <t>续持原仓（2022-12-30开）</t>
        </is>
      </c>
    </row>
    <row r="1429">
      <c r="A1429" t="inlineStr">
        <is>
          <t>2023-01-04</t>
        </is>
      </c>
      <c r="B1429" t="inlineStr">
        <is>
          <t>沥青</t>
        </is>
      </c>
      <c r="C1429" t="inlineStr">
        <is>
          <t>多</t>
        </is>
      </c>
      <c r="D1429" t="n">
        <v>2</v>
      </c>
      <c r="E1429" t="n">
        <v>4</v>
      </c>
      <c r="F1429" t="inlineStr">
        <is>
          <t>观望</t>
        </is>
      </c>
      <c r="G1429" t="n">
        <v>4</v>
      </c>
      <c r="H1429" t="n">
        <v>3789</v>
      </c>
      <c r="I1429" t="n">
        <v>3546.64</v>
      </c>
      <c r="J1429" t="n">
        <v>1</v>
      </c>
      <c r="K1429" t="inlineStr">
        <is>
          <t>逆5日线（收盘在5日线下，不追多）</t>
        </is>
      </c>
    </row>
    <row r="1430">
      <c r="A1430" t="inlineStr">
        <is>
          <t>2023-01-05</t>
        </is>
      </c>
      <c r="B1430" t="inlineStr">
        <is>
          <t>纯碱</t>
        </is>
      </c>
      <c r="C1430" t="inlineStr">
        <is>
          <t>多</t>
        </is>
      </c>
      <c r="D1430" t="n">
        <v>3</v>
      </c>
      <c r="E1430" t="n">
        <v>6</v>
      </c>
      <c r="F1430" t="inlineStr">
        <is>
          <t>续持</t>
        </is>
      </c>
      <c r="G1430" t="n">
        <v>2</v>
      </c>
      <c r="H1430" t="n">
        <v>2777</v>
      </c>
      <c r="I1430" t="n">
        <v>2584.5</v>
      </c>
      <c r="J1430" t="n">
        <v>1</v>
      </c>
      <c r="K1430" t="inlineStr">
        <is>
          <t>续持原仓（2023-01-04开）</t>
        </is>
      </c>
    </row>
    <row r="1431">
      <c r="A1431" t="inlineStr">
        <is>
          <t>2023-01-05</t>
        </is>
      </c>
      <c r="B1431" t="inlineStr">
        <is>
          <t>玻璃</t>
        </is>
      </c>
      <c r="C1431" t="inlineStr">
        <is>
          <t>多</t>
        </is>
      </c>
      <c r="D1431" t="n">
        <v>3</v>
      </c>
      <c r="E1431" t="n">
        <v>6</v>
      </c>
      <c r="F1431" t="inlineStr">
        <is>
          <t>续持</t>
        </is>
      </c>
      <c r="G1431" t="n">
        <v>4</v>
      </c>
      <c r="H1431" t="n">
        <v>1669</v>
      </c>
      <c r="I1431" t="n">
        <v>1564.64</v>
      </c>
      <c r="J1431" t="n">
        <v>1.06</v>
      </c>
      <c r="K1431" t="inlineStr">
        <is>
          <t>续持原仓（2022-12-30开）</t>
        </is>
      </c>
    </row>
    <row r="1432">
      <c r="A1432" t="inlineStr">
        <is>
          <t>2023-01-05</t>
        </is>
      </c>
      <c r="B1432" t="inlineStr">
        <is>
          <t>棉花</t>
        </is>
      </c>
      <c r="C1432" t="inlineStr">
        <is>
          <t>多</t>
        </is>
      </c>
      <c r="D1432" t="n">
        <v>3</v>
      </c>
      <c r="E1432" t="n">
        <v>6</v>
      </c>
      <c r="F1432" t="inlineStr">
        <is>
          <t>观望</t>
        </is>
      </c>
      <c r="G1432" t="n">
        <v>7</v>
      </c>
      <c r="H1432" t="n">
        <v>14275</v>
      </c>
      <c r="I1432" t="n">
        <v>13515.36</v>
      </c>
      <c r="J1432" t="n">
        <v>2.78</v>
      </c>
      <c r="K1432" t="inlineStr">
        <is>
          <t>逆5日线（收盘在5日线下，不追多）</t>
        </is>
      </c>
    </row>
    <row r="1433">
      <c r="A1433" t="inlineStr">
        <is>
          <t>2023-01-06</t>
        </is>
      </c>
      <c r="B1433" t="inlineStr">
        <is>
          <t>纯碱</t>
        </is>
      </c>
      <c r="C1433" t="inlineStr">
        <is>
          <t>多</t>
        </is>
      </c>
      <c r="D1433" t="n">
        <v>3</v>
      </c>
      <c r="E1433" t="n">
        <v>7</v>
      </c>
      <c r="F1433" t="inlineStr">
        <is>
          <t>续持</t>
        </is>
      </c>
      <c r="G1433" t="n">
        <v>2</v>
      </c>
      <c r="H1433" t="n">
        <v>2819</v>
      </c>
      <c r="I1433" t="n">
        <v>2615.86</v>
      </c>
      <c r="J1433" t="n">
        <v>1</v>
      </c>
      <c r="K1433" t="inlineStr">
        <is>
          <t>续持原仓（2023-01-04开）</t>
        </is>
      </c>
    </row>
    <row r="1434">
      <c r="A1434" t="inlineStr">
        <is>
          <t>2023-01-06</t>
        </is>
      </c>
      <c r="B1434" t="inlineStr">
        <is>
          <t>棉花</t>
        </is>
      </c>
      <c r="C1434" t="inlineStr">
        <is>
          <t>多</t>
        </is>
      </c>
      <c r="D1434" t="n">
        <v>3</v>
      </c>
      <c r="E1434" t="n">
        <v>7</v>
      </c>
      <c r="F1434" t="inlineStr">
        <is>
          <t>开仓</t>
        </is>
      </c>
      <c r="G1434" t="n">
        <v>7</v>
      </c>
      <c r="H1434" t="n">
        <v>14360</v>
      </c>
      <c r="I1434" t="n">
        <v>13644.29</v>
      </c>
      <c r="J1434" t="n">
        <v>2.7</v>
      </c>
      <c r="K1434" t="inlineStr">
        <is>
          <t>¼凯利</t>
        </is>
      </c>
    </row>
    <row r="1435">
      <c r="A1435" t="inlineStr">
        <is>
          <t>2023-01-06</t>
        </is>
      </c>
      <c r="B1435" t="inlineStr">
        <is>
          <t>PTA</t>
        </is>
      </c>
      <c r="C1435" t="inlineStr">
        <is>
          <t>多</t>
        </is>
      </c>
      <c r="D1435" t="n">
        <v>2</v>
      </c>
      <c r="E1435" t="n">
        <v>5</v>
      </c>
      <c r="F1435" t="inlineStr">
        <is>
          <t>观望</t>
        </is>
      </c>
      <c r="G1435" t="n">
        <v>6</v>
      </c>
      <c r="H1435" t="n">
        <v>5326</v>
      </c>
      <c r="I1435" t="n">
        <v>5011.43</v>
      </c>
      <c r="J1435" t="n">
        <v>1</v>
      </c>
      <c r="K1435" t="inlineStr">
        <is>
          <t>逆5日线（收盘在5日线下，不追多）</t>
        </is>
      </c>
    </row>
    <row r="1436">
      <c r="A1436" t="inlineStr">
        <is>
          <t>2023-01-09</t>
        </is>
      </c>
      <c r="B1436" t="inlineStr">
        <is>
          <t>玻璃</t>
        </is>
      </c>
      <c r="C1436" t="inlineStr">
        <is>
          <t>多</t>
        </is>
      </c>
      <c r="D1436" t="n">
        <v>3</v>
      </c>
      <c r="E1436" t="n">
        <v>6</v>
      </c>
      <c r="F1436" t="inlineStr">
        <is>
          <t>开仓</t>
        </is>
      </c>
      <c r="G1436" t="n">
        <v>12</v>
      </c>
      <c r="H1436" t="n">
        <v>1677</v>
      </c>
      <c r="I1436" t="n">
        <v>1567.07</v>
      </c>
      <c r="J1436" t="n">
        <v>2.74</v>
      </c>
      <c r="K1436" t="inlineStr">
        <is>
          <t>¼凯利</t>
        </is>
      </c>
    </row>
    <row r="1437">
      <c r="A1437" t="inlineStr">
        <is>
          <t>2023-01-09</t>
        </is>
      </c>
      <c r="B1437" t="inlineStr">
        <is>
          <t>棉花</t>
        </is>
      </c>
      <c r="C1437" t="inlineStr">
        <is>
          <t>多</t>
        </is>
      </c>
      <c r="D1437" t="n">
        <v>2</v>
      </c>
      <c r="E1437" t="n">
        <v>5</v>
      </c>
      <c r="F1437" t="inlineStr">
        <is>
          <t>续持</t>
        </is>
      </c>
      <c r="G1437" t="n">
        <v>7</v>
      </c>
      <c r="H1437" t="n">
        <v>14390</v>
      </c>
      <c r="I1437" t="n">
        <v>13795.71</v>
      </c>
      <c r="J1437" t="n">
        <v>2.7</v>
      </c>
      <c r="K1437" t="inlineStr">
        <is>
          <t>续持原仓（2023-01-06开）</t>
        </is>
      </c>
    </row>
    <row r="1438">
      <c r="A1438" t="inlineStr">
        <is>
          <t>2023-01-09</t>
        </is>
      </c>
      <c r="B1438" t="inlineStr">
        <is>
          <t>甲醇</t>
        </is>
      </c>
      <c r="C1438" t="inlineStr">
        <is>
          <t>空</t>
        </is>
      </c>
      <c r="D1438" t="n">
        <v>2</v>
      </c>
      <c r="E1438" t="n">
        <v>4</v>
      </c>
      <c r="F1438" t="inlineStr">
        <is>
          <t>影子仓</t>
        </is>
      </c>
      <c r="G1438" t="n">
        <v>6</v>
      </c>
      <c r="H1438" t="n">
        <v>2597</v>
      </c>
      <c r="I1438" t="n">
        <v>2752.79</v>
      </c>
      <c r="J1438" t="n">
        <v>1</v>
      </c>
      <c r="K1438" t="inlineStr">
        <is>
          <t>凯利≤0，开1%影子仓（只统计，不计入组合）</t>
        </is>
      </c>
    </row>
    <row r="1439">
      <c r="A1439" t="inlineStr">
        <is>
          <t>2023-01-10</t>
        </is>
      </c>
      <c r="B1439" t="inlineStr">
        <is>
          <t>棉花</t>
        </is>
      </c>
      <c r="C1439" t="inlineStr">
        <is>
          <t>多</t>
        </is>
      </c>
      <c r="D1439" t="n">
        <v>3</v>
      </c>
      <c r="E1439" t="n">
        <v>6</v>
      </c>
      <c r="F1439" t="inlineStr">
        <is>
          <t>续持</t>
        </is>
      </c>
      <c r="G1439" t="n">
        <v>7</v>
      </c>
      <c r="H1439" t="n">
        <v>14445</v>
      </c>
      <c r="I1439" t="n">
        <v>13847.86</v>
      </c>
      <c r="J1439" t="n">
        <v>2.7</v>
      </c>
      <c r="K1439" t="inlineStr">
        <is>
          <t>续持原仓（2023-01-06开）</t>
        </is>
      </c>
    </row>
    <row r="1440">
      <c r="A1440" t="inlineStr">
        <is>
          <t>2023-01-11</t>
        </is>
      </c>
      <c r="B1440" t="inlineStr">
        <is>
          <t>棉花</t>
        </is>
      </c>
      <c r="C1440" t="inlineStr">
        <is>
          <t>多</t>
        </is>
      </c>
      <c r="D1440" t="n">
        <v>2</v>
      </c>
      <c r="E1440" t="n">
        <v>5</v>
      </c>
      <c r="F1440" t="inlineStr">
        <is>
          <t>续持</t>
        </is>
      </c>
      <c r="G1440" t="n">
        <v>7</v>
      </c>
      <c r="H1440" t="n">
        <v>14420</v>
      </c>
      <c r="I1440" t="n">
        <v>13895</v>
      </c>
      <c r="J1440" t="n">
        <v>2.7</v>
      </c>
      <c r="K1440" t="inlineStr">
        <is>
          <t>续持原仓（2023-01-06开）</t>
        </is>
      </c>
    </row>
    <row r="1441">
      <c r="A1441" t="inlineStr">
        <is>
          <t>2023-01-11</t>
        </is>
      </c>
      <c r="B1441" t="inlineStr">
        <is>
          <t>沪镍</t>
        </is>
      </c>
      <c r="C1441" t="inlineStr">
        <is>
          <t>多</t>
        </is>
      </c>
      <c r="D1441" t="n">
        <v>2</v>
      </c>
      <c r="E1441" t="n">
        <v>4</v>
      </c>
      <c r="F1441" t="inlineStr">
        <is>
          <t>观望</t>
        </is>
      </c>
      <c r="H1441" t="n">
        <v>209530</v>
      </c>
      <c r="J1441" t="n">
        <v>1</v>
      </c>
      <c r="K1441" t="inlineStr">
        <is>
          <t>逆5日线（收盘在5日线下，不追多）</t>
        </is>
      </c>
    </row>
    <row r="1442">
      <c r="A1442" t="inlineStr">
        <is>
          <t>2023-01-12</t>
        </is>
      </c>
      <c r="B1442" t="inlineStr">
        <is>
          <t>沪铜</t>
        </is>
      </c>
      <c r="C1442" t="inlineStr">
        <is>
          <t>多</t>
        </is>
      </c>
      <c r="D1442" t="n">
        <v>3</v>
      </c>
      <c r="E1442" t="n">
        <v>7</v>
      </c>
      <c r="F1442" t="inlineStr">
        <is>
          <t>开仓</t>
        </is>
      </c>
      <c r="G1442" t="n">
        <v>1</v>
      </c>
      <c r="H1442" t="n">
        <v>68660</v>
      </c>
      <c r="I1442" t="n">
        <v>65985.71000000001</v>
      </c>
      <c r="J1442" t="n">
        <v>2.39</v>
      </c>
      <c r="K1442" t="inlineStr">
        <is>
          <t>¼凯利</t>
        </is>
      </c>
    </row>
    <row r="1443">
      <c r="A1443" t="inlineStr">
        <is>
          <t>2023-01-12</t>
        </is>
      </c>
      <c r="B1443" t="inlineStr">
        <is>
          <t>沪金</t>
        </is>
      </c>
      <c r="C1443" t="inlineStr">
        <is>
          <t>多</t>
        </is>
      </c>
      <c r="D1443" t="n">
        <v>2</v>
      </c>
      <c r="E1443" t="n">
        <v>5</v>
      </c>
      <c r="F1443" t="inlineStr">
        <is>
          <t>影子仓</t>
        </is>
      </c>
      <c r="G1443" t="n">
        <v>1</v>
      </c>
      <c r="H1443" t="n">
        <v>414.58</v>
      </c>
      <c r="I1443" t="n">
        <v>404.95</v>
      </c>
      <c r="J1443" t="n">
        <v>1</v>
      </c>
      <c r="K1443" t="inlineStr">
        <is>
          <t>凯利≤0，开1%影子仓（只统计，不计入组合）</t>
        </is>
      </c>
    </row>
    <row r="1444">
      <c r="A1444" t="inlineStr">
        <is>
          <t>2023-01-12</t>
        </is>
      </c>
      <c r="B1444" t="inlineStr">
        <is>
          <t>沪铝</t>
        </is>
      </c>
      <c r="C1444" t="inlineStr">
        <is>
          <t>多</t>
        </is>
      </c>
      <c r="D1444" t="n">
        <v>2</v>
      </c>
      <c r="E1444" t="n">
        <v>5</v>
      </c>
      <c r="F1444" t="inlineStr">
        <is>
          <t>影子仓</t>
        </is>
      </c>
      <c r="G1444" t="n">
        <v>2</v>
      </c>
      <c r="H1444" t="n">
        <v>18360</v>
      </c>
      <c r="I1444" t="n">
        <v>17511.43</v>
      </c>
      <c r="J1444" t="n">
        <v>1</v>
      </c>
      <c r="K1444" t="inlineStr">
        <is>
          <t>凯利≤0，开1%影子仓（只统计，不计入组合）</t>
        </is>
      </c>
    </row>
    <row r="1445">
      <c r="A1445" t="inlineStr">
        <is>
          <t>2023-01-13</t>
        </is>
      </c>
      <c r="B1445" t="inlineStr">
        <is>
          <t>菜粕</t>
        </is>
      </c>
      <c r="C1445" t="inlineStr">
        <is>
          <t>多</t>
        </is>
      </c>
      <c r="D1445" t="n">
        <v>3</v>
      </c>
      <c r="E1445" t="n">
        <v>7</v>
      </c>
      <c r="F1445" t="inlineStr">
        <is>
          <t>开仓</t>
        </is>
      </c>
      <c r="G1445" t="n">
        <v>12</v>
      </c>
      <c r="H1445" t="n">
        <v>3238</v>
      </c>
      <c r="I1445" t="n">
        <v>3046.43</v>
      </c>
      <c r="J1445" t="n">
        <v>2.37</v>
      </c>
      <c r="K1445" t="inlineStr">
        <is>
          <t>¼凯利</t>
        </is>
      </c>
    </row>
    <row r="1446">
      <c r="A1446" t="inlineStr">
        <is>
          <t>2023-01-13</t>
        </is>
      </c>
      <c r="B1446" t="inlineStr">
        <is>
          <t>热卷</t>
        </is>
      </c>
      <c r="C1446" t="inlineStr">
        <is>
          <t>多</t>
        </is>
      </c>
      <c r="D1446" t="n">
        <v>3</v>
      </c>
      <c r="E1446" t="n">
        <v>6</v>
      </c>
      <c r="F1446" t="inlineStr">
        <is>
          <t>开仓</t>
        </is>
      </c>
      <c r="G1446" t="n">
        <v>11</v>
      </c>
      <c r="H1446" t="n">
        <v>4202</v>
      </c>
      <c r="I1446" t="n">
        <v>3999.71</v>
      </c>
      <c r="J1446" t="n">
        <v>2.37</v>
      </c>
      <c r="K1446" t="inlineStr">
        <is>
          <t>¼凯利</t>
        </is>
      </c>
    </row>
    <row r="1447">
      <c r="A1447" t="inlineStr">
        <is>
          <t>2023-01-13</t>
        </is>
      </c>
      <c r="B1447" t="inlineStr">
        <is>
          <t>沪金</t>
        </is>
      </c>
      <c r="C1447" t="inlineStr">
        <is>
          <t>多</t>
        </is>
      </c>
      <c r="D1447" t="n">
        <v>3</v>
      </c>
      <c r="E1447" t="n">
        <v>6</v>
      </c>
      <c r="F1447" t="inlineStr">
        <is>
          <t>续持</t>
        </is>
      </c>
      <c r="G1447" t="n">
        <v>1</v>
      </c>
      <c r="H1447" t="n">
        <v>415.22</v>
      </c>
      <c r="I1447" t="n">
        <v>407.13</v>
      </c>
      <c r="J1447" t="n">
        <v>1</v>
      </c>
      <c r="K1447" t="inlineStr">
        <is>
          <t>续持原仓（2023-01-12开）</t>
        </is>
      </c>
    </row>
    <row r="1448">
      <c r="A1448" t="inlineStr">
        <is>
          <t>2023-01-13</t>
        </is>
      </c>
      <c r="B1448" t="inlineStr">
        <is>
          <t>棉花</t>
        </is>
      </c>
      <c r="C1448" t="inlineStr">
        <is>
          <t>多</t>
        </is>
      </c>
      <c r="D1448" t="n">
        <v>3</v>
      </c>
      <c r="E1448" t="n">
        <v>6</v>
      </c>
      <c r="F1448" t="inlineStr">
        <is>
          <t>观望</t>
        </is>
      </c>
      <c r="G1448" t="n">
        <v>1</v>
      </c>
      <c r="H1448" t="n">
        <v>14405</v>
      </c>
      <c r="I1448" t="n">
        <v>13840.36</v>
      </c>
      <c r="J1448" t="n">
        <v>0.3</v>
      </c>
      <c r="K1448" t="inlineStr">
        <is>
          <t>逆5日线（收盘在5日线下，不追多）</t>
        </is>
      </c>
    </row>
    <row r="1449">
      <c r="A1449" t="inlineStr">
        <is>
          <t>2023-01-13</t>
        </is>
      </c>
      <c r="B1449" t="inlineStr">
        <is>
          <t>沥青</t>
        </is>
      </c>
      <c r="C1449" t="inlineStr">
        <is>
          <t>多</t>
        </is>
      </c>
      <c r="D1449" t="n">
        <v>3</v>
      </c>
      <c r="E1449" t="n">
        <v>6</v>
      </c>
      <c r="F1449" t="inlineStr">
        <is>
          <t>开仓</t>
        </is>
      </c>
      <c r="G1449" t="n">
        <v>9</v>
      </c>
      <c r="H1449" t="n">
        <v>3814</v>
      </c>
      <c r="I1449" t="n">
        <v>3568.21</v>
      </c>
      <c r="J1449" t="n">
        <v>2.37</v>
      </c>
      <c r="K1449" t="inlineStr">
        <is>
          <t>¼凯利</t>
        </is>
      </c>
    </row>
    <row r="1450">
      <c r="A1450" t="inlineStr">
        <is>
          <t>2023-01-16</t>
        </is>
      </c>
      <c r="B1450" t="inlineStr">
        <is>
          <t>沪金</t>
        </is>
      </c>
      <c r="C1450" t="inlineStr">
        <is>
          <t>多</t>
        </is>
      </c>
      <c r="D1450" t="n">
        <v>2</v>
      </c>
      <c r="E1450" t="n">
        <v>5</v>
      </c>
      <c r="F1450" t="inlineStr">
        <is>
          <t>续持</t>
        </is>
      </c>
      <c r="G1450" t="n">
        <v>1</v>
      </c>
      <c r="H1450" t="n">
        <v>417.28</v>
      </c>
      <c r="I1450" t="n">
        <v>409.61</v>
      </c>
      <c r="J1450" t="n">
        <v>1</v>
      </c>
      <c r="K1450" t="inlineStr">
        <is>
          <t>续持原仓（2023-01-12开）</t>
        </is>
      </c>
    </row>
    <row r="1451">
      <c r="A1451" t="inlineStr">
        <is>
          <t>2023-01-16</t>
        </is>
      </c>
      <c r="B1451" t="inlineStr">
        <is>
          <t>沪铜</t>
        </is>
      </c>
      <c r="C1451" t="inlineStr">
        <is>
          <t>多</t>
        </is>
      </c>
      <c r="D1451" t="n">
        <v>2</v>
      </c>
      <c r="E1451" t="n">
        <v>5</v>
      </c>
      <c r="F1451" t="inlineStr">
        <is>
          <t>不做</t>
        </is>
      </c>
      <c r="H1451" t="n">
        <v>68640</v>
      </c>
      <c r="J1451" t="n">
        <v>1</v>
      </c>
      <c r="K1451" t="inlineStr">
        <is>
          <t>1手风险13800元超过预算10000元</t>
        </is>
      </c>
    </row>
    <row r="1452">
      <c r="A1452" t="inlineStr">
        <is>
          <t>2023-01-17</t>
        </is>
      </c>
      <c r="B1452" t="inlineStr">
        <is>
          <t>沪金</t>
        </is>
      </c>
      <c r="C1452" t="inlineStr">
        <is>
          <t>多</t>
        </is>
      </c>
      <c r="D1452" t="n">
        <v>3</v>
      </c>
      <c r="E1452" t="n">
        <v>6</v>
      </c>
      <c r="F1452" t="inlineStr">
        <is>
          <t>续持</t>
        </is>
      </c>
      <c r="G1452" t="n">
        <v>1</v>
      </c>
      <c r="H1452" t="n">
        <v>419</v>
      </c>
      <c r="I1452" t="n">
        <v>409.75</v>
      </c>
      <c r="J1452" t="n">
        <v>1</v>
      </c>
      <c r="K1452" t="inlineStr">
        <is>
          <t>续持原仓（2023-01-12开）</t>
        </is>
      </c>
    </row>
    <row r="1453">
      <c r="A1453" t="inlineStr">
        <is>
          <t>2023-01-17</t>
        </is>
      </c>
      <c r="B1453" t="inlineStr">
        <is>
          <t>沪铝</t>
        </is>
      </c>
      <c r="C1453" t="inlineStr">
        <is>
          <t>多</t>
        </is>
      </c>
      <c r="D1453" t="n">
        <v>2</v>
      </c>
      <c r="E1453" t="n">
        <v>5</v>
      </c>
      <c r="F1453" t="inlineStr">
        <is>
          <t>续持</t>
        </is>
      </c>
      <c r="G1453" t="n">
        <v>2</v>
      </c>
      <c r="H1453" t="n">
        <v>18615</v>
      </c>
      <c r="I1453" t="n">
        <v>17883.57</v>
      </c>
      <c r="J1453" t="n">
        <v>1</v>
      </c>
      <c r="K1453" t="inlineStr">
        <is>
          <t>续持原仓（2023-01-12开）</t>
        </is>
      </c>
    </row>
    <row r="1454">
      <c r="A1454" t="inlineStr">
        <is>
          <t>2023-01-18</t>
        </is>
      </c>
      <c r="B1454" t="inlineStr">
        <is>
          <t>热卷</t>
        </is>
      </c>
      <c r="C1454" t="inlineStr">
        <is>
          <t>多</t>
        </is>
      </c>
      <c r="D1454" t="n">
        <v>3</v>
      </c>
      <c r="E1454" t="n">
        <v>7</v>
      </c>
      <c r="F1454" t="inlineStr">
        <is>
          <t>续持</t>
        </is>
      </c>
      <c r="G1454" t="n">
        <v>11</v>
      </c>
      <c r="H1454" t="n">
        <v>4196</v>
      </c>
      <c r="I1454" t="n">
        <v>4007.29</v>
      </c>
      <c r="J1454" t="n">
        <v>2.37</v>
      </c>
      <c r="K1454" t="inlineStr">
        <is>
          <t>续持原仓（2023-01-13开）</t>
        </is>
      </c>
    </row>
    <row r="1455">
      <c r="A1455" t="inlineStr">
        <is>
          <t>2023-01-18</t>
        </is>
      </c>
      <c r="B1455" t="inlineStr">
        <is>
          <t>棉花</t>
        </is>
      </c>
      <c r="C1455" t="inlineStr">
        <is>
          <t>多</t>
        </is>
      </c>
      <c r="D1455" t="n">
        <v>3</v>
      </c>
      <c r="E1455" t="n">
        <v>7</v>
      </c>
      <c r="F1455" t="inlineStr">
        <is>
          <t>续持</t>
        </is>
      </c>
      <c r="G1455" t="n">
        <v>7</v>
      </c>
      <c r="H1455" t="n">
        <v>14705</v>
      </c>
      <c r="I1455" t="n">
        <v>14183.57</v>
      </c>
      <c r="J1455" t="n">
        <v>2.7</v>
      </c>
      <c r="K1455" t="inlineStr">
        <is>
          <t>续持原仓（2023-01-06开）</t>
        </is>
      </c>
    </row>
    <row r="1456">
      <c r="A1456" t="inlineStr">
        <is>
          <t>2023-01-18</t>
        </is>
      </c>
      <c r="B1456" t="inlineStr">
        <is>
          <t>沪金</t>
        </is>
      </c>
      <c r="C1456" t="inlineStr">
        <is>
          <t>多</t>
        </is>
      </c>
      <c r="D1456" t="n">
        <v>3</v>
      </c>
      <c r="E1456" t="n">
        <v>6</v>
      </c>
      <c r="F1456" t="inlineStr">
        <is>
          <t>续持</t>
        </is>
      </c>
      <c r="G1456" t="n">
        <v>1</v>
      </c>
      <c r="H1456" t="n">
        <v>418.4</v>
      </c>
      <c r="I1456" t="n">
        <v>411.24</v>
      </c>
      <c r="J1456" t="n">
        <v>1</v>
      </c>
      <c r="K1456" t="inlineStr">
        <is>
          <t>续持原仓（2023-01-12开）</t>
        </is>
      </c>
    </row>
    <row r="1457">
      <c r="A1457" t="inlineStr">
        <is>
          <t>2023-01-18</t>
        </is>
      </c>
      <c r="B1457" t="inlineStr">
        <is>
          <t>玻璃</t>
        </is>
      </c>
      <c r="C1457" t="inlineStr">
        <is>
          <t>多</t>
        </is>
      </c>
      <c r="D1457" t="n">
        <v>3</v>
      </c>
      <c r="E1457" t="n">
        <v>6</v>
      </c>
      <c r="F1457" t="inlineStr">
        <is>
          <t>开仓</t>
        </is>
      </c>
      <c r="G1457" t="n">
        <v>10</v>
      </c>
      <c r="H1457" t="n">
        <v>1718</v>
      </c>
      <c r="I1457" t="n">
        <v>1608.29</v>
      </c>
      <c r="J1457" t="n">
        <v>2.31</v>
      </c>
      <c r="K1457" t="inlineStr">
        <is>
          <t>¼凯利</t>
        </is>
      </c>
    </row>
    <row r="1458">
      <c r="A1458" t="inlineStr">
        <is>
          <t>2023-01-19</t>
        </is>
      </c>
      <c r="B1458" t="inlineStr">
        <is>
          <t>纯碱</t>
        </is>
      </c>
      <c r="C1458" t="inlineStr">
        <is>
          <t>多</t>
        </is>
      </c>
      <c r="D1458" t="n">
        <v>3</v>
      </c>
      <c r="E1458" t="n">
        <v>7</v>
      </c>
      <c r="F1458" t="inlineStr">
        <is>
          <t>开仓</t>
        </is>
      </c>
      <c r="G1458" t="n">
        <v>6</v>
      </c>
      <c r="H1458" t="n">
        <v>2987</v>
      </c>
      <c r="I1458" t="n">
        <v>2803.36</v>
      </c>
      <c r="J1458" t="n">
        <v>2.39</v>
      </c>
      <c r="K1458" t="inlineStr">
        <is>
          <t>¼凯利</t>
        </is>
      </c>
    </row>
    <row r="1459">
      <c r="A1459" t="inlineStr">
        <is>
          <t>2023-01-19</t>
        </is>
      </c>
      <c r="B1459" t="inlineStr">
        <is>
          <t>沪金</t>
        </is>
      </c>
      <c r="C1459" t="inlineStr">
        <is>
          <t>多</t>
        </is>
      </c>
      <c r="D1459" t="n">
        <v>3</v>
      </c>
      <c r="E1459" t="n">
        <v>6</v>
      </c>
      <c r="F1459" t="inlineStr">
        <is>
          <t>续持</t>
        </is>
      </c>
      <c r="G1459" t="n">
        <v>1</v>
      </c>
      <c r="H1459" t="n">
        <v>419.66</v>
      </c>
      <c r="I1459" t="n">
        <v>411.41</v>
      </c>
      <c r="J1459" t="n">
        <v>1</v>
      </c>
      <c r="K1459" t="inlineStr">
        <is>
          <t>续持原仓（2023-01-12开）</t>
        </is>
      </c>
    </row>
    <row r="1460">
      <c r="A1460" t="inlineStr">
        <is>
          <t>2023-01-19</t>
        </is>
      </c>
      <c r="B1460" t="inlineStr">
        <is>
          <t>棉花</t>
        </is>
      </c>
      <c r="C1460" t="inlineStr">
        <is>
          <t>多</t>
        </is>
      </c>
      <c r="D1460" t="n">
        <v>3</v>
      </c>
      <c r="E1460" t="n">
        <v>6</v>
      </c>
      <c r="F1460" t="inlineStr">
        <is>
          <t>续持</t>
        </is>
      </c>
      <c r="G1460" t="n">
        <v>7</v>
      </c>
      <c r="H1460" t="n">
        <v>14810</v>
      </c>
      <c r="I1460" t="n">
        <v>14341.79</v>
      </c>
      <c r="J1460" t="n">
        <v>2.7</v>
      </c>
      <c r="K1460" t="inlineStr">
        <is>
          <t>续持原仓（2023-01-06开）</t>
        </is>
      </c>
    </row>
    <row r="1461">
      <c r="A1461" t="inlineStr">
        <is>
          <t>2023-01-19</t>
        </is>
      </c>
      <c r="B1461" t="inlineStr">
        <is>
          <t>PTA</t>
        </is>
      </c>
      <c r="C1461" t="inlineStr">
        <is>
          <t>多</t>
        </is>
      </c>
      <c r="D1461" t="n">
        <v>2</v>
      </c>
      <c r="E1461" t="n">
        <v>5</v>
      </c>
      <c r="F1461" t="inlineStr">
        <is>
          <t>影子仓</t>
        </is>
      </c>
      <c r="G1461" t="n">
        <v>5</v>
      </c>
      <c r="H1461" t="n">
        <v>5726</v>
      </c>
      <c r="I1461" t="n">
        <v>5378.86</v>
      </c>
      <c r="J1461" t="n">
        <v>1</v>
      </c>
      <c r="K1461" t="inlineStr">
        <is>
          <t>凯利≤0，开1%影子仓（只统计，不计入组合）</t>
        </is>
      </c>
    </row>
    <row r="1462">
      <c r="A1462" t="inlineStr">
        <is>
          <t>2023-01-19</t>
        </is>
      </c>
      <c r="B1462" t="inlineStr">
        <is>
          <t>沪铝</t>
        </is>
      </c>
      <c r="C1462" t="inlineStr">
        <is>
          <t>多</t>
        </is>
      </c>
      <c r="D1462" t="n">
        <v>2</v>
      </c>
      <c r="E1462" t="n">
        <v>4</v>
      </c>
      <c r="F1462" t="inlineStr">
        <is>
          <t>影子仓</t>
        </is>
      </c>
      <c r="G1462" t="n">
        <v>2</v>
      </c>
      <c r="H1462" t="n">
        <v>19070</v>
      </c>
      <c r="I1462" t="n">
        <v>18205.36</v>
      </c>
      <c r="J1462" t="n">
        <v>1</v>
      </c>
      <c r="K1462" t="inlineStr">
        <is>
          <t>凯利≤0，开1%影子仓（只统计，不计入组合）</t>
        </is>
      </c>
    </row>
    <row r="1463">
      <c r="A1463" t="inlineStr">
        <is>
          <t>2023-01-20</t>
        </is>
      </c>
      <c r="B1463" t="inlineStr">
        <is>
          <t>沪金</t>
        </is>
      </c>
      <c r="C1463" t="inlineStr">
        <is>
          <t>多</t>
        </is>
      </c>
      <c r="D1463" t="n">
        <v>3</v>
      </c>
      <c r="E1463" t="n">
        <v>6</v>
      </c>
      <c r="F1463" t="inlineStr">
        <is>
          <t>续持</t>
        </is>
      </c>
      <c r="G1463" t="n">
        <v>1</v>
      </c>
      <c r="H1463" t="n">
        <v>423.5</v>
      </c>
      <c r="I1463" t="n">
        <v>413.78</v>
      </c>
      <c r="J1463" t="n">
        <v>1</v>
      </c>
      <c r="K1463" t="inlineStr">
        <is>
          <t>续持原仓（2023-01-12开）</t>
        </is>
      </c>
    </row>
    <row r="1464">
      <c r="A1464" t="inlineStr">
        <is>
          <t>2023-01-20</t>
        </is>
      </c>
      <c r="B1464" t="inlineStr">
        <is>
          <t>玻璃</t>
        </is>
      </c>
      <c r="C1464" t="inlineStr">
        <is>
          <t>多</t>
        </is>
      </c>
      <c r="D1464" t="n">
        <v>3</v>
      </c>
      <c r="E1464" t="n">
        <v>6</v>
      </c>
      <c r="F1464" t="inlineStr">
        <is>
          <t>开仓</t>
        </is>
      </c>
      <c r="G1464" t="n">
        <v>10</v>
      </c>
      <c r="H1464" t="n">
        <v>1746</v>
      </c>
      <c r="I1464" t="n">
        <v>1635.43</v>
      </c>
      <c r="J1464" t="n">
        <v>2.43</v>
      </c>
      <c r="K1464" t="inlineStr">
        <is>
          <t>¼凯利</t>
        </is>
      </c>
    </row>
    <row r="1465">
      <c r="A1465" t="inlineStr">
        <is>
          <t>2023-01-20</t>
        </is>
      </c>
      <c r="B1465" t="inlineStr">
        <is>
          <t>沪铝</t>
        </is>
      </c>
      <c r="C1465" t="inlineStr">
        <is>
          <t>多</t>
        </is>
      </c>
      <c r="D1465" t="n">
        <v>3</v>
      </c>
      <c r="E1465" t="n">
        <v>6</v>
      </c>
      <c r="F1465" t="inlineStr">
        <is>
          <t>续持</t>
        </is>
      </c>
      <c r="G1465" t="n">
        <v>2</v>
      </c>
      <c r="H1465" t="n">
        <v>19465</v>
      </c>
      <c r="I1465" t="n">
        <v>18545.36</v>
      </c>
      <c r="J1465" t="n">
        <v>1</v>
      </c>
      <c r="K1465" t="inlineStr">
        <is>
          <t>续持原仓（2023-01-19开）</t>
        </is>
      </c>
    </row>
    <row r="1466">
      <c r="A1466" t="inlineStr">
        <is>
          <t>2023-01-20</t>
        </is>
      </c>
      <c r="B1466" t="inlineStr">
        <is>
          <t>棉花</t>
        </is>
      </c>
      <c r="C1466" t="inlineStr">
        <is>
          <t>多</t>
        </is>
      </c>
      <c r="D1466" t="n">
        <v>2</v>
      </c>
      <c r="E1466" t="n">
        <v>5</v>
      </c>
      <c r="F1466" t="inlineStr">
        <is>
          <t>续持</t>
        </is>
      </c>
      <c r="G1466" t="n">
        <v>7</v>
      </c>
      <c r="H1466" t="n">
        <v>14850</v>
      </c>
      <c r="I1466" t="n">
        <v>14354.64</v>
      </c>
      <c r="J1466" t="n">
        <v>2.7</v>
      </c>
      <c r="K1466" t="inlineStr">
        <is>
          <t>续持原仓（2023-01-06开）</t>
        </is>
      </c>
    </row>
    <row r="1467">
      <c r="A1467" t="inlineStr">
        <is>
          <t>2023-01-20</t>
        </is>
      </c>
      <c r="B1467" t="inlineStr">
        <is>
          <t>甲醇</t>
        </is>
      </c>
      <c r="C1467" t="inlineStr">
        <is>
          <t>多</t>
        </is>
      </c>
      <c r="D1467" t="n">
        <v>2</v>
      </c>
      <c r="E1467" t="n">
        <v>5</v>
      </c>
      <c r="F1467" t="inlineStr">
        <is>
          <t>影子仓</t>
        </is>
      </c>
      <c r="G1467" t="n">
        <v>6</v>
      </c>
      <c r="H1467" t="n">
        <v>2775</v>
      </c>
      <c r="I1467" t="n">
        <v>2624.36</v>
      </c>
      <c r="J1467" t="n">
        <v>1</v>
      </c>
      <c r="K1467" t="inlineStr">
        <is>
          <t>凯利≤0，开1%影子仓（只统计，不计入组合）</t>
        </is>
      </c>
    </row>
    <row r="1468">
      <c r="A1468" t="inlineStr">
        <is>
          <t>2023-01-30</t>
        </is>
      </c>
      <c r="B1468" t="inlineStr">
        <is>
          <t>沪金</t>
        </is>
      </c>
      <c r="C1468" t="inlineStr">
        <is>
          <t>多</t>
        </is>
      </c>
      <c r="D1468" t="n">
        <v>3</v>
      </c>
      <c r="E1468" t="n">
        <v>6</v>
      </c>
      <c r="F1468" t="inlineStr">
        <is>
          <t>续持</t>
        </is>
      </c>
      <c r="G1468" t="n">
        <v>1</v>
      </c>
      <c r="H1468" t="n">
        <v>422.68</v>
      </c>
      <c r="I1468" t="n">
        <v>413.81</v>
      </c>
      <c r="J1468" t="n">
        <v>1</v>
      </c>
      <c r="K1468" t="inlineStr">
        <is>
          <t>续持原仓（2023-01-12开）</t>
        </is>
      </c>
    </row>
    <row r="1469">
      <c r="A1469" t="inlineStr">
        <is>
          <t>2023-01-30</t>
        </is>
      </c>
      <c r="B1469" t="inlineStr">
        <is>
          <t>沪镍</t>
        </is>
      </c>
      <c r="C1469" t="inlineStr">
        <is>
          <t>多</t>
        </is>
      </c>
      <c r="D1469" t="n">
        <v>3</v>
      </c>
      <c r="E1469" t="n">
        <v>6</v>
      </c>
      <c r="F1469" t="inlineStr">
        <is>
          <t>不做</t>
        </is>
      </c>
      <c r="H1469" t="n">
        <v>219960</v>
      </c>
      <c r="J1469" t="n">
        <v>2.16</v>
      </c>
      <c r="K1469" t="inlineStr">
        <is>
          <t>1手风险24242元超过预算21600元</t>
        </is>
      </c>
    </row>
    <row r="1470">
      <c r="A1470" t="inlineStr">
        <is>
          <t>2023-01-30</t>
        </is>
      </c>
      <c r="B1470" t="inlineStr">
        <is>
          <t>热卷</t>
        </is>
      </c>
      <c r="C1470" t="inlineStr">
        <is>
          <t>多</t>
        </is>
      </c>
      <c r="D1470" t="n">
        <v>3</v>
      </c>
      <c r="E1470" t="n">
        <v>6</v>
      </c>
      <c r="F1470" t="inlineStr">
        <is>
          <t>开仓</t>
        </is>
      </c>
      <c r="G1470" t="n">
        <v>11</v>
      </c>
      <c r="H1470" t="n">
        <v>4225</v>
      </c>
      <c r="I1470" t="n">
        <v>4035.14</v>
      </c>
      <c r="J1470" t="n">
        <v>2.16</v>
      </c>
      <c r="K1470" t="inlineStr">
        <is>
          <t>¼凯利</t>
        </is>
      </c>
    </row>
    <row r="1471">
      <c r="A1471" t="inlineStr">
        <is>
          <t>2023-01-30</t>
        </is>
      </c>
      <c r="B1471" t="inlineStr">
        <is>
          <t>螺纹钢</t>
        </is>
      </c>
      <c r="C1471" t="inlineStr">
        <is>
          <t>多</t>
        </is>
      </c>
      <c r="D1471" t="n">
        <v>2</v>
      </c>
      <c r="E1471" t="n">
        <v>5</v>
      </c>
      <c r="F1471" t="inlineStr">
        <is>
          <t>影子仓</t>
        </is>
      </c>
      <c r="G1471" t="n">
        <v>4</v>
      </c>
      <c r="H1471" t="n">
        <v>4201</v>
      </c>
      <c r="I1471" t="n">
        <v>3992.5</v>
      </c>
      <c r="J1471" t="n">
        <v>1</v>
      </c>
      <c r="K1471" t="inlineStr">
        <is>
          <t>凯利≤0，开1%影子仓（只统计，不计入组合）</t>
        </is>
      </c>
    </row>
    <row r="1472">
      <c r="A1472" t="inlineStr">
        <is>
          <t>2023-01-31</t>
        </is>
      </c>
      <c r="B1472" t="inlineStr">
        <is>
          <t>纯碱</t>
        </is>
      </c>
      <c r="C1472" t="inlineStr">
        <is>
          <t>多</t>
        </is>
      </c>
      <c r="D1472" t="n">
        <v>3</v>
      </c>
      <c r="E1472" t="n">
        <v>6</v>
      </c>
      <c r="F1472" t="inlineStr">
        <is>
          <t>观望</t>
        </is>
      </c>
      <c r="G1472" t="n">
        <v>6</v>
      </c>
      <c r="H1472" t="n">
        <v>2987</v>
      </c>
      <c r="I1472" t="n">
        <v>2805.71</v>
      </c>
      <c r="J1472" t="n">
        <v>2.26</v>
      </c>
      <c r="K1472" t="inlineStr">
        <is>
          <t>逆5日线（收盘在5日线下，不追多）</t>
        </is>
      </c>
    </row>
    <row r="1473">
      <c r="A1473" t="inlineStr">
        <is>
          <t>2023-01-31</t>
        </is>
      </c>
      <c r="B1473" t="inlineStr">
        <is>
          <t>棉花</t>
        </is>
      </c>
      <c r="C1473" t="inlineStr">
        <is>
          <t>多</t>
        </is>
      </c>
      <c r="D1473" t="n">
        <v>3</v>
      </c>
      <c r="E1473" t="n">
        <v>6</v>
      </c>
      <c r="F1473" t="inlineStr">
        <is>
          <t>续持</t>
        </is>
      </c>
      <c r="G1473" t="n">
        <v>7</v>
      </c>
      <c r="H1473" t="n">
        <v>15100</v>
      </c>
      <c r="I1473" t="n">
        <v>14605.71</v>
      </c>
      <c r="J1473" t="n">
        <v>2.7</v>
      </c>
      <c r="K1473" t="inlineStr">
        <is>
          <t>续持原仓（2023-01-06开）</t>
        </is>
      </c>
    </row>
    <row r="1474">
      <c r="A1474" t="inlineStr">
        <is>
          <t>2023-01-31</t>
        </is>
      </c>
      <c r="B1474" t="inlineStr">
        <is>
          <t>沪镍</t>
        </is>
      </c>
      <c r="C1474" t="inlineStr">
        <is>
          <t>多</t>
        </is>
      </c>
      <c r="D1474" t="n">
        <v>3</v>
      </c>
      <c r="E1474" t="n">
        <v>6</v>
      </c>
      <c r="F1474" t="inlineStr">
        <is>
          <t>不做</t>
        </is>
      </c>
      <c r="H1474" t="n">
        <v>222540</v>
      </c>
      <c r="J1474" t="n">
        <v>2.26</v>
      </c>
      <c r="K1474" t="inlineStr">
        <is>
          <t>1手风险24000元超过预算22600元</t>
        </is>
      </c>
    </row>
    <row r="1475">
      <c r="A1475" t="inlineStr">
        <is>
          <t>2023-02-01</t>
        </is>
      </c>
      <c r="B1475" t="inlineStr">
        <is>
          <t>纯碱</t>
        </is>
      </c>
      <c r="C1475" t="inlineStr">
        <is>
          <t>多</t>
        </is>
      </c>
      <c r="D1475" t="n">
        <v>3</v>
      </c>
      <c r="E1475" t="n">
        <v>6</v>
      </c>
      <c r="F1475" t="inlineStr">
        <is>
          <t>开仓</t>
        </is>
      </c>
      <c r="G1475" t="n">
        <v>6</v>
      </c>
      <c r="H1475" t="n">
        <v>3012</v>
      </c>
      <c r="I1475" t="n">
        <v>2824.5</v>
      </c>
      <c r="J1475" t="n">
        <v>2.26</v>
      </c>
      <c r="K1475" t="inlineStr">
        <is>
          <t>¼凯利</t>
        </is>
      </c>
    </row>
    <row r="1476">
      <c r="A1476" t="inlineStr">
        <is>
          <t>2023-02-01</t>
        </is>
      </c>
      <c r="B1476" t="inlineStr">
        <is>
          <t>沪金</t>
        </is>
      </c>
      <c r="C1476" t="inlineStr">
        <is>
          <t>多</t>
        </is>
      </c>
      <c r="D1476" t="n">
        <v>3</v>
      </c>
      <c r="E1476" t="n">
        <v>6</v>
      </c>
      <c r="F1476" t="inlineStr">
        <is>
          <t>开仓</t>
        </is>
      </c>
      <c r="G1476" t="n">
        <v>2</v>
      </c>
      <c r="H1476" t="n">
        <v>421.58</v>
      </c>
      <c r="I1476" t="n">
        <v>410.78</v>
      </c>
      <c r="J1476" t="n">
        <v>2.26</v>
      </c>
      <c r="K1476" t="inlineStr">
        <is>
          <t>¼凯利</t>
        </is>
      </c>
    </row>
    <row r="1477">
      <c r="A1477" t="inlineStr">
        <is>
          <t>2023-02-01</t>
        </is>
      </c>
      <c r="B1477" t="inlineStr">
        <is>
          <t>沪镍</t>
        </is>
      </c>
      <c r="C1477" t="inlineStr">
        <is>
          <t>多</t>
        </is>
      </c>
      <c r="D1477" t="n">
        <v>3</v>
      </c>
      <c r="E1477" t="n">
        <v>6</v>
      </c>
      <c r="F1477" t="inlineStr">
        <is>
          <t>不做</t>
        </is>
      </c>
      <c r="H1477" t="n">
        <v>225410</v>
      </c>
      <c r="J1477" t="n">
        <v>0.62</v>
      </c>
      <c r="K1477" t="inlineStr">
        <is>
          <t>1手风险23160元超过预算6200元</t>
        </is>
      </c>
    </row>
    <row r="1478">
      <c r="A1478" t="inlineStr">
        <is>
          <t>2023-02-01</t>
        </is>
      </c>
      <c r="B1478" t="inlineStr">
        <is>
          <t>棉花</t>
        </is>
      </c>
      <c r="C1478" t="inlineStr">
        <is>
          <t>多</t>
        </is>
      </c>
      <c r="D1478" t="n">
        <v>3</v>
      </c>
      <c r="E1478" t="n">
        <v>6</v>
      </c>
      <c r="F1478" t="inlineStr">
        <is>
          <t>续持</t>
        </is>
      </c>
      <c r="G1478" t="n">
        <v>7</v>
      </c>
      <c r="H1478" t="n">
        <v>15190</v>
      </c>
      <c r="I1478" t="n">
        <v>14648.21</v>
      </c>
      <c r="J1478" t="n">
        <v>2.7</v>
      </c>
      <c r="K1478" t="inlineStr">
        <is>
          <t>续持原仓（2023-01-06开）</t>
        </is>
      </c>
    </row>
    <row r="1479">
      <c r="A1479" t="inlineStr">
        <is>
          <t>2023-02-01</t>
        </is>
      </c>
      <c r="B1479" t="inlineStr">
        <is>
          <t>沪锌</t>
        </is>
      </c>
      <c r="C1479" t="inlineStr">
        <is>
          <t>多</t>
        </is>
      </c>
      <c r="D1479" t="n">
        <v>3</v>
      </c>
      <c r="E1479" t="n">
        <v>6</v>
      </c>
      <c r="F1479" t="inlineStr">
        <is>
          <t>不做</t>
        </is>
      </c>
      <c r="H1479" t="n">
        <v>24440</v>
      </c>
      <c r="J1479" t="n">
        <v>0.62</v>
      </c>
      <c r="K1479" t="inlineStr">
        <is>
          <t>1手风险6375元超过预算6200元</t>
        </is>
      </c>
    </row>
    <row r="1480">
      <c r="A1480" t="inlineStr">
        <is>
          <t>2023-02-02</t>
        </is>
      </c>
      <c r="B1480" t="inlineStr">
        <is>
          <t>沪金</t>
        </is>
      </c>
      <c r="C1480" t="inlineStr">
        <is>
          <t>多</t>
        </is>
      </c>
      <c r="D1480" t="n">
        <v>3</v>
      </c>
      <c r="E1480" t="n">
        <v>6</v>
      </c>
      <c r="F1480" t="inlineStr">
        <is>
          <t>续持</t>
        </is>
      </c>
      <c r="G1480" t="n">
        <v>2</v>
      </c>
      <c r="H1480" t="n">
        <v>424.86</v>
      </c>
      <c r="I1480" t="n">
        <v>414.68</v>
      </c>
      <c r="J1480" t="n">
        <v>2.26</v>
      </c>
      <c r="K1480" t="inlineStr">
        <is>
          <t>续持原仓（2023-02-01开）</t>
        </is>
      </c>
    </row>
    <row r="1481">
      <c r="A1481" t="inlineStr">
        <is>
          <t>2023-02-03</t>
        </is>
      </c>
      <c r="B1481" t="inlineStr">
        <is>
          <t>纯碱</t>
        </is>
      </c>
      <c r="C1481" t="inlineStr">
        <is>
          <t>多</t>
        </is>
      </c>
      <c r="D1481" t="n">
        <v>3</v>
      </c>
      <c r="E1481" t="n">
        <v>7</v>
      </c>
      <c r="F1481" t="inlineStr">
        <is>
          <t>开仓</t>
        </is>
      </c>
      <c r="G1481" t="n">
        <v>5</v>
      </c>
      <c r="H1481" t="n">
        <v>2994</v>
      </c>
      <c r="I1481" t="n">
        <v>2799.43</v>
      </c>
      <c r="J1481" t="n">
        <v>2.09</v>
      </c>
      <c r="K1481" t="inlineStr">
        <is>
          <t>¼凯利</t>
        </is>
      </c>
    </row>
    <row r="1482">
      <c r="A1482" t="inlineStr">
        <is>
          <t>2023-02-03</t>
        </is>
      </c>
      <c r="B1482" t="inlineStr">
        <is>
          <t>沪铝</t>
        </is>
      </c>
      <c r="C1482" t="inlineStr">
        <is>
          <t>多</t>
        </is>
      </c>
      <c r="D1482" t="n">
        <v>2</v>
      </c>
      <c r="E1482" t="n">
        <v>5</v>
      </c>
      <c r="F1482" t="inlineStr">
        <is>
          <t>续持</t>
        </is>
      </c>
      <c r="G1482" t="n">
        <v>2</v>
      </c>
      <c r="H1482" t="n">
        <v>19095</v>
      </c>
      <c r="I1482" t="n">
        <v>18564.64</v>
      </c>
      <c r="J1482" t="n">
        <v>1</v>
      </c>
      <c r="K1482" t="inlineStr">
        <is>
          <t>续持原仓（2023-01-19开）</t>
        </is>
      </c>
    </row>
    <row r="1483">
      <c r="A1483" t="inlineStr">
        <is>
          <t>2023-02-07</t>
        </is>
      </c>
      <c r="B1483" t="inlineStr">
        <is>
          <t>PTA</t>
        </is>
      </c>
      <c r="C1483" t="inlineStr">
        <is>
          <t>多</t>
        </is>
      </c>
      <c r="D1483" t="n">
        <v>2</v>
      </c>
      <c r="E1483" t="n">
        <v>5</v>
      </c>
      <c r="F1483" t="inlineStr">
        <is>
          <t>观望</t>
        </is>
      </c>
      <c r="G1483" t="n">
        <v>5</v>
      </c>
      <c r="H1483" t="n">
        <v>5666</v>
      </c>
      <c r="I1483" t="n">
        <v>5268.71</v>
      </c>
      <c r="J1483" t="n">
        <v>1</v>
      </c>
      <c r="K1483" t="inlineStr">
        <is>
          <t>逆5日线（收盘在5日线下，不追多）</t>
        </is>
      </c>
    </row>
    <row r="1484">
      <c r="A1484" t="inlineStr">
        <is>
          <t>2023-02-07</t>
        </is>
      </c>
      <c r="B1484" t="inlineStr">
        <is>
          <t>玻璃</t>
        </is>
      </c>
      <c r="C1484" t="inlineStr">
        <is>
          <t>空</t>
        </is>
      </c>
      <c r="D1484" t="n">
        <v>2</v>
      </c>
      <c r="E1484" t="n">
        <v>5</v>
      </c>
      <c r="F1484" t="inlineStr">
        <is>
          <t>影子仓</t>
        </is>
      </c>
      <c r="G1484" t="n">
        <v>3</v>
      </c>
      <c r="H1484" t="n">
        <v>1540</v>
      </c>
      <c r="I1484" t="n">
        <v>1675.64</v>
      </c>
      <c r="J1484" t="n">
        <v>1</v>
      </c>
      <c r="K1484" t="inlineStr">
        <is>
          <t>凯利≤0，开1%影子仓（只统计，不计入组合）</t>
        </is>
      </c>
    </row>
    <row r="1485">
      <c r="A1485" t="inlineStr">
        <is>
          <t>2023-02-07</t>
        </is>
      </c>
      <c r="B1485" t="inlineStr">
        <is>
          <t>白糖</t>
        </is>
      </c>
      <c r="C1485" t="inlineStr">
        <is>
          <t>空</t>
        </is>
      </c>
      <c r="D1485" t="n">
        <v>2</v>
      </c>
      <c r="E1485" t="n">
        <v>4</v>
      </c>
      <c r="F1485" t="inlineStr">
        <is>
          <t>影子仓</t>
        </is>
      </c>
      <c r="G1485" t="n">
        <v>5</v>
      </c>
      <c r="H1485" t="n">
        <v>5889</v>
      </c>
      <c r="I1485" t="n">
        <v>6057.86</v>
      </c>
      <c r="J1485" t="n">
        <v>1</v>
      </c>
      <c r="K1485" t="inlineStr">
        <is>
          <t>凯利≤0，开1%影子仓（只统计，不计入组合）</t>
        </is>
      </c>
    </row>
    <row r="1486">
      <c r="A1486" t="inlineStr">
        <is>
          <t>2023-02-08</t>
        </is>
      </c>
      <c r="B1486" t="inlineStr">
        <is>
          <t>玻璃</t>
        </is>
      </c>
      <c r="C1486" t="inlineStr">
        <is>
          <t>空</t>
        </is>
      </c>
      <c r="D1486" t="n">
        <v>2</v>
      </c>
      <c r="E1486" t="n">
        <v>4</v>
      </c>
      <c r="F1486" t="inlineStr">
        <is>
          <t>续持</t>
        </is>
      </c>
      <c r="G1486" t="n">
        <v>3</v>
      </c>
      <c r="H1486" t="n">
        <v>1531</v>
      </c>
      <c r="I1486" t="n">
        <v>1651.43</v>
      </c>
      <c r="J1486" t="n">
        <v>1</v>
      </c>
      <c r="K1486" t="inlineStr">
        <is>
          <t>续持原仓（2023-02-07开）</t>
        </is>
      </c>
    </row>
    <row r="1487">
      <c r="A1487" t="inlineStr">
        <is>
          <t>2023-02-08</t>
        </is>
      </c>
      <c r="B1487" t="inlineStr">
        <is>
          <t>甲醇</t>
        </is>
      </c>
      <c r="C1487" t="inlineStr">
        <is>
          <t>空</t>
        </is>
      </c>
      <c r="D1487" t="n">
        <v>2</v>
      </c>
      <c r="E1487" t="n">
        <v>4</v>
      </c>
      <c r="F1487" t="inlineStr">
        <is>
          <t>影子仓</t>
        </is>
      </c>
      <c r="G1487" t="n">
        <v>5</v>
      </c>
      <c r="H1487" t="n">
        <v>2645</v>
      </c>
      <c r="I1487" t="n">
        <v>2814.71</v>
      </c>
      <c r="J1487" t="n">
        <v>1</v>
      </c>
      <c r="K1487" t="inlineStr">
        <is>
          <t>凯利≤0，开1%影子仓（只统计，不计入组合）</t>
        </is>
      </c>
    </row>
    <row r="1488">
      <c r="A1488" t="inlineStr">
        <is>
          <t>2023-02-09</t>
        </is>
      </c>
      <c r="B1488" t="inlineStr">
        <is>
          <t>沪锌</t>
        </is>
      </c>
      <c r="C1488" t="inlineStr">
        <is>
          <t>空</t>
        </is>
      </c>
      <c r="D1488" t="n">
        <v>3</v>
      </c>
      <c r="E1488" t="n">
        <v>6</v>
      </c>
      <c r="F1488" t="inlineStr">
        <is>
          <t>开仓</t>
        </is>
      </c>
      <c r="G1488" t="n">
        <v>3</v>
      </c>
      <c r="H1488" t="n">
        <v>23280</v>
      </c>
      <c r="I1488" t="n">
        <v>24555</v>
      </c>
      <c r="J1488" t="n">
        <v>2.05</v>
      </c>
      <c r="K1488" t="inlineStr">
        <is>
          <t>¼凯利</t>
        </is>
      </c>
    </row>
    <row r="1489">
      <c r="A1489" t="inlineStr">
        <is>
          <t>2023-02-09</t>
        </is>
      </c>
      <c r="B1489" t="inlineStr">
        <is>
          <t>玻璃</t>
        </is>
      </c>
      <c r="C1489" t="inlineStr">
        <is>
          <t>空</t>
        </is>
      </c>
      <c r="D1489" t="n">
        <v>2</v>
      </c>
      <c r="E1489" t="n">
        <v>4</v>
      </c>
      <c r="F1489" t="inlineStr">
        <is>
          <t>续持</t>
        </is>
      </c>
      <c r="G1489" t="n">
        <v>3</v>
      </c>
      <c r="H1489" t="n">
        <v>1529</v>
      </c>
      <c r="I1489" t="n">
        <v>1644.57</v>
      </c>
      <c r="J1489" t="n">
        <v>1</v>
      </c>
      <c r="K1489" t="inlineStr">
        <is>
          <t>续持原仓（2023-02-07开）</t>
        </is>
      </c>
    </row>
    <row r="1490">
      <c r="A1490" t="inlineStr">
        <is>
          <t>2023-02-10</t>
        </is>
      </c>
      <c r="B1490" t="inlineStr">
        <is>
          <t>玻璃</t>
        </is>
      </c>
      <c r="C1490" t="inlineStr">
        <is>
          <t>空</t>
        </is>
      </c>
      <c r="D1490" t="n">
        <v>2</v>
      </c>
      <c r="E1490" t="n">
        <v>5</v>
      </c>
      <c r="F1490" t="inlineStr">
        <is>
          <t>续持</t>
        </is>
      </c>
      <c r="G1490" t="n">
        <v>3</v>
      </c>
      <c r="H1490" t="n">
        <v>1539</v>
      </c>
      <c r="I1490" t="n">
        <v>1632.57</v>
      </c>
      <c r="J1490" t="n">
        <v>1</v>
      </c>
      <c r="K1490" t="inlineStr">
        <is>
          <t>续持原仓（2023-02-07开）</t>
        </is>
      </c>
    </row>
    <row r="1491">
      <c r="A1491" t="inlineStr">
        <is>
          <t>2023-02-10</t>
        </is>
      </c>
      <c r="B1491" t="inlineStr">
        <is>
          <t>甲醇</t>
        </is>
      </c>
      <c r="C1491" t="inlineStr">
        <is>
          <t>空</t>
        </is>
      </c>
      <c r="D1491" t="n">
        <v>2</v>
      </c>
      <c r="E1491" t="n">
        <v>4</v>
      </c>
      <c r="F1491" t="inlineStr">
        <is>
          <t>续持</t>
        </is>
      </c>
      <c r="G1491" t="n">
        <v>5</v>
      </c>
      <c r="H1491" t="n">
        <v>2598</v>
      </c>
      <c r="I1491" t="n">
        <v>2751.14</v>
      </c>
      <c r="J1491" t="n">
        <v>1</v>
      </c>
      <c r="K1491" t="inlineStr">
        <is>
          <t>续持原仓（2023-02-08开）</t>
        </is>
      </c>
    </row>
    <row r="1492">
      <c r="A1492" t="inlineStr">
        <is>
          <t>2023-02-13</t>
        </is>
      </c>
      <c r="B1492" t="inlineStr">
        <is>
          <t>沪锌</t>
        </is>
      </c>
      <c r="C1492" t="inlineStr">
        <is>
          <t>空</t>
        </is>
      </c>
      <c r="D1492" t="n">
        <v>3</v>
      </c>
      <c r="E1492" t="n">
        <v>7</v>
      </c>
      <c r="F1492" t="inlineStr">
        <is>
          <t>续持</t>
        </is>
      </c>
      <c r="G1492" t="n">
        <v>3</v>
      </c>
      <c r="H1492" t="n">
        <v>22960</v>
      </c>
      <c r="I1492" t="n">
        <v>24232.5</v>
      </c>
      <c r="J1492" t="n">
        <v>2.05</v>
      </c>
      <c r="K1492" t="inlineStr">
        <is>
          <t>续持原仓（2023-02-09开）</t>
        </is>
      </c>
    </row>
    <row r="1493">
      <c r="A1493" t="inlineStr">
        <is>
          <t>2023-02-13</t>
        </is>
      </c>
      <c r="B1493" t="inlineStr">
        <is>
          <t>沪银</t>
        </is>
      </c>
      <c r="C1493" t="inlineStr">
        <is>
          <t>空</t>
        </is>
      </c>
      <c r="D1493" t="n">
        <v>2</v>
      </c>
      <c r="E1493" t="n">
        <v>4</v>
      </c>
      <c r="F1493" t="inlineStr">
        <is>
          <t>影子仓</t>
        </is>
      </c>
      <c r="G1493" t="n">
        <v>1</v>
      </c>
      <c r="H1493" t="n">
        <v>4939</v>
      </c>
      <c r="I1493" t="n">
        <v>5305.21</v>
      </c>
      <c r="J1493" t="n">
        <v>1</v>
      </c>
      <c r="K1493" t="inlineStr">
        <is>
          <t>凯利≤0，开1%影子仓（只统计，不计入组合）</t>
        </is>
      </c>
    </row>
    <row r="1494">
      <c r="A1494" t="inlineStr">
        <is>
          <t>2023-02-13</t>
        </is>
      </c>
      <c r="B1494" t="inlineStr">
        <is>
          <t>甲醇</t>
        </is>
      </c>
      <c r="C1494" t="inlineStr">
        <is>
          <t>空</t>
        </is>
      </c>
      <c r="D1494" t="n">
        <v>2</v>
      </c>
      <c r="E1494" t="n">
        <v>4</v>
      </c>
      <c r="F1494" t="inlineStr">
        <is>
          <t>续持</t>
        </is>
      </c>
      <c r="G1494" t="n">
        <v>5</v>
      </c>
      <c r="H1494" t="n">
        <v>2553</v>
      </c>
      <c r="I1494" t="n">
        <v>2712.07</v>
      </c>
      <c r="J1494" t="n">
        <v>1</v>
      </c>
      <c r="K1494" t="inlineStr">
        <is>
          <t>续持原仓（2023-02-08开）</t>
        </is>
      </c>
    </row>
    <row r="1495">
      <c r="A1495" t="inlineStr">
        <is>
          <t>2023-02-14</t>
        </is>
      </c>
      <c r="B1495" t="inlineStr">
        <is>
          <t>沪银</t>
        </is>
      </c>
      <c r="C1495" t="inlineStr">
        <is>
          <t>空</t>
        </is>
      </c>
      <c r="D1495" t="n">
        <v>2</v>
      </c>
      <c r="E1495" t="n">
        <v>4</v>
      </c>
      <c r="F1495" t="inlineStr">
        <is>
          <t>续持</t>
        </is>
      </c>
      <c r="G1495" t="n">
        <v>1</v>
      </c>
      <c r="H1495" t="n">
        <v>4953</v>
      </c>
      <c r="I1495" t="n">
        <v>5276.64</v>
      </c>
      <c r="J1495" t="n">
        <v>1</v>
      </c>
      <c r="K1495" t="inlineStr">
        <is>
          <t>续持原仓（2023-02-13开）</t>
        </is>
      </c>
    </row>
    <row r="1496">
      <c r="A1496" t="inlineStr">
        <is>
          <t>2023-02-15</t>
        </is>
      </c>
      <c r="B1496" t="inlineStr">
        <is>
          <t>铁矿石</t>
        </is>
      </c>
      <c r="C1496" t="inlineStr">
        <is>
          <t>多</t>
        </is>
      </c>
      <c r="D1496" t="n">
        <v>3</v>
      </c>
      <c r="E1496" t="n">
        <v>6</v>
      </c>
      <c r="F1496" t="inlineStr">
        <is>
          <t>续持</t>
        </is>
      </c>
      <c r="G1496" t="n">
        <v>1</v>
      </c>
      <c r="H1496" t="n">
        <v>865.5</v>
      </c>
      <c r="I1496" t="n">
        <v>830.4299999999999</v>
      </c>
      <c r="J1496" t="n">
        <v>1</v>
      </c>
      <c r="K1496" t="inlineStr">
        <is>
          <t>续持原仓（2022-12-28开）</t>
        </is>
      </c>
    </row>
    <row r="1497">
      <c r="A1497" t="inlineStr">
        <is>
          <t>2023-02-15</t>
        </is>
      </c>
      <c r="B1497" t="inlineStr">
        <is>
          <t>沪银</t>
        </is>
      </c>
      <c r="C1497" t="inlineStr">
        <is>
          <t>空</t>
        </is>
      </c>
      <c r="D1497" t="n">
        <v>3</v>
      </c>
      <c r="E1497" t="n">
        <v>6</v>
      </c>
      <c r="F1497" t="inlineStr">
        <is>
          <t>续持</t>
        </is>
      </c>
      <c r="G1497" t="n">
        <v>1</v>
      </c>
      <c r="H1497" t="n">
        <v>4912</v>
      </c>
      <c r="I1497" t="n">
        <v>5225.93</v>
      </c>
      <c r="J1497" t="n">
        <v>1</v>
      </c>
      <c r="K1497" t="inlineStr">
        <is>
          <t>续持原仓（2023-02-13开）</t>
        </is>
      </c>
    </row>
    <row r="1498">
      <c r="A1498" t="inlineStr">
        <is>
          <t>2023-02-15</t>
        </is>
      </c>
      <c r="B1498" t="inlineStr">
        <is>
          <t>沪铝</t>
        </is>
      </c>
      <c r="C1498" t="inlineStr">
        <is>
          <t>空</t>
        </is>
      </c>
      <c r="D1498" t="n">
        <v>2</v>
      </c>
      <c r="E1498" t="n">
        <v>5</v>
      </c>
      <c r="F1498" t="inlineStr">
        <is>
          <t>影子仓</t>
        </is>
      </c>
      <c r="G1498" t="n">
        <v>2</v>
      </c>
      <c r="H1498" t="n">
        <v>18315</v>
      </c>
      <c r="I1498" t="n">
        <v>19297.5</v>
      </c>
      <c r="J1498" t="n">
        <v>1</v>
      </c>
      <c r="K1498" t="inlineStr">
        <is>
          <t>凯利≤0，开1%影子仓（只统计，不计入组合）</t>
        </is>
      </c>
    </row>
    <row r="1499">
      <c r="A1499" t="inlineStr">
        <is>
          <t>2023-02-15</t>
        </is>
      </c>
      <c r="B1499" t="inlineStr">
        <is>
          <t>甲醇</t>
        </is>
      </c>
      <c r="C1499" t="inlineStr">
        <is>
          <t>空</t>
        </is>
      </c>
      <c r="D1499" t="n">
        <v>2</v>
      </c>
      <c r="E1499" t="n">
        <v>4</v>
      </c>
      <c r="F1499" t="inlineStr">
        <is>
          <t>续持</t>
        </is>
      </c>
      <c r="G1499" t="n">
        <v>5</v>
      </c>
      <c r="H1499" t="n">
        <v>2554</v>
      </c>
      <c r="I1499" t="n">
        <v>2698.43</v>
      </c>
      <c r="J1499" t="n">
        <v>1</v>
      </c>
      <c r="K1499" t="inlineStr">
        <is>
          <t>续持原仓（2023-02-08开）</t>
        </is>
      </c>
    </row>
    <row r="1500">
      <c r="A1500" t="inlineStr">
        <is>
          <t>2023-02-16</t>
        </is>
      </c>
      <c r="B1500" t="inlineStr">
        <is>
          <t>豆油</t>
        </is>
      </c>
      <c r="C1500" t="inlineStr">
        <is>
          <t>多</t>
        </is>
      </c>
      <c r="D1500" t="n">
        <v>3</v>
      </c>
      <c r="E1500" t="n">
        <v>6</v>
      </c>
      <c r="F1500" t="inlineStr">
        <is>
          <t>开仓</t>
        </is>
      </c>
      <c r="G1500" t="n">
        <v>4</v>
      </c>
      <c r="H1500" t="n">
        <v>8738</v>
      </c>
      <c r="I1500" t="n">
        <v>8278.57</v>
      </c>
      <c r="J1500" t="n">
        <v>2.05</v>
      </c>
      <c r="K1500" t="inlineStr">
        <is>
          <t>¼凯利</t>
        </is>
      </c>
    </row>
    <row r="1501">
      <c r="A1501" t="inlineStr">
        <is>
          <t>2023-02-16</t>
        </is>
      </c>
      <c r="B1501" t="inlineStr">
        <is>
          <t>铁矿石</t>
        </is>
      </c>
      <c r="C1501" t="inlineStr">
        <is>
          <t>多</t>
        </is>
      </c>
      <c r="D1501" t="n">
        <v>2</v>
      </c>
      <c r="E1501" t="n">
        <v>5</v>
      </c>
      <c r="F1501" t="inlineStr">
        <is>
          <t>续持</t>
        </is>
      </c>
      <c r="G1501" t="n">
        <v>1</v>
      </c>
      <c r="H1501" t="n">
        <v>880</v>
      </c>
      <c r="I1501" t="n">
        <v>830.4299999999999</v>
      </c>
      <c r="J1501" t="n">
        <v>1</v>
      </c>
      <c r="K1501" t="inlineStr">
        <is>
          <t>续持原仓（2022-12-28开）</t>
        </is>
      </c>
    </row>
    <row r="1502">
      <c r="A1502" t="inlineStr">
        <is>
          <t>2023-02-17</t>
        </is>
      </c>
      <c r="B1502" t="inlineStr">
        <is>
          <t>豆油</t>
        </is>
      </c>
      <c r="C1502" t="inlineStr">
        <is>
          <t>多</t>
        </is>
      </c>
      <c r="D1502" t="n">
        <v>3</v>
      </c>
      <c r="E1502" t="n">
        <v>6</v>
      </c>
      <c r="F1502" t="inlineStr">
        <is>
          <t>续持</t>
        </is>
      </c>
      <c r="G1502" t="n">
        <v>4</v>
      </c>
      <c r="H1502" t="n">
        <v>8888</v>
      </c>
      <c r="I1502" t="n">
        <v>8445.43</v>
      </c>
      <c r="J1502" t="n">
        <v>2.05</v>
      </c>
      <c r="K1502" t="inlineStr">
        <is>
          <t>续持原仓（2023-02-16开）</t>
        </is>
      </c>
    </row>
    <row r="1503">
      <c r="A1503" t="inlineStr">
        <is>
          <t>2023-02-17</t>
        </is>
      </c>
      <c r="B1503" t="inlineStr">
        <is>
          <t>塑料</t>
        </is>
      </c>
      <c r="C1503" t="inlineStr">
        <is>
          <t>多</t>
        </is>
      </c>
      <c r="D1503" t="n">
        <v>3</v>
      </c>
      <c r="E1503" t="n">
        <v>6</v>
      </c>
      <c r="F1503" t="inlineStr">
        <is>
          <t>开仓</t>
        </is>
      </c>
      <c r="G1503" t="n">
        <v>14</v>
      </c>
      <c r="H1503" t="n">
        <v>8220</v>
      </c>
      <c r="I1503" t="n">
        <v>7911.64</v>
      </c>
      <c r="J1503" t="n">
        <v>2.18</v>
      </c>
      <c r="K1503" t="inlineStr">
        <is>
          <t>¼凯利</t>
        </is>
      </c>
    </row>
    <row r="1504">
      <c r="A1504" t="inlineStr">
        <is>
          <t>2023-02-17</t>
        </is>
      </c>
      <c r="B1504" t="inlineStr">
        <is>
          <t>沪银</t>
        </is>
      </c>
      <c r="C1504" t="inlineStr">
        <is>
          <t>空</t>
        </is>
      </c>
      <c r="D1504" t="n">
        <v>3</v>
      </c>
      <c r="E1504" t="n">
        <v>6</v>
      </c>
      <c r="F1504" t="inlineStr">
        <is>
          <t>续持</t>
        </is>
      </c>
      <c r="G1504" t="n">
        <v>1</v>
      </c>
      <c r="H1504" t="n">
        <v>4879</v>
      </c>
      <c r="I1504" t="n">
        <v>5166.79</v>
      </c>
      <c r="J1504" t="n">
        <v>1</v>
      </c>
      <c r="K1504" t="inlineStr">
        <is>
          <t>续持原仓（2023-02-13开）</t>
        </is>
      </c>
    </row>
    <row r="1505">
      <c r="A1505" t="inlineStr">
        <is>
          <t>2023-02-17</t>
        </is>
      </c>
      <c r="B1505" t="inlineStr">
        <is>
          <t>甲醇</t>
        </is>
      </c>
      <c r="C1505" t="inlineStr">
        <is>
          <t>空</t>
        </is>
      </c>
      <c r="D1505" t="n">
        <v>3</v>
      </c>
      <c r="E1505" t="n">
        <v>6</v>
      </c>
      <c r="F1505" t="inlineStr">
        <is>
          <t>续持</t>
        </is>
      </c>
      <c r="G1505" t="n">
        <v>5</v>
      </c>
      <c r="H1505" t="n">
        <v>2560</v>
      </c>
      <c r="I1505" t="n">
        <v>2682.57</v>
      </c>
      <c r="J1505" t="n">
        <v>1</v>
      </c>
      <c r="K1505" t="inlineStr">
        <is>
          <t>续持原仓（2023-02-08开）</t>
        </is>
      </c>
    </row>
    <row r="1506">
      <c r="A1506" t="inlineStr">
        <is>
          <t>2023-02-17</t>
        </is>
      </c>
      <c r="B1506" t="inlineStr">
        <is>
          <t>沪锌</t>
        </is>
      </c>
      <c r="C1506" t="inlineStr">
        <is>
          <t>空</t>
        </is>
      </c>
      <c r="D1506" t="n">
        <v>2</v>
      </c>
      <c r="E1506" t="n">
        <v>5</v>
      </c>
      <c r="F1506" t="inlineStr">
        <is>
          <t>续持</t>
        </is>
      </c>
      <c r="G1506" t="n">
        <v>3</v>
      </c>
      <c r="H1506" t="n">
        <v>22865</v>
      </c>
      <c r="I1506" t="n">
        <v>23818.21</v>
      </c>
      <c r="J1506" t="n">
        <v>2.05</v>
      </c>
      <c r="K1506" t="inlineStr">
        <is>
          <t>续持原仓（2023-02-09开）</t>
        </is>
      </c>
    </row>
    <row r="1507">
      <c r="A1507" t="inlineStr">
        <is>
          <t>2023-02-17</t>
        </is>
      </c>
      <c r="B1507" t="inlineStr">
        <is>
          <t>玻璃</t>
        </is>
      </c>
      <c r="C1507" t="inlineStr">
        <is>
          <t>空</t>
        </is>
      </c>
      <c r="D1507" t="n">
        <v>2</v>
      </c>
      <c r="E1507" t="n">
        <v>5</v>
      </c>
      <c r="F1507" t="inlineStr">
        <is>
          <t>影子仓</t>
        </is>
      </c>
      <c r="G1507" t="n">
        <v>4</v>
      </c>
      <c r="H1507" t="n">
        <v>1526</v>
      </c>
      <c r="I1507" t="n">
        <v>1626.71</v>
      </c>
      <c r="J1507" t="n">
        <v>1</v>
      </c>
      <c r="K1507" t="inlineStr">
        <is>
          <t>凯利≤0，开1%影子仓（只统计，不计入组合）</t>
        </is>
      </c>
    </row>
    <row r="1508">
      <c r="A1508" t="inlineStr">
        <is>
          <t>2023-02-17</t>
        </is>
      </c>
      <c r="B1508" t="inlineStr">
        <is>
          <t>沪铝</t>
        </is>
      </c>
      <c r="C1508" t="inlineStr">
        <is>
          <t>空</t>
        </is>
      </c>
      <c r="D1508" t="n">
        <v>2</v>
      </c>
      <c r="E1508" t="n">
        <v>4</v>
      </c>
      <c r="F1508" t="inlineStr">
        <is>
          <t>观望</t>
        </is>
      </c>
      <c r="G1508" t="n">
        <v>2</v>
      </c>
      <c r="H1508" t="n">
        <v>18530</v>
      </c>
      <c r="I1508" t="n">
        <v>19361.43</v>
      </c>
      <c r="J1508" t="n">
        <v>1</v>
      </c>
      <c r="K1508" t="inlineStr">
        <is>
          <t>逆5日线（收盘在5日线上，不追空）</t>
        </is>
      </c>
    </row>
    <row r="1509">
      <c r="A1509" t="inlineStr">
        <is>
          <t>2023-02-20</t>
        </is>
      </c>
      <c r="B1509" t="inlineStr">
        <is>
          <t>铁矿石</t>
        </is>
      </c>
      <c r="C1509" t="inlineStr">
        <is>
          <t>多</t>
        </is>
      </c>
      <c r="D1509" t="n">
        <v>3</v>
      </c>
      <c r="E1509" t="n">
        <v>7</v>
      </c>
      <c r="F1509" t="inlineStr">
        <is>
          <t>开仓</t>
        </is>
      </c>
      <c r="G1509" t="n">
        <v>3</v>
      </c>
      <c r="H1509" t="n">
        <v>894</v>
      </c>
      <c r="I1509" t="n">
        <v>831</v>
      </c>
      <c r="J1509" t="n">
        <v>2.28</v>
      </c>
      <c r="K1509" t="inlineStr">
        <is>
          <t>¼凯利</t>
        </is>
      </c>
    </row>
    <row r="1510">
      <c r="A1510" t="inlineStr">
        <is>
          <t>2023-02-20</t>
        </is>
      </c>
      <c r="B1510" t="inlineStr">
        <is>
          <t>塑料</t>
        </is>
      </c>
      <c r="C1510" t="inlineStr">
        <is>
          <t>多</t>
        </is>
      </c>
      <c r="D1510" t="n">
        <v>3</v>
      </c>
      <c r="E1510" t="n">
        <v>6</v>
      </c>
      <c r="F1510" t="inlineStr">
        <is>
          <t>续持</t>
        </is>
      </c>
      <c r="G1510" t="n">
        <v>14</v>
      </c>
      <c r="H1510" t="n">
        <v>8290</v>
      </c>
      <c r="I1510" t="n">
        <v>7987.64</v>
      </c>
      <c r="J1510" t="n">
        <v>2.18</v>
      </c>
      <c r="K1510" t="inlineStr">
        <is>
          <t>续持原仓（2023-02-17开）</t>
        </is>
      </c>
    </row>
    <row r="1511">
      <c r="A1511" t="inlineStr">
        <is>
          <t>2023-02-20</t>
        </is>
      </c>
      <c r="B1511" t="inlineStr">
        <is>
          <t>玉米</t>
        </is>
      </c>
      <c r="C1511" t="inlineStr">
        <is>
          <t>多</t>
        </is>
      </c>
      <c r="D1511" t="n">
        <v>2</v>
      </c>
      <c r="E1511" t="n">
        <v>5</v>
      </c>
      <c r="F1511" t="inlineStr">
        <is>
          <t>影子仓</t>
        </is>
      </c>
      <c r="G1511" t="n">
        <v>14</v>
      </c>
      <c r="H1511" t="n">
        <v>2877</v>
      </c>
      <c r="I1511" t="n">
        <v>2806.93</v>
      </c>
      <c r="J1511" t="n">
        <v>1</v>
      </c>
      <c r="K1511" t="inlineStr">
        <is>
          <t>凯利≤0，开1%影子仓（只统计，不计入组合）</t>
        </is>
      </c>
    </row>
    <row r="1512">
      <c r="A1512" t="inlineStr">
        <is>
          <t>2023-02-20</t>
        </is>
      </c>
      <c r="B1512" t="inlineStr">
        <is>
          <t>沪银</t>
        </is>
      </c>
      <c r="C1512" t="inlineStr">
        <is>
          <t>空</t>
        </is>
      </c>
      <c r="D1512" t="n">
        <v>2</v>
      </c>
      <c r="E1512" t="n">
        <v>5</v>
      </c>
      <c r="F1512" t="inlineStr">
        <is>
          <t>观望</t>
        </is>
      </c>
      <c r="G1512" t="n">
        <v>2</v>
      </c>
      <c r="H1512" t="n">
        <v>4965</v>
      </c>
      <c r="I1512" t="n">
        <v>5266.71</v>
      </c>
      <c r="J1512" t="n">
        <v>1</v>
      </c>
      <c r="K1512" t="inlineStr">
        <is>
          <t>逆5日线（收盘在5日线上，不追空）</t>
        </is>
      </c>
    </row>
    <row r="1513">
      <c r="A1513" t="inlineStr">
        <is>
          <t>2023-02-20</t>
        </is>
      </c>
      <c r="B1513" t="inlineStr">
        <is>
          <t>豆油</t>
        </is>
      </c>
      <c r="C1513" t="inlineStr">
        <is>
          <t>多</t>
        </is>
      </c>
      <c r="D1513" t="n">
        <v>2</v>
      </c>
      <c r="E1513" t="n">
        <v>4</v>
      </c>
      <c r="F1513" t="inlineStr">
        <is>
          <t>续持</t>
        </is>
      </c>
      <c r="G1513" t="n">
        <v>4</v>
      </c>
      <c r="H1513" t="n">
        <v>8908</v>
      </c>
      <c r="I1513" t="n">
        <v>8486.139999999999</v>
      </c>
      <c r="J1513" t="n">
        <v>2.05</v>
      </c>
      <c r="K1513" t="inlineStr">
        <is>
          <t>续持原仓（2023-02-16开）</t>
        </is>
      </c>
    </row>
    <row r="1514">
      <c r="A1514" t="inlineStr">
        <is>
          <t>2023-02-20</t>
        </is>
      </c>
      <c r="B1514" t="inlineStr">
        <is>
          <t>玻璃</t>
        </is>
      </c>
      <c r="C1514" t="inlineStr">
        <is>
          <t>空</t>
        </is>
      </c>
      <c r="D1514" t="n">
        <v>2</v>
      </c>
      <c r="E1514" t="n">
        <v>4</v>
      </c>
      <c r="F1514" t="inlineStr">
        <is>
          <t>观望</t>
        </is>
      </c>
      <c r="G1514" t="n">
        <v>5</v>
      </c>
      <c r="H1514" t="n">
        <v>1536</v>
      </c>
      <c r="I1514" t="n">
        <v>1633.5</v>
      </c>
      <c r="J1514" t="n">
        <v>1</v>
      </c>
      <c r="K1514" t="inlineStr">
        <is>
          <t>逆5日线（收盘在5日线上，不追空）</t>
        </is>
      </c>
    </row>
    <row r="1515">
      <c r="A1515" t="inlineStr">
        <is>
          <t>2023-02-20</t>
        </is>
      </c>
      <c r="B1515" t="inlineStr">
        <is>
          <t>沪铝</t>
        </is>
      </c>
      <c r="C1515" t="inlineStr">
        <is>
          <t>多</t>
        </is>
      </c>
      <c r="D1515" t="n">
        <v>2</v>
      </c>
      <c r="E1515" t="n">
        <v>4</v>
      </c>
      <c r="F1515" t="inlineStr">
        <is>
          <t>影子仓</t>
        </is>
      </c>
      <c r="G1515" t="n">
        <v>2</v>
      </c>
      <c r="H1515" t="n">
        <v>18780</v>
      </c>
      <c r="I1515" t="n">
        <v>17926.07</v>
      </c>
      <c r="J1515" t="n">
        <v>1</v>
      </c>
      <c r="K1515" t="inlineStr">
        <is>
          <t>凯利≤0，开1%影子仓（只统计，不计入组合）</t>
        </is>
      </c>
    </row>
    <row r="1516">
      <c r="A1516" t="inlineStr">
        <is>
          <t>2023-02-21</t>
        </is>
      </c>
      <c r="B1516" t="inlineStr">
        <is>
          <t>铁矿石</t>
        </is>
      </c>
      <c r="C1516" t="inlineStr">
        <is>
          <t>多</t>
        </is>
      </c>
      <c r="D1516" t="n">
        <v>3</v>
      </c>
      <c r="E1516" t="n">
        <v>7</v>
      </c>
      <c r="F1516" t="inlineStr">
        <is>
          <t>续持</t>
        </is>
      </c>
      <c r="G1516" t="n">
        <v>3</v>
      </c>
      <c r="H1516" t="n">
        <v>919</v>
      </c>
      <c r="I1516" t="n">
        <v>857.0700000000001</v>
      </c>
      <c r="J1516" t="n">
        <v>2.28</v>
      </c>
      <c r="K1516" t="inlineStr">
        <is>
          <t>续持原仓（2023-02-20开）</t>
        </is>
      </c>
    </row>
    <row r="1517">
      <c r="A1517" t="inlineStr">
        <is>
          <t>2023-02-21</t>
        </is>
      </c>
      <c r="B1517" t="inlineStr">
        <is>
          <t>塑料</t>
        </is>
      </c>
      <c r="C1517" t="inlineStr">
        <is>
          <t>多</t>
        </is>
      </c>
      <c r="D1517" t="n">
        <v>3</v>
      </c>
      <c r="E1517" t="n">
        <v>7</v>
      </c>
      <c r="F1517" t="inlineStr">
        <is>
          <t>续持</t>
        </is>
      </c>
      <c r="G1517" t="n">
        <v>14</v>
      </c>
      <c r="H1517" t="n">
        <v>8370</v>
      </c>
      <c r="I1517" t="n">
        <v>8088.71</v>
      </c>
      <c r="J1517" t="n">
        <v>2.18</v>
      </c>
      <c r="K1517" t="inlineStr">
        <is>
          <t>续持原仓（2023-02-17开）</t>
        </is>
      </c>
    </row>
    <row r="1518">
      <c r="A1518" t="inlineStr">
        <is>
          <t>2023-02-21</t>
        </is>
      </c>
      <c r="B1518" t="inlineStr">
        <is>
          <t>玉米</t>
        </is>
      </c>
      <c r="C1518" t="inlineStr">
        <is>
          <t>多</t>
        </is>
      </c>
      <c r="D1518" t="n">
        <v>3</v>
      </c>
      <c r="E1518" t="n">
        <v>6</v>
      </c>
      <c r="F1518" t="inlineStr">
        <is>
          <t>续持</t>
        </is>
      </c>
      <c r="G1518" t="n">
        <v>14</v>
      </c>
      <c r="H1518" t="n">
        <v>2875</v>
      </c>
      <c r="I1518" t="n">
        <v>2816.21</v>
      </c>
      <c r="J1518" t="n">
        <v>1</v>
      </c>
      <c r="K1518" t="inlineStr">
        <is>
          <t>续持原仓（2023-02-20开）</t>
        </is>
      </c>
    </row>
    <row r="1519">
      <c r="A1519" t="inlineStr">
        <is>
          <t>2023-02-21</t>
        </is>
      </c>
      <c r="B1519" t="inlineStr">
        <is>
          <t>沪银</t>
        </is>
      </c>
      <c r="C1519" t="inlineStr">
        <is>
          <t>空</t>
        </is>
      </c>
      <c r="D1519" t="n">
        <v>3</v>
      </c>
      <c r="E1519" t="n">
        <v>6</v>
      </c>
      <c r="F1519" t="inlineStr">
        <is>
          <t>观望</t>
        </is>
      </c>
      <c r="G1519" t="n">
        <v>3</v>
      </c>
      <c r="H1519" t="n">
        <v>4964</v>
      </c>
      <c r="I1519" t="n">
        <v>5252.43</v>
      </c>
      <c r="J1519" t="n">
        <v>1.44</v>
      </c>
      <c r="K1519" t="inlineStr">
        <is>
          <t>逆5日线（收盘在5日线上，不追空）</t>
        </is>
      </c>
    </row>
    <row r="1520">
      <c r="A1520" t="inlineStr">
        <is>
          <t>2023-02-21</t>
        </is>
      </c>
      <c r="B1520" t="inlineStr">
        <is>
          <t>豆油</t>
        </is>
      </c>
      <c r="C1520" t="inlineStr">
        <is>
          <t>多</t>
        </is>
      </c>
      <c r="D1520" t="n">
        <v>2</v>
      </c>
      <c r="E1520" t="n">
        <v>5</v>
      </c>
      <c r="F1520" t="inlineStr">
        <is>
          <t>续持</t>
        </is>
      </c>
      <c r="G1520" t="n">
        <v>4</v>
      </c>
      <c r="H1520" t="n">
        <v>8878</v>
      </c>
      <c r="I1520" t="n">
        <v>8538.860000000001</v>
      </c>
      <c r="J1520" t="n">
        <v>2.05</v>
      </c>
      <c r="K1520" t="inlineStr">
        <is>
          <t>续持原仓（2023-02-16开）</t>
        </is>
      </c>
    </row>
    <row r="1521">
      <c r="A1521" t="inlineStr">
        <is>
          <t>2023-02-21</t>
        </is>
      </c>
      <c r="B1521" t="inlineStr">
        <is>
          <t>玻璃</t>
        </is>
      </c>
      <c r="C1521" t="inlineStr">
        <is>
          <t>多</t>
        </is>
      </c>
      <c r="D1521" t="n">
        <v>2</v>
      </c>
      <c r="E1521" t="n">
        <v>4</v>
      </c>
      <c r="F1521" t="inlineStr">
        <is>
          <t>影子仓</t>
        </is>
      </c>
      <c r="G1521" t="n">
        <v>5</v>
      </c>
      <c r="H1521" t="n">
        <v>1556</v>
      </c>
      <c r="I1521" t="n">
        <v>1462.57</v>
      </c>
      <c r="J1521" t="n">
        <v>1</v>
      </c>
      <c r="K1521" t="inlineStr">
        <is>
          <t>凯利≤0，开1%影子仓（只统计，不计入组合）</t>
        </is>
      </c>
    </row>
    <row r="1522">
      <c r="A1522" t="inlineStr">
        <is>
          <t>2023-02-22</t>
        </is>
      </c>
      <c r="B1522" t="inlineStr">
        <is>
          <t>玻璃</t>
        </is>
      </c>
      <c r="C1522" t="inlineStr">
        <is>
          <t>空</t>
        </is>
      </c>
      <c r="D1522" t="n">
        <v>3</v>
      </c>
      <c r="E1522" t="n">
        <v>7</v>
      </c>
      <c r="F1522" t="inlineStr">
        <is>
          <t>观望</t>
        </is>
      </c>
      <c r="G1522" t="n">
        <v>12</v>
      </c>
      <c r="H1522" t="n">
        <v>1544</v>
      </c>
      <c r="I1522" t="n">
        <v>1633.57</v>
      </c>
      <c r="J1522" t="n">
        <v>2.2</v>
      </c>
      <c r="K1522" t="inlineStr">
        <is>
          <t>逆5日线（收盘在5日线上，不追空）</t>
        </is>
      </c>
    </row>
    <row r="1523">
      <c r="A1523" t="inlineStr">
        <is>
          <t>2023-02-22</t>
        </is>
      </c>
      <c r="B1523" t="inlineStr">
        <is>
          <t>玉米</t>
        </is>
      </c>
      <c r="C1523" t="inlineStr">
        <is>
          <t>多</t>
        </is>
      </c>
      <c r="D1523" t="n">
        <v>3</v>
      </c>
      <c r="E1523" t="n">
        <v>6</v>
      </c>
      <c r="F1523" t="inlineStr">
        <is>
          <t>续持</t>
        </is>
      </c>
      <c r="G1523" t="n">
        <v>14</v>
      </c>
      <c r="H1523" t="n">
        <v>2877</v>
      </c>
      <c r="I1523" t="n">
        <v>2819.43</v>
      </c>
      <c r="J1523" t="n">
        <v>1</v>
      </c>
      <c r="K1523" t="inlineStr">
        <is>
          <t>续持原仓（2023-02-20开）</t>
        </is>
      </c>
    </row>
    <row r="1524">
      <c r="A1524" t="inlineStr">
        <is>
          <t>2023-02-22</t>
        </is>
      </c>
      <c r="B1524" t="inlineStr">
        <is>
          <t>豆油</t>
        </is>
      </c>
      <c r="C1524" t="inlineStr">
        <is>
          <t>多</t>
        </is>
      </c>
      <c r="D1524" t="n">
        <v>3</v>
      </c>
      <c r="E1524" t="n">
        <v>6</v>
      </c>
      <c r="F1524" t="inlineStr">
        <is>
          <t>续持</t>
        </is>
      </c>
      <c r="G1524" t="n">
        <v>4</v>
      </c>
      <c r="H1524" t="n">
        <v>8900</v>
      </c>
      <c r="I1524" t="n">
        <v>8575.290000000001</v>
      </c>
      <c r="J1524" t="n">
        <v>2.05</v>
      </c>
      <c r="K1524" t="inlineStr">
        <is>
          <t>续持原仓（2023-02-16开）</t>
        </is>
      </c>
    </row>
    <row r="1525">
      <c r="A1525" t="inlineStr">
        <is>
          <t>2023-02-22</t>
        </is>
      </c>
      <c r="B1525" t="inlineStr">
        <is>
          <t>塑料</t>
        </is>
      </c>
      <c r="C1525" t="inlineStr">
        <is>
          <t>多</t>
        </is>
      </c>
      <c r="D1525" t="n">
        <v>2</v>
      </c>
      <c r="E1525" t="n">
        <v>5</v>
      </c>
      <c r="F1525" t="inlineStr">
        <is>
          <t>续持</t>
        </is>
      </c>
      <c r="G1525" t="n">
        <v>14</v>
      </c>
      <c r="H1525" t="n">
        <v>8324</v>
      </c>
      <c r="I1525" t="n">
        <v>8100.71</v>
      </c>
      <c r="J1525" t="n">
        <v>2.18</v>
      </c>
      <c r="K1525" t="inlineStr">
        <is>
          <t>续持原仓（2023-02-17开）</t>
        </is>
      </c>
    </row>
    <row r="1526">
      <c r="A1526" t="inlineStr">
        <is>
          <t>2023-02-22</t>
        </is>
      </c>
      <c r="B1526" t="inlineStr">
        <is>
          <t>沪铝</t>
        </is>
      </c>
      <c r="C1526" t="inlineStr">
        <is>
          <t>空</t>
        </is>
      </c>
      <c r="D1526" t="n">
        <v>2</v>
      </c>
      <c r="E1526" t="n">
        <v>5</v>
      </c>
      <c r="F1526" t="inlineStr">
        <is>
          <t>观望</t>
        </is>
      </c>
      <c r="G1526" t="n">
        <v>2</v>
      </c>
      <c r="H1526" t="n">
        <v>18765</v>
      </c>
      <c r="I1526" t="n">
        <v>19573.93</v>
      </c>
      <c r="J1526" t="n">
        <v>1</v>
      </c>
      <c r="K1526" t="inlineStr">
        <is>
          <t>逆5日线（收盘在5日线上，不追空）</t>
        </is>
      </c>
    </row>
    <row r="1527">
      <c r="A1527" t="inlineStr">
        <is>
          <t>2023-02-22</t>
        </is>
      </c>
      <c r="B1527" t="inlineStr">
        <is>
          <t>铁矿石</t>
        </is>
      </c>
      <c r="C1527" t="inlineStr">
        <is>
          <t>多</t>
        </is>
      </c>
      <c r="D1527" t="n">
        <v>2</v>
      </c>
      <c r="E1527" t="n">
        <v>4</v>
      </c>
      <c r="F1527" t="inlineStr">
        <is>
          <t>续持</t>
        </is>
      </c>
      <c r="G1527" t="n">
        <v>3</v>
      </c>
      <c r="H1527" t="n">
        <v>909.5</v>
      </c>
      <c r="I1527" t="n">
        <v>861.25</v>
      </c>
      <c r="J1527" t="n">
        <v>2.28</v>
      </c>
      <c r="K1527" t="inlineStr">
        <is>
          <t>续持原仓（2023-02-20开）</t>
        </is>
      </c>
    </row>
    <row r="1528">
      <c r="A1528" t="inlineStr">
        <is>
          <t>2023-02-23</t>
        </is>
      </c>
      <c r="B1528" t="inlineStr">
        <is>
          <t>玉米</t>
        </is>
      </c>
      <c r="C1528" t="inlineStr">
        <is>
          <t>多</t>
        </is>
      </c>
      <c r="D1528" t="n">
        <v>3</v>
      </c>
      <c r="E1528" t="n">
        <v>6</v>
      </c>
      <c r="F1528" t="inlineStr">
        <is>
          <t>观望</t>
        </is>
      </c>
      <c r="G1528" t="n">
        <v>34</v>
      </c>
      <c r="H1528" t="n">
        <v>2863</v>
      </c>
      <c r="I1528" t="n">
        <v>2799.79</v>
      </c>
      <c r="J1528" t="n">
        <v>2.2</v>
      </c>
      <c r="K1528" t="inlineStr">
        <is>
          <t>逆5日线（收盘在5日线下，不追多）</t>
        </is>
      </c>
    </row>
    <row r="1529">
      <c r="A1529" t="inlineStr">
        <is>
          <t>2023-02-23</t>
        </is>
      </c>
      <c r="B1529" t="inlineStr">
        <is>
          <t>铁矿石</t>
        </is>
      </c>
      <c r="C1529" t="inlineStr">
        <is>
          <t>多</t>
        </is>
      </c>
      <c r="D1529" t="n">
        <v>2</v>
      </c>
      <c r="E1529" t="n">
        <v>5</v>
      </c>
      <c r="F1529" t="inlineStr">
        <is>
          <t>续持</t>
        </is>
      </c>
      <c r="G1529" t="n">
        <v>3</v>
      </c>
      <c r="H1529" t="n">
        <v>908.5</v>
      </c>
      <c r="I1529" t="n">
        <v>863.5</v>
      </c>
      <c r="J1529" t="n">
        <v>2.28</v>
      </c>
      <c r="K1529" t="inlineStr">
        <is>
          <t>续持原仓（2023-02-20开）</t>
        </is>
      </c>
    </row>
    <row r="1530">
      <c r="A1530" t="inlineStr">
        <is>
          <t>2023-02-23</t>
        </is>
      </c>
      <c r="B1530" t="inlineStr">
        <is>
          <t>塑料</t>
        </is>
      </c>
      <c r="C1530" t="inlineStr">
        <is>
          <t>多</t>
        </is>
      </c>
      <c r="D1530" t="n">
        <v>2</v>
      </c>
      <c r="E1530" t="n">
        <v>5</v>
      </c>
      <c r="F1530" t="inlineStr">
        <is>
          <t>续持</t>
        </is>
      </c>
      <c r="G1530" t="n">
        <v>14</v>
      </c>
      <c r="H1530" t="n">
        <v>8328</v>
      </c>
      <c r="I1530" t="n">
        <v>8114.64</v>
      </c>
      <c r="J1530" t="n">
        <v>2.18</v>
      </c>
      <c r="K1530" t="inlineStr">
        <is>
          <t>续持原仓（2023-02-17开）</t>
        </is>
      </c>
    </row>
    <row r="1531">
      <c r="A1531" t="inlineStr">
        <is>
          <t>2023-02-23</t>
        </is>
      </c>
      <c r="B1531" t="inlineStr">
        <is>
          <t>沪银</t>
        </is>
      </c>
      <c r="C1531" t="inlineStr">
        <is>
          <t>空</t>
        </is>
      </c>
      <c r="D1531" t="n">
        <v>2</v>
      </c>
      <c r="E1531" t="n">
        <v>5</v>
      </c>
      <c r="F1531" t="inlineStr">
        <is>
          <t>观望</t>
        </is>
      </c>
      <c r="G1531" t="n">
        <v>2</v>
      </c>
      <c r="H1531" t="n">
        <v>4961</v>
      </c>
      <c r="I1531" t="n">
        <v>5189.43</v>
      </c>
      <c r="J1531" t="n">
        <v>1</v>
      </c>
      <c r="K1531" t="inlineStr">
        <is>
          <t>逆5日线（收盘在5日线上，不追空）</t>
        </is>
      </c>
    </row>
    <row r="1532">
      <c r="A1532" t="inlineStr">
        <is>
          <t>2023-02-23</t>
        </is>
      </c>
      <c r="B1532" t="inlineStr">
        <is>
          <t>沪铝</t>
        </is>
      </c>
      <c r="C1532" t="inlineStr">
        <is>
          <t>空</t>
        </is>
      </c>
      <c r="D1532" t="n">
        <v>2</v>
      </c>
      <c r="E1532" t="n">
        <v>5</v>
      </c>
      <c r="F1532" t="inlineStr">
        <is>
          <t>影子仓</t>
        </is>
      </c>
      <c r="G1532" t="n">
        <v>2</v>
      </c>
      <c r="H1532" t="n">
        <v>18680</v>
      </c>
      <c r="I1532" t="n">
        <v>19475</v>
      </c>
      <c r="J1532" t="n">
        <v>1</v>
      </c>
      <c r="K1532" t="inlineStr">
        <is>
          <t>凯利≤0，开1%影子仓（只统计，不计入组合）</t>
        </is>
      </c>
    </row>
    <row r="1533">
      <c r="A1533" t="inlineStr">
        <is>
          <t>2023-02-23</t>
        </is>
      </c>
      <c r="B1533" t="inlineStr">
        <is>
          <t>PVC</t>
        </is>
      </c>
      <c r="C1533" t="inlineStr">
        <is>
          <t>多</t>
        </is>
      </c>
      <c r="D1533" t="n">
        <v>2</v>
      </c>
      <c r="E1533" t="n">
        <v>4</v>
      </c>
      <c r="F1533" t="inlineStr">
        <is>
          <t>影子仓</t>
        </is>
      </c>
      <c r="G1533" t="n">
        <v>6</v>
      </c>
      <c r="H1533" t="n">
        <v>6472</v>
      </c>
      <c r="I1533" t="n">
        <v>6171.14</v>
      </c>
      <c r="J1533" t="n">
        <v>1</v>
      </c>
      <c r="K1533" t="inlineStr">
        <is>
          <t>凯利≤0，开1%影子仓（只统计，不计入组合）</t>
        </is>
      </c>
    </row>
    <row r="1534">
      <c r="A1534" t="inlineStr">
        <is>
          <t>2023-02-23</t>
        </is>
      </c>
      <c r="B1534" t="inlineStr">
        <is>
          <t>沪镍</t>
        </is>
      </c>
      <c r="C1534" t="inlineStr">
        <is>
          <t>空</t>
        </is>
      </c>
      <c r="D1534" t="n">
        <v>2</v>
      </c>
      <c r="E1534" t="n">
        <v>4</v>
      </c>
      <c r="F1534" t="inlineStr">
        <is>
          <t>不做</t>
        </is>
      </c>
      <c r="H1534" t="n">
        <v>202700</v>
      </c>
      <c r="J1534" t="n">
        <v>1</v>
      </c>
      <c r="K1534" t="inlineStr">
        <is>
          <t>1手风险19299元超过预算10000元</t>
        </is>
      </c>
    </row>
    <row r="1535">
      <c r="A1535" t="inlineStr">
        <is>
          <t>2023-02-24</t>
        </is>
      </c>
      <c r="B1535" t="inlineStr">
        <is>
          <t>棉花</t>
        </is>
      </c>
      <c r="C1535" t="inlineStr">
        <is>
          <t>空</t>
        </is>
      </c>
      <c r="D1535" t="n">
        <v>3</v>
      </c>
      <c r="E1535" t="n">
        <v>6</v>
      </c>
      <c r="F1535" t="inlineStr">
        <is>
          <t>开仓</t>
        </is>
      </c>
      <c r="G1535" t="n">
        <v>7</v>
      </c>
      <c r="H1535" t="n">
        <v>14285</v>
      </c>
      <c r="I1535" t="n">
        <v>14904.29</v>
      </c>
      <c r="J1535" t="n">
        <v>2.29</v>
      </c>
      <c r="K1535" t="inlineStr">
        <is>
          <t>¼凯利</t>
        </is>
      </c>
    </row>
    <row r="1536">
      <c r="A1536" t="inlineStr">
        <is>
          <t>2023-02-24</t>
        </is>
      </c>
      <c r="B1536" t="inlineStr">
        <is>
          <t>塑料</t>
        </is>
      </c>
      <c r="C1536" t="inlineStr">
        <is>
          <t>多</t>
        </is>
      </c>
      <c r="D1536" t="n">
        <v>3</v>
      </c>
      <c r="E1536" t="n">
        <v>6</v>
      </c>
      <c r="F1536" t="inlineStr">
        <is>
          <t>续持</t>
        </is>
      </c>
      <c r="G1536" t="n">
        <v>14</v>
      </c>
      <c r="H1536" t="n">
        <v>8335</v>
      </c>
      <c r="I1536" t="n">
        <v>8122.14</v>
      </c>
      <c r="J1536" t="n">
        <v>2.18</v>
      </c>
      <c r="K1536" t="inlineStr">
        <is>
          <t>续持原仓（2023-02-17开）</t>
        </is>
      </c>
    </row>
    <row r="1537">
      <c r="A1537" t="inlineStr">
        <is>
          <t>2023-02-24</t>
        </is>
      </c>
      <c r="B1537" t="inlineStr">
        <is>
          <t>沪镍</t>
        </is>
      </c>
      <c r="C1537" t="inlineStr">
        <is>
          <t>空</t>
        </is>
      </c>
      <c r="D1537" t="n">
        <v>3</v>
      </c>
      <c r="E1537" t="n">
        <v>6</v>
      </c>
      <c r="F1537" t="inlineStr">
        <is>
          <t>开仓</t>
        </is>
      </c>
      <c r="G1537" t="n">
        <v>1</v>
      </c>
      <c r="H1537" t="n">
        <v>199990</v>
      </c>
      <c r="I1537" t="n">
        <v>218277.14</v>
      </c>
      <c r="J1537" t="n">
        <v>2.29</v>
      </c>
      <c r="K1537" t="inlineStr">
        <is>
          <t>¼凯利</t>
        </is>
      </c>
    </row>
    <row r="1538">
      <c r="A1538" t="inlineStr">
        <is>
          <t>2023-02-24</t>
        </is>
      </c>
      <c r="B1538" t="inlineStr">
        <is>
          <t>玉米</t>
        </is>
      </c>
      <c r="C1538" t="inlineStr">
        <is>
          <t>多</t>
        </is>
      </c>
      <c r="D1538" t="n">
        <v>2</v>
      </c>
      <c r="E1538" t="n">
        <v>5</v>
      </c>
      <c r="F1538" t="inlineStr">
        <is>
          <t>观望</t>
        </is>
      </c>
      <c r="G1538" t="n">
        <v>16</v>
      </c>
      <c r="H1538" t="n">
        <v>2867</v>
      </c>
      <c r="I1538" t="n">
        <v>2807.43</v>
      </c>
      <c r="J1538" t="n">
        <v>1</v>
      </c>
      <c r="K1538" t="inlineStr">
        <is>
          <t>逆5日线（收盘在5日线下，不追多）</t>
        </is>
      </c>
    </row>
    <row r="1539">
      <c r="A1539" t="inlineStr">
        <is>
          <t>2023-02-24</t>
        </is>
      </c>
      <c r="B1539" t="inlineStr">
        <is>
          <t>铁矿石</t>
        </is>
      </c>
      <c r="C1539" t="inlineStr">
        <is>
          <t>多</t>
        </is>
      </c>
      <c r="D1539" t="n">
        <v>2</v>
      </c>
      <c r="E1539" t="n">
        <v>5</v>
      </c>
      <c r="F1539" t="inlineStr">
        <is>
          <t>续持</t>
        </is>
      </c>
      <c r="G1539" t="n">
        <v>3</v>
      </c>
      <c r="H1539" t="n">
        <v>909.5</v>
      </c>
      <c r="I1539" t="n">
        <v>864.89</v>
      </c>
      <c r="J1539" t="n">
        <v>2.28</v>
      </c>
      <c r="K1539" t="inlineStr">
        <is>
          <t>续持原仓（2023-02-20开）</t>
        </is>
      </c>
    </row>
    <row r="1540">
      <c r="A1540" t="inlineStr">
        <is>
          <t>2023-02-24</t>
        </is>
      </c>
      <c r="B1540" t="inlineStr">
        <is>
          <t>沪铝</t>
        </is>
      </c>
      <c r="C1540" t="inlineStr">
        <is>
          <t>空</t>
        </is>
      </c>
      <c r="D1540" t="n">
        <v>2</v>
      </c>
      <c r="E1540" t="n">
        <v>4</v>
      </c>
      <c r="F1540" t="inlineStr">
        <is>
          <t>续持</t>
        </is>
      </c>
      <c r="G1540" t="n">
        <v>2</v>
      </c>
      <c r="H1540" t="n">
        <v>18635</v>
      </c>
      <c r="I1540" t="n">
        <v>19306.43</v>
      </c>
      <c r="J1540" t="n">
        <v>1</v>
      </c>
      <c r="K1540" t="inlineStr">
        <is>
          <t>续持原仓（2023-02-23开）</t>
        </is>
      </c>
    </row>
    <row r="1541">
      <c r="A1541" t="inlineStr">
        <is>
          <t>2023-02-24</t>
        </is>
      </c>
      <c r="B1541" t="inlineStr">
        <is>
          <t>甲醇</t>
        </is>
      </c>
      <c r="C1541" t="inlineStr">
        <is>
          <t>空</t>
        </is>
      </c>
      <c r="D1541" t="n">
        <v>2</v>
      </c>
      <c r="E1541" t="n">
        <v>4</v>
      </c>
      <c r="F1541" t="inlineStr">
        <is>
          <t>观望</t>
        </is>
      </c>
      <c r="G1541" t="n">
        <v>7</v>
      </c>
      <c r="H1541" t="n">
        <v>2671</v>
      </c>
      <c r="I1541" t="n">
        <v>2812.86</v>
      </c>
      <c r="J1541" t="n">
        <v>1</v>
      </c>
      <c r="K1541" t="inlineStr">
        <is>
          <t>逆5日线（收盘在5日线上，不追空）</t>
        </is>
      </c>
    </row>
    <row r="1542">
      <c r="A1542" t="inlineStr">
        <is>
          <t>2023-02-27</t>
        </is>
      </c>
      <c r="B1542" t="inlineStr">
        <is>
          <t>沪镍</t>
        </is>
      </c>
      <c r="C1542" t="inlineStr">
        <is>
          <t>空</t>
        </is>
      </c>
      <c r="D1542" t="n">
        <v>3</v>
      </c>
      <c r="E1542" t="n">
        <v>7</v>
      </c>
      <c r="F1542" t="inlineStr">
        <is>
          <t>续持</t>
        </is>
      </c>
      <c r="G1542" t="n">
        <v>1</v>
      </c>
      <c r="H1542" t="n">
        <v>194910</v>
      </c>
      <c r="I1542" t="n">
        <v>212211.43</v>
      </c>
      <c r="J1542" t="n">
        <v>2.29</v>
      </c>
      <c r="K1542" t="inlineStr">
        <is>
          <t>续持原仓（2023-02-24开）</t>
        </is>
      </c>
    </row>
    <row r="1543">
      <c r="A1543" t="inlineStr">
        <is>
          <t>2023-02-27</t>
        </is>
      </c>
      <c r="B1543" t="inlineStr">
        <is>
          <t>棉花</t>
        </is>
      </c>
      <c r="C1543" t="inlineStr">
        <is>
          <t>空</t>
        </is>
      </c>
      <c r="D1543" t="n">
        <v>3</v>
      </c>
      <c r="E1543" t="n">
        <v>6</v>
      </c>
      <c r="F1543" t="inlineStr">
        <is>
          <t>续持</t>
        </is>
      </c>
      <c r="G1543" t="n">
        <v>7</v>
      </c>
      <c r="H1543" t="n">
        <v>14290</v>
      </c>
      <c r="I1543" t="n">
        <v>14819.29</v>
      </c>
      <c r="J1543" t="n">
        <v>2.29</v>
      </c>
      <c r="K1543" t="inlineStr">
        <is>
          <t>续持原仓（2023-02-24开）</t>
        </is>
      </c>
    </row>
    <row r="1544">
      <c r="A1544" t="inlineStr">
        <is>
          <t>2023-02-27</t>
        </is>
      </c>
      <c r="B1544" t="inlineStr">
        <is>
          <t>沪铝</t>
        </is>
      </c>
      <c r="C1544" t="inlineStr">
        <is>
          <t>空</t>
        </is>
      </c>
      <c r="D1544" t="n">
        <v>3</v>
      </c>
      <c r="E1544" t="n">
        <v>6</v>
      </c>
      <c r="F1544" t="inlineStr">
        <is>
          <t>续持</t>
        </is>
      </c>
      <c r="G1544" t="n">
        <v>2</v>
      </c>
      <c r="H1544" t="n">
        <v>18375</v>
      </c>
      <c r="I1544" t="n">
        <v>19107.5</v>
      </c>
      <c r="J1544" t="n">
        <v>1</v>
      </c>
      <c r="K1544" t="inlineStr">
        <is>
          <t>续持原仓（2023-02-23开）</t>
        </is>
      </c>
    </row>
    <row r="1545">
      <c r="A1545" t="inlineStr">
        <is>
          <t>2023-02-27</t>
        </is>
      </c>
      <c r="B1545" t="inlineStr">
        <is>
          <t>沪银</t>
        </is>
      </c>
      <c r="C1545" t="inlineStr">
        <is>
          <t>空</t>
        </is>
      </c>
      <c r="D1545" t="n">
        <v>3</v>
      </c>
      <c r="E1545" t="n">
        <v>6</v>
      </c>
      <c r="F1545" t="inlineStr">
        <is>
          <t>开仓</t>
        </is>
      </c>
      <c r="G1545" t="n">
        <v>7</v>
      </c>
      <c r="H1545" t="n">
        <v>4870</v>
      </c>
      <c r="I1545" t="n">
        <v>5074.64</v>
      </c>
      <c r="J1545" t="n">
        <v>2.23</v>
      </c>
      <c r="K1545" t="inlineStr">
        <is>
          <t>¼凯利</t>
        </is>
      </c>
    </row>
    <row r="1546">
      <c r="A1546" t="inlineStr">
        <is>
          <t>2023-02-27</t>
        </is>
      </c>
      <c r="B1546" t="inlineStr">
        <is>
          <t>甲醇</t>
        </is>
      </c>
      <c r="C1546" t="inlineStr">
        <is>
          <t>空</t>
        </is>
      </c>
      <c r="D1546" t="n">
        <v>2</v>
      </c>
      <c r="E1546" t="n">
        <v>4</v>
      </c>
      <c r="F1546" t="inlineStr">
        <is>
          <t>观望</t>
        </is>
      </c>
      <c r="G1546" t="n">
        <v>7</v>
      </c>
      <c r="H1546" t="n">
        <v>2652</v>
      </c>
      <c r="I1546" t="n">
        <v>2790.21</v>
      </c>
      <c r="J1546" t="n">
        <v>1</v>
      </c>
      <c r="K1546" t="inlineStr">
        <is>
          <t>逆5日线（收盘在5日线上，不追空）</t>
        </is>
      </c>
    </row>
    <row r="1547">
      <c r="A1547" t="inlineStr">
        <is>
          <t>2023-02-28</t>
        </is>
      </c>
      <c r="B1547" t="inlineStr">
        <is>
          <t>铁矿石</t>
        </is>
      </c>
      <c r="C1547" t="inlineStr">
        <is>
          <t>多</t>
        </is>
      </c>
      <c r="D1547" t="n">
        <v>3</v>
      </c>
      <c r="E1547" t="n">
        <v>6</v>
      </c>
      <c r="F1547" t="inlineStr">
        <is>
          <t>观望</t>
        </is>
      </c>
      <c r="G1547" t="n">
        <v>4</v>
      </c>
      <c r="H1547" t="n">
        <v>888.5</v>
      </c>
      <c r="I1547" t="n">
        <v>832.5700000000001</v>
      </c>
      <c r="J1547" t="n">
        <v>2.24</v>
      </c>
      <c r="K1547" t="inlineStr">
        <is>
          <t>逆5日线（收盘在5日线下，不追多）</t>
        </is>
      </c>
    </row>
    <row r="1548">
      <c r="A1548" t="inlineStr">
        <is>
          <t>2023-02-28</t>
        </is>
      </c>
      <c r="B1548" t="inlineStr">
        <is>
          <t>甲醇</t>
        </is>
      </c>
      <c r="C1548" t="inlineStr">
        <is>
          <t>空</t>
        </is>
      </c>
      <c r="D1548" t="n">
        <v>2</v>
      </c>
      <c r="E1548" t="n">
        <v>5</v>
      </c>
      <c r="F1548" t="inlineStr">
        <is>
          <t>影子仓</t>
        </is>
      </c>
      <c r="G1548" t="n">
        <v>7</v>
      </c>
      <c r="H1548" t="n">
        <v>2627</v>
      </c>
      <c r="I1548" t="n">
        <v>2763.5</v>
      </c>
      <c r="J1548" t="n">
        <v>1</v>
      </c>
      <c r="K1548" t="inlineStr">
        <is>
          <t>凯利≤0，开1%影子仓（只统计，不计入组合）</t>
        </is>
      </c>
    </row>
    <row r="1549">
      <c r="A1549" t="inlineStr">
        <is>
          <t>2023-02-28</t>
        </is>
      </c>
      <c r="B1549" t="inlineStr">
        <is>
          <t>沪镍</t>
        </is>
      </c>
      <c r="C1549" t="inlineStr">
        <is>
          <t>空</t>
        </is>
      </c>
      <c r="D1549" t="n">
        <v>2</v>
      </c>
      <c r="E1549" t="n">
        <v>4</v>
      </c>
      <c r="F1549" t="inlineStr">
        <is>
          <t>续持</t>
        </is>
      </c>
      <c r="G1549" t="n">
        <v>1</v>
      </c>
      <c r="H1549" t="n">
        <v>197930</v>
      </c>
      <c r="I1549" t="n">
        <v>211804.29</v>
      </c>
      <c r="J1549" t="n">
        <v>2.29</v>
      </c>
      <c r="K1549" t="inlineStr">
        <is>
          <t>续持原仓（2023-02-24开）</t>
        </is>
      </c>
    </row>
    <row r="1550">
      <c r="A1550" t="inlineStr">
        <is>
          <t>2023-02-28</t>
        </is>
      </c>
      <c r="B1550" t="inlineStr">
        <is>
          <t>PVC</t>
        </is>
      </c>
      <c r="C1550" t="inlineStr">
        <is>
          <t>多</t>
        </is>
      </c>
      <c r="D1550" t="n">
        <v>2</v>
      </c>
      <c r="E1550" t="n">
        <v>4</v>
      </c>
      <c r="F1550" t="inlineStr">
        <is>
          <t>观望</t>
        </is>
      </c>
      <c r="G1550" t="n">
        <v>6</v>
      </c>
      <c r="H1550" t="n">
        <v>6374</v>
      </c>
      <c r="I1550" t="n">
        <v>6076.36</v>
      </c>
      <c r="J1550" t="n">
        <v>1</v>
      </c>
      <c r="K1550" t="inlineStr">
        <is>
          <t>逆5日线（收盘在5日线下，不追多）</t>
        </is>
      </c>
    </row>
    <row r="1551">
      <c r="A1551" t="inlineStr">
        <is>
          <t>2023-02-28</t>
        </is>
      </c>
      <c r="B1551" t="inlineStr">
        <is>
          <t>PTA</t>
        </is>
      </c>
      <c r="C1551" t="inlineStr">
        <is>
          <t>多</t>
        </is>
      </c>
      <c r="D1551" t="n">
        <v>2</v>
      </c>
      <c r="E1551" t="n">
        <v>4</v>
      </c>
      <c r="F1551" t="inlineStr">
        <is>
          <t>影子仓</t>
        </is>
      </c>
      <c r="G1551" t="n">
        <v>6</v>
      </c>
      <c r="H1551" t="n">
        <v>5618</v>
      </c>
      <c r="I1551" t="n">
        <v>5298.29</v>
      </c>
      <c r="J1551" t="n">
        <v>1</v>
      </c>
      <c r="K1551" t="inlineStr">
        <is>
          <t>凯利≤0，开1%影子仓（只统计，不计入组合）</t>
        </is>
      </c>
    </row>
    <row r="1552">
      <c r="A1552" t="inlineStr">
        <is>
          <t>2023-03-01</t>
        </is>
      </c>
      <c r="B1552" t="inlineStr">
        <is>
          <t>塑料</t>
        </is>
      </c>
      <c r="C1552" t="inlineStr">
        <is>
          <t>多</t>
        </is>
      </c>
      <c r="D1552" t="n">
        <v>3</v>
      </c>
      <c r="E1552" t="n">
        <v>7</v>
      </c>
      <c r="F1552" t="inlineStr">
        <is>
          <t>续持</t>
        </is>
      </c>
      <c r="G1552" t="n">
        <v>14</v>
      </c>
      <c r="H1552" t="n">
        <v>8398</v>
      </c>
      <c r="I1552" t="n">
        <v>8129.57</v>
      </c>
      <c r="J1552" t="n">
        <v>2.18</v>
      </c>
      <c r="K1552" t="inlineStr">
        <is>
          <t>续持原仓（2023-02-17开）</t>
        </is>
      </c>
    </row>
    <row r="1553">
      <c r="A1553" t="inlineStr">
        <is>
          <t>2023-03-01</t>
        </is>
      </c>
      <c r="B1553" t="inlineStr">
        <is>
          <t>铁矿石</t>
        </is>
      </c>
      <c r="C1553" t="inlineStr">
        <is>
          <t>多</t>
        </is>
      </c>
      <c r="D1553" t="n">
        <v>3</v>
      </c>
      <c r="E1553" t="n">
        <v>6</v>
      </c>
      <c r="F1553" t="inlineStr">
        <is>
          <t>开仓</t>
        </is>
      </c>
      <c r="G1553" t="n">
        <v>3</v>
      </c>
      <c r="H1553" t="n">
        <v>908.5</v>
      </c>
      <c r="I1553" t="n">
        <v>851.0700000000001</v>
      </c>
      <c r="J1553" t="n">
        <v>2.16</v>
      </c>
      <c r="K1553" t="inlineStr">
        <is>
          <t>¼凯利</t>
        </is>
      </c>
    </row>
    <row r="1554">
      <c r="A1554" t="inlineStr">
        <is>
          <t>2023-03-01</t>
        </is>
      </c>
      <c r="B1554" t="inlineStr">
        <is>
          <t>沪镍</t>
        </is>
      </c>
      <c r="C1554" t="inlineStr">
        <is>
          <t>空</t>
        </is>
      </c>
      <c r="D1554" t="n">
        <v>3</v>
      </c>
      <c r="E1554" t="n">
        <v>6</v>
      </c>
      <c r="F1554" t="inlineStr">
        <is>
          <t>续持</t>
        </is>
      </c>
      <c r="G1554" t="n">
        <v>1</v>
      </c>
      <c r="H1554" t="n">
        <v>195620</v>
      </c>
      <c r="I1554" t="n">
        <v>210144.29</v>
      </c>
      <c r="J1554" t="n">
        <v>2.29</v>
      </c>
      <c r="K1554" t="inlineStr">
        <is>
          <t>续持原仓（2023-02-24开）</t>
        </is>
      </c>
    </row>
    <row r="1555">
      <c r="A1555" t="inlineStr">
        <is>
          <t>2023-03-01</t>
        </is>
      </c>
      <c r="B1555" t="inlineStr">
        <is>
          <t>PVC</t>
        </is>
      </c>
      <c r="C1555" t="inlineStr">
        <is>
          <t>多</t>
        </is>
      </c>
      <c r="D1555" t="n">
        <v>2</v>
      </c>
      <c r="E1555" t="n">
        <v>4</v>
      </c>
      <c r="F1555" t="inlineStr">
        <is>
          <t>观望</t>
        </is>
      </c>
      <c r="G1555" t="n">
        <v>6</v>
      </c>
      <c r="H1555" t="n">
        <v>6398</v>
      </c>
      <c r="I1555" t="n">
        <v>6102.93</v>
      </c>
      <c r="J1555" t="n">
        <v>1</v>
      </c>
      <c r="K1555" t="inlineStr">
        <is>
          <t>逆5日线（收盘在5日线下，不追多）</t>
        </is>
      </c>
    </row>
    <row r="1556">
      <c r="A1556" t="inlineStr">
        <is>
          <t>2023-03-02</t>
        </is>
      </c>
      <c r="B1556" t="inlineStr">
        <is>
          <t>玉米</t>
        </is>
      </c>
      <c r="C1556" t="inlineStr">
        <is>
          <t>多</t>
        </is>
      </c>
      <c r="D1556" t="n">
        <v>3</v>
      </c>
      <c r="E1556" t="n">
        <v>6</v>
      </c>
      <c r="F1556" t="inlineStr">
        <is>
          <t>观望</t>
        </is>
      </c>
      <c r="G1556" t="n">
        <v>16</v>
      </c>
      <c r="H1556" t="n">
        <v>2848</v>
      </c>
      <c r="I1556" t="n">
        <v>2784.14</v>
      </c>
      <c r="J1556" t="n">
        <v>1.08</v>
      </c>
      <c r="K1556" t="inlineStr">
        <is>
          <t>逆5日线（收盘在5日线下，不追多）</t>
        </is>
      </c>
    </row>
    <row r="1557">
      <c r="A1557" t="inlineStr">
        <is>
          <t>2023-03-02</t>
        </is>
      </c>
      <c r="B1557" t="inlineStr">
        <is>
          <t>铁矿石</t>
        </is>
      </c>
      <c r="C1557" t="inlineStr">
        <is>
          <t>多</t>
        </is>
      </c>
      <c r="D1557" t="n">
        <v>3</v>
      </c>
      <c r="E1557" t="n">
        <v>6</v>
      </c>
      <c r="F1557" t="inlineStr">
        <is>
          <t>续持</t>
        </is>
      </c>
      <c r="G1557" t="n">
        <v>3</v>
      </c>
      <c r="H1557" t="n">
        <v>912.5</v>
      </c>
      <c r="I1557" t="n">
        <v>858.5700000000001</v>
      </c>
      <c r="J1557" t="n">
        <v>2.16</v>
      </c>
      <c r="K1557" t="inlineStr">
        <is>
          <t>续持原仓（2023-03-01开）</t>
        </is>
      </c>
    </row>
    <row r="1558">
      <c r="A1558" t="inlineStr">
        <is>
          <t>2023-03-02</t>
        </is>
      </c>
      <c r="B1558" t="inlineStr">
        <is>
          <t>沪镍</t>
        </is>
      </c>
      <c r="C1558" t="inlineStr">
        <is>
          <t>空</t>
        </is>
      </c>
      <c r="D1558" t="n">
        <v>3</v>
      </c>
      <c r="E1558" t="n">
        <v>6</v>
      </c>
      <c r="F1558" t="inlineStr">
        <is>
          <t>续持</t>
        </is>
      </c>
      <c r="G1558" t="n">
        <v>1</v>
      </c>
      <c r="H1558" t="n">
        <v>188180</v>
      </c>
      <c r="I1558" t="n">
        <v>205275</v>
      </c>
      <c r="J1558" t="n">
        <v>2.29</v>
      </c>
      <c r="K1558" t="inlineStr">
        <is>
          <t>续持原仓（2023-02-24开）</t>
        </is>
      </c>
    </row>
    <row r="1559">
      <c r="A1559" t="inlineStr">
        <is>
          <t>2023-03-02</t>
        </is>
      </c>
      <c r="B1559" t="inlineStr">
        <is>
          <t>塑料</t>
        </is>
      </c>
      <c r="C1559" t="inlineStr">
        <is>
          <t>多</t>
        </is>
      </c>
      <c r="D1559" t="n">
        <v>2</v>
      </c>
      <c r="E1559" t="n">
        <v>5</v>
      </c>
      <c r="F1559" t="inlineStr">
        <is>
          <t>续持</t>
        </is>
      </c>
      <c r="G1559" t="n">
        <v>14</v>
      </c>
      <c r="H1559" t="n">
        <v>8382</v>
      </c>
      <c r="I1559" t="n">
        <v>8180.07</v>
      </c>
      <c r="J1559" t="n">
        <v>2.18</v>
      </c>
      <c r="K1559" t="inlineStr">
        <is>
          <t>续持原仓（2023-02-17开）</t>
        </is>
      </c>
    </row>
    <row r="1560">
      <c r="A1560" t="inlineStr">
        <is>
          <t>2023-03-02</t>
        </is>
      </c>
      <c r="B1560" t="inlineStr">
        <is>
          <t>沪银</t>
        </is>
      </c>
      <c r="C1560" t="inlineStr">
        <is>
          <t>空</t>
        </is>
      </c>
      <c r="D1560" t="n">
        <v>2</v>
      </c>
      <c r="E1560" t="n">
        <v>5</v>
      </c>
      <c r="F1560" t="inlineStr">
        <is>
          <t>影子仓</t>
        </is>
      </c>
      <c r="G1560" t="n">
        <v>3</v>
      </c>
      <c r="H1560" t="n">
        <v>4890</v>
      </c>
      <c r="I1560" t="n">
        <v>5075.14</v>
      </c>
      <c r="J1560" t="n">
        <v>1</v>
      </c>
      <c r="K1560" t="inlineStr">
        <is>
          <t>凯利≤0，开1%影子仓（只统计，不计入组合）</t>
        </is>
      </c>
    </row>
    <row r="1561">
      <c r="A1561" t="inlineStr">
        <is>
          <t>2023-03-02</t>
        </is>
      </c>
      <c r="B1561" t="inlineStr">
        <is>
          <t>PVC</t>
        </is>
      </c>
      <c r="C1561" t="inlineStr">
        <is>
          <t>多</t>
        </is>
      </c>
      <c r="D1561" t="n">
        <v>2</v>
      </c>
      <c r="E1561" t="n">
        <v>5</v>
      </c>
      <c r="F1561" t="inlineStr">
        <is>
          <t>观望</t>
        </is>
      </c>
      <c r="G1561" t="n">
        <v>7</v>
      </c>
      <c r="H1561" t="n">
        <v>6387</v>
      </c>
      <c r="I1561" t="n">
        <v>6104.57</v>
      </c>
      <c r="J1561" t="n">
        <v>1</v>
      </c>
      <c r="K1561" t="inlineStr">
        <is>
          <t>逆5日线（收盘在5日线下，不追多）</t>
        </is>
      </c>
    </row>
    <row r="1562">
      <c r="A1562" t="inlineStr">
        <is>
          <t>2023-03-02</t>
        </is>
      </c>
      <c r="B1562" t="inlineStr">
        <is>
          <t>燃料油</t>
        </is>
      </c>
      <c r="C1562" t="inlineStr">
        <is>
          <t>多</t>
        </is>
      </c>
      <c r="D1562" t="n">
        <v>2</v>
      </c>
      <c r="E1562" t="n">
        <v>4</v>
      </c>
      <c r="F1562" t="inlineStr">
        <is>
          <t>影子仓</t>
        </is>
      </c>
      <c r="G1562" t="n">
        <v>4</v>
      </c>
      <c r="H1562" t="n">
        <v>2971</v>
      </c>
      <c r="I1562" t="n">
        <v>2767.86</v>
      </c>
      <c r="J1562" t="n">
        <v>1</v>
      </c>
      <c r="K1562" t="inlineStr">
        <is>
          <t>凯利≤0，开1%影子仓（只统计，不计入组合）</t>
        </is>
      </c>
    </row>
    <row r="1563">
      <c r="A1563" t="inlineStr">
        <is>
          <t>2023-03-03</t>
        </is>
      </c>
      <c r="B1563" t="inlineStr">
        <is>
          <t>热卷</t>
        </is>
      </c>
      <c r="C1563" t="inlineStr">
        <is>
          <t>多</t>
        </is>
      </c>
      <c r="D1563" t="n">
        <v>3</v>
      </c>
      <c r="E1563" t="n">
        <v>7</v>
      </c>
      <c r="F1563" t="inlineStr">
        <is>
          <t>开仓</t>
        </is>
      </c>
      <c r="G1563" t="n">
        <v>13</v>
      </c>
      <c r="H1563" t="n">
        <v>4371</v>
      </c>
      <c r="I1563" t="n">
        <v>4202.57</v>
      </c>
      <c r="J1563" t="n">
        <v>2.26</v>
      </c>
      <c r="K1563" t="inlineStr">
        <is>
          <t>¼凯利</t>
        </is>
      </c>
    </row>
    <row r="1564">
      <c r="A1564" t="inlineStr">
        <is>
          <t>2023-03-03</t>
        </is>
      </c>
      <c r="B1564" t="inlineStr">
        <is>
          <t>铁矿石</t>
        </is>
      </c>
      <c r="C1564" t="inlineStr">
        <is>
          <t>多</t>
        </is>
      </c>
      <c r="D1564" t="n">
        <v>3</v>
      </c>
      <c r="E1564" t="n">
        <v>7</v>
      </c>
      <c r="F1564" t="inlineStr">
        <is>
          <t>续持</t>
        </is>
      </c>
      <c r="G1564" t="n">
        <v>3</v>
      </c>
      <c r="H1564" t="n">
        <v>919</v>
      </c>
      <c r="I1564" t="n">
        <v>870.25</v>
      </c>
      <c r="J1564" t="n">
        <v>2.16</v>
      </c>
      <c r="K1564" t="inlineStr">
        <is>
          <t>续持原仓（2023-03-01开）</t>
        </is>
      </c>
    </row>
    <row r="1565">
      <c r="A1565" t="inlineStr">
        <is>
          <t>2023-03-03</t>
        </is>
      </c>
      <c r="B1565" t="inlineStr">
        <is>
          <t>螺纹钢</t>
        </is>
      </c>
      <c r="C1565" t="inlineStr">
        <is>
          <t>多</t>
        </is>
      </c>
      <c r="D1565" t="n">
        <v>3</v>
      </c>
      <c r="E1565" t="n">
        <v>6</v>
      </c>
      <c r="F1565" t="inlineStr">
        <is>
          <t>开仓</t>
        </is>
      </c>
      <c r="G1565" t="n">
        <v>3</v>
      </c>
      <c r="H1565" t="n">
        <v>4272</v>
      </c>
      <c r="I1565" t="n">
        <v>4085.14</v>
      </c>
      <c r="J1565" t="n">
        <v>0.74</v>
      </c>
      <c r="K1565" t="inlineStr">
        <is>
          <t>与热卷高度相关（同组≤3%），预算缩小</t>
        </is>
      </c>
    </row>
    <row r="1566">
      <c r="A1566" t="inlineStr">
        <is>
          <t>2023-03-03</t>
        </is>
      </c>
      <c r="B1566" t="inlineStr">
        <is>
          <t>塑料</t>
        </is>
      </c>
      <c r="C1566" t="inlineStr">
        <is>
          <t>多</t>
        </is>
      </c>
      <c r="D1566" t="n">
        <v>2</v>
      </c>
      <c r="E1566" t="n">
        <v>5</v>
      </c>
      <c r="F1566" t="inlineStr">
        <is>
          <t>续持</t>
        </is>
      </c>
      <c r="G1566" t="n">
        <v>14</v>
      </c>
      <c r="H1566" t="n">
        <v>8367</v>
      </c>
      <c r="I1566" t="n">
        <v>8180.07</v>
      </c>
      <c r="J1566" t="n">
        <v>2.18</v>
      </c>
      <c r="K1566" t="inlineStr">
        <is>
          <t>续持原仓（2023-02-17开）</t>
        </is>
      </c>
    </row>
    <row r="1567">
      <c r="A1567" t="inlineStr">
        <is>
          <t>2023-03-03</t>
        </is>
      </c>
      <c r="B1567" t="inlineStr">
        <is>
          <t>PVC</t>
        </is>
      </c>
      <c r="C1567" t="inlineStr">
        <is>
          <t>多</t>
        </is>
      </c>
      <c r="D1567" t="n">
        <v>2</v>
      </c>
      <c r="E1567" t="n">
        <v>5</v>
      </c>
      <c r="F1567" t="inlineStr">
        <is>
          <t>影子仓</t>
        </is>
      </c>
      <c r="G1567" t="n">
        <v>7</v>
      </c>
      <c r="H1567" t="n">
        <v>6435</v>
      </c>
      <c r="I1567" t="n">
        <v>6157.93</v>
      </c>
      <c r="J1567" t="n">
        <v>1</v>
      </c>
      <c r="K1567" t="inlineStr">
        <is>
          <t>凯利≤0，开1%影子仓（只统计，不计入组合）</t>
        </is>
      </c>
    </row>
    <row r="1568">
      <c r="A1568" t="inlineStr">
        <is>
          <t>2023-03-06</t>
        </is>
      </c>
      <c r="B1568" t="inlineStr">
        <is>
          <t>沪铝</t>
        </is>
      </c>
      <c r="C1568" t="inlineStr">
        <is>
          <t>空</t>
        </is>
      </c>
      <c r="D1568" t="n">
        <v>3</v>
      </c>
      <c r="E1568" t="n">
        <v>6</v>
      </c>
      <c r="F1568" t="inlineStr">
        <is>
          <t>续持</t>
        </is>
      </c>
      <c r="G1568" t="n">
        <v>2</v>
      </c>
      <c r="H1568" t="n">
        <v>18590</v>
      </c>
      <c r="I1568" t="n">
        <v>19016.43</v>
      </c>
      <c r="J1568" t="n">
        <v>1</v>
      </c>
      <c r="K1568" t="inlineStr">
        <is>
          <t>续持原仓（2023-02-23开）</t>
        </is>
      </c>
    </row>
    <row r="1569">
      <c r="A1569" t="inlineStr">
        <is>
          <t>2023-03-06</t>
        </is>
      </c>
      <c r="B1569" t="inlineStr">
        <is>
          <t>沪金</t>
        </is>
      </c>
      <c r="C1569" t="inlineStr">
        <is>
          <t>多</t>
        </is>
      </c>
      <c r="D1569" t="n">
        <v>2</v>
      </c>
      <c r="E1569" t="n">
        <v>5</v>
      </c>
      <c r="F1569" t="inlineStr">
        <is>
          <t>影子仓</t>
        </is>
      </c>
      <c r="G1569" t="n">
        <v>1</v>
      </c>
      <c r="H1569" t="n">
        <v>419.28</v>
      </c>
      <c r="I1569" t="n">
        <v>412.34</v>
      </c>
      <c r="J1569" t="n">
        <v>1</v>
      </c>
      <c r="K1569" t="inlineStr">
        <is>
          <t>凯利≤0，开1%影子仓（只统计，不计入组合）</t>
        </is>
      </c>
    </row>
    <row r="1570">
      <c r="A1570" t="inlineStr">
        <is>
          <t>2023-03-06</t>
        </is>
      </c>
      <c r="B1570" t="inlineStr">
        <is>
          <t>塑料</t>
        </is>
      </c>
      <c r="C1570" t="inlineStr">
        <is>
          <t>多</t>
        </is>
      </c>
      <c r="D1570" t="n">
        <v>2</v>
      </c>
      <c r="E1570" t="n">
        <v>5</v>
      </c>
      <c r="F1570" t="inlineStr">
        <is>
          <t>观望</t>
        </is>
      </c>
      <c r="G1570" t="n">
        <v>7</v>
      </c>
      <c r="H1570" t="n">
        <v>8313</v>
      </c>
      <c r="I1570" t="n">
        <v>8052.43</v>
      </c>
      <c r="J1570" t="n">
        <v>1</v>
      </c>
      <c r="K1570" t="inlineStr">
        <is>
          <t>逆5日线（收盘在5日线下，不追多）</t>
        </is>
      </c>
    </row>
    <row r="1571">
      <c r="A1571" t="inlineStr">
        <is>
          <t>2023-03-06</t>
        </is>
      </c>
      <c r="B1571" t="inlineStr">
        <is>
          <t>沪锌</t>
        </is>
      </c>
      <c r="C1571" t="inlineStr">
        <is>
          <t>空</t>
        </is>
      </c>
      <c r="D1571" t="n">
        <v>2</v>
      </c>
      <c r="E1571" t="n">
        <v>5</v>
      </c>
      <c r="F1571" t="inlineStr">
        <is>
          <t>影子仓</t>
        </is>
      </c>
      <c r="G1571" t="n">
        <v>1</v>
      </c>
      <c r="H1571" t="n">
        <v>23280</v>
      </c>
      <c r="I1571" t="n">
        <v>24336.43</v>
      </c>
      <c r="J1571" t="n">
        <v>1</v>
      </c>
      <c r="K1571" t="inlineStr">
        <is>
          <t>凯利≤0，开1%影子仓（只统计，不计入组合）</t>
        </is>
      </c>
    </row>
    <row r="1572">
      <c r="A1572" t="inlineStr">
        <is>
          <t>2023-03-07</t>
        </is>
      </c>
      <c r="B1572" t="inlineStr">
        <is>
          <t>铁矿石</t>
        </is>
      </c>
      <c r="C1572" t="inlineStr">
        <is>
          <t>多</t>
        </is>
      </c>
      <c r="D1572" t="n">
        <v>3</v>
      </c>
      <c r="E1572" t="n">
        <v>6</v>
      </c>
      <c r="F1572" t="inlineStr">
        <is>
          <t>开仓</t>
        </is>
      </c>
      <c r="G1572" t="n">
        <v>3</v>
      </c>
      <c r="H1572" t="n">
        <v>909.5</v>
      </c>
      <c r="I1572" t="n">
        <v>853.6799999999999</v>
      </c>
      <c r="J1572" t="n">
        <v>2</v>
      </c>
      <c r="K1572" t="inlineStr">
        <is>
          <t>¼凯利</t>
        </is>
      </c>
    </row>
    <row r="1573">
      <c r="A1573" t="inlineStr">
        <is>
          <t>2023-03-07</t>
        </is>
      </c>
      <c r="B1573" t="inlineStr">
        <is>
          <t>锰硅</t>
        </is>
      </c>
      <c r="C1573" t="inlineStr">
        <is>
          <t>多</t>
        </is>
      </c>
      <c r="D1573" t="n">
        <v>2</v>
      </c>
      <c r="E1573" t="n">
        <v>5</v>
      </c>
      <c r="F1573" t="inlineStr">
        <is>
          <t>观望</t>
        </is>
      </c>
      <c r="G1573" t="n">
        <v>6</v>
      </c>
      <c r="H1573" t="n">
        <v>7372</v>
      </c>
      <c r="I1573" t="n">
        <v>7041.57</v>
      </c>
      <c r="J1573" t="n">
        <v>1</v>
      </c>
      <c r="K1573" t="inlineStr">
        <is>
          <t>逆5日线（收盘在5日线下，不追多）</t>
        </is>
      </c>
    </row>
    <row r="1574">
      <c r="A1574" t="inlineStr">
        <is>
          <t>2023-03-07</t>
        </is>
      </c>
      <c r="B1574" t="inlineStr">
        <is>
          <t>螺纹钢</t>
        </is>
      </c>
      <c r="C1574" t="inlineStr">
        <is>
          <t>多</t>
        </is>
      </c>
      <c r="D1574" t="n">
        <v>2</v>
      </c>
      <c r="E1574" t="n">
        <v>5</v>
      </c>
      <c r="F1574" t="inlineStr">
        <is>
          <t>续持</t>
        </is>
      </c>
      <c r="G1574" t="n">
        <v>3</v>
      </c>
      <c r="H1574" t="n">
        <v>4248</v>
      </c>
      <c r="I1574" t="n">
        <v>4080.79</v>
      </c>
      <c r="J1574" t="n">
        <v>0.74</v>
      </c>
      <c r="K1574" t="inlineStr">
        <is>
          <t>续持原仓（2023-03-03开）</t>
        </is>
      </c>
    </row>
    <row r="1575">
      <c r="A1575" t="inlineStr">
        <is>
          <t>2023-03-07</t>
        </is>
      </c>
      <c r="B1575" t="inlineStr">
        <is>
          <t>沪金</t>
        </is>
      </c>
      <c r="C1575" t="inlineStr">
        <is>
          <t>多</t>
        </is>
      </c>
      <c r="D1575" t="n">
        <v>2</v>
      </c>
      <c r="E1575" t="n">
        <v>4</v>
      </c>
      <c r="F1575" t="inlineStr">
        <is>
          <t>续持</t>
        </is>
      </c>
      <c r="G1575" t="n">
        <v>1</v>
      </c>
      <c r="H1575" t="n">
        <v>419.74</v>
      </c>
      <c r="I1575" t="n">
        <v>413.81</v>
      </c>
      <c r="J1575" t="n">
        <v>1</v>
      </c>
      <c r="K1575" t="inlineStr">
        <is>
          <t>续持原仓（2023-03-06开）</t>
        </is>
      </c>
    </row>
    <row r="1576">
      <c r="A1576" t="inlineStr">
        <is>
          <t>2023-03-07</t>
        </is>
      </c>
      <c r="B1576" t="inlineStr">
        <is>
          <t>菜粕</t>
        </is>
      </c>
      <c r="C1576" t="inlineStr">
        <is>
          <t>多</t>
        </is>
      </c>
      <c r="D1576" t="n">
        <v>2</v>
      </c>
      <c r="E1576" t="n">
        <v>4</v>
      </c>
      <c r="F1576" t="inlineStr">
        <is>
          <t>影子仓</t>
        </is>
      </c>
      <c r="G1576" t="n">
        <v>7</v>
      </c>
      <c r="H1576" t="n">
        <v>3067</v>
      </c>
      <c r="I1576" t="n">
        <v>2933.71</v>
      </c>
      <c r="J1576" t="n">
        <v>1</v>
      </c>
      <c r="K1576" t="inlineStr">
        <is>
          <t>凯利≤0，开1%影子仓（只统计，不计入组合）</t>
        </is>
      </c>
    </row>
    <row r="1577">
      <c r="A1577" t="inlineStr">
        <is>
          <t>2023-03-08</t>
        </is>
      </c>
      <c r="B1577" t="inlineStr">
        <is>
          <t>铁矿石</t>
        </is>
      </c>
      <c r="C1577" t="inlineStr">
        <is>
          <t>多</t>
        </is>
      </c>
      <c r="D1577" t="n">
        <v>3</v>
      </c>
      <c r="E1577" t="n">
        <v>7</v>
      </c>
      <c r="F1577" t="inlineStr">
        <is>
          <t>续持</t>
        </is>
      </c>
      <c r="G1577" t="n">
        <v>3</v>
      </c>
      <c r="H1577" t="n">
        <v>912</v>
      </c>
      <c r="I1577" t="n">
        <v>861.54</v>
      </c>
      <c r="J1577" t="n">
        <v>2</v>
      </c>
      <c r="K1577" t="inlineStr">
        <is>
          <t>续持原仓（2023-03-07开）</t>
        </is>
      </c>
    </row>
    <row r="1578">
      <c r="A1578" t="inlineStr">
        <is>
          <t>2023-03-08</t>
        </is>
      </c>
      <c r="B1578" t="inlineStr">
        <is>
          <t>沪镍</t>
        </is>
      </c>
      <c r="C1578" t="inlineStr">
        <is>
          <t>空</t>
        </is>
      </c>
      <c r="D1578" t="n">
        <v>3</v>
      </c>
      <c r="E1578" t="n">
        <v>7</v>
      </c>
      <c r="F1578" t="inlineStr">
        <is>
          <t>开仓</t>
        </is>
      </c>
      <c r="G1578" t="n">
        <v>1</v>
      </c>
      <c r="H1578" t="n">
        <v>186830</v>
      </c>
      <c r="I1578" t="n">
        <v>203057.86</v>
      </c>
      <c r="J1578" t="n">
        <v>2</v>
      </c>
      <c r="K1578" t="inlineStr">
        <is>
          <t>¼凯利</t>
        </is>
      </c>
    </row>
    <row r="1579">
      <c r="A1579" t="inlineStr">
        <is>
          <t>2023-03-08</t>
        </is>
      </c>
      <c r="B1579" t="inlineStr">
        <is>
          <t>白糖</t>
        </is>
      </c>
      <c r="C1579" t="inlineStr">
        <is>
          <t>多</t>
        </is>
      </c>
      <c r="D1579" t="n">
        <v>2</v>
      </c>
      <c r="E1579" t="n">
        <v>5</v>
      </c>
      <c r="F1579" t="inlineStr">
        <is>
          <t>影子仓</t>
        </is>
      </c>
      <c r="G1579" t="n">
        <v>5</v>
      </c>
      <c r="H1579" t="n">
        <v>6186</v>
      </c>
      <c r="I1579" t="n">
        <v>6013.93</v>
      </c>
      <c r="J1579" t="n">
        <v>1</v>
      </c>
      <c r="K1579" t="inlineStr">
        <is>
          <t>凯利≤0，开1%影子仓（只统计，不计入组合）</t>
        </is>
      </c>
    </row>
    <row r="1580">
      <c r="A1580" t="inlineStr">
        <is>
          <t>2023-03-08</t>
        </is>
      </c>
      <c r="B1580" t="inlineStr">
        <is>
          <t>沪金</t>
        </is>
      </c>
      <c r="C1580" t="inlineStr">
        <is>
          <t>多</t>
        </is>
      </c>
      <c r="D1580" t="n">
        <v>2</v>
      </c>
      <c r="E1580" t="n">
        <v>5</v>
      </c>
      <c r="F1580" t="inlineStr">
        <is>
          <t>观望</t>
        </is>
      </c>
      <c r="G1580" t="n">
        <v>1</v>
      </c>
      <c r="H1580" t="n">
        <v>414.86</v>
      </c>
      <c r="I1580" t="n">
        <v>407.54</v>
      </c>
      <c r="J1580" t="n">
        <v>1</v>
      </c>
      <c r="K1580" t="inlineStr">
        <is>
          <t>逆5日线（收盘在5日线下，不追多）</t>
        </is>
      </c>
    </row>
    <row r="1581">
      <c r="A1581" t="inlineStr">
        <is>
          <t>2023-03-08</t>
        </is>
      </c>
      <c r="B1581" t="inlineStr">
        <is>
          <t>PTA</t>
        </is>
      </c>
      <c r="C1581" t="inlineStr">
        <is>
          <t>多</t>
        </is>
      </c>
      <c r="D1581" t="n">
        <v>2</v>
      </c>
      <c r="E1581" t="n">
        <v>5</v>
      </c>
      <c r="F1581" t="inlineStr">
        <is>
          <t>影子仓</t>
        </is>
      </c>
      <c r="G1581" t="n">
        <v>6</v>
      </c>
      <c r="H1581" t="n">
        <v>5808</v>
      </c>
      <c r="I1581" t="n">
        <v>5502.43</v>
      </c>
      <c r="J1581" t="n">
        <v>1</v>
      </c>
      <c r="K1581" t="inlineStr">
        <is>
          <t>凯利≤0，开1%影子仓（只统计，不计入组合）</t>
        </is>
      </c>
    </row>
    <row r="1582">
      <c r="A1582" t="inlineStr">
        <is>
          <t>2023-03-08</t>
        </is>
      </c>
      <c r="B1582" t="inlineStr">
        <is>
          <t>沪铝</t>
        </is>
      </c>
      <c r="C1582" t="inlineStr">
        <is>
          <t>空</t>
        </is>
      </c>
      <c r="D1582" t="n">
        <v>2</v>
      </c>
      <c r="E1582" t="n">
        <v>4</v>
      </c>
      <c r="F1582" t="inlineStr">
        <is>
          <t>续持</t>
        </is>
      </c>
      <c r="G1582" t="n">
        <v>2</v>
      </c>
      <c r="H1582" t="n">
        <v>18540</v>
      </c>
      <c r="I1582" t="n">
        <v>19008.93</v>
      </c>
      <c r="J1582" t="n">
        <v>1</v>
      </c>
      <c r="K1582" t="inlineStr">
        <is>
          <t>续持原仓（2023-02-23开）</t>
        </is>
      </c>
    </row>
    <row r="1583">
      <c r="A1583" t="inlineStr">
        <is>
          <t>2023-03-09</t>
        </is>
      </c>
      <c r="B1583" t="inlineStr">
        <is>
          <t>热卷</t>
        </is>
      </c>
      <c r="C1583" t="inlineStr">
        <is>
          <t>多</t>
        </is>
      </c>
      <c r="D1583" t="n">
        <v>3</v>
      </c>
      <c r="E1583" t="n">
        <v>7</v>
      </c>
      <c r="F1583" t="inlineStr">
        <is>
          <t>续持</t>
        </is>
      </c>
      <c r="G1583" t="n">
        <v>13</v>
      </c>
      <c r="H1583" t="n">
        <v>4402</v>
      </c>
      <c r="I1583" t="n">
        <v>4241.64</v>
      </c>
      <c r="J1583" t="n">
        <v>2.26</v>
      </c>
      <c r="K1583" t="inlineStr">
        <is>
          <t>续持原仓（2023-03-03开）</t>
        </is>
      </c>
    </row>
    <row r="1584">
      <c r="A1584" t="inlineStr">
        <is>
          <t>2023-03-09</t>
        </is>
      </c>
      <c r="B1584" t="inlineStr">
        <is>
          <t>铁矿石</t>
        </is>
      </c>
      <c r="C1584" t="inlineStr">
        <is>
          <t>多</t>
        </is>
      </c>
      <c r="D1584" t="n">
        <v>3</v>
      </c>
      <c r="E1584" t="n">
        <v>6</v>
      </c>
      <c r="F1584" t="inlineStr">
        <is>
          <t>续持</t>
        </is>
      </c>
      <c r="G1584" t="n">
        <v>3</v>
      </c>
      <c r="H1584" t="n">
        <v>916.5</v>
      </c>
      <c r="I1584" t="n">
        <v>863.71</v>
      </c>
      <c r="J1584" t="n">
        <v>2</v>
      </c>
      <c r="K1584" t="inlineStr">
        <is>
          <t>续持原仓（2023-03-07开）</t>
        </is>
      </c>
    </row>
    <row r="1585">
      <c r="A1585" t="inlineStr">
        <is>
          <t>2023-03-09</t>
        </is>
      </c>
      <c r="B1585" t="inlineStr">
        <is>
          <t>白糖</t>
        </is>
      </c>
      <c r="C1585" t="inlineStr">
        <is>
          <t>多</t>
        </is>
      </c>
      <c r="D1585" t="n">
        <v>2</v>
      </c>
      <c r="E1585" t="n">
        <v>5</v>
      </c>
      <c r="F1585" t="inlineStr">
        <is>
          <t>续持</t>
        </is>
      </c>
      <c r="G1585" t="n">
        <v>5</v>
      </c>
      <c r="H1585" t="n">
        <v>6207</v>
      </c>
      <c r="I1585" t="n">
        <v>6057.79</v>
      </c>
      <c r="J1585" t="n">
        <v>1</v>
      </c>
      <c r="K1585" t="inlineStr">
        <is>
          <t>续持原仓（2023-03-08开）</t>
        </is>
      </c>
    </row>
    <row r="1586">
      <c r="A1586" t="inlineStr">
        <is>
          <t>2023-03-09</t>
        </is>
      </c>
      <c r="B1586" t="inlineStr">
        <is>
          <t>沪镍</t>
        </is>
      </c>
      <c r="C1586" t="inlineStr">
        <is>
          <t>空</t>
        </is>
      </c>
      <c r="D1586" t="n">
        <v>2</v>
      </c>
      <c r="E1586" t="n">
        <v>5</v>
      </c>
      <c r="F1586" t="inlineStr">
        <is>
          <t>续持</t>
        </is>
      </c>
      <c r="G1586" t="n">
        <v>1</v>
      </c>
      <c r="H1586" t="n">
        <v>186510</v>
      </c>
      <c r="I1586" t="n">
        <v>200759.29</v>
      </c>
      <c r="J1586" t="n">
        <v>2</v>
      </c>
      <c r="K1586" t="inlineStr">
        <is>
          <t>续持原仓（2023-03-08开）</t>
        </is>
      </c>
    </row>
    <row r="1587">
      <c r="A1587" t="inlineStr">
        <is>
          <t>2023-03-09</t>
        </is>
      </c>
      <c r="B1587" t="inlineStr">
        <is>
          <t>乙二醇</t>
        </is>
      </c>
      <c r="C1587" t="inlineStr">
        <is>
          <t>空</t>
        </is>
      </c>
      <c r="D1587" t="n">
        <v>2</v>
      </c>
      <c r="E1587" t="n">
        <v>4</v>
      </c>
      <c r="F1587" t="inlineStr">
        <is>
          <t>影子仓</t>
        </is>
      </c>
      <c r="G1587" t="n">
        <v>4</v>
      </c>
      <c r="H1587" t="n">
        <v>4170</v>
      </c>
      <c r="I1587" t="n">
        <v>4380.64</v>
      </c>
      <c r="J1587" t="n">
        <v>1</v>
      </c>
      <c r="K1587" t="inlineStr">
        <is>
          <t>凯利≤0，开1%影子仓（只统计，不计入组合）</t>
        </is>
      </c>
    </row>
    <row r="1588">
      <c r="A1588" t="inlineStr">
        <is>
          <t>2023-03-10</t>
        </is>
      </c>
      <c r="B1588" t="inlineStr">
        <is>
          <t>沪金</t>
        </is>
      </c>
      <c r="C1588" t="inlineStr">
        <is>
          <t>多</t>
        </is>
      </c>
      <c r="D1588" t="n">
        <v>3</v>
      </c>
      <c r="E1588" t="n">
        <v>6</v>
      </c>
      <c r="F1588" t="inlineStr">
        <is>
          <t>续持</t>
        </is>
      </c>
      <c r="G1588" t="n">
        <v>1</v>
      </c>
      <c r="H1588" t="n">
        <v>417.6</v>
      </c>
      <c r="I1588" t="n">
        <v>413.81</v>
      </c>
      <c r="J1588" t="n">
        <v>1</v>
      </c>
      <c r="K1588" t="inlineStr">
        <is>
          <t>续持原仓（2023-03-06开）</t>
        </is>
      </c>
    </row>
    <row r="1589">
      <c r="A1589" t="inlineStr">
        <is>
          <t>2023-03-10</t>
        </is>
      </c>
      <c r="B1589" t="inlineStr">
        <is>
          <t>沪镍</t>
        </is>
      </c>
      <c r="C1589" t="inlineStr">
        <is>
          <t>空</t>
        </is>
      </c>
      <c r="D1589" t="n">
        <v>3</v>
      </c>
      <c r="E1589" t="n">
        <v>6</v>
      </c>
      <c r="F1589" t="inlineStr">
        <is>
          <t>续持</t>
        </is>
      </c>
      <c r="G1589" t="n">
        <v>1</v>
      </c>
      <c r="H1589" t="n">
        <v>179670</v>
      </c>
      <c r="I1589" t="n">
        <v>196358.57</v>
      </c>
      <c r="J1589" t="n">
        <v>2</v>
      </c>
      <c r="K1589" t="inlineStr">
        <is>
          <t>续持原仓（2023-03-08开）</t>
        </is>
      </c>
    </row>
    <row r="1590">
      <c r="A1590" t="inlineStr">
        <is>
          <t>2023-03-10</t>
        </is>
      </c>
      <c r="B1590" t="inlineStr">
        <is>
          <t>螺纹钢</t>
        </is>
      </c>
      <c r="C1590" t="inlineStr">
        <is>
          <t>多</t>
        </is>
      </c>
      <c r="D1590" t="n">
        <v>2</v>
      </c>
      <c r="E1590" t="n">
        <v>5</v>
      </c>
      <c r="F1590" t="inlineStr">
        <is>
          <t>影子仓</t>
        </is>
      </c>
      <c r="G1590" t="n">
        <v>5</v>
      </c>
      <c r="H1590" t="n">
        <v>4314</v>
      </c>
      <c r="I1590" t="n">
        <v>4122</v>
      </c>
      <c r="J1590" t="n">
        <v>1</v>
      </c>
      <c r="K1590" t="inlineStr">
        <is>
          <t>凯利≤0，开1%影子仓（只统计，不计入组合）</t>
        </is>
      </c>
    </row>
    <row r="1591">
      <c r="A1591" t="inlineStr">
        <is>
          <t>2023-03-10</t>
        </is>
      </c>
      <c r="B1591" t="inlineStr">
        <is>
          <t>沥青</t>
        </is>
      </c>
      <c r="C1591" t="inlineStr">
        <is>
          <t>空</t>
        </is>
      </c>
      <c r="D1591" t="n">
        <v>2</v>
      </c>
      <c r="E1591" t="n">
        <v>5</v>
      </c>
      <c r="F1591" t="inlineStr">
        <is>
          <t>影子仓</t>
        </is>
      </c>
      <c r="G1591" t="n">
        <v>4</v>
      </c>
      <c r="H1591" t="n">
        <v>3889</v>
      </c>
      <c r="I1591" t="n">
        <v>4101.36</v>
      </c>
      <c r="J1591" t="n">
        <v>1</v>
      </c>
      <c r="K1591" t="inlineStr">
        <is>
          <t>凯利≤0，开1%影子仓（只统计，不计入组合）</t>
        </is>
      </c>
    </row>
    <row r="1592">
      <c r="A1592" t="inlineStr">
        <is>
          <t>2023-03-10</t>
        </is>
      </c>
      <c r="B1592" t="inlineStr">
        <is>
          <t>铁矿石</t>
        </is>
      </c>
      <c r="C1592" t="inlineStr">
        <is>
          <t>多</t>
        </is>
      </c>
      <c r="D1592" t="n">
        <v>2</v>
      </c>
      <c r="E1592" t="n">
        <v>4</v>
      </c>
      <c r="F1592" t="inlineStr">
        <is>
          <t>续持</t>
        </is>
      </c>
      <c r="G1592" t="n">
        <v>3</v>
      </c>
      <c r="H1592" t="n">
        <v>910</v>
      </c>
      <c r="I1592" t="n">
        <v>876.36</v>
      </c>
      <c r="J1592" t="n">
        <v>2</v>
      </c>
      <c r="K1592" t="inlineStr">
        <is>
          <t>续持原仓（2023-03-07开）</t>
        </is>
      </c>
    </row>
    <row r="1593">
      <c r="A1593" t="inlineStr">
        <is>
          <t>2023-03-10</t>
        </is>
      </c>
      <c r="B1593" t="inlineStr">
        <is>
          <t>锰硅</t>
        </is>
      </c>
      <c r="C1593" t="inlineStr">
        <is>
          <t>多</t>
        </is>
      </c>
      <c r="D1593" t="n">
        <v>2</v>
      </c>
      <c r="E1593" t="n">
        <v>4</v>
      </c>
      <c r="F1593" t="inlineStr">
        <is>
          <t>观望</t>
        </is>
      </c>
      <c r="G1593" t="n">
        <v>6</v>
      </c>
      <c r="H1593" t="n">
        <v>7356</v>
      </c>
      <c r="I1593" t="n">
        <v>7037.57</v>
      </c>
      <c r="J1593" t="n">
        <v>1</v>
      </c>
      <c r="K1593" t="inlineStr">
        <is>
          <t>逆5日线（收盘在5日线下，不追多）</t>
        </is>
      </c>
    </row>
    <row r="1594">
      <c r="A1594" t="inlineStr">
        <is>
          <t>2023-03-10</t>
        </is>
      </c>
      <c r="B1594" t="inlineStr">
        <is>
          <t>乙二醇</t>
        </is>
      </c>
      <c r="C1594" t="inlineStr">
        <is>
          <t>空</t>
        </is>
      </c>
      <c r="D1594" t="n">
        <v>2</v>
      </c>
      <c r="E1594" t="n">
        <v>4</v>
      </c>
      <c r="F1594" t="inlineStr">
        <is>
          <t>续持</t>
        </is>
      </c>
      <c r="G1594" t="n">
        <v>4</v>
      </c>
      <c r="H1594" t="n">
        <v>4113</v>
      </c>
      <c r="I1594" t="n">
        <v>4325.43</v>
      </c>
      <c r="J1594" t="n">
        <v>1</v>
      </c>
      <c r="K1594" t="inlineStr">
        <is>
          <t>续持原仓（2023-03-09开）</t>
        </is>
      </c>
    </row>
    <row r="1595">
      <c r="A1595" t="inlineStr">
        <is>
          <t>2023-03-13</t>
        </is>
      </c>
      <c r="B1595" t="inlineStr">
        <is>
          <t>螺纹钢</t>
        </is>
      </c>
      <c r="C1595" t="inlineStr">
        <is>
          <t>多</t>
        </is>
      </c>
      <c r="D1595" t="n">
        <v>3</v>
      </c>
      <c r="E1595" t="n">
        <v>7</v>
      </c>
      <c r="F1595" t="inlineStr">
        <is>
          <t>续持</t>
        </is>
      </c>
      <c r="G1595" t="n">
        <v>5</v>
      </c>
      <c r="H1595" t="n">
        <v>4371</v>
      </c>
      <c r="I1595" t="n">
        <v>4187.36</v>
      </c>
      <c r="J1595" t="n">
        <v>1</v>
      </c>
      <c r="K1595" t="inlineStr">
        <is>
          <t>续持原仓（2023-03-10开）</t>
        </is>
      </c>
    </row>
    <row r="1596">
      <c r="A1596" t="inlineStr">
        <is>
          <t>2023-03-13</t>
        </is>
      </c>
      <c r="B1596" t="inlineStr">
        <is>
          <t>沪金</t>
        </is>
      </c>
      <c r="C1596" t="inlineStr">
        <is>
          <t>多</t>
        </is>
      </c>
      <c r="D1596" t="n">
        <v>3</v>
      </c>
      <c r="E1596" t="n">
        <v>6</v>
      </c>
      <c r="F1596" t="inlineStr">
        <is>
          <t>续持</t>
        </is>
      </c>
      <c r="G1596" t="n">
        <v>1</v>
      </c>
      <c r="H1596" t="n">
        <v>421.2</v>
      </c>
      <c r="I1596" t="n">
        <v>415.2</v>
      </c>
      <c r="J1596" t="n">
        <v>1</v>
      </c>
      <c r="K1596" t="inlineStr">
        <is>
          <t>续持原仓（2023-03-06开）</t>
        </is>
      </c>
    </row>
    <row r="1597">
      <c r="A1597" t="inlineStr">
        <is>
          <t>2023-03-13</t>
        </is>
      </c>
      <c r="B1597" t="inlineStr">
        <is>
          <t>沪镍</t>
        </is>
      </c>
      <c r="C1597" t="inlineStr">
        <is>
          <t>空</t>
        </is>
      </c>
      <c r="D1597" t="n">
        <v>3</v>
      </c>
      <c r="E1597" t="n">
        <v>6</v>
      </c>
      <c r="F1597" t="inlineStr">
        <is>
          <t>续持</t>
        </is>
      </c>
      <c r="G1597" t="n">
        <v>1</v>
      </c>
      <c r="H1597" t="n">
        <v>178300</v>
      </c>
      <c r="I1597" t="n">
        <v>190880.71</v>
      </c>
      <c r="J1597" t="n">
        <v>2</v>
      </c>
      <c r="K1597" t="inlineStr">
        <is>
          <t>续持原仓（2023-03-08开）</t>
        </is>
      </c>
    </row>
    <row r="1598">
      <c r="A1598" t="inlineStr">
        <is>
          <t>2023-03-13</t>
        </is>
      </c>
      <c r="B1598" t="inlineStr">
        <is>
          <t>聚丙烯</t>
        </is>
      </c>
      <c r="C1598" t="inlineStr">
        <is>
          <t>多</t>
        </is>
      </c>
      <c r="D1598" t="n">
        <v>3</v>
      </c>
      <c r="E1598" t="n">
        <v>6</v>
      </c>
      <c r="F1598" t="inlineStr">
        <is>
          <t>观望</t>
        </is>
      </c>
      <c r="G1598" t="n">
        <v>18</v>
      </c>
      <c r="H1598" t="n">
        <v>7744</v>
      </c>
      <c r="I1598" t="n">
        <v>7501.21</v>
      </c>
      <c r="J1598" t="n">
        <v>2.26</v>
      </c>
      <c r="K1598" t="inlineStr">
        <is>
          <t>逆5日线（收盘在5日线下，不追多）</t>
        </is>
      </c>
    </row>
    <row r="1599">
      <c r="A1599" t="inlineStr">
        <is>
          <t>2023-03-13</t>
        </is>
      </c>
      <c r="B1599" t="inlineStr">
        <is>
          <t>白糖</t>
        </is>
      </c>
      <c r="C1599" t="inlineStr">
        <is>
          <t>多</t>
        </is>
      </c>
      <c r="D1599" t="n">
        <v>2</v>
      </c>
      <c r="E1599" t="n">
        <v>5</v>
      </c>
      <c r="F1599" t="inlineStr">
        <is>
          <t>影子仓</t>
        </is>
      </c>
      <c r="G1599" t="n">
        <v>5</v>
      </c>
      <c r="H1599" t="n">
        <v>6296</v>
      </c>
      <c r="I1599" t="n">
        <v>6099.29</v>
      </c>
      <c r="J1599" t="n">
        <v>1</v>
      </c>
      <c r="K1599" t="inlineStr">
        <is>
          <t>凯利≤0，开1%影子仓（只统计，不计入组合）</t>
        </is>
      </c>
    </row>
    <row r="1600">
      <c r="A1600" t="inlineStr">
        <is>
          <t>2023-03-13</t>
        </is>
      </c>
      <c r="B1600" t="inlineStr">
        <is>
          <t>锰硅</t>
        </is>
      </c>
      <c r="C1600" t="inlineStr">
        <is>
          <t>多</t>
        </is>
      </c>
      <c r="D1600" t="n">
        <v>2</v>
      </c>
      <c r="E1600" t="n">
        <v>5</v>
      </c>
      <c r="F1600" t="inlineStr">
        <is>
          <t>观望</t>
        </is>
      </c>
      <c r="G1600" t="n">
        <v>6</v>
      </c>
      <c r="H1600" t="n">
        <v>7340</v>
      </c>
      <c r="I1600" t="n">
        <v>7037.86</v>
      </c>
      <c r="J1600" t="n">
        <v>1</v>
      </c>
      <c r="K1600" t="inlineStr">
        <is>
          <t>逆5日线（收盘在5日线下，不追多）</t>
        </is>
      </c>
    </row>
    <row r="1601">
      <c r="A1601" t="inlineStr">
        <is>
          <t>2023-03-14</t>
        </is>
      </c>
      <c r="B1601" t="inlineStr">
        <is>
          <t>乙二醇</t>
        </is>
      </c>
      <c r="C1601" t="inlineStr">
        <is>
          <t>空</t>
        </is>
      </c>
      <c r="D1601" t="n">
        <v>3</v>
      </c>
      <c r="E1601" t="n">
        <v>6</v>
      </c>
      <c r="F1601" t="inlineStr">
        <is>
          <t>续持</t>
        </is>
      </c>
      <c r="G1601" t="n">
        <v>4</v>
      </c>
      <c r="H1601" t="n">
        <v>4101</v>
      </c>
      <c r="I1601" t="n">
        <v>4267.14</v>
      </c>
      <c r="J1601" t="n">
        <v>1</v>
      </c>
      <c r="K1601" t="inlineStr">
        <is>
          <t>续持原仓（2023-03-09开）</t>
        </is>
      </c>
    </row>
    <row r="1602">
      <c r="A1602" t="inlineStr">
        <is>
          <t>2023-03-14</t>
        </is>
      </c>
      <c r="B1602" t="inlineStr">
        <is>
          <t>白糖</t>
        </is>
      </c>
      <c r="C1602" t="inlineStr">
        <is>
          <t>多</t>
        </is>
      </c>
      <c r="D1602" t="n">
        <v>2</v>
      </c>
      <c r="E1602" t="n">
        <v>5</v>
      </c>
      <c r="F1602" t="inlineStr">
        <is>
          <t>续持</t>
        </is>
      </c>
      <c r="G1602" t="n">
        <v>5</v>
      </c>
      <c r="H1602" t="n">
        <v>6253</v>
      </c>
      <c r="I1602" t="n">
        <v>6110.93</v>
      </c>
      <c r="J1602" t="n">
        <v>1</v>
      </c>
      <c r="K1602" t="inlineStr">
        <is>
          <t>续持原仓（2023-03-13开）</t>
        </is>
      </c>
    </row>
    <row r="1603">
      <c r="A1603" t="inlineStr">
        <is>
          <t>2023-03-14</t>
        </is>
      </c>
      <c r="B1603" t="inlineStr">
        <is>
          <t>锰硅</t>
        </is>
      </c>
      <c r="C1603" t="inlineStr">
        <is>
          <t>多</t>
        </is>
      </c>
      <c r="D1603" t="n">
        <v>2</v>
      </c>
      <c r="E1603" t="n">
        <v>4</v>
      </c>
      <c r="F1603" t="inlineStr">
        <is>
          <t>观望</t>
        </is>
      </c>
      <c r="G1603" t="n">
        <v>6</v>
      </c>
      <c r="H1603" t="n">
        <v>7354</v>
      </c>
      <c r="I1603" t="n">
        <v>7051</v>
      </c>
      <c r="J1603" t="n">
        <v>1</v>
      </c>
      <c r="K1603" t="inlineStr">
        <is>
          <t>逆5日线（收盘在5日线下，不追多）</t>
        </is>
      </c>
    </row>
    <row r="1604">
      <c r="A1604" t="inlineStr">
        <is>
          <t>2023-03-15</t>
        </is>
      </c>
      <c r="B1604" t="inlineStr">
        <is>
          <t>铁矿石</t>
        </is>
      </c>
      <c r="C1604" t="inlineStr">
        <is>
          <t>多</t>
        </is>
      </c>
      <c r="D1604" t="n">
        <v>3</v>
      </c>
      <c r="E1604" t="n">
        <v>7</v>
      </c>
      <c r="F1604" t="inlineStr">
        <is>
          <t>开仓</t>
        </is>
      </c>
      <c r="G1604" t="n">
        <v>4</v>
      </c>
      <c r="H1604" t="n">
        <v>926.5</v>
      </c>
      <c r="I1604" t="n">
        <v>869.61</v>
      </c>
      <c r="J1604" t="n">
        <v>2.56</v>
      </c>
      <c r="K1604" t="inlineStr">
        <is>
          <t>¼凯利</t>
        </is>
      </c>
    </row>
    <row r="1605">
      <c r="A1605" t="inlineStr">
        <is>
          <t>2023-03-15</t>
        </is>
      </c>
      <c r="B1605" t="inlineStr">
        <is>
          <t>聚丙烯</t>
        </is>
      </c>
      <c r="C1605" t="inlineStr">
        <is>
          <t>空</t>
        </is>
      </c>
      <c r="D1605" t="n">
        <v>3</v>
      </c>
      <c r="E1605" t="n">
        <v>6</v>
      </c>
      <c r="F1605" t="inlineStr">
        <is>
          <t>开仓</t>
        </is>
      </c>
      <c r="G1605" t="n">
        <v>20</v>
      </c>
      <c r="H1605" t="n">
        <v>7621</v>
      </c>
      <c r="I1605" t="n">
        <v>7871.29</v>
      </c>
      <c r="J1605" t="n">
        <v>2.56</v>
      </c>
      <c r="K1605" t="inlineStr">
        <is>
          <t>¼凯利</t>
        </is>
      </c>
    </row>
    <row r="1606">
      <c r="A1606" t="inlineStr">
        <is>
          <t>2023-03-15</t>
        </is>
      </c>
      <c r="B1606" t="inlineStr">
        <is>
          <t>锰硅</t>
        </is>
      </c>
      <c r="C1606" t="inlineStr">
        <is>
          <t>多</t>
        </is>
      </c>
      <c r="D1606" t="n">
        <v>2</v>
      </c>
      <c r="E1606" t="n">
        <v>5</v>
      </c>
      <c r="F1606" t="inlineStr">
        <is>
          <t>观望</t>
        </is>
      </c>
      <c r="G1606" t="n">
        <v>6</v>
      </c>
      <c r="H1606" t="n">
        <v>7320</v>
      </c>
      <c r="I1606" t="n">
        <v>7022.57</v>
      </c>
      <c r="J1606" t="n">
        <v>1</v>
      </c>
      <c r="K1606" t="inlineStr">
        <is>
          <t>逆5日线（收盘在5日线下，不追多）</t>
        </is>
      </c>
    </row>
    <row r="1607">
      <c r="A1607" t="inlineStr">
        <is>
          <t>2023-03-15</t>
        </is>
      </c>
      <c r="B1607" t="inlineStr">
        <is>
          <t>豆油</t>
        </is>
      </c>
      <c r="C1607" t="inlineStr">
        <is>
          <t>空</t>
        </is>
      </c>
      <c r="D1607" t="n">
        <v>2</v>
      </c>
      <c r="E1607" t="n">
        <v>4</v>
      </c>
      <c r="F1607" t="inlineStr">
        <is>
          <t>影子仓</t>
        </is>
      </c>
      <c r="G1607" t="n">
        <v>2</v>
      </c>
      <c r="H1607" t="n">
        <v>8370</v>
      </c>
      <c r="I1607" t="n">
        <v>8766</v>
      </c>
      <c r="J1607" t="n">
        <v>1</v>
      </c>
      <c r="K1607" t="inlineStr">
        <is>
          <t>凯利≤0，开1%影子仓（只统计，不计入组合）</t>
        </is>
      </c>
    </row>
    <row r="1608">
      <c r="A1608" t="inlineStr">
        <is>
          <t>2023-03-15</t>
        </is>
      </c>
      <c r="B1608" t="inlineStr">
        <is>
          <t>白糖</t>
        </is>
      </c>
      <c r="C1608" t="inlineStr">
        <is>
          <t>多</t>
        </is>
      </c>
      <c r="D1608" t="n">
        <v>2</v>
      </c>
      <c r="E1608" t="n">
        <v>4</v>
      </c>
      <c r="F1608" t="inlineStr">
        <is>
          <t>观望</t>
        </is>
      </c>
      <c r="G1608" t="n">
        <v>4</v>
      </c>
      <c r="H1608" t="n">
        <v>6196</v>
      </c>
      <c r="I1608" t="n">
        <v>5976.57</v>
      </c>
      <c r="J1608" t="n">
        <v>1</v>
      </c>
      <c r="K1608" t="inlineStr">
        <is>
          <t>逆5日线（收盘在5日线下，不追多）</t>
        </is>
      </c>
    </row>
    <row r="1609">
      <c r="A1609" t="inlineStr">
        <is>
          <t>2023-03-15</t>
        </is>
      </c>
      <c r="B1609" t="inlineStr">
        <is>
          <t>塑料</t>
        </is>
      </c>
      <c r="C1609" t="inlineStr">
        <is>
          <t>空</t>
        </is>
      </c>
      <c r="D1609" t="n">
        <v>2</v>
      </c>
      <c r="E1609" t="n">
        <v>4</v>
      </c>
      <c r="F1609" t="inlineStr">
        <is>
          <t>影子仓</t>
        </is>
      </c>
      <c r="G1609" t="n">
        <v>7</v>
      </c>
      <c r="H1609" t="n">
        <v>8111</v>
      </c>
      <c r="I1609" t="n">
        <v>8371.360000000001</v>
      </c>
      <c r="J1609" t="n">
        <v>1</v>
      </c>
      <c r="K1609" t="inlineStr">
        <is>
          <t>凯利≤0，开1%影子仓（只统计，不计入组合）</t>
        </is>
      </c>
    </row>
    <row r="1610">
      <c r="A1610" t="inlineStr">
        <is>
          <t>2023-03-16</t>
        </is>
      </c>
      <c r="B1610" t="inlineStr">
        <is>
          <t>聚丙烯</t>
        </is>
      </c>
      <c r="C1610" t="inlineStr">
        <is>
          <t>空</t>
        </is>
      </c>
      <c r="D1610" t="n">
        <v>3</v>
      </c>
      <c r="E1610" t="n">
        <v>7</v>
      </c>
      <c r="F1610" t="inlineStr">
        <is>
          <t>续持</t>
        </is>
      </c>
      <c r="G1610" t="n">
        <v>20</v>
      </c>
      <c r="H1610" t="n">
        <v>7506</v>
      </c>
      <c r="I1610" t="n">
        <v>7738.64</v>
      </c>
      <c r="J1610" t="n">
        <v>2.56</v>
      </c>
      <c r="K1610" t="inlineStr">
        <is>
          <t>续持原仓（2023-03-15开）</t>
        </is>
      </c>
    </row>
    <row r="1611">
      <c r="A1611" t="inlineStr">
        <is>
          <t>2023-03-16</t>
        </is>
      </c>
      <c r="B1611" t="inlineStr">
        <is>
          <t>乙二醇</t>
        </is>
      </c>
      <c r="C1611" t="inlineStr">
        <is>
          <t>空</t>
        </is>
      </c>
      <c r="D1611" t="n">
        <v>3</v>
      </c>
      <c r="E1611" t="n">
        <v>7</v>
      </c>
      <c r="F1611" t="inlineStr">
        <is>
          <t>续持</t>
        </is>
      </c>
      <c r="G1611" t="n">
        <v>4</v>
      </c>
      <c r="H1611" t="n">
        <v>4014</v>
      </c>
      <c r="I1611" t="n">
        <v>4251.29</v>
      </c>
      <c r="J1611" t="n">
        <v>1</v>
      </c>
      <c r="K1611" t="inlineStr">
        <is>
          <t>续持原仓（2023-03-09开）</t>
        </is>
      </c>
    </row>
    <row r="1612">
      <c r="A1612" t="inlineStr">
        <is>
          <t>2023-03-16</t>
        </is>
      </c>
      <c r="B1612" t="inlineStr">
        <is>
          <t>沪金</t>
        </is>
      </c>
      <c r="C1612" t="inlineStr">
        <is>
          <t>多</t>
        </is>
      </c>
      <c r="D1612" t="n">
        <v>3</v>
      </c>
      <c r="E1612" t="n">
        <v>6</v>
      </c>
      <c r="F1612" t="inlineStr">
        <is>
          <t>开仓</t>
        </is>
      </c>
      <c r="G1612" t="n">
        <v>2</v>
      </c>
      <c r="H1612" t="n">
        <v>430.48</v>
      </c>
      <c r="I1612" t="n">
        <v>420.39</v>
      </c>
      <c r="J1612" t="n">
        <v>2.56</v>
      </c>
      <c r="K1612" t="inlineStr">
        <is>
          <t>¼凯利</t>
        </is>
      </c>
    </row>
    <row r="1613">
      <c r="A1613" t="inlineStr">
        <is>
          <t>2023-03-16</t>
        </is>
      </c>
      <c r="B1613" t="inlineStr">
        <is>
          <t>豆油</t>
        </is>
      </c>
      <c r="C1613" t="inlineStr">
        <is>
          <t>空</t>
        </is>
      </c>
      <c r="D1613" t="n">
        <v>3</v>
      </c>
      <c r="E1613" t="n">
        <v>6</v>
      </c>
      <c r="F1613" t="inlineStr">
        <is>
          <t>续持</t>
        </is>
      </c>
      <c r="G1613" t="n">
        <v>2</v>
      </c>
      <c r="H1613" t="n">
        <v>8166</v>
      </c>
      <c r="I1613" t="n">
        <v>8548.139999999999</v>
      </c>
      <c r="J1613" t="n">
        <v>1</v>
      </c>
      <c r="K1613" t="inlineStr">
        <is>
          <t>续持原仓（2023-03-15开）</t>
        </is>
      </c>
    </row>
    <row r="1614">
      <c r="A1614" t="inlineStr">
        <is>
          <t>2023-03-16</t>
        </is>
      </c>
      <c r="B1614" t="inlineStr">
        <is>
          <t>燃料油</t>
        </is>
      </c>
      <c r="C1614" t="inlineStr">
        <is>
          <t>空</t>
        </is>
      </c>
      <c r="D1614" t="n">
        <v>3</v>
      </c>
      <c r="E1614" t="n">
        <v>6</v>
      </c>
      <c r="F1614" t="inlineStr">
        <is>
          <t>开仓</t>
        </is>
      </c>
      <c r="G1614" t="n">
        <v>8</v>
      </c>
      <c r="H1614" t="n">
        <v>2655</v>
      </c>
      <c r="I1614" t="n">
        <v>2926.29</v>
      </c>
      <c r="J1614" t="n">
        <v>2.32</v>
      </c>
      <c r="K1614" t="inlineStr">
        <is>
          <t>组合风险已近10%，预算缩小</t>
        </is>
      </c>
    </row>
    <row r="1615">
      <c r="A1615" t="inlineStr">
        <is>
          <t>2023-03-16</t>
        </is>
      </c>
      <c r="B1615" t="inlineStr">
        <is>
          <t>玉米</t>
        </is>
      </c>
      <c r="C1615" t="inlineStr">
        <is>
          <t>空</t>
        </is>
      </c>
      <c r="D1615" t="n">
        <v>2</v>
      </c>
      <c r="E1615" t="n">
        <v>5</v>
      </c>
      <c r="F1615" t="inlineStr">
        <is>
          <t>影子仓</t>
        </is>
      </c>
      <c r="G1615" t="n">
        <v>15</v>
      </c>
      <c r="H1615" t="n">
        <v>2824</v>
      </c>
      <c r="I1615" t="n">
        <v>2888.93</v>
      </c>
      <c r="J1615" t="n">
        <v>1</v>
      </c>
      <c r="K1615" t="inlineStr">
        <is>
          <t>凯利≤0，开1%影子仓（只统计，不计入组合）</t>
        </is>
      </c>
    </row>
    <row r="1616">
      <c r="A1616" t="inlineStr">
        <is>
          <t>2023-03-17</t>
        </is>
      </c>
      <c r="B1616" t="inlineStr">
        <is>
          <t>沪金</t>
        </is>
      </c>
      <c r="C1616" t="inlineStr">
        <is>
          <t>多</t>
        </is>
      </c>
      <c r="D1616" t="n">
        <v>3</v>
      </c>
      <c r="E1616" t="n">
        <v>7</v>
      </c>
      <c r="F1616" t="inlineStr">
        <is>
          <t>续持</t>
        </is>
      </c>
      <c r="G1616" t="n">
        <v>2</v>
      </c>
      <c r="H1616" t="n">
        <v>432.44</v>
      </c>
      <c r="I1616" t="n">
        <v>422.98</v>
      </c>
      <c r="J1616" t="n">
        <v>2.56</v>
      </c>
      <c r="K1616" t="inlineStr">
        <is>
          <t>续持原仓（2023-03-16开）</t>
        </is>
      </c>
    </row>
    <row r="1617">
      <c r="A1617" t="inlineStr">
        <is>
          <t>2023-03-17</t>
        </is>
      </c>
      <c r="B1617" t="inlineStr">
        <is>
          <t>聚丙烯</t>
        </is>
      </c>
      <c r="C1617" t="inlineStr">
        <is>
          <t>空</t>
        </is>
      </c>
      <c r="D1617" t="n">
        <v>2</v>
      </c>
      <c r="E1617" t="n">
        <v>5</v>
      </c>
      <c r="F1617" t="inlineStr">
        <is>
          <t>续持</t>
        </is>
      </c>
      <c r="G1617" t="n">
        <v>20</v>
      </c>
      <c r="H1617" t="n">
        <v>7560</v>
      </c>
      <c r="I1617" t="n">
        <v>7738.64</v>
      </c>
      <c r="J1617" t="n">
        <v>2.56</v>
      </c>
      <c r="K1617" t="inlineStr">
        <is>
          <t>续持原仓（2023-03-15开）</t>
        </is>
      </c>
    </row>
    <row r="1618">
      <c r="A1618" t="inlineStr">
        <is>
          <t>2023-03-17</t>
        </is>
      </c>
      <c r="B1618" t="inlineStr">
        <is>
          <t>塑料</t>
        </is>
      </c>
      <c r="C1618" t="inlineStr">
        <is>
          <t>空</t>
        </is>
      </c>
      <c r="D1618" t="n">
        <v>2</v>
      </c>
      <c r="E1618" t="n">
        <v>5</v>
      </c>
      <c r="F1618" t="inlineStr">
        <is>
          <t>续持</t>
        </is>
      </c>
      <c r="G1618" t="n">
        <v>7</v>
      </c>
      <c r="H1618" t="n">
        <v>8030</v>
      </c>
      <c r="I1618" t="n">
        <v>8218.43</v>
      </c>
      <c r="J1618" t="n">
        <v>1</v>
      </c>
      <c r="K1618" t="inlineStr">
        <is>
          <t>续持原仓（2023-03-15开）</t>
        </is>
      </c>
    </row>
    <row r="1619">
      <c r="A1619" t="inlineStr">
        <is>
          <t>2023-03-17</t>
        </is>
      </c>
      <c r="B1619" t="inlineStr">
        <is>
          <t>沪镍</t>
        </is>
      </c>
      <c r="C1619" t="inlineStr">
        <is>
          <t>空</t>
        </is>
      </c>
      <c r="D1619" t="n">
        <v>2</v>
      </c>
      <c r="E1619" t="n">
        <v>4</v>
      </c>
      <c r="F1619" t="inlineStr">
        <is>
          <t>不做</t>
        </is>
      </c>
      <c r="H1619" t="n">
        <v>175960</v>
      </c>
      <c r="J1619" t="n">
        <v>1</v>
      </c>
      <c r="K1619" t="inlineStr">
        <is>
          <t>1手风险16065元超过预算10000元</t>
        </is>
      </c>
    </row>
    <row r="1620">
      <c r="A1620" t="inlineStr">
        <is>
          <t>2023-03-17</t>
        </is>
      </c>
      <c r="B1620" t="inlineStr">
        <is>
          <t>甲醇</t>
        </is>
      </c>
      <c r="C1620" t="inlineStr">
        <is>
          <t>多</t>
        </is>
      </c>
      <c r="D1620" t="n">
        <v>2</v>
      </c>
      <c r="E1620" t="n">
        <v>4</v>
      </c>
      <c r="F1620" t="inlineStr">
        <is>
          <t>观望</t>
        </is>
      </c>
      <c r="G1620" t="n">
        <v>6</v>
      </c>
      <c r="H1620" t="n">
        <v>2507</v>
      </c>
      <c r="I1620" t="n">
        <v>2358.5</v>
      </c>
      <c r="J1620" t="n">
        <v>1</v>
      </c>
      <c r="K1620" t="inlineStr">
        <is>
          <t>逆5日线（收盘在5日线下，不追多）</t>
        </is>
      </c>
    </row>
    <row r="1621">
      <c r="A1621" t="inlineStr">
        <is>
          <t>2023-03-17</t>
        </is>
      </c>
      <c r="B1621" t="inlineStr">
        <is>
          <t>菜粕</t>
        </is>
      </c>
      <c r="C1621" t="inlineStr">
        <is>
          <t>空</t>
        </is>
      </c>
      <c r="D1621" t="n">
        <v>2</v>
      </c>
      <c r="E1621" t="n">
        <v>4</v>
      </c>
      <c r="F1621" t="inlineStr">
        <is>
          <t>影子仓</t>
        </is>
      </c>
      <c r="G1621" t="n">
        <v>7</v>
      </c>
      <c r="H1621" t="n">
        <v>2969</v>
      </c>
      <c r="I1621" t="n">
        <v>3107.86</v>
      </c>
      <c r="J1621" t="n">
        <v>1</v>
      </c>
      <c r="K1621" t="inlineStr">
        <is>
          <t>凯利≤0，开1%影子仓（只统计，不计入组合）</t>
        </is>
      </c>
    </row>
    <row r="1622">
      <c r="A1622" t="inlineStr">
        <is>
          <t>2023-03-20</t>
        </is>
      </c>
      <c r="B1622" t="inlineStr">
        <is>
          <t>聚丙烯</t>
        </is>
      </c>
      <c r="C1622" t="inlineStr">
        <is>
          <t>空</t>
        </is>
      </c>
      <c r="D1622" t="n">
        <v>3</v>
      </c>
      <c r="E1622" t="n">
        <v>7</v>
      </c>
      <c r="F1622" t="inlineStr">
        <is>
          <t>续持</t>
        </is>
      </c>
      <c r="G1622" t="n">
        <v>20</v>
      </c>
      <c r="H1622" t="n">
        <v>7503</v>
      </c>
      <c r="I1622" t="n">
        <v>7738.64</v>
      </c>
      <c r="J1622" t="n">
        <v>2.56</v>
      </c>
      <c r="K1622" t="inlineStr">
        <is>
          <t>续持原仓（2023-03-15开）</t>
        </is>
      </c>
    </row>
    <row r="1623">
      <c r="A1623" t="inlineStr">
        <is>
          <t>2023-03-20</t>
        </is>
      </c>
      <c r="B1623" t="inlineStr">
        <is>
          <t>燃料油</t>
        </is>
      </c>
      <c r="C1623" t="inlineStr">
        <is>
          <t>空</t>
        </is>
      </c>
      <c r="D1623" t="n">
        <v>3</v>
      </c>
      <c r="E1623" t="n">
        <v>7</v>
      </c>
      <c r="F1623" t="inlineStr">
        <is>
          <t>开仓</t>
        </is>
      </c>
      <c r="G1623" t="n">
        <v>10</v>
      </c>
      <c r="H1623" t="n">
        <v>2580</v>
      </c>
      <c r="I1623" t="n">
        <v>2853.86</v>
      </c>
      <c r="J1623" t="n">
        <v>2.87</v>
      </c>
      <c r="K1623" t="inlineStr">
        <is>
          <t>¼凯利</t>
        </is>
      </c>
    </row>
    <row r="1624">
      <c r="A1624" t="inlineStr">
        <is>
          <t>2023-03-20</t>
        </is>
      </c>
      <c r="B1624" t="inlineStr">
        <is>
          <t>菜粕</t>
        </is>
      </c>
      <c r="C1624" t="inlineStr">
        <is>
          <t>空</t>
        </is>
      </c>
      <c r="D1624" t="n">
        <v>3</v>
      </c>
      <c r="E1624" t="n">
        <v>7</v>
      </c>
      <c r="F1624" t="inlineStr">
        <is>
          <t>续持</t>
        </is>
      </c>
      <c r="G1624" t="n">
        <v>7</v>
      </c>
      <c r="H1624" t="n">
        <v>2905</v>
      </c>
      <c r="I1624" t="n">
        <v>3039.57</v>
      </c>
      <c r="J1624" t="n">
        <v>1</v>
      </c>
      <c r="K1624" t="inlineStr">
        <is>
          <t>续持原仓（2023-03-17开）</t>
        </is>
      </c>
    </row>
    <row r="1625">
      <c r="A1625" t="inlineStr">
        <is>
          <t>2023-03-20</t>
        </is>
      </c>
      <c r="B1625" t="inlineStr">
        <is>
          <t>沪锌</t>
        </is>
      </c>
      <c r="C1625" t="inlineStr">
        <is>
          <t>空</t>
        </is>
      </c>
      <c r="D1625" t="n">
        <v>3</v>
      </c>
      <c r="E1625" t="n">
        <v>7</v>
      </c>
      <c r="F1625" t="inlineStr">
        <is>
          <t>开仓</t>
        </is>
      </c>
      <c r="G1625" t="n">
        <v>4</v>
      </c>
      <c r="H1625" t="n">
        <v>22225</v>
      </c>
      <c r="I1625" t="n">
        <v>23512.86</v>
      </c>
      <c r="J1625" t="n">
        <v>2.87</v>
      </c>
      <c r="K1625" t="inlineStr">
        <is>
          <t>¼凯利</t>
        </is>
      </c>
    </row>
    <row r="1626">
      <c r="A1626" t="inlineStr">
        <is>
          <t>2023-03-20</t>
        </is>
      </c>
      <c r="B1626" t="inlineStr">
        <is>
          <t>豆油</t>
        </is>
      </c>
      <c r="C1626" t="inlineStr">
        <is>
          <t>空</t>
        </is>
      </c>
      <c r="D1626" t="n">
        <v>3</v>
      </c>
      <c r="E1626" t="n">
        <v>6</v>
      </c>
      <c r="F1626" t="inlineStr">
        <is>
          <t>开仓</t>
        </is>
      </c>
      <c r="G1626" t="n">
        <v>3</v>
      </c>
      <c r="H1626" t="n">
        <v>8124</v>
      </c>
      <c r="I1626" t="n">
        <v>8571</v>
      </c>
      <c r="J1626" t="n">
        <v>1.7</v>
      </c>
      <c r="K1626" t="inlineStr">
        <is>
          <t>组合风险已近10%，预算缩小</t>
        </is>
      </c>
    </row>
    <row r="1627">
      <c r="A1627" t="inlineStr">
        <is>
          <t>2023-03-21</t>
        </is>
      </c>
      <c r="B1627" t="inlineStr">
        <is>
          <t>沪镍</t>
        </is>
      </c>
      <c r="C1627" t="inlineStr">
        <is>
          <t>空</t>
        </is>
      </c>
      <c r="D1627" t="n">
        <v>3</v>
      </c>
      <c r="E1627" t="n">
        <v>7</v>
      </c>
      <c r="F1627" t="inlineStr">
        <is>
          <t>不做</t>
        </is>
      </c>
      <c r="H1627" t="n">
        <v>173510</v>
      </c>
      <c r="J1627" t="n">
        <v>0</v>
      </c>
      <c r="K1627" t="inlineStr">
        <is>
          <t>组合风险已近10%，预算缩小</t>
        </is>
      </c>
    </row>
    <row r="1628">
      <c r="A1628" t="inlineStr">
        <is>
          <t>2023-03-21</t>
        </is>
      </c>
      <c r="B1628" t="inlineStr">
        <is>
          <t>聚丙烯</t>
        </is>
      </c>
      <c r="C1628" t="inlineStr">
        <is>
          <t>空</t>
        </is>
      </c>
      <c r="D1628" t="n">
        <v>3</v>
      </c>
      <c r="E1628" t="n">
        <v>6</v>
      </c>
      <c r="F1628" t="inlineStr">
        <is>
          <t>续持</t>
        </is>
      </c>
      <c r="G1628" t="n">
        <v>20</v>
      </c>
      <c r="H1628" t="n">
        <v>7527</v>
      </c>
      <c r="I1628" t="n">
        <v>7738.64</v>
      </c>
      <c r="J1628" t="n">
        <v>2.56</v>
      </c>
      <c r="K1628" t="inlineStr">
        <is>
          <t>续持原仓（2023-03-15开）</t>
        </is>
      </c>
    </row>
    <row r="1629">
      <c r="A1629" t="inlineStr">
        <is>
          <t>2023-03-21</t>
        </is>
      </c>
      <c r="B1629" t="inlineStr">
        <is>
          <t>玻璃</t>
        </is>
      </c>
      <c r="C1629" t="inlineStr">
        <is>
          <t>多</t>
        </is>
      </c>
      <c r="D1629" t="n">
        <v>3</v>
      </c>
      <c r="E1629" t="n">
        <v>6</v>
      </c>
      <c r="F1629" t="inlineStr">
        <is>
          <t>观望</t>
        </is>
      </c>
      <c r="H1629" t="n">
        <v>1568</v>
      </c>
      <c r="J1629" t="n">
        <v>0</v>
      </c>
      <c r="K1629" t="inlineStr">
        <is>
          <t>逆5日线（收盘在5日线下，不追多）</t>
        </is>
      </c>
    </row>
    <row r="1630">
      <c r="A1630" t="inlineStr">
        <is>
          <t>2023-03-21</t>
        </is>
      </c>
      <c r="B1630" t="inlineStr">
        <is>
          <t>沪金</t>
        </is>
      </c>
      <c r="C1630" t="inlineStr">
        <is>
          <t>多</t>
        </is>
      </c>
      <c r="D1630" t="n">
        <v>2</v>
      </c>
      <c r="E1630" t="n">
        <v>5</v>
      </c>
      <c r="F1630" t="inlineStr">
        <is>
          <t>不做</t>
        </is>
      </c>
      <c r="H1630" t="n">
        <v>441.56</v>
      </c>
      <c r="J1630" t="n">
        <v>1</v>
      </c>
      <c r="K1630" t="inlineStr">
        <is>
          <t>1手风险13663元超过预算10000元</t>
        </is>
      </c>
    </row>
    <row r="1631">
      <c r="A1631" t="inlineStr">
        <is>
          <t>2023-03-21</t>
        </is>
      </c>
      <c r="B1631" t="inlineStr">
        <is>
          <t>豆油</t>
        </is>
      </c>
      <c r="C1631" t="inlineStr">
        <is>
          <t>空</t>
        </is>
      </c>
      <c r="D1631" t="n">
        <v>2</v>
      </c>
      <c r="E1631" t="n">
        <v>5</v>
      </c>
      <c r="F1631" t="inlineStr">
        <is>
          <t>续持</t>
        </is>
      </c>
      <c r="G1631" t="n">
        <v>3</v>
      </c>
      <c r="H1631" t="n">
        <v>8116</v>
      </c>
      <c r="I1631" t="n">
        <v>8553.139999999999</v>
      </c>
      <c r="J1631" t="n">
        <v>1.7</v>
      </c>
      <c r="K1631" t="inlineStr">
        <is>
          <t>续持原仓（2023-03-20开）</t>
        </is>
      </c>
    </row>
    <row r="1632">
      <c r="A1632" t="inlineStr">
        <is>
          <t>2023-03-22</t>
        </is>
      </c>
      <c r="B1632" t="inlineStr">
        <is>
          <t>棕榈油</t>
        </is>
      </c>
      <c r="C1632" t="inlineStr">
        <is>
          <t>空</t>
        </is>
      </c>
      <c r="D1632" t="n">
        <v>3</v>
      </c>
      <c r="E1632" t="n">
        <v>7</v>
      </c>
      <c r="F1632" t="inlineStr">
        <is>
          <t>不做</t>
        </is>
      </c>
      <c r="H1632" t="n">
        <v>7372</v>
      </c>
      <c r="J1632" t="n">
        <v>0</v>
      </c>
      <c r="K1632" t="inlineStr">
        <is>
          <t>组合风险已近10%，预算缩小</t>
        </is>
      </c>
    </row>
    <row r="1633">
      <c r="A1633" t="inlineStr">
        <is>
          <t>2023-03-22</t>
        </is>
      </c>
      <c r="B1633" t="inlineStr">
        <is>
          <t>沪银</t>
        </is>
      </c>
      <c r="C1633" t="inlineStr">
        <is>
          <t>多</t>
        </is>
      </c>
      <c r="D1633" t="n">
        <v>3</v>
      </c>
      <c r="E1633" t="n">
        <v>6</v>
      </c>
      <c r="F1633" t="inlineStr">
        <is>
          <t>不做</t>
        </is>
      </c>
      <c r="H1633" t="n">
        <v>5149</v>
      </c>
      <c r="J1633" t="n">
        <v>0</v>
      </c>
      <c r="K1633" t="inlineStr">
        <is>
          <t>组合风险已近10%，预算缩小</t>
        </is>
      </c>
    </row>
    <row r="1634">
      <c r="A1634" t="inlineStr">
        <is>
          <t>2023-03-22</t>
        </is>
      </c>
      <c r="B1634" t="inlineStr">
        <is>
          <t>豆油</t>
        </is>
      </c>
      <c r="C1634" t="inlineStr">
        <is>
          <t>空</t>
        </is>
      </c>
      <c r="D1634" t="n">
        <v>3</v>
      </c>
      <c r="E1634" t="n">
        <v>6</v>
      </c>
      <c r="F1634" t="inlineStr">
        <is>
          <t>续持</t>
        </is>
      </c>
      <c r="G1634" t="n">
        <v>3</v>
      </c>
      <c r="H1634" t="n">
        <v>7924</v>
      </c>
      <c r="I1634" t="n">
        <v>8353.139999999999</v>
      </c>
      <c r="J1634" t="n">
        <v>1.7</v>
      </c>
      <c r="K1634" t="inlineStr">
        <is>
          <t>续持原仓（2023-03-20开）</t>
        </is>
      </c>
    </row>
    <row r="1635">
      <c r="A1635" t="inlineStr">
        <is>
          <t>2023-03-22</t>
        </is>
      </c>
      <c r="B1635" t="inlineStr">
        <is>
          <t>白糖</t>
        </is>
      </c>
      <c r="C1635" t="inlineStr">
        <is>
          <t>多</t>
        </is>
      </c>
      <c r="D1635" t="n">
        <v>3</v>
      </c>
      <c r="E1635" t="n">
        <v>6</v>
      </c>
      <c r="F1635" t="inlineStr">
        <is>
          <t>不做</t>
        </is>
      </c>
      <c r="H1635" t="n">
        <v>6185</v>
      </c>
      <c r="J1635" t="n">
        <v>0</v>
      </c>
      <c r="K1635" t="inlineStr">
        <is>
          <t>组合风险已近10%，预算缩小</t>
        </is>
      </c>
    </row>
    <row r="1636">
      <c r="A1636" t="inlineStr">
        <is>
          <t>2023-03-22</t>
        </is>
      </c>
      <c r="B1636" t="inlineStr">
        <is>
          <t>PVC</t>
        </is>
      </c>
      <c r="C1636" t="inlineStr">
        <is>
          <t>空</t>
        </is>
      </c>
      <c r="D1636" t="n">
        <v>2</v>
      </c>
      <c r="E1636" t="n">
        <v>5</v>
      </c>
      <c r="F1636" t="inlineStr">
        <is>
          <t>观望</t>
        </is>
      </c>
      <c r="G1636" t="n">
        <v>6</v>
      </c>
      <c r="H1636" t="n">
        <v>6141</v>
      </c>
      <c r="I1636" t="n">
        <v>6465.64</v>
      </c>
      <c r="J1636" t="n">
        <v>1</v>
      </c>
      <c r="K1636" t="inlineStr">
        <is>
          <t>逆5日线（收盘在5日线上，不追空）</t>
        </is>
      </c>
    </row>
    <row r="1637">
      <c r="A1637" t="inlineStr">
        <is>
          <t>2023-03-22</t>
        </is>
      </c>
      <c r="B1637" t="inlineStr">
        <is>
          <t>聚丙烯</t>
        </is>
      </c>
      <c r="C1637" t="inlineStr">
        <is>
          <t>空</t>
        </is>
      </c>
      <c r="D1637" t="n">
        <v>2</v>
      </c>
      <c r="E1637" t="n">
        <v>5</v>
      </c>
      <c r="F1637" t="inlineStr">
        <is>
          <t>观望</t>
        </is>
      </c>
      <c r="G1637" t="n">
        <v>7</v>
      </c>
      <c r="H1637" t="n">
        <v>7542</v>
      </c>
      <c r="I1637" t="n">
        <v>7813.93</v>
      </c>
      <c r="J1637" t="n">
        <v>1</v>
      </c>
      <c r="K1637" t="inlineStr">
        <is>
          <t>逆5日线（收盘在5日线上，不追空）</t>
        </is>
      </c>
    </row>
    <row r="1638">
      <c r="A1638" t="inlineStr">
        <is>
          <t>2023-03-23</t>
        </is>
      </c>
      <c r="B1638" t="inlineStr">
        <is>
          <t>沪金</t>
        </is>
      </c>
      <c r="C1638" t="inlineStr">
        <is>
          <t>多</t>
        </is>
      </c>
      <c r="D1638" t="n">
        <v>3</v>
      </c>
      <c r="E1638" t="n">
        <v>7</v>
      </c>
      <c r="F1638" t="inlineStr">
        <is>
          <t>观望</t>
        </is>
      </c>
      <c r="G1638" t="n">
        <v>1</v>
      </c>
      <c r="H1638" t="n">
        <v>438.36</v>
      </c>
      <c r="I1638" t="n">
        <v>422.43</v>
      </c>
      <c r="J1638" t="n">
        <v>3</v>
      </c>
      <c r="K1638" t="inlineStr">
        <is>
          <t>逆5日线（收盘在5日线下，不追多）</t>
        </is>
      </c>
    </row>
    <row r="1639">
      <c r="A1639" t="inlineStr">
        <is>
          <t>2023-03-23</t>
        </is>
      </c>
      <c r="B1639" t="inlineStr">
        <is>
          <t>沪银</t>
        </is>
      </c>
      <c r="C1639" t="inlineStr">
        <is>
          <t>多</t>
        </is>
      </c>
      <c r="D1639" t="n">
        <v>3</v>
      </c>
      <c r="E1639" t="n">
        <v>6</v>
      </c>
      <c r="F1639" t="inlineStr">
        <is>
          <t>开仓</t>
        </is>
      </c>
      <c r="G1639" t="n">
        <v>6</v>
      </c>
      <c r="H1639" t="n">
        <v>5185</v>
      </c>
      <c r="I1639" t="n">
        <v>4886.71</v>
      </c>
      <c r="J1639" t="n">
        <v>3</v>
      </c>
      <c r="K1639" t="inlineStr">
        <is>
          <t>¼凯利超上限，取3%</t>
        </is>
      </c>
    </row>
    <row r="1640">
      <c r="A1640" t="inlineStr">
        <is>
          <t>2023-03-23</t>
        </is>
      </c>
      <c r="B1640" t="inlineStr">
        <is>
          <t>棕榈油</t>
        </is>
      </c>
      <c r="C1640" t="inlineStr">
        <is>
          <t>空</t>
        </is>
      </c>
      <c r="D1640" t="n">
        <v>3</v>
      </c>
      <c r="E1640" t="n">
        <v>6</v>
      </c>
      <c r="F1640" t="inlineStr">
        <is>
          <t>开仓</t>
        </is>
      </c>
      <c r="G1640" t="n">
        <v>2</v>
      </c>
      <c r="H1640" t="n">
        <v>7220</v>
      </c>
      <c r="I1640" t="n">
        <v>7790</v>
      </c>
      <c r="J1640" t="n">
        <v>1.26</v>
      </c>
      <c r="K1640" t="inlineStr">
        <is>
          <t>组合风险已近10%，预算缩小</t>
        </is>
      </c>
    </row>
    <row r="1641">
      <c r="A1641" t="inlineStr">
        <is>
          <t>2023-03-23</t>
        </is>
      </c>
      <c r="B1641" t="inlineStr">
        <is>
          <t>沪镍</t>
        </is>
      </c>
      <c r="C1641" t="inlineStr">
        <is>
          <t>空</t>
        </is>
      </c>
      <c r="D1641" t="n">
        <v>3</v>
      </c>
      <c r="E1641" t="n">
        <v>6</v>
      </c>
      <c r="F1641" t="inlineStr">
        <is>
          <t>不做</t>
        </is>
      </c>
      <c r="H1641" t="n">
        <v>173060</v>
      </c>
      <c r="J1641" t="n">
        <v>0</v>
      </c>
      <c r="K1641" t="inlineStr">
        <is>
          <t>组合风险已近10%，预算缩小</t>
        </is>
      </c>
    </row>
    <row r="1642">
      <c r="A1642" t="inlineStr">
        <is>
          <t>2023-03-23</t>
        </is>
      </c>
      <c r="B1642" t="inlineStr">
        <is>
          <t>菜油</t>
        </is>
      </c>
      <c r="C1642" t="inlineStr">
        <is>
          <t>空</t>
        </is>
      </c>
      <c r="D1642" t="n">
        <v>3</v>
      </c>
      <c r="E1642" t="n">
        <v>6</v>
      </c>
      <c r="F1642" t="inlineStr">
        <is>
          <t>不做</t>
        </is>
      </c>
      <c r="H1642" t="n">
        <v>8306</v>
      </c>
      <c r="J1642" t="n">
        <v>0</v>
      </c>
      <c r="K1642" t="inlineStr">
        <is>
          <t>组合风险已近10%，预算缩小</t>
        </is>
      </c>
    </row>
    <row r="1643">
      <c r="A1643" t="inlineStr">
        <is>
          <t>2023-03-23</t>
        </is>
      </c>
      <c r="B1643" t="inlineStr">
        <is>
          <t>燃料油</t>
        </is>
      </c>
      <c r="C1643" t="inlineStr">
        <is>
          <t>空</t>
        </is>
      </c>
      <c r="D1643" t="n">
        <v>3</v>
      </c>
      <c r="E1643" t="n">
        <v>6</v>
      </c>
      <c r="F1643" t="inlineStr">
        <is>
          <t>续持</t>
        </is>
      </c>
      <c r="G1643" t="n">
        <v>10</v>
      </c>
      <c r="H1643" t="n">
        <v>2606</v>
      </c>
      <c r="I1643" t="n">
        <v>2840.21</v>
      </c>
      <c r="J1643" t="n">
        <v>2.87</v>
      </c>
      <c r="K1643" t="inlineStr">
        <is>
          <t>续持原仓（2023-03-20开）</t>
        </is>
      </c>
    </row>
    <row r="1644">
      <c r="A1644" t="inlineStr">
        <is>
          <t>2023-03-23</t>
        </is>
      </c>
      <c r="B1644" t="inlineStr">
        <is>
          <t>乙二醇</t>
        </is>
      </c>
      <c r="C1644" t="inlineStr">
        <is>
          <t>空</t>
        </is>
      </c>
      <c r="D1644" t="n">
        <v>3</v>
      </c>
      <c r="E1644" t="n">
        <v>6</v>
      </c>
      <c r="F1644" t="inlineStr">
        <is>
          <t>观望</t>
        </is>
      </c>
      <c r="H1644" t="n">
        <v>4052</v>
      </c>
      <c r="J1644" t="n">
        <v>0</v>
      </c>
      <c r="K1644" t="inlineStr">
        <is>
          <t>逆5日线（收盘在5日线上，不追空）</t>
        </is>
      </c>
    </row>
    <row r="1645">
      <c r="A1645" t="inlineStr">
        <is>
          <t>2023-03-23</t>
        </is>
      </c>
      <c r="B1645" t="inlineStr">
        <is>
          <t>白糖</t>
        </is>
      </c>
      <c r="C1645" t="inlineStr">
        <is>
          <t>多</t>
        </is>
      </c>
      <c r="D1645" t="n">
        <v>3</v>
      </c>
      <c r="E1645" t="n">
        <v>6</v>
      </c>
      <c r="F1645" t="inlineStr">
        <is>
          <t>不做</t>
        </is>
      </c>
      <c r="H1645" t="n">
        <v>6207</v>
      </c>
      <c r="J1645" t="n">
        <v>0</v>
      </c>
      <c r="K1645" t="inlineStr">
        <is>
          <t>组合风险已近10%，预算缩小</t>
        </is>
      </c>
    </row>
    <row r="1646">
      <c r="A1646" t="inlineStr">
        <is>
          <t>2023-03-24</t>
        </is>
      </c>
      <c r="B1646" t="inlineStr">
        <is>
          <t>乙二醇</t>
        </is>
      </c>
      <c r="C1646" t="inlineStr">
        <is>
          <t>空</t>
        </is>
      </c>
      <c r="D1646" t="n">
        <v>3</v>
      </c>
      <c r="E1646" t="n">
        <v>7</v>
      </c>
      <c r="F1646" t="inlineStr">
        <is>
          <t>开仓</t>
        </is>
      </c>
      <c r="G1646" t="n">
        <v>12</v>
      </c>
      <c r="H1646" t="n">
        <v>4036</v>
      </c>
      <c r="I1646" t="n">
        <v>4276.21</v>
      </c>
      <c r="J1646" t="n">
        <v>3</v>
      </c>
      <c r="K1646" t="inlineStr">
        <is>
          <t>¼凯利超上限，取3%</t>
        </is>
      </c>
    </row>
    <row r="1647">
      <c r="A1647" t="inlineStr">
        <is>
          <t>2023-03-24</t>
        </is>
      </c>
      <c r="B1647" t="inlineStr">
        <is>
          <t>沪金</t>
        </is>
      </c>
      <c r="C1647" t="inlineStr">
        <is>
          <t>多</t>
        </is>
      </c>
      <c r="D1647" t="n">
        <v>3</v>
      </c>
      <c r="E1647" t="n">
        <v>7</v>
      </c>
      <c r="F1647" t="inlineStr">
        <is>
          <t>开仓</t>
        </is>
      </c>
      <c r="G1647" t="n">
        <v>1</v>
      </c>
      <c r="H1647" t="n">
        <v>440.7</v>
      </c>
      <c r="I1647" t="n">
        <v>424.37</v>
      </c>
      <c r="J1647" t="n">
        <v>3</v>
      </c>
      <c r="K1647" t="inlineStr">
        <is>
          <t>¼凯利超上限，取3%</t>
        </is>
      </c>
    </row>
    <row r="1648">
      <c r="A1648" t="inlineStr">
        <is>
          <t>2023-03-24</t>
        </is>
      </c>
      <c r="B1648" t="inlineStr">
        <is>
          <t>沪银</t>
        </is>
      </c>
      <c r="C1648" t="inlineStr">
        <is>
          <t>多</t>
        </is>
      </c>
      <c r="D1648" t="n">
        <v>3</v>
      </c>
      <c r="E1648" t="n">
        <v>6</v>
      </c>
      <c r="F1648" t="inlineStr">
        <is>
          <t>续持</t>
        </is>
      </c>
      <c r="G1648" t="n">
        <v>6</v>
      </c>
      <c r="H1648" t="n">
        <v>5217</v>
      </c>
      <c r="I1648" t="n">
        <v>4947.43</v>
      </c>
      <c r="J1648" t="n">
        <v>3</v>
      </c>
      <c r="K1648" t="inlineStr">
        <is>
          <t>续持原仓（2023-03-23开）</t>
        </is>
      </c>
    </row>
    <row r="1649">
      <c r="A1649" t="inlineStr">
        <is>
          <t>2023-03-24</t>
        </is>
      </c>
      <c r="B1649" t="inlineStr">
        <is>
          <t>菜粕</t>
        </is>
      </c>
      <c r="C1649" t="inlineStr">
        <is>
          <t>空</t>
        </is>
      </c>
      <c r="D1649" t="n">
        <v>3</v>
      </c>
      <c r="E1649" t="n">
        <v>6</v>
      </c>
      <c r="F1649" t="inlineStr">
        <is>
          <t>开仓</t>
        </is>
      </c>
      <c r="G1649" t="n">
        <v>5</v>
      </c>
      <c r="H1649" t="n">
        <v>2776</v>
      </c>
      <c r="I1649" t="n">
        <v>2953</v>
      </c>
      <c r="J1649" t="n">
        <v>1</v>
      </c>
      <c r="K1649" t="inlineStr">
        <is>
          <t>组合风险已近10%，预算缩小</t>
        </is>
      </c>
    </row>
    <row r="1650">
      <c r="A1650" t="inlineStr">
        <is>
          <t>2023-03-24</t>
        </is>
      </c>
      <c r="B1650" t="inlineStr">
        <is>
          <t>白糖</t>
        </is>
      </c>
      <c r="C1650" t="inlineStr">
        <is>
          <t>多</t>
        </is>
      </c>
      <c r="D1650" t="n">
        <v>3</v>
      </c>
      <c r="E1650" t="n">
        <v>6</v>
      </c>
      <c r="F1650" t="inlineStr">
        <is>
          <t>不做</t>
        </is>
      </c>
      <c r="H1650" t="n">
        <v>6204</v>
      </c>
      <c r="J1650" t="n">
        <v>0</v>
      </c>
      <c r="K1650" t="inlineStr">
        <is>
          <t>组合风险已近10%，预算缩小</t>
        </is>
      </c>
    </row>
    <row r="1651">
      <c r="A1651" t="inlineStr">
        <is>
          <t>2023-03-24</t>
        </is>
      </c>
      <c r="B1651" t="inlineStr">
        <is>
          <t>豆油</t>
        </is>
      </c>
      <c r="C1651" t="inlineStr">
        <is>
          <t>空</t>
        </is>
      </c>
      <c r="D1651" t="n">
        <v>2</v>
      </c>
      <c r="E1651" t="n">
        <v>5</v>
      </c>
      <c r="F1651" t="inlineStr">
        <is>
          <t>影子仓</t>
        </is>
      </c>
      <c r="G1651" t="n">
        <v>1</v>
      </c>
      <c r="H1651" t="n">
        <v>7848</v>
      </c>
      <c r="I1651" t="n">
        <v>8359.290000000001</v>
      </c>
      <c r="J1651" t="n">
        <v>1</v>
      </c>
      <c r="K1651" t="inlineStr">
        <is>
          <t>凯利≤0，开1%影子仓（只统计，不计入组合）</t>
        </is>
      </c>
    </row>
    <row r="1652">
      <c r="A1652" t="inlineStr">
        <is>
          <t>2023-03-24</t>
        </is>
      </c>
      <c r="B1652" t="inlineStr">
        <is>
          <t>豆粕</t>
        </is>
      </c>
      <c r="C1652" t="inlineStr">
        <is>
          <t>空</t>
        </is>
      </c>
      <c r="D1652" t="n">
        <v>2</v>
      </c>
      <c r="E1652" t="n">
        <v>4</v>
      </c>
      <c r="F1652" t="inlineStr">
        <is>
          <t>影子仓</t>
        </is>
      </c>
      <c r="G1652" t="n">
        <v>5</v>
      </c>
      <c r="H1652" t="n">
        <v>3507</v>
      </c>
      <c r="I1652" t="n">
        <v>3693</v>
      </c>
      <c r="J1652" t="n">
        <v>1</v>
      </c>
      <c r="K1652" t="inlineStr">
        <is>
          <t>凯利≤0，开1%影子仓（只统计，不计入组合）</t>
        </is>
      </c>
    </row>
    <row r="1653">
      <c r="A1653" t="inlineStr">
        <is>
          <t>2023-03-27</t>
        </is>
      </c>
      <c r="B1653" t="inlineStr">
        <is>
          <t>沪镍</t>
        </is>
      </c>
      <c r="C1653" t="inlineStr">
        <is>
          <t>空</t>
        </is>
      </c>
      <c r="D1653" t="n">
        <v>3</v>
      </c>
      <c r="E1653" t="n">
        <v>7</v>
      </c>
      <c r="F1653" t="inlineStr">
        <is>
          <t>观望</t>
        </is>
      </c>
      <c r="G1653" t="n">
        <v>1</v>
      </c>
      <c r="H1653" t="n">
        <v>174400</v>
      </c>
      <c r="I1653" t="n">
        <v>192822.14</v>
      </c>
      <c r="J1653" t="n">
        <v>3</v>
      </c>
      <c r="K1653" t="inlineStr">
        <is>
          <t>逆5日线（收盘在5日线上，不追空）</t>
        </is>
      </c>
    </row>
    <row r="1654">
      <c r="A1654" t="inlineStr">
        <is>
          <t>2023-03-27</t>
        </is>
      </c>
      <c r="B1654" t="inlineStr">
        <is>
          <t>沪金</t>
        </is>
      </c>
      <c r="C1654" t="inlineStr">
        <is>
          <t>多</t>
        </is>
      </c>
      <c r="D1654" t="n">
        <v>3</v>
      </c>
      <c r="E1654" t="n">
        <v>6</v>
      </c>
      <c r="F1654" t="inlineStr">
        <is>
          <t>观望</t>
        </is>
      </c>
      <c r="H1654" t="n">
        <v>438.14</v>
      </c>
      <c r="J1654" t="n">
        <v>0</v>
      </c>
      <c r="K1654" t="inlineStr">
        <is>
          <t>逆5日线（收盘在5日线下，不追多）</t>
        </is>
      </c>
    </row>
    <row r="1655">
      <c r="A1655" t="inlineStr">
        <is>
          <t>2023-03-27</t>
        </is>
      </c>
      <c r="B1655" t="inlineStr">
        <is>
          <t>聚丙烯</t>
        </is>
      </c>
      <c r="C1655" t="inlineStr">
        <is>
          <t>空</t>
        </is>
      </c>
      <c r="D1655" t="n">
        <v>3</v>
      </c>
      <c r="E1655" t="n">
        <v>6</v>
      </c>
      <c r="F1655" t="inlineStr">
        <is>
          <t>观望</t>
        </is>
      </c>
      <c r="G1655" t="n">
        <v>20</v>
      </c>
      <c r="H1655" t="n">
        <v>7573</v>
      </c>
      <c r="I1655" t="n">
        <v>7861.86</v>
      </c>
      <c r="J1655" t="n">
        <v>3</v>
      </c>
      <c r="K1655" t="inlineStr">
        <is>
          <t>逆5日线（收盘在5日线上，不追空）</t>
        </is>
      </c>
    </row>
    <row r="1656">
      <c r="A1656" t="inlineStr">
        <is>
          <t>2023-03-27</t>
        </is>
      </c>
      <c r="B1656" t="inlineStr">
        <is>
          <t>豆油</t>
        </is>
      </c>
      <c r="C1656" t="inlineStr">
        <is>
          <t>空</t>
        </is>
      </c>
      <c r="D1656" t="n">
        <v>3</v>
      </c>
      <c r="E1656" t="n">
        <v>6</v>
      </c>
      <c r="F1656" t="inlineStr">
        <is>
          <t>续持</t>
        </is>
      </c>
      <c r="G1656" t="n">
        <v>1</v>
      </c>
      <c r="H1656" t="n">
        <v>7838</v>
      </c>
      <c r="I1656" t="n">
        <v>8289</v>
      </c>
      <c r="J1656" t="n">
        <v>1</v>
      </c>
      <c r="K1656" t="inlineStr">
        <is>
          <t>续持原仓（2023-03-24开）</t>
        </is>
      </c>
    </row>
    <row r="1657">
      <c r="A1657" t="inlineStr">
        <is>
          <t>2023-03-27</t>
        </is>
      </c>
      <c r="B1657" t="inlineStr">
        <is>
          <t>白糖</t>
        </is>
      </c>
      <c r="C1657" t="inlineStr">
        <is>
          <t>多</t>
        </is>
      </c>
      <c r="D1657" t="n">
        <v>3</v>
      </c>
      <c r="E1657" t="n">
        <v>6</v>
      </c>
      <c r="F1657" t="inlineStr">
        <is>
          <t>观望</t>
        </is>
      </c>
      <c r="G1657" t="n">
        <v>13</v>
      </c>
      <c r="H1657" t="n">
        <v>6160</v>
      </c>
      <c r="I1657" t="n">
        <v>5929.64</v>
      </c>
      <c r="J1657" t="n">
        <v>3</v>
      </c>
      <c r="K1657" t="inlineStr">
        <is>
          <t>逆5日线（收盘在5日线下，不追多）</t>
        </is>
      </c>
    </row>
    <row r="1658">
      <c r="A1658" t="inlineStr">
        <is>
          <t>2023-03-27</t>
        </is>
      </c>
      <c r="B1658" t="inlineStr">
        <is>
          <t>乙二醇</t>
        </is>
      </c>
      <c r="C1658" t="inlineStr">
        <is>
          <t>空</t>
        </is>
      </c>
      <c r="D1658" t="n">
        <v>2</v>
      </c>
      <c r="E1658" t="n">
        <v>5</v>
      </c>
      <c r="F1658" t="inlineStr">
        <is>
          <t>观望</t>
        </is>
      </c>
      <c r="G1658" t="n">
        <v>3</v>
      </c>
      <c r="H1658" t="n">
        <v>4077</v>
      </c>
      <c r="I1658" t="n">
        <v>4331.79</v>
      </c>
      <c r="J1658" t="n">
        <v>1</v>
      </c>
      <c r="K1658" t="inlineStr">
        <is>
          <t>逆5日线（收盘在5日线上，不追空）</t>
        </is>
      </c>
    </row>
    <row r="1659">
      <c r="A1659" t="inlineStr">
        <is>
          <t>2023-03-27</t>
        </is>
      </c>
      <c r="B1659" t="inlineStr">
        <is>
          <t>燃料油</t>
        </is>
      </c>
      <c r="C1659" t="inlineStr">
        <is>
          <t>空</t>
        </is>
      </c>
      <c r="D1659" t="n">
        <v>2</v>
      </c>
      <c r="E1659" t="n">
        <v>5</v>
      </c>
      <c r="F1659" t="inlineStr">
        <is>
          <t>观望</t>
        </is>
      </c>
      <c r="G1659" t="n">
        <v>3</v>
      </c>
      <c r="H1659" t="n">
        <v>2627</v>
      </c>
      <c r="I1659" t="n">
        <v>2894.21</v>
      </c>
      <c r="J1659" t="n">
        <v>1</v>
      </c>
      <c r="K1659" t="inlineStr">
        <is>
          <t>逆5日线（收盘在5日线上，不追空）</t>
        </is>
      </c>
    </row>
    <row r="1660">
      <c r="A1660" t="inlineStr">
        <is>
          <t>2023-03-28</t>
        </is>
      </c>
      <c r="B1660" t="inlineStr">
        <is>
          <t>白糖</t>
        </is>
      </c>
      <c r="C1660" t="inlineStr">
        <is>
          <t>多</t>
        </is>
      </c>
      <c r="D1660" t="n">
        <v>3</v>
      </c>
      <c r="E1660" t="n">
        <v>6</v>
      </c>
      <c r="F1660" t="inlineStr">
        <is>
          <t>开仓</t>
        </is>
      </c>
      <c r="G1660" t="n">
        <v>12</v>
      </c>
      <c r="H1660" t="n">
        <v>6209</v>
      </c>
      <c r="I1660" t="n">
        <v>5972.21</v>
      </c>
      <c r="J1660" t="n">
        <v>3</v>
      </c>
      <c r="K1660" t="inlineStr">
        <is>
          <t>¼凯利超上限，取3%</t>
        </is>
      </c>
    </row>
    <row r="1661">
      <c r="A1661" t="inlineStr">
        <is>
          <t>2023-03-28</t>
        </is>
      </c>
      <c r="B1661" t="inlineStr">
        <is>
          <t>沪金</t>
        </is>
      </c>
      <c r="C1661" t="inlineStr">
        <is>
          <t>多</t>
        </is>
      </c>
      <c r="D1661" t="n">
        <v>2</v>
      </c>
      <c r="E1661" t="n">
        <v>5</v>
      </c>
      <c r="F1661" t="inlineStr">
        <is>
          <t>观望</t>
        </is>
      </c>
      <c r="H1661" t="n">
        <v>436.18</v>
      </c>
      <c r="J1661" t="n">
        <v>1</v>
      </c>
      <c r="K1661" t="inlineStr">
        <is>
          <t>逆5日线（收盘在5日线下，不追多）</t>
        </is>
      </c>
    </row>
    <row r="1662">
      <c r="A1662" t="inlineStr">
        <is>
          <t>2023-03-28</t>
        </is>
      </c>
      <c r="B1662" t="inlineStr">
        <is>
          <t>沪银</t>
        </is>
      </c>
      <c r="C1662" t="inlineStr">
        <is>
          <t>多</t>
        </is>
      </c>
      <c r="D1662" t="n">
        <v>2</v>
      </c>
      <c r="E1662" t="n">
        <v>5</v>
      </c>
      <c r="F1662" t="inlineStr">
        <is>
          <t>观望</t>
        </is>
      </c>
      <c r="G1662" t="n">
        <v>2</v>
      </c>
      <c r="H1662" t="n">
        <v>5180</v>
      </c>
      <c r="I1662" t="n">
        <v>4887.93</v>
      </c>
      <c r="J1662" t="n">
        <v>1</v>
      </c>
      <c r="K1662" t="inlineStr">
        <is>
          <t>逆5日线（收盘在5日线下，不追多）</t>
        </is>
      </c>
    </row>
    <row r="1663">
      <c r="A1663" t="inlineStr">
        <is>
          <t>2023-03-28</t>
        </is>
      </c>
      <c r="B1663" t="inlineStr">
        <is>
          <t>沪锌</t>
        </is>
      </c>
      <c r="C1663" t="inlineStr">
        <is>
          <t>空</t>
        </is>
      </c>
      <c r="D1663" t="n">
        <v>2</v>
      </c>
      <c r="E1663" t="n">
        <v>5</v>
      </c>
      <c r="F1663" t="inlineStr">
        <is>
          <t>观望</t>
        </is>
      </c>
      <c r="G1663" t="n">
        <v>1</v>
      </c>
      <c r="H1663" t="n">
        <v>22575</v>
      </c>
      <c r="I1663" t="n">
        <v>23841.43</v>
      </c>
      <c r="J1663" t="n">
        <v>1</v>
      </c>
      <c r="K1663" t="inlineStr">
        <is>
          <t>逆5日线（收盘在5日线上，不追空）</t>
        </is>
      </c>
    </row>
    <row r="1664">
      <c r="A1664" t="inlineStr">
        <is>
          <t>2023-03-28</t>
        </is>
      </c>
      <c r="B1664" t="inlineStr">
        <is>
          <t>玻璃</t>
        </is>
      </c>
      <c r="C1664" t="inlineStr">
        <is>
          <t>多</t>
        </is>
      </c>
      <c r="D1664" t="n">
        <v>2</v>
      </c>
      <c r="E1664" t="n">
        <v>5</v>
      </c>
      <c r="F1664" t="inlineStr">
        <is>
          <t>影子仓</t>
        </is>
      </c>
      <c r="G1664" t="n">
        <v>4</v>
      </c>
      <c r="H1664" t="n">
        <v>1670</v>
      </c>
      <c r="I1664" t="n">
        <v>1559.86</v>
      </c>
      <c r="J1664" t="n">
        <v>1</v>
      </c>
      <c r="K1664" t="inlineStr">
        <is>
          <t>凯利≤0，开1%影子仓（只统计，不计入组合）</t>
        </is>
      </c>
    </row>
    <row r="1665">
      <c r="A1665" t="inlineStr">
        <is>
          <t>2023-03-28</t>
        </is>
      </c>
      <c r="B1665" t="inlineStr">
        <is>
          <t>菜粕</t>
        </is>
      </c>
      <c r="C1665" t="inlineStr">
        <is>
          <t>空</t>
        </is>
      </c>
      <c r="D1665" t="n">
        <v>2</v>
      </c>
      <c r="E1665" t="n">
        <v>4</v>
      </c>
      <c r="F1665" t="inlineStr">
        <is>
          <t>续持</t>
        </is>
      </c>
      <c r="G1665" t="n">
        <v>5</v>
      </c>
      <c r="H1665" t="n">
        <v>2797</v>
      </c>
      <c r="I1665" t="n">
        <v>2934.29</v>
      </c>
      <c r="J1665" t="n">
        <v>1</v>
      </c>
      <c r="K1665" t="inlineStr">
        <is>
          <t>续持原仓（2023-03-24开）</t>
        </is>
      </c>
    </row>
    <row r="1666">
      <c r="A1666" t="inlineStr">
        <is>
          <t>2023-03-29</t>
        </is>
      </c>
      <c r="B1666" t="inlineStr">
        <is>
          <t>白糖</t>
        </is>
      </c>
      <c r="C1666" t="inlineStr">
        <is>
          <t>多</t>
        </is>
      </c>
      <c r="D1666" t="n">
        <v>3</v>
      </c>
      <c r="E1666" t="n">
        <v>7</v>
      </c>
      <c r="F1666" t="inlineStr">
        <is>
          <t>续持</t>
        </is>
      </c>
      <c r="G1666" t="n">
        <v>12</v>
      </c>
      <c r="H1666" t="n">
        <v>6299</v>
      </c>
      <c r="I1666" t="n">
        <v>6054.43</v>
      </c>
      <c r="J1666" t="n">
        <v>3</v>
      </c>
      <c r="K1666" t="inlineStr">
        <is>
          <t>续持原仓（2023-03-28开）</t>
        </is>
      </c>
    </row>
    <row r="1667">
      <c r="A1667" t="inlineStr">
        <is>
          <t>2023-03-29</t>
        </is>
      </c>
      <c r="B1667" t="inlineStr">
        <is>
          <t>菜油</t>
        </is>
      </c>
      <c r="C1667" t="inlineStr">
        <is>
          <t>空</t>
        </is>
      </c>
      <c r="D1667" t="n">
        <v>3</v>
      </c>
      <c r="E1667" t="n">
        <v>7</v>
      </c>
      <c r="F1667" t="inlineStr">
        <is>
          <t>观望</t>
        </is>
      </c>
      <c r="G1667" t="n">
        <v>4</v>
      </c>
      <c r="H1667" t="n">
        <v>8439</v>
      </c>
      <c r="I1667" t="n">
        <v>9103.709999999999</v>
      </c>
      <c r="J1667" t="n">
        <v>2.99</v>
      </c>
      <c r="K1667" t="inlineStr">
        <is>
          <t>逆5日线（收盘在5日线上，不追空）</t>
        </is>
      </c>
    </row>
    <row r="1668">
      <c r="A1668" t="inlineStr">
        <is>
          <t>2023-03-29</t>
        </is>
      </c>
      <c r="B1668" t="inlineStr">
        <is>
          <t>聚丙烯</t>
        </is>
      </c>
      <c r="C1668" t="inlineStr">
        <is>
          <t>空</t>
        </is>
      </c>
      <c r="D1668" t="n">
        <v>3</v>
      </c>
      <c r="E1668" t="n">
        <v>6</v>
      </c>
      <c r="F1668" t="inlineStr">
        <is>
          <t>观望</t>
        </is>
      </c>
      <c r="G1668" t="n">
        <v>21</v>
      </c>
      <c r="H1668" t="n">
        <v>7597</v>
      </c>
      <c r="I1668" t="n">
        <v>7880.29</v>
      </c>
      <c r="J1668" t="n">
        <v>2.99</v>
      </c>
      <c r="K1668" t="inlineStr">
        <is>
          <t>逆5日线（收盘在5日线上，不追空）</t>
        </is>
      </c>
    </row>
    <row r="1669">
      <c r="A1669" t="inlineStr">
        <is>
          <t>2023-03-29</t>
        </is>
      </c>
      <c r="B1669" t="inlineStr">
        <is>
          <t>豆油</t>
        </is>
      </c>
      <c r="C1669" t="inlineStr">
        <is>
          <t>空</t>
        </is>
      </c>
      <c r="D1669" t="n">
        <v>3</v>
      </c>
      <c r="E1669" t="n">
        <v>6</v>
      </c>
      <c r="F1669" t="inlineStr">
        <is>
          <t>观望</t>
        </is>
      </c>
      <c r="G1669" t="n">
        <v>5</v>
      </c>
      <c r="H1669" t="n">
        <v>8026</v>
      </c>
      <c r="I1669" t="n">
        <v>8576.709999999999</v>
      </c>
      <c r="J1669" t="n">
        <v>2.99</v>
      </c>
      <c r="K1669" t="inlineStr">
        <is>
          <t>逆5日线（收盘在5日线上，不追空）</t>
        </is>
      </c>
    </row>
    <row r="1670">
      <c r="A1670" t="inlineStr">
        <is>
          <t>2023-03-29</t>
        </is>
      </c>
      <c r="B1670" t="inlineStr">
        <is>
          <t>沪银</t>
        </is>
      </c>
      <c r="C1670" t="inlineStr">
        <is>
          <t>多</t>
        </is>
      </c>
      <c r="D1670" t="n">
        <v>3</v>
      </c>
      <c r="E1670" t="n">
        <v>6</v>
      </c>
      <c r="F1670" t="inlineStr">
        <is>
          <t>开仓</t>
        </is>
      </c>
      <c r="G1670" t="n">
        <v>6</v>
      </c>
      <c r="H1670" t="n">
        <v>5212</v>
      </c>
      <c r="I1670" t="n">
        <v>4912.43</v>
      </c>
      <c r="J1670" t="n">
        <v>2.99</v>
      </c>
      <c r="K1670" t="inlineStr">
        <is>
          <t>¼凯利</t>
        </is>
      </c>
    </row>
    <row r="1671">
      <c r="A1671" t="inlineStr">
        <is>
          <t>2023-03-29</t>
        </is>
      </c>
      <c r="B1671" t="inlineStr">
        <is>
          <t>沪铜</t>
        </is>
      </c>
      <c r="C1671" t="inlineStr">
        <is>
          <t>空</t>
        </is>
      </c>
      <c r="D1671" t="n">
        <v>2</v>
      </c>
      <c r="E1671" t="n">
        <v>4</v>
      </c>
      <c r="F1671" t="inlineStr">
        <is>
          <t>观望</t>
        </is>
      </c>
      <c r="H1671" t="n">
        <v>69280</v>
      </c>
      <c r="J1671" t="n">
        <v>1</v>
      </c>
      <c r="K1671" t="inlineStr">
        <is>
          <t>逆5日线（收盘在5日线上，不追空）</t>
        </is>
      </c>
    </row>
    <row r="1672">
      <c r="A1672" t="inlineStr">
        <is>
          <t>2023-03-30</t>
        </is>
      </c>
      <c r="B1672" t="inlineStr">
        <is>
          <t>沪银</t>
        </is>
      </c>
      <c r="C1672" t="inlineStr">
        <is>
          <t>多</t>
        </is>
      </c>
      <c r="D1672" t="n">
        <v>3</v>
      </c>
      <c r="E1672" t="n">
        <v>7</v>
      </c>
      <c r="F1672" t="inlineStr">
        <is>
          <t>续持</t>
        </is>
      </c>
      <c r="G1672" t="n">
        <v>6</v>
      </c>
      <c r="H1672" t="n">
        <v>5296</v>
      </c>
      <c r="I1672" t="n">
        <v>4994.64</v>
      </c>
      <c r="J1672" t="n">
        <v>2.99</v>
      </c>
      <c r="K1672" t="inlineStr">
        <is>
          <t>续持原仓（2023-03-29开）</t>
        </is>
      </c>
    </row>
    <row r="1673">
      <c r="A1673" t="inlineStr">
        <is>
          <t>2023-03-30</t>
        </is>
      </c>
      <c r="B1673" t="inlineStr">
        <is>
          <t>菜粕</t>
        </is>
      </c>
      <c r="C1673" t="inlineStr">
        <is>
          <t>空</t>
        </is>
      </c>
      <c r="D1673" t="n">
        <v>3</v>
      </c>
      <c r="E1673" t="n">
        <v>6</v>
      </c>
      <c r="F1673" t="inlineStr">
        <is>
          <t>观望</t>
        </is>
      </c>
      <c r="G1673" t="n">
        <v>16</v>
      </c>
      <c r="H1673" t="n">
        <v>2792</v>
      </c>
      <c r="I1673" t="n">
        <v>2969</v>
      </c>
      <c r="J1673" t="n">
        <v>3</v>
      </c>
      <c r="K1673" t="inlineStr">
        <is>
          <t>逆5日线（收盘在5日线上，不追空）</t>
        </is>
      </c>
    </row>
    <row r="1674">
      <c r="A1674" t="inlineStr">
        <is>
          <t>2023-03-30</t>
        </is>
      </c>
      <c r="B1674" t="inlineStr">
        <is>
          <t>玻璃</t>
        </is>
      </c>
      <c r="C1674" t="inlineStr">
        <is>
          <t>多</t>
        </is>
      </c>
      <c r="D1674" t="n">
        <v>3</v>
      </c>
      <c r="E1674" t="n">
        <v>6</v>
      </c>
      <c r="F1674" t="inlineStr">
        <is>
          <t>续持</t>
        </is>
      </c>
      <c r="G1674" t="n">
        <v>4</v>
      </c>
      <c r="H1674" t="n">
        <v>1677</v>
      </c>
      <c r="I1674" t="n">
        <v>1580.57</v>
      </c>
      <c r="J1674" t="n">
        <v>1</v>
      </c>
      <c r="K1674" t="inlineStr">
        <is>
          <t>续持原仓（2023-03-28开）</t>
        </is>
      </c>
    </row>
    <row r="1675">
      <c r="A1675" t="inlineStr">
        <is>
          <t>2023-03-30</t>
        </is>
      </c>
      <c r="B1675" t="inlineStr">
        <is>
          <t>沪镍</t>
        </is>
      </c>
      <c r="C1675" t="inlineStr">
        <is>
          <t>空</t>
        </is>
      </c>
      <c r="D1675" t="n">
        <v>2</v>
      </c>
      <c r="E1675" t="n">
        <v>5</v>
      </c>
      <c r="F1675" t="inlineStr">
        <is>
          <t>不做</t>
        </is>
      </c>
      <c r="H1675" t="n">
        <v>176580</v>
      </c>
      <c r="J1675" t="n">
        <v>1</v>
      </c>
      <c r="K1675" t="inlineStr">
        <is>
          <t>1手风险18838元超过预算10000元</t>
        </is>
      </c>
    </row>
    <row r="1676">
      <c r="A1676" t="inlineStr">
        <is>
          <t>2023-03-30</t>
        </is>
      </c>
      <c r="B1676" t="inlineStr">
        <is>
          <t>燃料油</t>
        </is>
      </c>
      <c r="C1676" t="inlineStr">
        <is>
          <t>多</t>
        </is>
      </c>
      <c r="D1676" t="n">
        <v>2</v>
      </c>
      <c r="E1676" t="n">
        <v>4</v>
      </c>
      <c r="F1676" t="inlineStr">
        <is>
          <t>影子仓</t>
        </is>
      </c>
      <c r="G1676" t="n">
        <v>4</v>
      </c>
      <c r="H1676" t="n">
        <v>2742</v>
      </c>
      <c r="I1676" t="n">
        <v>2494.93</v>
      </c>
      <c r="J1676" t="n">
        <v>1</v>
      </c>
      <c r="K1676" t="inlineStr">
        <is>
          <t>凯利≤0，开1%影子仓（只统计，不计入组合）</t>
        </is>
      </c>
    </row>
    <row r="1677">
      <c r="A1677" t="inlineStr">
        <is>
          <t>2023-03-30</t>
        </is>
      </c>
      <c r="B1677" t="inlineStr">
        <is>
          <t>棕榈油</t>
        </is>
      </c>
      <c r="C1677" t="inlineStr">
        <is>
          <t>多</t>
        </is>
      </c>
      <c r="D1677" t="n">
        <v>2</v>
      </c>
      <c r="E1677" t="n">
        <v>4</v>
      </c>
      <c r="F1677" t="inlineStr">
        <is>
          <t>影子仓</t>
        </is>
      </c>
      <c r="G1677" t="n">
        <v>1</v>
      </c>
      <c r="H1677" t="n">
        <v>7624</v>
      </c>
      <c r="I1677" t="n">
        <v>7031.71</v>
      </c>
      <c r="J1677" t="n">
        <v>1</v>
      </c>
      <c r="K1677" t="inlineStr">
        <is>
          <t>凯利≤0，开1%影子仓（只统计，不计入组合）</t>
        </is>
      </c>
    </row>
    <row r="1678">
      <c r="A1678" t="inlineStr">
        <is>
          <t>2023-03-31</t>
        </is>
      </c>
      <c r="B1678" t="inlineStr">
        <is>
          <t>菜粕</t>
        </is>
      </c>
      <c r="C1678" t="inlineStr">
        <is>
          <t>空</t>
        </is>
      </c>
      <c r="D1678" t="n">
        <v>3</v>
      </c>
      <c r="E1678" t="n">
        <v>7</v>
      </c>
      <c r="F1678" t="inlineStr">
        <is>
          <t>开仓</t>
        </is>
      </c>
      <c r="G1678" t="n">
        <v>17</v>
      </c>
      <c r="H1678" t="n">
        <v>2750</v>
      </c>
      <c r="I1678" t="n">
        <v>2925.29</v>
      </c>
      <c r="J1678" t="n">
        <v>3</v>
      </c>
      <c r="K1678" t="inlineStr">
        <is>
          <t>¼凯利超上限，取3%</t>
        </is>
      </c>
    </row>
    <row r="1679">
      <c r="A1679" t="inlineStr">
        <is>
          <t>2023-03-31</t>
        </is>
      </c>
      <c r="B1679" t="inlineStr">
        <is>
          <t>沪金</t>
        </is>
      </c>
      <c r="C1679" t="inlineStr">
        <is>
          <t>多</t>
        </is>
      </c>
      <c r="D1679" t="n">
        <v>3</v>
      </c>
      <c r="E1679" t="n">
        <v>6</v>
      </c>
      <c r="F1679" t="inlineStr">
        <is>
          <t>开仓</t>
        </is>
      </c>
      <c r="G1679" t="n">
        <v>1</v>
      </c>
      <c r="H1679" t="n">
        <v>441.2</v>
      </c>
      <c r="I1679" t="n">
        <v>424.28</v>
      </c>
      <c r="J1679" t="n">
        <v>3</v>
      </c>
      <c r="K1679" t="inlineStr">
        <is>
          <t>¼凯利超上限，取3%</t>
        </is>
      </c>
    </row>
    <row r="1680">
      <c r="A1680" t="inlineStr">
        <is>
          <t>2023-03-31</t>
        </is>
      </c>
      <c r="B1680" t="inlineStr">
        <is>
          <t>豆粕</t>
        </is>
      </c>
      <c r="C1680" t="inlineStr">
        <is>
          <t>空</t>
        </is>
      </c>
      <c r="D1680" t="n">
        <v>3</v>
      </c>
      <c r="E1680" t="n">
        <v>6</v>
      </c>
      <c r="F1680" t="inlineStr">
        <is>
          <t>续持</t>
        </is>
      </c>
      <c r="G1680" t="n">
        <v>5</v>
      </c>
      <c r="H1680" t="n">
        <v>3511</v>
      </c>
      <c r="I1680" t="n">
        <v>3651.86</v>
      </c>
      <c r="J1680" t="n">
        <v>1</v>
      </c>
      <c r="K1680" t="inlineStr">
        <is>
          <t>续持原仓（2023-03-24开）</t>
        </is>
      </c>
    </row>
    <row r="1681">
      <c r="A1681" t="inlineStr">
        <is>
          <t>2023-03-31</t>
        </is>
      </c>
      <c r="B1681" t="inlineStr">
        <is>
          <t>豆油</t>
        </is>
      </c>
      <c r="C1681" t="inlineStr">
        <is>
          <t>空</t>
        </is>
      </c>
      <c r="D1681" t="n">
        <v>3</v>
      </c>
      <c r="E1681" t="n">
        <v>6</v>
      </c>
      <c r="F1681" t="inlineStr">
        <is>
          <t>观望</t>
        </is>
      </c>
      <c r="G1681" t="n">
        <v>1</v>
      </c>
      <c r="H1681" t="n">
        <v>8138</v>
      </c>
      <c r="I1681" t="n">
        <v>8670.290000000001</v>
      </c>
      <c r="J1681" t="n">
        <v>1</v>
      </c>
      <c r="K1681" t="inlineStr">
        <is>
          <t>逆5日线（收盘在5日线上，不追空）</t>
        </is>
      </c>
    </row>
    <row r="1682">
      <c r="A1682" t="inlineStr">
        <is>
          <t>2023-03-31</t>
        </is>
      </c>
      <c r="B1682" t="inlineStr">
        <is>
          <t>沪镍</t>
        </is>
      </c>
      <c r="C1682" t="inlineStr">
        <is>
          <t>空</t>
        </is>
      </c>
      <c r="D1682" t="n">
        <v>2</v>
      </c>
      <c r="E1682" t="n">
        <v>5</v>
      </c>
      <c r="F1682" t="inlineStr">
        <is>
          <t>不做</t>
        </is>
      </c>
      <c r="H1682" t="n">
        <v>174170</v>
      </c>
      <c r="J1682" t="n">
        <v>1</v>
      </c>
      <c r="K1682" t="inlineStr">
        <is>
          <t>1手风险18229元超过预算10000元</t>
        </is>
      </c>
    </row>
    <row r="1683">
      <c r="A1683" t="inlineStr">
        <is>
          <t>2023-03-31</t>
        </is>
      </c>
      <c r="B1683" t="inlineStr">
        <is>
          <t>沥青</t>
        </is>
      </c>
      <c r="C1683" t="inlineStr">
        <is>
          <t>多</t>
        </is>
      </c>
      <c r="D1683" t="n">
        <v>2</v>
      </c>
      <c r="E1683" t="n">
        <v>4</v>
      </c>
      <c r="F1683" t="inlineStr">
        <is>
          <t>影子仓</t>
        </is>
      </c>
      <c r="G1683" t="n">
        <v>4</v>
      </c>
      <c r="H1683" t="n">
        <v>3672</v>
      </c>
      <c r="I1683" t="n">
        <v>3433.29</v>
      </c>
      <c r="J1683" t="n">
        <v>1</v>
      </c>
      <c r="K1683" t="inlineStr">
        <is>
          <t>凯利≤0，开1%影子仓（只统计，不计入组合）</t>
        </is>
      </c>
    </row>
    <row r="1684">
      <c r="A1684" t="inlineStr">
        <is>
          <t>2023-04-03</t>
        </is>
      </c>
      <c r="B1684" t="inlineStr">
        <is>
          <t>白糖</t>
        </is>
      </c>
      <c r="C1684" t="inlineStr">
        <is>
          <t>多</t>
        </is>
      </c>
      <c r="D1684" t="n">
        <v>3</v>
      </c>
      <c r="E1684" t="n">
        <v>6</v>
      </c>
      <c r="F1684" t="inlineStr">
        <is>
          <t>开仓</t>
        </is>
      </c>
      <c r="G1684" t="n">
        <v>9</v>
      </c>
      <c r="H1684" t="n">
        <v>6493</v>
      </c>
      <c r="I1684" t="n">
        <v>6236.29</v>
      </c>
      <c r="J1684" t="n">
        <v>2.52</v>
      </c>
      <c r="K1684" t="inlineStr">
        <is>
          <t>¼凯利</t>
        </is>
      </c>
    </row>
    <row r="1685">
      <c r="A1685" t="inlineStr">
        <is>
          <t>2023-04-03</t>
        </is>
      </c>
      <c r="B1685" t="inlineStr">
        <is>
          <t>沪金</t>
        </is>
      </c>
      <c r="C1685" t="inlineStr">
        <is>
          <t>多</t>
        </is>
      </c>
      <c r="D1685" t="n">
        <v>2</v>
      </c>
      <c r="E1685" t="n">
        <v>5</v>
      </c>
      <c r="F1685" t="inlineStr">
        <is>
          <t>观望</t>
        </is>
      </c>
      <c r="H1685" t="n">
        <v>435.62</v>
      </c>
      <c r="J1685" t="n">
        <v>1</v>
      </c>
      <c r="K1685" t="inlineStr">
        <is>
          <t>逆5日线（收盘在5日线下，不追多）</t>
        </is>
      </c>
    </row>
    <row r="1686">
      <c r="A1686" t="inlineStr">
        <is>
          <t>2023-04-03</t>
        </is>
      </c>
      <c r="B1686" t="inlineStr">
        <is>
          <t>玉米</t>
        </is>
      </c>
      <c r="C1686" t="inlineStr">
        <is>
          <t>空</t>
        </is>
      </c>
      <c r="D1686" t="n">
        <v>2</v>
      </c>
      <c r="E1686" t="n">
        <v>5</v>
      </c>
      <c r="F1686" t="inlineStr">
        <is>
          <t>影子仓</t>
        </is>
      </c>
      <c r="G1686" t="n">
        <v>10</v>
      </c>
      <c r="H1686" t="n">
        <v>2721</v>
      </c>
      <c r="I1686" t="n">
        <v>2813.79</v>
      </c>
      <c r="J1686" t="n">
        <v>1</v>
      </c>
      <c r="K1686" t="inlineStr">
        <is>
          <t>凯利≤0，开1%影子仓（只统计，不计入组合）</t>
        </is>
      </c>
    </row>
    <row r="1687">
      <c r="A1687" t="inlineStr">
        <is>
          <t>2023-04-03</t>
        </is>
      </c>
      <c r="B1687" t="inlineStr">
        <is>
          <t>玻璃</t>
        </is>
      </c>
      <c r="C1687" t="inlineStr">
        <is>
          <t>多</t>
        </is>
      </c>
      <c r="D1687" t="n">
        <v>2</v>
      </c>
      <c r="E1687" t="n">
        <v>5</v>
      </c>
      <c r="F1687" t="inlineStr">
        <is>
          <t>观望</t>
        </is>
      </c>
      <c r="G1687" t="n">
        <v>4</v>
      </c>
      <c r="H1687" t="n">
        <v>1647</v>
      </c>
      <c r="I1687" t="n">
        <v>1538.14</v>
      </c>
      <c r="J1687" t="n">
        <v>1</v>
      </c>
      <c r="K1687" t="inlineStr">
        <is>
          <t>逆5日线（收盘在5日线下，不追多）</t>
        </is>
      </c>
    </row>
    <row r="1688">
      <c r="A1688" t="inlineStr">
        <is>
          <t>2023-04-03</t>
        </is>
      </c>
      <c r="B1688" t="inlineStr">
        <is>
          <t>硅铁</t>
        </is>
      </c>
      <c r="C1688" t="inlineStr">
        <is>
          <t>空</t>
        </is>
      </c>
      <c r="D1688" t="n">
        <v>2</v>
      </c>
      <c r="E1688" t="n">
        <v>5</v>
      </c>
      <c r="F1688" t="inlineStr">
        <is>
          <t>影子仓</t>
        </is>
      </c>
      <c r="G1688" t="n">
        <v>4</v>
      </c>
      <c r="H1688" t="n">
        <v>7828</v>
      </c>
      <c r="I1688" t="n">
        <v>8233</v>
      </c>
      <c r="J1688" t="n">
        <v>1</v>
      </c>
      <c r="K1688" t="inlineStr">
        <is>
          <t>凯利≤0，开1%影子仓（只统计，不计入组合）</t>
        </is>
      </c>
    </row>
    <row r="1689">
      <c r="A1689" t="inlineStr">
        <is>
          <t>2023-04-04</t>
        </is>
      </c>
      <c r="B1689" t="inlineStr">
        <is>
          <t>沪金</t>
        </is>
      </c>
      <c r="C1689" t="inlineStr">
        <is>
          <t>多</t>
        </is>
      </c>
      <c r="D1689" t="n">
        <v>3</v>
      </c>
      <c r="E1689" t="n">
        <v>7</v>
      </c>
      <c r="F1689" t="inlineStr">
        <is>
          <t>续持</t>
        </is>
      </c>
      <c r="G1689" t="n">
        <v>1</v>
      </c>
      <c r="H1689" t="n">
        <v>440.7</v>
      </c>
      <c r="I1689" t="n">
        <v>424.06</v>
      </c>
      <c r="J1689" t="n">
        <v>3</v>
      </c>
      <c r="K1689" t="inlineStr">
        <is>
          <t>续持原仓（2023-03-31开）</t>
        </is>
      </c>
    </row>
    <row r="1690">
      <c r="A1690" t="inlineStr">
        <is>
          <t>2023-04-04</t>
        </is>
      </c>
      <c r="B1690" t="inlineStr">
        <is>
          <t>硅铁</t>
        </is>
      </c>
      <c r="C1690" t="inlineStr">
        <is>
          <t>空</t>
        </is>
      </c>
      <c r="D1690" t="n">
        <v>2</v>
      </c>
      <c r="E1690" t="n">
        <v>5</v>
      </c>
      <c r="F1690" t="inlineStr">
        <is>
          <t>续持</t>
        </is>
      </c>
      <c r="G1690" t="n">
        <v>4</v>
      </c>
      <c r="H1690" t="n">
        <v>7790</v>
      </c>
      <c r="I1690" t="n">
        <v>8167.14</v>
      </c>
      <c r="J1690" t="n">
        <v>1</v>
      </c>
      <c r="K1690" t="inlineStr">
        <is>
          <t>续持原仓（2023-04-03开）</t>
        </is>
      </c>
    </row>
    <row r="1691">
      <c r="A1691" t="inlineStr">
        <is>
          <t>2023-04-04</t>
        </is>
      </c>
      <c r="B1691" t="inlineStr">
        <is>
          <t>玻璃</t>
        </is>
      </c>
      <c r="C1691" t="inlineStr">
        <is>
          <t>多</t>
        </is>
      </c>
      <c r="D1691" t="n">
        <v>2</v>
      </c>
      <c r="E1691" t="n">
        <v>4</v>
      </c>
      <c r="F1691" t="inlineStr">
        <is>
          <t>观望</t>
        </is>
      </c>
      <c r="G1691" t="n">
        <v>4</v>
      </c>
      <c r="H1691" t="n">
        <v>1630</v>
      </c>
      <c r="I1691" t="n">
        <v>1517.93</v>
      </c>
      <c r="J1691" t="n">
        <v>1</v>
      </c>
      <c r="K1691" t="inlineStr">
        <is>
          <t>逆5日线（收盘在5日线下，不追多）</t>
        </is>
      </c>
    </row>
    <row r="1692">
      <c r="A1692" t="inlineStr">
        <is>
          <t>2023-04-04</t>
        </is>
      </c>
      <c r="B1692" t="inlineStr">
        <is>
          <t>短纤</t>
        </is>
      </c>
      <c r="C1692" t="inlineStr">
        <is>
          <t>多</t>
        </is>
      </c>
      <c r="D1692" t="n">
        <v>2</v>
      </c>
      <c r="E1692" t="n">
        <v>4</v>
      </c>
      <c r="F1692" t="inlineStr">
        <is>
          <t>影子仓</t>
        </is>
      </c>
      <c r="G1692" t="n">
        <v>4</v>
      </c>
      <c r="H1692" t="n">
        <v>7694</v>
      </c>
      <c r="I1692" t="n">
        <v>7254.71</v>
      </c>
      <c r="J1692" t="n">
        <v>1</v>
      </c>
      <c r="K1692" t="inlineStr">
        <is>
          <t>凯利≤0，开1%影子仓（只统计，不计入组合）</t>
        </is>
      </c>
    </row>
    <row r="1693">
      <c r="A1693" t="inlineStr">
        <is>
          <t>2023-04-04</t>
        </is>
      </c>
      <c r="B1693" t="inlineStr">
        <is>
          <t>沪镍</t>
        </is>
      </c>
      <c r="C1693" t="inlineStr">
        <is>
          <t>空</t>
        </is>
      </c>
      <c r="D1693" t="n">
        <v>2</v>
      </c>
      <c r="E1693" t="n">
        <v>4</v>
      </c>
      <c r="F1693" t="inlineStr">
        <is>
          <t>不做</t>
        </is>
      </c>
      <c r="H1693" t="n">
        <v>176860</v>
      </c>
      <c r="J1693" t="n">
        <v>1</v>
      </c>
      <c r="K1693" t="inlineStr">
        <is>
          <t>1手风险19348元超过预算10000元</t>
        </is>
      </c>
    </row>
    <row r="1694">
      <c r="A1694" t="inlineStr">
        <is>
          <t>2023-04-04</t>
        </is>
      </c>
      <c r="B1694" t="inlineStr">
        <is>
          <t>PVC</t>
        </is>
      </c>
      <c r="C1694" t="inlineStr">
        <is>
          <t>空</t>
        </is>
      </c>
      <c r="D1694" t="n">
        <v>2</v>
      </c>
      <c r="E1694" t="n">
        <v>4</v>
      </c>
      <c r="F1694" t="inlineStr">
        <is>
          <t>影子仓</t>
        </is>
      </c>
      <c r="G1694" t="n">
        <v>6</v>
      </c>
      <c r="H1694" t="n">
        <v>6210</v>
      </c>
      <c r="I1694" t="n">
        <v>6521.36</v>
      </c>
      <c r="J1694" t="n">
        <v>1</v>
      </c>
      <c r="K1694" t="inlineStr">
        <is>
          <t>凯利≤0，开1%影子仓（只统计，不计入组合）</t>
        </is>
      </c>
    </row>
    <row r="1695">
      <c r="A1695" t="inlineStr">
        <is>
          <t>2023-04-06</t>
        </is>
      </c>
      <c r="B1695" t="inlineStr">
        <is>
          <t>沪金</t>
        </is>
      </c>
      <c r="C1695" t="inlineStr">
        <is>
          <t>多</t>
        </is>
      </c>
      <c r="D1695" t="n">
        <v>3</v>
      </c>
      <c r="E1695" t="n">
        <v>7</v>
      </c>
      <c r="F1695" t="inlineStr">
        <is>
          <t>续持</t>
        </is>
      </c>
      <c r="G1695" t="n">
        <v>1</v>
      </c>
      <c r="H1695" t="n">
        <v>447.18</v>
      </c>
      <c r="I1695" t="n">
        <v>430.18</v>
      </c>
      <c r="J1695" t="n">
        <v>3</v>
      </c>
      <c r="K1695" t="inlineStr">
        <is>
          <t>续持原仓（2023-03-31开）</t>
        </is>
      </c>
    </row>
    <row r="1696">
      <c r="A1696" t="inlineStr">
        <is>
          <t>2023-04-06</t>
        </is>
      </c>
      <c r="B1696" t="inlineStr">
        <is>
          <t>沪银</t>
        </is>
      </c>
      <c r="C1696" t="inlineStr">
        <is>
          <t>多</t>
        </is>
      </c>
      <c r="D1696" t="n">
        <v>3</v>
      </c>
      <c r="E1696" t="n">
        <v>7</v>
      </c>
      <c r="F1696" t="inlineStr">
        <is>
          <t>开仓</t>
        </is>
      </c>
      <c r="G1696" t="n">
        <v>5</v>
      </c>
      <c r="H1696" t="n">
        <v>5554</v>
      </c>
      <c r="I1696" t="n">
        <v>5248.43</v>
      </c>
      <c r="J1696" t="n">
        <v>2.52</v>
      </c>
      <c r="K1696" t="inlineStr">
        <is>
          <t>¼凯利</t>
        </is>
      </c>
    </row>
    <row r="1697">
      <c r="A1697" t="inlineStr">
        <is>
          <t>2023-04-06</t>
        </is>
      </c>
      <c r="B1697" t="inlineStr">
        <is>
          <t>玻璃</t>
        </is>
      </c>
      <c r="C1697" t="inlineStr">
        <is>
          <t>多</t>
        </is>
      </c>
      <c r="D1697" t="n">
        <v>3</v>
      </c>
      <c r="E1697" t="n">
        <v>6</v>
      </c>
      <c r="F1697" t="inlineStr">
        <is>
          <t>开仓</t>
        </is>
      </c>
      <c r="G1697" t="n">
        <v>9</v>
      </c>
      <c r="H1697" t="n">
        <v>1650</v>
      </c>
      <c r="I1697" t="n">
        <v>1546.29</v>
      </c>
      <c r="J1697" t="n">
        <v>1.96</v>
      </c>
      <c r="K1697" t="inlineStr">
        <is>
          <t>组合风险已近10%，预算缩小</t>
        </is>
      </c>
    </row>
    <row r="1698">
      <c r="A1698" t="inlineStr">
        <is>
          <t>2023-04-06</t>
        </is>
      </c>
      <c r="B1698" t="inlineStr">
        <is>
          <t>沪铝</t>
        </is>
      </c>
      <c r="C1698" t="inlineStr">
        <is>
          <t>空</t>
        </is>
      </c>
      <c r="D1698" t="n">
        <v>3</v>
      </c>
      <c r="E1698" t="n">
        <v>6</v>
      </c>
      <c r="F1698" t="inlineStr">
        <is>
          <t>不做</t>
        </is>
      </c>
      <c r="H1698" t="n">
        <v>18580</v>
      </c>
      <c r="J1698" t="n">
        <v>0</v>
      </c>
      <c r="K1698" t="inlineStr">
        <is>
          <t>组合风险已近10%，预算缩小</t>
        </is>
      </c>
    </row>
    <row r="1699">
      <c r="A1699" t="inlineStr">
        <is>
          <t>2023-04-06</t>
        </is>
      </c>
      <c r="B1699" t="inlineStr">
        <is>
          <t>沪镍</t>
        </is>
      </c>
      <c r="C1699" t="inlineStr">
        <is>
          <t>空</t>
        </is>
      </c>
      <c r="D1699" t="n">
        <v>2</v>
      </c>
      <c r="E1699" t="n">
        <v>5</v>
      </c>
      <c r="F1699" t="inlineStr">
        <is>
          <t>不做</t>
        </is>
      </c>
      <c r="H1699" t="n">
        <v>173350</v>
      </c>
      <c r="J1699" t="n">
        <v>1</v>
      </c>
      <c r="K1699" t="inlineStr">
        <is>
          <t>1手风险18804元超过预算10000元</t>
        </is>
      </c>
    </row>
    <row r="1700">
      <c r="A1700" t="inlineStr">
        <is>
          <t>2023-04-07</t>
        </is>
      </c>
      <c r="B1700" t="inlineStr">
        <is>
          <t>豆粕</t>
        </is>
      </c>
      <c r="C1700" t="inlineStr">
        <is>
          <t>空</t>
        </is>
      </c>
      <c r="D1700" t="n">
        <v>3</v>
      </c>
      <c r="E1700" t="n">
        <v>6</v>
      </c>
      <c r="F1700" t="inlineStr">
        <is>
          <t>不做</t>
        </is>
      </c>
      <c r="H1700" t="n">
        <v>3607</v>
      </c>
      <c r="J1700" t="n">
        <v>0</v>
      </c>
      <c r="K1700" t="inlineStr">
        <is>
          <t>组合风险已近10%，预算缩小</t>
        </is>
      </c>
    </row>
    <row r="1701">
      <c r="A1701" t="inlineStr">
        <is>
          <t>2023-04-07</t>
        </is>
      </c>
      <c r="B1701" t="inlineStr">
        <is>
          <t>白糖</t>
        </is>
      </c>
      <c r="C1701" t="inlineStr">
        <is>
          <t>多</t>
        </is>
      </c>
      <c r="D1701" t="n">
        <v>3</v>
      </c>
      <c r="E1701" t="n">
        <v>6</v>
      </c>
      <c r="F1701" t="inlineStr">
        <is>
          <t>续持</t>
        </is>
      </c>
      <c r="G1701" t="n">
        <v>9</v>
      </c>
      <c r="H1701" t="n">
        <v>6719</v>
      </c>
      <c r="I1701" t="n">
        <v>6425.57</v>
      </c>
      <c r="J1701" t="n">
        <v>2.52</v>
      </c>
      <c r="K1701" t="inlineStr">
        <is>
          <t>续持原仓（2023-04-03开）</t>
        </is>
      </c>
    </row>
    <row r="1702">
      <c r="A1702" t="inlineStr">
        <is>
          <t>2023-04-07</t>
        </is>
      </c>
      <c r="B1702" t="inlineStr">
        <is>
          <t>玻璃</t>
        </is>
      </c>
      <c r="C1702" t="inlineStr">
        <is>
          <t>多</t>
        </is>
      </c>
      <c r="D1702" t="n">
        <v>3</v>
      </c>
      <c r="E1702" t="n">
        <v>6</v>
      </c>
      <c r="F1702" t="inlineStr">
        <is>
          <t>续持</t>
        </is>
      </c>
      <c r="G1702" t="n">
        <v>9</v>
      </c>
      <c r="H1702" t="n">
        <v>1666</v>
      </c>
      <c r="I1702" t="n">
        <v>1570.93</v>
      </c>
      <c r="J1702" t="n">
        <v>1.96</v>
      </c>
      <c r="K1702" t="inlineStr">
        <is>
          <t>续持原仓（2023-04-06开）</t>
        </is>
      </c>
    </row>
    <row r="1703">
      <c r="A1703" t="inlineStr">
        <is>
          <t>2023-04-07</t>
        </is>
      </c>
      <c r="B1703" t="inlineStr">
        <is>
          <t>沪金</t>
        </is>
      </c>
      <c r="C1703" t="inlineStr">
        <is>
          <t>多</t>
        </is>
      </c>
      <c r="D1703" t="n">
        <v>2</v>
      </c>
      <c r="E1703" t="n">
        <v>5</v>
      </c>
      <c r="F1703" t="inlineStr">
        <is>
          <t>续持</t>
        </is>
      </c>
      <c r="G1703" t="n">
        <v>1</v>
      </c>
      <c r="H1703" t="n">
        <v>447.32</v>
      </c>
      <c r="I1703" t="n">
        <v>430.5</v>
      </c>
      <c r="J1703" t="n">
        <v>3</v>
      </c>
      <c r="K1703" t="inlineStr">
        <is>
          <t>续持原仓（2023-03-31开）</t>
        </is>
      </c>
    </row>
    <row r="1704">
      <c r="A1704" t="inlineStr">
        <is>
          <t>2023-04-07</t>
        </is>
      </c>
      <c r="B1704" t="inlineStr">
        <is>
          <t>沪银</t>
        </is>
      </c>
      <c r="C1704" t="inlineStr">
        <is>
          <t>多</t>
        </is>
      </c>
      <c r="D1704" t="n">
        <v>2</v>
      </c>
      <c r="E1704" t="n">
        <v>5</v>
      </c>
      <c r="F1704" t="inlineStr">
        <is>
          <t>续持</t>
        </is>
      </c>
      <c r="G1704" t="n">
        <v>5</v>
      </c>
      <c r="H1704" t="n">
        <v>5599</v>
      </c>
      <c r="I1704" t="n">
        <v>5301.5</v>
      </c>
      <c r="J1704" t="n">
        <v>2.52</v>
      </c>
      <c r="K1704" t="inlineStr">
        <is>
          <t>续持原仓（2023-04-06开）</t>
        </is>
      </c>
    </row>
    <row r="1705">
      <c r="A1705" t="inlineStr">
        <is>
          <t>2023-04-10</t>
        </is>
      </c>
      <c r="B1705" t="inlineStr">
        <is>
          <t>沪铝</t>
        </is>
      </c>
      <c r="C1705" t="inlineStr">
        <is>
          <t>空</t>
        </is>
      </c>
      <c r="D1705" t="n">
        <v>3</v>
      </c>
      <c r="E1705" t="n">
        <v>7</v>
      </c>
      <c r="F1705" t="inlineStr">
        <is>
          <t>开仓</t>
        </is>
      </c>
      <c r="G1705" t="n">
        <v>9</v>
      </c>
      <c r="H1705" t="n">
        <v>18615</v>
      </c>
      <c r="I1705" t="n">
        <v>19170</v>
      </c>
      <c r="J1705" t="n">
        <v>2.54</v>
      </c>
      <c r="K1705" t="inlineStr">
        <is>
          <t>¼凯利</t>
        </is>
      </c>
    </row>
    <row r="1706">
      <c r="A1706" t="inlineStr">
        <is>
          <t>2023-04-10</t>
        </is>
      </c>
      <c r="B1706" t="inlineStr">
        <is>
          <t>豆粕</t>
        </is>
      </c>
      <c r="C1706" t="inlineStr">
        <is>
          <t>空</t>
        </is>
      </c>
      <c r="D1706" t="n">
        <v>3</v>
      </c>
      <c r="E1706" t="n">
        <v>6</v>
      </c>
      <c r="F1706" t="inlineStr">
        <is>
          <t>开仓</t>
        </is>
      </c>
      <c r="G1706" t="n">
        <v>2</v>
      </c>
      <c r="H1706" t="n">
        <v>3587</v>
      </c>
      <c r="I1706" t="n">
        <v>3787.14</v>
      </c>
      <c r="J1706" t="n">
        <v>0.46</v>
      </c>
      <c r="K1706" t="inlineStr">
        <is>
          <t>组合风险已近10%，预算缩小</t>
        </is>
      </c>
    </row>
    <row r="1707">
      <c r="A1707" t="inlineStr">
        <is>
          <t>2023-04-10</t>
        </is>
      </c>
      <c r="B1707" t="inlineStr">
        <is>
          <t>白糖</t>
        </is>
      </c>
      <c r="C1707" t="inlineStr">
        <is>
          <t>多</t>
        </is>
      </c>
      <c r="D1707" t="n">
        <v>2</v>
      </c>
      <c r="E1707" t="n">
        <v>5</v>
      </c>
      <c r="F1707" t="inlineStr">
        <is>
          <t>续持</t>
        </is>
      </c>
      <c r="G1707" t="n">
        <v>9</v>
      </c>
      <c r="H1707" t="n">
        <v>6676</v>
      </c>
      <c r="I1707" t="n">
        <v>6481.86</v>
      </c>
      <c r="J1707" t="n">
        <v>2.52</v>
      </c>
      <c r="K1707" t="inlineStr">
        <is>
          <t>续持原仓（2023-04-03开）</t>
        </is>
      </c>
    </row>
    <row r="1708">
      <c r="A1708" t="inlineStr">
        <is>
          <t>2023-04-10</t>
        </is>
      </c>
      <c r="B1708" t="inlineStr">
        <is>
          <t>玻璃</t>
        </is>
      </c>
      <c r="C1708" t="inlineStr">
        <is>
          <t>多</t>
        </is>
      </c>
      <c r="D1708" t="n">
        <v>2</v>
      </c>
      <c r="E1708" t="n">
        <v>5</v>
      </c>
      <c r="F1708" t="inlineStr">
        <is>
          <t>续持</t>
        </is>
      </c>
      <c r="G1708" t="n">
        <v>9</v>
      </c>
      <c r="H1708" t="n">
        <v>1659</v>
      </c>
      <c r="I1708" t="n">
        <v>1587.86</v>
      </c>
      <c r="J1708" t="n">
        <v>1.96</v>
      </c>
      <c r="K1708" t="inlineStr">
        <is>
          <t>续持原仓（2023-04-06开）</t>
        </is>
      </c>
    </row>
    <row r="1709">
      <c r="A1709" t="inlineStr">
        <is>
          <t>2023-04-10</t>
        </is>
      </c>
      <c r="B1709" t="inlineStr">
        <is>
          <t>沪银</t>
        </is>
      </c>
      <c r="C1709" t="inlineStr">
        <is>
          <t>多</t>
        </is>
      </c>
      <c r="D1709" t="n">
        <v>2</v>
      </c>
      <c r="E1709" t="n">
        <v>4</v>
      </c>
      <c r="F1709" t="inlineStr">
        <is>
          <t>续持</t>
        </is>
      </c>
      <c r="G1709" t="n">
        <v>5</v>
      </c>
      <c r="H1709" t="n">
        <v>5528</v>
      </c>
      <c r="I1709" t="n">
        <v>5308.36</v>
      </c>
      <c r="J1709" t="n">
        <v>2.52</v>
      </c>
      <c r="K1709" t="inlineStr">
        <is>
          <t>续持原仓（2023-04-06开）</t>
        </is>
      </c>
    </row>
    <row r="1710">
      <c r="A1710" t="inlineStr">
        <is>
          <t>2023-04-11</t>
        </is>
      </c>
      <c r="B1710" t="inlineStr">
        <is>
          <t>沪银</t>
        </is>
      </c>
      <c r="C1710" t="inlineStr">
        <is>
          <t>多</t>
        </is>
      </c>
      <c r="D1710" t="n">
        <v>3</v>
      </c>
      <c r="E1710" t="n">
        <v>6</v>
      </c>
      <c r="F1710" t="inlineStr">
        <is>
          <t>续持</t>
        </is>
      </c>
      <c r="G1710" t="n">
        <v>5</v>
      </c>
      <c r="H1710" t="n">
        <v>5578</v>
      </c>
      <c r="I1710" t="n">
        <v>5310.07</v>
      </c>
      <c r="J1710" t="n">
        <v>2.52</v>
      </c>
      <c r="K1710" t="inlineStr">
        <is>
          <t>续持原仓（2023-04-06开）</t>
        </is>
      </c>
    </row>
    <row r="1711">
      <c r="A1711" t="inlineStr">
        <is>
          <t>2023-04-11</t>
        </is>
      </c>
      <c r="B1711" t="inlineStr">
        <is>
          <t>豆粕</t>
        </is>
      </c>
      <c r="C1711" t="inlineStr">
        <is>
          <t>空</t>
        </is>
      </c>
      <c r="D1711" t="n">
        <v>3</v>
      </c>
      <c r="E1711" t="n">
        <v>6</v>
      </c>
      <c r="F1711" t="inlineStr">
        <is>
          <t>续持</t>
        </is>
      </c>
      <c r="G1711" t="n">
        <v>2</v>
      </c>
      <c r="H1711" t="n">
        <v>3598</v>
      </c>
      <c r="I1711" t="n">
        <v>3751.79</v>
      </c>
      <c r="J1711" t="n">
        <v>0.46</v>
      </c>
      <c r="K1711" t="inlineStr">
        <is>
          <t>续持原仓（2023-04-10开）</t>
        </is>
      </c>
    </row>
    <row r="1712">
      <c r="A1712" t="inlineStr">
        <is>
          <t>2023-04-11</t>
        </is>
      </c>
      <c r="B1712" t="inlineStr">
        <is>
          <t>白糖</t>
        </is>
      </c>
      <c r="C1712" t="inlineStr">
        <is>
          <t>多</t>
        </is>
      </c>
      <c r="D1712" t="n">
        <v>3</v>
      </c>
      <c r="E1712" t="n">
        <v>6</v>
      </c>
      <c r="F1712" t="inlineStr">
        <is>
          <t>续持</t>
        </is>
      </c>
      <c r="G1712" t="n">
        <v>9</v>
      </c>
      <c r="H1712" t="n">
        <v>6722</v>
      </c>
      <c r="I1712" t="n">
        <v>6481.86</v>
      </c>
      <c r="J1712" t="n">
        <v>2.52</v>
      </c>
      <c r="K1712" t="inlineStr">
        <is>
          <t>续持原仓（2023-04-03开）</t>
        </is>
      </c>
    </row>
    <row r="1713">
      <c r="A1713" t="inlineStr">
        <is>
          <t>2023-04-11</t>
        </is>
      </c>
      <c r="B1713" t="inlineStr">
        <is>
          <t>燃料油</t>
        </is>
      </c>
      <c r="C1713" t="inlineStr">
        <is>
          <t>多</t>
        </is>
      </c>
      <c r="D1713" t="n">
        <v>2</v>
      </c>
      <c r="E1713" t="n">
        <v>5</v>
      </c>
      <c r="F1713" t="inlineStr">
        <is>
          <t>影子仓</t>
        </is>
      </c>
      <c r="G1713" t="n">
        <v>4</v>
      </c>
      <c r="H1713" t="n">
        <v>3106</v>
      </c>
      <c r="I1713" t="n">
        <v>2866.64</v>
      </c>
      <c r="J1713" t="n">
        <v>1</v>
      </c>
      <c r="K1713" t="inlineStr">
        <is>
          <t>凯利≤0，开1%影子仓（只统计，不计入组合）</t>
        </is>
      </c>
    </row>
    <row r="1714">
      <c r="A1714" t="inlineStr">
        <is>
          <t>2023-04-11</t>
        </is>
      </c>
      <c r="B1714" t="inlineStr">
        <is>
          <t>沥青</t>
        </is>
      </c>
      <c r="C1714" t="inlineStr">
        <is>
          <t>多</t>
        </is>
      </c>
      <c r="D1714" t="n">
        <v>2</v>
      </c>
      <c r="E1714" t="n">
        <v>4</v>
      </c>
      <c r="F1714" t="inlineStr">
        <is>
          <t>影子仓</t>
        </is>
      </c>
      <c r="G1714" t="n">
        <v>4</v>
      </c>
      <c r="H1714" t="n">
        <v>3848</v>
      </c>
      <c r="I1714" t="n">
        <v>3638.43</v>
      </c>
      <c r="J1714" t="n">
        <v>1</v>
      </c>
      <c r="K1714" t="inlineStr">
        <is>
          <t>凯利≤0，开1%影子仓（只统计，不计入组合）</t>
        </is>
      </c>
    </row>
    <row r="1715">
      <c r="A1715" t="inlineStr">
        <is>
          <t>2023-04-11</t>
        </is>
      </c>
      <c r="B1715" t="inlineStr">
        <is>
          <t>热卷</t>
        </is>
      </c>
      <c r="C1715" t="inlineStr">
        <is>
          <t>多</t>
        </is>
      </c>
      <c r="D1715" t="n">
        <v>2</v>
      </c>
      <c r="E1715" t="n">
        <v>4</v>
      </c>
      <c r="F1715" t="inlineStr">
        <is>
          <t>观望</t>
        </is>
      </c>
      <c r="G1715" t="n">
        <v>4</v>
      </c>
      <c r="H1715" t="n">
        <v>4029</v>
      </c>
      <c r="I1715" t="n">
        <v>3806.57</v>
      </c>
      <c r="J1715" t="n">
        <v>1</v>
      </c>
      <c r="K1715" t="inlineStr">
        <is>
          <t>逆5日线（收盘在5日线下，不追多）</t>
        </is>
      </c>
    </row>
    <row r="1716">
      <c r="A1716" t="inlineStr">
        <is>
          <t>2023-04-12</t>
        </is>
      </c>
      <c r="B1716" t="inlineStr">
        <is>
          <t>菜粕</t>
        </is>
      </c>
      <c r="C1716" t="inlineStr">
        <is>
          <t>空</t>
        </is>
      </c>
      <c r="D1716" t="n">
        <v>3</v>
      </c>
      <c r="E1716" t="n">
        <v>7</v>
      </c>
      <c r="F1716" t="inlineStr">
        <is>
          <t>开仓</t>
        </is>
      </c>
      <c r="G1716" t="n">
        <v>13</v>
      </c>
      <c r="H1716" t="n">
        <v>2847</v>
      </c>
      <c r="I1716" t="n">
        <v>3029.14</v>
      </c>
      <c r="J1716" t="n">
        <v>2.54</v>
      </c>
      <c r="K1716" t="inlineStr">
        <is>
          <t>与豆粕高度相关（同组≤3%），预算缩小</t>
        </is>
      </c>
    </row>
    <row r="1717">
      <c r="A1717" t="inlineStr">
        <is>
          <t>2023-04-12</t>
        </is>
      </c>
      <c r="B1717" t="inlineStr">
        <is>
          <t>塑料</t>
        </is>
      </c>
      <c r="C1717" t="inlineStr">
        <is>
          <t>多</t>
        </is>
      </c>
      <c r="D1717" t="n">
        <v>3</v>
      </c>
      <c r="E1717" t="n">
        <v>7</v>
      </c>
      <c r="F1717" t="inlineStr">
        <is>
          <t>不做</t>
        </is>
      </c>
      <c r="H1717" t="n">
        <v>8198</v>
      </c>
      <c r="J1717" t="n">
        <v>0</v>
      </c>
      <c r="K1717" t="inlineStr">
        <is>
          <t>组合风险已近10%，预算缩小</t>
        </is>
      </c>
    </row>
    <row r="1718">
      <c r="A1718" t="inlineStr">
        <is>
          <t>2023-04-12</t>
        </is>
      </c>
      <c r="B1718" t="inlineStr">
        <is>
          <t>沪银</t>
        </is>
      </c>
      <c r="C1718" t="inlineStr">
        <is>
          <t>多</t>
        </is>
      </c>
      <c r="D1718" t="n">
        <v>3</v>
      </c>
      <c r="E1718" t="n">
        <v>6</v>
      </c>
      <c r="F1718" t="inlineStr">
        <is>
          <t>续持</t>
        </is>
      </c>
      <c r="G1718" t="n">
        <v>5</v>
      </c>
      <c r="H1718" t="n">
        <v>5673</v>
      </c>
      <c r="I1718" t="n">
        <v>5380.21</v>
      </c>
      <c r="J1718" t="n">
        <v>2.52</v>
      </c>
      <c r="K1718" t="inlineStr">
        <is>
          <t>续持原仓（2023-04-06开）</t>
        </is>
      </c>
    </row>
    <row r="1719">
      <c r="A1719" t="inlineStr">
        <is>
          <t>2023-04-12</t>
        </is>
      </c>
      <c r="B1719" t="inlineStr">
        <is>
          <t>豆粕</t>
        </is>
      </c>
      <c r="C1719" t="inlineStr">
        <is>
          <t>空</t>
        </is>
      </c>
      <c r="D1719" t="n">
        <v>3</v>
      </c>
      <c r="E1719" t="n">
        <v>6</v>
      </c>
      <c r="F1719" t="inlineStr">
        <is>
          <t>续持</t>
        </is>
      </c>
      <c r="G1719" t="n">
        <v>2</v>
      </c>
      <c r="H1719" t="n">
        <v>3556</v>
      </c>
      <c r="I1719" t="n">
        <v>3735.29</v>
      </c>
      <c r="J1719" t="n">
        <v>0.46</v>
      </c>
      <c r="K1719" t="inlineStr">
        <is>
          <t>续持原仓（2023-04-10开）</t>
        </is>
      </c>
    </row>
    <row r="1720">
      <c r="A1720" t="inlineStr">
        <is>
          <t>2023-04-12</t>
        </is>
      </c>
      <c r="B1720" t="inlineStr">
        <is>
          <t>白糖</t>
        </is>
      </c>
      <c r="C1720" t="inlineStr">
        <is>
          <t>多</t>
        </is>
      </c>
      <c r="D1720" t="n">
        <v>2</v>
      </c>
      <c r="E1720" t="n">
        <v>5</v>
      </c>
      <c r="F1720" t="inlineStr">
        <is>
          <t>续持</t>
        </is>
      </c>
      <c r="G1720" t="n">
        <v>9</v>
      </c>
      <c r="H1720" t="n">
        <v>6758</v>
      </c>
      <c r="I1720" t="n">
        <v>6481.86</v>
      </c>
      <c r="J1720" t="n">
        <v>2.52</v>
      </c>
      <c r="K1720" t="inlineStr">
        <is>
          <t>续持原仓（2023-04-03开）</t>
        </is>
      </c>
    </row>
    <row r="1721">
      <c r="A1721" t="inlineStr">
        <is>
          <t>2023-04-12</t>
        </is>
      </c>
      <c r="B1721" t="inlineStr">
        <is>
          <t>沥青</t>
        </is>
      </c>
      <c r="C1721" t="inlineStr">
        <is>
          <t>多</t>
        </is>
      </c>
      <c r="D1721" t="n">
        <v>2</v>
      </c>
      <c r="E1721" t="n">
        <v>5</v>
      </c>
      <c r="F1721" t="inlineStr">
        <is>
          <t>续持</t>
        </is>
      </c>
      <c r="G1721" t="n">
        <v>4</v>
      </c>
      <c r="H1721" t="n">
        <v>3887</v>
      </c>
      <c r="I1721" t="n">
        <v>3677.21</v>
      </c>
      <c r="J1721" t="n">
        <v>1</v>
      </c>
      <c r="K1721" t="inlineStr">
        <is>
          <t>续持原仓（2023-04-11开）</t>
        </is>
      </c>
    </row>
    <row r="1722">
      <c r="A1722" t="inlineStr">
        <is>
          <t>2023-04-12</t>
        </is>
      </c>
      <c r="B1722" t="inlineStr">
        <is>
          <t>玻璃</t>
        </is>
      </c>
      <c r="C1722" t="inlineStr">
        <is>
          <t>多</t>
        </is>
      </c>
      <c r="D1722" t="n">
        <v>2</v>
      </c>
      <c r="E1722" t="n">
        <v>4</v>
      </c>
      <c r="F1722" t="inlineStr">
        <is>
          <t>观望</t>
        </is>
      </c>
      <c r="G1722" t="n">
        <v>4</v>
      </c>
      <c r="H1722" t="n">
        <v>1645</v>
      </c>
      <c r="I1722" t="n">
        <v>1535.71</v>
      </c>
      <c r="J1722" t="n">
        <v>1</v>
      </c>
      <c r="K1722" t="inlineStr">
        <is>
          <t>逆5日线（收盘在5日线下，不追多）</t>
        </is>
      </c>
    </row>
    <row r="1723">
      <c r="A1723" t="inlineStr">
        <is>
          <t>2023-04-13</t>
        </is>
      </c>
      <c r="B1723" t="inlineStr">
        <is>
          <t>尿素</t>
        </is>
      </c>
      <c r="C1723" t="inlineStr">
        <is>
          <t>空</t>
        </is>
      </c>
      <c r="D1723" t="n">
        <v>3</v>
      </c>
      <c r="E1723" t="n">
        <v>7</v>
      </c>
      <c r="F1723" t="inlineStr">
        <is>
          <t>开仓</t>
        </is>
      </c>
      <c r="G1723" t="n">
        <v>7</v>
      </c>
      <c r="H1723" t="n">
        <v>2071</v>
      </c>
      <c r="I1723" t="n">
        <v>2250.14</v>
      </c>
      <c r="J1723" t="n">
        <v>2.52</v>
      </c>
      <c r="K1723" t="inlineStr">
        <is>
          <t>¼凯利</t>
        </is>
      </c>
    </row>
    <row r="1724">
      <c r="A1724" t="inlineStr">
        <is>
          <t>2023-04-13</t>
        </is>
      </c>
      <c r="B1724" t="inlineStr">
        <is>
          <t>沪银</t>
        </is>
      </c>
      <c r="C1724" t="inlineStr">
        <is>
          <t>多</t>
        </is>
      </c>
      <c r="D1724" t="n">
        <v>2</v>
      </c>
      <c r="E1724" t="n">
        <v>5</v>
      </c>
      <c r="F1724" t="inlineStr">
        <is>
          <t>续持</t>
        </is>
      </c>
      <c r="G1724" t="n">
        <v>5</v>
      </c>
      <c r="H1724" t="n">
        <v>5688</v>
      </c>
      <c r="I1724" t="n">
        <v>5425.79</v>
      </c>
      <c r="J1724" t="n">
        <v>2.52</v>
      </c>
      <c r="K1724" t="inlineStr">
        <is>
          <t>续持原仓（2023-04-06开）</t>
        </is>
      </c>
    </row>
    <row r="1725">
      <c r="A1725" t="inlineStr">
        <is>
          <t>2023-04-13</t>
        </is>
      </c>
      <c r="B1725" t="inlineStr">
        <is>
          <t>白糖</t>
        </is>
      </c>
      <c r="C1725" t="inlineStr">
        <is>
          <t>多</t>
        </is>
      </c>
      <c r="D1725" t="n">
        <v>2</v>
      </c>
      <c r="E1725" t="n">
        <v>5</v>
      </c>
      <c r="F1725" t="inlineStr">
        <is>
          <t>观望</t>
        </is>
      </c>
      <c r="G1725" t="n">
        <v>3</v>
      </c>
      <c r="H1725" t="n">
        <v>6696</v>
      </c>
      <c r="I1725" t="n">
        <v>6365.79</v>
      </c>
      <c r="J1725" t="n">
        <v>1</v>
      </c>
      <c r="K1725" t="inlineStr">
        <is>
          <t>逆5日线（收盘在5日线下，不追多）</t>
        </is>
      </c>
    </row>
    <row r="1726">
      <c r="A1726" t="inlineStr">
        <is>
          <t>2023-04-13</t>
        </is>
      </c>
      <c r="B1726" t="inlineStr">
        <is>
          <t>玻璃</t>
        </is>
      </c>
      <c r="C1726" t="inlineStr">
        <is>
          <t>多</t>
        </is>
      </c>
      <c r="D1726" t="n">
        <v>2</v>
      </c>
      <c r="E1726" t="n">
        <v>5</v>
      </c>
      <c r="F1726" t="inlineStr">
        <is>
          <t>续持</t>
        </is>
      </c>
      <c r="G1726" t="n">
        <v>9</v>
      </c>
      <c r="H1726" t="n">
        <v>1657</v>
      </c>
      <c r="I1726" t="n">
        <v>1587.86</v>
      </c>
      <c r="J1726" t="n">
        <v>1.96</v>
      </c>
      <c r="K1726" t="inlineStr">
        <is>
          <t>续持原仓（2023-04-06开）</t>
        </is>
      </c>
    </row>
    <row r="1727">
      <c r="A1727" t="inlineStr">
        <is>
          <t>2023-04-13</t>
        </is>
      </c>
      <c r="B1727" t="inlineStr">
        <is>
          <t>沪铜</t>
        </is>
      </c>
      <c r="C1727" t="inlineStr">
        <is>
          <t>多</t>
        </is>
      </c>
      <c r="D1727" t="n">
        <v>2</v>
      </c>
      <c r="E1727" t="n">
        <v>5</v>
      </c>
      <c r="F1727" t="inlineStr">
        <is>
          <t>不做</t>
        </is>
      </c>
      <c r="H1727" t="n">
        <v>69170</v>
      </c>
      <c r="J1727" t="n">
        <v>1</v>
      </c>
      <c r="K1727" t="inlineStr">
        <is>
          <t>1手风险11261元超过预算10000元</t>
        </is>
      </c>
    </row>
    <row r="1728">
      <c r="A1728" t="inlineStr">
        <is>
          <t>2023-04-14</t>
        </is>
      </c>
      <c r="B1728" t="inlineStr">
        <is>
          <t>尿素</t>
        </is>
      </c>
      <c r="C1728" t="inlineStr">
        <is>
          <t>空</t>
        </is>
      </c>
      <c r="D1728" t="n">
        <v>3</v>
      </c>
      <c r="E1728" t="n">
        <v>6</v>
      </c>
      <c r="F1728" t="inlineStr">
        <is>
          <t>续持</t>
        </is>
      </c>
      <c r="G1728" t="n">
        <v>7</v>
      </c>
      <c r="H1728" t="n">
        <v>2037</v>
      </c>
      <c r="I1728" t="n">
        <v>2217.14</v>
      </c>
      <c r="J1728" t="n">
        <v>2.52</v>
      </c>
      <c r="K1728" t="inlineStr">
        <is>
          <t>续持原仓（2023-04-13开）</t>
        </is>
      </c>
    </row>
    <row r="1729">
      <c r="A1729" t="inlineStr">
        <is>
          <t>2023-04-14</t>
        </is>
      </c>
      <c r="B1729" t="inlineStr">
        <is>
          <t>塑料</t>
        </is>
      </c>
      <c r="C1729" t="inlineStr">
        <is>
          <t>多</t>
        </is>
      </c>
      <c r="D1729" t="n">
        <v>2</v>
      </c>
      <c r="E1729" t="n">
        <v>5</v>
      </c>
      <c r="F1729" t="inlineStr">
        <is>
          <t>影子仓</t>
        </is>
      </c>
      <c r="G1729" t="n">
        <v>7</v>
      </c>
      <c r="H1729" t="n">
        <v>8158</v>
      </c>
      <c r="I1729" t="n">
        <v>7886.5</v>
      </c>
      <c r="J1729" t="n">
        <v>1</v>
      </c>
      <c r="K1729" t="inlineStr">
        <is>
          <t>凯利≤0，开1%影子仓（只统计，不计入组合）</t>
        </is>
      </c>
    </row>
    <row r="1730">
      <c r="A1730" t="inlineStr">
        <is>
          <t>2023-04-14</t>
        </is>
      </c>
      <c r="B1730" t="inlineStr">
        <is>
          <t>沥青</t>
        </is>
      </c>
      <c r="C1730" t="inlineStr">
        <is>
          <t>多</t>
        </is>
      </c>
      <c r="D1730" t="n">
        <v>2</v>
      </c>
      <c r="E1730" t="n">
        <v>4</v>
      </c>
      <c r="F1730" t="inlineStr">
        <is>
          <t>影子仓</t>
        </is>
      </c>
      <c r="G1730" t="n">
        <v>5</v>
      </c>
      <c r="H1730" t="n">
        <v>3932</v>
      </c>
      <c r="I1730" t="n">
        <v>3733.14</v>
      </c>
      <c r="J1730" t="n">
        <v>1</v>
      </c>
      <c r="K1730" t="inlineStr">
        <is>
          <t>凯利≤0，开1%影子仓（只统计，不计入组合）</t>
        </is>
      </c>
    </row>
    <row r="1731">
      <c r="A1731" t="inlineStr">
        <is>
          <t>2023-04-14</t>
        </is>
      </c>
      <c r="B1731" t="inlineStr">
        <is>
          <t>螺纹钢</t>
        </is>
      </c>
      <c r="C1731" t="inlineStr">
        <is>
          <t>空</t>
        </is>
      </c>
      <c r="D1731" t="n">
        <v>2</v>
      </c>
      <c r="E1731" t="n">
        <v>4</v>
      </c>
      <c r="F1731" t="inlineStr">
        <is>
          <t>影子仓</t>
        </is>
      </c>
      <c r="G1731" t="n">
        <v>4</v>
      </c>
      <c r="H1731" t="n">
        <v>3896</v>
      </c>
      <c r="I1731" t="n">
        <v>4103.43</v>
      </c>
      <c r="J1731" t="n">
        <v>1</v>
      </c>
      <c r="K1731" t="inlineStr">
        <is>
          <t>凯利≤0，开1%影子仓（只统计，不计入组合）</t>
        </is>
      </c>
    </row>
    <row r="1732">
      <c r="A1732" t="inlineStr">
        <is>
          <t>2023-04-14</t>
        </is>
      </c>
      <c r="B1732" t="inlineStr">
        <is>
          <t>棕榈油</t>
        </is>
      </c>
      <c r="C1732" t="inlineStr">
        <is>
          <t>空</t>
        </is>
      </c>
      <c r="D1732" t="n">
        <v>2</v>
      </c>
      <c r="E1732" t="n">
        <v>4</v>
      </c>
      <c r="F1732" t="inlineStr">
        <is>
          <t>影子仓</t>
        </is>
      </c>
      <c r="G1732" t="n">
        <v>1</v>
      </c>
      <c r="H1732" t="n">
        <v>7078</v>
      </c>
      <c r="I1732" t="n">
        <v>7603.43</v>
      </c>
      <c r="J1732" t="n">
        <v>1</v>
      </c>
      <c r="K1732" t="inlineStr">
        <is>
          <t>凯利≤0，开1%影子仓（只统计，不计入组合）</t>
        </is>
      </c>
    </row>
    <row r="1733">
      <c r="A1733" t="inlineStr">
        <is>
          <t>2023-04-14</t>
        </is>
      </c>
      <c r="B1733" t="inlineStr">
        <is>
          <t>菜粕</t>
        </is>
      </c>
      <c r="C1733" t="inlineStr">
        <is>
          <t>空</t>
        </is>
      </c>
      <c r="D1733" t="n">
        <v>2</v>
      </c>
      <c r="E1733" t="n">
        <v>4</v>
      </c>
      <c r="F1733" t="inlineStr">
        <is>
          <t>观望</t>
        </is>
      </c>
      <c r="G1733" t="n">
        <v>5</v>
      </c>
      <c r="H1733" t="n">
        <v>2876</v>
      </c>
      <c r="I1733" t="n">
        <v>3051.29</v>
      </c>
      <c r="J1733" t="n">
        <v>1</v>
      </c>
      <c r="K1733" t="inlineStr">
        <is>
          <t>逆5日线（收盘在5日线上，不追空）</t>
        </is>
      </c>
    </row>
    <row r="1734">
      <c r="A1734" t="inlineStr">
        <is>
          <t>2023-04-17</t>
        </is>
      </c>
      <c r="B1734" t="inlineStr">
        <is>
          <t>塑料</t>
        </is>
      </c>
      <c r="C1734" t="inlineStr">
        <is>
          <t>多</t>
        </is>
      </c>
      <c r="D1734" t="n">
        <v>3</v>
      </c>
      <c r="E1734" t="n">
        <v>7</v>
      </c>
      <c r="F1734" t="inlineStr">
        <is>
          <t>续持</t>
        </is>
      </c>
      <c r="G1734" t="n">
        <v>7</v>
      </c>
      <c r="H1734" t="n">
        <v>8165</v>
      </c>
      <c r="I1734" t="n">
        <v>7901.57</v>
      </c>
      <c r="J1734" t="n">
        <v>1</v>
      </c>
      <c r="K1734" t="inlineStr">
        <is>
          <t>续持原仓（2023-04-14开）</t>
        </is>
      </c>
    </row>
    <row r="1735">
      <c r="A1735" t="inlineStr">
        <is>
          <t>2023-04-17</t>
        </is>
      </c>
      <c r="B1735" t="inlineStr">
        <is>
          <t>沥青</t>
        </is>
      </c>
      <c r="C1735" t="inlineStr">
        <is>
          <t>多</t>
        </is>
      </c>
      <c r="D1735" t="n">
        <v>2</v>
      </c>
      <c r="E1735" t="n">
        <v>4</v>
      </c>
      <c r="F1735" t="inlineStr">
        <is>
          <t>续持</t>
        </is>
      </c>
      <c r="G1735" t="n">
        <v>5</v>
      </c>
      <c r="H1735" t="n">
        <v>3963</v>
      </c>
      <c r="I1735" t="n">
        <v>3779.79</v>
      </c>
      <c r="J1735" t="n">
        <v>1</v>
      </c>
      <c r="K1735" t="inlineStr">
        <is>
          <t>续持原仓（2023-04-14开）</t>
        </is>
      </c>
    </row>
    <row r="1736">
      <c r="A1736" t="inlineStr">
        <is>
          <t>2023-04-18</t>
        </is>
      </c>
      <c r="B1736" t="inlineStr">
        <is>
          <t>玻璃</t>
        </is>
      </c>
      <c r="C1736" t="inlineStr">
        <is>
          <t>多</t>
        </is>
      </c>
      <c r="D1736" t="n">
        <v>3</v>
      </c>
      <c r="E1736" t="n">
        <v>7</v>
      </c>
      <c r="F1736" t="inlineStr">
        <is>
          <t>开仓</t>
        </is>
      </c>
      <c r="G1736" t="n">
        <v>12</v>
      </c>
      <c r="H1736" t="n">
        <v>1770</v>
      </c>
      <c r="I1736" t="n">
        <v>1654.29</v>
      </c>
      <c r="J1736" t="n">
        <v>2.95</v>
      </c>
      <c r="K1736" t="inlineStr">
        <is>
          <t>¼凯利</t>
        </is>
      </c>
    </row>
    <row r="1737">
      <c r="A1737" t="inlineStr">
        <is>
          <t>2023-04-18</t>
        </is>
      </c>
      <c r="B1737" t="inlineStr">
        <is>
          <t>塑料</t>
        </is>
      </c>
      <c r="C1737" t="inlineStr">
        <is>
          <t>多</t>
        </is>
      </c>
      <c r="D1737" t="n">
        <v>3</v>
      </c>
      <c r="E1737" t="n">
        <v>6</v>
      </c>
      <c r="F1737" t="inlineStr">
        <is>
          <t>续持</t>
        </is>
      </c>
      <c r="G1737" t="n">
        <v>7</v>
      </c>
      <c r="H1737" t="n">
        <v>8199</v>
      </c>
      <c r="I1737" t="n">
        <v>7933.5</v>
      </c>
      <c r="J1737" t="n">
        <v>1</v>
      </c>
      <c r="K1737" t="inlineStr">
        <is>
          <t>续持原仓（2023-04-14开）</t>
        </is>
      </c>
    </row>
    <row r="1738">
      <c r="A1738" t="inlineStr">
        <is>
          <t>2023-04-18</t>
        </is>
      </c>
      <c r="B1738" t="inlineStr">
        <is>
          <t>螺纹钢</t>
        </is>
      </c>
      <c r="C1738" t="inlineStr">
        <is>
          <t>多</t>
        </is>
      </c>
      <c r="D1738" t="n">
        <v>2</v>
      </c>
      <c r="E1738" t="n">
        <v>5</v>
      </c>
      <c r="F1738" t="inlineStr">
        <is>
          <t>影子仓</t>
        </is>
      </c>
      <c r="G1738" t="n">
        <v>4</v>
      </c>
      <c r="H1738" t="n">
        <v>3950</v>
      </c>
      <c r="I1738" t="n">
        <v>3739.79</v>
      </c>
      <c r="J1738" t="n">
        <v>1</v>
      </c>
      <c r="K1738" t="inlineStr">
        <is>
          <t>凯利≤0，开1%影子仓（只统计，不计入组合）</t>
        </is>
      </c>
    </row>
    <row r="1739">
      <c r="A1739" t="inlineStr">
        <is>
          <t>2023-04-19</t>
        </is>
      </c>
      <c r="B1739" t="inlineStr">
        <is>
          <t>沪银</t>
        </is>
      </c>
      <c r="C1739" t="inlineStr">
        <is>
          <t>多</t>
        </is>
      </c>
      <c r="D1739" t="n">
        <v>3</v>
      </c>
      <c r="E1739" t="n">
        <v>6</v>
      </c>
      <c r="F1739" t="inlineStr">
        <is>
          <t>观望</t>
        </is>
      </c>
      <c r="G1739" t="n">
        <v>5</v>
      </c>
      <c r="H1739" t="n">
        <v>5610</v>
      </c>
      <c r="I1739" t="n">
        <v>5268.86</v>
      </c>
      <c r="J1739" t="n">
        <v>2.96</v>
      </c>
      <c r="K1739" t="inlineStr">
        <is>
          <t>逆5日线（收盘在5日线下，不追多）</t>
        </is>
      </c>
    </row>
    <row r="1740">
      <c r="A1740" t="inlineStr">
        <is>
          <t>2023-04-19</t>
        </is>
      </c>
      <c r="B1740" t="inlineStr">
        <is>
          <t>白糖</t>
        </is>
      </c>
      <c r="C1740" t="inlineStr">
        <is>
          <t>多</t>
        </is>
      </c>
      <c r="D1740" t="n">
        <v>2</v>
      </c>
      <c r="E1740" t="n">
        <v>5</v>
      </c>
      <c r="F1740" t="inlineStr">
        <is>
          <t>影子仓</t>
        </is>
      </c>
      <c r="G1740" t="n">
        <v>2</v>
      </c>
      <c r="H1740" t="n">
        <v>6787</v>
      </c>
      <c r="I1740" t="n">
        <v>6419.71</v>
      </c>
      <c r="J1740" t="n">
        <v>1</v>
      </c>
      <c r="K1740" t="inlineStr">
        <is>
          <t>凯利≤0，开1%影子仓（只统计，不计入组合）</t>
        </is>
      </c>
    </row>
    <row r="1741">
      <c r="A1741" t="inlineStr">
        <is>
          <t>2023-04-19</t>
        </is>
      </c>
      <c r="B1741" t="inlineStr">
        <is>
          <t>塑料</t>
        </is>
      </c>
      <c r="C1741" t="inlineStr">
        <is>
          <t>多</t>
        </is>
      </c>
      <c r="D1741" t="n">
        <v>2</v>
      </c>
      <c r="E1741" t="n">
        <v>4</v>
      </c>
      <c r="F1741" t="inlineStr">
        <is>
          <t>续持</t>
        </is>
      </c>
      <c r="G1741" t="n">
        <v>7</v>
      </c>
      <c r="H1741" t="n">
        <v>8205</v>
      </c>
      <c r="I1741" t="n">
        <v>7978.14</v>
      </c>
      <c r="J1741" t="n">
        <v>1</v>
      </c>
      <c r="K1741" t="inlineStr">
        <is>
          <t>续持原仓（2023-04-14开）</t>
        </is>
      </c>
    </row>
    <row r="1742">
      <c r="A1742" t="inlineStr">
        <is>
          <t>2023-04-19</t>
        </is>
      </c>
      <c r="B1742" t="inlineStr">
        <is>
          <t>尿素</t>
        </is>
      </c>
      <c r="C1742" t="inlineStr">
        <is>
          <t>空</t>
        </is>
      </c>
      <c r="D1742" t="n">
        <v>2</v>
      </c>
      <c r="E1742" t="n">
        <v>4</v>
      </c>
      <c r="F1742" t="inlineStr">
        <is>
          <t>观望</t>
        </is>
      </c>
      <c r="G1742" t="n">
        <v>2</v>
      </c>
      <c r="H1742" t="n">
        <v>2077</v>
      </c>
      <c r="I1742" t="n">
        <v>2248.64</v>
      </c>
      <c r="J1742" t="n">
        <v>1</v>
      </c>
      <c r="K1742" t="inlineStr">
        <is>
          <t>逆5日线（收盘在5日线上，不追空）</t>
        </is>
      </c>
    </row>
    <row r="1743">
      <c r="A1743" t="inlineStr">
        <is>
          <t>2023-04-19</t>
        </is>
      </c>
      <c r="B1743" t="inlineStr">
        <is>
          <t>聚丙烯</t>
        </is>
      </c>
      <c r="C1743" t="inlineStr">
        <is>
          <t>多</t>
        </is>
      </c>
      <c r="D1743" t="n">
        <v>2</v>
      </c>
      <c r="E1743" t="n">
        <v>4</v>
      </c>
      <c r="F1743" t="inlineStr">
        <is>
          <t>影子仓</t>
        </is>
      </c>
      <c r="G1743" t="n">
        <v>7</v>
      </c>
      <c r="H1743" t="n">
        <v>7573</v>
      </c>
      <c r="I1743" t="n">
        <v>7322.93</v>
      </c>
      <c r="J1743" t="n">
        <v>1</v>
      </c>
      <c r="K1743" t="inlineStr">
        <is>
          <t>凯利≤0，开1%影子仓（只统计，不计入组合）</t>
        </is>
      </c>
    </row>
    <row r="1744">
      <c r="A1744" t="inlineStr">
        <is>
          <t>2023-04-20</t>
        </is>
      </c>
      <c r="B1744" t="inlineStr">
        <is>
          <t>玻璃</t>
        </is>
      </c>
      <c r="C1744" t="inlineStr">
        <is>
          <t>多</t>
        </is>
      </c>
      <c r="D1744" t="n">
        <v>3</v>
      </c>
      <c r="E1744" t="n">
        <v>7</v>
      </c>
      <c r="F1744" t="inlineStr">
        <is>
          <t>开仓</t>
        </is>
      </c>
      <c r="G1744" t="n">
        <v>11</v>
      </c>
      <c r="H1744" t="n">
        <v>1850</v>
      </c>
      <c r="I1744" t="n">
        <v>1718.43</v>
      </c>
      <c r="J1744" t="n">
        <v>2.96</v>
      </c>
      <c r="K1744" t="inlineStr">
        <is>
          <t>¼凯利</t>
        </is>
      </c>
    </row>
    <row r="1745">
      <c r="A1745" t="inlineStr">
        <is>
          <t>2023-04-20</t>
        </is>
      </c>
      <c r="B1745" t="inlineStr">
        <is>
          <t>沪银</t>
        </is>
      </c>
      <c r="C1745" t="inlineStr">
        <is>
          <t>多</t>
        </is>
      </c>
      <c r="D1745" t="n">
        <v>3</v>
      </c>
      <c r="E1745" t="n">
        <v>6</v>
      </c>
      <c r="F1745" t="inlineStr">
        <is>
          <t>观望</t>
        </is>
      </c>
      <c r="G1745" t="n">
        <v>5</v>
      </c>
      <c r="H1745" t="n">
        <v>5664</v>
      </c>
      <c r="I1745" t="n">
        <v>5323.93</v>
      </c>
      <c r="J1745" t="n">
        <v>2.96</v>
      </c>
      <c r="K1745" t="inlineStr">
        <is>
          <t>逆5日线（收盘在5日线下，不追多）</t>
        </is>
      </c>
    </row>
    <row r="1746">
      <c r="A1746" t="inlineStr">
        <is>
          <t>2023-04-20</t>
        </is>
      </c>
      <c r="B1746" t="inlineStr">
        <is>
          <t>白糖</t>
        </is>
      </c>
      <c r="C1746" t="inlineStr">
        <is>
          <t>多</t>
        </is>
      </c>
      <c r="D1746" t="n">
        <v>2</v>
      </c>
      <c r="E1746" t="n">
        <v>5</v>
      </c>
      <c r="F1746" t="inlineStr">
        <is>
          <t>观望</t>
        </is>
      </c>
      <c r="G1746" t="n">
        <v>2</v>
      </c>
      <c r="H1746" t="n">
        <v>6781</v>
      </c>
      <c r="I1746" t="n">
        <v>6422.29</v>
      </c>
      <c r="J1746" t="n">
        <v>1</v>
      </c>
      <c r="K1746" t="inlineStr">
        <is>
          <t>逆5日线（收盘在5日线下，不追多）</t>
        </is>
      </c>
    </row>
    <row r="1747">
      <c r="A1747" t="inlineStr">
        <is>
          <t>2023-04-20</t>
        </is>
      </c>
      <c r="B1747" t="inlineStr">
        <is>
          <t>塑料</t>
        </is>
      </c>
      <c r="C1747" t="inlineStr">
        <is>
          <t>多</t>
        </is>
      </c>
      <c r="D1747" t="n">
        <v>2</v>
      </c>
      <c r="E1747" t="n">
        <v>4</v>
      </c>
      <c r="F1747" t="inlineStr">
        <is>
          <t>续持</t>
        </is>
      </c>
      <c r="G1747" t="n">
        <v>7</v>
      </c>
      <c r="H1747" t="n">
        <v>8195</v>
      </c>
      <c r="I1747" t="n">
        <v>7982.64</v>
      </c>
      <c r="J1747" t="n">
        <v>1</v>
      </c>
      <c r="K1747" t="inlineStr">
        <is>
          <t>续持原仓（2023-04-14开）</t>
        </is>
      </c>
    </row>
    <row r="1748">
      <c r="A1748" t="inlineStr">
        <is>
          <t>2023-04-20</t>
        </is>
      </c>
      <c r="B1748" t="inlineStr">
        <is>
          <t>甲醇</t>
        </is>
      </c>
      <c r="C1748" t="inlineStr">
        <is>
          <t>多</t>
        </is>
      </c>
      <c r="D1748" t="n">
        <v>2</v>
      </c>
      <c r="E1748" t="n">
        <v>4</v>
      </c>
      <c r="F1748" t="inlineStr">
        <is>
          <t>影子仓</t>
        </is>
      </c>
      <c r="G1748" t="n">
        <v>7</v>
      </c>
      <c r="H1748" t="n">
        <v>2465</v>
      </c>
      <c r="I1748" t="n">
        <v>2339.43</v>
      </c>
      <c r="J1748" t="n">
        <v>1</v>
      </c>
      <c r="K1748" t="inlineStr">
        <is>
          <t>凯利≤0，开1%影子仓（只统计，不计入组合）</t>
        </is>
      </c>
    </row>
    <row r="1749">
      <c r="A1749" t="inlineStr">
        <is>
          <t>2023-04-20</t>
        </is>
      </c>
      <c r="B1749" t="inlineStr">
        <is>
          <t>纯碱</t>
        </is>
      </c>
      <c r="C1749" t="inlineStr">
        <is>
          <t>空</t>
        </is>
      </c>
      <c r="D1749" t="n">
        <v>2</v>
      </c>
      <c r="E1749" t="n">
        <v>4</v>
      </c>
      <c r="F1749" t="inlineStr">
        <is>
          <t>影子仓</t>
        </is>
      </c>
      <c r="G1749" t="n">
        <v>2</v>
      </c>
      <c r="H1749" t="n">
        <v>2220</v>
      </c>
      <c r="I1749" t="n">
        <v>2403.86</v>
      </c>
      <c r="J1749" t="n">
        <v>1</v>
      </c>
      <c r="K1749" t="inlineStr">
        <is>
          <t>凯利≤0，开1%影子仓（只统计，不计入组合）</t>
        </is>
      </c>
    </row>
    <row r="1750">
      <c r="A1750" t="inlineStr">
        <is>
          <t>2023-04-21</t>
        </is>
      </c>
      <c r="B1750" t="inlineStr">
        <is>
          <t>塑料</t>
        </is>
      </c>
      <c r="C1750" t="inlineStr">
        <is>
          <t>多</t>
        </is>
      </c>
      <c r="D1750" t="n">
        <v>3</v>
      </c>
      <c r="E1750" t="n">
        <v>7</v>
      </c>
      <c r="F1750" t="inlineStr">
        <is>
          <t>续持</t>
        </is>
      </c>
      <c r="G1750" t="n">
        <v>7</v>
      </c>
      <c r="H1750" t="n">
        <v>8223</v>
      </c>
      <c r="I1750" t="n">
        <v>7993.79</v>
      </c>
      <c r="J1750" t="n">
        <v>1</v>
      </c>
      <c r="K1750" t="inlineStr">
        <is>
          <t>续持原仓（2023-04-14开）</t>
        </is>
      </c>
    </row>
    <row r="1751">
      <c r="A1751" t="inlineStr">
        <is>
          <t>2023-04-21</t>
        </is>
      </c>
      <c r="B1751" t="inlineStr">
        <is>
          <t>白糖</t>
        </is>
      </c>
      <c r="C1751" t="inlineStr">
        <is>
          <t>多</t>
        </is>
      </c>
      <c r="D1751" t="n">
        <v>3</v>
      </c>
      <c r="E1751" t="n">
        <v>7</v>
      </c>
      <c r="F1751" t="inlineStr">
        <is>
          <t>续持</t>
        </is>
      </c>
      <c r="G1751" t="n">
        <v>2</v>
      </c>
      <c r="H1751" t="n">
        <v>6903</v>
      </c>
      <c r="I1751" t="n">
        <v>6577.86</v>
      </c>
      <c r="J1751" t="n">
        <v>1</v>
      </c>
      <c r="K1751" t="inlineStr">
        <is>
          <t>续持原仓（2023-04-19开）</t>
        </is>
      </c>
    </row>
    <row r="1752">
      <c r="A1752" t="inlineStr">
        <is>
          <t>2023-04-21</t>
        </is>
      </c>
      <c r="B1752" t="inlineStr">
        <is>
          <t>螺纹钢</t>
        </is>
      </c>
      <c r="C1752" t="inlineStr">
        <is>
          <t>空</t>
        </is>
      </c>
      <c r="D1752" t="n">
        <v>2</v>
      </c>
      <c r="E1752" t="n">
        <v>4</v>
      </c>
      <c r="F1752" t="inlineStr">
        <is>
          <t>影子仓</t>
        </is>
      </c>
      <c r="G1752" t="n">
        <v>4</v>
      </c>
      <c r="H1752" t="n">
        <v>3810</v>
      </c>
      <c r="I1752" t="n">
        <v>4033.71</v>
      </c>
      <c r="J1752" t="n">
        <v>1</v>
      </c>
      <c r="K1752" t="inlineStr">
        <is>
          <t>凯利≤0，开1%影子仓（只统计，不计入组合）</t>
        </is>
      </c>
    </row>
    <row r="1753">
      <c r="A1753" t="inlineStr">
        <is>
          <t>2023-04-21</t>
        </is>
      </c>
      <c r="B1753" t="inlineStr">
        <is>
          <t>沥青</t>
        </is>
      </c>
      <c r="C1753" t="inlineStr">
        <is>
          <t>多</t>
        </is>
      </c>
      <c r="D1753" t="n">
        <v>2</v>
      </c>
      <c r="E1753" t="n">
        <v>4</v>
      </c>
      <c r="F1753" t="inlineStr">
        <is>
          <t>观望</t>
        </is>
      </c>
      <c r="G1753" t="n">
        <v>4</v>
      </c>
      <c r="H1753" t="n">
        <v>3733</v>
      </c>
      <c r="I1753" t="n">
        <v>3519.14</v>
      </c>
      <c r="J1753" t="n">
        <v>1</v>
      </c>
      <c r="K1753" t="inlineStr">
        <is>
          <t>逆5日线（收盘在5日线下，不追多）</t>
        </is>
      </c>
    </row>
    <row r="1754">
      <c r="A1754" t="inlineStr">
        <is>
          <t>2023-04-24</t>
        </is>
      </c>
      <c r="B1754" t="inlineStr">
        <is>
          <t>白糖</t>
        </is>
      </c>
      <c r="C1754" t="inlineStr">
        <is>
          <t>多</t>
        </is>
      </c>
      <c r="D1754" t="n">
        <v>2</v>
      </c>
      <c r="E1754" t="n">
        <v>4</v>
      </c>
      <c r="F1754" t="inlineStr">
        <is>
          <t>观望</t>
        </is>
      </c>
      <c r="G1754" t="n">
        <v>2</v>
      </c>
      <c r="H1754" t="n">
        <v>6740</v>
      </c>
      <c r="I1754" t="n">
        <v>6366.29</v>
      </c>
      <c r="J1754" t="n">
        <v>1</v>
      </c>
      <c r="K1754" t="inlineStr">
        <is>
          <t>逆5日线（收盘在5日线下，不追多）</t>
        </is>
      </c>
    </row>
    <row r="1755">
      <c r="A1755" t="inlineStr">
        <is>
          <t>2023-04-25</t>
        </is>
      </c>
      <c r="B1755" t="inlineStr">
        <is>
          <t>玻璃</t>
        </is>
      </c>
      <c r="C1755" t="inlineStr">
        <is>
          <t>多</t>
        </is>
      </c>
      <c r="D1755" t="n">
        <v>3</v>
      </c>
      <c r="E1755" t="n">
        <v>7</v>
      </c>
      <c r="F1755" t="inlineStr">
        <is>
          <t>开仓</t>
        </is>
      </c>
      <c r="G1755" t="n">
        <v>8</v>
      </c>
      <c r="H1755" t="n">
        <v>1846</v>
      </c>
      <c r="I1755" t="n">
        <v>1683.14</v>
      </c>
      <c r="J1755" t="n">
        <v>2.86</v>
      </c>
      <c r="K1755" t="inlineStr">
        <is>
          <t>¼凯利</t>
        </is>
      </c>
    </row>
    <row r="1756">
      <c r="A1756" t="inlineStr">
        <is>
          <t>2023-04-25</t>
        </is>
      </c>
      <c r="B1756" t="inlineStr">
        <is>
          <t>螺纹钢</t>
        </is>
      </c>
      <c r="C1756" t="inlineStr">
        <is>
          <t>空</t>
        </is>
      </c>
      <c r="D1756" t="n">
        <v>3</v>
      </c>
      <c r="E1756" t="n">
        <v>7</v>
      </c>
      <c r="F1756" t="inlineStr">
        <is>
          <t>续持</t>
        </is>
      </c>
      <c r="G1756" t="n">
        <v>4</v>
      </c>
      <c r="H1756" t="n">
        <v>3685</v>
      </c>
      <c r="I1756" t="n">
        <v>3904.57</v>
      </c>
      <c r="J1756" t="n">
        <v>1</v>
      </c>
      <c r="K1756" t="inlineStr">
        <is>
          <t>续持原仓（2023-04-21开）</t>
        </is>
      </c>
    </row>
    <row r="1757">
      <c r="A1757" t="inlineStr">
        <is>
          <t>2023-04-25</t>
        </is>
      </c>
      <c r="B1757" t="inlineStr">
        <is>
          <t>沪锌</t>
        </is>
      </c>
      <c r="C1757" t="inlineStr">
        <is>
          <t>空</t>
        </is>
      </c>
      <c r="D1757" t="n">
        <v>3</v>
      </c>
      <c r="E1757" t="n">
        <v>7</v>
      </c>
      <c r="F1757" t="inlineStr">
        <is>
          <t>开仓</t>
        </is>
      </c>
      <c r="G1757" t="n">
        <v>6</v>
      </c>
      <c r="H1757" t="n">
        <v>21355</v>
      </c>
      <c r="I1757" t="n">
        <v>22296.79</v>
      </c>
      <c r="J1757" t="n">
        <v>2.86</v>
      </c>
      <c r="K1757" t="inlineStr">
        <is>
          <t>¼凯利</t>
        </is>
      </c>
    </row>
    <row r="1758">
      <c r="A1758" t="inlineStr">
        <is>
          <t>2023-04-25</t>
        </is>
      </c>
      <c r="B1758" t="inlineStr">
        <is>
          <t>热卷</t>
        </is>
      </c>
      <c r="C1758" t="inlineStr">
        <is>
          <t>空</t>
        </is>
      </c>
      <c r="D1758" t="n">
        <v>3</v>
      </c>
      <c r="E1758" t="n">
        <v>6</v>
      </c>
      <c r="F1758" t="inlineStr">
        <is>
          <t>开仓</t>
        </is>
      </c>
      <c r="G1758" t="n">
        <v>12</v>
      </c>
      <c r="H1758" t="n">
        <v>3752</v>
      </c>
      <c r="I1758" t="n">
        <v>3973.14</v>
      </c>
      <c r="J1758" t="n">
        <v>2.86</v>
      </c>
      <c r="K1758" t="inlineStr">
        <is>
          <t>¼凯利</t>
        </is>
      </c>
    </row>
    <row r="1759">
      <c r="A1759" t="inlineStr">
        <is>
          <t>2023-04-25</t>
        </is>
      </c>
      <c r="B1759" t="inlineStr">
        <is>
          <t>塑料</t>
        </is>
      </c>
      <c r="C1759" t="inlineStr">
        <is>
          <t>多</t>
        </is>
      </c>
      <c r="D1759" t="n">
        <v>3</v>
      </c>
      <c r="E1759" t="n">
        <v>6</v>
      </c>
      <c r="F1759" t="inlineStr">
        <is>
          <t>续持</t>
        </is>
      </c>
      <c r="G1759" t="n">
        <v>7</v>
      </c>
      <c r="H1759" t="n">
        <v>8211</v>
      </c>
      <c r="I1759" t="n">
        <v>8004</v>
      </c>
      <c r="J1759" t="n">
        <v>1</v>
      </c>
      <c r="K1759" t="inlineStr">
        <is>
          <t>续持原仓（2023-04-14开）</t>
        </is>
      </c>
    </row>
    <row r="1760">
      <c r="A1760" t="inlineStr">
        <is>
          <t>2023-04-25</t>
        </is>
      </c>
      <c r="B1760" t="inlineStr">
        <is>
          <t>白糖</t>
        </is>
      </c>
      <c r="C1760" t="inlineStr">
        <is>
          <t>多</t>
        </is>
      </c>
      <c r="D1760" t="n">
        <v>3</v>
      </c>
      <c r="E1760" t="n">
        <v>6</v>
      </c>
      <c r="F1760" t="inlineStr">
        <is>
          <t>续持</t>
        </is>
      </c>
      <c r="G1760" t="n">
        <v>2</v>
      </c>
      <c r="H1760" t="n">
        <v>6814</v>
      </c>
      <c r="I1760" t="n">
        <v>6581.07</v>
      </c>
      <c r="J1760" t="n">
        <v>1</v>
      </c>
      <c r="K1760" t="inlineStr">
        <is>
          <t>续持原仓（2023-04-19开）</t>
        </is>
      </c>
    </row>
    <row r="1761">
      <c r="A1761" t="inlineStr">
        <is>
          <t>2023-04-25</t>
        </is>
      </c>
      <c r="B1761" t="inlineStr">
        <is>
          <t>沥青</t>
        </is>
      </c>
      <c r="C1761" t="inlineStr">
        <is>
          <t>多</t>
        </is>
      </c>
      <c r="D1761" t="n">
        <v>3</v>
      </c>
      <c r="E1761" t="n">
        <v>6</v>
      </c>
      <c r="F1761" t="inlineStr">
        <is>
          <t>观望</t>
        </is>
      </c>
      <c r="G1761" t="n">
        <v>4</v>
      </c>
      <c r="H1761" t="n">
        <v>3780</v>
      </c>
      <c r="I1761" t="n">
        <v>3567.64</v>
      </c>
      <c r="J1761" t="n">
        <v>0.96</v>
      </c>
      <c r="K1761" t="inlineStr">
        <is>
          <t>逆5日线（收盘在5日线下，不追多）</t>
        </is>
      </c>
    </row>
    <row r="1762">
      <c r="A1762" t="inlineStr">
        <is>
          <t>2023-04-25</t>
        </is>
      </c>
      <c r="B1762" t="inlineStr">
        <is>
          <t>甲醇</t>
        </is>
      </c>
      <c r="C1762" t="inlineStr">
        <is>
          <t>多</t>
        </is>
      </c>
      <c r="D1762" t="n">
        <v>2</v>
      </c>
      <c r="E1762" t="n">
        <v>5</v>
      </c>
      <c r="F1762" t="inlineStr">
        <is>
          <t>观望</t>
        </is>
      </c>
      <c r="G1762" t="n">
        <v>8</v>
      </c>
      <c r="H1762" t="n">
        <v>2417</v>
      </c>
      <c r="I1762" t="n">
        <v>2294</v>
      </c>
      <c r="J1762" t="n">
        <v>1</v>
      </c>
      <c r="K1762" t="inlineStr">
        <is>
          <t>逆5日线（收盘在5日线下，不追多）</t>
        </is>
      </c>
    </row>
    <row r="1763">
      <c r="A1763" t="inlineStr">
        <is>
          <t>2023-04-25</t>
        </is>
      </c>
      <c r="B1763" t="inlineStr">
        <is>
          <t>纯碱</t>
        </is>
      </c>
      <c r="C1763" t="inlineStr">
        <is>
          <t>空</t>
        </is>
      </c>
      <c r="D1763" t="n">
        <v>2</v>
      </c>
      <c r="E1763" t="n">
        <v>4</v>
      </c>
      <c r="F1763" t="inlineStr">
        <is>
          <t>续持</t>
        </is>
      </c>
      <c r="G1763" t="n">
        <v>2</v>
      </c>
      <c r="H1763" t="n">
        <v>2121</v>
      </c>
      <c r="I1763" t="n">
        <v>2307.93</v>
      </c>
      <c r="J1763" t="n">
        <v>1</v>
      </c>
      <c r="K1763" t="inlineStr">
        <is>
          <t>续持原仓（2023-04-20开）</t>
        </is>
      </c>
    </row>
    <row r="1764">
      <c r="A1764" t="inlineStr">
        <is>
          <t>2023-04-26</t>
        </is>
      </c>
      <c r="B1764" t="inlineStr">
        <is>
          <t>沪锌</t>
        </is>
      </c>
      <c r="C1764" t="inlineStr">
        <is>
          <t>空</t>
        </is>
      </c>
      <c r="D1764" t="n">
        <v>3</v>
      </c>
      <c r="E1764" t="n">
        <v>7</v>
      </c>
      <c r="F1764" t="inlineStr">
        <is>
          <t>续持</t>
        </is>
      </c>
      <c r="G1764" t="n">
        <v>6</v>
      </c>
      <c r="H1764" t="n">
        <v>21260</v>
      </c>
      <c r="I1764" t="n">
        <v>21788.21</v>
      </c>
      <c r="J1764" t="n">
        <v>2.86</v>
      </c>
      <c r="K1764" t="inlineStr">
        <is>
          <t>续持原仓（2023-04-25开）</t>
        </is>
      </c>
    </row>
    <row r="1765">
      <c r="A1765" t="inlineStr">
        <is>
          <t>2023-04-26</t>
        </is>
      </c>
      <c r="B1765" t="inlineStr">
        <is>
          <t>短纤</t>
        </is>
      </c>
      <c r="C1765" t="inlineStr">
        <is>
          <t>空</t>
        </is>
      </c>
      <c r="D1765" t="n">
        <v>2</v>
      </c>
      <c r="E1765" t="n">
        <v>5</v>
      </c>
      <c r="F1765" t="inlineStr">
        <is>
          <t>影子仓</t>
        </is>
      </c>
      <c r="G1765" t="n">
        <v>4</v>
      </c>
      <c r="H1765" t="n">
        <v>7326</v>
      </c>
      <c r="I1765" t="n">
        <v>7744.71</v>
      </c>
      <c r="J1765" t="n">
        <v>1</v>
      </c>
      <c r="K1765" t="inlineStr">
        <is>
          <t>凯利≤0，开1%影子仓（只统计，不计入组合）</t>
        </is>
      </c>
    </row>
    <row r="1766">
      <c r="A1766" t="inlineStr">
        <is>
          <t>2023-04-27</t>
        </is>
      </c>
      <c r="B1766" t="inlineStr">
        <is>
          <t>铁矿石</t>
        </is>
      </c>
      <c r="C1766" t="inlineStr">
        <is>
          <t>空</t>
        </is>
      </c>
      <c r="D1766" t="n">
        <v>3</v>
      </c>
      <c r="E1766" t="n">
        <v>6</v>
      </c>
      <c r="F1766" t="inlineStr">
        <is>
          <t>开仓</t>
        </is>
      </c>
      <c r="G1766" t="n">
        <v>4</v>
      </c>
      <c r="H1766" t="n">
        <v>713.5</v>
      </c>
      <c r="I1766" t="n">
        <v>779.9299999999999</v>
      </c>
      <c r="J1766" t="n">
        <v>3</v>
      </c>
      <c r="K1766" t="inlineStr">
        <is>
          <t>¼凯利超上限，取3%</t>
        </is>
      </c>
    </row>
    <row r="1767">
      <c r="A1767" t="inlineStr">
        <is>
          <t>2023-04-27</t>
        </is>
      </c>
      <c r="B1767" t="inlineStr">
        <is>
          <t>PVC</t>
        </is>
      </c>
      <c r="C1767" t="inlineStr">
        <is>
          <t>空</t>
        </is>
      </c>
      <c r="D1767" t="n">
        <v>2</v>
      </c>
      <c r="E1767" t="n">
        <v>5</v>
      </c>
      <c r="F1767" t="inlineStr">
        <is>
          <t>影子仓</t>
        </is>
      </c>
      <c r="G1767" t="n">
        <v>7</v>
      </c>
      <c r="H1767" t="n">
        <v>5994</v>
      </c>
      <c r="I1767" t="n">
        <v>6252.21</v>
      </c>
      <c r="J1767" t="n">
        <v>1</v>
      </c>
      <c r="K1767" t="inlineStr">
        <is>
          <t>凯利≤0，开1%影子仓（只统计，不计入组合）</t>
        </is>
      </c>
    </row>
    <row r="1768">
      <c r="A1768" t="inlineStr">
        <is>
          <t>2023-04-27</t>
        </is>
      </c>
      <c r="B1768" t="inlineStr">
        <is>
          <t>短纤</t>
        </is>
      </c>
      <c r="C1768" t="inlineStr">
        <is>
          <t>空</t>
        </is>
      </c>
      <c r="D1768" t="n">
        <v>2</v>
      </c>
      <c r="E1768" t="n">
        <v>5</v>
      </c>
      <c r="F1768" t="inlineStr">
        <is>
          <t>续持</t>
        </is>
      </c>
      <c r="G1768" t="n">
        <v>4</v>
      </c>
      <c r="H1768" t="n">
        <v>7282</v>
      </c>
      <c r="I1768" t="n">
        <v>7684.71</v>
      </c>
      <c r="J1768" t="n">
        <v>1</v>
      </c>
      <c r="K1768" t="inlineStr">
        <is>
          <t>续持原仓（2023-04-26开）</t>
        </is>
      </c>
    </row>
    <row r="1769">
      <c r="A1769" t="inlineStr">
        <is>
          <t>2023-04-28</t>
        </is>
      </c>
      <c r="B1769" t="inlineStr">
        <is>
          <t>热卷</t>
        </is>
      </c>
      <c r="C1769" t="inlineStr">
        <is>
          <t>空</t>
        </is>
      </c>
      <c r="D1769" t="n">
        <v>3</v>
      </c>
      <c r="E1769" t="n">
        <v>7</v>
      </c>
      <c r="F1769" t="inlineStr">
        <is>
          <t>开仓</t>
        </is>
      </c>
      <c r="G1769" t="n">
        <v>14</v>
      </c>
      <c r="H1769" t="n">
        <v>3721</v>
      </c>
      <c r="I1769" t="n">
        <v>3930.79</v>
      </c>
      <c r="J1769" t="n">
        <v>3</v>
      </c>
      <c r="K1769" t="inlineStr">
        <is>
          <t>¼凯利超上限，取3%</t>
        </is>
      </c>
    </row>
    <row r="1770">
      <c r="A1770" t="inlineStr">
        <is>
          <t>2023-04-28</t>
        </is>
      </c>
      <c r="B1770" t="inlineStr">
        <is>
          <t>棕榈油</t>
        </is>
      </c>
      <c r="C1770" t="inlineStr">
        <is>
          <t>空</t>
        </is>
      </c>
      <c r="D1770" t="n">
        <v>3</v>
      </c>
      <c r="E1770" t="n">
        <v>6</v>
      </c>
      <c r="F1770" t="inlineStr">
        <is>
          <t>开仓</t>
        </is>
      </c>
      <c r="G1770" t="n">
        <v>6</v>
      </c>
      <c r="H1770" t="n">
        <v>6846</v>
      </c>
      <c r="I1770" t="n">
        <v>7330.71</v>
      </c>
      <c r="J1770" t="n">
        <v>3</v>
      </c>
      <c r="K1770" t="inlineStr">
        <is>
          <t>¼凯利超上限，取3%</t>
        </is>
      </c>
    </row>
    <row r="1771">
      <c r="A1771" t="inlineStr">
        <is>
          <t>2023-04-28</t>
        </is>
      </c>
      <c r="B1771" t="inlineStr">
        <is>
          <t>沪锌</t>
        </is>
      </c>
      <c r="C1771" t="inlineStr">
        <is>
          <t>空</t>
        </is>
      </c>
      <c r="D1771" t="n">
        <v>2</v>
      </c>
      <c r="E1771" t="n">
        <v>5</v>
      </c>
      <c r="F1771" t="inlineStr">
        <is>
          <t>影子仓</t>
        </is>
      </c>
      <c r="G1771" t="n">
        <v>1</v>
      </c>
      <c r="H1771" t="n">
        <v>21280</v>
      </c>
      <c r="I1771" t="n">
        <v>22290.36</v>
      </c>
      <c r="J1771" t="n">
        <v>1</v>
      </c>
      <c r="K1771" t="inlineStr">
        <is>
          <t>凯利≤0，开1%影子仓（只统计，不计入组合）</t>
        </is>
      </c>
    </row>
    <row r="1772">
      <c r="A1772" t="inlineStr">
        <is>
          <t>2023-04-28</t>
        </is>
      </c>
      <c r="B1772" t="inlineStr">
        <is>
          <t>豆油</t>
        </is>
      </c>
      <c r="C1772" t="inlineStr">
        <is>
          <t>空</t>
        </is>
      </c>
      <c r="D1772" t="n">
        <v>2</v>
      </c>
      <c r="E1772" t="n">
        <v>5</v>
      </c>
      <c r="F1772" t="inlineStr">
        <is>
          <t>影子仓</t>
        </is>
      </c>
      <c r="G1772" t="n">
        <v>2</v>
      </c>
      <c r="H1772" t="n">
        <v>7468</v>
      </c>
      <c r="I1772" t="n">
        <v>7938.57</v>
      </c>
      <c r="J1772" t="n">
        <v>1</v>
      </c>
      <c r="K1772" t="inlineStr">
        <is>
          <t>凯利≤0，开1%影子仓（只统计，不计入组合）</t>
        </is>
      </c>
    </row>
    <row r="1773">
      <c r="A1773" t="inlineStr">
        <is>
          <t>2023-04-28</t>
        </is>
      </c>
      <c r="B1773" t="inlineStr">
        <is>
          <t>沪铜</t>
        </is>
      </c>
      <c r="C1773" t="inlineStr">
        <is>
          <t>空</t>
        </is>
      </c>
      <c r="D1773" t="n">
        <v>2</v>
      </c>
      <c r="E1773" t="n">
        <v>5</v>
      </c>
      <c r="F1773" t="inlineStr">
        <is>
          <t>不做</t>
        </is>
      </c>
      <c r="H1773" t="n">
        <v>67410</v>
      </c>
      <c r="J1773" t="n">
        <v>1</v>
      </c>
      <c r="K1773" t="inlineStr">
        <is>
          <t>1手风险12868元超过预算10000元</t>
        </is>
      </c>
    </row>
    <row r="1774">
      <c r="A1774" t="inlineStr">
        <is>
          <t>2023-05-04</t>
        </is>
      </c>
      <c r="B1774" t="inlineStr">
        <is>
          <t>热卷</t>
        </is>
      </c>
      <c r="C1774" t="inlineStr">
        <is>
          <t>空</t>
        </is>
      </c>
      <c r="D1774" t="n">
        <v>3</v>
      </c>
      <c r="E1774" t="n">
        <v>7</v>
      </c>
      <c r="F1774" t="inlineStr">
        <is>
          <t>续持</t>
        </is>
      </c>
      <c r="G1774" t="n">
        <v>14</v>
      </c>
      <c r="H1774" t="n">
        <v>3663</v>
      </c>
      <c r="I1774" t="n">
        <v>3866.57</v>
      </c>
      <c r="J1774" t="n">
        <v>3</v>
      </c>
      <c r="K1774" t="inlineStr">
        <is>
          <t>续持原仓（2023-04-28开）</t>
        </is>
      </c>
    </row>
    <row r="1775">
      <c r="A1775" t="inlineStr">
        <is>
          <t>2023-05-04</t>
        </is>
      </c>
      <c r="B1775" t="inlineStr">
        <is>
          <t>沪锌</t>
        </is>
      </c>
      <c r="C1775" t="inlineStr">
        <is>
          <t>空</t>
        </is>
      </c>
      <c r="D1775" t="n">
        <v>3</v>
      </c>
      <c r="E1775" t="n">
        <v>7</v>
      </c>
      <c r="F1775" t="inlineStr">
        <is>
          <t>续持</t>
        </is>
      </c>
      <c r="G1775" t="n">
        <v>1</v>
      </c>
      <c r="H1775" t="n">
        <v>21100</v>
      </c>
      <c r="I1775" t="n">
        <v>21929.29</v>
      </c>
      <c r="J1775" t="n">
        <v>1</v>
      </c>
      <c r="K1775" t="inlineStr">
        <is>
          <t>续持原仓（2023-04-28开）</t>
        </is>
      </c>
    </row>
    <row r="1776">
      <c r="A1776" t="inlineStr">
        <is>
          <t>2023-05-04</t>
        </is>
      </c>
      <c r="B1776" t="inlineStr">
        <is>
          <t>螺纹钢</t>
        </is>
      </c>
      <c r="C1776" t="inlineStr">
        <is>
          <t>空</t>
        </is>
      </c>
      <c r="D1776" t="n">
        <v>3</v>
      </c>
      <c r="E1776" t="n">
        <v>7</v>
      </c>
      <c r="F1776" t="inlineStr">
        <is>
          <t>不做</t>
        </is>
      </c>
      <c r="H1776" t="n">
        <v>3615</v>
      </c>
      <c r="J1776" t="n">
        <v>0</v>
      </c>
      <c r="K1776" t="inlineStr">
        <is>
          <t>黑色板块同方向已近6%，预算缩小</t>
        </is>
      </c>
    </row>
    <row r="1777">
      <c r="A1777" t="inlineStr">
        <is>
          <t>2023-05-04</t>
        </is>
      </c>
      <c r="B1777" t="inlineStr">
        <is>
          <t>沪铜</t>
        </is>
      </c>
      <c r="C1777" t="inlineStr">
        <is>
          <t>空</t>
        </is>
      </c>
      <c r="D1777" t="n">
        <v>3</v>
      </c>
      <c r="E1777" t="n">
        <v>6</v>
      </c>
      <c r="F1777" t="inlineStr">
        <is>
          <t>不做</t>
        </is>
      </c>
      <c r="H1777" t="n">
        <v>66920</v>
      </c>
      <c r="J1777" t="n">
        <v>0.54</v>
      </c>
      <c r="K1777" t="inlineStr">
        <is>
          <t>1手风险12804元超过预算5400元</t>
        </is>
      </c>
    </row>
    <row r="1778">
      <c r="A1778" t="inlineStr">
        <is>
          <t>2023-05-04</t>
        </is>
      </c>
      <c r="B1778" t="inlineStr">
        <is>
          <t>铁矿石</t>
        </is>
      </c>
      <c r="C1778" t="inlineStr">
        <is>
          <t>空</t>
        </is>
      </c>
      <c r="D1778" t="n">
        <v>3</v>
      </c>
      <c r="E1778" t="n">
        <v>6</v>
      </c>
      <c r="F1778" t="inlineStr">
        <is>
          <t>续持</t>
        </is>
      </c>
      <c r="G1778" t="n">
        <v>4</v>
      </c>
      <c r="H1778" t="n">
        <v>698.5</v>
      </c>
      <c r="I1778" t="n">
        <v>758.71</v>
      </c>
      <c r="J1778" t="n">
        <v>3</v>
      </c>
      <c r="K1778" t="inlineStr">
        <is>
          <t>续持原仓（2023-04-27开）</t>
        </is>
      </c>
    </row>
    <row r="1779">
      <c r="A1779" t="inlineStr">
        <is>
          <t>2023-05-04</t>
        </is>
      </c>
      <c r="B1779" t="inlineStr">
        <is>
          <t>棉花</t>
        </is>
      </c>
      <c r="C1779" t="inlineStr">
        <is>
          <t>多</t>
        </is>
      </c>
      <c r="D1779" t="n">
        <v>2</v>
      </c>
      <c r="E1779" t="n">
        <v>4</v>
      </c>
      <c r="F1779" t="inlineStr">
        <is>
          <t>影子仓</t>
        </is>
      </c>
      <c r="G1779" t="n">
        <v>2</v>
      </c>
      <c r="H1779" t="n">
        <v>15715</v>
      </c>
      <c r="I1779" t="n">
        <v>14929.64</v>
      </c>
      <c r="J1779" t="n">
        <v>1</v>
      </c>
      <c r="K1779" t="inlineStr">
        <is>
          <t>凯利≤0，开1%影子仓（只统计，不计入组合）</t>
        </is>
      </c>
    </row>
    <row r="1780">
      <c r="A1780" t="inlineStr">
        <is>
          <t>2023-05-05</t>
        </is>
      </c>
      <c r="B1780" t="inlineStr">
        <is>
          <t>玻璃</t>
        </is>
      </c>
      <c r="C1780" t="inlineStr">
        <is>
          <t>多</t>
        </is>
      </c>
      <c r="D1780" t="n">
        <v>3</v>
      </c>
      <c r="E1780" t="n">
        <v>7</v>
      </c>
      <c r="F1780" t="inlineStr">
        <is>
          <t>观望</t>
        </is>
      </c>
      <c r="G1780" t="n">
        <v>8</v>
      </c>
      <c r="H1780" t="n">
        <v>1755</v>
      </c>
      <c r="I1780" t="n">
        <v>1568.36</v>
      </c>
      <c r="J1780" t="n">
        <v>3</v>
      </c>
      <c r="K1780" t="inlineStr">
        <is>
          <t>逆5日线（收盘在5日线下，不追多）</t>
        </is>
      </c>
    </row>
    <row r="1781">
      <c r="A1781" t="inlineStr">
        <is>
          <t>2023-05-05</t>
        </is>
      </c>
      <c r="B1781" t="inlineStr">
        <is>
          <t>沪锌</t>
        </is>
      </c>
      <c r="C1781" t="inlineStr">
        <is>
          <t>空</t>
        </is>
      </c>
      <c r="D1781" t="n">
        <v>3</v>
      </c>
      <c r="E1781" t="n">
        <v>6</v>
      </c>
      <c r="F1781" t="inlineStr">
        <is>
          <t>观望</t>
        </is>
      </c>
      <c r="G1781" t="n">
        <v>5</v>
      </c>
      <c r="H1781" t="n">
        <v>21285</v>
      </c>
      <c r="I1781" t="n">
        <v>22356.43</v>
      </c>
      <c r="J1781" t="n">
        <v>3</v>
      </c>
      <c r="K1781" t="inlineStr">
        <is>
          <t>逆5日线（收盘在5日线上，不追空）</t>
        </is>
      </c>
    </row>
    <row r="1782">
      <c r="A1782" t="inlineStr">
        <is>
          <t>2023-05-05</t>
        </is>
      </c>
      <c r="B1782" t="inlineStr">
        <is>
          <t>热卷</t>
        </is>
      </c>
      <c r="C1782" t="inlineStr">
        <is>
          <t>空</t>
        </is>
      </c>
      <c r="D1782" t="n">
        <v>3</v>
      </c>
      <c r="E1782" t="n">
        <v>6</v>
      </c>
      <c r="F1782" t="inlineStr">
        <is>
          <t>续持</t>
        </is>
      </c>
      <c r="G1782" t="n">
        <v>14</v>
      </c>
      <c r="H1782" t="n">
        <v>3676</v>
      </c>
      <c r="I1782" t="n">
        <v>3797.93</v>
      </c>
      <c r="J1782" t="n">
        <v>3</v>
      </c>
      <c r="K1782" t="inlineStr">
        <is>
          <t>续持原仓（2023-04-28开）</t>
        </is>
      </c>
    </row>
    <row r="1783">
      <c r="A1783" t="inlineStr">
        <is>
          <t>2023-05-05</t>
        </is>
      </c>
      <c r="B1783" t="inlineStr">
        <is>
          <t>玉米</t>
        </is>
      </c>
      <c r="C1783" t="inlineStr">
        <is>
          <t>空</t>
        </is>
      </c>
      <c r="D1783" t="n">
        <v>2</v>
      </c>
      <c r="E1783" t="n">
        <v>4</v>
      </c>
      <c r="F1783" t="inlineStr">
        <is>
          <t>影子仓</t>
        </is>
      </c>
      <c r="G1783" t="n">
        <v>11</v>
      </c>
      <c r="H1783" t="n">
        <v>2602</v>
      </c>
      <c r="I1783" t="n">
        <v>2692.43</v>
      </c>
      <c r="J1783" t="n">
        <v>1</v>
      </c>
      <c r="K1783" t="inlineStr">
        <is>
          <t>凯利≤0，开1%影子仓（只统计，不计入组合）</t>
        </is>
      </c>
    </row>
    <row r="1784">
      <c r="A1784" t="inlineStr">
        <is>
          <t>2023-05-08</t>
        </is>
      </c>
      <c r="B1784" t="inlineStr">
        <is>
          <t>沪铜</t>
        </is>
      </c>
      <c r="C1784" t="inlineStr">
        <is>
          <t>空</t>
        </is>
      </c>
      <c r="D1784" t="n">
        <v>2</v>
      </c>
      <c r="E1784" t="n">
        <v>5</v>
      </c>
      <c r="F1784" t="inlineStr">
        <is>
          <t>观望</t>
        </is>
      </c>
      <c r="H1784" t="n">
        <v>67470</v>
      </c>
      <c r="J1784" t="n">
        <v>1</v>
      </c>
      <c r="K1784" t="inlineStr">
        <is>
          <t>逆5日线（收盘在5日线上，不追空）</t>
        </is>
      </c>
    </row>
    <row r="1785">
      <c r="A1785" t="inlineStr">
        <is>
          <t>2023-05-08</t>
        </is>
      </c>
      <c r="B1785" t="inlineStr">
        <is>
          <t>白糖</t>
        </is>
      </c>
      <c r="C1785" t="inlineStr">
        <is>
          <t>多</t>
        </is>
      </c>
      <c r="D1785" t="n">
        <v>2</v>
      </c>
      <c r="E1785" t="n">
        <v>4</v>
      </c>
      <c r="F1785" t="inlineStr">
        <is>
          <t>影子仓</t>
        </is>
      </c>
      <c r="G1785" t="n">
        <v>2</v>
      </c>
      <c r="H1785" t="n">
        <v>6956</v>
      </c>
      <c r="I1785" t="n">
        <v>6567.5</v>
      </c>
      <c r="J1785" t="n">
        <v>1</v>
      </c>
      <c r="K1785" t="inlineStr">
        <is>
          <t>凯利≤0，开1%影子仓（只统计，不计入组合）</t>
        </is>
      </c>
    </row>
    <row r="1786">
      <c r="A1786" t="inlineStr">
        <is>
          <t>2023-05-08</t>
        </is>
      </c>
      <c r="B1786" t="inlineStr">
        <is>
          <t>尿素</t>
        </is>
      </c>
      <c r="C1786" t="inlineStr">
        <is>
          <t>多</t>
        </is>
      </c>
      <c r="D1786" t="n">
        <v>2</v>
      </c>
      <c r="E1786" t="n">
        <v>4</v>
      </c>
      <c r="F1786" t="inlineStr">
        <is>
          <t>观望</t>
        </is>
      </c>
      <c r="G1786" t="n">
        <v>3</v>
      </c>
      <c r="H1786" t="n">
        <v>1954</v>
      </c>
      <c r="I1786" t="n">
        <v>1803.36</v>
      </c>
      <c r="J1786" t="n">
        <v>1</v>
      </c>
      <c r="K1786" t="inlineStr">
        <is>
          <t>逆5日线（收盘在5日线下，不追多）</t>
        </is>
      </c>
    </row>
    <row r="1787">
      <c r="A1787" t="inlineStr">
        <is>
          <t>2023-05-09</t>
        </is>
      </c>
      <c r="B1787" t="inlineStr">
        <is>
          <t>纯碱</t>
        </is>
      </c>
      <c r="C1787" t="inlineStr">
        <is>
          <t>空</t>
        </is>
      </c>
      <c r="D1787" t="n">
        <v>3</v>
      </c>
      <c r="E1787" t="n">
        <v>7</v>
      </c>
      <c r="F1787" t="inlineStr">
        <is>
          <t>开仓</t>
        </is>
      </c>
      <c r="G1787" t="n">
        <v>6</v>
      </c>
      <c r="H1787" t="n">
        <v>1988</v>
      </c>
      <c r="I1787" t="n">
        <v>2195</v>
      </c>
      <c r="J1787" t="n">
        <v>2.76</v>
      </c>
      <c r="K1787" t="inlineStr">
        <is>
          <t>¼凯利</t>
        </is>
      </c>
    </row>
    <row r="1788">
      <c r="A1788" t="inlineStr">
        <is>
          <t>2023-05-09</t>
        </is>
      </c>
      <c r="B1788" t="inlineStr">
        <is>
          <t>铁矿石</t>
        </is>
      </c>
      <c r="C1788" t="inlineStr">
        <is>
          <t>空</t>
        </is>
      </c>
      <c r="D1788" t="n">
        <v>3</v>
      </c>
      <c r="E1788" t="n">
        <v>6</v>
      </c>
      <c r="F1788" t="inlineStr">
        <is>
          <t>观望</t>
        </is>
      </c>
      <c r="G1788" t="n">
        <v>4</v>
      </c>
      <c r="H1788" t="n">
        <v>714</v>
      </c>
      <c r="I1788" t="n">
        <v>775.39</v>
      </c>
      <c r="J1788" t="n">
        <v>2.76</v>
      </c>
      <c r="K1788" t="inlineStr">
        <is>
          <t>逆5日线（收盘在5日线上，不追空）</t>
        </is>
      </c>
    </row>
    <row r="1789">
      <c r="A1789" t="inlineStr">
        <is>
          <t>2023-05-09</t>
        </is>
      </c>
      <c r="B1789" t="inlineStr">
        <is>
          <t>沪铜</t>
        </is>
      </c>
      <c r="C1789" t="inlineStr">
        <is>
          <t>空</t>
        </is>
      </c>
      <c r="D1789" t="n">
        <v>2</v>
      </c>
      <c r="E1789" t="n">
        <v>5</v>
      </c>
      <c r="F1789" t="inlineStr">
        <is>
          <t>不做</t>
        </is>
      </c>
      <c r="H1789" t="n">
        <v>67070</v>
      </c>
      <c r="J1789" t="n">
        <v>1</v>
      </c>
      <c r="K1789" t="inlineStr">
        <is>
          <t>1手风险13071元超过预算10000元</t>
        </is>
      </c>
    </row>
    <row r="1790">
      <c r="A1790" t="inlineStr">
        <is>
          <t>2023-05-09</t>
        </is>
      </c>
      <c r="B1790" t="inlineStr">
        <is>
          <t>玻璃</t>
        </is>
      </c>
      <c r="C1790" t="inlineStr">
        <is>
          <t>空</t>
        </is>
      </c>
      <c r="D1790" t="n">
        <v>2</v>
      </c>
      <c r="E1790" t="n">
        <v>4</v>
      </c>
      <c r="F1790" t="inlineStr">
        <is>
          <t>影子仓</t>
        </is>
      </c>
      <c r="G1790" t="n">
        <v>2</v>
      </c>
      <c r="H1790" t="n">
        <v>1676</v>
      </c>
      <c r="I1790" t="n">
        <v>1874.21</v>
      </c>
      <c r="J1790" t="n">
        <v>1</v>
      </c>
      <c r="K1790" t="inlineStr">
        <is>
          <t>凯利≤0，开1%影子仓（只统计，不计入组合）</t>
        </is>
      </c>
    </row>
    <row r="1791">
      <c r="A1791" t="inlineStr">
        <is>
          <t>2023-05-09</t>
        </is>
      </c>
      <c r="B1791" t="inlineStr">
        <is>
          <t>硅铁</t>
        </is>
      </c>
      <c r="C1791" t="inlineStr">
        <is>
          <t>空</t>
        </is>
      </c>
      <c r="D1791" t="n">
        <v>2</v>
      </c>
      <c r="E1791" t="n">
        <v>4</v>
      </c>
      <c r="F1791" t="inlineStr">
        <is>
          <t>影子仓</t>
        </is>
      </c>
      <c r="G1791" t="n">
        <v>4</v>
      </c>
      <c r="H1791" t="n">
        <v>7418</v>
      </c>
      <c r="I1791" t="n">
        <v>7836.71</v>
      </c>
      <c r="J1791" t="n">
        <v>1</v>
      </c>
      <c r="K1791" t="inlineStr">
        <is>
          <t>凯利≤0，开1%影子仓（只统计，不计入组合）</t>
        </is>
      </c>
    </row>
    <row r="1792">
      <c r="A1792" t="inlineStr">
        <is>
          <t>2023-05-10</t>
        </is>
      </c>
      <c r="B1792" t="inlineStr">
        <is>
          <t>玉米</t>
        </is>
      </c>
      <c r="C1792" t="inlineStr">
        <is>
          <t>空</t>
        </is>
      </c>
      <c r="D1792" t="n">
        <v>3</v>
      </c>
      <c r="E1792" t="n">
        <v>7</v>
      </c>
      <c r="F1792" t="inlineStr">
        <is>
          <t>开仓</t>
        </is>
      </c>
      <c r="G1792" t="n">
        <v>27</v>
      </c>
      <c r="H1792" t="n">
        <v>2566</v>
      </c>
      <c r="I1792" t="n">
        <v>2666.29</v>
      </c>
      <c r="J1792" t="n">
        <v>2.76</v>
      </c>
      <c r="K1792" t="inlineStr">
        <is>
          <t>¼凯利</t>
        </is>
      </c>
    </row>
    <row r="1793">
      <c r="A1793" t="inlineStr">
        <is>
          <t>2023-05-10</t>
        </is>
      </c>
      <c r="B1793" t="inlineStr">
        <is>
          <t>豆油</t>
        </is>
      </c>
      <c r="C1793" t="inlineStr">
        <is>
          <t>空</t>
        </is>
      </c>
      <c r="D1793" t="n">
        <v>3</v>
      </c>
      <c r="E1793" t="n">
        <v>7</v>
      </c>
      <c r="F1793" t="inlineStr">
        <is>
          <t>续持</t>
        </is>
      </c>
      <c r="G1793" t="n">
        <v>2</v>
      </c>
      <c r="H1793" t="n">
        <v>7524</v>
      </c>
      <c r="I1793" t="n">
        <v>7847.43</v>
      </c>
      <c r="J1793" t="n">
        <v>1</v>
      </c>
      <c r="K1793" t="inlineStr">
        <is>
          <t>续持原仓（2023-04-28开）</t>
        </is>
      </c>
    </row>
    <row r="1794">
      <c r="A1794" t="inlineStr">
        <is>
          <t>2023-05-10</t>
        </is>
      </c>
      <c r="B1794" t="inlineStr">
        <is>
          <t>纯碱</t>
        </is>
      </c>
      <c r="C1794" t="inlineStr">
        <is>
          <t>空</t>
        </is>
      </c>
      <c r="D1794" t="n">
        <v>3</v>
      </c>
      <c r="E1794" t="n">
        <v>6</v>
      </c>
      <c r="F1794" t="inlineStr">
        <is>
          <t>续持</t>
        </is>
      </c>
      <c r="G1794" t="n">
        <v>6</v>
      </c>
      <c r="H1794" t="n">
        <v>1972</v>
      </c>
      <c r="I1794" t="n">
        <v>2172.14</v>
      </c>
      <c r="J1794" t="n">
        <v>2.76</v>
      </c>
      <c r="K1794" t="inlineStr">
        <is>
          <t>续持原仓（2023-05-09开）</t>
        </is>
      </c>
    </row>
    <row r="1795">
      <c r="A1795" t="inlineStr">
        <is>
          <t>2023-05-10</t>
        </is>
      </c>
      <c r="B1795" t="inlineStr">
        <is>
          <t>PTA</t>
        </is>
      </c>
      <c r="C1795" t="inlineStr">
        <is>
          <t>空</t>
        </is>
      </c>
      <c r="D1795" t="n">
        <v>3</v>
      </c>
      <c r="E1795" t="n">
        <v>6</v>
      </c>
      <c r="F1795" t="inlineStr">
        <is>
          <t>开仓</t>
        </is>
      </c>
      <c r="G1795" t="n">
        <v>15</v>
      </c>
      <c r="H1795" t="n">
        <v>5386</v>
      </c>
      <c r="I1795" t="n">
        <v>5740</v>
      </c>
      <c r="J1795" t="n">
        <v>2.76</v>
      </c>
      <c r="K1795" t="inlineStr">
        <is>
          <t>¼凯利</t>
        </is>
      </c>
    </row>
    <row r="1796">
      <c r="A1796" t="inlineStr">
        <is>
          <t>2023-05-10</t>
        </is>
      </c>
      <c r="B1796" t="inlineStr">
        <is>
          <t>铁矿石</t>
        </is>
      </c>
      <c r="C1796" t="inlineStr">
        <is>
          <t>空</t>
        </is>
      </c>
      <c r="D1796" t="n">
        <v>2</v>
      </c>
      <c r="E1796" t="n">
        <v>5</v>
      </c>
      <c r="F1796" t="inlineStr">
        <is>
          <t>观望</t>
        </is>
      </c>
      <c r="G1796" t="n">
        <v>1</v>
      </c>
      <c r="H1796" t="n">
        <v>724</v>
      </c>
      <c r="I1796" t="n">
        <v>785.5</v>
      </c>
      <c r="J1796" t="n">
        <v>1</v>
      </c>
      <c r="K1796" t="inlineStr">
        <is>
          <t>逆5日线（收盘在5日线上，不追空）</t>
        </is>
      </c>
    </row>
    <row r="1797">
      <c r="A1797" t="inlineStr">
        <is>
          <t>2023-05-11</t>
        </is>
      </c>
      <c r="B1797" t="inlineStr">
        <is>
          <t>玉米</t>
        </is>
      </c>
      <c r="C1797" t="inlineStr">
        <is>
          <t>空</t>
        </is>
      </c>
      <c r="D1797" t="n">
        <v>3</v>
      </c>
      <c r="E1797" t="n">
        <v>7</v>
      </c>
      <c r="F1797" t="inlineStr">
        <is>
          <t>续持</t>
        </is>
      </c>
      <c r="G1797" t="n">
        <v>27</v>
      </c>
      <c r="H1797" t="n">
        <v>2526</v>
      </c>
      <c r="I1797" t="n">
        <v>2629.86</v>
      </c>
      <c r="J1797" t="n">
        <v>2.76</v>
      </c>
      <c r="K1797" t="inlineStr">
        <is>
          <t>续持原仓（2023-05-10开）</t>
        </is>
      </c>
    </row>
    <row r="1798">
      <c r="A1798" t="inlineStr">
        <is>
          <t>2023-05-11</t>
        </is>
      </c>
      <c r="B1798" t="inlineStr">
        <is>
          <t>沪铜</t>
        </is>
      </c>
      <c r="C1798" t="inlineStr">
        <is>
          <t>空</t>
        </is>
      </c>
      <c r="D1798" t="n">
        <v>3</v>
      </c>
      <c r="E1798" t="n">
        <v>7</v>
      </c>
      <c r="F1798" t="inlineStr">
        <is>
          <t>开仓</t>
        </is>
      </c>
      <c r="G1798" t="n">
        <v>1</v>
      </c>
      <c r="H1798" t="n">
        <v>65310</v>
      </c>
      <c r="I1798" t="n">
        <v>68070</v>
      </c>
      <c r="J1798" t="n">
        <v>1.72</v>
      </c>
      <c r="K1798" t="inlineStr">
        <is>
          <t>组合风险已近10%，预算缩小</t>
        </is>
      </c>
    </row>
    <row r="1799">
      <c r="A1799" t="inlineStr">
        <is>
          <t>2023-05-11</t>
        </is>
      </c>
      <c r="B1799" t="inlineStr">
        <is>
          <t>热卷</t>
        </is>
      </c>
      <c r="C1799" t="inlineStr">
        <is>
          <t>空</t>
        </is>
      </c>
      <c r="D1799" t="n">
        <v>3</v>
      </c>
      <c r="E1799" t="n">
        <v>7</v>
      </c>
      <c r="F1799" t="inlineStr">
        <is>
          <t>不做</t>
        </is>
      </c>
      <c r="H1799" t="n">
        <v>3653</v>
      </c>
      <c r="J1799" t="n">
        <v>0</v>
      </c>
      <c r="K1799" t="inlineStr">
        <is>
          <t>组合风险已近10%，预算缩小</t>
        </is>
      </c>
    </row>
    <row r="1800">
      <c r="A1800" t="inlineStr">
        <is>
          <t>2023-05-11</t>
        </is>
      </c>
      <c r="B1800" t="inlineStr">
        <is>
          <t>玻璃</t>
        </is>
      </c>
      <c r="C1800" t="inlineStr">
        <is>
          <t>多</t>
        </is>
      </c>
      <c r="D1800" t="n">
        <v>3</v>
      </c>
      <c r="E1800" t="n">
        <v>6</v>
      </c>
      <c r="F1800" t="inlineStr">
        <is>
          <t>观望</t>
        </is>
      </c>
      <c r="H1800" t="n">
        <v>1691</v>
      </c>
      <c r="J1800" t="n">
        <v>0</v>
      </c>
      <c r="K1800" t="inlineStr">
        <is>
          <t>逆5日线（收盘在5日线下，不追多）</t>
        </is>
      </c>
    </row>
    <row r="1801">
      <c r="A1801" t="inlineStr">
        <is>
          <t>2023-05-11</t>
        </is>
      </c>
      <c r="B1801" t="inlineStr">
        <is>
          <t>豆油</t>
        </is>
      </c>
      <c r="C1801" t="inlineStr">
        <is>
          <t>空</t>
        </is>
      </c>
      <c r="D1801" t="n">
        <v>3</v>
      </c>
      <c r="E1801" t="n">
        <v>6</v>
      </c>
      <c r="F1801" t="inlineStr">
        <is>
          <t>续持</t>
        </is>
      </c>
      <c r="G1801" t="n">
        <v>2</v>
      </c>
      <c r="H1801" t="n">
        <v>7326</v>
      </c>
      <c r="I1801" t="n">
        <v>7838.57</v>
      </c>
      <c r="J1801" t="n">
        <v>1</v>
      </c>
      <c r="K1801" t="inlineStr">
        <is>
          <t>续持原仓（2023-04-28开）</t>
        </is>
      </c>
    </row>
    <row r="1802">
      <c r="A1802" t="inlineStr">
        <is>
          <t>2023-05-11</t>
        </is>
      </c>
      <c r="B1802" t="inlineStr">
        <is>
          <t>沪锌</t>
        </is>
      </c>
      <c r="C1802" t="inlineStr">
        <is>
          <t>空</t>
        </is>
      </c>
      <c r="D1802" t="n">
        <v>3</v>
      </c>
      <c r="E1802" t="n">
        <v>6</v>
      </c>
      <c r="F1802" t="inlineStr">
        <is>
          <t>不做</t>
        </is>
      </c>
      <c r="H1802" t="n">
        <v>20970</v>
      </c>
      <c r="J1802" t="n">
        <v>0</v>
      </c>
      <c r="K1802" t="inlineStr">
        <is>
          <t>组合风险已近10%，预算缩小</t>
        </is>
      </c>
    </row>
    <row r="1803">
      <c r="A1803" t="inlineStr">
        <is>
          <t>2023-05-12</t>
        </is>
      </c>
      <c r="B1803" t="inlineStr">
        <is>
          <t>沪锌</t>
        </is>
      </c>
      <c r="C1803" t="inlineStr">
        <is>
          <t>空</t>
        </is>
      </c>
      <c r="D1803" t="n">
        <v>3</v>
      </c>
      <c r="E1803" t="n">
        <v>7</v>
      </c>
      <c r="F1803" t="inlineStr">
        <is>
          <t>开仓</t>
        </is>
      </c>
      <c r="G1803" t="n">
        <v>5</v>
      </c>
      <c r="H1803" t="n">
        <v>20650</v>
      </c>
      <c r="I1803" t="n">
        <v>21737.5</v>
      </c>
      <c r="J1803" t="n">
        <v>2.88</v>
      </c>
      <c r="K1803" t="inlineStr">
        <is>
          <t>¼凯利</t>
        </is>
      </c>
    </row>
    <row r="1804">
      <c r="A1804" t="inlineStr">
        <is>
          <t>2023-05-12</t>
        </is>
      </c>
      <c r="B1804" t="inlineStr">
        <is>
          <t>沪铝</t>
        </is>
      </c>
      <c r="C1804" t="inlineStr">
        <is>
          <t>空</t>
        </is>
      </c>
      <c r="D1804" t="n">
        <v>3</v>
      </c>
      <c r="E1804" t="n">
        <v>6</v>
      </c>
      <c r="F1804" t="inlineStr">
        <is>
          <t>开仓</t>
        </is>
      </c>
      <c r="G1804" t="n">
        <v>4</v>
      </c>
      <c r="H1804" t="n">
        <v>17870</v>
      </c>
      <c r="I1804" t="n">
        <v>18605</v>
      </c>
      <c r="J1804" t="n">
        <v>1.6</v>
      </c>
      <c r="K1804" t="inlineStr">
        <is>
          <t>组合风险已近10%，预算缩小</t>
        </is>
      </c>
    </row>
    <row r="1805">
      <c r="A1805" t="inlineStr">
        <is>
          <t>2023-05-12</t>
        </is>
      </c>
      <c r="B1805" t="inlineStr">
        <is>
          <t>玉米</t>
        </is>
      </c>
      <c r="C1805" t="inlineStr">
        <is>
          <t>空</t>
        </is>
      </c>
      <c r="D1805" t="n">
        <v>3</v>
      </c>
      <c r="E1805" t="n">
        <v>6</v>
      </c>
      <c r="F1805" t="inlineStr">
        <is>
          <t>续持</t>
        </is>
      </c>
      <c r="G1805" t="n">
        <v>27</v>
      </c>
      <c r="H1805" t="n">
        <v>2539</v>
      </c>
      <c r="I1805" t="n">
        <v>2609.86</v>
      </c>
      <c r="J1805" t="n">
        <v>2.76</v>
      </c>
      <c r="K1805" t="inlineStr">
        <is>
          <t>续持原仓（2023-05-10开）</t>
        </is>
      </c>
    </row>
    <row r="1806">
      <c r="A1806" t="inlineStr">
        <is>
          <t>2023-05-12</t>
        </is>
      </c>
      <c r="B1806" t="inlineStr">
        <is>
          <t>聚丙烯</t>
        </is>
      </c>
      <c r="C1806" t="inlineStr">
        <is>
          <t>空</t>
        </is>
      </c>
      <c r="D1806" t="n">
        <v>3</v>
      </c>
      <c r="E1806" t="n">
        <v>6</v>
      </c>
      <c r="F1806" t="inlineStr">
        <is>
          <t>不做</t>
        </is>
      </c>
      <c r="H1806" t="n">
        <v>7125</v>
      </c>
      <c r="J1806" t="n">
        <v>0</v>
      </c>
      <c r="K1806" t="inlineStr">
        <is>
          <t>组合风险已近10%，预算缩小</t>
        </is>
      </c>
    </row>
    <row r="1807">
      <c r="A1807" t="inlineStr">
        <is>
          <t>2023-05-12</t>
        </is>
      </c>
      <c r="B1807" t="inlineStr">
        <is>
          <t>铁矿石</t>
        </is>
      </c>
      <c r="C1807" t="inlineStr">
        <is>
          <t>空</t>
        </is>
      </c>
      <c r="D1807" t="n">
        <v>3</v>
      </c>
      <c r="E1807" t="n">
        <v>6</v>
      </c>
      <c r="F1807" t="inlineStr">
        <is>
          <t>不做</t>
        </is>
      </c>
      <c r="H1807" t="n">
        <v>697</v>
      </c>
      <c r="J1807" t="n">
        <v>0</v>
      </c>
      <c r="K1807" t="inlineStr">
        <is>
          <t>组合风险已近10%，预算缩小</t>
        </is>
      </c>
    </row>
    <row r="1808">
      <c r="A1808" t="inlineStr">
        <is>
          <t>2023-05-15</t>
        </is>
      </c>
      <c r="B1808" t="inlineStr">
        <is>
          <t>聚丙烯</t>
        </is>
      </c>
      <c r="C1808" t="inlineStr">
        <is>
          <t>空</t>
        </is>
      </c>
      <c r="D1808" t="n">
        <v>3</v>
      </c>
      <c r="E1808" t="n">
        <v>6</v>
      </c>
      <c r="F1808" t="inlineStr">
        <is>
          <t>开仓</t>
        </is>
      </c>
      <c r="G1808" t="n">
        <v>20</v>
      </c>
      <c r="H1808" t="n">
        <v>7131</v>
      </c>
      <c r="I1808" t="n">
        <v>7409.14</v>
      </c>
      <c r="J1808" t="n">
        <v>2.85</v>
      </c>
      <c r="K1808" t="inlineStr">
        <is>
          <t>¼凯利</t>
        </is>
      </c>
    </row>
    <row r="1809">
      <c r="A1809" t="inlineStr">
        <is>
          <t>2023-05-15</t>
        </is>
      </c>
      <c r="B1809" t="inlineStr">
        <is>
          <t>玉米</t>
        </is>
      </c>
      <c r="C1809" t="inlineStr">
        <is>
          <t>空</t>
        </is>
      </c>
      <c r="D1809" t="n">
        <v>2</v>
      </c>
      <c r="E1809" t="n">
        <v>5</v>
      </c>
      <c r="F1809" t="inlineStr">
        <is>
          <t>续持</t>
        </is>
      </c>
      <c r="G1809" t="n">
        <v>27</v>
      </c>
      <c r="H1809" t="n">
        <v>2533</v>
      </c>
      <c r="I1809" t="n">
        <v>2609</v>
      </c>
      <c r="J1809" t="n">
        <v>2.76</v>
      </c>
      <c r="K1809" t="inlineStr">
        <is>
          <t>续持原仓（2023-05-10开）</t>
        </is>
      </c>
    </row>
    <row r="1810">
      <c r="A1810" t="inlineStr">
        <is>
          <t>2023-05-15</t>
        </is>
      </c>
      <c r="B1810" t="inlineStr">
        <is>
          <t>热卷</t>
        </is>
      </c>
      <c r="C1810" t="inlineStr">
        <is>
          <t>空</t>
        </is>
      </c>
      <c r="D1810" t="n">
        <v>2</v>
      </c>
      <c r="E1810" t="n">
        <v>5</v>
      </c>
      <c r="F1810" t="inlineStr">
        <is>
          <t>观望</t>
        </is>
      </c>
      <c r="G1810" t="n">
        <v>3</v>
      </c>
      <c r="H1810" t="n">
        <v>3732</v>
      </c>
      <c r="I1810" t="n">
        <v>4003.71</v>
      </c>
      <c r="J1810" t="n">
        <v>1</v>
      </c>
      <c r="K1810" t="inlineStr">
        <is>
          <t>逆5日线（收盘在5日线上，不追空）</t>
        </is>
      </c>
    </row>
    <row r="1811">
      <c r="A1811" t="inlineStr">
        <is>
          <t>2023-05-15</t>
        </is>
      </c>
      <c r="B1811" t="inlineStr">
        <is>
          <t>硅铁</t>
        </is>
      </c>
      <c r="C1811" t="inlineStr">
        <is>
          <t>空</t>
        </is>
      </c>
      <c r="D1811" t="n">
        <v>2</v>
      </c>
      <c r="E1811" t="n">
        <v>5</v>
      </c>
      <c r="F1811" t="inlineStr">
        <is>
          <t>观望</t>
        </is>
      </c>
      <c r="G1811" t="n">
        <v>5</v>
      </c>
      <c r="H1811" t="n">
        <v>7510</v>
      </c>
      <c r="I1811" t="n">
        <v>7883.71</v>
      </c>
      <c r="J1811" t="n">
        <v>1</v>
      </c>
      <c r="K1811" t="inlineStr">
        <is>
          <t>逆5日线（收盘在5日线上，不追空）</t>
        </is>
      </c>
    </row>
    <row r="1812">
      <c r="A1812" t="inlineStr">
        <is>
          <t>2023-05-15</t>
        </is>
      </c>
      <c r="B1812" t="inlineStr">
        <is>
          <t>沪铜</t>
        </is>
      </c>
      <c r="C1812" t="inlineStr">
        <is>
          <t>空</t>
        </is>
      </c>
      <c r="D1812" t="n">
        <v>2</v>
      </c>
      <c r="E1812" t="n">
        <v>5</v>
      </c>
      <c r="F1812" t="inlineStr">
        <is>
          <t>不做</t>
        </is>
      </c>
      <c r="H1812" t="n">
        <v>64980</v>
      </c>
      <c r="J1812" t="n">
        <v>1</v>
      </c>
      <c r="K1812" t="inlineStr">
        <is>
          <t>1手风险15161元超过预算10000元</t>
        </is>
      </c>
    </row>
    <row r="1813">
      <c r="A1813" t="inlineStr">
        <is>
          <t>2023-05-15</t>
        </is>
      </c>
      <c r="B1813" t="inlineStr">
        <is>
          <t>沪金</t>
        </is>
      </c>
      <c r="C1813" t="inlineStr">
        <is>
          <t>多</t>
        </is>
      </c>
      <c r="D1813" t="n">
        <v>2</v>
      </c>
      <c r="E1813" t="n">
        <v>4</v>
      </c>
      <c r="F1813" t="inlineStr">
        <is>
          <t>观望</t>
        </is>
      </c>
      <c r="H1813" t="n">
        <v>453.42</v>
      </c>
      <c r="J1813" t="n">
        <v>1</v>
      </c>
      <c r="K1813" t="inlineStr">
        <is>
          <t>逆5日线（收盘在5日线下，不追多）</t>
        </is>
      </c>
    </row>
    <row r="1814">
      <c r="A1814" t="inlineStr">
        <is>
          <t>2023-05-16</t>
        </is>
      </c>
      <c r="B1814" t="inlineStr">
        <is>
          <t>沪锌</t>
        </is>
      </c>
      <c r="C1814" t="inlineStr">
        <is>
          <t>空</t>
        </is>
      </c>
      <c r="D1814" t="n">
        <v>3</v>
      </c>
      <c r="E1814" t="n">
        <v>7</v>
      </c>
      <c r="F1814" t="inlineStr">
        <is>
          <t>开仓</t>
        </is>
      </c>
      <c r="G1814" t="n">
        <v>5</v>
      </c>
      <c r="H1814" t="n">
        <v>20605</v>
      </c>
      <c r="I1814" t="n">
        <v>21762.14</v>
      </c>
      <c r="J1814" t="n">
        <v>2.95</v>
      </c>
      <c r="K1814" t="inlineStr">
        <is>
          <t>¼凯利</t>
        </is>
      </c>
    </row>
    <row r="1815">
      <c r="A1815" t="inlineStr">
        <is>
          <t>2023-05-16</t>
        </is>
      </c>
      <c r="B1815" t="inlineStr">
        <is>
          <t>螺纹钢</t>
        </is>
      </c>
      <c r="C1815" t="inlineStr">
        <is>
          <t>空</t>
        </is>
      </c>
      <c r="D1815" t="n">
        <v>3</v>
      </c>
      <c r="E1815" t="n">
        <v>7</v>
      </c>
      <c r="F1815" t="inlineStr">
        <is>
          <t>观望</t>
        </is>
      </c>
      <c r="G1815" t="n">
        <v>5</v>
      </c>
      <c r="H1815" t="n">
        <v>3640</v>
      </c>
      <c r="I1815" t="n">
        <v>3889.86</v>
      </c>
      <c r="J1815" t="n">
        <v>1.44</v>
      </c>
      <c r="K1815" t="inlineStr">
        <is>
          <t>逆5日线（收盘在5日线上，不追空）</t>
        </is>
      </c>
    </row>
    <row r="1816">
      <c r="A1816" t="inlineStr">
        <is>
          <t>2023-05-16</t>
        </is>
      </c>
      <c r="B1816" t="inlineStr">
        <is>
          <t>铁矿石</t>
        </is>
      </c>
      <c r="C1816" t="inlineStr">
        <is>
          <t>空</t>
        </is>
      </c>
      <c r="D1816" t="n">
        <v>3</v>
      </c>
      <c r="E1816" t="n">
        <v>7</v>
      </c>
      <c r="F1816" t="inlineStr">
        <is>
          <t>观望</t>
        </is>
      </c>
      <c r="G1816" t="n">
        <v>2</v>
      </c>
      <c r="H1816" t="n">
        <v>723.5</v>
      </c>
      <c r="I1816" t="n">
        <v>786.71</v>
      </c>
      <c r="J1816" t="n">
        <v>1.44</v>
      </c>
      <c r="K1816" t="inlineStr">
        <is>
          <t>逆5日线（收盘在5日线上，不追空）</t>
        </is>
      </c>
    </row>
    <row r="1817">
      <c r="A1817" t="inlineStr">
        <is>
          <t>2023-05-16</t>
        </is>
      </c>
      <c r="B1817" t="inlineStr">
        <is>
          <t>硅铁</t>
        </is>
      </c>
      <c r="C1817" t="inlineStr">
        <is>
          <t>空</t>
        </is>
      </c>
      <c r="D1817" t="n">
        <v>3</v>
      </c>
      <c r="E1817" t="n">
        <v>7</v>
      </c>
      <c r="F1817" t="inlineStr">
        <is>
          <t>开仓</t>
        </is>
      </c>
      <c r="G1817" t="n">
        <v>7</v>
      </c>
      <c r="H1817" t="n">
        <v>7416</v>
      </c>
      <c r="I1817" t="n">
        <v>7777.29</v>
      </c>
      <c r="J1817" t="n">
        <v>1.44</v>
      </c>
      <c r="K1817" t="inlineStr">
        <is>
          <t>组合风险已近10%，预算缩小</t>
        </is>
      </c>
    </row>
    <row r="1818">
      <c r="A1818" t="inlineStr">
        <is>
          <t>2023-05-16</t>
        </is>
      </c>
      <c r="B1818" t="inlineStr">
        <is>
          <t>沪铝</t>
        </is>
      </c>
      <c r="C1818" t="inlineStr">
        <is>
          <t>空</t>
        </is>
      </c>
      <c r="D1818" t="n">
        <v>3</v>
      </c>
      <c r="E1818" t="n">
        <v>6</v>
      </c>
      <c r="F1818" t="inlineStr">
        <is>
          <t>观望</t>
        </is>
      </c>
      <c r="H1818" t="n">
        <v>18115</v>
      </c>
      <c r="J1818" t="n">
        <v>0</v>
      </c>
      <c r="K1818" t="inlineStr">
        <is>
          <t>逆5日线（收盘在5日线上，不追空）</t>
        </is>
      </c>
    </row>
    <row r="1819">
      <c r="A1819" t="inlineStr">
        <is>
          <t>2023-05-17</t>
        </is>
      </c>
      <c r="B1819" t="inlineStr">
        <is>
          <t>PVC</t>
        </is>
      </c>
      <c r="C1819" t="inlineStr">
        <is>
          <t>空</t>
        </is>
      </c>
      <c r="D1819" t="n">
        <v>3</v>
      </c>
      <c r="E1819" t="n">
        <v>6</v>
      </c>
      <c r="F1819" t="inlineStr">
        <is>
          <t>观望</t>
        </is>
      </c>
      <c r="G1819" t="n">
        <v>11</v>
      </c>
      <c r="H1819" t="n">
        <v>5858</v>
      </c>
      <c r="I1819" t="n">
        <v>6106.79</v>
      </c>
      <c r="J1819" t="n">
        <v>1.44</v>
      </c>
      <c r="K1819" t="inlineStr">
        <is>
          <t>逆5日线（收盘在5日线上，不追空）</t>
        </is>
      </c>
    </row>
    <row r="1820">
      <c r="A1820" t="inlineStr">
        <is>
          <t>2023-05-17</t>
        </is>
      </c>
      <c r="B1820" t="inlineStr">
        <is>
          <t>豆油</t>
        </is>
      </c>
      <c r="C1820" t="inlineStr">
        <is>
          <t>空</t>
        </is>
      </c>
      <c r="D1820" t="n">
        <v>3</v>
      </c>
      <c r="E1820" t="n">
        <v>6</v>
      </c>
      <c r="F1820" t="inlineStr">
        <is>
          <t>开仓</t>
        </is>
      </c>
      <c r="G1820" t="n">
        <v>2</v>
      </c>
      <c r="H1820" t="n">
        <v>7148</v>
      </c>
      <c r="I1820" t="n">
        <v>7643.86</v>
      </c>
      <c r="J1820" t="n">
        <v>1.44</v>
      </c>
      <c r="K1820" t="inlineStr">
        <is>
          <t>组合风险已近10%，预算缩小</t>
        </is>
      </c>
    </row>
    <row r="1821">
      <c r="A1821" t="inlineStr">
        <is>
          <t>2023-05-17</t>
        </is>
      </c>
      <c r="B1821" t="inlineStr">
        <is>
          <t>棕榈油</t>
        </is>
      </c>
      <c r="C1821" t="inlineStr">
        <is>
          <t>空</t>
        </is>
      </c>
      <c r="D1821" t="n">
        <v>3</v>
      </c>
      <c r="E1821" t="n">
        <v>6</v>
      </c>
      <c r="F1821" t="inlineStr">
        <is>
          <t>不做</t>
        </is>
      </c>
      <c r="H1821" t="n">
        <v>6722</v>
      </c>
      <c r="J1821" t="n">
        <v>0</v>
      </c>
      <c r="K1821" t="inlineStr">
        <is>
          <t>组合风险已近10%，预算缩小</t>
        </is>
      </c>
    </row>
    <row r="1822">
      <c r="A1822" t="inlineStr">
        <is>
          <t>2023-05-17</t>
        </is>
      </c>
      <c r="B1822" t="inlineStr">
        <is>
          <t>沪铜</t>
        </is>
      </c>
      <c r="C1822" t="inlineStr">
        <is>
          <t>空</t>
        </is>
      </c>
      <c r="D1822" t="n">
        <v>3</v>
      </c>
      <c r="E1822" t="n">
        <v>6</v>
      </c>
      <c r="F1822" t="inlineStr">
        <is>
          <t>不做</t>
        </is>
      </c>
      <c r="H1822" t="n">
        <v>64550</v>
      </c>
      <c r="J1822" t="n">
        <v>0</v>
      </c>
      <c r="K1822" t="inlineStr">
        <is>
          <t>组合风险已近10%，预算缩小</t>
        </is>
      </c>
    </row>
    <row r="1823">
      <c r="A1823" t="inlineStr">
        <is>
          <t>2023-05-17</t>
        </is>
      </c>
      <c r="B1823" t="inlineStr">
        <is>
          <t>玉米</t>
        </is>
      </c>
      <c r="C1823" t="inlineStr">
        <is>
          <t>空</t>
        </is>
      </c>
      <c r="D1823" t="n">
        <v>2</v>
      </c>
      <c r="E1823" t="n">
        <v>5</v>
      </c>
      <c r="F1823" t="inlineStr">
        <is>
          <t>观望</t>
        </is>
      </c>
      <c r="G1823" t="n">
        <v>8</v>
      </c>
      <c r="H1823" t="n">
        <v>2547</v>
      </c>
      <c r="I1823" t="n">
        <v>2660.79</v>
      </c>
      <c r="J1823" t="n">
        <v>1</v>
      </c>
      <c r="K1823" t="inlineStr">
        <is>
          <t>逆5日线（收盘在5日线上，不追空）</t>
        </is>
      </c>
    </row>
    <row r="1824">
      <c r="A1824" t="inlineStr">
        <is>
          <t>2023-05-18</t>
        </is>
      </c>
      <c r="B1824" t="inlineStr">
        <is>
          <t>棕榈油</t>
        </is>
      </c>
      <c r="C1824" t="inlineStr">
        <is>
          <t>空</t>
        </is>
      </c>
      <c r="D1824" t="n">
        <v>3</v>
      </c>
      <c r="E1824" t="n">
        <v>7</v>
      </c>
      <c r="F1824" t="inlineStr">
        <is>
          <t>不做</t>
        </is>
      </c>
      <c r="H1824" t="n">
        <v>6690</v>
      </c>
      <c r="J1824" t="n">
        <v>0</v>
      </c>
      <c r="K1824" t="inlineStr">
        <is>
          <t>组合风险已近10%，预算缩小</t>
        </is>
      </c>
    </row>
    <row r="1825">
      <c r="A1825" t="inlineStr">
        <is>
          <t>2023-05-18</t>
        </is>
      </c>
      <c r="B1825" t="inlineStr">
        <is>
          <t>菜油</t>
        </is>
      </c>
      <c r="C1825" t="inlineStr">
        <is>
          <t>空</t>
        </is>
      </c>
      <c r="D1825" t="n">
        <v>3</v>
      </c>
      <c r="E1825" t="n">
        <v>6</v>
      </c>
      <c r="F1825" t="inlineStr">
        <is>
          <t>不做</t>
        </is>
      </c>
      <c r="H1825" t="n">
        <v>7926</v>
      </c>
      <c r="J1825" t="n">
        <v>0</v>
      </c>
      <c r="K1825" t="inlineStr">
        <is>
          <t>组合风险已近10%，预算缩小</t>
        </is>
      </c>
    </row>
    <row r="1826">
      <c r="A1826" t="inlineStr">
        <is>
          <t>2023-05-18</t>
        </is>
      </c>
      <c r="B1826" t="inlineStr">
        <is>
          <t>聚丙烯</t>
        </is>
      </c>
      <c r="C1826" t="inlineStr">
        <is>
          <t>空</t>
        </is>
      </c>
      <c r="D1826" t="n">
        <v>3</v>
      </c>
      <c r="E1826" t="n">
        <v>6</v>
      </c>
      <c r="F1826" t="inlineStr">
        <is>
          <t>观望</t>
        </is>
      </c>
      <c r="H1826" t="n">
        <v>7135</v>
      </c>
      <c r="J1826" t="n">
        <v>0</v>
      </c>
      <c r="K1826" t="inlineStr">
        <is>
          <t>逆5日线（收盘在5日线上，不追空）</t>
        </is>
      </c>
    </row>
    <row r="1827">
      <c r="A1827" t="inlineStr">
        <is>
          <t>2023-05-18</t>
        </is>
      </c>
      <c r="B1827" t="inlineStr">
        <is>
          <t>铁矿石</t>
        </is>
      </c>
      <c r="C1827" t="inlineStr">
        <is>
          <t>空</t>
        </is>
      </c>
      <c r="D1827" t="n">
        <v>3</v>
      </c>
      <c r="E1827" t="n">
        <v>6</v>
      </c>
      <c r="F1827" t="inlineStr">
        <is>
          <t>观望</t>
        </is>
      </c>
      <c r="H1827" t="n">
        <v>746.5</v>
      </c>
      <c r="J1827" t="n">
        <v>0</v>
      </c>
      <c r="K1827" t="inlineStr">
        <is>
          <t>逆5日线（收盘在5日线上，不追空）</t>
        </is>
      </c>
    </row>
    <row r="1828">
      <c r="A1828" t="inlineStr">
        <is>
          <t>2023-05-18</t>
        </is>
      </c>
      <c r="B1828" t="inlineStr">
        <is>
          <t>螺纹钢</t>
        </is>
      </c>
      <c r="C1828" t="inlineStr">
        <is>
          <t>空</t>
        </is>
      </c>
      <c r="D1828" t="n">
        <v>3</v>
      </c>
      <c r="E1828" t="n">
        <v>6</v>
      </c>
      <c r="F1828" t="inlineStr">
        <is>
          <t>观望</t>
        </is>
      </c>
      <c r="H1828" t="n">
        <v>3687</v>
      </c>
      <c r="J1828" t="n">
        <v>0</v>
      </c>
      <c r="K1828" t="inlineStr">
        <is>
          <t>逆5日线（收盘在5日线上，不追空）</t>
        </is>
      </c>
    </row>
    <row r="1829">
      <c r="A1829" t="inlineStr">
        <is>
          <t>2023-05-18</t>
        </is>
      </c>
      <c r="B1829" t="inlineStr">
        <is>
          <t>PTA</t>
        </is>
      </c>
      <c r="C1829" t="inlineStr">
        <is>
          <t>多</t>
        </is>
      </c>
      <c r="D1829" t="n">
        <v>2</v>
      </c>
      <c r="E1829" t="n">
        <v>4</v>
      </c>
      <c r="F1829" t="inlineStr">
        <is>
          <t>影子仓</t>
        </is>
      </c>
      <c r="G1829" t="n">
        <v>5</v>
      </c>
      <c r="H1829" t="n">
        <v>5352</v>
      </c>
      <c r="I1829" t="n">
        <v>4984.71</v>
      </c>
      <c r="J1829" t="n">
        <v>1</v>
      </c>
      <c r="K1829" t="inlineStr">
        <is>
          <t>凯利≤0，开1%影子仓（只统计，不计入组合）</t>
        </is>
      </c>
    </row>
    <row r="1830">
      <c r="A1830" t="inlineStr">
        <is>
          <t>2023-05-19</t>
        </is>
      </c>
      <c r="B1830" t="inlineStr">
        <is>
          <t>PVC</t>
        </is>
      </c>
      <c r="C1830" t="inlineStr">
        <is>
          <t>空</t>
        </is>
      </c>
      <c r="D1830" t="n">
        <v>3</v>
      </c>
      <c r="E1830" t="n">
        <v>7</v>
      </c>
      <c r="F1830" t="inlineStr">
        <is>
          <t>不做</t>
        </is>
      </c>
      <c r="H1830" t="n">
        <v>5782</v>
      </c>
      <c r="J1830" t="n">
        <v>0</v>
      </c>
      <c r="K1830" t="inlineStr">
        <is>
          <t>组合风险已近10%，预算缩小</t>
        </is>
      </c>
    </row>
    <row r="1831">
      <c r="A1831" t="inlineStr">
        <is>
          <t>2023-05-19</t>
        </is>
      </c>
      <c r="B1831" t="inlineStr">
        <is>
          <t>沪锌</t>
        </is>
      </c>
      <c r="C1831" t="inlineStr">
        <is>
          <t>空</t>
        </is>
      </c>
      <c r="D1831" t="n">
        <v>3</v>
      </c>
      <c r="E1831" t="n">
        <v>7</v>
      </c>
      <c r="F1831" t="inlineStr">
        <is>
          <t>续持</t>
        </is>
      </c>
      <c r="G1831" t="n">
        <v>5</v>
      </c>
      <c r="H1831" t="n">
        <v>20645</v>
      </c>
      <c r="I1831" t="n">
        <v>21410.71</v>
      </c>
      <c r="J1831" t="n">
        <v>2.95</v>
      </c>
      <c r="K1831" t="inlineStr">
        <is>
          <t>续持原仓（2023-05-16开）</t>
        </is>
      </c>
    </row>
    <row r="1832">
      <c r="A1832" t="inlineStr">
        <is>
          <t>2023-05-19</t>
        </is>
      </c>
      <c r="B1832" t="inlineStr">
        <is>
          <t>纯碱</t>
        </is>
      </c>
      <c r="C1832" t="inlineStr">
        <is>
          <t>空</t>
        </is>
      </c>
      <c r="D1832" t="n">
        <v>3</v>
      </c>
      <c r="E1832" t="n">
        <v>7</v>
      </c>
      <c r="F1832" t="inlineStr">
        <is>
          <t>不做</t>
        </is>
      </c>
      <c r="H1832" t="n">
        <v>1743</v>
      </c>
      <c r="J1832" t="n">
        <v>0</v>
      </c>
      <c r="K1832" t="inlineStr">
        <is>
          <t>组合风险已近10%，预算缩小</t>
        </is>
      </c>
    </row>
    <row r="1833">
      <c r="A1833" t="inlineStr">
        <is>
          <t>2023-05-19</t>
        </is>
      </c>
      <c r="B1833" t="inlineStr">
        <is>
          <t>聚丙烯</t>
        </is>
      </c>
      <c r="C1833" t="inlineStr">
        <is>
          <t>空</t>
        </is>
      </c>
      <c r="D1833" t="n">
        <v>3</v>
      </c>
      <c r="E1833" t="n">
        <v>6</v>
      </c>
      <c r="F1833" t="inlineStr">
        <is>
          <t>续持</t>
        </is>
      </c>
      <c r="G1833" t="n">
        <v>20</v>
      </c>
      <c r="H1833" t="n">
        <v>7032</v>
      </c>
      <c r="I1833" t="n">
        <v>7282.43</v>
      </c>
      <c r="J1833" t="n">
        <v>2.85</v>
      </c>
      <c r="K1833" t="inlineStr">
        <is>
          <t>续持原仓（2023-05-15开）</t>
        </is>
      </c>
    </row>
    <row r="1834">
      <c r="A1834" t="inlineStr">
        <is>
          <t>2023-05-19</t>
        </is>
      </c>
      <c r="B1834" t="inlineStr">
        <is>
          <t>铁矿石</t>
        </is>
      </c>
      <c r="C1834" t="inlineStr">
        <is>
          <t>空</t>
        </is>
      </c>
      <c r="D1834" t="n">
        <v>3</v>
      </c>
      <c r="E1834" t="n">
        <v>6</v>
      </c>
      <c r="F1834" t="inlineStr">
        <is>
          <t>观望</t>
        </is>
      </c>
      <c r="H1834" t="n">
        <v>736</v>
      </c>
      <c r="J1834" t="n">
        <v>0</v>
      </c>
      <c r="K1834" t="inlineStr">
        <is>
          <t>逆5日线（收盘在5日线上，不追空）</t>
        </is>
      </c>
    </row>
    <row r="1835">
      <c r="A1835" t="inlineStr">
        <is>
          <t>2023-05-22</t>
        </is>
      </c>
      <c r="B1835" t="inlineStr">
        <is>
          <t>PVC</t>
        </is>
      </c>
      <c r="C1835" t="inlineStr">
        <is>
          <t>空</t>
        </is>
      </c>
      <c r="D1835" t="n">
        <v>3</v>
      </c>
      <c r="E1835" t="n">
        <v>7</v>
      </c>
      <c r="F1835" t="inlineStr">
        <is>
          <t>不做</t>
        </is>
      </c>
      <c r="H1835" t="n">
        <v>5682</v>
      </c>
      <c r="J1835" t="n">
        <v>0</v>
      </c>
      <c r="K1835" t="inlineStr">
        <is>
          <t>组合风险已近10%，预算缩小</t>
        </is>
      </c>
    </row>
    <row r="1836">
      <c r="A1836" t="inlineStr">
        <is>
          <t>2023-05-22</t>
        </is>
      </c>
      <c r="B1836" t="inlineStr">
        <is>
          <t>豆油</t>
        </is>
      </c>
      <c r="C1836" t="inlineStr">
        <is>
          <t>空</t>
        </is>
      </c>
      <c r="D1836" t="n">
        <v>3</v>
      </c>
      <c r="E1836" t="n">
        <v>7</v>
      </c>
      <c r="F1836" t="inlineStr">
        <is>
          <t>续持</t>
        </is>
      </c>
      <c r="G1836" t="n">
        <v>2</v>
      </c>
      <c r="H1836" t="n">
        <v>7040</v>
      </c>
      <c r="I1836" t="n">
        <v>7500.71</v>
      </c>
      <c r="J1836" t="n">
        <v>1.44</v>
      </c>
      <c r="K1836" t="inlineStr">
        <is>
          <t>续持原仓（2023-05-17开）</t>
        </is>
      </c>
    </row>
    <row r="1837">
      <c r="A1837" t="inlineStr">
        <is>
          <t>2023-05-22</t>
        </is>
      </c>
      <c r="B1837" t="inlineStr">
        <is>
          <t>沪锌</t>
        </is>
      </c>
      <c r="C1837" t="inlineStr">
        <is>
          <t>空</t>
        </is>
      </c>
      <c r="D1837" t="n">
        <v>3</v>
      </c>
      <c r="E1837" t="n">
        <v>7</v>
      </c>
      <c r="F1837" t="inlineStr">
        <is>
          <t>续持</t>
        </is>
      </c>
      <c r="G1837" t="n">
        <v>5</v>
      </c>
      <c r="H1837" t="n">
        <v>20140</v>
      </c>
      <c r="I1837" t="n">
        <v>21196.07</v>
      </c>
      <c r="J1837" t="n">
        <v>2.95</v>
      </c>
      <c r="K1837" t="inlineStr">
        <is>
          <t>续持原仓（2023-05-16开）</t>
        </is>
      </c>
    </row>
    <row r="1838">
      <c r="A1838" t="inlineStr">
        <is>
          <t>2023-05-22</t>
        </is>
      </c>
      <c r="B1838" t="inlineStr">
        <is>
          <t>聚丙烯</t>
        </is>
      </c>
      <c r="C1838" t="inlineStr">
        <is>
          <t>空</t>
        </is>
      </c>
      <c r="D1838" t="n">
        <v>3</v>
      </c>
      <c r="E1838" t="n">
        <v>7</v>
      </c>
      <c r="F1838" t="inlineStr">
        <is>
          <t>续持</t>
        </is>
      </c>
      <c r="G1838" t="n">
        <v>20</v>
      </c>
      <c r="H1838" t="n">
        <v>6917</v>
      </c>
      <c r="I1838" t="n">
        <v>7177.14</v>
      </c>
      <c r="J1838" t="n">
        <v>2.85</v>
      </c>
      <c r="K1838" t="inlineStr">
        <is>
          <t>续持原仓（2023-05-15开）</t>
        </is>
      </c>
    </row>
    <row r="1839">
      <c r="A1839" t="inlineStr">
        <is>
          <t>2023-05-22</t>
        </is>
      </c>
      <c r="B1839" t="inlineStr">
        <is>
          <t>沪铝</t>
        </is>
      </c>
      <c r="C1839" t="inlineStr">
        <is>
          <t>空</t>
        </is>
      </c>
      <c r="D1839" t="n">
        <v>3</v>
      </c>
      <c r="E1839" t="n">
        <v>7</v>
      </c>
      <c r="F1839" t="inlineStr">
        <is>
          <t>不做</t>
        </is>
      </c>
      <c r="H1839" t="n">
        <v>18005</v>
      </c>
      <c r="J1839" t="n">
        <v>0</v>
      </c>
      <c r="K1839" t="inlineStr">
        <is>
          <t>组合风险已近10%，预算缩小</t>
        </is>
      </c>
    </row>
    <row r="1840">
      <c r="A1840" t="inlineStr">
        <is>
          <t>2023-05-23</t>
        </is>
      </c>
      <c r="B1840" t="inlineStr">
        <is>
          <t>乙二醇</t>
        </is>
      </c>
      <c r="C1840" t="inlineStr">
        <is>
          <t>空</t>
        </is>
      </c>
      <c r="D1840" t="n">
        <v>3</v>
      </c>
      <c r="E1840" t="n">
        <v>7</v>
      </c>
      <c r="F1840" t="inlineStr">
        <is>
          <t>开仓</t>
        </is>
      </c>
      <c r="G1840" t="n">
        <v>10</v>
      </c>
      <c r="H1840" t="n">
        <v>4124</v>
      </c>
      <c r="I1840" t="n">
        <v>4395.07</v>
      </c>
      <c r="J1840" t="n">
        <v>2.95</v>
      </c>
      <c r="K1840" t="inlineStr">
        <is>
          <t>组合风险已近10%，预算缩小</t>
        </is>
      </c>
    </row>
    <row r="1841">
      <c r="A1841" t="inlineStr">
        <is>
          <t>2023-05-23</t>
        </is>
      </c>
      <c r="B1841" t="inlineStr">
        <is>
          <t>尿素</t>
        </is>
      </c>
      <c r="C1841" t="inlineStr">
        <is>
          <t>空</t>
        </is>
      </c>
      <c r="D1841" t="n">
        <v>3</v>
      </c>
      <c r="E1841" t="n">
        <v>7</v>
      </c>
      <c r="F1841" t="inlineStr">
        <is>
          <t>不做</t>
        </is>
      </c>
      <c r="H1841" t="n">
        <v>1663</v>
      </c>
      <c r="J1841" t="n">
        <v>0</v>
      </c>
      <c r="K1841" t="inlineStr">
        <is>
          <t>组合风险已近10%，预算缩小</t>
        </is>
      </c>
    </row>
    <row r="1842">
      <c r="A1842" t="inlineStr">
        <is>
          <t>2023-05-23</t>
        </is>
      </c>
      <c r="B1842" t="inlineStr">
        <is>
          <t>白糖</t>
        </is>
      </c>
      <c r="C1842" t="inlineStr">
        <is>
          <t>多</t>
        </is>
      </c>
      <c r="D1842" t="n">
        <v>3</v>
      </c>
      <c r="E1842" t="n">
        <v>7</v>
      </c>
      <c r="F1842" t="inlineStr">
        <is>
          <t>续持</t>
        </is>
      </c>
      <c r="G1842" t="n">
        <v>2</v>
      </c>
      <c r="H1842" t="n">
        <v>7122</v>
      </c>
      <c r="I1842" t="n">
        <v>6823.86</v>
      </c>
      <c r="J1842" t="n">
        <v>1</v>
      </c>
      <c r="K1842" t="inlineStr">
        <is>
          <t>续持原仓（2023-05-08开）</t>
        </is>
      </c>
    </row>
    <row r="1843">
      <c r="A1843" t="inlineStr">
        <is>
          <t>2023-05-23</t>
        </is>
      </c>
      <c r="B1843" t="inlineStr">
        <is>
          <t>菜油</t>
        </is>
      </c>
      <c r="C1843" t="inlineStr">
        <is>
          <t>空</t>
        </is>
      </c>
      <c r="D1843" t="n">
        <v>3</v>
      </c>
      <c r="E1843" t="n">
        <v>6</v>
      </c>
      <c r="F1843" t="inlineStr">
        <is>
          <t>不做</t>
        </is>
      </c>
      <c r="H1843" t="n">
        <v>7642</v>
      </c>
      <c r="J1843" t="n">
        <v>0</v>
      </c>
      <c r="K1843" t="inlineStr">
        <is>
          <t>组合风险已近10%，预算缩小</t>
        </is>
      </c>
    </row>
    <row r="1844">
      <c r="A1844" t="inlineStr">
        <is>
          <t>2023-05-23</t>
        </is>
      </c>
      <c r="B1844" t="inlineStr">
        <is>
          <t>聚丙烯</t>
        </is>
      </c>
      <c r="C1844" t="inlineStr">
        <is>
          <t>空</t>
        </is>
      </c>
      <c r="D1844" t="n">
        <v>3</v>
      </c>
      <c r="E1844" t="n">
        <v>6</v>
      </c>
      <c r="F1844" t="inlineStr">
        <is>
          <t>续持</t>
        </is>
      </c>
      <c r="G1844" t="n">
        <v>20</v>
      </c>
      <c r="H1844" t="n">
        <v>6886</v>
      </c>
      <c r="I1844" t="n">
        <v>7163.29</v>
      </c>
      <c r="J1844" t="n">
        <v>2.85</v>
      </c>
      <c r="K1844" t="inlineStr">
        <is>
          <t>续持原仓（2023-05-15开）</t>
        </is>
      </c>
    </row>
    <row r="1845">
      <c r="A1845" t="inlineStr">
        <is>
          <t>2023-05-23</t>
        </is>
      </c>
      <c r="B1845" t="inlineStr">
        <is>
          <t>沪铝</t>
        </is>
      </c>
      <c r="C1845" t="inlineStr">
        <is>
          <t>空</t>
        </is>
      </c>
      <c r="D1845" t="n">
        <v>2</v>
      </c>
      <c r="E1845" t="n">
        <v>5</v>
      </c>
      <c r="F1845" t="inlineStr">
        <is>
          <t>影子仓</t>
        </is>
      </c>
      <c r="G1845" t="n">
        <v>2</v>
      </c>
      <c r="H1845" t="n">
        <v>17965</v>
      </c>
      <c r="I1845" t="n">
        <v>18712.86</v>
      </c>
      <c r="J1845" t="n">
        <v>1</v>
      </c>
      <c r="K1845" t="inlineStr">
        <is>
          <t>凯利≤0，开1%影子仓（只统计，不计入组合）</t>
        </is>
      </c>
    </row>
    <row r="1846">
      <c r="A1846" t="inlineStr">
        <is>
          <t>2023-05-24</t>
        </is>
      </c>
      <c r="B1846" t="inlineStr">
        <is>
          <t>沪铝</t>
        </is>
      </c>
      <c r="C1846" t="inlineStr">
        <is>
          <t>空</t>
        </is>
      </c>
      <c r="D1846" t="n">
        <v>3</v>
      </c>
      <c r="E1846" t="n">
        <v>7</v>
      </c>
      <c r="F1846" t="inlineStr">
        <is>
          <t>续持</t>
        </is>
      </c>
      <c r="G1846" t="n">
        <v>2</v>
      </c>
      <c r="H1846" t="n">
        <v>17550</v>
      </c>
      <c r="I1846" t="n">
        <v>18296.07</v>
      </c>
      <c r="J1846" t="n">
        <v>1</v>
      </c>
      <c r="K1846" t="inlineStr">
        <is>
          <t>续持原仓（2023-05-23开）</t>
        </is>
      </c>
    </row>
    <row r="1847">
      <c r="A1847" t="inlineStr">
        <is>
          <t>2023-05-24</t>
        </is>
      </c>
      <c r="B1847" t="inlineStr">
        <is>
          <t>PVC</t>
        </is>
      </c>
      <c r="C1847" t="inlineStr">
        <is>
          <t>空</t>
        </is>
      </c>
      <c r="D1847" t="n">
        <v>3</v>
      </c>
      <c r="E1847" t="n">
        <v>7</v>
      </c>
      <c r="F1847" t="inlineStr">
        <is>
          <t>开仓</t>
        </is>
      </c>
      <c r="G1847" t="n">
        <v>23</v>
      </c>
      <c r="H1847" t="n">
        <v>5638</v>
      </c>
      <c r="I1847" t="n">
        <v>5888.29</v>
      </c>
      <c r="J1847" t="n">
        <v>3</v>
      </c>
      <c r="K1847" t="inlineStr">
        <is>
          <t>¼凯利超上限，取3%</t>
        </is>
      </c>
    </row>
    <row r="1848">
      <c r="A1848" t="inlineStr">
        <is>
          <t>2023-05-24</t>
        </is>
      </c>
      <c r="B1848" t="inlineStr">
        <is>
          <t>尿素</t>
        </is>
      </c>
      <c r="C1848" t="inlineStr">
        <is>
          <t>空</t>
        </is>
      </c>
      <c r="D1848" t="n">
        <v>3</v>
      </c>
      <c r="E1848" t="n">
        <v>7</v>
      </c>
      <c r="F1848" t="inlineStr">
        <is>
          <t>开仓</t>
        </is>
      </c>
      <c r="G1848" t="n">
        <v>9</v>
      </c>
      <c r="H1848" t="n">
        <v>1658</v>
      </c>
      <c r="I1848" t="n">
        <v>1802.21</v>
      </c>
      <c r="J1848" t="n">
        <v>2.8</v>
      </c>
      <c r="K1848" t="inlineStr">
        <is>
          <t>组合风险已近10%，预算缩小</t>
        </is>
      </c>
    </row>
    <row r="1849">
      <c r="A1849" t="inlineStr">
        <is>
          <t>2023-05-24</t>
        </is>
      </c>
      <c r="B1849" t="inlineStr">
        <is>
          <t>棕榈油</t>
        </is>
      </c>
      <c r="C1849" t="inlineStr">
        <is>
          <t>空</t>
        </is>
      </c>
      <c r="D1849" t="n">
        <v>3</v>
      </c>
      <c r="E1849" t="n">
        <v>7</v>
      </c>
      <c r="F1849" t="inlineStr">
        <is>
          <t>不做</t>
        </is>
      </c>
      <c r="H1849" t="n">
        <v>6608</v>
      </c>
      <c r="J1849" t="n">
        <v>0</v>
      </c>
      <c r="K1849" t="inlineStr">
        <is>
          <t>组合风险已近10%，预算缩小</t>
        </is>
      </c>
    </row>
    <row r="1850">
      <c r="A1850" t="inlineStr">
        <is>
          <t>2023-05-24</t>
        </is>
      </c>
      <c r="B1850" t="inlineStr">
        <is>
          <t>螺纹钢</t>
        </is>
      </c>
      <c r="C1850" t="inlineStr">
        <is>
          <t>空</t>
        </is>
      </c>
      <c r="D1850" t="n">
        <v>3</v>
      </c>
      <c r="E1850" t="n">
        <v>7</v>
      </c>
      <c r="F1850" t="inlineStr">
        <is>
          <t>不做</t>
        </is>
      </c>
      <c r="H1850" t="n">
        <v>3466</v>
      </c>
      <c r="J1850" t="n">
        <v>0</v>
      </c>
      <c r="K1850" t="inlineStr">
        <is>
          <t>组合风险已近10%，预算缩小</t>
        </is>
      </c>
    </row>
    <row r="1851">
      <c r="A1851" t="inlineStr">
        <is>
          <t>2023-05-25</t>
        </is>
      </c>
      <c r="B1851" t="inlineStr">
        <is>
          <t>纯碱</t>
        </is>
      </c>
      <c r="C1851" t="inlineStr">
        <is>
          <t>空</t>
        </is>
      </c>
      <c r="D1851" t="n">
        <v>3</v>
      </c>
      <c r="E1851" t="n">
        <v>7</v>
      </c>
      <c r="F1851" t="inlineStr">
        <is>
          <t>开仓</t>
        </is>
      </c>
      <c r="G1851" t="n">
        <v>6</v>
      </c>
      <c r="H1851" t="n">
        <v>1570</v>
      </c>
      <c r="I1851" t="n">
        <v>1788.79</v>
      </c>
      <c r="J1851" t="n">
        <v>3</v>
      </c>
      <c r="K1851" t="inlineStr">
        <is>
          <t>¼凯利超上限，取3%</t>
        </is>
      </c>
    </row>
    <row r="1852">
      <c r="A1852" t="inlineStr">
        <is>
          <t>2023-05-25</t>
        </is>
      </c>
      <c r="B1852" t="inlineStr">
        <is>
          <t>苯乙烯</t>
        </is>
      </c>
      <c r="C1852" t="inlineStr">
        <is>
          <t>多</t>
        </is>
      </c>
      <c r="D1852" t="n">
        <v>2</v>
      </c>
      <c r="E1852" t="n">
        <v>5</v>
      </c>
      <c r="F1852" t="inlineStr">
        <is>
          <t>观望</t>
        </is>
      </c>
      <c r="G1852" t="n">
        <v>3</v>
      </c>
      <c r="H1852" t="n">
        <v>7563</v>
      </c>
      <c r="I1852" t="n">
        <v>7010.79</v>
      </c>
      <c r="J1852" t="n">
        <v>1</v>
      </c>
      <c r="K1852" t="inlineStr">
        <is>
          <t>逆5日线（收盘在5日线下，不追多）</t>
        </is>
      </c>
    </row>
    <row r="1853">
      <c r="A1853" t="inlineStr">
        <is>
          <t>2023-05-25</t>
        </is>
      </c>
      <c r="B1853" t="inlineStr">
        <is>
          <t>沪铝</t>
        </is>
      </c>
      <c r="C1853" t="inlineStr">
        <is>
          <t>多</t>
        </is>
      </c>
      <c r="D1853" t="n">
        <v>2</v>
      </c>
      <c r="E1853" t="n">
        <v>5</v>
      </c>
      <c r="F1853" t="inlineStr">
        <is>
          <t>观望</t>
        </is>
      </c>
      <c r="G1853" t="n">
        <v>2</v>
      </c>
      <c r="H1853" t="n">
        <v>17650</v>
      </c>
      <c r="I1853" t="n">
        <v>16832.5</v>
      </c>
      <c r="J1853" t="n">
        <v>1</v>
      </c>
      <c r="K1853" t="inlineStr">
        <is>
          <t>逆5日线（收盘在5日线下，不追多）</t>
        </is>
      </c>
    </row>
    <row r="1854">
      <c r="A1854" t="inlineStr">
        <is>
          <t>2023-05-26</t>
        </is>
      </c>
      <c r="B1854" t="inlineStr">
        <is>
          <t>尿素</t>
        </is>
      </c>
      <c r="C1854" t="inlineStr">
        <is>
          <t>空</t>
        </is>
      </c>
      <c r="D1854" t="n">
        <v>3</v>
      </c>
      <c r="E1854" t="n">
        <v>7</v>
      </c>
      <c r="F1854" t="inlineStr">
        <is>
          <t>开仓</t>
        </is>
      </c>
      <c r="G1854" t="n">
        <v>9</v>
      </c>
      <c r="H1854" t="n">
        <v>1662</v>
      </c>
      <c r="I1854" t="n">
        <v>1810.29</v>
      </c>
      <c r="J1854" t="n">
        <v>2.93</v>
      </c>
      <c r="K1854" t="inlineStr">
        <is>
          <t>¼凯利</t>
        </is>
      </c>
    </row>
    <row r="1855">
      <c r="A1855" t="inlineStr">
        <is>
          <t>2023-05-26</t>
        </is>
      </c>
      <c r="B1855" t="inlineStr">
        <is>
          <t>聚丙烯</t>
        </is>
      </c>
      <c r="C1855" t="inlineStr">
        <is>
          <t>空</t>
        </is>
      </c>
      <c r="D1855" t="n">
        <v>3</v>
      </c>
      <c r="E1855" t="n">
        <v>7</v>
      </c>
      <c r="F1855" t="inlineStr">
        <is>
          <t>观望</t>
        </is>
      </c>
      <c r="G1855" t="n">
        <v>19</v>
      </c>
      <c r="H1855" t="n">
        <v>6944</v>
      </c>
      <c r="I1855" t="n">
        <v>7238.43</v>
      </c>
      <c r="J1855" t="n">
        <v>2.93</v>
      </c>
      <c r="K1855" t="inlineStr">
        <is>
          <t>逆5日线（收盘在5日线上，不追空）</t>
        </is>
      </c>
    </row>
    <row r="1856">
      <c r="A1856" t="inlineStr">
        <is>
          <t>2023-05-26</t>
        </is>
      </c>
      <c r="B1856" t="inlineStr">
        <is>
          <t>锰硅</t>
        </is>
      </c>
      <c r="C1856" t="inlineStr">
        <is>
          <t>空</t>
        </is>
      </c>
      <c r="D1856" t="n">
        <v>2</v>
      </c>
      <c r="E1856" t="n">
        <v>5</v>
      </c>
      <c r="F1856" t="inlineStr">
        <is>
          <t>影子仓</t>
        </is>
      </c>
      <c r="G1856" t="n">
        <v>7</v>
      </c>
      <c r="H1856" t="n">
        <v>6640</v>
      </c>
      <c r="I1856" t="n">
        <v>6910</v>
      </c>
      <c r="J1856" t="n">
        <v>1</v>
      </c>
      <c r="K1856" t="inlineStr">
        <is>
          <t>凯利≤0，开1%影子仓（只统计，不计入组合）</t>
        </is>
      </c>
    </row>
    <row r="1857">
      <c r="A1857" t="inlineStr">
        <is>
          <t>2023-05-26</t>
        </is>
      </c>
      <c r="B1857" t="inlineStr">
        <is>
          <t>沪铝</t>
        </is>
      </c>
      <c r="C1857" t="inlineStr">
        <is>
          <t>多</t>
        </is>
      </c>
      <c r="D1857" t="n">
        <v>2</v>
      </c>
      <c r="E1857" t="n">
        <v>5</v>
      </c>
      <c r="F1857" t="inlineStr">
        <is>
          <t>影子仓</t>
        </is>
      </c>
      <c r="G1857" t="n">
        <v>2</v>
      </c>
      <c r="H1857" t="n">
        <v>18185</v>
      </c>
      <c r="I1857" t="n">
        <v>17261.43</v>
      </c>
      <c r="J1857" t="n">
        <v>1</v>
      </c>
      <c r="K1857" t="inlineStr">
        <is>
          <t>凯利≤0，开1%影子仓（只统计，不计入组合）</t>
        </is>
      </c>
    </row>
    <row r="1858">
      <c r="A1858" t="inlineStr">
        <is>
          <t>2023-05-29</t>
        </is>
      </c>
      <c r="B1858" t="inlineStr">
        <is>
          <t>玻璃</t>
        </is>
      </c>
      <c r="C1858" t="inlineStr">
        <is>
          <t>空</t>
        </is>
      </c>
      <c r="D1858" t="n">
        <v>3</v>
      </c>
      <c r="E1858" t="n">
        <v>6</v>
      </c>
      <c r="F1858" t="inlineStr">
        <is>
          <t>开仓</t>
        </is>
      </c>
      <c r="G1858" t="n">
        <v>8</v>
      </c>
      <c r="H1858" t="n">
        <v>1462</v>
      </c>
      <c r="I1858" t="n">
        <v>1633.64</v>
      </c>
      <c r="J1858" t="n">
        <v>2.88</v>
      </c>
      <c r="K1858" t="inlineStr">
        <is>
          <t>¼凯利</t>
        </is>
      </c>
    </row>
    <row r="1859">
      <c r="A1859" t="inlineStr">
        <is>
          <t>2023-05-29</t>
        </is>
      </c>
      <c r="B1859" t="inlineStr">
        <is>
          <t>纯碱</t>
        </is>
      </c>
      <c r="C1859" t="inlineStr">
        <is>
          <t>空</t>
        </is>
      </c>
      <c r="D1859" t="n">
        <v>2</v>
      </c>
      <c r="E1859" t="n">
        <v>5</v>
      </c>
      <c r="F1859" t="inlineStr">
        <is>
          <t>观望</t>
        </is>
      </c>
      <c r="G1859" t="n">
        <v>2</v>
      </c>
      <c r="H1859" t="n">
        <v>1691</v>
      </c>
      <c r="I1859" t="n">
        <v>1915.14</v>
      </c>
      <c r="J1859" t="n">
        <v>1</v>
      </c>
      <c r="K1859" t="inlineStr">
        <is>
          <t>逆5日线（收盘在5日线上，不追空）</t>
        </is>
      </c>
    </row>
    <row r="1860">
      <c r="A1860" t="inlineStr">
        <is>
          <t>2023-05-29</t>
        </is>
      </c>
      <c r="B1860" t="inlineStr">
        <is>
          <t>PTA</t>
        </is>
      </c>
      <c r="C1860" t="inlineStr">
        <is>
          <t>多</t>
        </is>
      </c>
      <c r="D1860" t="n">
        <v>2</v>
      </c>
      <c r="E1860" t="n">
        <v>5</v>
      </c>
      <c r="F1860" t="inlineStr">
        <is>
          <t>续持</t>
        </is>
      </c>
      <c r="G1860" t="n">
        <v>5</v>
      </c>
      <c r="H1860" t="n">
        <v>5468</v>
      </c>
      <c r="I1860" t="n">
        <v>5115</v>
      </c>
      <c r="J1860" t="n">
        <v>1</v>
      </c>
      <c r="K1860" t="inlineStr">
        <is>
          <t>续持原仓（2023-05-18开）</t>
        </is>
      </c>
    </row>
    <row r="1861">
      <c r="A1861" t="inlineStr">
        <is>
          <t>2023-05-29</t>
        </is>
      </c>
      <c r="B1861" t="inlineStr">
        <is>
          <t>锰硅</t>
        </is>
      </c>
      <c r="C1861" t="inlineStr">
        <is>
          <t>空</t>
        </is>
      </c>
      <c r="D1861" t="n">
        <v>2</v>
      </c>
      <c r="E1861" t="n">
        <v>4</v>
      </c>
      <c r="F1861" t="inlineStr">
        <is>
          <t>观望</t>
        </is>
      </c>
      <c r="G1861" t="n">
        <v>7</v>
      </c>
      <c r="H1861" t="n">
        <v>6680</v>
      </c>
      <c r="I1861" t="n">
        <v>6952.57</v>
      </c>
      <c r="J1861" t="n">
        <v>1</v>
      </c>
      <c r="K1861" t="inlineStr">
        <is>
          <t>逆5日线（收盘在5日线上，不追空）</t>
        </is>
      </c>
    </row>
    <row r="1862">
      <c r="A1862" t="inlineStr">
        <is>
          <t>2023-05-29</t>
        </is>
      </c>
      <c r="B1862" t="inlineStr">
        <is>
          <t>热卷</t>
        </is>
      </c>
      <c r="C1862" t="inlineStr">
        <is>
          <t>空</t>
        </is>
      </c>
      <c r="D1862" t="n">
        <v>2</v>
      </c>
      <c r="E1862" t="n">
        <v>4</v>
      </c>
      <c r="F1862" t="inlineStr">
        <is>
          <t>观望</t>
        </is>
      </c>
      <c r="G1862" t="n">
        <v>3</v>
      </c>
      <c r="H1862" t="n">
        <v>3617</v>
      </c>
      <c r="I1862" t="n">
        <v>3887.86</v>
      </c>
      <c r="J1862" t="n">
        <v>1</v>
      </c>
      <c r="K1862" t="inlineStr">
        <is>
          <t>逆5日线（收盘在5日线上，不追空）</t>
        </is>
      </c>
    </row>
    <row r="1863">
      <c r="A1863" t="inlineStr">
        <is>
          <t>2023-05-29</t>
        </is>
      </c>
      <c r="B1863" t="inlineStr">
        <is>
          <t>豆粕</t>
        </is>
      </c>
      <c r="C1863" t="inlineStr">
        <is>
          <t>空</t>
        </is>
      </c>
      <c r="D1863" t="n">
        <v>2</v>
      </c>
      <c r="E1863" t="n">
        <v>4</v>
      </c>
      <c r="F1863" t="inlineStr">
        <is>
          <t>影子仓</t>
        </is>
      </c>
      <c r="G1863" t="n">
        <v>4</v>
      </c>
      <c r="H1863" t="n">
        <v>3424</v>
      </c>
      <c r="I1863" t="n">
        <v>3624.14</v>
      </c>
      <c r="J1863" t="n">
        <v>1</v>
      </c>
      <c r="K1863" t="inlineStr">
        <is>
          <t>凯利≤0，开1%影子仓（只统计，不计入组合）</t>
        </is>
      </c>
    </row>
    <row r="1864">
      <c r="A1864" t="inlineStr">
        <is>
          <t>2023-05-30</t>
        </is>
      </c>
      <c r="B1864" t="inlineStr">
        <is>
          <t>纯碱</t>
        </is>
      </c>
      <c r="C1864" t="inlineStr">
        <is>
          <t>空</t>
        </is>
      </c>
      <c r="D1864" t="n">
        <v>3</v>
      </c>
      <c r="E1864" t="n">
        <v>7</v>
      </c>
      <c r="F1864" t="inlineStr">
        <is>
          <t>开仓</t>
        </is>
      </c>
      <c r="G1864" t="n">
        <v>6</v>
      </c>
      <c r="H1864" t="n">
        <v>1603</v>
      </c>
      <c r="I1864" t="n">
        <v>1839.14</v>
      </c>
      <c r="J1864" t="n">
        <v>2.88</v>
      </c>
      <c r="K1864" t="inlineStr">
        <is>
          <t>¼凯利</t>
        </is>
      </c>
    </row>
    <row r="1865">
      <c r="A1865" t="inlineStr">
        <is>
          <t>2023-05-30</t>
        </is>
      </c>
      <c r="B1865" t="inlineStr">
        <is>
          <t>沪银</t>
        </is>
      </c>
      <c r="C1865" t="inlineStr">
        <is>
          <t>空</t>
        </is>
      </c>
      <c r="D1865" t="n">
        <v>3</v>
      </c>
      <c r="E1865" t="n">
        <v>7</v>
      </c>
      <c r="F1865" t="inlineStr">
        <is>
          <t>开仓</t>
        </is>
      </c>
      <c r="G1865" t="n">
        <v>6</v>
      </c>
      <c r="H1865" t="n">
        <v>5354</v>
      </c>
      <c r="I1865" t="n">
        <v>5657.64</v>
      </c>
      <c r="J1865" t="n">
        <v>2.8</v>
      </c>
      <c r="K1865" t="inlineStr">
        <is>
          <t>组合风险已近10%，预算缩小</t>
        </is>
      </c>
    </row>
    <row r="1866">
      <c r="A1866" t="inlineStr">
        <is>
          <t>2023-05-30</t>
        </is>
      </c>
      <c r="B1866" t="inlineStr">
        <is>
          <t>玉米</t>
        </is>
      </c>
      <c r="C1866" t="inlineStr">
        <is>
          <t>多</t>
        </is>
      </c>
      <c r="D1866" t="n">
        <v>3</v>
      </c>
      <c r="E1866" t="n">
        <v>6</v>
      </c>
      <c r="F1866" t="inlineStr">
        <is>
          <t>不做</t>
        </is>
      </c>
      <c r="H1866" t="n">
        <v>2631</v>
      </c>
      <c r="J1866" t="n">
        <v>0</v>
      </c>
      <c r="K1866" t="inlineStr">
        <is>
          <t>组合风险已近10%，预算缩小</t>
        </is>
      </c>
    </row>
    <row r="1867">
      <c r="A1867" t="inlineStr">
        <is>
          <t>2023-05-30</t>
        </is>
      </c>
      <c r="B1867" t="inlineStr">
        <is>
          <t>热卷</t>
        </is>
      </c>
      <c r="C1867" t="inlineStr">
        <is>
          <t>空</t>
        </is>
      </c>
      <c r="D1867" t="n">
        <v>3</v>
      </c>
      <c r="E1867" t="n">
        <v>6</v>
      </c>
      <c r="F1867" t="inlineStr">
        <is>
          <t>不做</t>
        </is>
      </c>
      <c r="H1867" t="n">
        <v>3572</v>
      </c>
      <c r="J1867" t="n">
        <v>0</v>
      </c>
      <c r="K1867" t="inlineStr">
        <is>
          <t>组合风险已近10%，预算缩小</t>
        </is>
      </c>
    </row>
    <row r="1868">
      <c r="A1868" t="inlineStr">
        <is>
          <t>2023-05-30</t>
        </is>
      </c>
      <c r="B1868" t="inlineStr">
        <is>
          <t>乙二醇</t>
        </is>
      </c>
      <c r="C1868" t="inlineStr">
        <is>
          <t>空</t>
        </is>
      </c>
      <c r="D1868" t="n">
        <v>3</v>
      </c>
      <c r="E1868" t="n">
        <v>6</v>
      </c>
      <c r="F1868" t="inlineStr">
        <is>
          <t>不做</t>
        </is>
      </c>
      <c r="H1868" t="n">
        <v>4051</v>
      </c>
      <c r="J1868" t="n">
        <v>0</v>
      </c>
      <c r="K1868" t="inlineStr">
        <is>
          <t>组合风险已近10%，预算缩小</t>
        </is>
      </c>
    </row>
    <row r="1869">
      <c r="A1869" t="inlineStr">
        <is>
          <t>2023-05-30</t>
        </is>
      </c>
      <c r="B1869" t="inlineStr">
        <is>
          <t>铁矿石</t>
        </is>
      </c>
      <c r="C1869" t="inlineStr">
        <is>
          <t>空</t>
        </is>
      </c>
      <c r="D1869" t="n">
        <v>3</v>
      </c>
      <c r="E1869" t="n">
        <v>6</v>
      </c>
      <c r="F1869" t="inlineStr">
        <is>
          <t>观望</t>
        </is>
      </c>
      <c r="H1869" t="n">
        <v>707.5</v>
      </c>
      <c r="J1869" t="n">
        <v>0</v>
      </c>
      <c r="K1869" t="inlineStr">
        <is>
          <t>逆5日线（收盘在5日线上，不追空）</t>
        </is>
      </c>
    </row>
    <row r="1870">
      <c r="A1870" t="inlineStr">
        <is>
          <t>2023-05-30</t>
        </is>
      </c>
      <c r="B1870" t="inlineStr">
        <is>
          <t>PTA</t>
        </is>
      </c>
      <c r="C1870" t="inlineStr">
        <is>
          <t>多</t>
        </is>
      </c>
      <c r="D1870" t="n">
        <v>2</v>
      </c>
      <c r="E1870" t="n">
        <v>4</v>
      </c>
      <c r="F1870" t="inlineStr">
        <is>
          <t>续持</t>
        </is>
      </c>
      <c r="G1870" t="n">
        <v>5</v>
      </c>
      <c r="H1870" t="n">
        <v>5444</v>
      </c>
      <c r="I1870" t="n">
        <v>5133.71</v>
      </c>
      <c r="J1870" t="n">
        <v>1</v>
      </c>
      <c r="K1870" t="inlineStr">
        <is>
          <t>续持原仓（2023-05-18开）</t>
        </is>
      </c>
    </row>
    <row r="1871">
      <c r="A1871" t="inlineStr">
        <is>
          <t>2023-05-31</t>
        </is>
      </c>
      <c r="B1871" t="inlineStr">
        <is>
          <t>乙二醇</t>
        </is>
      </c>
      <c r="C1871" t="inlineStr">
        <is>
          <t>空</t>
        </is>
      </c>
      <c r="D1871" t="n">
        <v>3</v>
      </c>
      <c r="E1871" t="n">
        <v>7</v>
      </c>
      <c r="F1871" t="inlineStr">
        <is>
          <t>开仓</t>
        </is>
      </c>
      <c r="G1871" t="n">
        <v>10</v>
      </c>
      <c r="H1871" t="n">
        <v>3986</v>
      </c>
      <c r="I1871" t="n">
        <v>4250.86</v>
      </c>
      <c r="J1871" t="n">
        <v>2.85</v>
      </c>
      <c r="K1871" t="inlineStr">
        <is>
          <t>¼凯利</t>
        </is>
      </c>
    </row>
    <row r="1872">
      <c r="A1872" t="inlineStr">
        <is>
          <t>2023-05-31</t>
        </is>
      </c>
      <c r="B1872" t="inlineStr">
        <is>
          <t>豆油</t>
        </is>
      </c>
      <c r="C1872" t="inlineStr">
        <is>
          <t>空</t>
        </is>
      </c>
      <c r="D1872" t="n">
        <v>3</v>
      </c>
      <c r="E1872" t="n">
        <v>6</v>
      </c>
      <c r="F1872" t="inlineStr">
        <is>
          <t>续持</t>
        </is>
      </c>
      <c r="G1872" t="n">
        <v>2</v>
      </c>
      <c r="H1872" t="n">
        <v>6780</v>
      </c>
      <c r="I1872" t="n">
        <v>7233.57</v>
      </c>
      <c r="J1872" t="n">
        <v>1.44</v>
      </c>
      <c r="K1872" t="inlineStr">
        <is>
          <t>续持原仓（2023-05-17开）</t>
        </is>
      </c>
    </row>
    <row r="1873">
      <c r="A1873" t="inlineStr">
        <is>
          <t>2023-05-31</t>
        </is>
      </c>
      <c r="B1873" t="inlineStr">
        <is>
          <t>玻璃</t>
        </is>
      </c>
      <c r="C1873" t="inlineStr">
        <is>
          <t>空</t>
        </is>
      </c>
      <c r="D1873" t="n">
        <v>3</v>
      </c>
      <c r="E1873" t="n">
        <v>6</v>
      </c>
      <c r="F1873" t="inlineStr">
        <is>
          <t>续持</t>
        </is>
      </c>
      <c r="G1873" t="n">
        <v>8</v>
      </c>
      <c r="H1873" t="n">
        <v>1409</v>
      </c>
      <c r="I1873" t="n">
        <v>1569.29</v>
      </c>
      <c r="J1873" t="n">
        <v>2.88</v>
      </c>
      <c r="K1873" t="inlineStr">
        <is>
          <t>续持原仓（2023-05-29开）</t>
        </is>
      </c>
    </row>
    <row r="1874">
      <c r="A1874" t="inlineStr">
        <is>
          <t>2023-05-31</t>
        </is>
      </c>
      <c r="B1874" t="inlineStr">
        <is>
          <t>玉米</t>
        </is>
      </c>
      <c r="C1874" t="inlineStr">
        <is>
          <t>多</t>
        </is>
      </c>
      <c r="D1874" t="n">
        <v>2</v>
      </c>
      <c r="E1874" t="n">
        <v>5</v>
      </c>
      <c r="F1874" t="inlineStr">
        <is>
          <t>影子仓</t>
        </is>
      </c>
      <c r="G1874" t="n">
        <v>9</v>
      </c>
      <c r="H1874" t="n">
        <v>2633</v>
      </c>
      <c r="I1874" t="n">
        <v>2527.57</v>
      </c>
      <c r="J1874" t="n">
        <v>1</v>
      </c>
      <c r="K1874" t="inlineStr">
        <is>
          <t>凯利≤0，开1%影子仓（只统计，不计入组合）</t>
        </is>
      </c>
    </row>
    <row r="1875">
      <c r="A1875" t="inlineStr">
        <is>
          <t>2023-05-31</t>
        </is>
      </c>
      <c r="B1875" t="inlineStr">
        <is>
          <t>锰硅</t>
        </is>
      </c>
      <c r="C1875" t="inlineStr">
        <is>
          <t>空</t>
        </is>
      </c>
      <c r="D1875" t="n">
        <v>2</v>
      </c>
      <c r="E1875" t="n">
        <v>5</v>
      </c>
      <c r="F1875" t="inlineStr">
        <is>
          <t>续持</t>
        </is>
      </c>
      <c r="G1875" t="n">
        <v>7</v>
      </c>
      <c r="H1875" t="n">
        <v>6554</v>
      </c>
      <c r="I1875" t="n">
        <v>6815.29</v>
      </c>
      <c r="J1875" t="n">
        <v>1</v>
      </c>
      <c r="K1875" t="inlineStr">
        <is>
          <t>续持原仓（2023-05-26开）</t>
        </is>
      </c>
    </row>
    <row r="1876">
      <c r="A1876" t="inlineStr">
        <is>
          <t>2023-05-31</t>
        </is>
      </c>
      <c r="B1876" t="inlineStr">
        <is>
          <t>沪银</t>
        </is>
      </c>
      <c r="C1876" t="inlineStr">
        <is>
          <t>空</t>
        </is>
      </c>
      <c r="D1876" t="n">
        <v>2</v>
      </c>
      <c r="E1876" t="n">
        <v>4</v>
      </c>
      <c r="F1876" t="inlineStr">
        <is>
          <t>观望</t>
        </is>
      </c>
      <c r="G1876" t="n">
        <v>2</v>
      </c>
      <c r="H1876" t="n">
        <v>5452</v>
      </c>
      <c r="I1876" t="n">
        <v>5749.21</v>
      </c>
      <c r="J1876" t="n">
        <v>1</v>
      </c>
      <c r="K1876" t="inlineStr">
        <is>
          <t>逆5日线（收盘在5日线上，不追空）</t>
        </is>
      </c>
    </row>
    <row r="1877">
      <c r="A1877" t="inlineStr">
        <is>
          <t>2023-06-01</t>
        </is>
      </c>
      <c r="B1877" t="inlineStr">
        <is>
          <t>乙二醇</t>
        </is>
      </c>
      <c r="C1877" t="inlineStr">
        <is>
          <t>空</t>
        </is>
      </c>
      <c r="D1877" t="n">
        <v>2</v>
      </c>
      <c r="E1877" t="n">
        <v>5</v>
      </c>
      <c r="F1877" t="inlineStr">
        <is>
          <t>续持</t>
        </is>
      </c>
      <c r="G1877" t="n">
        <v>10</v>
      </c>
      <c r="H1877" t="n">
        <v>4031</v>
      </c>
      <c r="I1877" t="n">
        <v>4209.36</v>
      </c>
      <c r="J1877" t="n">
        <v>2.85</v>
      </c>
      <c r="K1877" t="inlineStr">
        <is>
          <t>续持原仓（2023-05-31开）</t>
        </is>
      </c>
    </row>
    <row r="1878">
      <c r="A1878" t="inlineStr">
        <is>
          <t>2023-06-01</t>
        </is>
      </c>
      <c r="B1878" t="inlineStr">
        <is>
          <t>沪锌</t>
        </is>
      </c>
      <c r="C1878" t="inlineStr">
        <is>
          <t>空</t>
        </is>
      </c>
      <c r="D1878" t="n">
        <v>2</v>
      </c>
      <c r="E1878" t="n">
        <v>5</v>
      </c>
      <c r="F1878" t="inlineStr">
        <is>
          <t>影子仓</t>
        </is>
      </c>
      <c r="G1878" t="n">
        <v>1</v>
      </c>
      <c r="H1878" t="n">
        <v>19305</v>
      </c>
      <c r="I1878" t="n">
        <v>20785.71</v>
      </c>
      <c r="J1878" t="n">
        <v>1</v>
      </c>
      <c r="K1878" t="inlineStr">
        <is>
          <t>凯利≤0，开1%影子仓（只统计，不计入组合）</t>
        </is>
      </c>
    </row>
    <row r="1879">
      <c r="A1879" t="inlineStr">
        <is>
          <t>2023-06-01</t>
        </is>
      </c>
      <c r="B1879" t="inlineStr">
        <is>
          <t>热卷</t>
        </is>
      </c>
      <c r="C1879" t="inlineStr">
        <is>
          <t>空</t>
        </is>
      </c>
      <c r="D1879" t="n">
        <v>2</v>
      </c>
      <c r="E1879" t="n">
        <v>5</v>
      </c>
      <c r="F1879" t="inlineStr">
        <is>
          <t>观望</t>
        </is>
      </c>
      <c r="G1879" t="n">
        <v>3</v>
      </c>
      <c r="H1879" t="n">
        <v>3664</v>
      </c>
      <c r="I1879" t="n">
        <v>3928.21</v>
      </c>
      <c r="J1879" t="n">
        <v>1</v>
      </c>
      <c r="K1879" t="inlineStr">
        <is>
          <t>逆5日线（收盘在5日线上，不追空）</t>
        </is>
      </c>
    </row>
    <row r="1880">
      <c r="A1880" t="inlineStr">
        <is>
          <t>2023-06-01</t>
        </is>
      </c>
      <c r="B1880" t="inlineStr">
        <is>
          <t>豆粕</t>
        </is>
      </c>
      <c r="C1880" t="inlineStr">
        <is>
          <t>空</t>
        </is>
      </c>
      <c r="D1880" t="n">
        <v>2</v>
      </c>
      <c r="E1880" t="n">
        <v>5</v>
      </c>
      <c r="F1880" t="inlineStr">
        <is>
          <t>观望</t>
        </is>
      </c>
      <c r="G1880" t="n">
        <v>4</v>
      </c>
      <c r="H1880" t="n">
        <v>3444</v>
      </c>
      <c r="I1880" t="n">
        <v>3644.79</v>
      </c>
      <c r="J1880" t="n">
        <v>1</v>
      </c>
      <c r="K1880" t="inlineStr">
        <is>
          <t>逆5日线（收盘在5日线上，不追空）</t>
        </is>
      </c>
    </row>
    <row r="1881">
      <c r="A1881" t="inlineStr">
        <is>
          <t>2023-06-01</t>
        </is>
      </c>
      <c r="B1881" t="inlineStr">
        <is>
          <t>锰硅</t>
        </is>
      </c>
      <c r="C1881" t="inlineStr">
        <is>
          <t>空</t>
        </is>
      </c>
      <c r="D1881" t="n">
        <v>2</v>
      </c>
      <c r="E1881" t="n">
        <v>4</v>
      </c>
      <c r="F1881" t="inlineStr">
        <is>
          <t>续持</t>
        </is>
      </c>
      <c r="G1881" t="n">
        <v>7</v>
      </c>
      <c r="H1881" t="n">
        <v>6580</v>
      </c>
      <c r="I1881" t="n">
        <v>6811.86</v>
      </c>
      <c r="J1881" t="n">
        <v>1</v>
      </c>
      <c r="K1881" t="inlineStr">
        <is>
          <t>续持原仓（2023-05-26开）</t>
        </is>
      </c>
    </row>
    <row r="1882">
      <c r="A1882" t="inlineStr">
        <is>
          <t>2023-06-01</t>
        </is>
      </c>
      <c r="B1882" t="inlineStr">
        <is>
          <t>沥青</t>
        </is>
      </c>
      <c r="C1882" t="inlineStr">
        <is>
          <t>多</t>
        </is>
      </c>
      <c r="D1882" t="n">
        <v>2</v>
      </c>
      <c r="E1882" t="n">
        <v>4</v>
      </c>
      <c r="F1882" t="inlineStr">
        <is>
          <t>观望</t>
        </is>
      </c>
      <c r="G1882" t="n">
        <v>3</v>
      </c>
      <c r="H1882" t="n">
        <v>3653</v>
      </c>
      <c r="I1882" t="n">
        <v>3331.14</v>
      </c>
      <c r="J1882" t="n">
        <v>1</v>
      </c>
      <c r="K1882" t="inlineStr">
        <is>
          <t>逆5日线（收盘在5日线下，不追多）</t>
        </is>
      </c>
    </row>
    <row r="1883">
      <c r="A1883" t="inlineStr">
        <is>
          <t>2023-06-01</t>
        </is>
      </c>
      <c r="B1883" t="inlineStr">
        <is>
          <t>PTA</t>
        </is>
      </c>
      <c r="C1883" t="inlineStr">
        <is>
          <t>多</t>
        </is>
      </c>
      <c r="D1883" t="n">
        <v>2</v>
      </c>
      <c r="E1883" t="n">
        <v>4</v>
      </c>
      <c r="F1883" t="inlineStr">
        <is>
          <t>续持</t>
        </is>
      </c>
      <c r="G1883" t="n">
        <v>5</v>
      </c>
      <c r="H1883" t="n">
        <v>5520</v>
      </c>
      <c r="I1883" t="n">
        <v>5147.43</v>
      </c>
      <c r="J1883" t="n">
        <v>1</v>
      </c>
      <c r="K1883" t="inlineStr">
        <is>
          <t>续持原仓（2023-05-18开）</t>
        </is>
      </c>
    </row>
    <row r="1884">
      <c r="A1884" t="inlineStr">
        <is>
          <t>2023-06-02</t>
        </is>
      </c>
      <c r="B1884" t="inlineStr">
        <is>
          <t>尿素</t>
        </is>
      </c>
      <c r="C1884" t="inlineStr">
        <is>
          <t>空</t>
        </is>
      </c>
      <c r="D1884" t="n">
        <v>3</v>
      </c>
      <c r="E1884" t="n">
        <v>6</v>
      </c>
      <c r="F1884" t="inlineStr">
        <is>
          <t>观望</t>
        </is>
      </c>
      <c r="G1884" t="n">
        <v>8</v>
      </c>
      <c r="H1884" t="n">
        <v>1754</v>
      </c>
      <c r="I1884" t="n">
        <v>1923.5</v>
      </c>
      <c r="J1884" t="n">
        <v>2.83</v>
      </c>
      <c r="K1884" t="inlineStr">
        <is>
          <t>逆5日线（收盘在5日线上，不追空）</t>
        </is>
      </c>
    </row>
    <row r="1885">
      <c r="A1885" t="inlineStr">
        <is>
          <t>2023-06-02</t>
        </is>
      </c>
      <c r="B1885" t="inlineStr">
        <is>
          <t>玉米</t>
        </is>
      </c>
      <c r="C1885" t="inlineStr">
        <is>
          <t>多</t>
        </is>
      </c>
      <c r="D1885" t="n">
        <v>2</v>
      </c>
      <c r="E1885" t="n">
        <v>4</v>
      </c>
      <c r="F1885" t="inlineStr">
        <is>
          <t>影子仓</t>
        </is>
      </c>
      <c r="G1885" t="n">
        <v>10</v>
      </c>
      <c r="H1885" t="n">
        <v>2651</v>
      </c>
      <c r="I1885" t="n">
        <v>2556.07</v>
      </c>
      <c r="J1885" t="n">
        <v>1</v>
      </c>
      <c r="K1885" t="inlineStr">
        <is>
          <t>凯利≤0，开1%影子仓（只统计，不计入组合）</t>
        </is>
      </c>
    </row>
    <row r="1886">
      <c r="A1886" t="inlineStr">
        <is>
          <t>2023-06-02</t>
        </is>
      </c>
      <c r="B1886" t="inlineStr">
        <is>
          <t>锰硅</t>
        </is>
      </c>
      <c r="C1886" t="inlineStr">
        <is>
          <t>空</t>
        </is>
      </c>
      <c r="D1886" t="n">
        <v>2</v>
      </c>
      <c r="E1886" t="n">
        <v>4</v>
      </c>
      <c r="F1886" t="inlineStr">
        <is>
          <t>观望</t>
        </is>
      </c>
      <c r="G1886" t="n">
        <v>7</v>
      </c>
      <c r="H1886" t="n">
        <v>6626</v>
      </c>
      <c r="I1886" t="n">
        <v>6904.57</v>
      </c>
      <c r="J1886" t="n">
        <v>1</v>
      </c>
      <c r="K1886" t="inlineStr">
        <is>
          <t>逆5日线（收盘在5日线上，不追空）</t>
        </is>
      </c>
    </row>
    <row r="1887">
      <c r="A1887" t="inlineStr">
        <is>
          <t>2023-06-02</t>
        </is>
      </c>
      <c r="B1887" t="inlineStr">
        <is>
          <t>玻璃</t>
        </is>
      </c>
      <c r="C1887" t="inlineStr">
        <is>
          <t>空</t>
        </is>
      </c>
      <c r="D1887" t="n">
        <v>2</v>
      </c>
      <c r="E1887" t="n">
        <v>4</v>
      </c>
      <c r="F1887" t="inlineStr">
        <is>
          <t>观望</t>
        </is>
      </c>
      <c r="G1887" t="n">
        <v>2</v>
      </c>
      <c r="H1887" t="n">
        <v>1556</v>
      </c>
      <c r="I1887" t="n">
        <v>1737.93</v>
      </c>
      <c r="J1887" t="n">
        <v>1</v>
      </c>
      <c r="K1887" t="inlineStr">
        <is>
          <t>逆5日线（收盘在5日线上，不追空）</t>
        </is>
      </c>
    </row>
    <row r="1888">
      <c r="A1888" t="inlineStr">
        <is>
          <t>2023-06-02</t>
        </is>
      </c>
      <c r="B1888" t="inlineStr">
        <is>
          <t>PTA</t>
        </is>
      </c>
      <c r="C1888" t="inlineStr">
        <is>
          <t>多</t>
        </is>
      </c>
      <c r="D1888" t="n">
        <v>2</v>
      </c>
      <c r="E1888" t="n">
        <v>4</v>
      </c>
      <c r="F1888" t="inlineStr">
        <is>
          <t>续持</t>
        </is>
      </c>
      <c r="G1888" t="n">
        <v>5</v>
      </c>
      <c r="H1888" t="n">
        <v>5562</v>
      </c>
      <c r="I1888" t="n">
        <v>5204.29</v>
      </c>
      <c r="J1888" t="n">
        <v>1</v>
      </c>
      <c r="K1888" t="inlineStr">
        <is>
          <t>续持原仓（2023-05-18开）</t>
        </is>
      </c>
    </row>
    <row r="1889">
      <c r="A1889" t="inlineStr">
        <is>
          <t>2023-06-05</t>
        </is>
      </c>
      <c r="B1889" t="inlineStr">
        <is>
          <t>乙二醇</t>
        </is>
      </c>
      <c r="C1889" t="inlineStr">
        <is>
          <t>空</t>
        </is>
      </c>
      <c r="D1889" t="n">
        <v>3</v>
      </c>
      <c r="E1889" t="n">
        <v>6</v>
      </c>
      <c r="F1889" t="inlineStr">
        <is>
          <t>观望</t>
        </is>
      </c>
      <c r="G1889" t="n">
        <v>10</v>
      </c>
      <c r="H1889" t="n">
        <v>4056</v>
      </c>
      <c r="I1889" t="n">
        <v>4303.29</v>
      </c>
      <c r="J1889" t="n">
        <v>2.69</v>
      </c>
      <c r="K1889" t="inlineStr">
        <is>
          <t>逆5日线（收盘在5日线上，不追空）</t>
        </is>
      </c>
    </row>
    <row r="1890">
      <c r="A1890" t="inlineStr">
        <is>
          <t>2023-06-05</t>
        </is>
      </c>
      <c r="B1890" t="inlineStr">
        <is>
          <t>玻璃</t>
        </is>
      </c>
      <c r="C1890" t="inlineStr">
        <is>
          <t>空</t>
        </is>
      </c>
      <c r="D1890" t="n">
        <v>3</v>
      </c>
      <c r="E1890" t="n">
        <v>6</v>
      </c>
      <c r="F1890" t="inlineStr">
        <is>
          <t>观望</t>
        </is>
      </c>
      <c r="G1890" t="n">
        <v>6</v>
      </c>
      <c r="H1890" t="n">
        <v>1531</v>
      </c>
      <c r="I1890" t="n">
        <v>1723.86</v>
      </c>
      <c r="J1890" t="n">
        <v>2.69</v>
      </c>
      <c r="K1890" t="inlineStr">
        <is>
          <t>逆5日线（收盘在5日线上，不追空）</t>
        </is>
      </c>
    </row>
    <row r="1891">
      <c r="A1891" t="inlineStr">
        <is>
          <t>2023-06-05</t>
        </is>
      </c>
      <c r="B1891" t="inlineStr">
        <is>
          <t>玉米</t>
        </is>
      </c>
      <c r="C1891" t="inlineStr">
        <is>
          <t>多</t>
        </is>
      </c>
      <c r="D1891" t="n">
        <v>2</v>
      </c>
      <c r="E1891" t="n">
        <v>5</v>
      </c>
      <c r="F1891" t="inlineStr">
        <is>
          <t>续持</t>
        </is>
      </c>
      <c r="G1891" t="n">
        <v>10</v>
      </c>
      <c r="H1891" t="n">
        <v>2656</v>
      </c>
      <c r="I1891" t="n">
        <v>2581.36</v>
      </c>
      <c r="J1891" t="n">
        <v>1</v>
      </c>
      <c r="K1891" t="inlineStr">
        <is>
          <t>续持原仓（2023-06-02开）</t>
        </is>
      </c>
    </row>
    <row r="1892">
      <c r="A1892" t="inlineStr">
        <is>
          <t>2023-06-05</t>
        </is>
      </c>
      <c r="B1892" t="inlineStr">
        <is>
          <t>尿素</t>
        </is>
      </c>
      <c r="C1892" t="inlineStr">
        <is>
          <t>空</t>
        </is>
      </c>
      <c r="D1892" t="n">
        <v>2</v>
      </c>
      <c r="E1892" t="n">
        <v>5</v>
      </c>
      <c r="F1892" t="inlineStr">
        <is>
          <t>影子仓</t>
        </is>
      </c>
      <c r="G1892" t="n">
        <v>2</v>
      </c>
      <c r="H1892" t="n">
        <v>1716</v>
      </c>
      <c r="I1892" t="n">
        <v>1903.07</v>
      </c>
      <c r="J1892" t="n">
        <v>1</v>
      </c>
      <c r="K1892" t="inlineStr">
        <is>
          <t>凯利≤0，开1%影子仓（只统计，不计入组合）</t>
        </is>
      </c>
    </row>
    <row r="1893">
      <c r="A1893" t="inlineStr">
        <is>
          <t>2023-06-05</t>
        </is>
      </c>
      <c r="B1893" t="inlineStr">
        <is>
          <t>锰硅</t>
        </is>
      </c>
      <c r="C1893" t="inlineStr">
        <is>
          <t>空</t>
        </is>
      </c>
      <c r="D1893" t="n">
        <v>2</v>
      </c>
      <c r="E1893" t="n">
        <v>4</v>
      </c>
      <c r="F1893" t="inlineStr">
        <is>
          <t>观望</t>
        </is>
      </c>
      <c r="G1893" t="n">
        <v>7</v>
      </c>
      <c r="H1893" t="n">
        <v>6616</v>
      </c>
      <c r="I1893" t="n">
        <v>6887.71</v>
      </c>
      <c r="J1893" t="n">
        <v>1</v>
      </c>
      <c r="K1893" t="inlineStr">
        <is>
          <t>逆5日线（收盘在5日线上，不追空）</t>
        </is>
      </c>
    </row>
    <row r="1894">
      <c r="A1894" t="inlineStr">
        <is>
          <t>2023-06-05</t>
        </is>
      </c>
      <c r="B1894" t="inlineStr">
        <is>
          <t>PTA</t>
        </is>
      </c>
      <c r="C1894" t="inlineStr">
        <is>
          <t>多</t>
        </is>
      </c>
      <c r="D1894" t="n">
        <v>2</v>
      </c>
      <c r="E1894" t="n">
        <v>4</v>
      </c>
      <c r="F1894" t="inlineStr">
        <is>
          <t>续持</t>
        </is>
      </c>
      <c r="G1894" t="n">
        <v>5</v>
      </c>
      <c r="H1894" t="n">
        <v>5544</v>
      </c>
      <c r="I1894" t="n">
        <v>5213</v>
      </c>
      <c r="J1894" t="n">
        <v>1</v>
      </c>
      <c r="K1894" t="inlineStr">
        <is>
          <t>续持原仓（2023-05-18开）</t>
        </is>
      </c>
    </row>
    <row r="1895">
      <c r="A1895" t="inlineStr">
        <is>
          <t>2023-06-05</t>
        </is>
      </c>
      <c r="B1895" t="inlineStr">
        <is>
          <t>沥青</t>
        </is>
      </c>
      <c r="C1895" t="inlineStr">
        <is>
          <t>多</t>
        </is>
      </c>
      <c r="D1895" t="n">
        <v>2</v>
      </c>
      <c r="E1895" t="n">
        <v>4</v>
      </c>
      <c r="F1895" t="inlineStr">
        <is>
          <t>影子仓</t>
        </is>
      </c>
      <c r="G1895" t="n">
        <v>3</v>
      </c>
      <c r="H1895" t="n">
        <v>3701</v>
      </c>
      <c r="I1895" t="n">
        <v>3392.86</v>
      </c>
      <c r="J1895" t="n">
        <v>1</v>
      </c>
      <c r="K1895" t="inlineStr">
        <is>
          <t>凯利≤0，开1%影子仓（只统计，不计入组合）</t>
        </is>
      </c>
    </row>
    <row r="1896">
      <c r="A1896" t="inlineStr">
        <is>
          <t>2023-06-06</t>
        </is>
      </c>
      <c r="B1896" t="inlineStr">
        <is>
          <t>玻璃</t>
        </is>
      </c>
      <c r="C1896" t="inlineStr">
        <is>
          <t>空</t>
        </is>
      </c>
      <c r="D1896" t="n">
        <v>3</v>
      </c>
      <c r="E1896" t="n">
        <v>7</v>
      </c>
      <c r="F1896" t="inlineStr">
        <is>
          <t>观望</t>
        </is>
      </c>
      <c r="G1896" t="n">
        <v>7</v>
      </c>
      <c r="H1896" t="n">
        <v>1507</v>
      </c>
      <c r="I1896" t="n">
        <v>1699</v>
      </c>
      <c r="J1896" t="n">
        <v>2.69</v>
      </c>
      <c r="K1896" t="inlineStr">
        <is>
          <t>逆5日线（收盘在5日线上，不追空）</t>
        </is>
      </c>
    </row>
    <row r="1897">
      <c r="A1897" t="inlineStr">
        <is>
          <t>2023-06-06</t>
        </is>
      </c>
      <c r="B1897" t="inlineStr">
        <is>
          <t>聚丙烯</t>
        </is>
      </c>
      <c r="C1897" t="inlineStr">
        <is>
          <t>空</t>
        </is>
      </c>
      <c r="D1897" t="n">
        <v>3</v>
      </c>
      <c r="E1897" t="n">
        <v>7</v>
      </c>
      <c r="F1897" t="inlineStr">
        <is>
          <t>开仓</t>
        </is>
      </c>
      <c r="G1897" t="n">
        <v>15</v>
      </c>
      <c r="H1897" t="n">
        <v>6942</v>
      </c>
      <c r="I1897" t="n">
        <v>7283.57</v>
      </c>
      <c r="J1897" t="n">
        <v>2.69</v>
      </c>
      <c r="K1897" t="inlineStr">
        <is>
          <t>¼凯利</t>
        </is>
      </c>
    </row>
    <row r="1898">
      <c r="A1898" t="inlineStr">
        <is>
          <t>2023-06-06</t>
        </is>
      </c>
      <c r="B1898" t="inlineStr">
        <is>
          <t>尿素</t>
        </is>
      </c>
      <c r="C1898" t="inlineStr">
        <is>
          <t>空</t>
        </is>
      </c>
      <c r="D1898" t="n">
        <v>3</v>
      </c>
      <c r="E1898" t="n">
        <v>6</v>
      </c>
      <c r="F1898" t="inlineStr">
        <is>
          <t>续持</t>
        </is>
      </c>
      <c r="G1898" t="n">
        <v>2</v>
      </c>
      <c r="H1898" t="n">
        <v>1682</v>
      </c>
      <c r="I1898" t="n">
        <v>1868.21</v>
      </c>
      <c r="J1898" t="n">
        <v>1</v>
      </c>
      <c r="K1898" t="inlineStr">
        <is>
          <t>续持原仓（2023-06-05开）</t>
        </is>
      </c>
    </row>
    <row r="1899">
      <c r="A1899" t="inlineStr">
        <is>
          <t>2023-06-06</t>
        </is>
      </c>
      <c r="B1899" t="inlineStr">
        <is>
          <t>玉米</t>
        </is>
      </c>
      <c r="C1899" t="inlineStr">
        <is>
          <t>多</t>
        </is>
      </c>
      <c r="D1899" t="n">
        <v>2</v>
      </c>
      <c r="E1899" t="n">
        <v>5</v>
      </c>
      <c r="F1899" t="inlineStr">
        <is>
          <t>观望</t>
        </is>
      </c>
      <c r="G1899" t="n">
        <v>11</v>
      </c>
      <c r="H1899" t="n">
        <v>2642</v>
      </c>
      <c r="I1899" t="n">
        <v>2551.57</v>
      </c>
      <c r="J1899" t="n">
        <v>1</v>
      </c>
      <c r="K1899" t="inlineStr">
        <is>
          <t>逆5日线（收盘在5日线下，不追多）</t>
        </is>
      </c>
    </row>
    <row r="1900">
      <c r="A1900" t="inlineStr">
        <is>
          <t>2023-06-06</t>
        </is>
      </c>
      <c r="B1900" t="inlineStr">
        <is>
          <t>纯碱</t>
        </is>
      </c>
      <c r="C1900" t="inlineStr">
        <is>
          <t>空</t>
        </is>
      </c>
      <c r="D1900" t="n">
        <v>2</v>
      </c>
      <c r="E1900" t="n">
        <v>5</v>
      </c>
      <c r="F1900" t="inlineStr">
        <is>
          <t>影子仓</t>
        </is>
      </c>
      <c r="G1900" t="n">
        <v>2</v>
      </c>
      <c r="H1900" t="n">
        <v>1655</v>
      </c>
      <c r="I1900" t="n">
        <v>1900.57</v>
      </c>
      <c r="J1900" t="n">
        <v>1</v>
      </c>
      <c r="K1900" t="inlineStr">
        <is>
          <t>凯利≤0，开1%影子仓（只统计，不计入组合）</t>
        </is>
      </c>
    </row>
    <row r="1901">
      <c r="A1901" t="inlineStr">
        <is>
          <t>2023-06-06</t>
        </is>
      </c>
      <c r="B1901" t="inlineStr">
        <is>
          <t>铁矿石</t>
        </is>
      </c>
      <c r="C1901" t="inlineStr">
        <is>
          <t>多</t>
        </is>
      </c>
      <c r="D1901" t="n">
        <v>2</v>
      </c>
      <c r="E1901" t="n">
        <v>4</v>
      </c>
      <c r="F1901" t="inlineStr">
        <is>
          <t>影子仓</t>
        </is>
      </c>
      <c r="G1901" t="n">
        <v>1</v>
      </c>
      <c r="H1901" t="n">
        <v>766.5</v>
      </c>
      <c r="I1901" t="n">
        <v>689.5700000000001</v>
      </c>
      <c r="J1901" t="n">
        <v>1</v>
      </c>
      <c r="K1901" t="inlineStr">
        <is>
          <t>凯利≤0，开1%影子仓（只统计，不计入组合）</t>
        </is>
      </c>
    </row>
    <row r="1902">
      <c r="A1902" t="inlineStr">
        <is>
          <t>2023-06-07</t>
        </is>
      </c>
      <c r="B1902" t="inlineStr">
        <is>
          <t>尿素</t>
        </is>
      </c>
      <c r="C1902" t="inlineStr">
        <is>
          <t>空</t>
        </is>
      </c>
      <c r="D1902" t="n">
        <v>3</v>
      </c>
      <c r="E1902" t="n">
        <v>7</v>
      </c>
      <c r="F1902" t="inlineStr">
        <is>
          <t>续持</t>
        </is>
      </c>
      <c r="G1902" t="n">
        <v>2</v>
      </c>
      <c r="H1902" t="n">
        <v>1664</v>
      </c>
      <c r="I1902" t="n">
        <v>1849.36</v>
      </c>
      <c r="J1902" t="n">
        <v>1</v>
      </c>
      <c r="K1902" t="inlineStr">
        <is>
          <t>续持原仓（2023-06-05开）</t>
        </is>
      </c>
    </row>
    <row r="1903">
      <c r="A1903" t="inlineStr">
        <is>
          <t>2023-06-07</t>
        </is>
      </c>
      <c r="B1903" t="inlineStr">
        <is>
          <t>聚丙烯</t>
        </is>
      </c>
      <c r="C1903" t="inlineStr">
        <is>
          <t>空</t>
        </is>
      </c>
      <c r="D1903" t="n">
        <v>3</v>
      </c>
      <c r="E1903" t="n">
        <v>7</v>
      </c>
      <c r="F1903" t="inlineStr">
        <is>
          <t>续持</t>
        </is>
      </c>
      <c r="G1903" t="n">
        <v>15</v>
      </c>
      <c r="H1903" t="n">
        <v>6893</v>
      </c>
      <c r="I1903" t="n">
        <v>7218.5</v>
      </c>
      <c r="J1903" t="n">
        <v>2.69</v>
      </c>
      <c r="K1903" t="inlineStr">
        <is>
          <t>续持原仓（2023-06-06开）</t>
        </is>
      </c>
    </row>
    <row r="1904">
      <c r="A1904" t="inlineStr">
        <is>
          <t>2023-06-07</t>
        </is>
      </c>
      <c r="B1904" t="inlineStr">
        <is>
          <t>豆粕</t>
        </is>
      </c>
      <c r="C1904" t="inlineStr">
        <is>
          <t>空</t>
        </is>
      </c>
      <c r="D1904" t="n">
        <v>3</v>
      </c>
      <c r="E1904" t="n">
        <v>7</v>
      </c>
      <c r="F1904" t="inlineStr">
        <is>
          <t>观望</t>
        </is>
      </c>
      <c r="G1904" t="n">
        <v>12</v>
      </c>
      <c r="H1904" t="n">
        <v>3478</v>
      </c>
      <c r="I1904" t="n">
        <v>3690.14</v>
      </c>
      <c r="J1904" t="n">
        <v>2.69</v>
      </c>
      <c r="K1904" t="inlineStr">
        <is>
          <t>逆5日线（收盘在5日线上，不追空）</t>
        </is>
      </c>
    </row>
    <row r="1905">
      <c r="A1905" t="inlineStr">
        <is>
          <t>2023-06-07</t>
        </is>
      </c>
      <c r="B1905" t="inlineStr">
        <is>
          <t>锰硅</t>
        </is>
      </c>
      <c r="C1905" t="inlineStr">
        <is>
          <t>空</t>
        </is>
      </c>
      <c r="D1905" t="n">
        <v>3</v>
      </c>
      <c r="E1905" t="n">
        <v>6</v>
      </c>
      <c r="F1905" t="inlineStr">
        <is>
          <t>开仓</t>
        </is>
      </c>
      <c r="G1905" t="n">
        <v>18</v>
      </c>
      <c r="H1905" t="n">
        <v>6534</v>
      </c>
      <c r="I1905" t="n">
        <v>6822.86</v>
      </c>
      <c r="J1905" t="n">
        <v>2.69</v>
      </c>
      <c r="K1905" t="inlineStr">
        <is>
          <t>¼凯利</t>
        </is>
      </c>
    </row>
    <row r="1906">
      <c r="A1906" t="inlineStr">
        <is>
          <t>2023-06-07</t>
        </is>
      </c>
      <c r="B1906" t="inlineStr">
        <is>
          <t>纯碱</t>
        </is>
      </c>
      <c r="C1906" t="inlineStr">
        <is>
          <t>空</t>
        </is>
      </c>
      <c r="D1906" t="n">
        <v>3</v>
      </c>
      <c r="E1906" t="n">
        <v>6</v>
      </c>
      <c r="F1906" t="inlineStr">
        <is>
          <t>续持</t>
        </is>
      </c>
      <c r="G1906" t="n">
        <v>2</v>
      </c>
      <c r="H1906" t="n">
        <v>1634</v>
      </c>
      <c r="I1906" t="n">
        <v>1869.57</v>
      </c>
      <c r="J1906" t="n">
        <v>1</v>
      </c>
      <c r="K1906" t="inlineStr">
        <is>
          <t>续持原仓（2023-06-06开）</t>
        </is>
      </c>
    </row>
    <row r="1907">
      <c r="A1907" t="inlineStr">
        <is>
          <t>2023-06-07</t>
        </is>
      </c>
      <c r="B1907" t="inlineStr">
        <is>
          <t>玉米</t>
        </is>
      </c>
      <c r="C1907" t="inlineStr">
        <is>
          <t>多</t>
        </is>
      </c>
      <c r="D1907" t="n">
        <v>2</v>
      </c>
      <c r="E1907" t="n">
        <v>5</v>
      </c>
      <c r="F1907" t="inlineStr">
        <is>
          <t>观望</t>
        </is>
      </c>
      <c r="G1907" t="n">
        <v>11</v>
      </c>
      <c r="H1907" t="n">
        <v>2642</v>
      </c>
      <c r="I1907" t="n">
        <v>2555</v>
      </c>
      <c r="J1907" t="n">
        <v>1</v>
      </c>
      <c r="K1907" t="inlineStr">
        <is>
          <t>逆5日线（收盘在5日线下，不追多）</t>
        </is>
      </c>
    </row>
    <row r="1908">
      <c r="A1908" t="inlineStr">
        <is>
          <t>2023-06-07</t>
        </is>
      </c>
      <c r="B1908" t="inlineStr">
        <is>
          <t>PTA</t>
        </is>
      </c>
      <c r="C1908" t="inlineStr">
        <is>
          <t>多</t>
        </is>
      </c>
      <c r="D1908" t="n">
        <v>2</v>
      </c>
      <c r="E1908" t="n">
        <v>5</v>
      </c>
      <c r="F1908" t="inlineStr">
        <is>
          <t>观望</t>
        </is>
      </c>
      <c r="G1908" t="n">
        <v>5</v>
      </c>
      <c r="H1908" t="n">
        <v>5514</v>
      </c>
      <c r="I1908" t="n">
        <v>5121.43</v>
      </c>
      <c r="J1908" t="n">
        <v>1</v>
      </c>
      <c r="K1908" t="inlineStr">
        <is>
          <t>逆5日线（收盘在5日线下，不追多）</t>
        </is>
      </c>
    </row>
    <row r="1909">
      <c r="A1909" t="inlineStr">
        <is>
          <t>2023-06-07</t>
        </is>
      </c>
      <c r="B1909" t="inlineStr">
        <is>
          <t>铁矿石</t>
        </is>
      </c>
      <c r="C1909" t="inlineStr">
        <is>
          <t>多</t>
        </is>
      </c>
      <c r="D1909" t="n">
        <v>2</v>
      </c>
      <c r="E1909" t="n">
        <v>4</v>
      </c>
      <c r="F1909" t="inlineStr">
        <is>
          <t>续持</t>
        </is>
      </c>
      <c r="G1909" t="n">
        <v>1</v>
      </c>
      <c r="H1909" t="n">
        <v>770</v>
      </c>
      <c r="I1909" t="n">
        <v>701.89</v>
      </c>
      <c r="J1909" t="n">
        <v>1</v>
      </c>
      <c r="K1909" t="inlineStr">
        <is>
          <t>续持原仓（2023-06-06开）</t>
        </is>
      </c>
    </row>
    <row r="1910">
      <c r="A1910" t="inlineStr">
        <is>
          <t>2023-06-08</t>
        </is>
      </c>
      <c r="B1910" t="inlineStr">
        <is>
          <t>纯碱</t>
        </is>
      </c>
      <c r="C1910" t="inlineStr">
        <is>
          <t>空</t>
        </is>
      </c>
      <c r="D1910" t="n">
        <v>3</v>
      </c>
      <c r="E1910" t="n">
        <v>7</v>
      </c>
      <c r="F1910" t="inlineStr">
        <is>
          <t>续持</t>
        </is>
      </c>
      <c r="G1910" t="n">
        <v>2</v>
      </c>
      <c r="H1910" t="n">
        <v>1626</v>
      </c>
      <c r="I1910" t="n">
        <v>1849</v>
      </c>
      <c r="J1910" t="n">
        <v>1</v>
      </c>
      <c r="K1910" t="inlineStr">
        <is>
          <t>续持原仓（2023-06-06开）</t>
        </is>
      </c>
    </row>
    <row r="1911">
      <c r="A1911" t="inlineStr">
        <is>
          <t>2023-06-08</t>
        </is>
      </c>
      <c r="B1911" t="inlineStr">
        <is>
          <t>菜油</t>
        </is>
      </c>
      <c r="C1911" t="inlineStr">
        <is>
          <t>空</t>
        </is>
      </c>
      <c r="D1911" t="n">
        <v>3</v>
      </c>
      <c r="E1911" t="n">
        <v>6</v>
      </c>
      <c r="F1911" t="inlineStr">
        <is>
          <t>开仓</t>
        </is>
      </c>
      <c r="G1911" t="n">
        <v>3</v>
      </c>
      <c r="H1911" t="n">
        <v>7660</v>
      </c>
      <c r="I1911" t="n">
        <v>8249.290000000001</v>
      </c>
      <c r="J1911" t="n">
        <v>1.82</v>
      </c>
      <c r="K1911" t="inlineStr">
        <is>
          <t>组合风险已近10%，预算缩小</t>
        </is>
      </c>
    </row>
    <row r="1912">
      <c r="A1912" t="inlineStr">
        <is>
          <t>2023-06-08</t>
        </is>
      </c>
      <c r="B1912" t="inlineStr">
        <is>
          <t>玉米</t>
        </is>
      </c>
      <c r="C1912" t="inlineStr">
        <is>
          <t>多</t>
        </is>
      </c>
      <c r="D1912" t="n">
        <v>2</v>
      </c>
      <c r="E1912" t="n">
        <v>4</v>
      </c>
      <c r="F1912" t="inlineStr">
        <is>
          <t>续持</t>
        </is>
      </c>
      <c r="G1912" t="n">
        <v>10</v>
      </c>
      <c r="H1912" t="n">
        <v>2596</v>
      </c>
      <c r="I1912" t="n">
        <v>2535</v>
      </c>
      <c r="J1912" t="n">
        <v>1</v>
      </c>
      <c r="K1912" t="inlineStr">
        <is>
          <t>续持原仓（2023-06-02开）</t>
        </is>
      </c>
    </row>
    <row r="1913">
      <c r="A1913" t="inlineStr">
        <is>
          <t>2023-06-08</t>
        </is>
      </c>
      <c r="B1913" t="inlineStr">
        <is>
          <t>锰硅</t>
        </is>
      </c>
      <c r="C1913" t="inlineStr">
        <is>
          <t>空</t>
        </is>
      </c>
      <c r="D1913" t="n">
        <v>2</v>
      </c>
      <c r="E1913" t="n">
        <v>4</v>
      </c>
      <c r="F1913" t="inlineStr">
        <is>
          <t>续持</t>
        </is>
      </c>
      <c r="G1913" t="n">
        <v>18</v>
      </c>
      <c r="H1913" t="n">
        <v>6522</v>
      </c>
      <c r="I1913" t="n">
        <v>6782.43</v>
      </c>
      <c r="J1913" t="n">
        <v>2.69</v>
      </c>
      <c r="K1913" t="inlineStr">
        <is>
          <t>续持原仓（2023-06-07开）</t>
        </is>
      </c>
    </row>
    <row r="1914">
      <c r="A1914" t="inlineStr">
        <is>
          <t>2023-06-08</t>
        </is>
      </c>
      <c r="B1914" t="inlineStr">
        <is>
          <t>PTA</t>
        </is>
      </c>
      <c r="C1914" t="inlineStr">
        <is>
          <t>多</t>
        </is>
      </c>
      <c r="D1914" t="n">
        <v>2</v>
      </c>
      <c r="E1914" t="n">
        <v>4</v>
      </c>
      <c r="F1914" t="inlineStr">
        <is>
          <t>观望</t>
        </is>
      </c>
      <c r="G1914" t="n">
        <v>5</v>
      </c>
      <c r="H1914" t="n">
        <v>5456</v>
      </c>
      <c r="I1914" t="n">
        <v>5057.43</v>
      </c>
      <c r="J1914" t="n">
        <v>1</v>
      </c>
      <c r="K1914" t="inlineStr">
        <is>
          <t>逆5日线（收盘在5日线下，不追多）</t>
        </is>
      </c>
    </row>
    <row r="1915">
      <c r="A1915" t="inlineStr">
        <is>
          <t>2023-06-08</t>
        </is>
      </c>
      <c r="B1915" t="inlineStr">
        <is>
          <t>玻璃</t>
        </is>
      </c>
      <c r="C1915" t="inlineStr">
        <is>
          <t>多</t>
        </is>
      </c>
      <c r="D1915" t="n">
        <v>2</v>
      </c>
      <c r="E1915" t="n">
        <v>4</v>
      </c>
      <c r="F1915" t="inlineStr">
        <is>
          <t>影子仓</t>
        </is>
      </c>
      <c r="G1915" t="n">
        <v>2</v>
      </c>
      <c r="H1915" t="n">
        <v>1555</v>
      </c>
      <c r="I1915" t="n">
        <v>1370.5</v>
      </c>
      <c r="J1915" t="n">
        <v>1</v>
      </c>
      <c r="K1915" t="inlineStr">
        <is>
          <t>凯利≤0，开1%影子仓（只统计，不计入组合）</t>
        </is>
      </c>
    </row>
    <row r="1916">
      <c r="A1916" t="inlineStr">
        <is>
          <t>2023-06-08</t>
        </is>
      </c>
      <c r="B1916" t="inlineStr">
        <is>
          <t>沪铝</t>
        </is>
      </c>
      <c r="C1916" t="inlineStr">
        <is>
          <t>多</t>
        </is>
      </c>
      <c r="D1916" t="n">
        <v>2</v>
      </c>
      <c r="E1916" t="n">
        <v>4</v>
      </c>
      <c r="F1916" t="inlineStr">
        <is>
          <t>影子仓</t>
        </is>
      </c>
      <c r="G1916" t="n">
        <v>2</v>
      </c>
      <c r="H1916" t="n">
        <v>18220</v>
      </c>
      <c r="I1916" t="n">
        <v>17228.93</v>
      </c>
      <c r="J1916" t="n">
        <v>1</v>
      </c>
      <c r="K1916" t="inlineStr">
        <is>
          <t>凯利≤0，开1%影子仓（只统计，不计入组合）</t>
        </is>
      </c>
    </row>
    <row r="1917">
      <c r="A1917" t="inlineStr">
        <is>
          <t>2023-06-08</t>
        </is>
      </c>
      <c r="B1917" t="inlineStr">
        <is>
          <t>沪银</t>
        </is>
      </c>
      <c r="C1917" t="inlineStr">
        <is>
          <t>多</t>
        </is>
      </c>
      <c r="D1917" t="n">
        <v>2</v>
      </c>
      <c r="E1917" t="n">
        <v>4</v>
      </c>
      <c r="F1917" t="inlineStr">
        <is>
          <t>影子仓</t>
        </is>
      </c>
      <c r="G1917" t="n">
        <v>2</v>
      </c>
      <c r="H1917" t="n">
        <v>5538</v>
      </c>
      <c r="I1917" t="n">
        <v>5271.86</v>
      </c>
      <c r="J1917" t="n">
        <v>1</v>
      </c>
      <c r="K1917" t="inlineStr">
        <is>
          <t>凯利≤0，开1%影子仓（只统计，不计入组合）</t>
        </is>
      </c>
    </row>
    <row r="1918">
      <c r="A1918" t="inlineStr">
        <is>
          <t>2023-06-09</t>
        </is>
      </c>
      <c r="B1918" t="inlineStr">
        <is>
          <t>乙二醇</t>
        </is>
      </c>
      <c r="C1918" t="inlineStr">
        <is>
          <t>空</t>
        </is>
      </c>
      <c r="D1918" t="n">
        <v>3</v>
      </c>
      <c r="E1918" t="n">
        <v>6</v>
      </c>
      <c r="F1918" t="inlineStr">
        <is>
          <t>开仓</t>
        </is>
      </c>
      <c r="G1918" t="n">
        <v>11</v>
      </c>
      <c r="H1918" t="n">
        <v>3957</v>
      </c>
      <c r="I1918" t="n">
        <v>4180.07</v>
      </c>
      <c r="J1918" t="n">
        <v>2.57</v>
      </c>
      <c r="K1918" t="inlineStr">
        <is>
          <t>¼凯利</t>
        </is>
      </c>
    </row>
    <row r="1919">
      <c r="A1919" t="inlineStr">
        <is>
          <t>2023-06-09</t>
        </is>
      </c>
      <c r="B1919" t="inlineStr">
        <is>
          <t>铁矿石</t>
        </is>
      </c>
      <c r="C1919" t="inlineStr">
        <is>
          <t>多</t>
        </is>
      </c>
      <c r="D1919" t="n">
        <v>3</v>
      </c>
      <c r="E1919" t="n">
        <v>6</v>
      </c>
      <c r="F1919" t="inlineStr">
        <is>
          <t>不做</t>
        </is>
      </c>
      <c r="H1919" t="n">
        <v>812</v>
      </c>
      <c r="J1919" t="n">
        <v>0.23</v>
      </c>
      <c r="K1919" t="inlineStr">
        <is>
          <t>组合风险已近10%，预算缩小</t>
        </is>
      </c>
    </row>
    <row r="1920">
      <c r="A1920" t="inlineStr">
        <is>
          <t>2023-06-09</t>
        </is>
      </c>
      <c r="B1920" t="inlineStr">
        <is>
          <t>玉米</t>
        </is>
      </c>
      <c r="C1920" t="inlineStr">
        <is>
          <t>多</t>
        </is>
      </c>
      <c r="D1920" t="n">
        <v>2</v>
      </c>
      <c r="E1920" t="n">
        <v>5</v>
      </c>
      <c r="F1920" t="inlineStr">
        <is>
          <t>续持</t>
        </is>
      </c>
      <c r="G1920" t="n">
        <v>10</v>
      </c>
      <c r="H1920" t="n">
        <v>2621</v>
      </c>
      <c r="I1920" t="n">
        <v>2536.86</v>
      </c>
      <c r="J1920" t="n">
        <v>1</v>
      </c>
      <c r="K1920" t="inlineStr">
        <is>
          <t>续持原仓（2023-06-02开）</t>
        </is>
      </c>
    </row>
    <row r="1921">
      <c r="A1921" t="inlineStr">
        <is>
          <t>2023-06-09</t>
        </is>
      </c>
      <c r="B1921" t="inlineStr">
        <is>
          <t>锰硅</t>
        </is>
      </c>
      <c r="C1921" t="inlineStr">
        <is>
          <t>空</t>
        </is>
      </c>
      <c r="D1921" t="n">
        <v>2</v>
      </c>
      <c r="E1921" t="n">
        <v>4</v>
      </c>
      <c r="F1921" t="inlineStr">
        <is>
          <t>续持</t>
        </is>
      </c>
      <c r="G1921" t="n">
        <v>18</v>
      </c>
      <c r="H1921" t="n">
        <v>6570</v>
      </c>
      <c r="I1921" t="n">
        <v>6782.43</v>
      </c>
      <c r="J1921" t="n">
        <v>2.69</v>
      </c>
      <c r="K1921" t="inlineStr">
        <is>
          <t>续持原仓（2023-06-07开）</t>
        </is>
      </c>
    </row>
    <row r="1922">
      <c r="A1922" t="inlineStr">
        <is>
          <t>2023-06-09</t>
        </is>
      </c>
      <c r="B1922" t="inlineStr">
        <is>
          <t>PTA</t>
        </is>
      </c>
      <c r="C1922" t="inlineStr">
        <is>
          <t>多</t>
        </is>
      </c>
      <c r="D1922" t="n">
        <v>2</v>
      </c>
      <c r="E1922" t="n">
        <v>4</v>
      </c>
      <c r="F1922" t="inlineStr">
        <is>
          <t>观望</t>
        </is>
      </c>
      <c r="G1922" t="n">
        <v>5</v>
      </c>
      <c r="H1922" t="n">
        <v>5472</v>
      </c>
      <c r="I1922" t="n">
        <v>5102.14</v>
      </c>
      <c r="J1922" t="n">
        <v>1</v>
      </c>
      <c r="K1922" t="inlineStr">
        <is>
          <t>逆5日线（收盘在5日线下，不追多）</t>
        </is>
      </c>
    </row>
    <row r="1923">
      <c r="A1923" t="inlineStr">
        <is>
          <t>2023-06-12</t>
        </is>
      </c>
      <c r="B1923" t="inlineStr">
        <is>
          <t>纯碱</t>
        </is>
      </c>
      <c r="C1923" t="inlineStr">
        <is>
          <t>空</t>
        </is>
      </c>
      <c r="D1923" t="n">
        <v>3</v>
      </c>
      <c r="E1923" t="n">
        <v>7</v>
      </c>
      <c r="F1923" t="inlineStr">
        <is>
          <t>续持</t>
        </is>
      </c>
      <c r="G1923" t="n">
        <v>2</v>
      </c>
      <c r="H1923" t="n">
        <v>1589</v>
      </c>
      <c r="I1923" t="n">
        <v>1801.57</v>
      </c>
      <c r="J1923" t="n">
        <v>1</v>
      </c>
      <c r="K1923" t="inlineStr">
        <is>
          <t>续持原仓（2023-06-06开）</t>
        </is>
      </c>
    </row>
    <row r="1924">
      <c r="A1924" t="inlineStr">
        <is>
          <t>2023-06-12</t>
        </is>
      </c>
      <c r="B1924" t="inlineStr">
        <is>
          <t>尿素</t>
        </is>
      </c>
      <c r="C1924" t="inlineStr">
        <is>
          <t>空</t>
        </is>
      </c>
      <c r="D1924" t="n">
        <v>3</v>
      </c>
      <c r="E1924" t="n">
        <v>7</v>
      </c>
      <c r="F1924" t="inlineStr">
        <is>
          <t>续持</t>
        </is>
      </c>
      <c r="G1924" t="n">
        <v>2</v>
      </c>
      <c r="H1924" t="n">
        <v>1631</v>
      </c>
      <c r="I1924" t="n">
        <v>1798.5</v>
      </c>
      <c r="J1924" t="n">
        <v>1</v>
      </c>
      <c r="K1924" t="inlineStr">
        <is>
          <t>续持原仓（2023-06-05开）</t>
        </is>
      </c>
    </row>
    <row r="1925">
      <c r="A1925" t="inlineStr">
        <is>
          <t>2023-06-12</t>
        </is>
      </c>
      <c r="B1925" t="inlineStr">
        <is>
          <t>聚丙烯</t>
        </is>
      </c>
      <c r="C1925" t="inlineStr">
        <is>
          <t>空</t>
        </is>
      </c>
      <c r="D1925" t="n">
        <v>3</v>
      </c>
      <c r="E1925" t="n">
        <v>7</v>
      </c>
      <c r="F1925" t="inlineStr">
        <is>
          <t>续持</t>
        </is>
      </c>
      <c r="G1925" t="n">
        <v>15</v>
      </c>
      <c r="H1925" t="n">
        <v>6894</v>
      </c>
      <c r="I1925" t="n">
        <v>7185.07</v>
      </c>
      <c r="J1925" t="n">
        <v>2.69</v>
      </c>
      <c r="K1925" t="inlineStr">
        <is>
          <t>续持原仓（2023-06-06开）</t>
        </is>
      </c>
    </row>
    <row r="1926">
      <c r="A1926" t="inlineStr">
        <is>
          <t>2023-06-12</t>
        </is>
      </c>
      <c r="B1926" t="inlineStr">
        <is>
          <t>沪镍</t>
        </is>
      </c>
      <c r="C1926" t="inlineStr">
        <is>
          <t>多</t>
        </is>
      </c>
      <c r="D1926" t="n">
        <v>3</v>
      </c>
      <c r="E1926" t="n">
        <v>6</v>
      </c>
      <c r="F1926" t="inlineStr">
        <is>
          <t>不做</t>
        </is>
      </c>
      <c r="H1926" t="n">
        <v>163500</v>
      </c>
      <c r="J1926" t="n">
        <v>0.23</v>
      </c>
      <c r="K1926" t="inlineStr">
        <is>
          <t>组合风险已近10%，预算缩小</t>
        </is>
      </c>
    </row>
    <row r="1927">
      <c r="A1927" t="inlineStr">
        <is>
          <t>2023-06-12</t>
        </is>
      </c>
      <c r="B1927" t="inlineStr">
        <is>
          <t>甲醇</t>
        </is>
      </c>
      <c r="C1927" t="inlineStr">
        <is>
          <t>空</t>
        </is>
      </c>
      <c r="D1927" t="n">
        <v>3</v>
      </c>
      <c r="E1927" t="n">
        <v>6</v>
      </c>
      <c r="F1927" t="inlineStr">
        <is>
          <t>不做</t>
        </is>
      </c>
      <c r="H1927" t="n">
        <v>1969</v>
      </c>
      <c r="J1927" t="n">
        <v>0.23</v>
      </c>
      <c r="K1927" t="inlineStr">
        <is>
          <t>组合风险已近10%，预算缩小</t>
        </is>
      </c>
    </row>
    <row r="1928">
      <c r="A1928" t="inlineStr">
        <is>
          <t>2023-06-12</t>
        </is>
      </c>
      <c r="B1928" t="inlineStr">
        <is>
          <t>锰硅</t>
        </is>
      </c>
      <c r="C1928" t="inlineStr">
        <is>
          <t>空</t>
        </is>
      </c>
      <c r="D1928" t="n">
        <v>3</v>
      </c>
      <c r="E1928" t="n">
        <v>6</v>
      </c>
      <c r="F1928" t="inlineStr">
        <is>
          <t>续持</t>
        </is>
      </c>
      <c r="G1928" t="n">
        <v>18</v>
      </c>
      <c r="H1928" t="n">
        <v>6518</v>
      </c>
      <c r="I1928" t="n">
        <v>6782.43</v>
      </c>
      <c r="J1928" t="n">
        <v>2.69</v>
      </c>
      <c r="K1928" t="inlineStr">
        <is>
          <t>续持原仓（2023-06-07开）</t>
        </is>
      </c>
    </row>
    <row r="1929">
      <c r="A1929" t="inlineStr">
        <is>
          <t>2023-06-12</t>
        </is>
      </c>
      <c r="B1929" t="inlineStr">
        <is>
          <t>玉米</t>
        </is>
      </c>
      <c r="C1929" t="inlineStr">
        <is>
          <t>多</t>
        </is>
      </c>
      <c r="D1929" t="n">
        <v>2</v>
      </c>
      <c r="E1929" t="n">
        <v>4</v>
      </c>
      <c r="F1929" t="inlineStr">
        <is>
          <t>观望</t>
        </is>
      </c>
      <c r="G1929" t="n">
        <v>11</v>
      </c>
      <c r="H1929" t="n">
        <v>2583</v>
      </c>
      <c r="I1929" t="n">
        <v>2492.36</v>
      </c>
      <c r="J1929" t="n">
        <v>1</v>
      </c>
      <c r="K1929" t="inlineStr">
        <is>
          <t>逆5日线（收盘在5日线下，不追多）</t>
        </is>
      </c>
    </row>
    <row r="1930">
      <c r="A1930" t="inlineStr">
        <is>
          <t>2023-06-13</t>
        </is>
      </c>
      <c r="B1930" t="inlineStr">
        <is>
          <t>玉米</t>
        </is>
      </c>
      <c r="C1930" t="inlineStr">
        <is>
          <t>多</t>
        </is>
      </c>
      <c r="D1930" t="n">
        <v>2</v>
      </c>
      <c r="E1930" t="n">
        <v>5</v>
      </c>
      <c r="F1930" t="inlineStr">
        <is>
          <t>续持</t>
        </is>
      </c>
      <c r="G1930" t="n">
        <v>10</v>
      </c>
      <c r="H1930" t="n">
        <v>2607</v>
      </c>
      <c r="I1930" t="n">
        <v>2539.21</v>
      </c>
      <c r="J1930" t="n">
        <v>1</v>
      </c>
      <c r="K1930" t="inlineStr">
        <is>
          <t>续持原仓（2023-06-02开）</t>
        </is>
      </c>
    </row>
    <row r="1931">
      <c r="A1931" t="inlineStr">
        <is>
          <t>2023-06-13</t>
        </is>
      </c>
      <c r="B1931" t="inlineStr">
        <is>
          <t>乙二醇</t>
        </is>
      </c>
      <c r="C1931" t="inlineStr">
        <is>
          <t>空</t>
        </is>
      </c>
      <c r="D1931" t="n">
        <v>2</v>
      </c>
      <c r="E1931" t="n">
        <v>5</v>
      </c>
      <c r="F1931" t="inlineStr">
        <is>
          <t>续持</t>
        </is>
      </c>
      <c r="G1931" t="n">
        <v>11</v>
      </c>
      <c r="H1931" t="n">
        <v>3962</v>
      </c>
      <c r="I1931" t="n">
        <v>4127.36</v>
      </c>
      <c r="J1931" t="n">
        <v>2.57</v>
      </c>
      <c r="K1931" t="inlineStr">
        <is>
          <t>续持原仓（2023-06-09开）</t>
        </is>
      </c>
    </row>
    <row r="1932">
      <c r="A1932" t="inlineStr">
        <is>
          <t>2023-06-13</t>
        </is>
      </c>
      <c r="B1932" t="inlineStr">
        <is>
          <t>锰硅</t>
        </is>
      </c>
      <c r="C1932" t="inlineStr">
        <is>
          <t>空</t>
        </is>
      </c>
      <c r="D1932" t="n">
        <v>2</v>
      </c>
      <c r="E1932" t="n">
        <v>5</v>
      </c>
      <c r="F1932" t="inlineStr">
        <is>
          <t>观望</t>
        </is>
      </c>
      <c r="G1932" t="n">
        <v>6</v>
      </c>
      <c r="H1932" t="n">
        <v>6552</v>
      </c>
      <c r="I1932" t="n">
        <v>6849.86</v>
      </c>
      <c r="J1932" t="n">
        <v>1</v>
      </c>
      <c r="K1932" t="inlineStr">
        <is>
          <t>逆5日线（收盘在5日线上，不追空）</t>
        </is>
      </c>
    </row>
    <row r="1933">
      <c r="A1933" t="inlineStr">
        <is>
          <t>2023-06-13</t>
        </is>
      </c>
      <c r="B1933" t="inlineStr">
        <is>
          <t>沪铜</t>
        </is>
      </c>
      <c r="C1933" t="inlineStr">
        <is>
          <t>多</t>
        </is>
      </c>
      <c r="D1933" t="n">
        <v>2</v>
      </c>
      <c r="E1933" t="n">
        <v>5</v>
      </c>
      <c r="F1933" t="inlineStr">
        <is>
          <t>不做</t>
        </is>
      </c>
      <c r="H1933" t="n">
        <v>67340</v>
      </c>
      <c r="J1933" t="n">
        <v>1</v>
      </c>
      <c r="K1933" t="inlineStr">
        <is>
          <t>1手风险13489元超过预算10000元</t>
        </is>
      </c>
    </row>
    <row r="1934">
      <c r="A1934" t="inlineStr">
        <is>
          <t>2023-06-13</t>
        </is>
      </c>
      <c r="B1934" t="inlineStr">
        <is>
          <t>沪锌</t>
        </is>
      </c>
      <c r="C1934" t="inlineStr">
        <is>
          <t>多</t>
        </is>
      </c>
      <c r="D1934" t="n">
        <v>2</v>
      </c>
      <c r="E1934" t="n">
        <v>5</v>
      </c>
      <c r="F1934" t="inlineStr">
        <is>
          <t>影子仓</t>
        </is>
      </c>
      <c r="G1934" t="n">
        <v>1</v>
      </c>
      <c r="H1934" t="n">
        <v>19855</v>
      </c>
      <c r="I1934" t="n">
        <v>18566.07</v>
      </c>
      <c r="J1934" t="n">
        <v>1</v>
      </c>
      <c r="K1934" t="inlineStr">
        <is>
          <t>凯利≤0，开1%影子仓（只统计，不计入组合）</t>
        </is>
      </c>
    </row>
    <row r="1935">
      <c r="A1935" t="inlineStr">
        <is>
          <t>2023-06-14</t>
        </is>
      </c>
      <c r="B1935" t="inlineStr">
        <is>
          <t>乙二醇</t>
        </is>
      </c>
      <c r="C1935" t="inlineStr">
        <is>
          <t>空</t>
        </is>
      </c>
      <c r="D1935" t="n">
        <v>3</v>
      </c>
      <c r="E1935" t="n">
        <v>6</v>
      </c>
      <c r="F1935" t="inlineStr">
        <is>
          <t>续持</t>
        </is>
      </c>
      <c r="G1935" t="n">
        <v>11</v>
      </c>
      <c r="H1935" t="n">
        <v>3966</v>
      </c>
      <c r="I1935" t="n">
        <v>4120.93</v>
      </c>
      <c r="J1935" t="n">
        <v>2.57</v>
      </c>
      <c r="K1935" t="inlineStr">
        <is>
          <t>续持原仓（2023-06-09开）</t>
        </is>
      </c>
    </row>
    <row r="1936">
      <c r="A1936" t="inlineStr">
        <is>
          <t>2023-06-14</t>
        </is>
      </c>
      <c r="B1936" t="inlineStr">
        <is>
          <t>沪铜</t>
        </is>
      </c>
      <c r="C1936" t="inlineStr">
        <is>
          <t>多</t>
        </is>
      </c>
      <c r="D1936" t="n">
        <v>3</v>
      </c>
      <c r="E1936" t="n">
        <v>6</v>
      </c>
      <c r="F1936" t="inlineStr">
        <is>
          <t>不做</t>
        </is>
      </c>
      <c r="H1936" t="n">
        <v>67730</v>
      </c>
      <c r="J1936" t="n">
        <v>0.23</v>
      </c>
      <c r="K1936" t="inlineStr">
        <is>
          <t>组合风险已近10%，预算缩小</t>
        </is>
      </c>
    </row>
    <row r="1937">
      <c r="A1937" t="inlineStr">
        <is>
          <t>2023-06-14</t>
        </is>
      </c>
      <c r="B1937" t="inlineStr">
        <is>
          <t>玉米</t>
        </is>
      </c>
      <c r="C1937" t="inlineStr">
        <is>
          <t>多</t>
        </is>
      </c>
      <c r="D1937" t="n">
        <v>2</v>
      </c>
      <c r="E1937" t="n">
        <v>4</v>
      </c>
      <c r="F1937" t="inlineStr">
        <is>
          <t>续持</t>
        </is>
      </c>
      <c r="G1937" t="n">
        <v>10</v>
      </c>
      <c r="H1937" t="n">
        <v>2607</v>
      </c>
      <c r="I1937" t="n">
        <v>2541.79</v>
      </c>
      <c r="J1937" t="n">
        <v>1</v>
      </c>
      <c r="K1937" t="inlineStr">
        <is>
          <t>续持原仓（2023-06-02开）</t>
        </is>
      </c>
    </row>
    <row r="1938">
      <c r="A1938" t="inlineStr">
        <is>
          <t>2023-06-14</t>
        </is>
      </c>
      <c r="B1938" t="inlineStr">
        <is>
          <t>锰硅</t>
        </is>
      </c>
      <c r="C1938" t="inlineStr">
        <is>
          <t>空</t>
        </is>
      </c>
      <c r="D1938" t="n">
        <v>2</v>
      </c>
      <c r="E1938" t="n">
        <v>4</v>
      </c>
      <c r="F1938" t="inlineStr">
        <is>
          <t>续持</t>
        </is>
      </c>
      <c r="G1938" t="n">
        <v>18</v>
      </c>
      <c r="H1938" t="n">
        <v>6540</v>
      </c>
      <c r="I1938" t="n">
        <v>6775.86</v>
      </c>
      <c r="J1938" t="n">
        <v>2.69</v>
      </c>
      <c r="K1938" t="inlineStr">
        <is>
          <t>续持原仓（2023-06-07开）</t>
        </is>
      </c>
    </row>
    <row r="1939">
      <c r="A1939" t="inlineStr">
        <is>
          <t>2023-06-15</t>
        </is>
      </c>
      <c r="B1939" t="inlineStr">
        <is>
          <t>铁矿石</t>
        </is>
      </c>
      <c r="C1939" t="inlineStr">
        <is>
          <t>多</t>
        </is>
      </c>
      <c r="D1939" t="n">
        <v>3</v>
      </c>
      <c r="E1939" t="n">
        <v>6</v>
      </c>
      <c r="F1939" t="inlineStr">
        <is>
          <t>不做</t>
        </is>
      </c>
      <c r="H1939" t="n">
        <v>815.5</v>
      </c>
      <c r="J1939" t="n">
        <v>0.23</v>
      </c>
      <c r="K1939" t="inlineStr">
        <is>
          <t>组合风险已近10%，预算缩小</t>
        </is>
      </c>
    </row>
    <row r="1940">
      <c r="A1940" t="inlineStr">
        <is>
          <t>2023-06-15</t>
        </is>
      </c>
      <c r="B1940" t="inlineStr">
        <is>
          <t>螺纹钢</t>
        </is>
      </c>
      <c r="C1940" t="inlineStr">
        <is>
          <t>多</t>
        </is>
      </c>
      <c r="D1940" t="n">
        <v>3</v>
      </c>
      <c r="E1940" t="n">
        <v>6</v>
      </c>
      <c r="F1940" t="inlineStr">
        <is>
          <t>不做</t>
        </is>
      </c>
      <c r="H1940" t="n">
        <v>3760</v>
      </c>
      <c r="J1940" t="n">
        <v>0.23</v>
      </c>
      <c r="K1940" t="inlineStr">
        <is>
          <t>组合风险已近10%，预算缩小</t>
        </is>
      </c>
    </row>
    <row r="1941">
      <c r="A1941" t="inlineStr">
        <is>
          <t>2023-06-15</t>
        </is>
      </c>
      <c r="B1941" t="inlineStr">
        <is>
          <t>玻璃</t>
        </is>
      </c>
      <c r="C1941" t="inlineStr">
        <is>
          <t>多</t>
        </is>
      </c>
      <c r="D1941" t="n">
        <v>3</v>
      </c>
      <c r="E1941" t="n">
        <v>6</v>
      </c>
      <c r="F1941" t="inlineStr">
        <is>
          <t>不做</t>
        </is>
      </c>
      <c r="H1941" t="n">
        <v>1629</v>
      </c>
      <c r="J1941" t="n">
        <v>0.23</v>
      </c>
      <c r="K1941" t="inlineStr">
        <is>
          <t>组合风险已近10%，预算缩小</t>
        </is>
      </c>
    </row>
    <row r="1942">
      <c r="A1942" t="inlineStr">
        <is>
          <t>2023-06-15</t>
        </is>
      </c>
      <c r="B1942" t="inlineStr">
        <is>
          <t>沪镍</t>
        </is>
      </c>
      <c r="C1942" t="inlineStr">
        <is>
          <t>多</t>
        </is>
      </c>
      <c r="D1942" t="n">
        <v>2</v>
      </c>
      <c r="E1942" t="n">
        <v>5</v>
      </c>
      <c r="F1942" t="inlineStr">
        <is>
          <t>不做</t>
        </is>
      </c>
      <c r="H1942" t="n">
        <v>171110</v>
      </c>
      <c r="J1942" t="n">
        <v>1</v>
      </c>
      <c r="K1942" t="inlineStr">
        <is>
          <t>1手风险17289元超过预算10000元</t>
        </is>
      </c>
    </row>
    <row r="1943">
      <c r="A1943" t="inlineStr">
        <is>
          <t>2023-06-15</t>
        </is>
      </c>
      <c r="B1943" t="inlineStr">
        <is>
          <t>热卷</t>
        </is>
      </c>
      <c r="C1943" t="inlineStr">
        <is>
          <t>多</t>
        </is>
      </c>
      <c r="D1943" t="n">
        <v>2</v>
      </c>
      <c r="E1943" t="n">
        <v>5</v>
      </c>
      <c r="F1943" t="inlineStr">
        <is>
          <t>影子仓</t>
        </is>
      </c>
      <c r="G1943" t="n">
        <v>4</v>
      </c>
      <c r="H1943" t="n">
        <v>3861</v>
      </c>
      <c r="I1943" t="n">
        <v>3630.21</v>
      </c>
      <c r="J1943" t="n">
        <v>1</v>
      </c>
      <c r="K1943" t="inlineStr">
        <is>
          <t>凯利≤0，开1%影子仓（只统计，不计入组合）</t>
        </is>
      </c>
    </row>
    <row r="1944">
      <c r="A1944" t="inlineStr">
        <is>
          <t>2023-06-15</t>
        </is>
      </c>
      <c r="B1944" t="inlineStr">
        <is>
          <t>苯乙烯</t>
        </is>
      </c>
      <c r="C1944" t="inlineStr">
        <is>
          <t>空</t>
        </is>
      </c>
      <c r="D1944" t="n">
        <v>2</v>
      </c>
      <c r="E1944" t="n">
        <v>4</v>
      </c>
      <c r="F1944" t="inlineStr">
        <is>
          <t>影子仓</t>
        </is>
      </c>
      <c r="G1944" t="n">
        <v>3</v>
      </c>
      <c r="H1944" t="n">
        <v>7052</v>
      </c>
      <c r="I1944" t="n">
        <v>7615.36</v>
      </c>
      <c r="J1944" t="n">
        <v>1</v>
      </c>
      <c r="K1944" t="inlineStr">
        <is>
          <t>凯利≤0，开1%影子仓（只统计，不计入组合）</t>
        </is>
      </c>
    </row>
    <row r="1945">
      <c r="A1945" t="inlineStr">
        <is>
          <t>2023-06-16</t>
        </is>
      </c>
      <c r="B1945" t="inlineStr">
        <is>
          <t>沪铜</t>
        </is>
      </c>
      <c r="C1945" t="inlineStr">
        <is>
          <t>多</t>
        </is>
      </c>
      <c r="D1945" t="n">
        <v>3</v>
      </c>
      <c r="E1945" t="n">
        <v>7</v>
      </c>
      <c r="F1945" t="inlineStr">
        <is>
          <t>开仓</t>
        </is>
      </c>
      <c r="G1945" t="n">
        <v>1</v>
      </c>
      <c r="H1945" t="n">
        <v>68630</v>
      </c>
      <c r="I1945" t="n">
        <v>66182.86</v>
      </c>
      <c r="J1945" t="n">
        <v>2.05</v>
      </c>
      <c r="K1945" t="inlineStr">
        <is>
          <t>组合风险已近10%，预算缩小</t>
        </is>
      </c>
    </row>
    <row r="1946">
      <c r="A1946" t="inlineStr">
        <is>
          <t>2023-06-16</t>
        </is>
      </c>
      <c r="B1946" t="inlineStr">
        <is>
          <t>铁矿石</t>
        </is>
      </c>
      <c r="C1946" t="inlineStr">
        <is>
          <t>多</t>
        </is>
      </c>
      <c r="D1946" t="n">
        <v>3</v>
      </c>
      <c r="E1946" t="n">
        <v>6</v>
      </c>
      <c r="F1946" t="inlineStr">
        <is>
          <t>不做</t>
        </is>
      </c>
      <c r="H1946" t="n">
        <v>815</v>
      </c>
      <c r="J1946" t="n">
        <v>0</v>
      </c>
      <c r="K1946" t="inlineStr">
        <is>
          <t>组合风险已近10%，预算缩小</t>
        </is>
      </c>
    </row>
    <row r="1947">
      <c r="A1947" t="inlineStr">
        <is>
          <t>2023-06-16</t>
        </is>
      </c>
      <c r="B1947" t="inlineStr">
        <is>
          <t>沪铝</t>
        </is>
      </c>
      <c r="C1947" t="inlineStr">
        <is>
          <t>多</t>
        </is>
      </c>
      <c r="D1947" t="n">
        <v>3</v>
      </c>
      <c r="E1947" t="n">
        <v>6</v>
      </c>
      <c r="F1947" t="inlineStr">
        <is>
          <t>不做</t>
        </is>
      </c>
      <c r="H1947" t="n">
        <v>18665</v>
      </c>
      <c r="J1947" t="n">
        <v>0</v>
      </c>
      <c r="K1947" t="inlineStr">
        <is>
          <t>组合风险已近10%，预算缩小</t>
        </is>
      </c>
    </row>
    <row r="1948">
      <c r="A1948" t="inlineStr">
        <is>
          <t>2023-06-16</t>
        </is>
      </c>
      <c r="B1948" t="inlineStr">
        <is>
          <t>白糖</t>
        </is>
      </c>
      <c r="C1948" t="inlineStr">
        <is>
          <t>空</t>
        </is>
      </c>
      <c r="D1948" t="n">
        <v>3</v>
      </c>
      <c r="E1948" t="n">
        <v>6</v>
      </c>
      <c r="F1948" t="inlineStr">
        <is>
          <t>不做</t>
        </is>
      </c>
      <c r="H1948" t="n">
        <v>6940</v>
      </c>
      <c r="J1948" t="n">
        <v>0</v>
      </c>
      <c r="K1948" t="inlineStr">
        <is>
          <t>组合风险已近10%，预算缩小</t>
        </is>
      </c>
    </row>
    <row r="1949">
      <c r="A1949" t="inlineStr">
        <is>
          <t>2023-06-16</t>
        </is>
      </c>
      <c r="B1949" t="inlineStr">
        <is>
          <t>沪镍</t>
        </is>
      </c>
      <c r="C1949" t="inlineStr">
        <is>
          <t>多</t>
        </is>
      </c>
      <c r="D1949" t="n">
        <v>2</v>
      </c>
      <c r="E1949" t="n">
        <v>5</v>
      </c>
      <c r="F1949" t="inlineStr">
        <is>
          <t>不做</t>
        </is>
      </c>
      <c r="H1949" t="n">
        <v>170450</v>
      </c>
      <c r="J1949" t="n">
        <v>1</v>
      </c>
      <c r="K1949" t="inlineStr">
        <is>
          <t>1手风险16956元超过预算10000元</t>
        </is>
      </c>
    </row>
    <row r="1950">
      <c r="A1950" t="inlineStr">
        <is>
          <t>2023-06-16</t>
        </is>
      </c>
      <c r="B1950" t="inlineStr">
        <is>
          <t>菜油</t>
        </is>
      </c>
      <c r="C1950" t="inlineStr">
        <is>
          <t>多</t>
        </is>
      </c>
      <c r="D1950" t="n">
        <v>2</v>
      </c>
      <c r="E1950" t="n">
        <v>5</v>
      </c>
      <c r="F1950" t="inlineStr">
        <is>
          <t>影子仓</t>
        </is>
      </c>
      <c r="G1950" t="n">
        <v>1</v>
      </c>
      <c r="H1950" t="n">
        <v>8473</v>
      </c>
      <c r="I1950" t="n">
        <v>7837</v>
      </c>
      <c r="J1950" t="n">
        <v>1</v>
      </c>
      <c r="K1950" t="inlineStr">
        <is>
          <t>凯利≤0，开1%影子仓（只统计，不计入组合）</t>
        </is>
      </c>
    </row>
    <row r="1951">
      <c r="A1951" t="inlineStr">
        <is>
          <t>2023-06-19</t>
        </is>
      </c>
      <c r="B1951" t="inlineStr">
        <is>
          <t>沪铜</t>
        </is>
      </c>
      <c r="C1951" t="inlineStr">
        <is>
          <t>多</t>
        </is>
      </c>
      <c r="D1951" t="n">
        <v>3</v>
      </c>
      <c r="E1951" t="n">
        <v>6</v>
      </c>
      <c r="F1951" t="inlineStr">
        <is>
          <t>续持</t>
        </is>
      </c>
      <c r="G1951" t="n">
        <v>1</v>
      </c>
      <c r="H1951" t="n">
        <v>68450</v>
      </c>
      <c r="I1951" t="n">
        <v>66440.71000000001</v>
      </c>
      <c r="J1951" t="n">
        <v>2.05</v>
      </c>
      <c r="K1951" t="inlineStr">
        <is>
          <t>续持原仓（2023-06-16开）</t>
        </is>
      </c>
    </row>
    <row r="1952">
      <c r="A1952" t="inlineStr">
        <is>
          <t>2023-06-19</t>
        </is>
      </c>
      <c r="B1952" t="inlineStr">
        <is>
          <t>玉米</t>
        </is>
      </c>
      <c r="C1952" t="inlineStr">
        <is>
          <t>多</t>
        </is>
      </c>
      <c r="D1952" t="n">
        <v>2</v>
      </c>
      <c r="E1952" t="n">
        <v>4</v>
      </c>
      <c r="F1952" t="inlineStr">
        <is>
          <t>影子仓</t>
        </is>
      </c>
      <c r="G1952" t="n">
        <v>11</v>
      </c>
      <c r="H1952" t="n">
        <v>2676</v>
      </c>
      <c r="I1952" t="n">
        <v>2588.57</v>
      </c>
      <c r="J1952" t="n">
        <v>1</v>
      </c>
      <c r="K1952" t="inlineStr">
        <is>
          <t>凯利≤0，开1%影子仓（只统计，不计入组合）</t>
        </is>
      </c>
    </row>
    <row r="1953">
      <c r="A1953" t="inlineStr">
        <is>
          <t>2023-06-19</t>
        </is>
      </c>
      <c r="B1953" t="inlineStr">
        <is>
          <t>热卷</t>
        </is>
      </c>
      <c r="C1953" t="inlineStr">
        <is>
          <t>多</t>
        </is>
      </c>
      <c r="D1953" t="n">
        <v>2</v>
      </c>
      <c r="E1953" t="n">
        <v>4</v>
      </c>
      <c r="F1953" t="inlineStr">
        <is>
          <t>观望</t>
        </is>
      </c>
      <c r="G1953" t="n">
        <v>4</v>
      </c>
      <c r="H1953" t="n">
        <v>3852</v>
      </c>
      <c r="I1953" t="n">
        <v>3625.93</v>
      </c>
      <c r="J1953" t="n">
        <v>1</v>
      </c>
      <c r="K1953" t="inlineStr">
        <is>
          <t>逆5日线（收盘在5日线下，不追多）</t>
        </is>
      </c>
    </row>
    <row r="1954">
      <c r="A1954" t="inlineStr">
        <is>
          <t>2023-06-19</t>
        </is>
      </c>
      <c r="B1954" t="inlineStr">
        <is>
          <t>铁矿石</t>
        </is>
      </c>
      <c r="C1954" t="inlineStr">
        <is>
          <t>多</t>
        </is>
      </c>
      <c r="D1954" t="n">
        <v>2</v>
      </c>
      <c r="E1954" t="n">
        <v>4</v>
      </c>
      <c r="F1954" t="inlineStr">
        <is>
          <t>影子仓</t>
        </is>
      </c>
      <c r="G1954" t="n">
        <v>1</v>
      </c>
      <c r="H1954" t="n">
        <v>809.5</v>
      </c>
      <c r="I1954" t="n">
        <v>741.79</v>
      </c>
      <c r="J1954" t="n">
        <v>1</v>
      </c>
      <c r="K1954" t="inlineStr">
        <is>
          <t>凯利≤0，开1%影子仓（只统计，不计入组合）</t>
        </is>
      </c>
    </row>
    <row r="1955">
      <c r="A1955" t="inlineStr">
        <is>
          <t>2023-06-19</t>
        </is>
      </c>
      <c r="B1955" t="inlineStr">
        <is>
          <t>沪镍</t>
        </is>
      </c>
      <c r="C1955" t="inlineStr">
        <is>
          <t>多</t>
        </is>
      </c>
      <c r="D1955" t="n">
        <v>2</v>
      </c>
      <c r="E1955" t="n">
        <v>4</v>
      </c>
      <c r="F1955" t="inlineStr">
        <is>
          <t>观望</t>
        </is>
      </c>
      <c r="H1955" t="n">
        <v>165700</v>
      </c>
      <c r="J1955" t="n">
        <v>1</v>
      </c>
      <c r="K1955" t="inlineStr">
        <is>
          <t>逆5日线（收盘在5日线下，不追多）</t>
        </is>
      </c>
    </row>
    <row r="1956">
      <c r="A1956" t="inlineStr">
        <is>
          <t>2023-06-19</t>
        </is>
      </c>
      <c r="B1956" t="inlineStr">
        <is>
          <t>燃料油</t>
        </is>
      </c>
      <c r="C1956" t="inlineStr">
        <is>
          <t>空</t>
        </is>
      </c>
      <c r="D1956" t="n">
        <v>2</v>
      </c>
      <c r="E1956" t="n">
        <v>4</v>
      </c>
      <c r="F1956" t="inlineStr">
        <is>
          <t>观望</t>
        </is>
      </c>
      <c r="G1956" t="n">
        <v>3</v>
      </c>
      <c r="H1956" t="n">
        <v>3044</v>
      </c>
      <c r="I1956" t="n">
        <v>3351.29</v>
      </c>
      <c r="J1956" t="n">
        <v>1</v>
      </c>
      <c r="K1956" t="inlineStr">
        <is>
          <t>逆5日线（收盘在5日线上，不追空）</t>
        </is>
      </c>
    </row>
    <row r="1957">
      <c r="A1957" t="inlineStr">
        <is>
          <t>2023-06-20</t>
        </is>
      </c>
      <c r="B1957" t="inlineStr">
        <is>
          <t>菜粕</t>
        </is>
      </c>
      <c r="C1957" t="inlineStr">
        <is>
          <t>多</t>
        </is>
      </c>
      <c r="D1957" t="n">
        <v>3</v>
      </c>
      <c r="E1957" t="n">
        <v>7</v>
      </c>
      <c r="F1957" t="inlineStr">
        <is>
          <t>不做</t>
        </is>
      </c>
      <c r="H1957" t="n">
        <v>3276</v>
      </c>
      <c r="J1957" t="n">
        <v>0</v>
      </c>
      <c r="K1957" t="inlineStr">
        <is>
          <t>组合风险已近10%，预算缩小</t>
        </is>
      </c>
    </row>
    <row r="1958">
      <c r="A1958" t="inlineStr">
        <is>
          <t>2023-06-20</t>
        </is>
      </c>
      <c r="B1958" t="inlineStr">
        <is>
          <t>沪铜</t>
        </is>
      </c>
      <c r="C1958" t="inlineStr">
        <is>
          <t>多</t>
        </is>
      </c>
      <c r="D1958" t="n">
        <v>3</v>
      </c>
      <c r="E1958" t="n">
        <v>6</v>
      </c>
      <c r="F1958" t="inlineStr">
        <is>
          <t>续持</t>
        </is>
      </c>
      <c r="G1958" t="n">
        <v>1</v>
      </c>
      <c r="H1958" t="n">
        <v>68570</v>
      </c>
      <c r="I1958" t="n">
        <v>66472.86</v>
      </c>
      <c r="J1958" t="n">
        <v>2.05</v>
      </c>
      <c r="K1958" t="inlineStr">
        <is>
          <t>续持原仓（2023-06-16开）</t>
        </is>
      </c>
    </row>
    <row r="1959">
      <c r="A1959" t="inlineStr">
        <is>
          <t>2023-06-20</t>
        </is>
      </c>
      <c r="B1959" t="inlineStr">
        <is>
          <t>热卷</t>
        </is>
      </c>
      <c r="C1959" t="inlineStr">
        <is>
          <t>多</t>
        </is>
      </c>
      <c r="D1959" t="n">
        <v>3</v>
      </c>
      <c r="E1959" t="n">
        <v>6</v>
      </c>
      <c r="F1959" t="inlineStr">
        <is>
          <t>观望</t>
        </is>
      </c>
      <c r="H1959" t="n">
        <v>3836</v>
      </c>
      <c r="J1959" t="n">
        <v>0</v>
      </c>
      <c r="K1959" t="inlineStr">
        <is>
          <t>逆5日线（收盘在5日线下，不追多）</t>
        </is>
      </c>
    </row>
    <row r="1960">
      <c r="A1960" t="inlineStr">
        <is>
          <t>2023-06-20</t>
        </is>
      </c>
      <c r="B1960" t="inlineStr">
        <is>
          <t>豆粕</t>
        </is>
      </c>
      <c r="C1960" t="inlineStr">
        <is>
          <t>多</t>
        </is>
      </c>
      <c r="D1960" t="n">
        <v>3</v>
      </c>
      <c r="E1960" t="n">
        <v>6</v>
      </c>
      <c r="F1960" t="inlineStr">
        <is>
          <t>不做</t>
        </is>
      </c>
      <c r="H1960" t="n">
        <v>3755</v>
      </c>
      <c r="J1960" t="n">
        <v>0</v>
      </c>
      <c r="K1960" t="inlineStr">
        <is>
          <t>组合风险已近10%，预算缩小</t>
        </is>
      </c>
    </row>
    <row r="1961">
      <c r="A1961" t="inlineStr">
        <is>
          <t>2023-06-20</t>
        </is>
      </c>
      <c r="B1961" t="inlineStr">
        <is>
          <t>沪锌</t>
        </is>
      </c>
      <c r="C1961" t="inlineStr">
        <is>
          <t>多</t>
        </is>
      </c>
      <c r="D1961" t="n">
        <v>3</v>
      </c>
      <c r="E1961" t="n">
        <v>6</v>
      </c>
      <c r="F1961" t="inlineStr">
        <is>
          <t>不做</t>
        </is>
      </c>
      <c r="H1961" t="n">
        <v>20365</v>
      </c>
      <c r="J1961" t="n">
        <v>0</v>
      </c>
      <c r="K1961" t="inlineStr">
        <is>
          <t>组合风险已近10%，预算缩小</t>
        </is>
      </c>
    </row>
    <row r="1962">
      <c r="A1962" t="inlineStr">
        <is>
          <t>2023-06-21</t>
        </is>
      </c>
      <c r="B1962" t="inlineStr">
        <is>
          <t>菜粕</t>
        </is>
      </c>
      <c r="C1962" t="inlineStr">
        <is>
          <t>多</t>
        </is>
      </c>
      <c r="D1962" t="n">
        <v>3</v>
      </c>
      <c r="E1962" t="n">
        <v>7</v>
      </c>
      <c r="F1962" t="inlineStr">
        <is>
          <t>不做</t>
        </is>
      </c>
      <c r="H1962" t="n">
        <v>3350</v>
      </c>
      <c r="J1962" t="n">
        <v>0</v>
      </c>
      <c r="K1962" t="inlineStr">
        <is>
          <t>组合风险已近10%，预算缩小</t>
        </is>
      </c>
    </row>
    <row r="1963">
      <c r="A1963" t="inlineStr">
        <is>
          <t>2023-06-21</t>
        </is>
      </c>
      <c r="B1963" t="inlineStr">
        <is>
          <t>玉米</t>
        </is>
      </c>
      <c r="C1963" t="inlineStr">
        <is>
          <t>多</t>
        </is>
      </c>
      <c r="D1963" t="n">
        <v>3</v>
      </c>
      <c r="E1963" t="n">
        <v>6</v>
      </c>
      <c r="F1963" t="inlineStr">
        <is>
          <t>续持</t>
        </is>
      </c>
      <c r="G1963" t="n">
        <v>11</v>
      </c>
      <c r="H1963" t="n">
        <v>2688</v>
      </c>
      <c r="I1963" t="n">
        <v>2610.5</v>
      </c>
      <c r="J1963" t="n">
        <v>1</v>
      </c>
      <c r="K1963" t="inlineStr">
        <is>
          <t>续持原仓（2023-06-19开）</t>
        </is>
      </c>
    </row>
    <row r="1964">
      <c r="A1964" t="inlineStr">
        <is>
          <t>2023-06-21</t>
        </is>
      </c>
      <c r="B1964" t="inlineStr">
        <is>
          <t>沪铜</t>
        </is>
      </c>
      <c r="C1964" t="inlineStr">
        <is>
          <t>多</t>
        </is>
      </c>
      <c r="D1964" t="n">
        <v>3</v>
      </c>
      <c r="E1964" t="n">
        <v>6</v>
      </c>
      <c r="F1964" t="inlineStr">
        <is>
          <t>续持</t>
        </is>
      </c>
      <c r="G1964" t="n">
        <v>1</v>
      </c>
      <c r="H1964" t="n">
        <v>68930</v>
      </c>
      <c r="I1964" t="n">
        <v>67135</v>
      </c>
      <c r="J1964" t="n">
        <v>2.05</v>
      </c>
      <c r="K1964" t="inlineStr">
        <is>
          <t>续持原仓（2023-06-16开）</t>
        </is>
      </c>
    </row>
    <row r="1965">
      <c r="A1965" t="inlineStr">
        <is>
          <t>2023-06-21</t>
        </is>
      </c>
      <c r="B1965" t="inlineStr">
        <is>
          <t>豆粕</t>
        </is>
      </c>
      <c r="C1965" t="inlineStr">
        <is>
          <t>多</t>
        </is>
      </c>
      <c r="D1965" t="n">
        <v>3</v>
      </c>
      <c r="E1965" t="n">
        <v>6</v>
      </c>
      <c r="F1965" t="inlineStr">
        <is>
          <t>不做</t>
        </is>
      </c>
      <c r="H1965" t="n">
        <v>3819</v>
      </c>
      <c r="J1965" t="n">
        <v>0</v>
      </c>
      <c r="K1965" t="inlineStr">
        <is>
          <t>组合风险已近10%，预算缩小</t>
        </is>
      </c>
    </row>
    <row r="1966">
      <c r="A1966" t="inlineStr">
        <is>
          <t>2023-06-21</t>
        </is>
      </c>
      <c r="B1966" t="inlineStr">
        <is>
          <t>PTA</t>
        </is>
      </c>
      <c r="C1966" t="inlineStr">
        <is>
          <t>多</t>
        </is>
      </c>
      <c r="D1966" t="n">
        <v>3</v>
      </c>
      <c r="E1966" t="n">
        <v>6</v>
      </c>
      <c r="F1966" t="inlineStr">
        <is>
          <t>不做</t>
        </is>
      </c>
      <c r="H1966" t="n">
        <v>5576</v>
      </c>
      <c r="J1966" t="n">
        <v>0</v>
      </c>
      <c r="K1966" t="inlineStr">
        <is>
          <t>组合风险已近10%，预算缩小</t>
        </is>
      </c>
    </row>
    <row r="1967">
      <c r="A1967" t="inlineStr">
        <is>
          <t>2023-06-26</t>
        </is>
      </c>
      <c r="B1967" t="inlineStr">
        <is>
          <t>沪铜</t>
        </is>
      </c>
      <c r="C1967" t="inlineStr">
        <is>
          <t>多</t>
        </is>
      </c>
      <c r="D1967" t="n">
        <v>3</v>
      </c>
      <c r="E1967" t="n">
        <v>6</v>
      </c>
      <c r="F1967" t="inlineStr">
        <is>
          <t>观望</t>
        </is>
      </c>
      <c r="H1967" t="n">
        <v>68140</v>
      </c>
      <c r="J1967" t="n">
        <v>0</v>
      </c>
      <c r="K1967" t="inlineStr">
        <is>
          <t>逆5日线（收盘在5日线下，不追多）</t>
        </is>
      </c>
    </row>
    <row r="1968">
      <c r="A1968" t="inlineStr">
        <is>
          <t>2023-06-26</t>
        </is>
      </c>
      <c r="B1968" t="inlineStr">
        <is>
          <t>菜粕</t>
        </is>
      </c>
      <c r="C1968" t="inlineStr">
        <is>
          <t>多</t>
        </is>
      </c>
      <c r="D1968" t="n">
        <v>3</v>
      </c>
      <c r="E1968" t="n">
        <v>6</v>
      </c>
      <c r="F1968" t="inlineStr">
        <is>
          <t>不做</t>
        </is>
      </c>
      <c r="H1968" t="n">
        <v>3331</v>
      </c>
      <c r="J1968" t="n">
        <v>0</v>
      </c>
      <c r="K1968" t="inlineStr">
        <is>
          <t>组合风险已近10%，预算缩小</t>
        </is>
      </c>
    </row>
    <row r="1969">
      <c r="A1969" t="inlineStr">
        <is>
          <t>2023-06-26</t>
        </is>
      </c>
      <c r="B1969" t="inlineStr">
        <is>
          <t>豆油</t>
        </is>
      </c>
      <c r="C1969" t="inlineStr">
        <is>
          <t>多</t>
        </is>
      </c>
      <c r="D1969" t="n">
        <v>3</v>
      </c>
      <c r="E1969" t="n">
        <v>6</v>
      </c>
      <c r="F1969" t="inlineStr">
        <is>
          <t>观望</t>
        </is>
      </c>
      <c r="H1969" t="n">
        <v>7658</v>
      </c>
      <c r="J1969" t="n">
        <v>0</v>
      </c>
      <c r="K1969" t="inlineStr">
        <is>
          <t>逆5日线（收盘在5日线下，不追多）</t>
        </is>
      </c>
    </row>
    <row r="1970">
      <c r="A1970" t="inlineStr">
        <is>
          <t>2023-06-26</t>
        </is>
      </c>
      <c r="B1970" t="inlineStr">
        <is>
          <t>苯乙烯</t>
        </is>
      </c>
      <c r="C1970" t="inlineStr">
        <is>
          <t>空</t>
        </is>
      </c>
      <c r="D1970" t="n">
        <v>3</v>
      </c>
      <c r="E1970" t="n">
        <v>6</v>
      </c>
      <c r="F1970" t="inlineStr">
        <is>
          <t>不做</t>
        </is>
      </c>
      <c r="H1970" t="n">
        <v>7067</v>
      </c>
      <c r="J1970" t="n">
        <v>0</v>
      </c>
      <c r="K1970" t="inlineStr">
        <is>
          <t>组合风险已近10%，预算缩小</t>
        </is>
      </c>
    </row>
    <row r="1971">
      <c r="A1971" t="inlineStr">
        <is>
          <t>2023-06-26</t>
        </is>
      </c>
      <c r="B1971" t="inlineStr">
        <is>
          <t>棉花</t>
        </is>
      </c>
      <c r="C1971" t="inlineStr">
        <is>
          <t>空</t>
        </is>
      </c>
      <c r="D1971" t="n">
        <v>2</v>
      </c>
      <c r="E1971" t="n">
        <v>5</v>
      </c>
      <c r="F1971" t="inlineStr">
        <is>
          <t>影子仓</t>
        </is>
      </c>
      <c r="G1971" t="n">
        <v>1</v>
      </c>
      <c r="H1971" t="n">
        <v>16265</v>
      </c>
      <c r="I1971" t="n">
        <v>17322.5</v>
      </c>
      <c r="J1971" t="n">
        <v>1</v>
      </c>
      <c r="K1971" t="inlineStr">
        <is>
          <t>凯利≤0，开1%影子仓（只统计，不计入组合）</t>
        </is>
      </c>
    </row>
    <row r="1972">
      <c r="A1972" t="inlineStr">
        <is>
          <t>2023-06-26</t>
        </is>
      </c>
      <c r="B1972" t="inlineStr">
        <is>
          <t>铁矿石</t>
        </is>
      </c>
      <c r="C1972" t="inlineStr">
        <is>
          <t>多</t>
        </is>
      </c>
      <c r="D1972" t="n">
        <v>2</v>
      </c>
      <c r="E1972" t="n">
        <v>5</v>
      </c>
      <c r="F1972" t="inlineStr">
        <is>
          <t>观望</t>
        </is>
      </c>
      <c r="G1972" t="n">
        <v>1</v>
      </c>
      <c r="H1972" t="n">
        <v>797</v>
      </c>
      <c r="I1972" t="n">
        <v>736.89</v>
      </c>
      <c r="J1972" t="n">
        <v>1</v>
      </c>
      <c r="K1972" t="inlineStr">
        <is>
          <t>逆5日线（收盘在5日线下，不追多）</t>
        </is>
      </c>
    </row>
    <row r="1973">
      <c r="A1973" t="inlineStr">
        <is>
          <t>2023-06-26</t>
        </is>
      </c>
      <c r="B1973" t="inlineStr">
        <is>
          <t>棕榈油</t>
        </is>
      </c>
      <c r="C1973" t="inlineStr">
        <is>
          <t>多</t>
        </is>
      </c>
      <c r="D1973" t="n">
        <v>2</v>
      </c>
      <c r="E1973" t="n">
        <v>5</v>
      </c>
      <c r="F1973" t="inlineStr">
        <is>
          <t>观望</t>
        </is>
      </c>
      <c r="G1973" t="n">
        <v>1</v>
      </c>
      <c r="H1973" t="n">
        <v>7122</v>
      </c>
      <c r="I1973" t="n">
        <v>6582</v>
      </c>
      <c r="J1973" t="n">
        <v>1</v>
      </c>
      <c r="K1973" t="inlineStr">
        <is>
          <t>逆5日线（收盘在5日线下，不追多）</t>
        </is>
      </c>
    </row>
    <row r="1974">
      <c r="A1974" t="inlineStr">
        <is>
          <t>2023-06-26</t>
        </is>
      </c>
      <c r="B1974" t="inlineStr">
        <is>
          <t>玻璃</t>
        </is>
      </c>
      <c r="C1974" t="inlineStr">
        <is>
          <t>空</t>
        </is>
      </c>
      <c r="D1974" t="n">
        <v>2</v>
      </c>
      <c r="E1974" t="n">
        <v>5</v>
      </c>
      <c r="F1974" t="inlineStr">
        <is>
          <t>影子仓</t>
        </is>
      </c>
      <c r="G1974" t="n">
        <v>3</v>
      </c>
      <c r="H1974" t="n">
        <v>1492</v>
      </c>
      <c r="I1974" t="n">
        <v>1656.57</v>
      </c>
      <c r="J1974" t="n">
        <v>1</v>
      </c>
      <c r="K1974" t="inlineStr">
        <is>
          <t>凯利≤0，开1%影子仓（只统计，不计入组合）</t>
        </is>
      </c>
    </row>
    <row r="1975">
      <c r="A1975" t="inlineStr">
        <is>
          <t>2023-06-27</t>
        </is>
      </c>
      <c r="B1975" t="inlineStr">
        <is>
          <t>铁矿石</t>
        </is>
      </c>
      <c r="C1975" t="inlineStr">
        <is>
          <t>多</t>
        </is>
      </c>
      <c r="D1975" t="n">
        <v>3</v>
      </c>
      <c r="E1975" t="n">
        <v>7</v>
      </c>
      <c r="F1975" t="inlineStr">
        <is>
          <t>续持</t>
        </is>
      </c>
      <c r="G1975" t="n">
        <v>1</v>
      </c>
      <c r="H1975" t="n">
        <v>824</v>
      </c>
      <c r="I1975" t="n">
        <v>763.61</v>
      </c>
      <c r="J1975" t="n">
        <v>1</v>
      </c>
      <c r="K1975" t="inlineStr">
        <is>
          <t>续持原仓（2023-06-19开）</t>
        </is>
      </c>
    </row>
    <row r="1976">
      <c r="A1976" t="inlineStr">
        <is>
          <t>2023-06-27</t>
        </is>
      </c>
      <c r="B1976" t="inlineStr">
        <is>
          <t>沪铜</t>
        </is>
      </c>
      <c r="C1976" t="inlineStr">
        <is>
          <t>多</t>
        </is>
      </c>
      <c r="D1976" t="n">
        <v>3</v>
      </c>
      <c r="E1976" t="n">
        <v>6</v>
      </c>
      <c r="F1976" t="inlineStr">
        <is>
          <t>观望</t>
        </is>
      </c>
      <c r="H1976" t="n">
        <v>68150</v>
      </c>
      <c r="J1976" t="n">
        <v>0</v>
      </c>
      <c r="K1976" t="inlineStr">
        <is>
          <t>逆5日线（收盘在5日线下，不追多）</t>
        </is>
      </c>
    </row>
    <row r="1977">
      <c r="A1977" t="inlineStr">
        <is>
          <t>2023-06-27</t>
        </is>
      </c>
      <c r="B1977" t="inlineStr">
        <is>
          <t>豆油</t>
        </is>
      </c>
      <c r="C1977" t="inlineStr">
        <is>
          <t>多</t>
        </is>
      </c>
      <c r="D1977" t="n">
        <v>3</v>
      </c>
      <c r="E1977" t="n">
        <v>6</v>
      </c>
      <c r="F1977" t="inlineStr">
        <is>
          <t>观望</t>
        </is>
      </c>
      <c r="H1977" t="n">
        <v>7652</v>
      </c>
      <c r="J1977" t="n">
        <v>0</v>
      </c>
      <c r="K1977" t="inlineStr">
        <is>
          <t>逆5日线（收盘在5日线下，不追多）</t>
        </is>
      </c>
    </row>
    <row r="1978">
      <c r="A1978" t="inlineStr">
        <is>
          <t>2023-06-27</t>
        </is>
      </c>
      <c r="B1978" t="inlineStr">
        <is>
          <t>菜粕</t>
        </is>
      </c>
      <c r="C1978" t="inlineStr">
        <is>
          <t>多</t>
        </is>
      </c>
      <c r="D1978" t="n">
        <v>2</v>
      </c>
      <c r="E1978" t="n">
        <v>4</v>
      </c>
      <c r="F1978" t="inlineStr">
        <is>
          <t>观望</t>
        </is>
      </c>
      <c r="G1978" t="n">
        <v>4</v>
      </c>
      <c r="H1978" t="n">
        <v>3285</v>
      </c>
      <c r="I1978" t="n">
        <v>3067.5</v>
      </c>
      <c r="J1978" t="n">
        <v>1</v>
      </c>
      <c r="K1978" t="inlineStr">
        <is>
          <t>逆5日线（收盘在5日线下，不追多）</t>
        </is>
      </c>
    </row>
    <row r="1979">
      <c r="A1979" t="inlineStr">
        <is>
          <t>2023-06-27</t>
        </is>
      </c>
      <c r="B1979" t="inlineStr">
        <is>
          <t>沥青</t>
        </is>
      </c>
      <c r="C1979" t="inlineStr">
        <is>
          <t>空</t>
        </is>
      </c>
      <c r="D1979" t="n">
        <v>2</v>
      </c>
      <c r="E1979" t="n">
        <v>4</v>
      </c>
      <c r="F1979" t="inlineStr">
        <is>
          <t>影子仓</t>
        </is>
      </c>
      <c r="G1979" t="n">
        <v>3</v>
      </c>
      <c r="H1979" t="n">
        <v>3593</v>
      </c>
      <c r="I1979" t="n">
        <v>3845.64</v>
      </c>
      <c r="J1979" t="n">
        <v>1</v>
      </c>
      <c r="K1979" t="inlineStr">
        <is>
          <t>凯利≤0，开1%影子仓（只统计，不计入组合）</t>
        </is>
      </c>
    </row>
    <row r="1980">
      <c r="A1980" t="inlineStr">
        <is>
          <t>2023-06-27</t>
        </is>
      </c>
      <c r="B1980" t="inlineStr">
        <is>
          <t>硅铁</t>
        </is>
      </c>
      <c r="C1980" t="inlineStr">
        <is>
          <t>多</t>
        </is>
      </c>
      <c r="D1980" t="n">
        <v>2</v>
      </c>
      <c r="E1980" t="n">
        <v>4</v>
      </c>
      <c r="F1980" t="inlineStr">
        <is>
          <t>影子仓</t>
        </is>
      </c>
      <c r="G1980" t="n">
        <v>4</v>
      </c>
      <c r="H1980" t="n">
        <v>7006</v>
      </c>
      <c r="I1980" t="n">
        <v>6600.57</v>
      </c>
      <c r="J1980" t="n">
        <v>1</v>
      </c>
      <c r="K1980" t="inlineStr">
        <is>
          <t>凯利≤0，开1%影子仓（只统计，不计入组合）</t>
        </is>
      </c>
    </row>
    <row r="1981">
      <c r="A1981" t="inlineStr">
        <is>
          <t>2023-06-27</t>
        </is>
      </c>
      <c r="B1981" t="inlineStr">
        <is>
          <t>玻璃</t>
        </is>
      </c>
      <c r="C1981" t="inlineStr">
        <is>
          <t>空</t>
        </is>
      </c>
      <c r="D1981" t="n">
        <v>2</v>
      </c>
      <c r="E1981" t="n">
        <v>4</v>
      </c>
      <c r="F1981" t="inlineStr">
        <is>
          <t>续持</t>
        </is>
      </c>
      <c r="G1981" t="n">
        <v>3</v>
      </c>
      <c r="H1981" t="n">
        <v>1496</v>
      </c>
      <c r="I1981" t="n">
        <v>1627.64</v>
      </c>
      <c r="J1981" t="n">
        <v>1</v>
      </c>
      <c r="K1981" t="inlineStr">
        <is>
          <t>续持原仓（2023-06-26开）</t>
        </is>
      </c>
    </row>
    <row r="1982">
      <c r="A1982" t="inlineStr">
        <is>
          <t>2023-06-28</t>
        </is>
      </c>
      <c r="B1982" t="inlineStr">
        <is>
          <t>铁矿石</t>
        </is>
      </c>
      <c r="C1982" t="inlineStr">
        <is>
          <t>多</t>
        </is>
      </c>
      <c r="D1982" t="n">
        <v>3</v>
      </c>
      <c r="E1982" t="n">
        <v>6</v>
      </c>
      <c r="F1982" t="inlineStr">
        <is>
          <t>续持</t>
        </is>
      </c>
      <c r="G1982" t="n">
        <v>1</v>
      </c>
      <c r="H1982" t="n">
        <v>830.5</v>
      </c>
      <c r="I1982" t="n">
        <v>773</v>
      </c>
      <c r="J1982" t="n">
        <v>1</v>
      </c>
      <c r="K1982" t="inlineStr">
        <is>
          <t>续持原仓（2023-06-19开）</t>
        </is>
      </c>
    </row>
    <row r="1983">
      <c r="A1983" t="inlineStr">
        <is>
          <t>2023-06-28</t>
        </is>
      </c>
      <c r="B1983" t="inlineStr">
        <is>
          <t>菜粕</t>
        </is>
      </c>
      <c r="C1983" t="inlineStr">
        <is>
          <t>多</t>
        </is>
      </c>
      <c r="D1983" t="n">
        <v>3</v>
      </c>
      <c r="E1983" t="n">
        <v>6</v>
      </c>
      <c r="F1983" t="inlineStr">
        <is>
          <t>观望</t>
        </is>
      </c>
      <c r="H1983" t="n">
        <v>3279</v>
      </c>
      <c r="J1983" t="n">
        <v>0</v>
      </c>
      <c r="K1983" t="inlineStr">
        <is>
          <t>逆5日线（收盘在5日线下，不追多）</t>
        </is>
      </c>
    </row>
    <row r="1984">
      <c r="A1984" t="inlineStr">
        <is>
          <t>2023-06-28</t>
        </is>
      </c>
      <c r="B1984" t="inlineStr">
        <is>
          <t>豆油</t>
        </is>
      </c>
      <c r="C1984" t="inlineStr">
        <is>
          <t>多</t>
        </is>
      </c>
      <c r="D1984" t="n">
        <v>3</v>
      </c>
      <c r="E1984" t="n">
        <v>6</v>
      </c>
      <c r="F1984" t="inlineStr">
        <is>
          <t>不做</t>
        </is>
      </c>
      <c r="H1984" t="n">
        <v>7754</v>
      </c>
      <c r="J1984" t="n">
        <v>0</v>
      </c>
      <c r="K1984" t="inlineStr">
        <is>
          <t>组合风险已近10%，预算缩小</t>
        </is>
      </c>
    </row>
    <row r="1985">
      <c r="A1985" t="inlineStr">
        <is>
          <t>2023-06-28</t>
        </is>
      </c>
      <c r="B1985" t="inlineStr">
        <is>
          <t>苯乙烯</t>
        </is>
      </c>
      <c r="C1985" t="inlineStr">
        <is>
          <t>空</t>
        </is>
      </c>
      <c r="D1985" t="n">
        <v>3</v>
      </c>
      <c r="E1985" t="n">
        <v>6</v>
      </c>
      <c r="F1985" t="inlineStr">
        <is>
          <t>不做</t>
        </is>
      </c>
      <c r="H1985" t="n">
        <v>7036</v>
      </c>
      <c r="J1985" t="n">
        <v>0</v>
      </c>
      <c r="K1985" t="inlineStr">
        <is>
          <t>组合风险已近10%，预算缩小</t>
        </is>
      </c>
    </row>
    <row r="1986">
      <c r="A1986" t="inlineStr">
        <is>
          <t>2023-06-28</t>
        </is>
      </c>
      <c r="B1986" t="inlineStr">
        <is>
          <t>沪铜</t>
        </is>
      </c>
      <c r="C1986" t="inlineStr">
        <is>
          <t>多</t>
        </is>
      </c>
      <c r="D1986" t="n">
        <v>2</v>
      </c>
      <c r="E1986" t="n">
        <v>5</v>
      </c>
      <c r="F1986" t="inlineStr">
        <is>
          <t>观望</t>
        </is>
      </c>
      <c r="G1986" t="n">
        <v>1</v>
      </c>
      <c r="H1986" t="n">
        <v>67680</v>
      </c>
      <c r="I1986" t="n">
        <v>65693.57000000001</v>
      </c>
      <c r="J1986" t="n">
        <v>1</v>
      </c>
      <c r="K1986" t="inlineStr">
        <is>
          <t>逆5日线（收盘在5日线下，不追多）</t>
        </is>
      </c>
    </row>
    <row r="1987">
      <c r="A1987" t="inlineStr">
        <is>
          <t>2023-06-28</t>
        </is>
      </c>
      <c r="B1987" t="inlineStr">
        <is>
          <t>棉花</t>
        </is>
      </c>
      <c r="C1987" t="inlineStr">
        <is>
          <t>空</t>
        </is>
      </c>
      <c r="D1987" t="n">
        <v>2</v>
      </c>
      <c r="E1987" t="n">
        <v>4</v>
      </c>
      <c r="F1987" t="inlineStr">
        <is>
          <t>影子仓</t>
        </is>
      </c>
      <c r="G1987" t="n">
        <v>2</v>
      </c>
      <c r="H1987" t="n">
        <v>16330</v>
      </c>
      <c r="I1987" t="n">
        <v>17250.36</v>
      </c>
      <c r="J1987" t="n">
        <v>1</v>
      </c>
      <c r="K1987" t="inlineStr">
        <is>
          <t>凯利≤0，开1%影子仓（只统计，不计入组合）</t>
        </is>
      </c>
    </row>
    <row r="1988">
      <c r="A1988" t="inlineStr">
        <is>
          <t>2023-06-28</t>
        </is>
      </c>
      <c r="B1988" t="inlineStr">
        <is>
          <t>白糖</t>
        </is>
      </c>
      <c r="C1988" t="inlineStr">
        <is>
          <t>空</t>
        </is>
      </c>
      <c r="D1988" t="n">
        <v>2</v>
      </c>
      <c r="E1988" t="n">
        <v>4</v>
      </c>
      <c r="F1988" t="inlineStr">
        <is>
          <t>影子仓</t>
        </is>
      </c>
      <c r="G1988" t="n">
        <v>3</v>
      </c>
      <c r="H1988" t="n">
        <v>6657</v>
      </c>
      <c r="I1988" t="n">
        <v>6947.14</v>
      </c>
      <c r="J1988" t="n">
        <v>1</v>
      </c>
      <c r="K1988" t="inlineStr">
        <is>
          <t>凯利≤0，开1%影子仓（只统计，不计入组合）</t>
        </is>
      </c>
    </row>
    <row r="1989">
      <c r="A1989" t="inlineStr">
        <is>
          <t>2023-06-28</t>
        </is>
      </c>
      <c r="B1989" t="inlineStr">
        <is>
          <t>沪锌</t>
        </is>
      </c>
      <c r="C1989" t="inlineStr">
        <is>
          <t>空</t>
        </is>
      </c>
      <c r="D1989" t="n">
        <v>2</v>
      </c>
      <c r="E1989" t="n">
        <v>4</v>
      </c>
      <c r="F1989" t="inlineStr">
        <is>
          <t>影子仓</t>
        </is>
      </c>
      <c r="G1989" t="n">
        <v>2</v>
      </c>
      <c r="H1989" t="n">
        <v>19955</v>
      </c>
      <c r="I1989" t="n">
        <v>20874.29</v>
      </c>
      <c r="J1989" t="n">
        <v>1</v>
      </c>
      <c r="K1989" t="inlineStr">
        <is>
          <t>凯利≤0，开1%影子仓（只统计，不计入组合）</t>
        </is>
      </c>
    </row>
    <row r="1990">
      <c r="A1990" t="inlineStr">
        <is>
          <t>2023-06-29</t>
        </is>
      </c>
      <c r="B1990" t="inlineStr">
        <is>
          <t>菜粕</t>
        </is>
      </c>
      <c r="C1990" t="inlineStr">
        <is>
          <t>多</t>
        </is>
      </c>
      <c r="D1990" t="n">
        <v>3</v>
      </c>
      <c r="E1990" t="n">
        <v>7</v>
      </c>
      <c r="F1990" t="inlineStr">
        <is>
          <t>不做</t>
        </is>
      </c>
      <c r="H1990" t="n">
        <v>3322</v>
      </c>
      <c r="J1990" t="n">
        <v>0</v>
      </c>
      <c r="K1990" t="inlineStr">
        <is>
          <t>组合风险已近10%，预算缩小</t>
        </is>
      </c>
    </row>
    <row r="1991">
      <c r="A1991" t="inlineStr">
        <is>
          <t>2023-06-29</t>
        </is>
      </c>
      <c r="B1991" t="inlineStr">
        <is>
          <t>铁矿石</t>
        </is>
      </c>
      <c r="C1991" t="inlineStr">
        <is>
          <t>多</t>
        </is>
      </c>
      <c r="D1991" t="n">
        <v>3</v>
      </c>
      <c r="E1991" t="n">
        <v>6</v>
      </c>
      <c r="F1991" t="inlineStr">
        <is>
          <t>续持</t>
        </is>
      </c>
      <c r="G1991" t="n">
        <v>1</v>
      </c>
      <c r="H1991" t="n">
        <v>830.5</v>
      </c>
      <c r="I1991" t="n">
        <v>777.79</v>
      </c>
      <c r="J1991" t="n">
        <v>1</v>
      </c>
      <c r="K1991" t="inlineStr">
        <is>
          <t>续持原仓（2023-06-19开）</t>
        </is>
      </c>
    </row>
    <row r="1992">
      <c r="A1992" t="inlineStr">
        <is>
          <t>2023-06-29</t>
        </is>
      </c>
      <c r="B1992" t="inlineStr">
        <is>
          <t>沪金</t>
        </is>
      </c>
      <c r="C1992" t="inlineStr">
        <is>
          <t>空</t>
        </is>
      </c>
      <c r="D1992" t="n">
        <v>2</v>
      </c>
      <c r="E1992" t="n">
        <v>5</v>
      </c>
      <c r="F1992" t="inlineStr">
        <is>
          <t>影子仓</t>
        </is>
      </c>
      <c r="G1992" t="n">
        <v>1</v>
      </c>
      <c r="H1992" t="n">
        <v>448.76</v>
      </c>
      <c r="I1992" t="n">
        <v>458.48</v>
      </c>
      <c r="J1992" t="n">
        <v>1</v>
      </c>
      <c r="K1992" t="inlineStr">
        <is>
          <t>凯利≤0，开1%影子仓（只统计，不计入组合）</t>
        </is>
      </c>
    </row>
    <row r="1993">
      <c r="A1993" t="inlineStr">
        <is>
          <t>2023-06-29</t>
        </is>
      </c>
      <c r="B1993" t="inlineStr">
        <is>
          <t>棕榈油</t>
        </is>
      </c>
      <c r="C1993" t="inlineStr">
        <is>
          <t>多</t>
        </is>
      </c>
      <c r="D1993" t="n">
        <v>2</v>
      </c>
      <c r="E1993" t="n">
        <v>5</v>
      </c>
      <c r="F1993" t="inlineStr">
        <is>
          <t>影子仓</t>
        </is>
      </c>
      <c r="G1993" t="n">
        <v>1</v>
      </c>
      <c r="H1993" t="n">
        <v>7312</v>
      </c>
      <c r="I1993" t="n">
        <v>6749.71</v>
      </c>
      <c r="J1993" t="n">
        <v>1</v>
      </c>
      <c r="K1993" t="inlineStr">
        <is>
          <t>凯利≤0，开1%影子仓（只统计，不计入组合）</t>
        </is>
      </c>
    </row>
    <row r="1994">
      <c r="A1994" t="inlineStr">
        <is>
          <t>2023-06-29</t>
        </is>
      </c>
      <c r="B1994" t="inlineStr">
        <is>
          <t>棉花</t>
        </is>
      </c>
      <c r="C1994" t="inlineStr">
        <is>
          <t>空</t>
        </is>
      </c>
      <c r="D1994" t="n">
        <v>2</v>
      </c>
      <c r="E1994" t="n">
        <v>4</v>
      </c>
      <c r="F1994" t="inlineStr">
        <is>
          <t>续持</t>
        </is>
      </c>
      <c r="G1994" t="n">
        <v>2</v>
      </c>
      <c r="H1994" t="n">
        <v>16280</v>
      </c>
      <c r="I1994" t="n">
        <v>17102.14</v>
      </c>
      <c r="J1994" t="n">
        <v>1</v>
      </c>
      <c r="K1994" t="inlineStr">
        <is>
          <t>续持原仓（2023-06-28开）</t>
        </is>
      </c>
    </row>
    <row r="1995">
      <c r="A1995" t="inlineStr">
        <is>
          <t>2023-06-30</t>
        </is>
      </c>
      <c r="B1995" t="inlineStr">
        <is>
          <t>菜粕</t>
        </is>
      </c>
      <c r="C1995" t="inlineStr">
        <is>
          <t>多</t>
        </is>
      </c>
      <c r="D1995" t="n">
        <v>3</v>
      </c>
      <c r="E1995" t="n">
        <v>7</v>
      </c>
      <c r="F1995" t="inlineStr">
        <is>
          <t>开仓</t>
        </is>
      </c>
      <c r="G1995" t="n">
        <v>9</v>
      </c>
      <c r="H1995" t="n">
        <v>3338</v>
      </c>
      <c r="I1995" t="n">
        <v>3112.14</v>
      </c>
      <c r="J1995" t="n">
        <v>2.24</v>
      </c>
      <c r="K1995" t="inlineStr">
        <is>
          <t>¼凯利</t>
        </is>
      </c>
    </row>
    <row r="1996">
      <c r="A1996" t="inlineStr">
        <is>
          <t>2023-06-30</t>
        </is>
      </c>
      <c r="B1996" t="inlineStr">
        <is>
          <t>棕榈油</t>
        </is>
      </c>
      <c r="C1996" t="inlineStr">
        <is>
          <t>多</t>
        </is>
      </c>
      <c r="D1996" t="n">
        <v>3</v>
      </c>
      <c r="E1996" t="n">
        <v>7</v>
      </c>
      <c r="F1996" t="inlineStr">
        <is>
          <t>续持</t>
        </is>
      </c>
      <c r="G1996" t="n">
        <v>1</v>
      </c>
      <c r="H1996" t="n">
        <v>7370</v>
      </c>
      <c r="I1996" t="n">
        <v>6863.43</v>
      </c>
      <c r="J1996" t="n">
        <v>1</v>
      </c>
      <c r="K1996" t="inlineStr">
        <is>
          <t>续持原仓（2023-06-29开）</t>
        </is>
      </c>
    </row>
    <row r="1997">
      <c r="A1997" t="inlineStr">
        <is>
          <t>2023-06-30</t>
        </is>
      </c>
      <c r="B1997" t="inlineStr">
        <is>
          <t>沪金</t>
        </is>
      </c>
      <c r="C1997" t="inlineStr">
        <is>
          <t>空</t>
        </is>
      </c>
      <c r="D1997" t="n">
        <v>3</v>
      </c>
      <c r="E1997" t="n">
        <v>6</v>
      </c>
      <c r="F1997" t="inlineStr">
        <is>
          <t>观望</t>
        </is>
      </c>
      <c r="G1997" t="n">
        <v>2</v>
      </c>
      <c r="H1997" t="n">
        <v>449.7</v>
      </c>
      <c r="I1997" t="n">
        <v>459.11</v>
      </c>
      <c r="J1997" t="n">
        <v>2.24</v>
      </c>
      <c r="K1997" t="inlineStr">
        <is>
          <t>逆5日线（收盘在5日线上，不追空）</t>
        </is>
      </c>
    </row>
    <row r="1998">
      <c r="A1998" t="inlineStr">
        <is>
          <t>2023-06-30</t>
        </is>
      </c>
      <c r="B1998" t="inlineStr">
        <is>
          <t>甲醇</t>
        </is>
      </c>
      <c r="C1998" t="inlineStr">
        <is>
          <t>多</t>
        </is>
      </c>
      <c r="D1998" t="n">
        <v>3</v>
      </c>
      <c r="E1998" t="n">
        <v>6</v>
      </c>
      <c r="F1998" t="inlineStr">
        <is>
          <t>开仓</t>
        </is>
      </c>
      <c r="G1998" t="n">
        <v>15</v>
      </c>
      <c r="H1998" t="n">
        <v>2161</v>
      </c>
      <c r="I1998" t="n">
        <v>2014.64</v>
      </c>
      <c r="J1998" t="n">
        <v>2.24</v>
      </c>
      <c r="K1998" t="inlineStr">
        <is>
          <t>¼凯利</t>
        </is>
      </c>
    </row>
    <row r="1999">
      <c r="A1999" t="inlineStr">
        <is>
          <t>2023-06-30</t>
        </is>
      </c>
      <c r="B1999" t="inlineStr">
        <is>
          <t>铁矿石</t>
        </is>
      </c>
      <c r="C1999" t="inlineStr">
        <is>
          <t>多</t>
        </is>
      </c>
      <c r="D1999" t="n">
        <v>2</v>
      </c>
      <c r="E1999" t="n">
        <v>4</v>
      </c>
      <c r="F1999" t="inlineStr">
        <is>
          <t>续持</t>
        </is>
      </c>
      <c r="G1999" t="n">
        <v>1</v>
      </c>
      <c r="H1999" t="n">
        <v>822.5</v>
      </c>
      <c r="I1999" t="n">
        <v>784.75</v>
      </c>
      <c r="J1999" t="n">
        <v>1</v>
      </c>
      <c r="K1999" t="inlineStr">
        <is>
          <t>续持原仓（2023-06-19开）</t>
        </is>
      </c>
    </row>
    <row r="2000">
      <c r="A2000" t="inlineStr">
        <is>
          <t>2023-06-30</t>
        </is>
      </c>
      <c r="B2000" t="inlineStr">
        <is>
          <t>菜油</t>
        </is>
      </c>
      <c r="C2000" t="inlineStr">
        <is>
          <t>多</t>
        </is>
      </c>
      <c r="D2000" t="n">
        <v>2</v>
      </c>
      <c r="E2000" t="n">
        <v>4</v>
      </c>
      <c r="F2000" t="inlineStr">
        <is>
          <t>续持</t>
        </is>
      </c>
      <c r="G2000" t="n">
        <v>1</v>
      </c>
      <c r="H2000" t="n">
        <v>8768</v>
      </c>
      <c r="I2000" t="n">
        <v>8159.29</v>
      </c>
      <c r="J2000" t="n">
        <v>1</v>
      </c>
      <c r="K2000" t="inlineStr">
        <is>
          <t>续持原仓（2023-06-16开）</t>
        </is>
      </c>
    </row>
    <row r="2001">
      <c r="A2001" t="inlineStr">
        <is>
          <t>2023-07-03</t>
        </is>
      </c>
      <c r="B2001" t="inlineStr">
        <is>
          <t>豆油</t>
        </is>
      </c>
      <c r="C2001" t="inlineStr">
        <is>
          <t>多</t>
        </is>
      </c>
      <c r="D2001" t="n">
        <v>3</v>
      </c>
      <c r="E2001" t="n">
        <v>6</v>
      </c>
      <c r="F2001" t="inlineStr">
        <is>
          <t>开仓</t>
        </is>
      </c>
      <c r="G2001" t="n">
        <v>4</v>
      </c>
      <c r="H2001" t="n">
        <v>8198</v>
      </c>
      <c r="I2001" t="n">
        <v>7616.86</v>
      </c>
      <c r="J2001" t="n">
        <v>2.49</v>
      </c>
      <c r="K2001" t="inlineStr">
        <is>
          <t>¼凯利</t>
        </is>
      </c>
    </row>
    <row r="2002">
      <c r="A2002" t="inlineStr">
        <is>
          <t>2023-07-03</t>
        </is>
      </c>
      <c r="B2002" t="inlineStr">
        <is>
          <t>苯乙烯</t>
        </is>
      </c>
      <c r="C2002" t="inlineStr">
        <is>
          <t>多</t>
        </is>
      </c>
      <c r="D2002" t="n">
        <v>2</v>
      </c>
      <c r="E2002" t="n">
        <v>5</v>
      </c>
      <c r="F2002" t="inlineStr">
        <is>
          <t>影子仓</t>
        </is>
      </c>
      <c r="G2002" t="n">
        <v>3</v>
      </c>
      <c r="H2002" t="n">
        <v>7277</v>
      </c>
      <c r="I2002" t="n">
        <v>6722.21</v>
      </c>
      <c r="J2002" t="n">
        <v>1</v>
      </c>
      <c r="K2002" t="inlineStr">
        <is>
          <t>凯利≤0，开1%影子仓（只统计，不计入组合）</t>
        </is>
      </c>
    </row>
    <row r="2003">
      <c r="A2003" t="inlineStr">
        <is>
          <t>2023-07-03</t>
        </is>
      </c>
      <c r="B2003" t="inlineStr">
        <is>
          <t>甲醇</t>
        </is>
      </c>
      <c r="C2003" t="inlineStr">
        <is>
          <t>多</t>
        </is>
      </c>
      <c r="D2003" t="n">
        <v>2</v>
      </c>
      <c r="E2003" t="n">
        <v>4</v>
      </c>
      <c r="F2003" t="inlineStr">
        <is>
          <t>续持</t>
        </is>
      </c>
      <c r="G2003" t="n">
        <v>15</v>
      </c>
      <c r="H2003" t="n">
        <v>2164</v>
      </c>
      <c r="I2003" t="n">
        <v>2028</v>
      </c>
      <c r="J2003" t="n">
        <v>2.24</v>
      </c>
      <c r="K2003" t="inlineStr">
        <is>
          <t>续持原仓（2023-06-30开）</t>
        </is>
      </c>
    </row>
    <row r="2004">
      <c r="A2004" t="inlineStr">
        <is>
          <t>2023-07-03</t>
        </is>
      </c>
      <c r="B2004" t="inlineStr">
        <is>
          <t>铁矿石</t>
        </is>
      </c>
      <c r="C2004" t="inlineStr">
        <is>
          <t>空</t>
        </is>
      </c>
      <c r="D2004" t="n">
        <v>2</v>
      </c>
      <c r="E2004" t="n">
        <v>4</v>
      </c>
      <c r="F2004" t="inlineStr">
        <is>
          <t>影子仓</t>
        </is>
      </c>
      <c r="G2004" t="n">
        <v>1</v>
      </c>
      <c r="H2004" t="n">
        <v>819</v>
      </c>
      <c r="I2004" t="n">
        <v>874.0700000000001</v>
      </c>
      <c r="J2004" t="n">
        <v>1</v>
      </c>
      <c r="K2004" t="inlineStr">
        <is>
          <t>凯利≤0，开1%影子仓（只统计，不计入组合）</t>
        </is>
      </c>
    </row>
    <row r="2005">
      <c r="A2005" t="inlineStr">
        <is>
          <t>2023-07-04</t>
        </is>
      </c>
      <c r="B2005" t="inlineStr">
        <is>
          <t>沪金</t>
        </is>
      </c>
      <c r="C2005" t="inlineStr">
        <is>
          <t>空</t>
        </is>
      </c>
      <c r="D2005" t="n">
        <v>3</v>
      </c>
      <c r="E2005" t="n">
        <v>6</v>
      </c>
      <c r="F2005" t="inlineStr">
        <is>
          <t>观望</t>
        </is>
      </c>
      <c r="G2005" t="n">
        <v>2</v>
      </c>
      <c r="H2005" t="n">
        <v>450.96</v>
      </c>
      <c r="I2005" t="n">
        <v>460.05</v>
      </c>
      <c r="J2005" t="n">
        <v>2.47</v>
      </c>
      <c r="K2005" t="inlineStr">
        <is>
          <t>逆5日线（收盘在5日线上，不追空）</t>
        </is>
      </c>
    </row>
    <row r="2006">
      <c r="A2006" t="inlineStr">
        <is>
          <t>2023-07-04</t>
        </is>
      </c>
      <c r="B2006" t="inlineStr">
        <is>
          <t>玉米</t>
        </is>
      </c>
      <c r="C2006" t="inlineStr">
        <is>
          <t>多</t>
        </is>
      </c>
      <c r="D2006" t="n">
        <v>2</v>
      </c>
      <c r="E2006" t="n">
        <v>5</v>
      </c>
      <c r="F2006" t="inlineStr">
        <is>
          <t>影子仓</t>
        </is>
      </c>
      <c r="G2006" t="n">
        <v>10</v>
      </c>
      <c r="H2006" t="n">
        <v>2748</v>
      </c>
      <c r="I2006" t="n">
        <v>2651.36</v>
      </c>
      <c r="J2006" t="n">
        <v>1</v>
      </c>
      <c r="K2006" t="inlineStr">
        <is>
          <t>凯利≤0，开1%影子仓（只统计，不计入组合）</t>
        </is>
      </c>
    </row>
    <row r="2007">
      <c r="A2007" t="inlineStr">
        <is>
          <t>2023-07-04</t>
        </is>
      </c>
      <c r="B2007" t="inlineStr">
        <is>
          <t>棕榈油</t>
        </is>
      </c>
      <c r="C2007" t="inlineStr">
        <is>
          <t>多</t>
        </is>
      </c>
      <c r="D2007" t="n">
        <v>2</v>
      </c>
      <c r="E2007" t="n">
        <v>4</v>
      </c>
      <c r="F2007" t="inlineStr">
        <is>
          <t>影子仓</t>
        </is>
      </c>
      <c r="G2007" t="n">
        <v>1</v>
      </c>
      <c r="H2007" t="n">
        <v>7596</v>
      </c>
      <c r="I2007" t="n">
        <v>7002</v>
      </c>
      <c r="J2007" t="n">
        <v>1</v>
      </c>
      <c r="K2007" t="inlineStr">
        <is>
          <t>凯利≤0，开1%影子仓（只统计，不计入组合）</t>
        </is>
      </c>
    </row>
    <row r="2008">
      <c r="A2008" t="inlineStr">
        <is>
          <t>2023-07-05</t>
        </is>
      </c>
      <c r="B2008" t="inlineStr">
        <is>
          <t>沪金</t>
        </is>
      </c>
      <c r="C2008" t="inlineStr">
        <is>
          <t>空</t>
        </is>
      </c>
      <c r="D2008" t="n">
        <v>3</v>
      </c>
      <c r="E2008" t="n">
        <v>6</v>
      </c>
      <c r="F2008" t="inlineStr">
        <is>
          <t>观望</t>
        </is>
      </c>
      <c r="G2008" t="n">
        <v>2</v>
      </c>
      <c r="H2008" t="n">
        <v>451.76</v>
      </c>
      <c r="I2008" t="n">
        <v>460.43</v>
      </c>
      <c r="J2008" t="n">
        <v>2.47</v>
      </c>
      <c r="K2008" t="inlineStr">
        <is>
          <t>逆5日线（收盘在5日线上，不追空）</t>
        </is>
      </c>
    </row>
    <row r="2009">
      <c r="A2009" t="inlineStr">
        <is>
          <t>2023-07-05</t>
        </is>
      </c>
      <c r="B2009" t="inlineStr">
        <is>
          <t>玉米</t>
        </is>
      </c>
      <c r="C2009" t="inlineStr">
        <is>
          <t>多</t>
        </is>
      </c>
      <c r="D2009" t="n">
        <v>3</v>
      </c>
      <c r="E2009" t="n">
        <v>6</v>
      </c>
      <c r="F2009" t="inlineStr">
        <is>
          <t>续持</t>
        </is>
      </c>
      <c r="G2009" t="n">
        <v>10</v>
      </c>
      <c r="H2009" t="n">
        <v>2780</v>
      </c>
      <c r="I2009" t="n">
        <v>2689.93</v>
      </c>
      <c r="J2009" t="n">
        <v>1</v>
      </c>
      <c r="K2009" t="inlineStr">
        <is>
          <t>续持原仓（2023-07-04开）</t>
        </is>
      </c>
    </row>
    <row r="2010">
      <c r="A2010" t="inlineStr">
        <is>
          <t>2023-07-05</t>
        </is>
      </c>
      <c r="B2010" t="inlineStr">
        <is>
          <t>塑料</t>
        </is>
      </c>
      <c r="C2010" t="inlineStr">
        <is>
          <t>多</t>
        </is>
      </c>
      <c r="D2010" t="n">
        <v>3</v>
      </c>
      <c r="E2010" t="n">
        <v>6</v>
      </c>
      <c r="F2010" t="inlineStr">
        <is>
          <t>开仓</t>
        </is>
      </c>
      <c r="G2010" t="n">
        <v>21</v>
      </c>
      <c r="H2010" t="n">
        <v>7886</v>
      </c>
      <c r="I2010" t="n">
        <v>7661.43</v>
      </c>
      <c r="J2010" t="n">
        <v>2.47</v>
      </c>
      <c r="K2010" t="inlineStr">
        <is>
          <t>¼凯利</t>
        </is>
      </c>
    </row>
    <row r="2011">
      <c r="A2011" t="inlineStr">
        <is>
          <t>2023-07-05</t>
        </is>
      </c>
      <c r="B2011" t="inlineStr">
        <is>
          <t>苯乙烯</t>
        </is>
      </c>
      <c r="C2011" t="inlineStr">
        <is>
          <t>多</t>
        </is>
      </c>
      <c r="D2011" t="n">
        <v>2</v>
      </c>
      <c r="E2011" t="n">
        <v>5</v>
      </c>
      <c r="F2011" t="inlineStr">
        <is>
          <t>影子仓</t>
        </is>
      </c>
      <c r="G2011" t="n">
        <v>4</v>
      </c>
      <c r="H2011" t="n">
        <v>7351</v>
      </c>
      <c r="I2011" t="n">
        <v>6858.57</v>
      </c>
      <c r="J2011" t="n">
        <v>1</v>
      </c>
      <c r="K2011" t="inlineStr">
        <is>
          <t>凯利≤0，开1%影子仓（只统计，不计入组合）</t>
        </is>
      </c>
    </row>
    <row r="2012">
      <c r="A2012" t="inlineStr">
        <is>
          <t>2023-07-05</t>
        </is>
      </c>
      <c r="B2012" t="inlineStr">
        <is>
          <t>纸浆</t>
        </is>
      </c>
      <c r="C2012" t="inlineStr">
        <is>
          <t>多</t>
        </is>
      </c>
      <c r="D2012" t="n">
        <v>2</v>
      </c>
      <c r="E2012" t="n">
        <v>4</v>
      </c>
      <c r="F2012" t="inlineStr">
        <is>
          <t>影子仓</t>
        </is>
      </c>
      <c r="G2012" t="n">
        <v>3</v>
      </c>
      <c r="H2012" t="n">
        <v>5384</v>
      </c>
      <c r="I2012" t="n">
        <v>5117.43</v>
      </c>
      <c r="J2012" t="n">
        <v>1</v>
      </c>
      <c r="K2012" t="inlineStr">
        <is>
          <t>凯利≤0，开1%影子仓（只统计，不计入组合）</t>
        </is>
      </c>
    </row>
    <row r="2013">
      <c r="A2013" t="inlineStr">
        <is>
          <t>2023-07-06</t>
        </is>
      </c>
      <c r="B2013" t="inlineStr">
        <is>
          <t>PTA</t>
        </is>
      </c>
      <c r="C2013" t="inlineStr">
        <is>
          <t>多</t>
        </is>
      </c>
      <c r="D2013" t="n">
        <v>3</v>
      </c>
      <c r="E2013" t="n">
        <v>7</v>
      </c>
      <c r="F2013" t="inlineStr">
        <is>
          <t>开仓</t>
        </is>
      </c>
      <c r="G2013" t="n">
        <v>18</v>
      </c>
      <c r="H2013" t="n">
        <v>5618</v>
      </c>
      <c r="I2013" t="n">
        <v>5341.14</v>
      </c>
      <c r="J2013" t="n">
        <v>2.5</v>
      </c>
      <c r="K2013" t="inlineStr">
        <is>
          <t>组合风险已近10%，预算缩小</t>
        </is>
      </c>
    </row>
    <row r="2014">
      <c r="A2014" t="inlineStr">
        <is>
          <t>2023-07-06</t>
        </is>
      </c>
      <c r="B2014" t="inlineStr">
        <is>
          <t>菜油</t>
        </is>
      </c>
      <c r="C2014" t="inlineStr">
        <is>
          <t>多</t>
        </is>
      </c>
      <c r="D2014" t="n">
        <v>2</v>
      </c>
      <c r="E2014" t="n">
        <v>5</v>
      </c>
      <c r="F2014" t="inlineStr">
        <is>
          <t>影子仓</t>
        </is>
      </c>
      <c r="G2014" t="n">
        <v>1</v>
      </c>
      <c r="H2014" t="n">
        <v>9372</v>
      </c>
      <c r="I2014" t="n">
        <v>8680.07</v>
      </c>
      <c r="J2014" t="n">
        <v>1</v>
      </c>
      <c r="K2014" t="inlineStr">
        <is>
          <t>凯利≤0，开1%影子仓（只统计，不计入组合）</t>
        </is>
      </c>
    </row>
    <row r="2015">
      <c r="A2015" t="inlineStr">
        <is>
          <t>2023-07-06</t>
        </is>
      </c>
      <c r="B2015" t="inlineStr">
        <is>
          <t>苯乙烯</t>
        </is>
      </c>
      <c r="C2015" t="inlineStr">
        <is>
          <t>多</t>
        </is>
      </c>
      <c r="D2015" t="n">
        <v>2</v>
      </c>
      <c r="E2015" t="n">
        <v>5</v>
      </c>
      <c r="F2015" t="inlineStr">
        <is>
          <t>续持</t>
        </is>
      </c>
      <c r="G2015" t="n">
        <v>4</v>
      </c>
      <c r="H2015" t="n">
        <v>7340</v>
      </c>
      <c r="I2015" t="n">
        <v>6917.21</v>
      </c>
      <c r="J2015" t="n">
        <v>1</v>
      </c>
      <c r="K2015" t="inlineStr">
        <is>
          <t>续持原仓（2023-07-05开）</t>
        </is>
      </c>
    </row>
    <row r="2016">
      <c r="A2016" t="inlineStr">
        <is>
          <t>2023-07-06</t>
        </is>
      </c>
      <c r="B2016" t="inlineStr">
        <is>
          <t>短纤</t>
        </is>
      </c>
      <c r="C2016" t="inlineStr">
        <is>
          <t>多</t>
        </is>
      </c>
      <c r="D2016" t="n">
        <v>2</v>
      </c>
      <c r="E2016" t="n">
        <v>5</v>
      </c>
      <c r="F2016" t="inlineStr">
        <is>
          <t>影子仓</t>
        </is>
      </c>
      <c r="G2016" t="n">
        <v>6</v>
      </c>
      <c r="H2016" t="n">
        <v>7130</v>
      </c>
      <c r="I2016" t="n">
        <v>6818</v>
      </c>
      <c r="J2016" t="n">
        <v>1</v>
      </c>
      <c r="K2016" t="inlineStr">
        <is>
          <t>凯利≤0，开1%影子仓（只统计，不计入组合）</t>
        </is>
      </c>
    </row>
    <row r="2017">
      <c r="A2017" t="inlineStr">
        <is>
          <t>2023-07-07</t>
        </is>
      </c>
      <c r="B2017" t="inlineStr">
        <is>
          <t>玉米</t>
        </is>
      </c>
      <c r="C2017" t="inlineStr">
        <is>
          <t>多</t>
        </is>
      </c>
      <c r="D2017" t="n">
        <v>3</v>
      </c>
      <c r="E2017" t="n">
        <v>6</v>
      </c>
      <c r="F2017" t="inlineStr">
        <is>
          <t>开仓</t>
        </is>
      </c>
      <c r="G2017" t="n">
        <v>27</v>
      </c>
      <c r="H2017" t="n">
        <v>2788</v>
      </c>
      <c r="I2017" t="n">
        <v>2695.43</v>
      </c>
      <c r="J2017" t="n">
        <v>2.51</v>
      </c>
      <c r="K2017" t="inlineStr">
        <is>
          <t>¼凯利</t>
        </is>
      </c>
    </row>
    <row r="2018">
      <c r="A2018" t="inlineStr">
        <is>
          <t>2023-07-07</t>
        </is>
      </c>
      <c r="B2018" t="inlineStr">
        <is>
          <t>塑料</t>
        </is>
      </c>
      <c r="C2018" t="inlineStr">
        <is>
          <t>多</t>
        </is>
      </c>
      <c r="D2018" t="n">
        <v>3</v>
      </c>
      <c r="E2018" t="n">
        <v>6</v>
      </c>
      <c r="F2018" t="inlineStr">
        <is>
          <t>开仓</t>
        </is>
      </c>
      <c r="G2018" t="n">
        <v>22</v>
      </c>
      <c r="H2018" t="n">
        <v>7997</v>
      </c>
      <c r="I2018" t="n">
        <v>7776.07</v>
      </c>
      <c r="J2018" t="n">
        <v>2.51</v>
      </c>
      <c r="K2018" t="inlineStr">
        <is>
          <t>¼凯利</t>
        </is>
      </c>
    </row>
    <row r="2019">
      <c r="A2019" t="inlineStr">
        <is>
          <t>2023-07-07</t>
        </is>
      </c>
      <c r="B2019" t="inlineStr">
        <is>
          <t>苯乙烯</t>
        </is>
      </c>
      <c r="C2019" t="inlineStr">
        <is>
          <t>多</t>
        </is>
      </c>
      <c r="D2019" t="n">
        <v>3</v>
      </c>
      <c r="E2019" t="n">
        <v>6</v>
      </c>
      <c r="F2019" t="inlineStr">
        <is>
          <t>续持</t>
        </is>
      </c>
      <c r="G2019" t="n">
        <v>4</v>
      </c>
      <c r="H2019" t="n">
        <v>7450</v>
      </c>
      <c r="I2019" t="n">
        <v>7062.36</v>
      </c>
      <c r="J2019" t="n">
        <v>1</v>
      </c>
      <c r="K2019" t="inlineStr">
        <is>
          <t>续持原仓（2023-07-05开）</t>
        </is>
      </c>
    </row>
    <row r="2020">
      <c r="A2020" t="inlineStr">
        <is>
          <t>2023-07-07</t>
        </is>
      </c>
      <c r="B2020" t="inlineStr">
        <is>
          <t>菜粕</t>
        </is>
      </c>
      <c r="C2020" t="inlineStr">
        <is>
          <t>多</t>
        </is>
      </c>
      <c r="D2020" t="n">
        <v>2</v>
      </c>
      <c r="E2020" t="n">
        <v>5</v>
      </c>
      <c r="F2020" t="inlineStr">
        <is>
          <t>影子仓</t>
        </is>
      </c>
      <c r="G2020" t="n">
        <v>3</v>
      </c>
      <c r="H2020" t="n">
        <v>3606</v>
      </c>
      <c r="I2020" t="n">
        <v>3312</v>
      </c>
      <c r="J2020" t="n">
        <v>1</v>
      </c>
      <c r="K2020" t="inlineStr">
        <is>
          <t>凯利≤0，开1%影子仓（只统计，不计入组合）</t>
        </is>
      </c>
    </row>
    <row r="2021">
      <c r="A2021" t="inlineStr">
        <is>
          <t>2023-07-07</t>
        </is>
      </c>
      <c r="B2021" t="inlineStr">
        <is>
          <t>白糖</t>
        </is>
      </c>
      <c r="C2021" t="inlineStr">
        <is>
          <t>空</t>
        </is>
      </c>
      <c r="D2021" t="n">
        <v>2</v>
      </c>
      <c r="E2021" t="n">
        <v>5</v>
      </c>
      <c r="F2021" t="inlineStr">
        <is>
          <t>影子仓</t>
        </is>
      </c>
      <c r="G2021" t="n">
        <v>3</v>
      </c>
      <c r="H2021" t="n">
        <v>6733</v>
      </c>
      <c r="I2021" t="n">
        <v>7017.36</v>
      </c>
      <c r="J2021" t="n">
        <v>1</v>
      </c>
      <c r="K2021" t="inlineStr">
        <is>
          <t>凯利≤0，开1%影子仓（只统计，不计入组合）</t>
        </is>
      </c>
    </row>
    <row r="2022">
      <c r="A2022" t="inlineStr">
        <is>
          <t>2023-07-07</t>
        </is>
      </c>
      <c r="B2022" t="inlineStr">
        <is>
          <t>短纤</t>
        </is>
      </c>
      <c r="C2022" t="inlineStr">
        <is>
          <t>多</t>
        </is>
      </c>
      <c r="D2022" t="n">
        <v>2</v>
      </c>
      <c r="E2022" t="n">
        <v>5</v>
      </c>
      <c r="F2022" t="inlineStr">
        <is>
          <t>续持</t>
        </is>
      </c>
      <c r="G2022" t="n">
        <v>6</v>
      </c>
      <c r="H2022" t="n">
        <v>7220</v>
      </c>
      <c r="I2022" t="n">
        <v>6918.71</v>
      </c>
      <c r="J2022" t="n">
        <v>1</v>
      </c>
      <c r="K2022" t="inlineStr">
        <is>
          <t>续持原仓（2023-07-06开）</t>
        </is>
      </c>
    </row>
    <row r="2023">
      <c r="A2023" t="inlineStr">
        <is>
          <t>2023-07-07</t>
        </is>
      </c>
      <c r="B2023" t="inlineStr">
        <is>
          <t>沪锌</t>
        </is>
      </c>
      <c r="C2023" t="inlineStr">
        <is>
          <t>空</t>
        </is>
      </c>
      <c r="D2023" t="n">
        <v>2</v>
      </c>
      <c r="E2023" t="n">
        <v>4</v>
      </c>
      <c r="F2023" t="inlineStr">
        <is>
          <t>影子仓</t>
        </is>
      </c>
      <c r="G2023" t="n">
        <v>2</v>
      </c>
      <c r="H2023" t="n">
        <v>19965</v>
      </c>
      <c r="I2023" t="n">
        <v>20780.36</v>
      </c>
      <c r="J2023" t="n">
        <v>1</v>
      </c>
      <c r="K2023" t="inlineStr">
        <is>
          <t>凯利≤0，开1%影子仓（只统计，不计入组合）</t>
        </is>
      </c>
    </row>
    <row r="2024">
      <c r="A2024" t="inlineStr">
        <is>
          <t>2023-07-10</t>
        </is>
      </c>
      <c r="B2024" t="inlineStr">
        <is>
          <t>菜粕</t>
        </is>
      </c>
      <c r="C2024" t="inlineStr">
        <is>
          <t>多</t>
        </is>
      </c>
      <c r="D2024" t="n">
        <v>3</v>
      </c>
      <c r="E2024" t="n">
        <v>7</v>
      </c>
      <c r="F2024" t="inlineStr">
        <is>
          <t>续持</t>
        </is>
      </c>
      <c r="G2024" t="n">
        <v>3</v>
      </c>
      <c r="H2024" t="n">
        <v>3617</v>
      </c>
      <c r="I2024" t="n">
        <v>3333.71</v>
      </c>
      <c r="J2024" t="n">
        <v>1</v>
      </c>
      <c r="K2024" t="inlineStr">
        <is>
          <t>续持原仓（2023-07-07开）</t>
        </is>
      </c>
    </row>
    <row r="2025">
      <c r="A2025" t="inlineStr">
        <is>
          <t>2023-07-10</t>
        </is>
      </c>
      <c r="B2025" t="inlineStr">
        <is>
          <t>纯碱</t>
        </is>
      </c>
      <c r="C2025" t="inlineStr">
        <is>
          <t>多</t>
        </is>
      </c>
      <c r="D2025" t="n">
        <v>3</v>
      </c>
      <c r="E2025" t="n">
        <v>7</v>
      </c>
      <c r="F2025" t="inlineStr">
        <is>
          <t>开仓</t>
        </is>
      </c>
      <c r="G2025" t="n">
        <v>8</v>
      </c>
      <c r="H2025" t="n">
        <v>1728</v>
      </c>
      <c r="I2025" t="n">
        <v>1590.86</v>
      </c>
      <c r="J2025" t="n">
        <v>2.29</v>
      </c>
      <c r="K2025" t="inlineStr">
        <is>
          <t>组合风险已近10%，预算缩小</t>
        </is>
      </c>
    </row>
    <row r="2026">
      <c r="A2026" t="inlineStr">
        <is>
          <t>2023-07-10</t>
        </is>
      </c>
      <c r="B2026" t="inlineStr">
        <is>
          <t>PVC</t>
        </is>
      </c>
      <c r="C2026" t="inlineStr">
        <is>
          <t>多</t>
        </is>
      </c>
      <c r="D2026" t="n">
        <v>3</v>
      </c>
      <c r="E2026" t="n">
        <v>6</v>
      </c>
      <c r="F2026" t="inlineStr">
        <is>
          <t>不做</t>
        </is>
      </c>
      <c r="H2026" t="n">
        <v>5870</v>
      </c>
      <c r="J2026" t="n">
        <v>0</v>
      </c>
      <c r="K2026" t="inlineStr">
        <is>
          <t>组合风险已近10%，预算缩小</t>
        </is>
      </c>
    </row>
    <row r="2027">
      <c r="A2027" t="inlineStr">
        <is>
          <t>2023-07-10</t>
        </is>
      </c>
      <c r="B2027" t="inlineStr">
        <is>
          <t>燃料油</t>
        </is>
      </c>
      <c r="C2027" t="inlineStr">
        <is>
          <t>多</t>
        </is>
      </c>
      <c r="D2027" t="n">
        <v>3</v>
      </c>
      <c r="E2027" t="n">
        <v>6</v>
      </c>
      <c r="F2027" t="inlineStr">
        <is>
          <t>不做</t>
        </is>
      </c>
      <c r="H2027" t="n">
        <v>3206</v>
      </c>
      <c r="J2027" t="n">
        <v>0</v>
      </c>
      <c r="K2027" t="inlineStr">
        <is>
          <t>组合风险已近10%，预算缩小</t>
        </is>
      </c>
    </row>
    <row r="2028">
      <c r="A2028" t="inlineStr">
        <is>
          <t>2023-07-10</t>
        </is>
      </c>
      <c r="B2028" t="inlineStr">
        <is>
          <t>玉米</t>
        </is>
      </c>
      <c r="C2028" t="inlineStr">
        <is>
          <t>多</t>
        </is>
      </c>
      <c r="D2028" t="n">
        <v>2</v>
      </c>
      <c r="E2028" t="n">
        <v>5</v>
      </c>
      <c r="F2028" t="inlineStr">
        <is>
          <t>续持</t>
        </is>
      </c>
      <c r="G2028" t="n">
        <v>27</v>
      </c>
      <c r="H2028" t="n">
        <v>2779</v>
      </c>
      <c r="I2028" t="n">
        <v>2702.21</v>
      </c>
      <c r="J2028" t="n">
        <v>2.51</v>
      </c>
      <c r="K2028" t="inlineStr">
        <is>
          <t>续持原仓（2023-07-07开）</t>
        </is>
      </c>
    </row>
    <row r="2029">
      <c r="A2029" t="inlineStr">
        <is>
          <t>2023-07-10</t>
        </is>
      </c>
      <c r="B2029" t="inlineStr">
        <is>
          <t>沪镍</t>
        </is>
      </c>
      <c r="C2029" t="inlineStr">
        <is>
          <t>空</t>
        </is>
      </c>
      <c r="D2029" t="n">
        <v>2</v>
      </c>
      <c r="E2029" t="n">
        <v>4</v>
      </c>
      <c r="F2029" t="inlineStr">
        <is>
          <t>不做</t>
        </is>
      </c>
      <c r="H2029" t="n">
        <v>161030</v>
      </c>
      <c r="J2029" t="n">
        <v>1</v>
      </c>
      <c r="K2029" t="inlineStr">
        <is>
          <t>1手风险11734元超过预算10000元</t>
        </is>
      </c>
    </row>
    <row r="2030">
      <c r="A2030" t="inlineStr">
        <is>
          <t>2023-07-10</t>
        </is>
      </c>
      <c r="B2030" t="inlineStr">
        <is>
          <t>铁矿石</t>
        </is>
      </c>
      <c r="C2030" t="inlineStr">
        <is>
          <t>空</t>
        </is>
      </c>
      <c r="D2030" t="n">
        <v>2</v>
      </c>
      <c r="E2030" t="n">
        <v>4</v>
      </c>
      <c r="F2030" t="inlineStr">
        <is>
          <t>续持</t>
        </is>
      </c>
      <c r="G2030" t="n">
        <v>1</v>
      </c>
      <c r="H2030" t="n">
        <v>795.5</v>
      </c>
      <c r="I2030" t="n">
        <v>845.46</v>
      </c>
      <c r="J2030" t="n">
        <v>1</v>
      </c>
      <c r="K2030" t="inlineStr">
        <is>
          <t>续持原仓（2023-07-03开）</t>
        </is>
      </c>
    </row>
    <row r="2031">
      <c r="A2031" t="inlineStr">
        <is>
          <t>2023-07-11</t>
        </is>
      </c>
      <c r="B2031" t="inlineStr">
        <is>
          <t>菜油</t>
        </is>
      </c>
      <c r="C2031" t="inlineStr">
        <is>
          <t>多</t>
        </is>
      </c>
      <c r="D2031" t="n">
        <v>3</v>
      </c>
      <c r="E2031" t="n">
        <v>7</v>
      </c>
      <c r="F2031" t="inlineStr">
        <is>
          <t>开仓</t>
        </is>
      </c>
      <c r="G2031" t="n">
        <v>3</v>
      </c>
      <c r="H2031" t="n">
        <v>9463</v>
      </c>
      <c r="I2031" t="n">
        <v>8752.209999999999</v>
      </c>
      <c r="J2031" t="n">
        <v>2.7</v>
      </c>
      <c r="K2031" t="inlineStr">
        <is>
          <t>¼凯利</t>
        </is>
      </c>
    </row>
    <row r="2032">
      <c r="A2032" t="inlineStr">
        <is>
          <t>2023-07-11</t>
        </is>
      </c>
      <c r="B2032" t="inlineStr">
        <is>
          <t>燃料油</t>
        </is>
      </c>
      <c r="C2032" t="inlineStr">
        <is>
          <t>多</t>
        </is>
      </c>
      <c r="D2032" t="n">
        <v>3</v>
      </c>
      <c r="E2032" t="n">
        <v>7</v>
      </c>
      <c r="F2032" t="inlineStr">
        <is>
          <t>开仓</t>
        </is>
      </c>
      <c r="G2032" t="n">
        <v>10</v>
      </c>
      <c r="H2032" t="n">
        <v>3227</v>
      </c>
      <c r="I2032" t="n">
        <v>3018.93</v>
      </c>
      <c r="J2032" t="n">
        <v>2.1</v>
      </c>
      <c r="K2032" t="inlineStr">
        <is>
          <t>组合风险已近10%，预算缩小</t>
        </is>
      </c>
    </row>
    <row r="2033">
      <c r="A2033" t="inlineStr">
        <is>
          <t>2023-07-11</t>
        </is>
      </c>
      <c r="B2033" t="inlineStr">
        <is>
          <t>菜粕</t>
        </is>
      </c>
      <c r="C2033" t="inlineStr">
        <is>
          <t>多</t>
        </is>
      </c>
      <c r="D2033" t="n">
        <v>3</v>
      </c>
      <c r="E2033" t="n">
        <v>6</v>
      </c>
      <c r="F2033" t="inlineStr">
        <is>
          <t>续持</t>
        </is>
      </c>
      <c r="G2033" t="n">
        <v>3</v>
      </c>
      <c r="H2033" t="n">
        <v>3637</v>
      </c>
      <c r="I2033" t="n">
        <v>3400.71</v>
      </c>
      <c r="J2033" t="n">
        <v>1</v>
      </c>
      <c r="K2033" t="inlineStr">
        <is>
          <t>续持原仓（2023-07-07开）</t>
        </is>
      </c>
    </row>
    <row r="2034">
      <c r="A2034" t="inlineStr">
        <is>
          <t>2023-07-11</t>
        </is>
      </c>
      <c r="B2034" t="inlineStr">
        <is>
          <t>PTA</t>
        </is>
      </c>
      <c r="C2034" t="inlineStr">
        <is>
          <t>多</t>
        </is>
      </c>
      <c r="D2034" t="n">
        <v>3</v>
      </c>
      <c r="E2034" t="n">
        <v>6</v>
      </c>
      <c r="F2034" t="inlineStr">
        <is>
          <t>不做</t>
        </is>
      </c>
      <c r="H2034" t="n">
        <v>5848</v>
      </c>
      <c r="J2034" t="n">
        <v>0</v>
      </c>
      <c r="K2034" t="inlineStr">
        <is>
          <t>组合风险已近10%，预算缩小</t>
        </is>
      </c>
    </row>
    <row r="2035">
      <c r="A2035" t="inlineStr">
        <is>
          <t>2023-07-11</t>
        </is>
      </c>
      <c r="B2035" t="inlineStr">
        <is>
          <t>豆粕</t>
        </is>
      </c>
      <c r="C2035" t="inlineStr">
        <is>
          <t>多</t>
        </is>
      </c>
      <c r="D2035" t="n">
        <v>3</v>
      </c>
      <c r="E2035" t="n">
        <v>6</v>
      </c>
      <c r="F2035" t="inlineStr">
        <is>
          <t>不做</t>
        </is>
      </c>
      <c r="H2035" t="n">
        <v>3994</v>
      </c>
      <c r="J2035" t="n">
        <v>0</v>
      </c>
      <c r="K2035" t="inlineStr">
        <is>
          <t>组合风险已近10%，预算缩小</t>
        </is>
      </c>
    </row>
    <row r="2036">
      <c r="A2036" t="inlineStr">
        <is>
          <t>2023-07-12</t>
        </is>
      </c>
      <c r="B2036" t="inlineStr">
        <is>
          <t>菜粕</t>
        </is>
      </c>
      <c r="C2036" t="inlineStr">
        <is>
          <t>多</t>
        </is>
      </c>
      <c r="D2036" t="n">
        <v>3</v>
      </c>
      <c r="E2036" t="n">
        <v>7</v>
      </c>
      <c r="F2036" t="inlineStr">
        <is>
          <t>续持</t>
        </is>
      </c>
      <c r="G2036" t="n">
        <v>3</v>
      </c>
      <c r="H2036" t="n">
        <v>3689</v>
      </c>
      <c r="I2036" t="n">
        <v>3445.21</v>
      </c>
      <c r="J2036" t="n">
        <v>1</v>
      </c>
      <c r="K2036" t="inlineStr">
        <is>
          <t>续持原仓（2023-07-07开）</t>
        </is>
      </c>
    </row>
    <row r="2037">
      <c r="A2037" t="inlineStr">
        <is>
          <t>2023-07-12</t>
        </is>
      </c>
      <c r="B2037" t="inlineStr">
        <is>
          <t>PTA</t>
        </is>
      </c>
      <c r="C2037" t="inlineStr">
        <is>
          <t>多</t>
        </is>
      </c>
      <c r="D2037" t="n">
        <v>3</v>
      </c>
      <c r="E2037" t="n">
        <v>7</v>
      </c>
      <c r="F2037" t="inlineStr">
        <is>
          <t>开仓</t>
        </is>
      </c>
      <c r="G2037" t="n">
        <v>13</v>
      </c>
      <c r="H2037" t="n">
        <v>5894</v>
      </c>
      <c r="I2037" t="n">
        <v>5589.29</v>
      </c>
      <c r="J2037" t="n">
        <v>2.1</v>
      </c>
      <c r="K2037" t="inlineStr">
        <is>
          <t>组合风险已近10%，预算缩小</t>
        </is>
      </c>
    </row>
    <row r="2038">
      <c r="A2038" t="inlineStr">
        <is>
          <t>2023-07-12</t>
        </is>
      </c>
      <c r="B2038" t="inlineStr">
        <is>
          <t>豆粕</t>
        </is>
      </c>
      <c r="C2038" t="inlineStr">
        <is>
          <t>多</t>
        </is>
      </c>
      <c r="D2038" t="n">
        <v>3</v>
      </c>
      <c r="E2038" t="n">
        <v>7</v>
      </c>
      <c r="F2038" t="inlineStr">
        <is>
          <t>不做</t>
        </is>
      </c>
      <c r="H2038" t="n">
        <v>4051</v>
      </c>
      <c r="J2038" t="n">
        <v>0</v>
      </c>
      <c r="K2038" t="inlineStr">
        <is>
          <t>组合风险已近10%，预算缩小</t>
        </is>
      </c>
    </row>
    <row r="2039">
      <c r="A2039" t="inlineStr">
        <is>
          <t>2023-07-12</t>
        </is>
      </c>
      <c r="B2039" t="inlineStr">
        <is>
          <t>玉米</t>
        </is>
      </c>
      <c r="C2039" t="inlineStr">
        <is>
          <t>多</t>
        </is>
      </c>
      <c r="D2039" t="n">
        <v>3</v>
      </c>
      <c r="E2039" t="n">
        <v>6</v>
      </c>
      <c r="F2039" t="inlineStr">
        <is>
          <t>观望</t>
        </is>
      </c>
      <c r="H2039" t="n">
        <v>2746</v>
      </c>
      <c r="J2039" t="n">
        <v>0</v>
      </c>
      <c r="K2039" t="inlineStr">
        <is>
          <t>逆5日线（收盘在5日线下，不追多）</t>
        </is>
      </c>
    </row>
    <row r="2040">
      <c r="A2040" t="inlineStr">
        <is>
          <t>2023-07-12</t>
        </is>
      </c>
      <c r="B2040" t="inlineStr">
        <is>
          <t>菜油</t>
        </is>
      </c>
      <c r="C2040" t="inlineStr">
        <is>
          <t>多</t>
        </is>
      </c>
      <c r="D2040" t="n">
        <v>3</v>
      </c>
      <c r="E2040" t="n">
        <v>6</v>
      </c>
      <c r="F2040" t="inlineStr">
        <is>
          <t>续持</t>
        </is>
      </c>
      <c r="G2040" t="n">
        <v>3</v>
      </c>
      <c r="H2040" t="n">
        <v>9632</v>
      </c>
      <c r="I2040" t="n">
        <v>8964.209999999999</v>
      </c>
      <c r="J2040" t="n">
        <v>2.7</v>
      </c>
      <c r="K2040" t="inlineStr">
        <is>
          <t>续持原仓（2023-07-11开）</t>
        </is>
      </c>
    </row>
    <row r="2041">
      <c r="A2041" t="inlineStr">
        <is>
          <t>2023-07-13</t>
        </is>
      </c>
      <c r="B2041" t="inlineStr">
        <is>
          <t>菜粕</t>
        </is>
      </c>
      <c r="C2041" t="inlineStr">
        <is>
          <t>多</t>
        </is>
      </c>
      <c r="D2041" t="n">
        <v>3</v>
      </c>
      <c r="E2041" t="n">
        <v>7</v>
      </c>
      <c r="F2041" t="inlineStr">
        <is>
          <t>续持</t>
        </is>
      </c>
      <c r="G2041" t="n">
        <v>3</v>
      </c>
      <c r="H2041" t="n">
        <v>3753</v>
      </c>
      <c r="I2041" t="n">
        <v>3461.71</v>
      </c>
      <c r="J2041" t="n">
        <v>1</v>
      </c>
      <c r="K2041" t="inlineStr">
        <is>
          <t>续持原仓（2023-07-07开）</t>
        </is>
      </c>
    </row>
    <row r="2042">
      <c r="A2042" t="inlineStr">
        <is>
          <t>2023-07-13</t>
        </is>
      </c>
      <c r="B2042" t="inlineStr">
        <is>
          <t>PTA</t>
        </is>
      </c>
      <c r="C2042" t="inlineStr">
        <is>
          <t>多</t>
        </is>
      </c>
      <c r="D2042" t="n">
        <v>3</v>
      </c>
      <c r="E2042" t="n">
        <v>6</v>
      </c>
      <c r="F2042" t="inlineStr">
        <is>
          <t>续持</t>
        </is>
      </c>
      <c r="G2042" t="n">
        <v>13</v>
      </c>
      <c r="H2042" t="n">
        <v>5888</v>
      </c>
      <c r="I2042" t="n">
        <v>5654</v>
      </c>
      <c r="J2042" t="n">
        <v>2.1</v>
      </c>
      <c r="K2042" t="inlineStr">
        <is>
          <t>续持原仓（2023-07-12开）</t>
        </is>
      </c>
    </row>
    <row r="2043">
      <c r="A2043" t="inlineStr">
        <is>
          <t>2023-07-13</t>
        </is>
      </c>
      <c r="B2043" t="inlineStr">
        <is>
          <t>豆粕</t>
        </is>
      </c>
      <c r="C2043" t="inlineStr">
        <is>
          <t>多</t>
        </is>
      </c>
      <c r="D2043" t="n">
        <v>3</v>
      </c>
      <c r="E2043" t="n">
        <v>6</v>
      </c>
      <c r="F2043" t="inlineStr">
        <is>
          <t>开仓</t>
        </is>
      </c>
      <c r="G2043" t="n">
        <v>10</v>
      </c>
      <c r="H2043" t="n">
        <v>4020</v>
      </c>
      <c r="I2043" t="n">
        <v>3761.14</v>
      </c>
      <c r="J2043" t="n">
        <v>2.61</v>
      </c>
      <c r="K2043" t="inlineStr">
        <is>
          <t>¼凯利</t>
        </is>
      </c>
    </row>
    <row r="2044">
      <c r="A2044" t="inlineStr">
        <is>
          <t>2023-07-13</t>
        </is>
      </c>
      <c r="B2044" t="inlineStr">
        <is>
          <t>沥青</t>
        </is>
      </c>
      <c r="C2044" t="inlineStr">
        <is>
          <t>多</t>
        </is>
      </c>
      <c r="D2044" t="n">
        <v>3</v>
      </c>
      <c r="E2044" t="n">
        <v>6</v>
      </c>
      <c r="F2044" t="inlineStr">
        <is>
          <t>开仓</t>
        </is>
      </c>
      <c r="G2044" t="n">
        <v>12</v>
      </c>
      <c r="H2044" t="n">
        <v>3757</v>
      </c>
      <c r="I2044" t="n">
        <v>3553.21</v>
      </c>
      <c r="J2044" t="n">
        <v>2.61</v>
      </c>
      <c r="K2044" t="inlineStr">
        <is>
          <t>¼凯利</t>
        </is>
      </c>
    </row>
    <row r="2045">
      <c r="A2045" t="inlineStr">
        <is>
          <t>2023-07-13</t>
        </is>
      </c>
      <c r="B2045" t="inlineStr">
        <is>
          <t>聚丙烯</t>
        </is>
      </c>
      <c r="C2045" t="inlineStr">
        <is>
          <t>多</t>
        </is>
      </c>
      <c r="D2045" t="n">
        <v>2</v>
      </c>
      <c r="E2045" t="n">
        <v>4</v>
      </c>
      <c r="F2045" t="inlineStr">
        <is>
          <t>影子仓</t>
        </is>
      </c>
      <c r="G2045" t="n">
        <v>9</v>
      </c>
      <c r="H2045" t="n">
        <v>7300</v>
      </c>
      <c r="I2045" t="n">
        <v>7078.64</v>
      </c>
      <c r="J2045" t="n">
        <v>1</v>
      </c>
      <c r="K2045" t="inlineStr">
        <is>
          <t>凯利≤0，开1%影子仓（只统计，不计入组合）</t>
        </is>
      </c>
    </row>
    <row r="2046">
      <c r="A2046" t="inlineStr">
        <is>
          <t>2023-07-13</t>
        </is>
      </c>
      <c r="B2046" t="inlineStr">
        <is>
          <t>玉米</t>
        </is>
      </c>
      <c r="C2046" t="inlineStr">
        <is>
          <t>空</t>
        </is>
      </c>
      <c r="D2046" t="n">
        <v>2</v>
      </c>
      <c r="E2046" t="n">
        <v>4</v>
      </c>
      <c r="F2046" t="inlineStr">
        <is>
          <t>影子仓</t>
        </is>
      </c>
      <c r="G2046" t="n">
        <v>11</v>
      </c>
      <c r="H2046" t="n">
        <v>2736</v>
      </c>
      <c r="I2046" t="n">
        <v>2824.93</v>
      </c>
      <c r="J2046" t="n">
        <v>1</v>
      </c>
      <c r="K2046" t="inlineStr">
        <is>
          <t>凯利≤0，开1%影子仓（只统计，不计入组合）</t>
        </is>
      </c>
    </row>
    <row r="2047">
      <c r="A2047" t="inlineStr">
        <is>
          <t>2023-07-14</t>
        </is>
      </c>
      <c r="B2047" t="inlineStr">
        <is>
          <t>塑料</t>
        </is>
      </c>
      <c r="C2047" t="inlineStr">
        <is>
          <t>多</t>
        </is>
      </c>
      <c r="D2047" t="n">
        <v>3</v>
      </c>
      <c r="E2047" t="n">
        <v>7</v>
      </c>
      <c r="F2047" t="inlineStr">
        <is>
          <t>开仓</t>
        </is>
      </c>
      <c r="G2047" t="n">
        <v>23</v>
      </c>
      <c r="H2047" t="n">
        <v>8162</v>
      </c>
      <c r="I2047" t="n">
        <v>7941.71</v>
      </c>
      <c r="J2047" t="n">
        <v>2.59</v>
      </c>
      <c r="K2047" t="inlineStr">
        <is>
          <t>¼凯利</t>
        </is>
      </c>
    </row>
    <row r="2048">
      <c r="A2048" t="inlineStr">
        <is>
          <t>2023-07-14</t>
        </is>
      </c>
      <c r="B2048" t="inlineStr">
        <is>
          <t>纯碱</t>
        </is>
      </c>
      <c r="C2048" t="inlineStr">
        <is>
          <t>多</t>
        </is>
      </c>
      <c r="D2048" t="n">
        <v>3</v>
      </c>
      <c r="E2048" t="n">
        <v>7</v>
      </c>
      <c r="F2048" t="inlineStr">
        <is>
          <t>开仓</t>
        </is>
      </c>
      <c r="G2048" t="n">
        <v>9</v>
      </c>
      <c r="H2048" t="n">
        <v>1854</v>
      </c>
      <c r="I2048" t="n">
        <v>1715.57</v>
      </c>
      <c r="J2048" t="n">
        <v>2.59</v>
      </c>
      <c r="K2048" t="inlineStr">
        <is>
          <t>¼凯利</t>
        </is>
      </c>
    </row>
    <row r="2049">
      <c r="A2049" t="inlineStr">
        <is>
          <t>2023-07-14</t>
        </is>
      </c>
      <c r="B2049" t="inlineStr">
        <is>
          <t>PTA</t>
        </is>
      </c>
      <c r="C2049" t="inlineStr">
        <is>
          <t>多</t>
        </is>
      </c>
      <c r="D2049" t="n">
        <v>3</v>
      </c>
      <c r="E2049" t="n">
        <v>6</v>
      </c>
      <c r="F2049" t="inlineStr">
        <is>
          <t>续持</t>
        </is>
      </c>
      <c r="G2049" t="n">
        <v>13</v>
      </c>
      <c r="H2049" t="n">
        <v>5956</v>
      </c>
      <c r="I2049" t="n">
        <v>5719.86</v>
      </c>
      <c r="J2049" t="n">
        <v>2.1</v>
      </c>
      <c r="K2049" t="inlineStr">
        <is>
          <t>续持原仓（2023-07-12开）</t>
        </is>
      </c>
    </row>
    <row r="2050">
      <c r="A2050" t="inlineStr">
        <is>
          <t>2023-07-14</t>
        </is>
      </c>
      <c r="B2050" t="inlineStr">
        <is>
          <t>PVC</t>
        </is>
      </c>
      <c r="C2050" t="inlineStr">
        <is>
          <t>多</t>
        </is>
      </c>
      <c r="D2050" t="n">
        <v>3</v>
      </c>
      <c r="E2050" t="n">
        <v>6</v>
      </c>
      <c r="F2050" t="inlineStr">
        <is>
          <t>不做</t>
        </is>
      </c>
      <c r="H2050" t="n">
        <v>6038</v>
      </c>
      <c r="J2050" t="n">
        <v>0.11</v>
      </c>
      <c r="K2050" t="inlineStr">
        <is>
          <t>组合风险已近10%，预算缩小</t>
        </is>
      </c>
    </row>
    <row r="2051">
      <c r="A2051" t="inlineStr">
        <is>
          <t>2023-07-14</t>
        </is>
      </c>
      <c r="B2051" t="inlineStr">
        <is>
          <t>甲醇</t>
        </is>
      </c>
      <c r="C2051" t="inlineStr">
        <is>
          <t>多</t>
        </is>
      </c>
      <c r="D2051" t="n">
        <v>3</v>
      </c>
      <c r="E2051" t="n">
        <v>6</v>
      </c>
      <c r="F2051" t="inlineStr">
        <is>
          <t>不做</t>
        </is>
      </c>
      <c r="H2051" t="n">
        <v>2320</v>
      </c>
      <c r="J2051" t="n">
        <v>0.11</v>
      </c>
      <c r="K2051" t="inlineStr">
        <is>
          <t>组合风险已近10%，预算缩小</t>
        </is>
      </c>
    </row>
    <row r="2052">
      <c r="A2052" t="inlineStr">
        <is>
          <t>2023-07-17</t>
        </is>
      </c>
      <c r="B2052" t="inlineStr">
        <is>
          <t>沪锌</t>
        </is>
      </c>
      <c r="C2052" t="inlineStr">
        <is>
          <t>空</t>
        </is>
      </c>
      <c r="D2052" t="n">
        <v>3</v>
      </c>
      <c r="E2052" t="n">
        <v>6</v>
      </c>
      <c r="F2052" t="inlineStr">
        <is>
          <t>开仓</t>
        </is>
      </c>
      <c r="G2052" t="n">
        <v>5</v>
      </c>
      <c r="H2052" t="n">
        <v>20195</v>
      </c>
      <c r="I2052" t="n">
        <v>21065</v>
      </c>
      <c r="J2052" t="n">
        <v>2.37</v>
      </c>
      <c r="K2052" t="inlineStr">
        <is>
          <t>¼凯利</t>
        </is>
      </c>
    </row>
    <row r="2053">
      <c r="A2053" t="inlineStr">
        <is>
          <t>2023-07-17</t>
        </is>
      </c>
      <c r="B2053" t="inlineStr">
        <is>
          <t>PVC</t>
        </is>
      </c>
      <c r="C2053" t="inlineStr">
        <is>
          <t>多</t>
        </is>
      </c>
      <c r="D2053" t="n">
        <v>2</v>
      </c>
      <c r="E2053" t="n">
        <v>5</v>
      </c>
      <c r="F2053" t="inlineStr">
        <is>
          <t>观望</t>
        </is>
      </c>
      <c r="G2053" t="n">
        <v>8</v>
      </c>
      <c r="H2053" t="n">
        <v>5875</v>
      </c>
      <c r="I2053" t="n">
        <v>5633.93</v>
      </c>
      <c r="J2053" t="n">
        <v>1</v>
      </c>
      <c r="K2053" t="inlineStr">
        <is>
          <t>逆5日线（收盘在5日线下，不追多）</t>
        </is>
      </c>
    </row>
    <row r="2054">
      <c r="A2054" t="inlineStr">
        <is>
          <t>2023-07-17</t>
        </is>
      </c>
      <c r="B2054" t="inlineStr">
        <is>
          <t>沪镍</t>
        </is>
      </c>
      <c r="C2054" t="inlineStr">
        <is>
          <t>空</t>
        </is>
      </c>
      <c r="D2054" t="n">
        <v>2</v>
      </c>
      <c r="E2054" t="n">
        <v>5</v>
      </c>
      <c r="F2054" t="inlineStr">
        <is>
          <t>不做</t>
        </is>
      </c>
      <c r="H2054" t="n">
        <v>165080</v>
      </c>
      <c r="J2054" t="n">
        <v>1</v>
      </c>
      <c r="K2054" t="inlineStr">
        <is>
          <t>1手风险11811元超过预算10000元</t>
        </is>
      </c>
    </row>
    <row r="2055">
      <c r="A2055" t="inlineStr">
        <is>
          <t>2023-07-17</t>
        </is>
      </c>
      <c r="B2055" t="inlineStr">
        <is>
          <t>棕榈油</t>
        </is>
      </c>
      <c r="C2055" t="inlineStr">
        <is>
          <t>多</t>
        </is>
      </c>
      <c r="D2055" t="n">
        <v>2</v>
      </c>
      <c r="E2055" t="n">
        <v>5</v>
      </c>
      <c r="F2055" t="inlineStr">
        <is>
          <t>影子仓</t>
        </is>
      </c>
      <c r="G2055" t="n">
        <v>1</v>
      </c>
      <c r="H2055" t="n">
        <v>7564</v>
      </c>
      <c r="I2055" t="n">
        <v>6980.71</v>
      </c>
      <c r="J2055" t="n">
        <v>1</v>
      </c>
      <c r="K2055" t="inlineStr">
        <is>
          <t>凯利≤0，开1%影子仓（只统计，不计入组合）</t>
        </is>
      </c>
    </row>
    <row r="2056">
      <c r="A2056" t="inlineStr">
        <is>
          <t>2023-07-17</t>
        </is>
      </c>
      <c r="B2056" t="inlineStr">
        <is>
          <t>菜粕</t>
        </is>
      </c>
      <c r="C2056" t="inlineStr">
        <is>
          <t>多</t>
        </is>
      </c>
      <c r="D2056" t="n">
        <v>2</v>
      </c>
      <c r="E2056" t="n">
        <v>4</v>
      </c>
      <c r="F2056" t="inlineStr">
        <is>
          <t>影子仓</t>
        </is>
      </c>
      <c r="G2056" t="n">
        <v>3</v>
      </c>
      <c r="H2056" t="n">
        <v>3720</v>
      </c>
      <c r="I2056" t="n">
        <v>3425.14</v>
      </c>
      <c r="J2056" t="n">
        <v>1</v>
      </c>
      <c r="K2056" t="inlineStr">
        <is>
          <t>凯利≤0，开1%影子仓（只统计，不计入组合）</t>
        </is>
      </c>
    </row>
    <row r="2057">
      <c r="A2057" t="inlineStr">
        <is>
          <t>2023-07-17</t>
        </is>
      </c>
      <c r="B2057" t="inlineStr">
        <is>
          <t>纯碱</t>
        </is>
      </c>
      <c r="C2057" t="inlineStr">
        <is>
          <t>多</t>
        </is>
      </c>
      <c r="D2057" t="n">
        <v>2</v>
      </c>
      <c r="E2057" t="n">
        <v>4</v>
      </c>
      <c r="F2057" t="inlineStr">
        <is>
          <t>观望</t>
        </is>
      </c>
      <c r="G2057" t="n">
        <v>3</v>
      </c>
      <c r="H2057" t="n">
        <v>1810</v>
      </c>
      <c r="I2057" t="n">
        <v>1667.5</v>
      </c>
      <c r="J2057" t="n">
        <v>1</v>
      </c>
      <c r="K2057" t="inlineStr">
        <is>
          <t>逆5日线（收盘在5日线下，不追多）</t>
        </is>
      </c>
    </row>
    <row r="2058">
      <c r="A2058" t="inlineStr">
        <is>
          <t>2023-07-17</t>
        </is>
      </c>
      <c r="B2058" t="inlineStr">
        <is>
          <t>苯乙烯</t>
        </is>
      </c>
      <c r="C2058" t="inlineStr">
        <is>
          <t>多</t>
        </is>
      </c>
      <c r="D2058" t="n">
        <v>2</v>
      </c>
      <c r="E2058" t="n">
        <v>4</v>
      </c>
      <c r="F2058" t="inlineStr">
        <is>
          <t>影子仓</t>
        </is>
      </c>
      <c r="G2058" t="n">
        <v>4</v>
      </c>
      <c r="H2058" t="n">
        <v>7752</v>
      </c>
      <c r="I2058" t="n">
        <v>7334.14</v>
      </c>
      <c r="J2058" t="n">
        <v>1</v>
      </c>
      <c r="K2058" t="inlineStr">
        <is>
          <t>凯利≤0，开1%影子仓（只统计，不计入组合）</t>
        </is>
      </c>
    </row>
    <row r="2059">
      <c r="A2059" t="inlineStr">
        <is>
          <t>2023-07-18</t>
        </is>
      </c>
      <c r="B2059" t="inlineStr">
        <is>
          <t>PVC</t>
        </is>
      </c>
      <c r="C2059" t="inlineStr">
        <is>
          <t>多</t>
        </is>
      </c>
      <c r="D2059" t="n">
        <v>3</v>
      </c>
      <c r="E2059" t="n">
        <v>7</v>
      </c>
      <c r="F2059" t="inlineStr">
        <is>
          <t>开仓</t>
        </is>
      </c>
      <c r="G2059" t="n">
        <v>18</v>
      </c>
      <c r="H2059" t="n">
        <v>5971</v>
      </c>
      <c r="I2059" t="n">
        <v>5714.07</v>
      </c>
      <c r="J2059" t="n">
        <v>2.34</v>
      </c>
      <c r="K2059" t="inlineStr">
        <is>
          <t>¼凯利</t>
        </is>
      </c>
    </row>
    <row r="2060">
      <c r="A2060" t="inlineStr">
        <is>
          <t>2023-07-18</t>
        </is>
      </c>
      <c r="B2060" t="inlineStr">
        <is>
          <t>纯碱</t>
        </is>
      </c>
      <c r="C2060" t="inlineStr">
        <is>
          <t>多</t>
        </is>
      </c>
      <c r="D2060" t="n">
        <v>3</v>
      </c>
      <c r="E2060" t="n">
        <v>6</v>
      </c>
      <c r="F2060" t="inlineStr">
        <is>
          <t>续持</t>
        </is>
      </c>
      <c r="G2060" t="n">
        <v>9</v>
      </c>
      <c r="H2060" t="n">
        <v>1845</v>
      </c>
      <c r="I2060" t="n">
        <v>1724.14</v>
      </c>
      <c r="J2060" t="n">
        <v>2.59</v>
      </c>
      <c r="K2060" t="inlineStr">
        <is>
          <t>续持原仓（2023-07-14开）</t>
        </is>
      </c>
    </row>
    <row r="2061">
      <c r="A2061" t="inlineStr">
        <is>
          <t>2023-07-18</t>
        </is>
      </c>
      <c r="B2061" t="inlineStr">
        <is>
          <t>棕榈油</t>
        </is>
      </c>
      <c r="C2061" t="inlineStr">
        <is>
          <t>多</t>
        </is>
      </c>
      <c r="D2061" t="n">
        <v>3</v>
      </c>
      <c r="E2061" t="n">
        <v>6</v>
      </c>
      <c r="F2061" t="inlineStr">
        <is>
          <t>续持</t>
        </is>
      </c>
      <c r="G2061" t="n">
        <v>1</v>
      </c>
      <c r="H2061" t="n">
        <v>7558</v>
      </c>
      <c r="I2061" t="n">
        <v>7142.43</v>
      </c>
      <c r="J2061" t="n">
        <v>1</v>
      </c>
      <c r="K2061" t="inlineStr">
        <is>
          <t>续持原仓（2023-07-17开）</t>
        </is>
      </c>
    </row>
    <row r="2062">
      <c r="A2062" t="inlineStr">
        <is>
          <t>2023-07-18</t>
        </is>
      </c>
      <c r="B2062" t="inlineStr">
        <is>
          <t>PTA</t>
        </is>
      </c>
      <c r="C2062" t="inlineStr">
        <is>
          <t>多</t>
        </is>
      </c>
      <c r="D2062" t="n">
        <v>2</v>
      </c>
      <c r="E2062" t="n">
        <v>5</v>
      </c>
      <c r="F2062" t="inlineStr">
        <is>
          <t>观望</t>
        </is>
      </c>
      <c r="G2062" t="n">
        <v>6</v>
      </c>
      <c r="H2062" t="n">
        <v>5824</v>
      </c>
      <c r="I2062" t="n">
        <v>5515</v>
      </c>
      <c r="J2062" t="n">
        <v>1</v>
      </c>
      <c r="K2062" t="inlineStr">
        <is>
          <t>逆5日线（收盘在5日线下，不追多）</t>
        </is>
      </c>
    </row>
    <row r="2063">
      <c r="A2063" t="inlineStr">
        <is>
          <t>2023-07-18</t>
        </is>
      </c>
      <c r="B2063" t="inlineStr">
        <is>
          <t>沥青</t>
        </is>
      </c>
      <c r="C2063" t="inlineStr">
        <is>
          <t>多</t>
        </is>
      </c>
      <c r="D2063" t="n">
        <v>2</v>
      </c>
      <c r="E2063" t="n">
        <v>5</v>
      </c>
      <c r="F2063" t="inlineStr">
        <is>
          <t>影子仓</t>
        </is>
      </c>
      <c r="G2063" t="n">
        <v>5</v>
      </c>
      <c r="H2063" t="n">
        <v>3763</v>
      </c>
      <c r="I2063" t="n">
        <v>3568.43</v>
      </c>
      <c r="J2063" t="n">
        <v>1</v>
      </c>
      <c r="K2063" t="inlineStr">
        <is>
          <t>凯利≤0，开1%影子仓（只统计，不计入组合）</t>
        </is>
      </c>
    </row>
    <row r="2064">
      <c r="A2064" t="inlineStr">
        <is>
          <t>2023-07-19</t>
        </is>
      </c>
      <c r="B2064" t="inlineStr">
        <is>
          <t>沪银</t>
        </is>
      </c>
      <c r="C2064" t="inlineStr">
        <is>
          <t>多</t>
        </is>
      </c>
      <c r="D2064" t="n">
        <v>3</v>
      </c>
      <c r="E2064" t="n">
        <v>7</v>
      </c>
      <c r="F2064" t="inlineStr">
        <is>
          <t>开仓</t>
        </is>
      </c>
      <c r="G2064" t="n">
        <v>6</v>
      </c>
      <c r="H2064" t="n">
        <v>5939</v>
      </c>
      <c r="I2064" t="n">
        <v>5679.29</v>
      </c>
      <c r="J2064" t="n">
        <v>2.4</v>
      </c>
      <c r="K2064" t="inlineStr">
        <is>
          <t>¼凯利</t>
        </is>
      </c>
    </row>
    <row r="2065">
      <c r="A2065" t="inlineStr">
        <is>
          <t>2023-07-19</t>
        </is>
      </c>
      <c r="B2065" t="inlineStr">
        <is>
          <t>乙二醇</t>
        </is>
      </c>
      <c r="C2065" t="inlineStr">
        <is>
          <t>多</t>
        </is>
      </c>
      <c r="D2065" t="n">
        <v>3</v>
      </c>
      <c r="E2065" t="n">
        <v>7</v>
      </c>
      <c r="F2065" t="inlineStr">
        <is>
          <t>开仓</t>
        </is>
      </c>
      <c r="G2065" t="n">
        <v>13</v>
      </c>
      <c r="H2065" t="n">
        <v>4140</v>
      </c>
      <c r="I2065" t="n">
        <v>3967.71</v>
      </c>
      <c r="J2065" t="n">
        <v>2.4</v>
      </c>
      <c r="K2065" t="inlineStr">
        <is>
          <t>¼凯利</t>
        </is>
      </c>
    </row>
    <row r="2066">
      <c r="A2066" t="inlineStr">
        <is>
          <t>2023-07-19</t>
        </is>
      </c>
      <c r="B2066" t="inlineStr">
        <is>
          <t>棕榈油</t>
        </is>
      </c>
      <c r="C2066" t="inlineStr">
        <is>
          <t>多</t>
        </is>
      </c>
      <c r="D2066" t="n">
        <v>3</v>
      </c>
      <c r="E2066" t="n">
        <v>7</v>
      </c>
      <c r="F2066" t="inlineStr">
        <is>
          <t>续持</t>
        </is>
      </c>
      <c r="G2066" t="n">
        <v>1</v>
      </c>
      <c r="H2066" t="n">
        <v>7668</v>
      </c>
      <c r="I2066" t="n">
        <v>7142.43</v>
      </c>
      <c r="J2066" t="n">
        <v>1</v>
      </c>
      <c r="K2066" t="inlineStr">
        <is>
          <t>续持原仓（2023-07-17开）</t>
        </is>
      </c>
    </row>
    <row r="2067">
      <c r="A2067" t="inlineStr">
        <is>
          <t>2023-07-19</t>
        </is>
      </c>
      <c r="B2067" t="inlineStr">
        <is>
          <t>PVC</t>
        </is>
      </c>
      <c r="C2067" t="inlineStr">
        <is>
          <t>多</t>
        </is>
      </c>
      <c r="D2067" t="n">
        <v>3</v>
      </c>
      <c r="E2067" t="n">
        <v>6</v>
      </c>
      <c r="F2067" t="inlineStr">
        <is>
          <t>续持</t>
        </is>
      </c>
      <c r="G2067" t="n">
        <v>18</v>
      </c>
      <c r="H2067" t="n">
        <v>6041</v>
      </c>
      <c r="I2067" t="n">
        <v>5797.86</v>
      </c>
      <c r="J2067" t="n">
        <v>2.34</v>
      </c>
      <c r="K2067" t="inlineStr">
        <is>
          <t>续持原仓（2023-07-18开）</t>
        </is>
      </c>
    </row>
    <row r="2068">
      <c r="A2068" t="inlineStr">
        <is>
          <t>2023-07-19</t>
        </is>
      </c>
      <c r="B2068" t="inlineStr">
        <is>
          <t>沥青</t>
        </is>
      </c>
      <c r="C2068" t="inlineStr">
        <is>
          <t>多</t>
        </is>
      </c>
      <c r="D2068" t="n">
        <v>3</v>
      </c>
      <c r="E2068" t="n">
        <v>6</v>
      </c>
      <c r="F2068" t="inlineStr">
        <is>
          <t>续持</t>
        </is>
      </c>
      <c r="G2068" t="n">
        <v>5</v>
      </c>
      <c r="H2068" t="n">
        <v>3770</v>
      </c>
      <c r="I2068" t="n">
        <v>3594.14</v>
      </c>
      <c r="J2068" t="n">
        <v>1</v>
      </c>
      <c r="K2068" t="inlineStr">
        <is>
          <t>续持原仓（2023-07-18开）</t>
        </is>
      </c>
    </row>
    <row r="2069">
      <c r="A2069" t="inlineStr">
        <is>
          <t>2023-07-20</t>
        </is>
      </c>
      <c r="B2069" t="inlineStr">
        <is>
          <t>PTA</t>
        </is>
      </c>
      <c r="C2069" t="inlineStr">
        <is>
          <t>多</t>
        </is>
      </c>
      <c r="D2069" t="n">
        <v>3</v>
      </c>
      <c r="E2069" t="n">
        <v>7</v>
      </c>
      <c r="F2069" t="inlineStr">
        <is>
          <t>不做</t>
        </is>
      </c>
      <c r="H2069" t="n">
        <v>5884</v>
      </c>
      <c r="J2069" t="n">
        <v>0.25</v>
      </c>
      <c r="K2069" t="inlineStr">
        <is>
          <t>组合风险已近10%，预算缩小</t>
        </is>
      </c>
    </row>
    <row r="2070">
      <c r="A2070" t="inlineStr">
        <is>
          <t>2023-07-20</t>
        </is>
      </c>
      <c r="B2070" t="inlineStr">
        <is>
          <t>燃料油</t>
        </is>
      </c>
      <c r="C2070" t="inlineStr">
        <is>
          <t>多</t>
        </is>
      </c>
      <c r="D2070" t="n">
        <v>3</v>
      </c>
      <c r="E2070" t="n">
        <v>7</v>
      </c>
      <c r="F2070" t="inlineStr">
        <is>
          <t>不做</t>
        </is>
      </c>
      <c r="H2070" t="n">
        <v>3241</v>
      </c>
      <c r="J2070" t="n">
        <v>0.25</v>
      </c>
      <c r="K2070" t="inlineStr">
        <is>
          <t>组合风险已近10%，预算缩小</t>
        </is>
      </c>
    </row>
    <row r="2071">
      <c r="A2071" t="inlineStr">
        <is>
          <t>2023-07-20</t>
        </is>
      </c>
      <c r="B2071" t="inlineStr">
        <is>
          <t>豆粕</t>
        </is>
      </c>
      <c r="C2071" t="inlineStr">
        <is>
          <t>多</t>
        </is>
      </c>
      <c r="D2071" t="n">
        <v>3</v>
      </c>
      <c r="E2071" t="n">
        <v>6</v>
      </c>
      <c r="F2071" t="inlineStr">
        <is>
          <t>续持</t>
        </is>
      </c>
      <c r="G2071" t="n">
        <v>10</v>
      </c>
      <c r="H2071" t="n">
        <v>4188</v>
      </c>
      <c r="I2071" t="n">
        <v>3970.29</v>
      </c>
      <c r="J2071" t="n">
        <v>2.61</v>
      </c>
      <c r="K2071" t="inlineStr">
        <is>
          <t>续持原仓（2023-07-13开）</t>
        </is>
      </c>
    </row>
    <row r="2072">
      <c r="A2072" t="inlineStr">
        <is>
          <t>2023-07-20</t>
        </is>
      </c>
      <c r="B2072" t="inlineStr">
        <is>
          <t>棕榈油</t>
        </is>
      </c>
      <c r="C2072" t="inlineStr">
        <is>
          <t>多</t>
        </is>
      </c>
      <c r="D2072" t="n">
        <v>3</v>
      </c>
      <c r="E2072" t="n">
        <v>6</v>
      </c>
      <c r="F2072" t="inlineStr">
        <is>
          <t>续持</t>
        </is>
      </c>
      <c r="G2072" t="n">
        <v>1</v>
      </c>
      <c r="H2072" t="n">
        <v>7756</v>
      </c>
      <c r="I2072" t="n">
        <v>7250.29</v>
      </c>
      <c r="J2072" t="n">
        <v>1</v>
      </c>
      <c r="K2072" t="inlineStr">
        <is>
          <t>续持原仓（2023-07-17开）</t>
        </is>
      </c>
    </row>
    <row r="2073">
      <c r="A2073" t="inlineStr">
        <is>
          <t>2023-07-20</t>
        </is>
      </c>
      <c r="B2073" t="inlineStr">
        <is>
          <t>沪银</t>
        </is>
      </c>
      <c r="C2073" t="inlineStr">
        <is>
          <t>多</t>
        </is>
      </c>
      <c r="D2073" t="n">
        <v>3</v>
      </c>
      <c r="E2073" t="n">
        <v>6</v>
      </c>
      <c r="F2073" t="inlineStr">
        <is>
          <t>续持</t>
        </is>
      </c>
      <c r="G2073" t="n">
        <v>6</v>
      </c>
      <c r="H2073" t="n">
        <v>5946</v>
      </c>
      <c r="I2073" t="n">
        <v>5738.21</v>
      </c>
      <c r="J2073" t="n">
        <v>2.4</v>
      </c>
      <c r="K2073" t="inlineStr">
        <is>
          <t>续持原仓（2023-07-19开）</t>
        </is>
      </c>
    </row>
    <row r="2074">
      <c r="A2074" t="inlineStr">
        <is>
          <t>2023-07-21</t>
        </is>
      </c>
      <c r="B2074" t="inlineStr">
        <is>
          <t>PTA</t>
        </is>
      </c>
      <c r="C2074" t="inlineStr">
        <is>
          <t>多</t>
        </is>
      </c>
      <c r="D2074" t="n">
        <v>3</v>
      </c>
      <c r="E2074" t="n">
        <v>7</v>
      </c>
      <c r="F2074" t="inlineStr">
        <is>
          <t>不做</t>
        </is>
      </c>
      <c r="H2074" t="n">
        <v>5906</v>
      </c>
      <c r="J2074" t="n">
        <v>0.25</v>
      </c>
      <c r="K2074" t="inlineStr">
        <is>
          <t>组合风险已近10%，预算缩小</t>
        </is>
      </c>
    </row>
    <row r="2075">
      <c r="A2075" t="inlineStr">
        <is>
          <t>2023-07-21</t>
        </is>
      </c>
      <c r="B2075" t="inlineStr">
        <is>
          <t>燃料油</t>
        </is>
      </c>
      <c r="C2075" t="inlineStr">
        <is>
          <t>多</t>
        </is>
      </c>
      <c r="D2075" t="n">
        <v>3</v>
      </c>
      <c r="E2075" t="n">
        <v>7</v>
      </c>
      <c r="F2075" t="inlineStr">
        <is>
          <t>不做</t>
        </is>
      </c>
      <c r="H2075" t="n">
        <v>3268</v>
      </c>
      <c r="J2075" t="n">
        <v>0.25</v>
      </c>
      <c r="K2075" t="inlineStr">
        <is>
          <t>组合风险已近10%，预算缩小</t>
        </is>
      </c>
    </row>
    <row r="2076">
      <c r="A2076" t="inlineStr">
        <is>
          <t>2023-07-21</t>
        </is>
      </c>
      <c r="B2076" t="inlineStr">
        <is>
          <t>苯乙烯</t>
        </is>
      </c>
      <c r="C2076" t="inlineStr">
        <is>
          <t>多</t>
        </is>
      </c>
      <c r="D2076" t="n">
        <v>3</v>
      </c>
      <c r="E2076" t="n">
        <v>7</v>
      </c>
      <c r="F2076" t="inlineStr">
        <is>
          <t>不做</t>
        </is>
      </c>
      <c r="H2076" t="n">
        <v>8021</v>
      </c>
      <c r="J2076" t="n">
        <v>0.25</v>
      </c>
      <c r="K2076" t="inlineStr">
        <is>
          <t>组合风险已近10%，预算缩小</t>
        </is>
      </c>
    </row>
    <row r="2077">
      <c r="A2077" t="inlineStr">
        <is>
          <t>2023-07-21</t>
        </is>
      </c>
      <c r="B2077" t="inlineStr">
        <is>
          <t>豆粕</t>
        </is>
      </c>
      <c r="C2077" t="inlineStr">
        <is>
          <t>多</t>
        </is>
      </c>
      <c r="D2077" t="n">
        <v>3</v>
      </c>
      <c r="E2077" t="n">
        <v>6</v>
      </c>
      <c r="F2077" t="inlineStr">
        <is>
          <t>续持</t>
        </is>
      </c>
      <c r="G2077" t="n">
        <v>10</v>
      </c>
      <c r="H2077" t="n">
        <v>4156</v>
      </c>
      <c r="I2077" t="n">
        <v>4006.5</v>
      </c>
      <c r="J2077" t="n">
        <v>2.61</v>
      </c>
      <c r="K2077" t="inlineStr">
        <is>
          <t>续持原仓（2023-07-13开）</t>
        </is>
      </c>
    </row>
    <row r="2078">
      <c r="A2078" t="inlineStr">
        <is>
          <t>2023-07-21</t>
        </is>
      </c>
      <c r="B2078" t="inlineStr">
        <is>
          <t>棉花</t>
        </is>
      </c>
      <c r="C2078" t="inlineStr">
        <is>
          <t>多</t>
        </is>
      </c>
      <c r="D2078" t="n">
        <v>3</v>
      </c>
      <c r="E2078" t="n">
        <v>6</v>
      </c>
      <c r="F2078" t="inlineStr">
        <is>
          <t>不做</t>
        </is>
      </c>
      <c r="H2078" t="n">
        <v>17300</v>
      </c>
      <c r="J2078" t="n">
        <v>0.25</v>
      </c>
      <c r="K2078" t="inlineStr">
        <is>
          <t>组合风险已近10%，预算缩小</t>
        </is>
      </c>
    </row>
    <row r="2079">
      <c r="A2079" t="inlineStr">
        <is>
          <t>2023-07-24</t>
        </is>
      </c>
      <c r="B2079" t="inlineStr">
        <is>
          <t>乙二醇</t>
        </is>
      </c>
      <c r="C2079" t="inlineStr">
        <is>
          <t>多</t>
        </is>
      </c>
      <c r="D2079" t="n">
        <v>2</v>
      </c>
      <c r="E2079" t="n">
        <v>5</v>
      </c>
      <c r="F2079" t="inlineStr">
        <is>
          <t>观望</t>
        </is>
      </c>
      <c r="G2079" t="n">
        <v>5</v>
      </c>
      <c r="H2079" t="n">
        <v>4059</v>
      </c>
      <c r="I2079" t="n">
        <v>3880.5</v>
      </c>
      <c r="J2079" t="n">
        <v>1</v>
      </c>
      <c r="K2079" t="inlineStr">
        <is>
          <t>逆5日线（收盘在5日线下，不追多）</t>
        </is>
      </c>
    </row>
    <row r="2080">
      <c r="A2080" t="inlineStr">
        <is>
          <t>2023-07-24</t>
        </is>
      </c>
      <c r="B2080" t="inlineStr">
        <is>
          <t>PVC</t>
        </is>
      </c>
      <c r="C2080" t="inlineStr">
        <is>
          <t>多</t>
        </is>
      </c>
      <c r="D2080" t="n">
        <v>2</v>
      </c>
      <c r="E2080" t="n">
        <v>5</v>
      </c>
      <c r="F2080" t="inlineStr">
        <is>
          <t>观望</t>
        </is>
      </c>
      <c r="G2080" t="n">
        <v>7</v>
      </c>
      <c r="H2080" t="n">
        <v>5935</v>
      </c>
      <c r="I2080" t="n">
        <v>5661.36</v>
      </c>
      <c r="J2080" t="n">
        <v>1</v>
      </c>
      <c r="K2080" t="inlineStr">
        <is>
          <t>逆5日线（收盘在5日线下，不追多）</t>
        </is>
      </c>
    </row>
    <row r="2081">
      <c r="A2081" t="inlineStr">
        <is>
          <t>2023-07-24</t>
        </is>
      </c>
      <c r="B2081" t="inlineStr">
        <is>
          <t>燃料油</t>
        </is>
      </c>
      <c r="C2081" t="inlineStr">
        <is>
          <t>多</t>
        </is>
      </c>
      <c r="D2081" t="n">
        <v>2</v>
      </c>
      <c r="E2081" t="n">
        <v>5</v>
      </c>
      <c r="F2081" t="inlineStr">
        <is>
          <t>影子仓</t>
        </is>
      </c>
      <c r="G2081" t="n">
        <v>5</v>
      </c>
      <c r="H2081" t="n">
        <v>3289</v>
      </c>
      <c r="I2081" t="n">
        <v>3100.64</v>
      </c>
      <c r="J2081" t="n">
        <v>1</v>
      </c>
      <c r="K2081" t="inlineStr">
        <is>
          <t>凯利≤0，开1%影子仓（只统计，不计入组合）</t>
        </is>
      </c>
    </row>
    <row r="2082">
      <c r="A2082" t="inlineStr">
        <is>
          <t>2023-07-24</t>
        </is>
      </c>
      <c r="B2082" t="inlineStr">
        <is>
          <t>PTA</t>
        </is>
      </c>
      <c r="C2082" t="inlineStr">
        <is>
          <t>多</t>
        </is>
      </c>
      <c r="D2082" t="n">
        <v>2</v>
      </c>
      <c r="E2082" t="n">
        <v>4</v>
      </c>
      <c r="F2082" t="inlineStr">
        <is>
          <t>观望</t>
        </is>
      </c>
      <c r="G2082" t="n">
        <v>6</v>
      </c>
      <c r="H2082" t="n">
        <v>5830</v>
      </c>
      <c r="I2082" t="n">
        <v>5527</v>
      </c>
      <c r="J2082" t="n">
        <v>1</v>
      </c>
      <c r="K2082" t="inlineStr">
        <is>
          <t>逆5日线（收盘在5日线下，不追多）</t>
        </is>
      </c>
    </row>
    <row r="2083">
      <c r="A2083" t="inlineStr">
        <is>
          <t>2023-07-24</t>
        </is>
      </c>
      <c r="B2083" t="inlineStr">
        <is>
          <t>塑料</t>
        </is>
      </c>
      <c r="C2083" t="inlineStr">
        <is>
          <t>多</t>
        </is>
      </c>
      <c r="D2083" t="n">
        <v>2</v>
      </c>
      <c r="E2083" t="n">
        <v>4</v>
      </c>
      <c r="F2083" t="inlineStr">
        <is>
          <t>观望</t>
        </is>
      </c>
      <c r="G2083" t="n">
        <v>8</v>
      </c>
      <c r="H2083" t="n">
        <v>8039</v>
      </c>
      <c r="I2083" t="n">
        <v>7801.57</v>
      </c>
      <c r="J2083" t="n">
        <v>1</v>
      </c>
      <c r="K2083" t="inlineStr">
        <is>
          <t>逆5日线（收盘在5日线下，不追多）</t>
        </is>
      </c>
    </row>
    <row r="2084">
      <c r="A2084" t="inlineStr">
        <is>
          <t>2023-07-25</t>
        </is>
      </c>
      <c r="B2084" t="inlineStr">
        <is>
          <t>燃料油</t>
        </is>
      </c>
      <c r="C2084" t="inlineStr">
        <is>
          <t>多</t>
        </is>
      </c>
      <c r="D2084" t="n">
        <v>3</v>
      </c>
      <c r="E2084" t="n">
        <v>7</v>
      </c>
      <c r="F2084" t="inlineStr">
        <is>
          <t>续持</t>
        </is>
      </c>
      <c r="G2084" t="n">
        <v>5</v>
      </c>
      <c r="H2084" t="n">
        <v>3346</v>
      </c>
      <c r="I2084" t="n">
        <v>3161.36</v>
      </c>
      <c r="J2084" t="n">
        <v>1</v>
      </c>
      <c r="K2084" t="inlineStr">
        <is>
          <t>续持原仓（2023-07-24开）</t>
        </is>
      </c>
    </row>
    <row r="2085">
      <c r="A2085" t="inlineStr">
        <is>
          <t>2023-07-25</t>
        </is>
      </c>
      <c r="B2085" t="inlineStr">
        <is>
          <t>PTA</t>
        </is>
      </c>
      <c r="C2085" t="inlineStr">
        <is>
          <t>多</t>
        </is>
      </c>
      <c r="D2085" t="n">
        <v>3</v>
      </c>
      <c r="E2085" t="n">
        <v>6</v>
      </c>
      <c r="F2085" t="inlineStr">
        <is>
          <t>开仓</t>
        </is>
      </c>
      <c r="G2085" t="n">
        <v>15</v>
      </c>
      <c r="H2085" t="n">
        <v>5888</v>
      </c>
      <c r="I2085" t="n">
        <v>5573</v>
      </c>
      <c r="J2085" t="n">
        <v>2.41</v>
      </c>
      <c r="K2085" t="inlineStr">
        <is>
          <t>¼凯利</t>
        </is>
      </c>
    </row>
    <row r="2086">
      <c r="A2086" t="inlineStr">
        <is>
          <t>2023-07-25</t>
        </is>
      </c>
      <c r="B2086" t="inlineStr">
        <is>
          <t>PVC</t>
        </is>
      </c>
      <c r="C2086" t="inlineStr">
        <is>
          <t>多</t>
        </is>
      </c>
      <c r="D2086" t="n">
        <v>3</v>
      </c>
      <c r="E2086" t="n">
        <v>6</v>
      </c>
      <c r="F2086" t="inlineStr">
        <is>
          <t>续持</t>
        </is>
      </c>
      <c r="G2086" t="n">
        <v>18</v>
      </c>
      <c r="H2086" t="n">
        <v>6012</v>
      </c>
      <c r="I2086" t="n">
        <v>5807.79</v>
      </c>
      <c r="J2086" t="n">
        <v>2.34</v>
      </c>
      <c r="K2086" t="inlineStr">
        <is>
          <t>续持原仓（2023-07-18开）</t>
        </is>
      </c>
    </row>
    <row r="2087">
      <c r="A2087" t="inlineStr">
        <is>
          <t>2023-07-25</t>
        </is>
      </c>
      <c r="B2087" t="inlineStr">
        <is>
          <t>纸浆</t>
        </is>
      </c>
      <c r="C2087" t="inlineStr">
        <is>
          <t>多</t>
        </is>
      </c>
      <c r="D2087" t="n">
        <v>3</v>
      </c>
      <c r="E2087" t="n">
        <v>6</v>
      </c>
      <c r="F2087" t="inlineStr">
        <is>
          <t>开仓</t>
        </is>
      </c>
      <c r="G2087" t="n">
        <v>8</v>
      </c>
      <c r="H2087" t="n">
        <v>5342</v>
      </c>
      <c r="I2087" t="n">
        <v>5066</v>
      </c>
      <c r="J2087" t="n">
        <v>2.41</v>
      </c>
      <c r="K2087" t="inlineStr">
        <is>
          <t>¼凯利</t>
        </is>
      </c>
    </row>
    <row r="2088">
      <c r="A2088" t="inlineStr">
        <is>
          <t>2023-07-25</t>
        </is>
      </c>
      <c r="B2088" t="inlineStr">
        <is>
          <t>塑料</t>
        </is>
      </c>
      <c r="C2088" t="inlineStr">
        <is>
          <t>多</t>
        </is>
      </c>
      <c r="D2088" t="n">
        <v>3</v>
      </c>
      <c r="E2088" t="n">
        <v>6</v>
      </c>
      <c r="F2088" t="inlineStr">
        <is>
          <t>开仓</t>
        </is>
      </c>
      <c r="G2088" t="n">
        <v>5</v>
      </c>
      <c r="H2088" t="n">
        <v>8116</v>
      </c>
      <c r="I2088" t="n">
        <v>7868.5</v>
      </c>
      <c r="J2088" t="n">
        <v>0.66</v>
      </c>
      <c r="K2088" t="inlineStr">
        <is>
          <t>与PVC高度相关（同组≤3%），预算缩小</t>
        </is>
      </c>
    </row>
    <row r="2089">
      <c r="A2089" t="inlineStr">
        <is>
          <t>2023-07-26</t>
        </is>
      </c>
      <c r="B2089" t="inlineStr">
        <is>
          <t>沪银</t>
        </is>
      </c>
      <c r="C2089" t="inlineStr">
        <is>
          <t>多</t>
        </is>
      </c>
      <c r="D2089" t="n">
        <v>3</v>
      </c>
      <c r="E2089" t="n">
        <v>7</v>
      </c>
      <c r="F2089" t="inlineStr">
        <is>
          <t>观望</t>
        </is>
      </c>
      <c r="G2089" t="n">
        <v>6</v>
      </c>
      <c r="H2089" t="n">
        <v>5877</v>
      </c>
      <c r="I2089" t="n">
        <v>5626.07</v>
      </c>
      <c r="J2089" t="n">
        <v>2.54</v>
      </c>
      <c r="K2089" t="inlineStr">
        <is>
          <t>逆5日线（收盘在5日线下，不追多）</t>
        </is>
      </c>
    </row>
    <row r="2090">
      <c r="A2090" t="inlineStr">
        <is>
          <t>2023-07-26</t>
        </is>
      </c>
      <c r="B2090" t="inlineStr">
        <is>
          <t>塑料</t>
        </is>
      </c>
      <c r="C2090" t="inlineStr">
        <is>
          <t>多</t>
        </is>
      </c>
      <c r="D2090" t="n">
        <v>3</v>
      </c>
      <c r="E2090" t="n">
        <v>6</v>
      </c>
      <c r="F2090" t="inlineStr">
        <is>
          <t>续持</t>
        </is>
      </c>
      <c r="G2090" t="n">
        <v>5</v>
      </c>
      <c r="H2090" t="n">
        <v>8179</v>
      </c>
      <c r="I2090" t="n">
        <v>7942.57</v>
      </c>
      <c r="J2090" t="n">
        <v>0.66</v>
      </c>
      <c r="K2090" t="inlineStr">
        <is>
          <t>续持原仓（2023-07-25开）</t>
        </is>
      </c>
    </row>
    <row r="2091">
      <c r="A2091" t="inlineStr">
        <is>
          <t>2023-07-26</t>
        </is>
      </c>
      <c r="B2091" t="inlineStr">
        <is>
          <t>PTA</t>
        </is>
      </c>
      <c r="C2091" t="inlineStr">
        <is>
          <t>多</t>
        </is>
      </c>
      <c r="D2091" t="n">
        <v>2</v>
      </c>
      <c r="E2091" t="n">
        <v>5</v>
      </c>
      <c r="F2091" t="inlineStr">
        <is>
          <t>续持</t>
        </is>
      </c>
      <c r="G2091" t="n">
        <v>15</v>
      </c>
      <c r="H2091" t="n">
        <v>5898</v>
      </c>
      <c r="I2091" t="n">
        <v>5647.29</v>
      </c>
      <c r="J2091" t="n">
        <v>2.41</v>
      </c>
      <c r="K2091" t="inlineStr">
        <is>
          <t>续持原仓（2023-07-25开）</t>
        </is>
      </c>
    </row>
    <row r="2092">
      <c r="A2092" t="inlineStr">
        <is>
          <t>2023-07-26</t>
        </is>
      </c>
      <c r="B2092" t="inlineStr">
        <is>
          <t>棉花</t>
        </is>
      </c>
      <c r="C2092" t="inlineStr">
        <is>
          <t>多</t>
        </is>
      </c>
      <c r="D2092" t="n">
        <v>2</v>
      </c>
      <c r="E2092" t="n">
        <v>5</v>
      </c>
      <c r="F2092" t="inlineStr">
        <is>
          <t>影子仓</t>
        </is>
      </c>
      <c r="G2092" t="n">
        <v>2</v>
      </c>
      <c r="H2092" t="n">
        <v>17220</v>
      </c>
      <c r="I2092" t="n">
        <v>16354.29</v>
      </c>
      <c r="J2092" t="n">
        <v>1</v>
      </c>
      <c r="K2092" t="inlineStr">
        <is>
          <t>凯利≤0，开1%影子仓（只统计，不计入组合）</t>
        </is>
      </c>
    </row>
    <row r="2093">
      <c r="A2093" t="inlineStr">
        <is>
          <t>2023-07-26</t>
        </is>
      </c>
      <c r="B2093" t="inlineStr">
        <is>
          <t>纯碱</t>
        </is>
      </c>
      <c r="C2093" t="inlineStr">
        <is>
          <t>多</t>
        </is>
      </c>
      <c r="D2093" t="n">
        <v>2</v>
      </c>
      <c r="E2093" t="n">
        <v>5</v>
      </c>
      <c r="F2093" t="inlineStr">
        <is>
          <t>影子仓</t>
        </is>
      </c>
      <c r="G2093" t="n">
        <v>2</v>
      </c>
      <c r="H2093" t="n">
        <v>2142</v>
      </c>
      <c r="I2093" t="n">
        <v>1950.86</v>
      </c>
      <c r="J2093" t="n">
        <v>1</v>
      </c>
      <c r="K2093" t="inlineStr">
        <is>
          <t>凯利≤0，开1%影子仓（只统计，不计入组合）</t>
        </is>
      </c>
    </row>
    <row r="2094">
      <c r="A2094" t="inlineStr">
        <is>
          <t>2023-07-26</t>
        </is>
      </c>
      <c r="B2094" t="inlineStr">
        <is>
          <t>沪铝</t>
        </is>
      </c>
      <c r="C2094" t="inlineStr">
        <is>
          <t>空</t>
        </is>
      </c>
      <c r="D2094" t="n">
        <v>2</v>
      </c>
      <c r="E2094" t="n">
        <v>4</v>
      </c>
      <c r="F2094" t="inlineStr">
        <is>
          <t>观望</t>
        </is>
      </c>
      <c r="G2094" t="n">
        <v>4</v>
      </c>
      <c r="H2094" t="n">
        <v>18330</v>
      </c>
      <c r="I2094" t="n">
        <v>18826.07</v>
      </c>
      <c r="J2094" t="n">
        <v>1</v>
      </c>
      <c r="K2094" t="inlineStr">
        <is>
          <t>逆5日线（收盘在5日线上，不追空）</t>
        </is>
      </c>
    </row>
    <row r="2095">
      <c r="A2095" t="inlineStr">
        <is>
          <t>2023-07-27</t>
        </is>
      </c>
      <c r="B2095" t="inlineStr">
        <is>
          <t>豆粕</t>
        </is>
      </c>
      <c r="C2095" t="inlineStr">
        <is>
          <t>多</t>
        </is>
      </c>
      <c r="D2095" t="n">
        <v>3</v>
      </c>
      <c r="E2095" t="n">
        <v>6</v>
      </c>
      <c r="F2095" t="inlineStr">
        <is>
          <t>开仓</t>
        </is>
      </c>
      <c r="G2095" t="n">
        <v>10</v>
      </c>
      <c r="H2095" t="n">
        <v>4311</v>
      </c>
      <c r="I2095" t="n">
        <v>4072.71</v>
      </c>
      <c r="J2095" t="n">
        <v>2.54</v>
      </c>
      <c r="K2095" t="inlineStr">
        <is>
          <t>¼凯利</t>
        </is>
      </c>
    </row>
    <row r="2096">
      <c r="A2096" t="inlineStr">
        <is>
          <t>2023-07-27</t>
        </is>
      </c>
      <c r="B2096" t="inlineStr">
        <is>
          <t>燃料油</t>
        </is>
      </c>
      <c r="C2096" t="inlineStr">
        <is>
          <t>多</t>
        </is>
      </c>
      <c r="D2096" t="n">
        <v>3</v>
      </c>
      <c r="E2096" t="n">
        <v>6</v>
      </c>
      <c r="F2096" t="inlineStr">
        <is>
          <t>开仓</t>
        </is>
      </c>
      <c r="G2096" t="n">
        <v>13</v>
      </c>
      <c r="H2096" t="n">
        <v>3365</v>
      </c>
      <c r="I2096" t="n">
        <v>3172.57</v>
      </c>
      <c r="J2096" t="n">
        <v>2.54</v>
      </c>
      <c r="K2096" t="inlineStr">
        <is>
          <t>¼凯利</t>
        </is>
      </c>
    </row>
    <row r="2097">
      <c r="A2097" t="inlineStr">
        <is>
          <t>2023-07-27</t>
        </is>
      </c>
      <c r="B2097" t="inlineStr">
        <is>
          <t>PTA</t>
        </is>
      </c>
      <c r="C2097" t="inlineStr">
        <is>
          <t>多</t>
        </is>
      </c>
      <c r="D2097" t="n">
        <v>2</v>
      </c>
      <c r="E2097" t="n">
        <v>5</v>
      </c>
      <c r="F2097" t="inlineStr">
        <is>
          <t>续持</t>
        </is>
      </c>
      <c r="G2097" t="n">
        <v>15</v>
      </c>
      <c r="H2097" t="n">
        <v>5912</v>
      </c>
      <c r="I2097" t="n">
        <v>5663.57</v>
      </c>
      <c r="J2097" t="n">
        <v>2.41</v>
      </c>
      <c r="K2097" t="inlineStr">
        <is>
          <t>续持原仓（2023-07-25开）</t>
        </is>
      </c>
    </row>
    <row r="2098">
      <c r="A2098" t="inlineStr">
        <is>
          <t>2023-07-27</t>
        </is>
      </c>
      <c r="B2098" t="inlineStr">
        <is>
          <t>沥青</t>
        </is>
      </c>
      <c r="C2098" t="inlineStr">
        <is>
          <t>多</t>
        </is>
      </c>
      <c r="D2098" t="n">
        <v>2</v>
      </c>
      <c r="E2098" t="n">
        <v>5</v>
      </c>
      <c r="F2098" t="inlineStr">
        <is>
          <t>影子仓</t>
        </is>
      </c>
      <c r="G2098" t="n">
        <v>5</v>
      </c>
      <c r="H2098" t="n">
        <v>3787</v>
      </c>
      <c r="I2098" t="n">
        <v>3602.29</v>
      </c>
      <c r="J2098" t="n">
        <v>1</v>
      </c>
      <c r="K2098" t="inlineStr">
        <is>
          <t>凯利≤0，开1%影子仓（只统计，不计入组合）</t>
        </is>
      </c>
    </row>
    <row r="2099">
      <c r="A2099" t="inlineStr">
        <is>
          <t>2023-07-27</t>
        </is>
      </c>
      <c r="B2099" t="inlineStr">
        <is>
          <t>塑料</t>
        </is>
      </c>
      <c r="C2099" t="inlineStr">
        <is>
          <t>多</t>
        </is>
      </c>
      <c r="D2099" t="n">
        <v>2</v>
      </c>
      <c r="E2099" t="n">
        <v>4</v>
      </c>
      <c r="F2099" t="inlineStr">
        <is>
          <t>续持</t>
        </is>
      </c>
      <c r="G2099" t="n">
        <v>5</v>
      </c>
      <c r="H2099" t="n">
        <v>8170</v>
      </c>
      <c r="I2099" t="n">
        <v>7962.07</v>
      </c>
      <c r="J2099" t="n">
        <v>0.66</v>
      </c>
      <c r="K2099" t="inlineStr">
        <is>
          <t>续持原仓（2023-07-25开）</t>
        </is>
      </c>
    </row>
    <row r="2100">
      <c r="A2100" t="inlineStr">
        <is>
          <t>2023-07-27</t>
        </is>
      </c>
      <c r="B2100" t="inlineStr">
        <is>
          <t>硅铁</t>
        </is>
      </c>
      <c r="C2100" t="inlineStr">
        <is>
          <t>空</t>
        </is>
      </c>
      <c r="D2100" t="n">
        <v>2</v>
      </c>
      <c r="E2100" t="n">
        <v>4</v>
      </c>
      <c r="F2100" t="inlineStr">
        <is>
          <t>观望</t>
        </is>
      </c>
      <c r="G2100" t="n">
        <v>5</v>
      </c>
      <c r="H2100" t="n">
        <v>6968</v>
      </c>
      <c r="I2100" t="n">
        <v>7352.86</v>
      </c>
      <c r="J2100" t="n">
        <v>1</v>
      </c>
      <c r="K2100" t="inlineStr">
        <is>
          <t>逆5日线（收盘在5日线上，不追空）</t>
        </is>
      </c>
    </row>
    <row r="2101">
      <c r="A2101" t="inlineStr">
        <is>
          <t>2023-07-28</t>
        </is>
      </c>
      <c r="B2101" t="inlineStr">
        <is>
          <t>PTA</t>
        </is>
      </c>
      <c r="C2101" t="inlineStr">
        <is>
          <t>多</t>
        </is>
      </c>
      <c r="D2101" t="n">
        <v>3</v>
      </c>
      <c r="E2101" t="n">
        <v>7</v>
      </c>
      <c r="F2101" t="inlineStr">
        <is>
          <t>续持</t>
        </is>
      </c>
      <c r="G2101" t="n">
        <v>15</v>
      </c>
      <c r="H2101" t="n">
        <v>6098</v>
      </c>
      <c r="I2101" t="n">
        <v>5781.43</v>
      </c>
      <c r="J2101" t="n">
        <v>2.41</v>
      </c>
      <c r="K2101" t="inlineStr">
        <is>
          <t>续持原仓（2023-07-25开）</t>
        </is>
      </c>
    </row>
    <row r="2102">
      <c r="A2102" t="inlineStr">
        <is>
          <t>2023-07-28</t>
        </is>
      </c>
      <c r="B2102" t="inlineStr">
        <is>
          <t>燃料油</t>
        </is>
      </c>
      <c r="C2102" t="inlineStr">
        <is>
          <t>多</t>
        </is>
      </c>
      <c r="D2102" t="n">
        <v>3</v>
      </c>
      <c r="E2102" t="n">
        <v>7</v>
      </c>
      <c r="F2102" t="inlineStr">
        <is>
          <t>续持</t>
        </is>
      </c>
      <c r="G2102" t="n">
        <v>13</v>
      </c>
      <c r="H2102" t="n">
        <v>3403</v>
      </c>
      <c r="I2102" t="n">
        <v>3222.64</v>
      </c>
      <c r="J2102" t="n">
        <v>2.54</v>
      </c>
      <c r="K2102" t="inlineStr">
        <is>
          <t>续持原仓（2023-07-27开）</t>
        </is>
      </c>
    </row>
    <row r="2103">
      <c r="A2103" t="inlineStr">
        <is>
          <t>2023-07-28</t>
        </is>
      </c>
      <c r="B2103" t="inlineStr">
        <is>
          <t>尿素</t>
        </is>
      </c>
      <c r="C2103" t="inlineStr">
        <is>
          <t>多</t>
        </is>
      </c>
      <c r="D2103" t="n">
        <v>3</v>
      </c>
      <c r="E2103" t="n">
        <v>7</v>
      </c>
      <c r="F2103" t="inlineStr">
        <is>
          <t>开仓</t>
        </is>
      </c>
      <c r="G2103" t="n">
        <v>3</v>
      </c>
      <c r="H2103" t="n">
        <v>2379</v>
      </c>
      <c r="I2103" t="n">
        <v>2133</v>
      </c>
      <c r="J2103" t="n">
        <v>1.85</v>
      </c>
      <c r="K2103" t="inlineStr">
        <is>
          <t>组合风险已近10%，预算缩小</t>
        </is>
      </c>
    </row>
    <row r="2104">
      <c r="A2104" t="inlineStr">
        <is>
          <t>2023-07-28</t>
        </is>
      </c>
      <c r="B2104" t="inlineStr">
        <is>
          <t>塑料</t>
        </is>
      </c>
      <c r="C2104" t="inlineStr">
        <is>
          <t>多</t>
        </is>
      </c>
      <c r="D2104" t="n">
        <v>3</v>
      </c>
      <c r="E2104" t="n">
        <v>6</v>
      </c>
      <c r="F2104" t="inlineStr">
        <is>
          <t>续持</t>
        </is>
      </c>
      <c r="G2104" t="n">
        <v>5</v>
      </c>
      <c r="H2104" t="n">
        <v>8232</v>
      </c>
      <c r="I2104" t="n">
        <v>7991.14</v>
      </c>
      <c r="J2104" t="n">
        <v>0.66</v>
      </c>
      <c r="K2104" t="inlineStr">
        <is>
          <t>续持原仓（2023-07-25开）</t>
        </is>
      </c>
    </row>
    <row r="2105">
      <c r="A2105" t="inlineStr">
        <is>
          <t>2023-07-28</t>
        </is>
      </c>
      <c r="B2105" t="inlineStr">
        <is>
          <t>热卷</t>
        </is>
      </c>
      <c r="C2105" t="inlineStr">
        <is>
          <t>多</t>
        </is>
      </c>
      <c r="D2105" t="n">
        <v>3</v>
      </c>
      <c r="E2105" t="n">
        <v>6</v>
      </c>
      <c r="F2105" t="inlineStr">
        <is>
          <t>不做</t>
        </is>
      </c>
      <c r="H2105" t="n">
        <v>4117</v>
      </c>
      <c r="J2105" t="n">
        <v>0</v>
      </c>
      <c r="K2105" t="inlineStr">
        <is>
          <t>组合风险已近10%，预算缩小</t>
        </is>
      </c>
    </row>
    <row r="2106">
      <c r="A2106" t="inlineStr">
        <is>
          <t>2023-07-31</t>
        </is>
      </c>
      <c r="B2106" t="inlineStr">
        <is>
          <t>燃料油</t>
        </is>
      </c>
      <c r="C2106" t="inlineStr">
        <is>
          <t>多</t>
        </is>
      </c>
      <c r="D2106" t="n">
        <v>3</v>
      </c>
      <c r="E2106" t="n">
        <v>7</v>
      </c>
      <c r="F2106" t="inlineStr">
        <is>
          <t>续持</t>
        </is>
      </c>
      <c r="G2106" t="n">
        <v>13</v>
      </c>
      <c r="H2106" t="n">
        <v>3445</v>
      </c>
      <c r="I2106" t="n">
        <v>3274.79</v>
      </c>
      <c r="J2106" t="n">
        <v>2.54</v>
      </c>
      <c r="K2106" t="inlineStr">
        <is>
          <t>续持原仓（2023-07-27开）</t>
        </is>
      </c>
    </row>
    <row r="2107">
      <c r="A2107" t="inlineStr">
        <is>
          <t>2023-07-31</t>
        </is>
      </c>
      <c r="B2107" t="inlineStr">
        <is>
          <t>苯乙烯</t>
        </is>
      </c>
      <c r="C2107" t="inlineStr">
        <is>
          <t>多</t>
        </is>
      </c>
      <c r="D2107" t="n">
        <v>3</v>
      </c>
      <c r="E2107" t="n">
        <v>7</v>
      </c>
      <c r="F2107" t="inlineStr">
        <is>
          <t>开仓</t>
        </is>
      </c>
      <c r="G2107" t="n">
        <v>9</v>
      </c>
      <c r="H2107" t="n">
        <v>8327</v>
      </c>
      <c r="I2107" t="n">
        <v>7791.29</v>
      </c>
      <c r="J2107" t="n">
        <v>2.51</v>
      </c>
      <c r="K2107" t="inlineStr">
        <is>
          <t>组合风险已近10%，预算缩小</t>
        </is>
      </c>
    </row>
    <row r="2108">
      <c r="A2108" t="inlineStr">
        <is>
          <t>2023-07-31</t>
        </is>
      </c>
      <c r="B2108" t="inlineStr">
        <is>
          <t>纸浆</t>
        </is>
      </c>
      <c r="C2108" t="inlineStr">
        <is>
          <t>多</t>
        </is>
      </c>
      <c r="D2108" t="n">
        <v>3</v>
      </c>
      <c r="E2108" t="n">
        <v>6</v>
      </c>
      <c r="F2108" t="inlineStr">
        <is>
          <t>不做</t>
        </is>
      </c>
      <c r="H2108" t="n">
        <v>5496</v>
      </c>
      <c r="J2108" t="n">
        <v>0</v>
      </c>
      <c r="K2108" t="inlineStr">
        <is>
          <t>组合风险已近10%，预算缩小</t>
        </is>
      </c>
    </row>
    <row r="2109">
      <c r="A2109" t="inlineStr">
        <is>
          <t>2023-07-31</t>
        </is>
      </c>
      <c r="B2109" t="inlineStr">
        <is>
          <t>纯碱</t>
        </is>
      </c>
      <c r="C2109" t="inlineStr">
        <is>
          <t>多</t>
        </is>
      </c>
      <c r="D2109" t="n">
        <v>3</v>
      </c>
      <c r="E2109" t="n">
        <v>6</v>
      </c>
      <c r="F2109" t="inlineStr">
        <is>
          <t>不做</t>
        </is>
      </c>
      <c r="H2109" t="n">
        <v>1636</v>
      </c>
      <c r="J2109" t="n">
        <v>0</v>
      </c>
      <c r="K2109" t="inlineStr">
        <is>
          <t>组合风险已近10%，预算缩小</t>
        </is>
      </c>
    </row>
    <row r="2110">
      <c r="A2110" t="inlineStr">
        <is>
          <t>2023-07-31</t>
        </is>
      </c>
      <c r="B2110" t="inlineStr">
        <is>
          <t>聚丙烯</t>
        </is>
      </c>
      <c r="C2110" t="inlineStr">
        <is>
          <t>多</t>
        </is>
      </c>
      <c r="D2110" t="n">
        <v>2</v>
      </c>
      <c r="E2110" t="n">
        <v>5</v>
      </c>
      <c r="F2110" t="inlineStr">
        <is>
          <t>影子仓</t>
        </is>
      </c>
      <c r="G2110" t="n">
        <v>7</v>
      </c>
      <c r="H2110" t="n">
        <v>7448</v>
      </c>
      <c r="I2110" t="n">
        <v>7173.5</v>
      </c>
      <c r="J2110" t="n">
        <v>1</v>
      </c>
      <c r="K2110" t="inlineStr">
        <is>
          <t>凯利≤0，开1%影子仓（只统计，不计入组合）</t>
        </is>
      </c>
    </row>
    <row r="2111">
      <c r="A2111" t="inlineStr">
        <is>
          <t>2023-08-01</t>
        </is>
      </c>
      <c r="B2111" t="inlineStr">
        <is>
          <t>沥青</t>
        </is>
      </c>
      <c r="C2111" t="inlineStr">
        <is>
          <t>多</t>
        </is>
      </c>
      <c r="D2111" t="n">
        <v>3</v>
      </c>
      <c r="E2111" t="n">
        <v>7</v>
      </c>
      <c r="F2111" t="inlineStr">
        <is>
          <t>开仓</t>
        </is>
      </c>
      <c r="G2111" t="n">
        <v>14</v>
      </c>
      <c r="H2111" t="n">
        <v>3796</v>
      </c>
      <c r="I2111" t="n">
        <v>3612.57</v>
      </c>
      <c r="J2111" t="n">
        <v>2.63</v>
      </c>
      <c r="K2111" t="inlineStr">
        <is>
          <t>¼凯利</t>
        </is>
      </c>
    </row>
    <row r="2112">
      <c r="A2112" t="inlineStr">
        <is>
          <t>2023-08-01</t>
        </is>
      </c>
      <c r="B2112" t="inlineStr">
        <is>
          <t>沪银</t>
        </is>
      </c>
      <c r="C2112" t="inlineStr">
        <is>
          <t>多</t>
        </is>
      </c>
      <c r="D2112" t="n">
        <v>3</v>
      </c>
      <c r="E2112" t="n">
        <v>6</v>
      </c>
      <c r="F2112" t="inlineStr">
        <is>
          <t>开仓</t>
        </is>
      </c>
      <c r="G2112" t="n">
        <v>6</v>
      </c>
      <c r="H2112" t="n">
        <v>5832</v>
      </c>
      <c r="I2112" t="n">
        <v>5565.43</v>
      </c>
      <c r="J2112" t="n">
        <v>2.63</v>
      </c>
      <c r="K2112" t="inlineStr">
        <is>
          <t>¼凯利</t>
        </is>
      </c>
    </row>
    <row r="2113">
      <c r="A2113" t="inlineStr">
        <is>
          <t>2023-08-01</t>
        </is>
      </c>
      <c r="B2113" t="inlineStr">
        <is>
          <t>PVC</t>
        </is>
      </c>
      <c r="C2113" t="inlineStr">
        <is>
          <t>多</t>
        </is>
      </c>
      <c r="D2113" t="n">
        <v>3</v>
      </c>
      <c r="E2113" t="n">
        <v>6</v>
      </c>
      <c r="F2113" t="inlineStr">
        <is>
          <t>开仓</t>
        </is>
      </c>
      <c r="G2113" t="n">
        <v>13</v>
      </c>
      <c r="H2113" t="n">
        <v>6242</v>
      </c>
      <c r="I2113" t="n">
        <v>5916.71</v>
      </c>
      <c r="J2113" t="n">
        <v>2.2</v>
      </c>
      <c r="K2113" t="inlineStr">
        <is>
          <t>组合风险已近10%，预算缩小</t>
        </is>
      </c>
    </row>
    <row r="2114">
      <c r="A2114" t="inlineStr">
        <is>
          <t>2023-08-01</t>
        </is>
      </c>
      <c r="B2114" t="inlineStr">
        <is>
          <t>纯碱</t>
        </is>
      </c>
      <c r="C2114" t="inlineStr">
        <is>
          <t>多</t>
        </is>
      </c>
      <c r="D2114" t="n">
        <v>3</v>
      </c>
      <c r="E2114" t="n">
        <v>6</v>
      </c>
      <c r="F2114" t="inlineStr">
        <is>
          <t>不做</t>
        </is>
      </c>
      <c r="H2114" t="n">
        <v>1694</v>
      </c>
      <c r="J2114" t="n">
        <v>0</v>
      </c>
      <c r="K2114" t="inlineStr">
        <is>
          <t>组合风险已近10%，预算缩小</t>
        </is>
      </c>
    </row>
    <row r="2115">
      <c r="A2115" t="inlineStr">
        <is>
          <t>2023-08-01</t>
        </is>
      </c>
      <c r="B2115" t="inlineStr">
        <is>
          <t>燃料油</t>
        </is>
      </c>
      <c r="C2115" t="inlineStr">
        <is>
          <t>多</t>
        </is>
      </c>
      <c r="D2115" t="n">
        <v>3</v>
      </c>
      <c r="E2115" t="n">
        <v>6</v>
      </c>
      <c r="F2115" t="inlineStr">
        <is>
          <t>续持</t>
        </is>
      </c>
      <c r="G2115" t="n">
        <v>13</v>
      </c>
      <c r="H2115" t="n">
        <v>3547</v>
      </c>
      <c r="I2115" t="n">
        <v>3355.71</v>
      </c>
      <c r="J2115" t="n">
        <v>2.54</v>
      </c>
      <c r="K2115" t="inlineStr">
        <is>
          <t>续持原仓（2023-07-27开）</t>
        </is>
      </c>
    </row>
    <row r="2116">
      <c r="A2116" t="inlineStr">
        <is>
          <t>2023-08-01</t>
        </is>
      </c>
      <c r="B2116" t="inlineStr">
        <is>
          <t>玉米</t>
        </is>
      </c>
      <c r="C2116" t="inlineStr">
        <is>
          <t>空</t>
        </is>
      </c>
      <c r="D2116" t="n">
        <v>2</v>
      </c>
      <c r="E2116" t="n">
        <v>4</v>
      </c>
      <c r="F2116" t="inlineStr">
        <is>
          <t>影子仓</t>
        </is>
      </c>
      <c r="G2116" t="n">
        <v>11</v>
      </c>
      <c r="H2116" t="n">
        <v>2703</v>
      </c>
      <c r="I2116" t="n">
        <v>2790.86</v>
      </c>
      <c r="J2116" t="n">
        <v>1</v>
      </c>
      <c r="K2116" t="inlineStr">
        <is>
          <t>凯利≤0，开1%影子仓（只统计，不计入组合）</t>
        </is>
      </c>
    </row>
    <row r="2117">
      <c r="A2117" t="inlineStr">
        <is>
          <t>2023-08-02</t>
        </is>
      </c>
      <c r="B2117" t="inlineStr">
        <is>
          <t>燃料油</t>
        </is>
      </c>
      <c r="C2117" t="inlineStr">
        <is>
          <t>多</t>
        </is>
      </c>
      <c r="D2117" t="n">
        <v>3</v>
      </c>
      <c r="E2117" t="n">
        <v>7</v>
      </c>
      <c r="F2117" t="inlineStr">
        <is>
          <t>续持</t>
        </is>
      </c>
      <c r="G2117" t="n">
        <v>13</v>
      </c>
      <c r="H2117" t="n">
        <v>3640</v>
      </c>
      <c r="I2117" t="n">
        <v>3451.64</v>
      </c>
      <c r="J2117" t="n">
        <v>2.54</v>
      </c>
      <c r="K2117" t="inlineStr">
        <is>
          <t>续持原仓（2023-07-27开）</t>
        </is>
      </c>
    </row>
    <row r="2118">
      <c r="A2118" t="inlineStr">
        <is>
          <t>2023-08-02</t>
        </is>
      </c>
      <c r="B2118" t="inlineStr">
        <is>
          <t>纸浆</t>
        </is>
      </c>
      <c r="C2118" t="inlineStr">
        <is>
          <t>多</t>
        </is>
      </c>
      <c r="D2118" t="n">
        <v>3</v>
      </c>
      <c r="E2118" t="n">
        <v>6</v>
      </c>
      <c r="F2118" t="inlineStr">
        <is>
          <t>开仓</t>
        </is>
      </c>
      <c r="G2118" t="n">
        <v>8</v>
      </c>
      <c r="H2118" t="n">
        <v>5512</v>
      </c>
      <c r="I2118" t="n">
        <v>5204.71</v>
      </c>
      <c r="J2118" t="n">
        <v>2.68</v>
      </c>
      <c r="K2118" t="inlineStr">
        <is>
          <t>¼凯利</t>
        </is>
      </c>
    </row>
    <row r="2119">
      <c r="A2119" t="inlineStr">
        <is>
          <t>2023-08-02</t>
        </is>
      </c>
      <c r="B2119" t="inlineStr">
        <is>
          <t>塑料</t>
        </is>
      </c>
      <c r="C2119" t="inlineStr">
        <is>
          <t>多</t>
        </is>
      </c>
      <c r="D2119" t="n">
        <v>2</v>
      </c>
      <c r="E2119" t="n">
        <v>5</v>
      </c>
      <c r="F2119" t="inlineStr">
        <is>
          <t>影子仓</t>
        </is>
      </c>
      <c r="G2119" t="n">
        <v>7</v>
      </c>
      <c r="H2119" t="n">
        <v>8255</v>
      </c>
      <c r="I2119" t="n">
        <v>7989.07</v>
      </c>
      <c r="J2119" t="n">
        <v>1</v>
      </c>
      <c r="K2119" t="inlineStr">
        <is>
          <t>凯利≤0，开1%影子仓（只统计，不计入组合）</t>
        </is>
      </c>
    </row>
    <row r="2120">
      <c r="A2120" t="inlineStr">
        <is>
          <t>2023-08-02</t>
        </is>
      </c>
      <c r="B2120" t="inlineStr">
        <is>
          <t>纯碱</t>
        </is>
      </c>
      <c r="C2120" t="inlineStr">
        <is>
          <t>多</t>
        </is>
      </c>
      <c r="D2120" t="n">
        <v>2</v>
      </c>
      <c r="E2120" t="n">
        <v>4</v>
      </c>
      <c r="F2120" t="inlineStr">
        <is>
          <t>观望</t>
        </is>
      </c>
      <c r="G2120" t="n">
        <v>2</v>
      </c>
      <c r="H2120" t="n">
        <v>1649</v>
      </c>
      <c r="I2120" t="n">
        <v>1435.14</v>
      </c>
      <c r="J2120" t="n">
        <v>1</v>
      </c>
      <c r="K2120" t="inlineStr">
        <is>
          <t>逆5日线（收盘在5日线下，不追多）</t>
        </is>
      </c>
    </row>
    <row r="2121">
      <c r="A2121" t="inlineStr">
        <is>
          <t>2023-08-02</t>
        </is>
      </c>
      <c r="B2121" t="inlineStr">
        <is>
          <t>螺纹钢</t>
        </is>
      </c>
      <c r="C2121" t="inlineStr">
        <is>
          <t>多</t>
        </is>
      </c>
      <c r="D2121" t="n">
        <v>2</v>
      </c>
      <c r="E2121" t="n">
        <v>4</v>
      </c>
      <c r="F2121" t="inlineStr">
        <is>
          <t>观望</t>
        </is>
      </c>
      <c r="G2121" t="n">
        <v>5</v>
      </c>
      <c r="H2121" t="n">
        <v>3801</v>
      </c>
      <c r="I2121" t="n">
        <v>3630.64</v>
      </c>
      <c r="J2121" t="n">
        <v>1</v>
      </c>
      <c r="K2121" t="inlineStr">
        <is>
          <t>逆5日线（收盘在5日线下，不追多）</t>
        </is>
      </c>
    </row>
    <row r="2122">
      <c r="A2122" t="inlineStr">
        <is>
          <t>2023-08-02</t>
        </is>
      </c>
      <c r="B2122" t="inlineStr">
        <is>
          <t>甲醇</t>
        </is>
      </c>
      <c r="C2122" t="inlineStr">
        <is>
          <t>空</t>
        </is>
      </c>
      <c r="D2122" t="n">
        <v>2</v>
      </c>
      <c r="E2122" t="n">
        <v>4</v>
      </c>
      <c r="F2122" t="inlineStr">
        <is>
          <t>观望</t>
        </is>
      </c>
      <c r="G2122" t="n">
        <v>5</v>
      </c>
      <c r="H2122" t="n">
        <v>2347</v>
      </c>
      <c r="I2122" t="n">
        <v>2532.14</v>
      </c>
      <c r="J2122" t="n">
        <v>1</v>
      </c>
      <c r="K2122" t="inlineStr">
        <is>
          <t>逆5日线（收盘在5日线上，不追空）</t>
        </is>
      </c>
    </row>
    <row r="2123">
      <c r="A2123" t="inlineStr">
        <is>
          <t>2023-08-03</t>
        </is>
      </c>
      <c r="B2123" t="inlineStr">
        <is>
          <t>苯乙烯</t>
        </is>
      </c>
      <c r="C2123" t="inlineStr">
        <is>
          <t>多</t>
        </is>
      </c>
      <c r="D2123" t="n">
        <v>2</v>
      </c>
      <c r="E2123" t="n">
        <v>5</v>
      </c>
      <c r="F2123" t="inlineStr">
        <is>
          <t>观望</t>
        </is>
      </c>
      <c r="G2123" t="n">
        <v>3</v>
      </c>
      <c r="H2123" t="n">
        <v>8236</v>
      </c>
      <c r="I2123" t="n">
        <v>7669.64</v>
      </c>
      <c r="J2123" t="n">
        <v>1</v>
      </c>
      <c r="K2123" t="inlineStr">
        <is>
          <t>逆5日线（收盘在5日线下，不追多）</t>
        </is>
      </c>
    </row>
    <row r="2124">
      <c r="A2124" t="inlineStr">
        <is>
          <t>2023-08-03</t>
        </is>
      </c>
      <c r="B2124" t="inlineStr">
        <is>
          <t>纯碱</t>
        </is>
      </c>
      <c r="C2124" t="inlineStr">
        <is>
          <t>多</t>
        </is>
      </c>
      <c r="D2124" t="n">
        <v>2</v>
      </c>
      <c r="E2124" t="n">
        <v>5</v>
      </c>
      <c r="F2124" t="inlineStr">
        <is>
          <t>观望</t>
        </is>
      </c>
      <c r="G2124" t="n">
        <v>2</v>
      </c>
      <c r="H2124" t="n">
        <v>1588</v>
      </c>
      <c r="I2124" t="n">
        <v>1361.29</v>
      </c>
      <c r="J2124" t="n">
        <v>1</v>
      </c>
      <c r="K2124" t="inlineStr">
        <is>
          <t>逆5日线（收盘在5日线下，不追多）</t>
        </is>
      </c>
    </row>
    <row r="2125">
      <c r="A2125" t="inlineStr">
        <is>
          <t>2023-08-03</t>
        </is>
      </c>
      <c r="B2125" t="inlineStr">
        <is>
          <t>PVC</t>
        </is>
      </c>
      <c r="C2125" t="inlineStr">
        <is>
          <t>多</t>
        </is>
      </c>
      <c r="D2125" t="n">
        <v>2</v>
      </c>
      <c r="E2125" t="n">
        <v>4</v>
      </c>
      <c r="F2125" t="inlineStr">
        <is>
          <t>观望</t>
        </is>
      </c>
      <c r="G2125" t="n">
        <v>5</v>
      </c>
      <c r="H2125" t="n">
        <v>6145</v>
      </c>
      <c r="I2125" t="n">
        <v>5801.5</v>
      </c>
      <c r="J2125" t="n">
        <v>1</v>
      </c>
      <c r="K2125" t="inlineStr">
        <is>
          <t>逆5日线（收盘在5日线下，不追多）</t>
        </is>
      </c>
    </row>
    <row r="2126">
      <c r="A2126" t="inlineStr">
        <is>
          <t>2023-08-03</t>
        </is>
      </c>
      <c r="B2126" t="inlineStr">
        <is>
          <t>沪锌</t>
        </is>
      </c>
      <c r="C2126" t="inlineStr">
        <is>
          <t>空</t>
        </is>
      </c>
      <c r="D2126" t="n">
        <v>2</v>
      </c>
      <c r="E2126" t="n">
        <v>4</v>
      </c>
      <c r="F2126" t="inlineStr">
        <is>
          <t>影子仓</t>
        </is>
      </c>
      <c r="G2126" t="n">
        <v>2</v>
      </c>
      <c r="H2126" t="n">
        <v>20800</v>
      </c>
      <c r="I2126" t="n">
        <v>21658.21</v>
      </c>
      <c r="J2126" t="n">
        <v>1</v>
      </c>
      <c r="K2126" t="inlineStr">
        <is>
          <t>凯利≤0，开1%影子仓（只统计，不计入组合）</t>
        </is>
      </c>
    </row>
    <row r="2127">
      <c r="A2127" t="inlineStr">
        <is>
          <t>2023-08-03</t>
        </is>
      </c>
      <c r="B2127" t="inlineStr">
        <is>
          <t>菜粕</t>
        </is>
      </c>
      <c r="C2127" t="inlineStr">
        <is>
          <t>多</t>
        </is>
      </c>
      <c r="D2127" t="n">
        <v>2</v>
      </c>
      <c r="E2127" t="n">
        <v>4</v>
      </c>
      <c r="F2127" t="inlineStr">
        <is>
          <t>影子仓</t>
        </is>
      </c>
      <c r="G2127" t="n">
        <v>3</v>
      </c>
      <c r="H2127" t="n">
        <v>3483</v>
      </c>
      <c r="I2127" t="n">
        <v>3151.93</v>
      </c>
      <c r="J2127" t="n">
        <v>1</v>
      </c>
      <c r="K2127" t="inlineStr">
        <is>
          <t>凯利≤0，开1%影子仓（只统计，不计入组合）</t>
        </is>
      </c>
    </row>
    <row r="2128">
      <c r="A2128" t="inlineStr">
        <is>
          <t>2023-08-04</t>
        </is>
      </c>
      <c r="B2128" t="inlineStr">
        <is>
          <t>苯乙烯</t>
        </is>
      </c>
      <c r="C2128" t="inlineStr">
        <is>
          <t>多</t>
        </is>
      </c>
      <c r="D2128" t="n">
        <v>3</v>
      </c>
      <c r="E2128" t="n">
        <v>6</v>
      </c>
      <c r="F2128" t="inlineStr">
        <is>
          <t>开仓</t>
        </is>
      </c>
      <c r="G2128" t="n">
        <v>9</v>
      </c>
      <c r="H2128" t="n">
        <v>8343</v>
      </c>
      <c r="I2128" t="n">
        <v>7771.29</v>
      </c>
      <c r="J2128" t="n">
        <v>2.82</v>
      </c>
      <c r="K2128" t="inlineStr">
        <is>
          <t>¼凯利</t>
        </is>
      </c>
    </row>
    <row r="2129">
      <c r="A2129" t="inlineStr">
        <is>
          <t>2023-08-04</t>
        </is>
      </c>
      <c r="B2129" t="inlineStr">
        <is>
          <t>塑料</t>
        </is>
      </c>
      <c r="C2129" t="inlineStr">
        <is>
          <t>多</t>
        </is>
      </c>
      <c r="D2129" t="n">
        <v>3</v>
      </c>
      <c r="E2129" t="n">
        <v>6</v>
      </c>
      <c r="F2129" t="inlineStr">
        <is>
          <t>开仓</t>
        </is>
      </c>
      <c r="G2129" t="n">
        <v>14</v>
      </c>
      <c r="H2129" t="n">
        <v>8206</v>
      </c>
      <c r="I2129" t="n">
        <v>7948.64</v>
      </c>
      <c r="J2129" t="n">
        <v>1.87</v>
      </c>
      <c r="K2129" t="inlineStr">
        <is>
          <t>组合风险已近10%，预算缩小</t>
        </is>
      </c>
    </row>
    <row r="2130">
      <c r="A2130" t="inlineStr">
        <is>
          <t>2023-08-04</t>
        </is>
      </c>
      <c r="B2130" t="inlineStr">
        <is>
          <t>燃料油</t>
        </is>
      </c>
      <c r="C2130" t="inlineStr">
        <is>
          <t>多</t>
        </is>
      </c>
      <c r="D2130" t="n">
        <v>3</v>
      </c>
      <c r="E2130" t="n">
        <v>6</v>
      </c>
      <c r="F2130" t="inlineStr">
        <is>
          <t>不做</t>
        </is>
      </c>
      <c r="H2130" t="n">
        <v>3625</v>
      </c>
      <c r="J2130" t="n">
        <v>0</v>
      </c>
      <c r="K2130" t="inlineStr">
        <is>
          <t>组合风险已近10%，预算缩小</t>
        </is>
      </c>
    </row>
    <row r="2131">
      <c r="A2131" t="inlineStr">
        <is>
          <t>2023-08-04</t>
        </is>
      </c>
      <c r="B2131" t="inlineStr">
        <is>
          <t>沪锌</t>
        </is>
      </c>
      <c r="C2131" t="inlineStr">
        <is>
          <t>多</t>
        </is>
      </c>
      <c r="D2131" t="n">
        <v>2</v>
      </c>
      <c r="E2131" t="n">
        <v>5</v>
      </c>
      <c r="F2131" t="inlineStr">
        <is>
          <t>观望</t>
        </is>
      </c>
      <c r="G2131" t="n">
        <v>2</v>
      </c>
      <c r="H2131" t="n">
        <v>20970</v>
      </c>
      <c r="I2131" t="n">
        <v>20104.29</v>
      </c>
      <c r="J2131" t="n">
        <v>1</v>
      </c>
      <c r="K2131" t="inlineStr">
        <is>
          <t>逆5日线（收盘在5日线下，不追多）</t>
        </is>
      </c>
    </row>
    <row r="2132">
      <c r="A2132" t="inlineStr">
        <is>
          <t>2023-08-04</t>
        </is>
      </c>
      <c r="B2132" t="inlineStr">
        <is>
          <t>玉米</t>
        </is>
      </c>
      <c r="C2132" t="inlineStr">
        <is>
          <t>多</t>
        </is>
      </c>
      <c r="D2132" t="n">
        <v>2</v>
      </c>
      <c r="E2132" t="n">
        <v>4</v>
      </c>
      <c r="F2132" t="inlineStr">
        <is>
          <t>影子仓</t>
        </is>
      </c>
      <c r="G2132" t="n">
        <v>10</v>
      </c>
      <c r="H2132" t="n">
        <v>2767</v>
      </c>
      <c r="I2132" t="n">
        <v>2674.43</v>
      </c>
      <c r="J2132" t="n">
        <v>1</v>
      </c>
      <c r="K2132" t="inlineStr">
        <is>
          <t>凯利≤0，开1%影子仓（只统计，不计入组合）</t>
        </is>
      </c>
    </row>
    <row r="2133">
      <c r="A2133" t="inlineStr">
        <is>
          <t>2023-08-07</t>
        </is>
      </c>
      <c r="B2133" t="inlineStr">
        <is>
          <t>燃料油</t>
        </is>
      </c>
      <c r="C2133" t="inlineStr">
        <is>
          <t>多</t>
        </is>
      </c>
      <c r="D2133" t="n">
        <v>3</v>
      </c>
      <c r="E2133" t="n">
        <v>7</v>
      </c>
      <c r="F2133" t="inlineStr">
        <is>
          <t>不做</t>
        </is>
      </c>
      <c r="H2133" t="n">
        <v>3657</v>
      </c>
      <c r="J2133" t="n">
        <v>0</v>
      </c>
      <c r="K2133" t="inlineStr">
        <is>
          <t>组合风险已近10%，预算缩小</t>
        </is>
      </c>
    </row>
    <row r="2134">
      <c r="A2134" t="inlineStr">
        <is>
          <t>2023-08-07</t>
        </is>
      </c>
      <c r="B2134" t="inlineStr">
        <is>
          <t>苯乙烯</t>
        </is>
      </c>
      <c r="C2134" t="inlineStr">
        <is>
          <t>多</t>
        </is>
      </c>
      <c r="D2134" t="n">
        <v>2</v>
      </c>
      <c r="E2134" t="n">
        <v>5</v>
      </c>
      <c r="F2134" t="inlineStr">
        <is>
          <t>观望</t>
        </is>
      </c>
      <c r="G2134" t="n">
        <v>3</v>
      </c>
      <c r="H2134" t="n">
        <v>8300</v>
      </c>
      <c r="I2134" t="n">
        <v>7729.79</v>
      </c>
      <c r="J2134" t="n">
        <v>1</v>
      </c>
      <c r="K2134" t="inlineStr">
        <is>
          <t>逆5日线（收盘在5日线下，不追多）</t>
        </is>
      </c>
    </row>
    <row r="2135">
      <c r="A2135" t="inlineStr">
        <is>
          <t>2023-08-07</t>
        </is>
      </c>
      <c r="B2135" t="inlineStr">
        <is>
          <t>塑料</t>
        </is>
      </c>
      <c r="C2135" t="inlineStr">
        <is>
          <t>多</t>
        </is>
      </c>
      <c r="D2135" t="n">
        <v>2</v>
      </c>
      <c r="E2135" t="n">
        <v>5</v>
      </c>
      <c r="F2135" t="inlineStr">
        <is>
          <t>观望</t>
        </is>
      </c>
      <c r="G2135" t="n">
        <v>7</v>
      </c>
      <c r="H2135" t="n">
        <v>8164</v>
      </c>
      <c r="I2135" t="n">
        <v>7909.21</v>
      </c>
      <c r="J2135" t="n">
        <v>1</v>
      </c>
      <c r="K2135" t="inlineStr">
        <is>
          <t>逆5日线（收盘在5日线下，不追多）</t>
        </is>
      </c>
    </row>
    <row r="2136">
      <c r="A2136" t="inlineStr">
        <is>
          <t>2023-08-07</t>
        </is>
      </c>
      <c r="B2136" t="inlineStr">
        <is>
          <t>纯碱</t>
        </is>
      </c>
      <c r="C2136" t="inlineStr">
        <is>
          <t>多</t>
        </is>
      </c>
      <c r="D2136" t="n">
        <v>2</v>
      </c>
      <c r="E2136" t="n">
        <v>4</v>
      </c>
      <c r="F2136" t="inlineStr">
        <is>
          <t>观望</t>
        </is>
      </c>
      <c r="G2136" t="n">
        <v>2</v>
      </c>
      <c r="H2136" t="n">
        <v>1526</v>
      </c>
      <c r="I2136" t="n">
        <v>1296.29</v>
      </c>
      <c r="J2136" t="n">
        <v>1</v>
      </c>
      <c r="K2136" t="inlineStr">
        <is>
          <t>逆5日线（收盘在5日线下，不追多）</t>
        </is>
      </c>
    </row>
    <row r="2137">
      <c r="A2137" t="inlineStr">
        <is>
          <t>2023-08-07</t>
        </is>
      </c>
      <c r="B2137" t="inlineStr">
        <is>
          <t>甲醇</t>
        </is>
      </c>
      <c r="C2137" t="inlineStr">
        <is>
          <t>空</t>
        </is>
      </c>
      <c r="D2137" t="n">
        <v>2</v>
      </c>
      <c r="E2137" t="n">
        <v>4</v>
      </c>
      <c r="F2137" t="inlineStr">
        <is>
          <t>影子仓</t>
        </is>
      </c>
      <c r="G2137" t="n">
        <v>6</v>
      </c>
      <c r="H2137" t="n">
        <v>2319</v>
      </c>
      <c r="I2137" t="n">
        <v>2477.79</v>
      </c>
      <c r="J2137" t="n">
        <v>1</v>
      </c>
      <c r="K2137" t="inlineStr">
        <is>
          <t>凯利≤0，开1%影子仓（只统计，不计入组合）</t>
        </is>
      </c>
    </row>
    <row r="2138">
      <c r="A2138" t="inlineStr">
        <is>
          <t>2023-08-08</t>
        </is>
      </c>
      <c r="B2138" t="inlineStr">
        <is>
          <t>玉米</t>
        </is>
      </c>
      <c r="C2138" t="inlineStr">
        <is>
          <t>多</t>
        </is>
      </c>
      <c r="D2138" t="n">
        <v>3</v>
      </c>
      <c r="E2138" t="n">
        <v>6</v>
      </c>
      <c r="F2138" t="inlineStr">
        <is>
          <t>不做</t>
        </is>
      </c>
      <c r="H2138" t="n">
        <v>2793</v>
      </c>
      <c r="J2138" t="n">
        <v>0</v>
      </c>
      <c r="K2138" t="inlineStr">
        <is>
          <t>组合风险已近10%，预算缩小</t>
        </is>
      </c>
    </row>
    <row r="2139">
      <c r="A2139" t="inlineStr">
        <is>
          <t>2023-08-08</t>
        </is>
      </c>
      <c r="B2139" t="inlineStr">
        <is>
          <t>纯碱</t>
        </is>
      </c>
      <c r="C2139" t="inlineStr">
        <is>
          <t>多</t>
        </is>
      </c>
      <c r="D2139" t="n">
        <v>3</v>
      </c>
      <c r="E2139" t="n">
        <v>6</v>
      </c>
      <c r="F2139" t="inlineStr">
        <is>
          <t>观望</t>
        </is>
      </c>
      <c r="H2139" t="n">
        <v>1538</v>
      </c>
      <c r="J2139" t="n">
        <v>0</v>
      </c>
      <c r="K2139" t="inlineStr">
        <is>
          <t>逆5日线（收盘在5日线下，不追多）</t>
        </is>
      </c>
    </row>
    <row r="2140">
      <c r="A2140" t="inlineStr">
        <is>
          <t>2023-08-08</t>
        </is>
      </c>
      <c r="B2140" t="inlineStr">
        <is>
          <t>苯乙烯</t>
        </is>
      </c>
      <c r="C2140" t="inlineStr">
        <is>
          <t>多</t>
        </is>
      </c>
      <c r="D2140" t="n">
        <v>2</v>
      </c>
      <c r="E2140" t="n">
        <v>5</v>
      </c>
      <c r="F2140" t="inlineStr">
        <is>
          <t>观望</t>
        </is>
      </c>
      <c r="G2140" t="n">
        <v>3</v>
      </c>
      <c r="H2140" t="n">
        <v>8301</v>
      </c>
      <c r="I2140" t="n">
        <v>7722</v>
      </c>
      <c r="J2140" t="n">
        <v>1</v>
      </c>
      <c r="K2140" t="inlineStr">
        <is>
          <t>逆5日线（收盘在5日线下，不追多）</t>
        </is>
      </c>
    </row>
    <row r="2141">
      <c r="A2141" t="inlineStr">
        <is>
          <t>2023-08-08</t>
        </is>
      </c>
      <c r="B2141" t="inlineStr">
        <is>
          <t>燃料油</t>
        </is>
      </c>
      <c r="C2141" t="inlineStr">
        <is>
          <t>多</t>
        </is>
      </c>
      <c r="D2141" t="n">
        <v>2</v>
      </c>
      <c r="E2141" t="n">
        <v>4</v>
      </c>
      <c r="F2141" t="inlineStr">
        <is>
          <t>观望</t>
        </is>
      </c>
      <c r="G2141" t="n">
        <v>4</v>
      </c>
      <c r="H2141" t="n">
        <v>3577</v>
      </c>
      <c r="I2141" t="n">
        <v>3347.93</v>
      </c>
      <c r="J2141" t="n">
        <v>1</v>
      </c>
      <c r="K2141" t="inlineStr">
        <is>
          <t>逆5日线（收盘在5日线下，不追多）</t>
        </is>
      </c>
    </row>
    <row r="2142">
      <c r="A2142" t="inlineStr">
        <is>
          <t>2023-08-09</t>
        </is>
      </c>
      <c r="B2142" t="inlineStr">
        <is>
          <t>苯乙烯</t>
        </is>
      </c>
      <c r="C2142" t="inlineStr">
        <is>
          <t>多</t>
        </is>
      </c>
      <c r="D2142" t="n">
        <v>3</v>
      </c>
      <c r="E2142" t="n">
        <v>7</v>
      </c>
      <c r="F2142" t="inlineStr">
        <is>
          <t>续持</t>
        </is>
      </c>
      <c r="G2142" t="n">
        <v>9</v>
      </c>
      <c r="H2142" t="n">
        <v>8354</v>
      </c>
      <c r="I2142" t="n">
        <v>7811.14</v>
      </c>
      <c r="J2142" t="n">
        <v>2.82</v>
      </c>
      <c r="K2142" t="inlineStr">
        <is>
          <t>续持原仓（2023-08-04开）</t>
        </is>
      </c>
    </row>
    <row r="2143">
      <c r="A2143" t="inlineStr">
        <is>
          <t>2023-08-09</t>
        </is>
      </c>
      <c r="B2143" t="inlineStr">
        <is>
          <t>燃料油</t>
        </is>
      </c>
      <c r="C2143" t="inlineStr">
        <is>
          <t>多</t>
        </is>
      </c>
      <c r="D2143" t="n">
        <v>3</v>
      </c>
      <c r="E2143" t="n">
        <v>7</v>
      </c>
      <c r="F2143" t="inlineStr">
        <is>
          <t>不做</t>
        </is>
      </c>
      <c r="H2143" t="n">
        <v>3621</v>
      </c>
      <c r="J2143" t="n">
        <v>0</v>
      </c>
      <c r="K2143" t="inlineStr">
        <is>
          <t>组合风险已近10%，预算缩小</t>
        </is>
      </c>
    </row>
    <row r="2144">
      <c r="A2144" t="inlineStr">
        <is>
          <t>2023-08-09</t>
        </is>
      </c>
      <c r="B2144" t="inlineStr">
        <is>
          <t>纯碱</t>
        </is>
      </c>
      <c r="C2144" t="inlineStr">
        <is>
          <t>多</t>
        </is>
      </c>
      <c r="D2144" t="n">
        <v>3</v>
      </c>
      <c r="E2144" t="n">
        <v>6</v>
      </c>
      <c r="F2144" t="inlineStr">
        <is>
          <t>不做</t>
        </is>
      </c>
      <c r="H2144" t="n">
        <v>1560</v>
      </c>
      <c r="J2144" t="n">
        <v>0</v>
      </c>
      <c r="K2144" t="inlineStr">
        <is>
          <t>组合风险已近10%，预算缩小</t>
        </is>
      </c>
    </row>
    <row r="2145">
      <c r="A2145" t="inlineStr">
        <is>
          <t>2023-08-09</t>
        </is>
      </c>
      <c r="B2145" t="inlineStr">
        <is>
          <t>热卷</t>
        </is>
      </c>
      <c r="C2145" t="inlineStr">
        <is>
          <t>空</t>
        </is>
      </c>
      <c r="D2145" t="n">
        <v>2</v>
      </c>
      <c r="E2145" t="n">
        <v>4</v>
      </c>
      <c r="F2145" t="inlineStr">
        <is>
          <t>影子仓</t>
        </is>
      </c>
      <c r="G2145" t="n">
        <v>5</v>
      </c>
      <c r="H2145" t="n">
        <v>3964</v>
      </c>
      <c r="I2145" t="n">
        <v>4161.79</v>
      </c>
      <c r="J2145" t="n">
        <v>1</v>
      </c>
      <c r="K2145" t="inlineStr">
        <is>
          <t>凯利≤0，开1%影子仓（只统计，不计入组合）</t>
        </is>
      </c>
    </row>
    <row r="2146">
      <c r="A2146" t="inlineStr">
        <is>
          <t>2023-08-10</t>
        </is>
      </c>
      <c r="B2146" t="inlineStr">
        <is>
          <t>苯乙烯</t>
        </is>
      </c>
      <c r="C2146" t="inlineStr">
        <is>
          <t>多</t>
        </is>
      </c>
      <c r="D2146" t="n">
        <v>3</v>
      </c>
      <c r="E2146" t="n">
        <v>7</v>
      </c>
      <c r="F2146" t="inlineStr">
        <is>
          <t>续持</t>
        </is>
      </c>
      <c r="G2146" t="n">
        <v>9</v>
      </c>
      <c r="H2146" t="n">
        <v>8494</v>
      </c>
      <c r="I2146" t="n">
        <v>7958</v>
      </c>
      <c r="J2146" t="n">
        <v>2.82</v>
      </c>
      <c r="K2146" t="inlineStr">
        <is>
          <t>续持原仓（2023-08-04开）</t>
        </is>
      </c>
    </row>
    <row r="2147">
      <c r="A2147" t="inlineStr">
        <is>
          <t>2023-08-10</t>
        </is>
      </c>
      <c r="B2147" t="inlineStr">
        <is>
          <t>燃料油</t>
        </is>
      </c>
      <c r="C2147" t="inlineStr">
        <is>
          <t>多</t>
        </is>
      </c>
      <c r="D2147" t="n">
        <v>3</v>
      </c>
      <c r="E2147" t="n">
        <v>7</v>
      </c>
      <c r="F2147" t="inlineStr">
        <is>
          <t>不做</t>
        </is>
      </c>
      <c r="H2147" t="n">
        <v>3697</v>
      </c>
      <c r="J2147" t="n">
        <v>0</v>
      </c>
      <c r="K2147" t="inlineStr">
        <is>
          <t>组合风险已近10%，预算缩小</t>
        </is>
      </c>
    </row>
    <row r="2148">
      <c r="A2148" t="inlineStr">
        <is>
          <t>2023-08-10</t>
        </is>
      </c>
      <c r="B2148" t="inlineStr">
        <is>
          <t>热卷</t>
        </is>
      </c>
      <c r="C2148" t="inlineStr">
        <is>
          <t>空</t>
        </is>
      </c>
      <c r="D2148" t="n">
        <v>3</v>
      </c>
      <c r="E2148" t="n">
        <v>6</v>
      </c>
      <c r="F2148" t="inlineStr">
        <is>
          <t>续持</t>
        </is>
      </c>
      <c r="G2148" t="n">
        <v>5</v>
      </c>
      <c r="H2148" t="n">
        <v>3921</v>
      </c>
      <c r="I2148" t="n">
        <v>4108.07</v>
      </c>
      <c r="J2148" t="n">
        <v>1</v>
      </c>
      <c r="K2148" t="inlineStr">
        <is>
          <t>续持原仓（2023-08-09开）</t>
        </is>
      </c>
    </row>
    <row r="2149">
      <c r="A2149" t="inlineStr">
        <is>
          <t>2023-08-10</t>
        </is>
      </c>
      <c r="B2149" t="inlineStr">
        <is>
          <t>棉花</t>
        </is>
      </c>
      <c r="C2149" t="inlineStr">
        <is>
          <t>多</t>
        </is>
      </c>
      <c r="D2149" t="n">
        <v>2</v>
      </c>
      <c r="E2149" t="n">
        <v>5</v>
      </c>
      <c r="F2149" t="inlineStr">
        <is>
          <t>观望</t>
        </is>
      </c>
      <c r="G2149" t="n">
        <v>2</v>
      </c>
      <c r="H2149" t="n">
        <v>17160</v>
      </c>
      <c r="I2149" t="n">
        <v>16430.36</v>
      </c>
      <c r="J2149" t="n">
        <v>1</v>
      </c>
      <c r="K2149" t="inlineStr">
        <is>
          <t>逆5日线（收盘在5日线下，不追多）</t>
        </is>
      </c>
    </row>
    <row r="2150">
      <c r="A2150" t="inlineStr">
        <is>
          <t>2023-08-10</t>
        </is>
      </c>
      <c r="B2150" t="inlineStr">
        <is>
          <t>玉米</t>
        </is>
      </c>
      <c r="C2150" t="inlineStr">
        <is>
          <t>多</t>
        </is>
      </c>
      <c r="D2150" t="n">
        <v>2</v>
      </c>
      <c r="E2150" t="n">
        <v>5</v>
      </c>
      <c r="F2150" t="inlineStr">
        <is>
          <t>影子仓</t>
        </is>
      </c>
      <c r="G2150" t="n">
        <v>11</v>
      </c>
      <c r="H2150" t="n">
        <v>2739</v>
      </c>
      <c r="I2150" t="n">
        <v>2650.5</v>
      </c>
      <c r="J2150" t="n">
        <v>1</v>
      </c>
      <c r="K2150" t="inlineStr">
        <is>
          <t>凯利≤0，开1%影子仓（只统计，不计入组合）</t>
        </is>
      </c>
    </row>
    <row r="2151">
      <c r="A2151" t="inlineStr">
        <is>
          <t>2023-08-10</t>
        </is>
      </c>
      <c r="B2151" t="inlineStr">
        <is>
          <t>纸浆</t>
        </is>
      </c>
      <c r="C2151" t="inlineStr">
        <is>
          <t>多</t>
        </is>
      </c>
      <c r="D2151" t="n">
        <v>2</v>
      </c>
      <c r="E2151" t="n">
        <v>4</v>
      </c>
      <c r="F2151" t="inlineStr">
        <is>
          <t>观望</t>
        </is>
      </c>
      <c r="G2151" t="n">
        <v>3</v>
      </c>
      <c r="H2151" t="n">
        <v>5334</v>
      </c>
      <c r="I2151" t="n">
        <v>5016</v>
      </c>
      <c r="J2151" t="n">
        <v>1</v>
      </c>
      <c r="K2151" t="inlineStr">
        <is>
          <t>逆5日线（收盘在5日线下，不追多）</t>
        </is>
      </c>
    </row>
    <row r="2152">
      <c r="A2152" t="inlineStr">
        <is>
          <t>2023-08-11</t>
        </is>
      </c>
      <c r="B2152" t="inlineStr">
        <is>
          <t>燃料油</t>
        </is>
      </c>
      <c r="C2152" t="inlineStr">
        <is>
          <t>多</t>
        </is>
      </c>
      <c r="D2152" t="n">
        <v>3</v>
      </c>
      <c r="E2152" t="n">
        <v>6</v>
      </c>
      <c r="F2152" t="inlineStr">
        <is>
          <t>开仓</t>
        </is>
      </c>
      <c r="G2152" t="n">
        <v>11</v>
      </c>
      <c r="H2152" t="n">
        <v>3696</v>
      </c>
      <c r="I2152" t="n">
        <v>3443.79</v>
      </c>
      <c r="J2152" t="n">
        <v>2.78</v>
      </c>
      <c r="K2152" t="inlineStr">
        <is>
          <t>¼凯利</t>
        </is>
      </c>
    </row>
    <row r="2153">
      <c r="A2153" t="inlineStr">
        <is>
          <t>2023-08-11</t>
        </is>
      </c>
      <c r="B2153" t="inlineStr">
        <is>
          <t>纯碱</t>
        </is>
      </c>
      <c r="C2153" t="inlineStr">
        <is>
          <t>多</t>
        </is>
      </c>
      <c r="D2153" t="n">
        <v>3</v>
      </c>
      <c r="E2153" t="n">
        <v>6</v>
      </c>
      <c r="F2153" t="inlineStr">
        <is>
          <t>不做</t>
        </is>
      </c>
      <c r="H2153" t="n">
        <v>1607</v>
      </c>
      <c r="J2153" t="n">
        <v>0.04</v>
      </c>
      <c r="K2153" t="inlineStr">
        <is>
          <t>组合风险已近10%，预算缩小</t>
        </is>
      </c>
    </row>
    <row r="2154">
      <c r="A2154" t="inlineStr">
        <is>
          <t>2023-08-11</t>
        </is>
      </c>
      <c r="B2154" t="inlineStr">
        <is>
          <t>棉花</t>
        </is>
      </c>
      <c r="C2154" t="inlineStr">
        <is>
          <t>多</t>
        </is>
      </c>
      <c r="D2154" t="n">
        <v>2</v>
      </c>
      <c r="E2154" t="n">
        <v>5</v>
      </c>
      <c r="F2154" t="inlineStr">
        <is>
          <t>影子仓</t>
        </is>
      </c>
      <c r="G2154" t="n">
        <v>2</v>
      </c>
      <c r="H2154" t="n">
        <v>17230</v>
      </c>
      <c r="I2154" t="n">
        <v>16543.21</v>
      </c>
      <c r="J2154" t="n">
        <v>1</v>
      </c>
      <c r="K2154" t="inlineStr">
        <is>
          <t>凯利≤0，开1%影子仓（只统计，不计入组合）</t>
        </is>
      </c>
    </row>
    <row r="2155">
      <c r="A2155" t="inlineStr">
        <is>
          <t>2023-08-14</t>
        </is>
      </c>
      <c r="B2155" t="inlineStr">
        <is>
          <t>棉花</t>
        </is>
      </c>
      <c r="C2155" t="inlineStr">
        <is>
          <t>多</t>
        </is>
      </c>
      <c r="D2155" t="n">
        <v>2</v>
      </c>
      <c r="E2155" t="n">
        <v>5</v>
      </c>
      <c r="F2155" t="inlineStr">
        <is>
          <t>观望</t>
        </is>
      </c>
      <c r="G2155" t="n">
        <v>2</v>
      </c>
      <c r="H2155" t="n">
        <v>17115</v>
      </c>
      <c r="I2155" t="n">
        <v>16403.57</v>
      </c>
      <c r="J2155" t="n">
        <v>1</v>
      </c>
      <c r="K2155" t="inlineStr">
        <is>
          <t>逆5日线（收盘在5日线下，不追多）</t>
        </is>
      </c>
    </row>
    <row r="2156">
      <c r="A2156" t="inlineStr">
        <is>
          <t>2023-08-14</t>
        </is>
      </c>
      <c r="B2156" t="inlineStr">
        <is>
          <t>燃料油</t>
        </is>
      </c>
      <c r="C2156" t="inlineStr">
        <is>
          <t>多</t>
        </is>
      </c>
      <c r="D2156" t="n">
        <v>2</v>
      </c>
      <c r="E2156" t="n">
        <v>4</v>
      </c>
      <c r="F2156" t="inlineStr">
        <is>
          <t>续持</t>
        </is>
      </c>
      <c r="G2156" t="n">
        <v>11</v>
      </c>
      <c r="H2156" t="n">
        <v>3446</v>
      </c>
      <c r="I2156" t="n">
        <v>3278.79</v>
      </c>
      <c r="J2156" t="n">
        <v>2.78</v>
      </c>
      <c r="K2156" t="inlineStr">
        <is>
          <t>续持原仓（2023-08-11开）</t>
        </is>
      </c>
    </row>
    <row r="2157">
      <c r="A2157" t="inlineStr">
        <is>
          <t>2023-08-14</t>
        </is>
      </c>
      <c r="B2157" t="inlineStr">
        <is>
          <t>玉米</t>
        </is>
      </c>
      <c r="C2157" t="inlineStr">
        <is>
          <t>空</t>
        </is>
      </c>
      <c r="D2157" t="n">
        <v>2</v>
      </c>
      <c r="E2157" t="n">
        <v>4</v>
      </c>
      <c r="F2157" t="inlineStr">
        <is>
          <t>影子仓</t>
        </is>
      </c>
      <c r="G2157" t="n">
        <v>9</v>
      </c>
      <c r="H2157" t="n">
        <v>2701</v>
      </c>
      <c r="I2157" t="n">
        <v>2802.79</v>
      </c>
      <c r="J2157" t="n">
        <v>1</v>
      </c>
      <c r="K2157" t="inlineStr">
        <is>
          <t>凯利≤0，开1%影子仓（只统计，不计入组合）</t>
        </is>
      </c>
    </row>
    <row r="2158">
      <c r="A2158" t="inlineStr">
        <is>
          <t>2023-08-14</t>
        </is>
      </c>
      <c r="B2158" t="inlineStr">
        <is>
          <t>沪银</t>
        </is>
      </c>
      <c r="C2158" t="inlineStr">
        <is>
          <t>空</t>
        </is>
      </c>
      <c r="D2158" t="n">
        <v>2</v>
      </c>
      <c r="E2158" t="n">
        <v>4</v>
      </c>
      <c r="F2158" t="inlineStr">
        <is>
          <t>观望</t>
        </is>
      </c>
      <c r="G2158" t="n">
        <v>2</v>
      </c>
      <c r="H2158" t="n">
        <v>5603</v>
      </c>
      <c r="I2158" t="n">
        <v>5851.14</v>
      </c>
      <c r="J2158" t="n">
        <v>1</v>
      </c>
      <c r="K2158" t="inlineStr">
        <is>
          <t>逆5日线（收盘在5日线上，不追空）</t>
        </is>
      </c>
    </row>
    <row r="2159">
      <c r="A2159" t="inlineStr">
        <is>
          <t>2023-08-14</t>
        </is>
      </c>
      <c r="B2159" t="inlineStr">
        <is>
          <t>豆粕</t>
        </is>
      </c>
      <c r="C2159" t="inlineStr">
        <is>
          <t>多</t>
        </is>
      </c>
      <c r="D2159" t="n">
        <v>2</v>
      </c>
      <c r="E2159" t="n">
        <v>4</v>
      </c>
      <c r="F2159" t="inlineStr">
        <is>
          <t>影子仓</t>
        </is>
      </c>
      <c r="G2159" t="n">
        <v>4</v>
      </c>
      <c r="H2159" t="n">
        <v>3883</v>
      </c>
      <c r="I2159" t="n">
        <v>3670.43</v>
      </c>
      <c r="J2159" t="n">
        <v>1</v>
      </c>
      <c r="K2159" t="inlineStr">
        <is>
          <t>凯利≤0，开1%影子仓（只统计，不计入组合）</t>
        </is>
      </c>
    </row>
    <row r="2160">
      <c r="A2160" t="inlineStr">
        <is>
          <t>2023-08-15</t>
        </is>
      </c>
      <c r="B2160" t="inlineStr">
        <is>
          <t>燃料油</t>
        </is>
      </c>
      <c r="C2160" t="inlineStr">
        <is>
          <t>多</t>
        </is>
      </c>
      <c r="D2160" t="n">
        <v>3</v>
      </c>
      <c r="E2160" t="n">
        <v>6</v>
      </c>
      <c r="F2160" t="inlineStr">
        <is>
          <t>续持</t>
        </is>
      </c>
      <c r="G2160" t="n">
        <v>11</v>
      </c>
      <c r="H2160" t="n">
        <v>3506</v>
      </c>
      <c r="I2160" t="n">
        <v>3278.79</v>
      </c>
      <c r="J2160" t="n">
        <v>2.78</v>
      </c>
      <c r="K2160" t="inlineStr">
        <is>
          <t>续持原仓（2023-08-11开）</t>
        </is>
      </c>
    </row>
    <row r="2161">
      <c r="A2161" t="inlineStr">
        <is>
          <t>2023-08-15</t>
        </is>
      </c>
      <c r="B2161" t="inlineStr">
        <is>
          <t>豆粕</t>
        </is>
      </c>
      <c r="C2161" t="inlineStr">
        <is>
          <t>多</t>
        </is>
      </c>
      <c r="D2161" t="n">
        <v>2</v>
      </c>
      <c r="E2161" t="n">
        <v>4</v>
      </c>
      <c r="F2161" t="inlineStr">
        <is>
          <t>续持</t>
        </is>
      </c>
      <c r="G2161" t="n">
        <v>4</v>
      </c>
      <c r="H2161" t="n">
        <v>3914</v>
      </c>
      <c r="I2161" t="n">
        <v>3717.5</v>
      </c>
      <c r="J2161" t="n">
        <v>1</v>
      </c>
      <c r="K2161" t="inlineStr">
        <is>
          <t>续持原仓（2023-08-14开）</t>
        </is>
      </c>
    </row>
    <row r="2162">
      <c r="A2162" t="inlineStr">
        <is>
          <t>2023-08-15</t>
        </is>
      </c>
      <c r="B2162" t="inlineStr">
        <is>
          <t>尿素</t>
        </is>
      </c>
      <c r="C2162" t="inlineStr">
        <is>
          <t>多</t>
        </is>
      </c>
      <c r="D2162" t="n">
        <v>2</v>
      </c>
      <c r="E2162" t="n">
        <v>4</v>
      </c>
      <c r="F2162" t="inlineStr">
        <is>
          <t>影子仓</t>
        </is>
      </c>
      <c r="G2162" t="n">
        <v>2</v>
      </c>
      <c r="H2162" t="n">
        <v>2152</v>
      </c>
      <c r="I2162" t="n">
        <v>1908.14</v>
      </c>
      <c r="J2162" t="n">
        <v>1</v>
      </c>
      <c r="K2162" t="inlineStr">
        <is>
          <t>凯利≤0，开1%影子仓（只统计，不计入组合）</t>
        </is>
      </c>
    </row>
    <row r="2163">
      <c r="A2163" t="inlineStr">
        <is>
          <t>2023-08-17</t>
        </is>
      </c>
      <c r="B2163" t="inlineStr">
        <is>
          <t>菜粕</t>
        </is>
      </c>
      <c r="C2163" t="inlineStr">
        <is>
          <t>多</t>
        </is>
      </c>
      <c r="D2163" t="n">
        <v>3</v>
      </c>
      <c r="E2163" t="n">
        <v>7</v>
      </c>
      <c r="F2163" t="inlineStr">
        <is>
          <t>开仓</t>
        </is>
      </c>
      <c r="G2163" t="n">
        <v>8</v>
      </c>
      <c r="H2163" t="n">
        <v>3723</v>
      </c>
      <c r="I2163" t="n">
        <v>3432.21</v>
      </c>
      <c r="J2163" t="n">
        <v>2.55</v>
      </c>
      <c r="K2163" t="inlineStr">
        <is>
          <t>¼凯利</t>
        </is>
      </c>
    </row>
    <row r="2164">
      <c r="A2164" t="inlineStr">
        <is>
          <t>2023-08-17</t>
        </is>
      </c>
      <c r="B2164" t="inlineStr">
        <is>
          <t>燃料油</t>
        </is>
      </c>
      <c r="C2164" t="inlineStr">
        <is>
          <t>多</t>
        </is>
      </c>
      <c r="D2164" t="n">
        <v>3</v>
      </c>
      <c r="E2164" t="n">
        <v>7</v>
      </c>
      <c r="F2164" t="inlineStr">
        <is>
          <t>开仓</t>
        </is>
      </c>
      <c r="G2164" t="n">
        <v>9</v>
      </c>
      <c r="H2164" t="n">
        <v>3482</v>
      </c>
      <c r="I2164" t="n">
        <v>3203</v>
      </c>
      <c r="J2164" t="n">
        <v>2.55</v>
      </c>
      <c r="K2164" t="inlineStr">
        <is>
          <t>¼凯利</t>
        </is>
      </c>
    </row>
    <row r="2165">
      <c r="A2165" t="inlineStr">
        <is>
          <t>2023-08-17</t>
        </is>
      </c>
      <c r="B2165" t="inlineStr">
        <is>
          <t>苯乙烯</t>
        </is>
      </c>
      <c r="C2165" t="inlineStr">
        <is>
          <t>多</t>
        </is>
      </c>
      <c r="D2165" t="n">
        <v>3</v>
      </c>
      <c r="E2165" t="n">
        <v>6</v>
      </c>
      <c r="F2165" t="inlineStr">
        <is>
          <t>开仓</t>
        </is>
      </c>
      <c r="G2165" t="n">
        <v>1</v>
      </c>
      <c r="H2165" t="n">
        <v>8239</v>
      </c>
      <c r="I2165" t="n">
        <v>7696.43</v>
      </c>
      <c r="J2165" t="n">
        <v>0.4</v>
      </c>
      <c r="K2165" t="inlineStr">
        <is>
          <t>组合风险已近10%，预算缩小</t>
        </is>
      </c>
    </row>
    <row r="2166">
      <c r="A2166" t="inlineStr">
        <is>
          <t>2023-08-17</t>
        </is>
      </c>
      <c r="B2166" t="inlineStr">
        <is>
          <t>豆粕</t>
        </is>
      </c>
      <c r="C2166" t="inlineStr">
        <is>
          <t>多</t>
        </is>
      </c>
      <c r="D2166" t="n">
        <v>3</v>
      </c>
      <c r="E2166" t="n">
        <v>6</v>
      </c>
      <c r="F2166" t="inlineStr">
        <is>
          <t>续持</t>
        </is>
      </c>
      <c r="G2166" t="n">
        <v>4</v>
      </c>
      <c r="H2166" t="n">
        <v>3962</v>
      </c>
      <c r="I2166" t="n">
        <v>3779.86</v>
      </c>
      <c r="J2166" t="n">
        <v>1</v>
      </c>
      <c r="K2166" t="inlineStr">
        <is>
          <t>续持原仓（2023-08-14开）</t>
        </is>
      </c>
    </row>
    <row r="2167">
      <c r="A2167" t="inlineStr">
        <is>
          <t>2023-08-17</t>
        </is>
      </c>
      <c r="B2167" t="inlineStr">
        <is>
          <t>玉米</t>
        </is>
      </c>
      <c r="C2167" t="inlineStr">
        <is>
          <t>空</t>
        </is>
      </c>
      <c r="D2167" t="n">
        <v>2</v>
      </c>
      <c r="E2167" t="n">
        <v>5</v>
      </c>
      <c r="F2167" t="inlineStr">
        <is>
          <t>影子仓</t>
        </is>
      </c>
      <c r="G2167" t="n">
        <v>9</v>
      </c>
      <c r="H2167" t="n">
        <v>2626</v>
      </c>
      <c r="I2167" t="n">
        <v>2736.57</v>
      </c>
      <c r="J2167" t="n">
        <v>1</v>
      </c>
      <c r="K2167" t="inlineStr">
        <is>
          <t>凯利≤0，开1%影子仓（只统计，不计入组合）</t>
        </is>
      </c>
    </row>
    <row r="2168">
      <c r="A2168" t="inlineStr">
        <is>
          <t>2023-08-17</t>
        </is>
      </c>
      <c r="B2168" t="inlineStr">
        <is>
          <t>纸浆</t>
        </is>
      </c>
      <c r="C2168" t="inlineStr">
        <is>
          <t>多</t>
        </is>
      </c>
      <c r="D2168" t="n">
        <v>2</v>
      </c>
      <c r="E2168" t="n">
        <v>4</v>
      </c>
      <c r="F2168" t="inlineStr">
        <is>
          <t>观望</t>
        </is>
      </c>
      <c r="G2168" t="n">
        <v>3</v>
      </c>
      <c r="H2168" t="n">
        <v>5416</v>
      </c>
      <c r="I2168" t="n">
        <v>5125</v>
      </c>
      <c r="J2168" t="n">
        <v>1</v>
      </c>
      <c r="K2168" t="inlineStr">
        <is>
          <t>逆5日线（收盘在5日线下，不追多）</t>
        </is>
      </c>
    </row>
    <row r="2169">
      <c r="A2169" t="inlineStr">
        <is>
          <t>2023-08-18</t>
        </is>
      </c>
      <c r="B2169" t="inlineStr">
        <is>
          <t>菜粕</t>
        </is>
      </c>
      <c r="C2169" t="inlineStr">
        <is>
          <t>多</t>
        </is>
      </c>
      <c r="D2169" t="n">
        <v>3</v>
      </c>
      <c r="E2169" t="n">
        <v>7</v>
      </c>
      <c r="F2169" t="inlineStr">
        <is>
          <t>续持</t>
        </is>
      </c>
      <c r="G2169" t="n">
        <v>8</v>
      </c>
      <c r="H2169" t="n">
        <v>3786</v>
      </c>
      <c r="I2169" t="n">
        <v>3529.21</v>
      </c>
      <c r="J2169" t="n">
        <v>2.55</v>
      </c>
      <c r="K2169" t="inlineStr">
        <is>
          <t>续持原仓（2023-08-17开）</t>
        </is>
      </c>
    </row>
    <row r="2170">
      <c r="A2170" t="inlineStr">
        <is>
          <t>2023-08-18</t>
        </is>
      </c>
      <c r="B2170" t="inlineStr">
        <is>
          <t>燃料油</t>
        </is>
      </c>
      <c r="C2170" t="inlineStr">
        <is>
          <t>多</t>
        </is>
      </c>
      <c r="D2170" t="n">
        <v>3</v>
      </c>
      <c r="E2170" t="n">
        <v>6</v>
      </c>
      <c r="F2170" t="inlineStr">
        <is>
          <t>续持</t>
        </is>
      </c>
      <c r="G2170" t="n">
        <v>9</v>
      </c>
      <c r="H2170" t="n">
        <v>3499</v>
      </c>
      <c r="I2170" t="n">
        <v>3256.07</v>
      </c>
      <c r="J2170" t="n">
        <v>2.55</v>
      </c>
      <c r="K2170" t="inlineStr">
        <is>
          <t>续持原仓（2023-08-17开）</t>
        </is>
      </c>
    </row>
    <row r="2171">
      <c r="A2171" t="inlineStr">
        <is>
          <t>2023-08-18</t>
        </is>
      </c>
      <c r="B2171" t="inlineStr">
        <is>
          <t>豆粕</t>
        </is>
      </c>
      <c r="C2171" t="inlineStr">
        <is>
          <t>多</t>
        </is>
      </c>
      <c r="D2171" t="n">
        <v>3</v>
      </c>
      <c r="E2171" t="n">
        <v>6</v>
      </c>
      <c r="F2171" t="inlineStr">
        <is>
          <t>续持</t>
        </is>
      </c>
      <c r="G2171" t="n">
        <v>4</v>
      </c>
      <c r="H2171" t="n">
        <v>4010</v>
      </c>
      <c r="I2171" t="n">
        <v>3824.86</v>
      </c>
      <c r="J2171" t="n">
        <v>1</v>
      </c>
      <c r="K2171" t="inlineStr">
        <is>
          <t>续持原仓（2023-08-14开）</t>
        </is>
      </c>
    </row>
    <row r="2172">
      <c r="A2172" t="inlineStr">
        <is>
          <t>2023-08-18</t>
        </is>
      </c>
      <c r="B2172" t="inlineStr">
        <is>
          <t>纯碱</t>
        </is>
      </c>
      <c r="C2172" t="inlineStr">
        <is>
          <t>多</t>
        </is>
      </c>
      <c r="D2172" t="n">
        <v>2</v>
      </c>
      <c r="E2172" t="n">
        <v>4</v>
      </c>
      <c r="F2172" t="inlineStr">
        <is>
          <t>影子仓</t>
        </is>
      </c>
      <c r="G2172" t="n">
        <v>2</v>
      </c>
      <c r="H2172" t="n">
        <v>1691</v>
      </c>
      <c r="I2172" t="n">
        <v>1513.79</v>
      </c>
      <c r="J2172" t="n">
        <v>1</v>
      </c>
      <c r="K2172" t="inlineStr">
        <is>
          <t>凯利≤0，开1%影子仓（只统计，不计入组合）</t>
        </is>
      </c>
    </row>
    <row r="2173">
      <c r="A2173" t="inlineStr">
        <is>
          <t>2023-08-21</t>
        </is>
      </c>
      <c r="B2173" t="inlineStr">
        <is>
          <t>菜粕</t>
        </is>
      </c>
      <c r="C2173" t="inlineStr">
        <is>
          <t>多</t>
        </is>
      </c>
      <c r="D2173" t="n">
        <v>3</v>
      </c>
      <c r="E2173" t="n">
        <v>6</v>
      </c>
      <c r="F2173" t="inlineStr">
        <is>
          <t>续持</t>
        </is>
      </c>
      <c r="G2173" t="n">
        <v>8</v>
      </c>
      <c r="H2173" t="n">
        <v>3891</v>
      </c>
      <c r="I2173" t="n">
        <v>3607.43</v>
      </c>
      <c r="J2173" t="n">
        <v>2.55</v>
      </c>
      <c r="K2173" t="inlineStr">
        <is>
          <t>续持原仓（2023-08-17开）</t>
        </is>
      </c>
    </row>
    <row r="2174">
      <c r="A2174" t="inlineStr">
        <is>
          <t>2023-08-21</t>
        </is>
      </c>
      <c r="B2174" t="inlineStr">
        <is>
          <t>热卷</t>
        </is>
      </c>
      <c r="C2174" t="inlineStr">
        <is>
          <t>空</t>
        </is>
      </c>
      <c r="D2174" t="n">
        <v>2</v>
      </c>
      <c r="E2174" t="n">
        <v>4</v>
      </c>
      <c r="F2174" t="inlineStr">
        <is>
          <t>影子仓</t>
        </is>
      </c>
      <c r="G2174" t="n">
        <v>5</v>
      </c>
      <c r="H2174" t="n">
        <v>3879</v>
      </c>
      <c r="I2174" t="n">
        <v>4051.29</v>
      </c>
      <c r="J2174" t="n">
        <v>1</v>
      </c>
      <c r="K2174" t="inlineStr">
        <is>
          <t>凯利≤0，开1%影子仓（只统计，不计入组合）</t>
        </is>
      </c>
    </row>
    <row r="2175">
      <c r="A2175" t="inlineStr">
        <is>
          <t>2023-08-23</t>
        </is>
      </c>
      <c r="B2175" t="inlineStr">
        <is>
          <t>苯乙烯</t>
        </is>
      </c>
      <c r="C2175" t="inlineStr">
        <is>
          <t>多</t>
        </is>
      </c>
      <c r="D2175" t="n">
        <v>3</v>
      </c>
      <c r="E2175" t="n">
        <v>7</v>
      </c>
      <c r="F2175" t="inlineStr">
        <is>
          <t>开仓</t>
        </is>
      </c>
      <c r="G2175" t="n">
        <v>9</v>
      </c>
      <c r="H2175" t="n">
        <v>8543</v>
      </c>
      <c r="I2175" t="n">
        <v>7976.43</v>
      </c>
      <c r="J2175" t="n">
        <v>2.79</v>
      </c>
      <c r="K2175" t="inlineStr">
        <is>
          <t>¼凯利</t>
        </is>
      </c>
    </row>
    <row r="2176">
      <c r="A2176" t="inlineStr">
        <is>
          <t>2023-08-23</t>
        </is>
      </c>
      <c r="B2176" t="inlineStr">
        <is>
          <t>菜粕</t>
        </is>
      </c>
      <c r="C2176" t="inlineStr">
        <is>
          <t>多</t>
        </is>
      </c>
      <c r="D2176" t="n">
        <v>2</v>
      </c>
      <c r="E2176" t="n">
        <v>5</v>
      </c>
      <c r="F2176" t="inlineStr">
        <is>
          <t>观望</t>
        </is>
      </c>
      <c r="G2176" t="n">
        <v>3</v>
      </c>
      <c r="H2176" t="n">
        <v>3311</v>
      </c>
      <c r="I2176" t="n">
        <v>3012.07</v>
      </c>
      <c r="J2176" t="n">
        <v>1</v>
      </c>
      <c r="K2176" t="inlineStr">
        <is>
          <t>逆5日线（收盘在5日线下，不追多）</t>
        </is>
      </c>
    </row>
    <row r="2177">
      <c r="A2177" t="inlineStr">
        <is>
          <t>2023-08-23</t>
        </is>
      </c>
      <c r="B2177" t="inlineStr">
        <is>
          <t>沪锌</t>
        </is>
      </c>
      <c r="C2177" t="inlineStr">
        <is>
          <t>多</t>
        </is>
      </c>
      <c r="D2177" t="n">
        <v>2</v>
      </c>
      <c r="E2177" t="n">
        <v>4</v>
      </c>
      <c r="F2177" t="inlineStr">
        <is>
          <t>影子仓</t>
        </is>
      </c>
      <c r="G2177" t="n">
        <v>2</v>
      </c>
      <c r="H2177" t="n">
        <v>20245</v>
      </c>
      <c r="I2177" t="n">
        <v>19330</v>
      </c>
      <c r="J2177" t="n">
        <v>1</v>
      </c>
      <c r="K2177" t="inlineStr">
        <is>
          <t>凯利≤0，开1%影子仓（只统计，不计入组合）</t>
        </is>
      </c>
    </row>
    <row r="2178">
      <c r="A2178" t="inlineStr">
        <is>
          <t>2023-08-23</t>
        </is>
      </c>
      <c r="B2178" t="inlineStr">
        <is>
          <t>甲醇</t>
        </is>
      </c>
      <c r="C2178" t="inlineStr">
        <is>
          <t>多</t>
        </is>
      </c>
      <c r="D2178" t="n">
        <v>2</v>
      </c>
      <c r="E2178" t="n">
        <v>4</v>
      </c>
      <c r="F2178" t="inlineStr">
        <is>
          <t>影子仓</t>
        </is>
      </c>
      <c r="G2178" t="n">
        <v>5</v>
      </c>
      <c r="H2178" t="n">
        <v>2520</v>
      </c>
      <c r="I2178" t="n">
        <v>2347.5</v>
      </c>
      <c r="J2178" t="n">
        <v>1</v>
      </c>
      <c r="K2178" t="inlineStr">
        <is>
          <t>凯利≤0，开1%影子仓（只统计，不计入组合）</t>
        </is>
      </c>
    </row>
    <row r="2179">
      <c r="A2179" t="inlineStr">
        <is>
          <t>2023-08-24</t>
        </is>
      </c>
      <c r="B2179" t="inlineStr">
        <is>
          <t>豆粕</t>
        </is>
      </c>
      <c r="C2179" t="inlineStr">
        <is>
          <t>多</t>
        </is>
      </c>
      <c r="D2179" t="n">
        <v>3</v>
      </c>
      <c r="E2179" t="n">
        <v>6</v>
      </c>
      <c r="F2179" t="inlineStr">
        <is>
          <t>观望</t>
        </is>
      </c>
      <c r="G2179" t="n">
        <v>12</v>
      </c>
      <c r="H2179" t="n">
        <v>3997</v>
      </c>
      <c r="I2179" t="n">
        <v>3773.5</v>
      </c>
      <c r="J2179" t="n">
        <v>2.71</v>
      </c>
      <c r="K2179" t="inlineStr">
        <is>
          <t>逆5日线（收盘在5日线下，不追多）</t>
        </is>
      </c>
    </row>
    <row r="2180">
      <c r="A2180" t="inlineStr">
        <is>
          <t>2023-08-24</t>
        </is>
      </c>
      <c r="B2180" t="inlineStr">
        <is>
          <t>纯碱</t>
        </is>
      </c>
      <c r="C2180" t="inlineStr">
        <is>
          <t>多</t>
        </is>
      </c>
      <c r="D2180" t="n">
        <v>2</v>
      </c>
      <c r="E2180" t="n">
        <v>5</v>
      </c>
      <c r="F2180" t="inlineStr">
        <is>
          <t>续持</t>
        </is>
      </c>
      <c r="G2180" t="n">
        <v>2</v>
      </c>
      <c r="H2180" t="n">
        <v>1922</v>
      </c>
      <c r="I2180" t="n">
        <v>1786</v>
      </c>
      <c r="J2180" t="n">
        <v>1</v>
      </c>
      <c r="K2180" t="inlineStr">
        <is>
          <t>续持原仓（2023-08-18开）</t>
        </is>
      </c>
    </row>
    <row r="2181">
      <c r="A2181" t="inlineStr">
        <is>
          <t>2023-08-24</t>
        </is>
      </c>
      <c r="B2181" t="inlineStr">
        <is>
          <t>沪银</t>
        </is>
      </c>
      <c r="C2181" t="inlineStr">
        <is>
          <t>多</t>
        </is>
      </c>
      <c r="D2181" t="n">
        <v>2</v>
      </c>
      <c r="E2181" t="n">
        <v>4</v>
      </c>
      <c r="F2181" t="inlineStr">
        <is>
          <t>影子仓</t>
        </is>
      </c>
      <c r="G2181" t="n">
        <v>2</v>
      </c>
      <c r="H2181" t="n">
        <v>5856</v>
      </c>
      <c r="I2181" t="n">
        <v>5633.14</v>
      </c>
      <c r="J2181" t="n">
        <v>1</v>
      </c>
      <c r="K2181" t="inlineStr">
        <is>
          <t>凯利≤0，开1%影子仓（只统计，不计入组合）</t>
        </is>
      </c>
    </row>
    <row r="2182">
      <c r="A2182" t="inlineStr">
        <is>
          <t>2023-08-25</t>
        </is>
      </c>
      <c r="B2182" t="inlineStr">
        <is>
          <t>菜粕</t>
        </is>
      </c>
      <c r="C2182" t="inlineStr">
        <is>
          <t>多</t>
        </is>
      </c>
      <c r="D2182" t="n">
        <v>3</v>
      </c>
      <c r="E2182" t="n">
        <v>7</v>
      </c>
      <c r="F2182" t="inlineStr">
        <is>
          <t>开仓</t>
        </is>
      </c>
      <c r="G2182" t="n">
        <v>8</v>
      </c>
      <c r="H2182" t="n">
        <v>3381</v>
      </c>
      <c r="I2182" t="n">
        <v>3070.93</v>
      </c>
      <c r="J2182" t="n">
        <v>2.71</v>
      </c>
      <c r="K2182" t="inlineStr">
        <is>
          <t>组合风险已近10%，预算缩小</t>
        </is>
      </c>
    </row>
    <row r="2183">
      <c r="A2183" t="inlineStr">
        <is>
          <t>2023-08-25</t>
        </is>
      </c>
      <c r="B2183" t="inlineStr">
        <is>
          <t>豆粕</t>
        </is>
      </c>
      <c r="C2183" t="inlineStr">
        <is>
          <t>多</t>
        </is>
      </c>
      <c r="D2183" t="n">
        <v>3</v>
      </c>
      <c r="E2183" t="n">
        <v>7</v>
      </c>
      <c r="F2183" t="inlineStr">
        <is>
          <t>不做</t>
        </is>
      </c>
      <c r="H2183" t="n">
        <v>4075</v>
      </c>
      <c r="J2183" t="n">
        <v>0</v>
      </c>
      <c r="K2183" t="inlineStr">
        <is>
          <t>组合风险已近10%，预算缩小</t>
        </is>
      </c>
    </row>
    <row r="2184">
      <c r="A2184" t="inlineStr">
        <is>
          <t>2023-08-25</t>
        </is>
      </c>
      <c r="B2184" t="inlineStr">
        <is>
          <t>白糖</t>
        </is>
      </c>
      <c r="C2184" t="inlineStr">
        <is>
          <t>多</t>
        </is>
      </c>
      <c r="D2184" t="n">
        <v>2</v>
      </c>
      <c r="E2184" t="n">
        <v>5</v>
      </c>
      <c r="F2184" t="inlineStr">
        <is>
          <t>影子仓</t>
        </is>
      </c>
      <c r="G2184" t="n">
        <v>3</v>
      </c>
      <c r="H2184" t="n">
        <v>6890</v>
      </c>
      <c r="I2184" t="n">
        <v>6612.93</v>
      </c>
      <c r="J2184" t="n">
        <v>1</v>
      </c>
      <c r="K2184" t="inlineStr">
        <is>
          <t>凯利≤0，开1%影子仓（只统计，不计入组合）</t>
        </is>
      </c>
    </row>
    <row r="2185">
      <c r="A2185" t="inlineStr">
        <is>
          <t>2023-08-25</t>
        </is>
      </c>
      <c r="B2185" t="inlineStr">
        <is>
          <t>甲醇</t>
        </is>
      </c>
      <c r="C2185" t="inlineStr">
        <is>
          <t>多</t>
        </is>
      </c>
      <c r="D2185" t="n">
        <v>2</v>
      </c>
      <c r="E2185" t="n">
        <v>4</v>
      </c>
      <c r="F2185" t="inlineStr">
        <is>
          <t>续持</t>
        </is>
      </c>
      <c r="G2185" t="n">
        <v>5</v>
      </c>
      <c r="H2185" t="n">
        <v>2531</v>
      </c>
      <c r="I2185" t="n">
        <v>2393.71</v>
      </c>
      <c r="J2185" t="n">
        <v>1</v>
      </c>
      <c r="K2185" t="inlineStr">
        <is>
          <t>续持原仓（2023-08-23开）</t>
        </is>
      </c>
    </row>
    <row r="2186">
      <c r="A2186" t="inlineStr">
        <is>
          <t>2023-08-28</t>
        </is>
      </c>
      <c r="B2186" t="inlineStr">
        <is>
          <t>白糖</t>
        </is>
      </c>
      <c r="C2186" t="inlineStr">
        <is>
          <t>多</t>
        </is>
      </c>
      <c r="D2186" t="n">
        <v>2</v>
      </c>
      <c r="E2186" t="n">
        <v>4</v>
      </c>
      <c r="F2186" t="inlineStr">
        <is>
          <t>续持</t>
        </is>
      </c>
      <c r="G2186" t="n">
        <v>3</v>
      </c>
      <c r="H2186" t="n">
        <v>6908</v>
      </c>
      <c r="I2186" t="n">
        <v>6693.5</v>
      </c>
      <c r="J2186" t="n">
        <v>1</v>
      </c>
      <c r="K2186" t="inlineStr">
        <is>
          <t>续持原仓（2023-08-25开）</t>
        </is>
      </c>
    </row>
    <row r="2187">
      <c r="A2187" t="inlineStr">
        <is>
          <t>2023-08-28</t>
        </is>
      </c>
      <c r="B2187" t="inlineStr">
        <is>
          <t>沪锌</t>
        </is>
      </c>
      <c r="C2187" t="inlineStr">
        <is>
          <t>多</t>
        </is>
      </c>
      <c r="D2187" t="n">
        <v>2</v>
      </c>
      <c r="E2187" t="n">
        <v>4</v>
      </c>
      <c r="F2187" t="inlineStr">
        <is>
          <t>影子仓</t>
        </is>
      </c>
      <c r="G2187" t="n">
        <v>2</v>
      </c>
      <c r="H2187" t="n">
        <v>20615</v>
      </c>
      <c r="I2187" t="n">
        <v>19679.64</v>
      </c>
      <c r="J2187" t="n">
        <v>1</v>
      </c>
      <c r="K2187" t="inlineStr">
        <is>
          <t>凯利≤0，开1%影子仓（只统计，不计入组合）</t>
        </is>
      </c>
    </row>
    <row r="2188">
      <c r="A2188" t="inlineStr">
        <is>
          <t>2023-08-29</t>
        </is>
      </c>
      <c r="B2188" t="inlineStr">
        <is>
          <t>豆粕</t>
        </is>
      </c>
      <c r="C2188" t="inlineStr">
        <is>
          <t>多</t>
        </is>
      </c>
      <c r="D2188" t="n">
        <v>3</v>
      </c>
      <c r="E2188" t="n">
        <v>6</v>
      </c>
      <c r="F2188" t="inlineStr">
        <is>
          <t>开仓</t>
        </is>
      </c>
      <c r="G2188" t="n">
        <v>11</v>
      </c>
      <c r="H2188" t="n">
        <v>4144</v>
      </c>
      <c r="I2188" t="n">
        <v>3906.36</v>
      </c>
      <c r="J2188" t="n">
        <v>2.71</v>
      </c>
      <c r="K2188" t="inlineStr">
        <is>
          <t>组合风险已近10%，预算缩小</t>
        </is>
      </c>
    </row>
    <row r="2189">
      <c r="A2189" t="inlineStr">
        <is>
          <t>2023-08-29</t>
        </is>
      </c>
      <c r="B2189" t="inlineStr">
        <is>
          <t>菜粕</t>
        </is>
      </c>
      <c r="C2189" t="inlineStr">
        <is>
          <t>多</t>
        </is>
      </c>
      <c r="D2189" t="n">
        <v>2</v>
      </c>
      <c r="E2189" t="n">
        <v>5</v>
      </c>
      <c r="F2189" t="inlineStr">
        <is>
          <t>影子仓</t>
        </is>
      </c>
      <c r="G2189" t="n">
        <v>3</v>
      </c>
      <c r="H2189" t="n">
        <v>3382</v>
      </c>
      <c r="I2189" t="n">
        <v>3081.57</v>
      </c>
      <c r="J2189" t="n">
        <v>1</v>
      </c>
      <c r="K2189" t="inlineStr">
        <is>
          <t>凯利≤0，开1%影子仓（只统计，不计入组合）</t>
        </is>
      </c>
    </row>
    <row r="2190">
      <c r="A2190" t="inlineStr">
        <is>
          <t>2023-08-29</t>
        </is>
      </c>
      <c r="B2190" t="inlineStr">
        <is>
          <t>白糖</t>
        </is>
      </c>
      <c r="C2190" t="inlineStr">
        <is>
          <t>多</t>
        </is>
      </c>
      <c r="D2190" t="n">
        <v>2</v>
      </c>
      <c r="E2190" t="n">
        <v>5</v>
      </c>
      <c r="F2190" t="inlineStr">
        <is>
          <t>续持</t>
        </is>
      </c>
      <c r="G2190" t="n">
        <v>3</v>
      </c>
      <c r="H2190" t="n">
        <v>6913</v>
      </c>
      <c r="I2190" t="n">
        <v>6716</v>
      </c>
      <c r="J2190" t="n">
        <v>1</v>
      </c>
      <c r="K2190" t="inlineStr">
        <is>
          <t>续持原仓（2023-08-25开）</t>
        </is>
      </c>
    </row>
    <row r="2191">
      <c r="A2191" t="inlineStr">
        <is>
          <t>2023-08-29</t>
        </is>
      </c>
      <c r="B2191" t="inlineStr">
        <is>
          <t>沪铜</t>
        </is>
      </c>
      <c r="C2191" t="inlineStr">
        <is>
          <t>多</t>
        </is>
      </c>
      <c r="D2191" t="n">
        <v>2</v>
      </c>
      <c r="E2191" t="n">
        <v>4</v>
      </c>
      <c r="F2191" t="inlineStr">
        <is>
          <t>影子仓</t>
        </is>
      </c>
      <c r="G2191" t="n">
        <v>1</v>
      </c>
      <c r="H2191" t="n">
        <v>69190</v>
      </c>
      <c r="I2191" t="n">
        <v>67435</v>
      </c>
      <c r="J2191" t="n">
        <v>1</v>
      </c>
      <c r="K2191" t="inlineStr">
        <is>
          <t>凯利≤0，开1%影子仓（只统计，不计入组合）</t>
        </is>
      </c>
    </row>
    <row r="2192">
      <c r="A2192" t="inlineStr">
        <is>
          <t>2023-08-30</t>
        </is>
      </c>
      <c r="B2192" t="inlineStr">
        <is>
          <t>白糖</t>
        </is>
      </c>
      <c r="C2192" t="inlineStr">
        <is>
          <t>多</t>
        </is>
      </c>
      <c r="D2192" t="n">
        <v>3</v>
      </c>
      <c r="E2192" t="n">
        <v>7</v>
      </c>
      <c r="F2192" t="inlineStr">
        <is>
          <t>续持</t>
        </is>
      </c>
      <c r="G2192" t="n">
        <v>3</v>
      </c>
      <c r="H2192" t="n">
        <v>6959</v>
      </c>
      <c r="I2192" t="n">
        <v>6716</v>
      </c>
      <c r="J2192" t="n">
        <v>1</v>
      </c>
      <c r="K2192" t="inlineStr">
        <is>
          <t>续持原仓（2023-08-25开）</t>
        </is>
      </c>
    </row>
    <row r="2193">
      <c r="A2193" t="inlineStr">
        <is>
          <t>2023-08-30</t>
        </is>
      </c>
      <c r="B2193" t="inlineStr">
        <is>
          <t>沪银</t>
        </is>
      </c>
      <c r="C2193" t="inlineStr">
        <is>
          <t>多</t>
        </is>
      </c>
      <c r="D2193" t="n">
        <v>3</v>
      </c>
      <c r="E2193" t="n">
        <v>6</v>
      </c>
      <c r="F2193" t="inlineStr">
        <is>
          <t>开仓</t>
        </is>
      </c>
      <c r="G2193" t="n">
        <v>8</v>
      </c>
      <c r="H2193" t="n">
        <v>5944</v>
      </c>
      <c r="I2193" t="n">
        <v>5720.29</v>
      </c>
      <c r="J2193" t="n">
        <v>2.71</v>
      </c>
      <c r="K2193" t="inlineStr">
        <is>
          <t>组合风险已近10%，预算缩小</t>
        </is>
      </c>
    </row>
    <row r="2194">
      <c r="A2194" t="inlineStr">
        <is>
          <t>2023-08-30</t>
        </is>
      </c>
      <c r="B2194" t="inlineStr">
        <is>
          <t>菜粕</t>
        </is>
      </c>
      <c r="C2194" t="inlineStr">
        <is>
          <t>多</t>
        </is>
      </c>
      <c r="D2194" t="n">
        <v>2</v>
      </c>
      <c r="E2194" t="n">
        <v>5</v>
      </c>
      <c r="F2194" t="inlineStr">
        <is>
          <t>续持</t>
        </is>
      </c>
      <c r="G2194" t="n">
        <v>3</v>
      </c>
      <c r="H2194" t="n">
        <v>3383</v>
      </c>
      <c r="I2194" t="n">
        <v>3106.07</v>
      </c>
      <c r="J2194" t="n">
        <v>1</v>
      </c>
      <c r="K2194" t="inlineStr">
        <is>
          <t>续持原仓（2023-08-29开）</t>
        </is>
      </c>
    </row>
    <row r="2195">
      <c r="A2195" t="inlineStr">
        <is>
          <t>2023-08-30</t>
        </is>
      </c>
      <c r="B2195" t="inlineStr">
        <is>
          <t>菜油</t>
        </is>
      </c>
      <c r="C2195" t="inlineStr">
        <is>
          <t>多</t>
        </is>
      </c>
      <c r="D2195" t="n">
        <v>2</v>
      </c>
      <c r="E2195" t="n">
        <v>5</v>
      </c>
      <c r="F2195" t="inlineStr">
        <is>
          <t>影子仓</t>
        </is>
      </c>
      <c r="G2195" t="n">
        <v>1</v>
      </c>
      <c r="H2195" t="n">
        <v>9478</v>
      </c>
      <c r="I2195" t="n">
        <v>8906.07</v>
      </c>
      <c r="J2195" t="n">
        <v>1</v>
      </c>
      <c r="K2195" t="inlineStr">
        <is>
          <t>凯利≤0，开1%影子仓（只统计，不计入组合）</t>
        </is>
      </c>
    </row>
    <row r="2196">
      <c r="A2196" t="inlineStr">
        <is>
          <t>2023-08-31</t>
        </is>
      </c>
      <c r="B2196" t="inlineStr">
        <is>
          <t>菜粕</t>
        </is>
      </c>
      <c r="C2196" t="inlineStr">
        <is>
          <t>多</t>
        </is>
      </c>
      <c r="D2196" t="n">
        <v>3</v>
      </c>
      <c r="E2196" t="n">
        <v>6</v>
      </c>
      <c r="F2196" t="inlineStr">
        <is>
          <t>续持</t>
        </is>
      </c>
      <c r="G2196" t="n">
        <v>3</v>
      </c>
      <c r="H2196" t="n">
        <v>3399</v>
      </c>
      <c r="I2196" t="n">
        <v>3159.86</v>
      </c>
      <c r="J2196" t="n">
        <v>1</v>
      </c>
      <c r="K2196" t="inlineStr">
        <is>
          <t>续持原仓（2023-08-29开）</t>
        </is>
      </c>
    </row>
    <row r="2197">
      <c r="A2197" t="inlineStr">
        <is>
          <t>2023-08-31</t>
        </is>
      </c>
      <c r="B2197" t="inlineStr">
        <is>
          <t>棕榈油</t>
        </is>
      </c>
      <c r="C2197" t="inlineStr">
        <is>
          <t>多</t>
        </is>
      </c>
      <c r="D2197" t="n">
        <v>3</v>
      </c>
      <c r="E2197" t="n">
        <v>6</v>
      </c>
      <c r="F2197" t="inlineStr">
        <is>
          <t>不做</t>
        </is>
      </c>
      <c r="H2197" t="n">
        <v>7896</v>
      </c>
      <c r="J2197" t="n">
        <v>0</v>
      </c>
      <c r="K2197" t="inlineStr">
        <is>
          <t>组合风险已近10%，预算缩小</t>
        </is>
      </c>
    </row>
    <row r="2198">
      <c r="A2198" t="inlineStr">
        <is>
          <t>2023-08-31</t>
        </is>
      </c>
      <c r="B2198" t="inlineStr">
        <is>
          <t>沪锌</t>
        </is>
      </c>
      <c r="C2198" t="inlineStr">
        <is>
          <t>多</t>
        </is>
      </c>
      <c r="D2198" t="n">
        <v>2</v>
      </c>
      <c r="E2198" t="n">
        <v>5</v>
      </c>
      <c r="F2198" t="inlineStr">
        <is>
          <t>影子仓</t>
        </is>
      </c>
      <c r="G2198" t="n">
        <v>2</v>
      </c>
      <c r="H2198" t="n">
        <v>20960</v>
      </c>
      <c r="I2198" t="n">
        <v>20042.86</v>
      </c>
      <c r="J2198" t="n">
        <v>1</v>
      </c>
      <c r="K2198" t="inlineStr">
        <is>
          <t>凯利≤0，开1%影子仓（只统计，不计入组合）</t>
        </is>
      </c>
    </row>
    <row r="2199">
      <c r="A2199" t="inlineStr">
        <is>
          <t>2023-08-31</t>
        </is>
      </c>
      <c r="B2199" t="inlineStr">
        <is>
          <t>纯碱</t>
        </is>
      </c>
      <c r="C2199" t="inlineStr">
        <is>
          <t>多</t>
        </is>
      </c>
      <c r="D2199" t="n">
        <v>2</v>
      </c>
      <c r="E2199" t="n">
        <v>5</v>
      </c>
      <c r="F2199" t="inlineStr">
        <is>
          <t>影子仓</t>
        </is>
      </c>
      <c r="G2199" t="n">
        <v>1</v>
      </c>
      <c r="H2199" t="n">
        <v>1885</v>
      </c>
      <c r="I2199" t="n">
        <v>1599.14</v>
      </c>
      <c r="J2199" t="n">
        <v>1</v>
      </c>
      <c r="K2199" t="inlineStr">
        <is>
          <t>凯利≤0，开1%影子仓（只统计，不计入组合）</t>
        </is>
      </c>
    </row>
    <row r="2200">
      <c r="A2200" t="inlineStr">
        <is>
          <t>2023-08-31</t>
        </is>
      </c>
      <c r="B2200" t="inlineStr">
        <is>
          <t>白糖</t>
        </is>
      </c>
      <c r="C2200" t="inlineStr">
        <is>
          <t>多</t>
        </is>
      </c>
      <c r="D2200" t="n">
        <v>2</v>
      </c>
      <c r="E2200" t="n">
        <v>4</v>
      </c>
      <c r="F2200" t="inlineStr">
        <is>
          <t>续持</t>
        </is>
      </c>
      <c r="G2200" t="n">
        <v>3</v>
      </c>
      <c r="H2200" t="n">
        <v>6951</v>
      </c>
      <c r="I2200" t="n">
        <v>6717.43</v>
      </c>
      <c r="J2200" t="n">
        <v>1</v>
      </c>
      <c r="K2200" t="inlineStr">
        <is>
          <t>续持原仓（2023-08-25开）</t>
        </is>
      </c>
    </row>
    <row r="2201">
      <c r="A2201" t="inlineStr">
        <is>
          <t>2023-08-31</t>
        </is>
      </c>
      <c r="B2201" t="inlineStr">
        <is>
          <t>尿素</t>
        </is>
      </c>
      <c r="C2201" t="inlineStr">
        <is>
          <t>空</t>
        </is>
      </c>
      <c r="D2201" t="n">
        <v>2</v>
      </c>
      <c r="E2201" t="n">
        <v>4</v>
      </c>
      <c r="F2201" t="inlineStr">
        <is>
          <t>观望</t>
        </is>
      </c>
      <c r="G2201" t="n">
        <v>1</v>
      </c>
      <c r="H2201" t="n">
        <v>2255</v>
      </c>
      <c r="I2201" t="n">
        <v>2534.43</v>
      </c>
      <c r="J2201" t="n">
        <v>1</v>
      </c>
      <c r="K2201" t="inlineStr">
        <is>
          <t>逆5日线（收盘在5日线上，不追空）</t>
        </is>
      </c>
    </row>
    <row r="2202">
      <c r="A2202" t="inlineStr">
        <is>
          <t>2023-09-01</t>
        </is>
      </c>
      <c r="B2202" t="inlineStr">
        <is>
          <t>沪锌</t>
        </is>
      </c>
      <c r="C2202" t="inlineStr">
        <is>
          <t>多</t>
        </is>
      </c>
      <c r="D2202" t="n">
        <v>3</v>
      </c>
      <c r="E2202" t="n">
        <v>7</v>
      </c>
      <c r="F2202" t="inlineStr">
        <is>
          <t>续持</t>
        </is>
      </c>
      <c r="G2202" t="n">
        <v>2</v>
      </c>
      <c r="H2202" t="n">
        <v>21260</v>
      </c>
      <c r="I2202" t="n">
        <v>20346.43</v>
      </c>
      <c r="J2202" t="n">
        <v>1</v>
      </c>
      <c r="K2202" t="inlineStr">
        <is>
          <t>续持原仓（2023-08-31开）</t>
        </is>
      </c>
    </row>
    <row r="2203">
      <c r="A2203" t="inlineStr">
        <is>
          <t>2023-09-01</t>
        </is>
      </c>
      <c r="B2203" t="inlineStr">
        <is>
          <t>聚丙烯</t>
        </is>
      </c>
      <c r="C2203" t="inlineStr">
        <is>
          <t>多</t>
        </is>
      </c>
      <c r="D2203" t="n">
        <v>3</v>
      </c>
      <c r="E2203" t="n">
        <v>7</v>
      </c>
      <c r="F2203" t="inlineStr">
        <is>
          <t>开仓</t>
        </is>
      </c>
      <c r="G2203" t="n">
        <v>7</v>
      </c>
      <c r="H2203" t="n">
        <v>7851</v>
      </c>
      <c r="I2203" t="n">
        <v>7564.29</v>
      </c>
      <c r="J2203" t="n">
        <v>1.13</v>
      </c>
      <c r="K2203" t="inlineStr">
        <is>
          <t>与塑料高度相关（同组≤3%），预算缩小</t>
        </is>
      </c>
    </row>
    <row r="2204">
      <c r="A2204" t="inlineStr">
        <is>
          <t>2023-09-01</t>
        </is>
      </c>
      <c r="B2204" t="inlineStr">
        <is>
          <t>沪铜</t>
        </is>
      </c>
      <c r="C2204" t="inlineStr">
        <is>
          <t>多</t>
        </is>
      </c>
      <c r="D2204" t="n">
        <v>3</v>
      </c>
      <c r="E2204" t="n">
        <v>7</v>
      </c>
      <c r="F2204" t="inlineStr">
        <is>
          <t>续持</t>
        </is>
      </c>
      <c r="G2204" t="n">
        <v>1</v>
      </c>
      <c r="H2204" t="n">
        <v>69730</v>
      </c>
      <c r="I2204" t="n">
        <v>67964.28999999999</v>
      </c>
      <c r="J2204" t="n">
        <v>1</v>
      </c>
      <c r="K2204" t="inlineStr">
        <is>
          <t>续持原仓（2023-08-29开）</t>
        </is>
      </c>
    </row>
    <row r="2205">
      <c r="A2205" t="inlineStr">
        <is>
          <t>2023-09-01</t>
        </is>
      </c>
      <c r="B2205" t="inlineStr">
        <is>
          <t>菜油</t>
        </is>
      </c>
      <c r="C2205" t="inlineStr">
        <is>
          <t>多</t>
        </is>
      </c>
      <c r="D2205" t="n">
        <v>3</v>
      </c>
      <c r="E2205" t="n">
        <v>7</v>
      </c>
      <c r="F2205" t="inlineStr">
        <is>
          <t>续持</t>
        </is>
      </c>
      <c r="G2205" t="n">
        <v>1</v>
      </c>
      <c r="H2205" t="n">
        <v>9508</v>
      </c>
      <c r="I2205" t="n">
        <v>8967.790000000001</v>
      </c>
      <c r="J2205" t="n">
        <v>1</v>
      </c>
      <c r="K2205" t="inlineStr">
        <is>
          <t>续持原仓（2023-08-30开）</t>
        </is>
      </c>
    </row>
    <row r="2206">
      <c r="A2206" t="inlineStr">
        <is>
          <t>2023-09-01</t>
        </is>
      </c>
      <c r="B2206" t="inlineStr">
        <is>
          <t>塑料</t>
        </is>
      </c>
      <c r="C2206" t="inlineStr">
        <is>
          <t>多</t>
        </is>
      </c>
      <c r="D2206" t="n">
        <v>3</v>
      </c>
      <c r="E2206" t="n">
        <v>6</v>
      </c>
      <c r="F2206" t="inlineStr">
        <is>
          <t>续持</t>
        </is>
      </c>
      <c r="G2206" t="n">
        <v>14</v>
      </c>
      <c r="H2206" t="n">
        <v>8420</v>
      </c>
      <c r="I2206" t="n">
        <v>8180</v>
      </c>
      <c r="J2206" t="n">
        <v>1.87</v>
      </c>
      <c r="K2206" t="inlineStr">
        <is>
          <t>续持原仓（2023-08-04开）</t>
        </is>
      </c>
    </row>
    <row r="2207">
      <c r="A2207" t="inlineStr">
        <is>
          <t>2023-09-04</t>
        </is>
      </c>
      <c r="B2207" t="inlineStr">
        <is>
          <t>沪锌</t>
        </is>
      </c>
      <c r="C2207" t="inlineStr">
        <is>
          <t>多</t>
        </is>
      </c>
      <c r="D2207" t="n">
        <v>3</v>
      </c>
      <c r="E2207" t="n">
        <v>6</v>
      </c>
      <c r="F2207" t="inlineStr">
        <is>
          <t>续持</t>
        </is>
      </c>
      <c r="G2207" t="n">
        <v>2</v>
      </c>
      <c r="H2207" t="n">
        <v>21220</v>
      </c>
      <c r="I2207" t="n">
        <v>20490.71</v>
      </c>
      <c r="J2207" t="n">
        <v>1</v>
      </c>
      <c r="K2207" t="inlineStr">
        <is>
          <t>续持原仓（2023-08-31开）</t>
        </is>
      </c>
    </row>
    <row r="2208">
      <c r="A2208" t="inlineStr">
        <is>
          <t>2023-09-04</t>
        </is>
      </c>
      <c r="B2208" t="inlineStr">
        <is>
          <t>沪银</t>
        </is>
      </c>
      <c r="C2208" t="inlineStr">
        <is>
          <t>多</t>
        </is>
      </c>
      <c r="D2208" t="n">
        <v>3</v>
      </c>
      <c r="E2208" t="n">
        <v>6</v>
      </c>
      <c r="F2208" t="inlineStr">
        <is>
          <t>观望</t>
        </is>
      </c>
      <c r="G2208" t="n">
        <v>7</v>
      </c>
      <c r="H2208" t="n">
        <v>5891</v>
      </c>
      <c r="I2208" t="n">
        <v>5647.14</v>
      </c>
      <c r="J2208" t="n">
        <v>2.91</v>
      </c>
      <c r="K2208" t="inlineStr">
        <is>
          <t>逆5日线（收盘在5日线下，不追多）</t>
        </is>
      </c>
    </row>
    <row r="2209">
      <c r="A2209" t="inlineStr">
        <is>
          <t>2023-09-05</t>
        </is>
      </c>
      <c r="B2209" t="inlineStr">
        <is>
          <t>铁矿石</t>
        </is>
      </c>
      <c r="C2209" t="inlineStr">
        <is>
          <t>多</t>
        </is>
      </c>
      <c r="D2209" t="n">
        <v>3</v>
      </c>
      <c r="E2209" t="n">
        <v>7</v>
      </c>
      <c r="F2209" t="inlineStr">
        <is>
          <t>开仓</t>
        </is>
      </c>
      <c r="G2209" t="n">
        <v>4</v>
      </c>
      <c r="H2209" t="n">
        <v>846.5</v>
      </c>
      <c r="I2209" t="n">
        <v>775.25</v>
      </c>
      <c r="J2209" t="n">
        <v>3</v>
      </c>
      <c r="K2209" t="inlineStr">
        <is>
          <t>¼凯利超上限，取3%</t>
        </is>
      </c>
    </row>
    <row r="2210">
      <c r="A2210" t="inlineStr">
        <is>
          <t>2023-09-05</t>
        </is>
      </c>
      <c r="B2210" t="inlineStr">
        <is>
          <t>菜粕</t>
        </is>
      </c>
      <c r="C2210" t="inlineStr">
        <is>
          <t>多</t>
        </is>
      </c>
      <c r="D2210" t="n">
        <v>3</v>
      </c>
      <c r="E2210" t="n">
        <v>7</v>
      </c>
      <c r="F2210" t="inlineStr">
        <is>
          <t>观望</t>
        </is>
      </c>
      <c r="G2210" t="n">
        <v>9</v>
      </c>
      <c r="H2210" t="n">
        <v>3302</v>
      </c>
      <c r="I2210" t="n">
        <v>2997.29</v>
      </c>
      <c r="J2210" t="n">
        <v>3</v>
      </c>
      <c r="K2210" t="inlineStr">
        <is>
          <t>逆5日线（收盘在5日线下，不追多）</t>
        </is>
      </c>
    </row>
    <row r="2211">
      <c r="A2211" t="inlineStr">
        <is>
          <t>2023-09-05</t>
        </is>
      </c>
      <c r="B2211" t="inlineStr">
        <is>
          <t>豆粕</t>
        </is>
      </c>
      <c r="C2211" t="inlineStr">
        <is>
          <t>多</t>
        </is>
      </c>
      <c r="D2211" t="n">
        <v>3</v>
      </c>
      <c r="E2211" t="n">
        <v>7</v>
      </c>
      <c r="F2211" t="inlineStr">
        <is>
          <t>观望</t>
        </is>
      </c>
      <c r="G2211" t="n">
        <v>11</v>
      </c>
      <c r="H2211" t="n">
        <v>4086</v>
      </c>
      <c r="I2211" t="n">
        <v>3830.36</v>
      </c>
      <c r="J2211" t="n">
        <v>3</v>
      </c>
      <c r="K2211" t="inlineStr">
        <is>
          <t>逆5日线（收盘在5日线下，不追多）</t>
        </is>
      </c>
    </row>
    <row r="2212">
      <c r="A2212" t="inlineStr">
        <is>
          <t>2023-09-05</t>
        </is>
      </c>
      <c r="B2212" t="inlineStr">
        <is>
          <t>沪金</t>
        </is>
      </c>
      <c r="C2212" t="inlineStr">
        <is>
          <t>多</t>
        </is>
      </c>
      <c r="D2212" t="n">
        <v>3</v>
      </c>
      <c r="E2212" t="n">
        <v>6</v>
      </c>
      <c r="F2212" t="inlineStr">
        <is>
          <t>开仓</t>
        </is>
      </c>
      <c r="G2212" t="n">
        <v>4</v>
      </c>
      <c r="H2212" t="n">
        <v>464.98</v>
      </c>
      <c r="I2212" t="n">
        <v>457.9</v>
      </c>
      <c r="J2212" t="n">
        <v>3</v>
      </c>
      <c r="K2212" t="inlineStr">
        <is>
          <t>¼凯利超上限，取3%</t>
        </is>
      </c>
    </row>
    <row r="2213">
      <c r="A2213" t="inlineStr">
        <is>
          <t>2023-09-05</t>
        </is>
      </c>
      <c r="B2213" t="inlineStr">
        <is>
          <t>沪锌</t>
        </is>
      </c>
      <c r="C2213" t="inlineStr">
        <is>
          <t>多</t>
        </is>
      </c>
      <c r="D2213" t="n">
        <v>3</v>
      </c>
      <c r="E2213" t="n">
        <v>6</v>
      </c>
      <c r="F2213" t="inlineStr">
        <is>
          <t>续持</t>
        </is>
      </c>
      <c r="G2213" t="n">
        <v>2</v>
      </c>
      <c r="H2213" t="n">
        <v>21180</v>
      </c>
      <c r="I2213" t="n">
        <v>20551.79</v>
      </c>
      <c r="J2213" t="n">
        <v>1</v>
      </c>
      <c r="K2213" t="inlineStr">
        <is>
          <t>续持原仓（2023-08-31开）</t>
        </is>
      </c>
    </row>
    <row r="2214">
      <c r="A2214" t="inlineStr">
        <is>
          <t>2023-09-06</t>
        </is>
      </c>
      <c r="B2214" t="inlineStr">
        <is>
          <t>沥青</t>
        </is>
      </c>
      <c r="C2214" t="inlineStr">
        <is>
          <t>多</t>
        </is>
      </c>
      <c r="D2214" t="n">
        <v>3</v>
      </c>
      <c r="E2214" t="n">
        <v>7</v>
      </c>
      <c r="F2214" t="inlineStr">
        <is>
          <t>开仓</t>
        </is>
      </c>
      <c r="G2214" t="n">
        <v>17</v>
      </c>
      <c r="H2214" t="n">
        <v>3903</v>
      </c>
      <c r="I2214" t="n">
        <v>3736.07</v>
      </c>
      <c r="J2214" t="n">
        <v>2.87</v>
      </c>
      <c r="K2214" t="inlineStr">
        <is>
          <t>组合风险已近10%，预算缩小</t>
        </is>
      </c>
    </row>
    <row r="2215">
      <c r="A2215" t="inlineStr">
        <is>
          <t>2023-09-06</t>
        </is>
      </c>
      <c r="B2215" t="inlineStr">
        <is>
          <t>铁矿石</t>
        </is>
      </c>
      <c r="C2215" t="inlineStr">
        <is>
          <t>多</t>
        </is>
      </c>
      <c r="D2215" t="n">
        <v>3</v>
      </c>
      <c r="E2215" t="n">
        <v>7</v>
      </c>
      <c r="F2215" t="inlineStr">
        <is>
          <t>续持</t>
        </is>
      </c>
      <c r="G2215" t="n">
        <v>4</v>
      </c>
      <c r="H2215" t="n">
        <v>853.5</v>
      </c>
      <c r="I2215" t="n">
        <v>791.3200000000001</v>
      </c>
      <c r="J2215" t="n">
        <v>3</v>
      </c>
      <c r="K2215" t="inlineStr">
        <is>
          <t>续持原仓（2023-09-05开）</t>
        </is>
      </c>
    </row>
    <row r="2216">
      <c r="A2216" t="inlineStr">
        <is>
          <t>2023-09-06</t>
        </is>
      </c>
      <c r="B2216" t="inlineStr">
        <is>
          <t>菜粕</t>
        </is>
      </c>
      <c r="C2216" t="inlineStr">
        <is>
          <t>多</t>
        </is>
      </c>
      <c r="D2216" t="n">
        <v>3</v>
      </c>
      <c r="E2216" t="n">
        <v>7</v>
      </c>
      <c r="F2216" t="inlineStr">
        <is>
          <t>不做</t>
        </is>
      </c>
      <c r="H2216" t="n">
        <v>3352</v>
      </c>
      <c r="J2216" t="n">
        <v>0</v>
      </c>
      <c r="K2216" t="inlineStr">
        <is>
          <t>组合风险已近10%，预算缩小</t>
        </is>
      </c>
    </row>
    <row r="2217">
      <c r="A2217" t="inlineStr">
        <is>
          <t>2023-09-06</t>
        </is>
      </c>
      <c r="B2217" t="inlineStr">
        <is>
          <t>聚丙烯</t>
        </is>
      </c>
      <c r="C2217" t="inlineStr">
        <is>
          <t>多</t>
        </is>
      </c>
      <c r="D2217" t="n">
        <v>3</v>
      </c>
      <c r="E2217" t="n">
        <v>7</v>
      </c>
      <c r="F2217" t="inlineStr">
        <is>
          <t>续持</t>
        </is>
      </c>
      <c r="G2217" t="n">
        <v>7</v>
      </c>
      <c r="H2217" t="n">
        <v>7962</v>
      </c>
      <c r="I2217" t="n">
        <v>7670.29</v>
      </c>
      <c r="J2217" t="n">
        <v>1.13</v>
      </c>
      <c r="K2217" t="inlineStr">
        <is>
          <t>续持原仓（2023-09-01开）</t>
        </is>
      </c>
    </row>
    <row r="2218">
      <c r="A2218" t="inlineStr">
        <is>
          <t>2023-09-06</t>
        </is>
      </c>
      <c r="B2218" t="inlineStr">
        <is>
          <t>沪铝</t>
        </is>
      </c>
      <c r="C2218" t="inlineStr">
        <is>
          <t>多</t>
        </is>
      </c>
      <c r="D2218" t="n">
        <v>3</v>
      </c>
      <c r="E2218" t="n">
        <v>7</v>
      </c>
      <c r="F2218" t="inlineStr">
        <is>
          <t>不做</t>
        </is>
      </c>
      <c r="H2218" t="n">
        <v>19120</v>
      </c>
      <c r="J2218" t="n">
        <v>0</v>
      </c>
      <c r="K2218" t="inlineStr">
        <is>
          <t>组合风险已近10%，预算缩小</t>
        </is>
      </c>
    </row>
    <row r="2219">
      <c r="A2219" t="inlineStr">
        <is>
          <t>2023-09-07</t>
        </is>
      </c>
      <c r="B2219" t="inlineStr">
        <is>
          <t>菜粕</t>
        </is>
      </c>
      <c r="C2219" t="inlineStr">
        <is>
          <t>多</t>
        </is>
      </c>
      <c r="D2219" t="n">
        <v>3</v>
      </c>
      <c r="E2219" t="n">
        <v>7</v>
      </c>
      <c r="F2219" t="inlineStr">
        <is>
          <t>开仓</t>
        </is>
      </c>
      <c r="G2219" t="n">
        <v>10</v>
      </c>
      <c r="H2219" t="n">
        <v>3381</v>
      </c>
      <c r="I2219" t="n">
        <v>3094.29</v>
      </c>
      <c r="J2219" t="n">
        <v>3</v>
      </c>
      <c r="K2219" t="inlineStr">
        <is>
          <t>¼凯利超上限，取3%</t>
        </is>
      </c>
    </row>
    <row r="2220">
      <c r="A2220" t="inlineStr">
        <is>
          <t>2023-09-07</t>
        </is>
      </c>
      <c r="B2220" t="inlineStr">
        <is>
          <t>苯乙烯</t>
        </is>
      </c>
      <c r="C2220" t="inlineStr">
        <is>
          <t>多</t>
        </is>
      </c>
      <c r="D2220" t="n">
        <v>3</v>
      </c>
      <c r="E2220" t="n">
        <v>6</v>
      </c>
      <c r="F2220" t="inlineStr">
        <is>
          <t>开仓</t>
        </is>
      </c>
      <c r="G2220" t="n">
        <v>3</v>
      </c>
      <c r="H2220" t="n">
        <v>9268</v>
      </c>
      <c r="I2220" t="n">
        <v>8660.290000000001</v>
      </c>
      <c r="J2220" t="n">
        <v>1</v>
      </c>
      <c r="K2220" t="inlineStr">
        <is>
          <t>组合风险已近10%，预算缩小</t>
        </is>
      </c>
    </row>
    <row r="2221">
      <c r="A2221" t="inlineStr">
        <is>
          <t>2023-09-07</t>
        </is>
      </c>
      <c r="B2221" t="inlineStr">
        <is>
          <t>豆粕</t>
        </is>
      </c>
      <c r="C2221" t="inlineStr">
        <is>
          <t>多</t>
        </is>
      </c>
      <c r="D2221" t="n">
        <v>2</v>
      </c>
      <c r="E2221" t="n">
        <v>5</v>
      </c>
      <c r="F2221" t="inlineStr">
        <is>
          <t>影子仓</t>
        </is>
      </c>
      <c r="G2221" t="n">
        <v>4</v>
      </c>
      <c r="H2221" t="n">
        <v>4137</v>
      </c>
      <c r="I2221" t="n">
        <v>3887.14</v>
      </c>
      <c r="J2221" t="n">
        <v>1</v>
      </c>
      <c r="K2221" t="inlineStr">
        <is>
          <t>凯利≤0，开1%影子仓（只统计，不计入组合）</t>
        </is>
      </c>
    </row>
    <row r="2222">
      <c r="A2222" t="inlineStr">
        <is>
          <t>2023-09-07</t>
        </is>
      </c>
      <c r="B2222" t="inlineStr">
        <is>
          <t>纸浆</t>
        </is>
      </c>
      <c r="C2222" t="inlineStr">
        <is>
          <t>多</t>
        </is>
      </c>
      <c r="D2222" t="n">
        <v>2</v>
      </c>
      <c r="E2222" t="n">
        <v>5</v>
      </c>
      <c r="F2222" t="inlineStr">
        <is>
          <t>观望</t>
        </is>
      </c>
      <c r="G2222" t="n">
        <v>2</v>
      </c>
      <c r="H2222" t="n">
        <v>5712</v>
      </c>
      <c r="I2222" t="n">
        <v>5373</v>
      </c>
      <c r="J2222" t="n">
        <v>1</v>
      </c>
      <c r="K2222" t="inlineStr">
        <is>
          <t>逆5日线（收盘在5日线下，不追多）</t>
        </is>
      </c>
    </row>
    <row r="2223">
      <c r="A2223" t="inlineStr">
        <is>
          <t>2023-09-07</t>
        </is>
      </c>
      <c r="B2223" t="inlineStr">
        <is>
          <t>沪铝</t>
        </is>
      </c>
      <c r="C2223" t="inlineStr">
        <is>
          <t>多</t>
        </is>
      </c>
      <c r="D2223" t="n">
        <v>2</v>
      </c>
      <c r="E2223" t="n">
        <v>5</v>
      </c>
      <c r="F2223" t="inlineStr">
        <is>
          <t>影子仓</t>
        </is>
      </c>
      <c r="G2223" t="n">
        <v>2</v>
      </c>
      <c r="H2223" t="n">
        <v>19175</v>
      </c>
      <c r="I2223" t="n">
        <v>18464.64</v>
      </c>
      <c r="J2223" t="n">
        <v>1</v>
      </c>
      <c r="K2223" t="inlineStr">
        <is>
          <t>凯利≤0，开1%影子仓（只统计，不计入组合）</t>
        </is>
      </c>
    </row>
    <row r="2224">
      <c r="A2224" t="inlineStr">
        <is>
          <t>2023-09-08</t>
        </is>
      </c>
      <c r="B2224" t="inlineStr">
        <is>
          <t>白糖</t>
        </is>
      </c>
      <c r="C2224" t="inlineStr">
        <is>
          <t>多</t>
        </is>
      </c>
      <c r="D2224" t="n">
        <v>3</v>
      </c>
      <c r="E2224" t="n">
        <v>7</v>
      </c>
      <c r="F2224" t="inlineStr">
        <is>
          <t>开仓</t>
        </is>
      </c>
      <c r="G2224" t="n">
        <v>10</v>
      </c>
      <c r="H2224" t="n">
        <v>7085</v>
      </c>
      <c r="I2224" t="n">
        <v>6810.71</v>
      </c>
      <c r="J2224" t="n">
        <v>2.85</v>
      </c>
      <c r="K2224" t="inlineStr">
        <is>
          <t>¼凯利</t>
        </is>
      </c>
    </row>
    <row r="2225">
      <c r="A2225" t="inlineStr">
        <is>
          <t>2023-09-08</t>
        </is>
      </c>
      <c r="B2225" t="inlineStr">
        <is>
          <t>沪金</t>
        </is>
      </c>
      <c r="C2225" t="inlineStr">
        <is>
          <t>多</t>
        </is>
      </c>
      <c r="D2225" t="n">
        <v>3</v>
      </c>
      <c r="E2225" t="n">
        <v>6</v>
      </c>
      <c r="F2225" t="inlineStr">
        <is>
          <t>续持</t>
        </is>
      </c>
      <c r="G2225" t="n">
        <v>4</v>
      </c>
      <c r="H2225" t="n">
        <v>466.84</v>
      </c>
      <c r="I2225" t="n">
        <v>460.68</v>
      </c>
      <c r="J2225" t="n">
        <v>3</v>
      </c>
      <c r="K2225" t="inlineStr">
        <is>
          <t>续持原仓（2023-09-05开）</t>
        </is>
      </c>
    </row>
    <row r="2226">
      <c r="A2226" t="inlineStr">
        <is>
          <t>2023-09-11</t>
        </is>
      </c>
      <c r="B2226" t="inlineStr">
        <is>
          <t>铁矿石</t>
        </is>
      </c>
      <c r="C2226" t="inlineStr">
        <is>
          <t>多</t>
        </is>
      </c>
      <c r="D2226" t="n">
        <v>3</v>
      </c>
      <c r="E2226" t="n">
        <v>7</v>
      </c>
      <c r="F2226" t="inlineStr">
        <is>
          <t>续持</t>
        </is>
      </c>
      <c r="G2226" t="n">
        <v>4</v>
      </c>
      <c r="H2226" t="n">
        <v>851.5</v>
      </c>
      <c r="I2226" t="n">
        <v>793.89</v>
      </c>
      <c r="J2226" t="n">
        <v>3</v>
      </c>
      <c r="K2226" t="inlineStr">
        <is>
          <t>续持原仓（2023-09-05开）</t>
        </is>
      </c>
    </row>
    <row r="2227">
      <c r="A2227" t="inlineStr">
        <is>
          <t>2023-09-11</t>
        </is>
      </c>
      <c r="B2227" t="inlineStr">
        <is>
          <t>菜粕</t>
        </is>
      </c>
      <c r="C2227" t="inlineStr">
        <is>
          <t>多</t>
        </is>
      </c>
      <c r="D2227" t="n">
        <v>3</v>
      </c>
      <c r="E2227" t="n">
        <v>6</v>
      </c>
      <c r="F2227" t="inlineStr">
        <is>
          <t>观望</t>
        </is>
      </c>
      <c r="G2227" t="n">
        <v>10</v>
      </c>
      <c r="H2227" t="n">
        <v>3286</v>
      </c>
      <c r="I2227" t="n">
        <v>3010.43</v>
      </c>
      <c r="J2227" t="n">
        <v>2.83</v>
      </c>
      <c r="K2227" t="inlineStr">
        <is>
          <t>逆5日线（收盘在5日线下，不追多）</t>
        </is>
      </c>
    </row>
    <row r="2228">
      <c r="A2228" t="inlineStr">
        <is>
          <t>2023-09-11</t>
        </is>
      </c>
      <c r="B2228" t="inlineStr">
        <is>
          <t>棕榈油</t>
        </is>
      </c>
      <c r="C2228" t="inlineStr">
        <is>
          <t>空</t>
        </is>
      </c>
      <c r="D2228" t="n">
        <v>3</v>
      </c>
      <c r="E2228" t="n">
        <v>6</v>
      </c>
      <c r="F2228" t="inlineStr">
        <is>
          <t>开仓</t>
        </is>
      </c>
      <c r="G2228" t="n">
        <v>5</v>
      </c>
      <c r="H2228" t="n">
        <v>7446</v>
      </c>
      <c r="I2228" t="n">
        <v>7992</v>
      </c>
      <c r="J2228" t="n">
        <v>2.83</v>
      </c>
      <c r="K2228" t="inlineStr">
        <is>
          <t>¼凯利</t>
        </is>
      </c>
    </row>
    <row r="2229">
      <c r="A2229" t="inlineStr">
        <is>
          <t>2023-09-11</t>
        </is>
      </c>
      <c r="B2229" t="inlineStr">
        <is>
          <t>沪铝</t>
        </is>
      </c>
      <c r="C2229" t="inlineStr">
        <is>
          <t>多</t>
        </is>
      </c>
      <c r="D2229" t="n">
        <v>3</v>
      </c>
      <c r="E2229" t="n">
        <v>6</v>
      </c>
      <c r="F2229" t="inlineStr">
        <is>
          <t>不做</t>
        </is>
      </c>
      <c r="H2229" t="n">
        <v>19150</v>
      </c>
      <c r="J2229" t="n">
        <v>0.32</v>
      </c>
      <c r="K2229" t="inlineStr">
        <is>
          <t>1手风险3605元超过预算3200元</t>
        </is>
      </c>
    </row>
    <row r="2230">
      <c r="A2230" t="inlineStr">
        <is>
          <t>2023-09-11</t>
        </is>
      </c>
      <c r="B2230" t="inlineStr">
        <is>
          <t>苯乙烯</t>
        </is>
      </c>
      <c r="C2230" t="inlineStr">
        <is>
          <t>多</t>
        </is>
      </c>
      <c r="D2230" t="n">
        <v>2</v>
      </c>
      <c r="E2230" t="n">
        <v>5</v>
      </c>
      <c r="F2230" t="inlineStr">
        <is>
          <t>续持</t>
        </is>
      </c>
      <c r="G2230" t="n">
        <v>3</v>
      </c>
      <c r="H2230" t="n">
        <v>9262</v>
      </c>
      <c r="I2230" t="n">
        <v>8762.43</v>
      </c>
      <c r="J2230" t="n">
        <v>1</v>
      </c>
      <c r="K2230" t="inlineStr">
        <is>
          <t>续持原仓（2023-09-07开）</t>
        </is>
      </c>
    </row>
    <row r="2231">
      <c r="A2231" t="inlineStr">
        <is>
          <t>2023-09-11</t>
        </is>
      </c>
      <c r="B2231" t="inlineStr">
        <is>
          <t>棉花</t>
        </is>
      </c>
      <c r="C2231" t="inlineStr">
        <is>
          <t>多</t>
        </is>
      </c>
      <c r="D2231" t="n">
        <v>2</v>
      </c>
      <c r="E2231" t="n">
        <v>5</v>
      </c>
      <c r="F2231" t="inlineStr">
        <is>
          <t>观望</t>
        </is>
      </c>
      <c r="G2231" t="n">
        <v>2</v>
      </c>
      <c r="H2231" t="n">
        <v>17185</v>
      </c>
      <c r="I2231" t="n">
        <v>16285</v>
      </c>
      <c r="J2231" t="n">
        <v>1</v>
      </c>
      <c r="K2231" t="inlineStr">
        <is>
          <t>逆5日线（收盘在5日线下，不追多）</t>
        </is>
      </c>
    </row>
    <row r="2232">
      <c r="A2232" t="inlineStr">
        <is>
          <t>2023-09-12</t>
        </is>
      </c>
      <c r="B2232" t="inlineStr">
        <is>
          <t>铁矿石</t>
        </is>
      </c>
      <c r="C2232" t="inlineStr">
        <is>
          <t>多</t>
        </is>
      </c>
      <c r="D2232" t="n">
        <v>3</v>
      </c>
      <c r="E2232" t="n">
        <v>6</v>
      </c>
      <c r="F2232" t="inlineStr">
        <is>
          <t>续持</t>
        </is>
      </c>
      <c r="G2232" t="n">
        <v>4</v>
      </c>
      <c r="H2232" t="n">
        <v>859</v>
      </c>
      <c r="I2232" t="n">
        <v>798.0700000000001</v>
      </c>
      <c r="J2232" t="n">
        <v>3</v>
      </c>
      <c r="K2232" t="inlineStr">
        <is>
          <t>续持原仓（2023-09-05开）</t>
        </is>
      </c>
    </row>
    <row r="2233">
      <c r="A2233" t="inlineStr">
        <is>
          <t>2023-09-12</t>
        </is>
      </c>
      <c r="B2233" t="inlineStr">
        <is>
          <t>苯乙烯</t>
        </is>
      </c>
      <c r="C2233" t="inlineStr">
        <is>
          <t>多</t>
        </is>
      </c>
      <c r="D2233" t="n">
        <v>3</v>
      </c>
      <c r="E2233" t="n">
        <v>6</v>
      </c>
      <c r="F2233" t="inlineStr">
        <is>
          <t>续持</t>
        </is>
      </c>
      <c r="G2233" t="n">
        <v>3</v>
      </c>
      <c r="H2233" t="n">
        <v>9566</v>
      </c>
      <c r="I2233" t="n">
        <v>9001.93</v>
      </c>
      <c r="J2233" t="n">
        <v>1</v>
      </c>
      <c r="K2233" t="inlineStr">
        <is>
          <t>续持原仓（2023-09-07开）</t>
        </is>
      </c>
    </row>
    <row r="2234">
      <c r="A2234" t="inlineStr">
        <is>
          <t>2023-09-12</t>
        </is>
      </c>
      <c r="B2234" t="inlineStr">
        <is>
          <t>聚丙烯</t>
        </is>
      </c>
      <c r="C2234" t="inlineStr">
        <is>
          <t>多</t>
        </is>
      </c>
      <c r="D2234" t="n">
        <v>3</v>
      </c>
      <c r="E2234" t="n">
        <v>6</v>
      </c>
      <c r="F2234" t="inlineStr">
        <is>
          <t>开仓</t>
        </is>
      </c>
      <c r="G2234" t="n">
        <v>16</v>
      </c>
      <c r="H2234" t="n">
        <v>7985</v>
      </c>
      <c r="I2234" t="n">
        <v>7649.86</v>
      </c>
      <c r="J2234" t="n">
        <v>2.82</v>
      </c>
      <c r="K2234" t="inlineStr">
        <is>
          <t>¼凯利</t>
        </is>
      </c>
    </row>
    <row r="2235">
      <c r="A2235" t="inlineStr">
        <is>
          <t>2023-09-12</t>
        </is>
      </c>
      <c r="B2235" t="inlineStr">
        <is>
          <t>沪锌</t>
        </is>
      </c>
      <c r="C2235" t="inlineStr">
        <is>
          <t>多</t>
        </is>
      </c>
      <c r="D2235" t="n">
        <v>3</v>
      </c>
      <c r="E2235" t="n">
        <v>6</v>
      </c>
      <c r="F2235" t="inlineStr">
        <is>
          <t>不做</t>
        </is>
      </c>
      <c r="H2235" t="n">
        <v>21760</v>
      </c>
      <c r="J2235" t="n">
        <v>0.33</v>
      </c>
      <c r="K2235" t="inlineStr">
        <is>
          <t>1手风险4773元超过预算3300元</t>
        </is>
      </c>
    </row>
    <row r="2236">
      <c r="A2236" t="inlineStr">
        <is>
          <t>2023-09-12</t>
        </is>
      </c>
      <c r="B2236" t="inlineStr">
        <is>
          <t>纸浆</t>
        </is>
      </c>
      <c r="C2236" t="inlineStr">
        <is>
          <t>多</t>
        </is>
      </c>
      <c r="D2236" t="n">
        <v>3</v>
      </c>
      <c r="E2236" t="n">
        <v>6</v>
      </c>
      <c r="F2236" t="inlineStr">
        <is>
          <t>不做</t>
        </is>
      </c>
      <c r="H2236" t="n">
        <v>5776</v>
      </c>
      <c r="J2236" t="n">
        <v>0.33</v>
      </c>
      <c r="K2236" t="inlineStr">
        <is>
          <t>1手风险3313元超过预算3300元</t>
        </is>
      </c>
    </row>
    <row r="2237">
      <c r="A2237" t="inlineStr">
        <is>
          <t>2023-09-12</t>
        </is>
      </c>
      <c r="B2237" t="inlineStr">
        <is>
          <t>豆粕</t>
        </is>
      </c>
      <c r="C2237" t="inlineStr">
        <is>
          <t>空</t>
        </is>
      </c>
      <c r="D2237" t="n">
        <v>2</v>
      </c>
      <c r="E2237" t="n">
        <v>4</v>
      </c>
      <c r="F2237" t="inlineStr">
        <is>
          <t>影子仓</t>
        </is>
      </c>
      <c r="G2237" t="n">
        <v>4</v>
      </c>
      <c r="H2237" t="n">
        <v>4057</v>
      </c>
      <c r="I2237" t="n">
        <v>4287.36</v>
      </c>
      <c r="J2237" t="n">
        <v>1</v>
      </c>
      <c r="K2237" t="inlineStr">
        <is>
          <t>凯利≤0，开1%影子仓（只统计，不计入组合）</t>
        </is>
      </c>
    </row>
    <row r="2238">
      <c r="A2238" t="inlineStr">
        <is>
          <t>2023-09-13</t>
        </is>
      </c>
      <c r="B2238" t="inlineStr">
        <is>
          <t>苯乙烯</t>
        </is>
      </c>
      <c r="C2238" t="inlineStr">
        <is>
          <t>多</t>
        </is>
      </c>
      <c r="D2238" t="n">
        <v>3</v>
      </c>
      <c r="E2238" t="n">
        <v>7</v>
      </c>
      <c r="F2238" t="inlineStr">
        <is>
          <t>续持</t>
        </is>
      </c>
      <c r="G2238" t="n">
        <v>3</v>
      </c>
      <c r="H2238" t="n">
        <v>9811</v>
      </c>
      <c r="I2238" t="n">
        <v>9131.290000000001</v>
      </c>
      <c r="J2238" t="n">
        <v>1</v>
      </c>
      <c r="K2238" t="inlineStr">
        <is>
          <t>续持原仓（2023-09-07开）</t>
        </is>
      </c>
    </row>
    <row r="2239">
      <c r="A2239" t="inlineStr">
        <is>
          <t>2023-09-13</t>
        </is>
      </c>
      <c r="B2239" t="inlineStr">
        <is>
          <t>棕榈油</t>
        </is>
      </c>
      <c r="C2239" t="inlineStr">
        <is>
          <t>空</t>
        </is>
      </c>
      <c r="D2239" t="n">
        <v>3</v>
      </c>
      <c r="E2239" t="n">
        <v>7</v>
      </c>
      <c r="F2239" t="inlineStr">
        <is>
          <t>开仓</t>
        </is>
      </c>
      <c r="G2239" t="n">
        <v>5</v>
      </c>
      <c r="H2239" t="n">
        <v>7368</v>
      </c>
      <c r="I2239" t="n">
        <v>7875.86</v>
      </c>
      <c r="J2239" t="n">
        <v>2.79</v>
      </c>
      <c r="K2239" t="inlineStr">
        <is>
          <t>¼凯利</t>
        </is>
      </c>
    </row>
    <row r="2240">
      <c r="A2240" t="inlineStr">
        <is>
          <t>2023-09-13</t>
        </is>
      </c>
      <c r="B2240" t="inlineStr">
        <is>
          <t>沪金</t>
        </is>
      </c>
      <c r="C2240" t="inlineStr">
        <is>
          <t>多</t>
        </is>
      </c>
      <c r="D2240" t="n">
        <v>2</v>
      </c>
      <c r="E2240" t="n">
        <v>5</v>
      </c>
      <c r="F2240" t="inlineStr">
        <is>
          <t>影子仓</t>
        </is>
      </c>
      <c r="G2240" t="n">
        <v>1</v>
      </c>
      <c r="H2240" t="n">
        <v>467.66</v>
      </c>
      <c r="I2240" t="n">
        <v>460.81</v>
      </c>
      <c r="J2240" t="n">
        <v>1</v>
      </c>
      <c r="K2240" t="inlineStr">
        <is>
          <t>凯利≤0，开1%影子仓（只统计，不计入组合）</t>
        </is>
      </c>
    </row>
    <row r="2241">
      <c r="A2241" t="inlineStr">
        <is>
          <t>2023-09-13</t>
        </is>
      </c>
      <c r="B2241" t="inlineStr">
        <is>
          <t>菜油</t>
        </is>
      </c>
      <c r="C2241" t="inlineStr">
        <is>
          <t>空</t>
        </is>
      </c>
      <c r="D2241" t="n">
        <v>2</v>
      </c>
      <c r="E2241" t="n">
        <v>5</v>
      </c>
      <c r="F2241" t="inlineStr">
        <is>
          <t>影子仓</t>
        </is>
      </c>
      <c r="G2241" t="n">
        <v>1</v>
      </c>
      <c r="H2241" t="n">
        <v>8761</v>
      </c>
      <c r="I2241" t="n">
        <v>9328.43</v>
      </c>
      <c r="J2241" t="n">
        <v>1</v>
      </c>
      <c r="K2241" t="inlineStr">
        <is>
          <t>凯利≤0，开1%影子仓（只统计，不计入组合）</t>
        </is>
      </c>
    </row>
    <row r="2242">
      <c r="A2242" t="inlineStr">
        <is>
          <t>2023-09-13</t>
        </is>
      </c>
      <c r="B2242" t="inlineStr">
        <is>
          <t>棉花</t>
        </is>
      </c>
      <c r="C2242" t="inlineStr">
        <is>
          <t>多</t>
        </is>
      </c>
      <c r="D2242" t="n">
        <v>2</v>
      </c>
      <c r="E2242" t="n">
        <v>4</v>
      </c>
      <c r="F2242" t="inlineStr">
        <is>
          <t>观望</t>
        </is>
      </c>
      <c r="G2242" t="n">
        <v>2</v>
      </c>
      <c r="H2242" t="n">
        <v>17030</v>
      </c>
      <c r="I2242" t="n">
        <v>16091.43</v>
      </c>
      <c r="J2242" t="n">
        <v>1</v>
      </c>
      <c r="K2242" t="inlineStr">
        <is>
          <t>逆5日线（收盘在5日线下，不追多）</t>
        </is>
      </c>
    </row>
    <row r="2243">
      <c r="A2243" t="inlineStr">
        <is>
          <t>2023-09-14</t>
        </is>
      </c>
      <c r="B2243" t="inlineStr">
        <is>
          <t>沪金</t>
        </is>
      </c>
      <c r="C2243" t="inlineStr">
        <is>
          <t>多</t>
        </is>
      </c>
      <c r="D2243" t="n">
        <v>3</v>
      </c>
      <c r="E2243" t="n">
        <v>6</v>
      </c>
      <c r="F2243" t="inlineStr">
        <is>
          <t>续持</t>
        </is>
      </c>
      <c r="G2243" t="n">
        <v>1</v>
      </c>
      <c r="H2243" t="n">
        <v>472</v>
      </c>
      <c r="I2243" t="n">
        <v>465.16</v>
      </c>
      <c r="J2243" t="n">
        <v>1</v>
      </c>
      <c r="K2243" t="inlineStr">
        <is>
          <t>续持原仓（2023-09-13开）</t>
        </is>
      </c>
    </row>
    <row r="2244">
      <c r="A2244" t="inlineStr">
        <is>
          <t>2023-09-14</t>
        </is>
      </c>
      <c r="B2244" t="inlineStr">
        <is>
          <t>棕榈油</t>
        </is>
      </c>
      <c r="C2244" t="inlineStr">
        <is>
          <t>空</t>
        </is>
      </c>
      <c r="D2244" t="n">
        <v>2</v>
      </c>
      <c r="E2244" t="n">
        <v>4</v>
      </c>
      <c r="F2244" t="inlineStr">
        <is>
          <t>观望</t>
        </is>
      </c>
      <c r="G2244" t="n">
        <v>2</v>
      </c>
      <c r="H2244" t="n">
        <v>7472</v>
      </c>
      <c r="I2244" t="n">
        <v>7971.71</v>
      </c>
      <c r="J2244" t="n">
        <v>1</v>
      </c>
      <c r="K2244" t="inlineStr">
        <is>
          <t>逆5日线（收盘在5日线上，不追空）</t>
        </is>
      </c>
    </row>
    <row r="2245">
      <c r="A2245" t="inlineStr">
        <is>
          <t>2023-09-14</t>
        </is>
      </c>
      <c r="B2245" t="inlineStr">
        <is>
          <t>棉花</t>
        </is>
      </c>
      <c r="C2245" t="inlineStr">
        <is>
          <t>多</t>
        </is>
      </c>
      <c r="D2245" t="n">
        <v>2</v>
      </c>
      <c r="E2245" t="n">
        <v>4</v>
      </c>
      <c r="F2245" t="inlineStr">
        <is>
          <t>观望</t>
        </is>
      </c>
      <c r="G2245" t="n">
        <v>2</v>
      </c>
      <c r="H2245" t="n">
        <v>17125</v>
      </c>
      <c r="I2245" t="n">
        <v>16200.36</v>
      </c>
      <c r="J2245" t="n">
        <v>1</v>
      </c>
      <c r="K2245" t="inlineStr">
        <is>
          <t>逆5日线（收盘在5日线下，不追多）</t>
        </is>
      </c>
    </row>
    <row r="2246">
      <c r="A2246" t="inlineStr">
        <is>
          <t>2023-09-14</t>
        </is>
      </c>
      <c r="B2246" t="inlineStr">
        <is>
          <t>锰硅</t>
        </is>
      </c>
      <c r="C2246" t="inlineStr">
        <is>
          <t>多</t>
        </is>
      </c>
      <c r="D2246" t="n">
        <v>2</v>
      </c>
      <c r="E2246" t="n">
        <v>4</v>
      </c>
      <c r="F2246" t="inlineStr">
        <is>
          <t>观望</t>
        </is>
      </c>
      <c r="G2246" t="n">
        <v>5</v>
      </c>
      <c r="H2246" t="n">
        <v>7082</v>
      </c>
      <c r="I2246" t="n">
        <v>6741.29</v>
      </c>
      <c r="J2246" t="n">
        <v>1</v>
      </c>
      <c r="K2246" t="inlineStr">
        <is>
          <t>逆5日线（收盘在5日线下，不追多）</t>
        </is>
      </c>
    </row>
    <row r="2247">
      <c r="A2247" t="inlineStr">
        <is>
          <t>2023-09-14</t>
        </is>
      </c>
      <c r="B2247" t="inlineStr">
        <is>
          <t>燃料油</t>
        </is>
      </c>
      <c r="C2247" t="inlineStr">
        <is>
          <t>多</t>
        </is>
      </c>
      <c r="D2247" t="n">
        <v>2</v>
      </c>
      <c r="E2247" t="n">
        <v>4</v>
      </c>
      <c r="F2247" t="inlineStr">
        <is>
          <t>影子仓</t>
        </is>
      </c>
      <c r="G2247" t="n">
        <v>4</v>
      </c>
      <c r="H2247" t="n">
        <v>3705</v>
      </c>
      <c r="I2247" t="n">
        <v>3463.5</v>
      </c>
      <c r="J2247" t="n">
        <v>1</v>
      </c>
      <c r="K2247" t="inlineStr">
        <is>
          <t>凯利≤0，开1%影子仓（只统计，不计入组合）</t>
        </is>
      </c>
    </row>
    <row r="2248">
      <c r="A2248" t="inlineStr">
        <is>
          <t>2023-09-15</t>
        </is>
      </c>
      <c r="B2248" t="inlineStr">
        <is>
          <t>沪锌</t>
        </is>
      </c>
      <c r="C2248" t="inlineStr">
        <is>
          <t>多</t>
        </is>
      </c>
      <c r="D2248" t="n">
        <v>3</v>
      </c>
      <c r="E2248" t="n">
        <v>6</v>
      </c>
      <c r="F2248" t="inlineStr">
        <is>
          <t>开仓</t>
        </is>
      </c>
      <c r="G2248" t="n">
        <v>2</v>
      </c>
      <c r="H2248" t="n">
        <v>21915</v>
      </c>
      <c r="I2248" t="n">
        <v>20931.43</v>
      </c>
      <c r="J2248" t="n">
        <v>1.36</v>
      </c>
      <c r="K2248" t="inlineStr">
        <is>
          <t>组合风险已近10%，预算缩小</t>
        </is>
      </c>
    </row>
    <row r="2249">
      <c r="A2249" t="inlineStr">
        <is>
          <t>2023-09-15</t>
        </is>
      </c>
      <c r="B2249" t="inlineStr">
        <is>
          <t>棕榈油</t>
        </is>
      </c>
      <c r="C2249" t="inlineStr">
        <is>
          <t>空</t>
        </is>
      </c>
      <c r="D2249" t="n">
        <v>3</v>
      </c>
      <c r="E2249" t="n">
        <v>6</v>
      </c>
      <c r="F2249" t="inlineStr">
        <is>
          <t>观望</t>
        </is>
      </c>
      <c r="H2249" t="n">
        <v>7478</v>
      </c>
      <c r="J2249" t="n">
        <v>0</v>
      </c>
      <c r="K2249" t="inlineStr">
        <is>
          <t>逆5日线（收盘在5日线上，不追空）</t>
        </is>
      </c>
    </row>
    <row r="2250">
      <c r="A2250" t="inlineStr">
        <is>
          <t>2023-09-15</t>
        </is>
      </c>
      <c r="B2250" t="inlineStr">
        <is>
          <t>燃料油</t>
        </is>
      </c>
      <c r="C2250" t="inlineStr">
        <is>
          <t>多</t>
        </is>
      </c>
      <c r="D2250" t="n">
        <v>3</v>
      </c>
      <c r="E2250" t="n">
        <v>6</v>
      </c>
      <c r="F2250" t="inlineStr">
        <is>
          <t>续持</t>
        </is>
      </c>
      <c r="G2250" t="n">
        <v>4</v>
      </c>
      <c r="H2250" t="n">
        <v>3745</v>
      </c>
      <c r="I2250" t="n">
        <v>3525.43</v>
      </c>
      <c r="J2250" t="n">
        <v>1</v>
      </c>
      <c r="K2250" t="inlineStr">
        <is>
          <t>续持原仓（2023-09-14开）</t>
        </is>
      </c>
    </row>
    <row r="2251">
      <c r="A2251" t="inlineStr">
        <is>
          <t>2023-09-15</t>
        </is>
      </c>
      <c r="B2251" t="inlineStr">
        <is>
          <t>锰硅</t>
        </is>
      </c>
      <c r="C2251" t="inlineStr">
        <is>
          <t>多</t>
        </is>
      </c>
      <c r="D2251" t="n">
        <v>3</v>
      </c>
      <c r="E2251" t="n">
        <v>6</v>
      </c>
      <c r="F2251" t="inlineStr">
        <is>
          <t>不做</t>
        </is>
      </c>
      <c r="H2251" t="n">
        <v>7158</v>
      </c>
      <c r="J2251" t="n">
        <v>0</v>
      </c>
      <c r="K2251" t="inlineStr">
        <is>
          <t>组合风险已近10%，预算缩小</t>
        </is>
      </c>
    </row>
    <row r="2252">
      <c r="A2252" t="inlineStr">
        <is>
          <t>2023-09-15</t>
        </is>
      </c>
      <c r="B2252" t="inlineStr">
        <is>
          <t>棉花</t>
        </is>
      </c>
      <c r="C2252" t="inlineStr">
        <is>
          <t>多</t>
        </is>
      </c>
      <c r="D2252" t="n">
        <v>2</v>
      </c>
      <c r="E2252" t="n">
        <v>4</v>
      </c>
      <c r="F2252" t="inlineStr">
        <is>
          <t>影子仓</t>
        </is>
      </c>
      <c r="G2252" t="n">
        <v>2</v>
      </c>
      <c r="H2252" t="n">
        <v>17285</v>
      </c>
      <c r="I2252" t="n">
        <v>16396.79</v>
      </c>
      <c r="J2252" t="n">
        <v>1</v>
      </c>
      <c r="K2252" t="inlineStr">
        <is>
          <t>凯利≤0，开1%影子仓（只统计，不计入组合）</t>
        </is>
      </c>
    </row>
    <row r="2253">
      <c r="A2253" t="inlineStr">
        <is>
          <t>2023-09-15</t>
        </is>
      </c>
      <c r="B2253" t="inlineStr">
        <is>
          <t>PVC</t>
        </is>
      </c>
      <c r="C2253" t="inlineStr">
        <is>
          <t>多</t>
        </is>
      </c>
      <c r="D2253" t="n">
        <v>2</v>
      </c>
      <c r="E2253" t="n">
        <v>4</v>
      </c>
      <c r="F2253" t="inlineStr">
        <is>
          <t>影子仓</t>
        </is>
      </c>
      <c r="G2253" t="n">
        <v>5</v>
      </c>
      <c r="H2253" t="n">
        <v>6453</v>
      </c>
      <c r="I2253" t="n">
        <v>6081.43</v>
      </c>
      <c r="J2253" t="n">
        <v>1</v>
      </c>
      <c r="K2253" t="inlineStr">
        <is>
          <t>凯利≤0，开1%影子仓（只统计，不计入组合）</t>
        </is>
      </c>
    </row>
    <row r="2254">
      <c r="A2254" t="inlineStr">
        <is>
          <t>2023-09-18</t>
        </is>
      </c>
      <c r="B2254" t="inlineStr">
        <is>
          <t>棕榈油</t>
        </is>
      </c>
      <c r="C2254" t="inlineStr">
        <is>
          <t>空</t>
        </is>
      </c>
      <c r="D2254" t="n">
        <v>3</v>
      </c>
      <c r="E2254" t="n">
        <v>6</v>
      </c>
      <c r="F2254" t="inlineStr">
        <is>
          <t>续持</t>
        </is>
      </c>
      <c r="G2254" t="n">
        <v>5</v>
      </c>
      <c r="H2254" t="n">
        <v>7382</v>
      </c>
      <c r="I2254" t="n">
        <v>7770.43</v>
      </c>
      <c r="J2254" t="n">
        <v>2.79</v>
      </c>
      <c r="K2254" t="inlineStr">
        <is>
          <t>续持原仓（2023-09-13开）</t>
        </is>
      </c>
    </row>
    <row r="2255">
      <c r="A2255" t="inlineStr">
        <is>
          <t>2023-09-18</t>
        </is>
      </c>
      <c r="B2255" t="inlineStr">
        <is>
          <t>乙二醇</t>
        </is>
      </c>
      <c r="C2255" t="inlineStr">
        <is>
          <t>多</t>
        </is>
      </c>
      <c r="D2255" t="n">
        <v>3</v>
      </c>
      <c r="E2255" t="n">
        <v>6</v>
      </c>
      <c r="F2255" t="inlineStr">
        <is>
          <t>开仓</t>
        </is>
      </c>
      <c r="G2255" t="n">
        <v>11</v>
      </c>
      <c r="H2255" t="n">
        <v>4396</v>
      </c>
      <c r="I2255" t="n">
        <v>4156.86</v>
      </c>
      <c r="J2255" t="n">
        <v>2.8</v>
      </c>
      <c r="K2255" t="inlineStr">
        <is>
          <t>¼凯利</t>
        </is>
      </c>
    </row>
    <row r="2256">
      <c r="A2256" t="inlineStr">
        <is>
          <t>2023-09-18</t>
        </is>
      </c>
      <c r="B2256" t="inlineStr">
        <is>
          <t>沪锌</t>
        </is>
      </c>
      <c r="C2256" t="inlineStr">
        <is>
          <t>多</t>
        </is>
      </c>
      <c r="D2256" t="n">
        <v>2</v>
      </c>
      <c r="E2256" t="n">
        <v>5</v>
      </c>
      <c r="F2256" t="inlineStr">
        <is>
          <t>续持</t>
        </is>
      </c>
      <c r="G2256" t="n">
        <v>2</v>
      </c>
      <c r="H2256" t="n">
        <v>21835</v>
      </c>
      <c r="I2256" t="n">
        <v>20904.64</v>
      </c>
      <c r="J2256" t="n">
        <v>1.36</v>
      </c>
      <c r="K2256" t="inlineStr">
        <is>
          <t>续持原仓（2023-09-15开）</t>
        </is>
      </c>
    </row>
    <row r="2257">
      <c r="A2257" t="inlineStr">
        <is>
          <t>2023-09-18</t>
        </is>
      </c>
      <c r="B2257" t="inlineStr">
        <is>
          <t>锰硅</t>
        </is>
      </c>
      <c r="C2257" t="inlineStr">
        <is>
          <t>多</t>
        </is>
      </c>
      <c r="D2257" t="n">
        <v>2</v>
      </c>
      <c r="E2257" t="n">
        <v>4</v>
      </c>
      <c r="F2257" t="inlineStr">
        <is>
          <t>影子仓</t>
        </is>
      </c>
      <c r="G2257" t="n">
        <v>5</v>
      </c>
      <c r="H2257" t="n">
        <v>7164</v>
      </c>
      <c r="I2257" t="n">
        <v>6825</v>
      </c>
      <c r="J2257" t="n">
        <v>1</v>
      </c>
      <c r="K2257" t="inlineStr">
        <is>
          <t>凯利≤0，开1%影子仓（只统计，不计入组合）</t>
        </is>
      </c>
    </row>
    <row r="2258">
      <c r="A2258" t="inlineStr">
        <is>
          <t>2023-09-18</t>
        </is>
      </c>
      <c r="B2258" t="inlineStr">
        <is>
          <t>豆粕</t>
        </is>
      </c>
      <c r="C2258" t="inlineStr">
        <is>
          <t>空</t>
        </is>
      </c>
      <c r="D2258" t="n">
        <v>2</v>
      </c>
      <c r="E2258" t="n">
        <v>4</v>
      </c>
      <c r="F2258" t="inlineStr">
        <is>
          <t>观望</t>
        </is>
      </c>
      <c r="G2258" t="n">
        <v>4</v>
      </c>
      <c r="H2258" t="n">
        <v>4029</v>
      </c>
      <c r="I2258" t="n">
        <v>4248.21</v>
      </c>
      <c r="J2258" t="n">
        <v>1</v>
      </c>
      <c r="K2258" t="inlineStr">
        <is>
          <t>逆5日线（收盘在5日线上，不追空）</t>
        </is>
      </c>
    </row>
    <row r="2259">
      <c r="A2259" t="inlineStr">
        <is>
          <t>2023-09-18</t>
        </is>
      </c>
      <c r="B2259" t="inlineStr">
        <is>
          <t>尿素</t>
        </is>
      </c>
      <c r="C2259" t="inlineStr">
        <is>
          <t>多</t>
        </is>
      </c>
      <c r="D2259" t="n">
        <v>2</v>
      </c>
      <c r="E2259" t="n">
        <v>4</v>
      </c>
      <c r="F2259" t="inlineStr">
        <is>
          <t>影子仓</t>
        </is>
      </c>
      <c r="G2259" t="n">
        <v>1</v>
      </c>
      <c r="H2259" t="n">
        <v>2270</v>
      </c>
      <c r="I2259" t="n">
        <v>2010.71</v>
      </c>
      <c r="J2259" t="n">
        <v>1</v>
      </c>
      <c r="K2259" t="inlineStr">
        <is>
          <t>凯利≤0，开1%影子仓（只统计，不计入组合）</t>
        </is>
      </c>
    </row>
    <row r="2260">
      <c r="A2260" t="inlineStr">
        <is>
          <t>2023-09-19</t>
        </is>
      </c>
      <c r="B2260" t="inlineStr">
        <is>
          <t>棕榈油</t>
        </is>
      </c>
      <c r="C2260" t="inlineStr">
        <is>
          <t>空</t>
        </is>
      </c>
      <c r="D2260" t="n">
        <v>3</v>
      </c>
      <c r="E2260" t="n">
        <v>7</v>
      </c>
      <c r="F2260" t="inlineStr">
        <is>
          <t>续持</t>
        </is>
      </c>
      <c r="G2260" t="n">
        <v>5</v>
      </c>
      <c r="H2260" t="n">
        <v>7266</v>
      </c>
      <c r="I2260" t="n">
        <v>7730.57</v>
      </c>
      <c r="J2260" t="n">
        <v>2.79</v>
      </c>
      <c r="K2260" t="inlineStr">
        <is>
          <t>续持原仓（2023-09-13开）</t>
        </is>
      </c>
    </row>
    <row r="2261">
      <c r="A2261" t="inlineStr">
        <is>
          <t>2023-09-19</t>
        </is>
      </c>
      <c r="B2261" t="inlineStr">
        <is>
          <t>沪铝</t>
        </is>
      </c>
      <c r="C2261" t="inlineStr">
        <is>
          <t>多</t>
        </is>
      </c>
      <c r="D2261" t="n">
        <v>3</v>
      </c>
      <c r="E2261" t="n">
        <v>6</v>
      </c>
      <c r="F2261" t="inlineStr">
        <is>
          <t>观望</t>
        </is>
      </c>
      <c r="G2261" t="n">
        <v>3</v>
      </c>
      <c r="H2261" t="n">
        <v>19240</v>
      </c>
      <c r="I2261" t="n">
        <v>18422.5</v>
      </c>
      <c r="J2261" t="n">
        <v>1.41</v>
      </c>
      <c r="K2261" t="inlineStr">
        <is>
          <t>逆5日线（收盘在5日线下，不追多）</t>
        </is>
      </c>
    </row>
    <row r="2262">
      <c r="A2262" t="inlineStr">
        <is>
          <t>2023-09-19</t>
        </is>
      </c>
      <c r="B2262" t="inlineStr">
        <is>
          <t>聚丙烯</t>
        </is>
      </c>
      <c r="C2262" t="inlineStr">
        <is>
          <t>多</t>
        </is>
      </c>
      <c r="D2262" t="n">
        <v>3</v>
      </c>
      <c r="E2262" t="n">
        <v>6</v>
      </c>
      <c r="F2262" t="inlineStr">
        <is>
          <t>开仓</t>
        </is>
      </c>
      <c r="G2262" t="n">
        <v>7</v>
      </c>
      <c r="H2262" t="n">
        <v>8073</v>
      </c>
      <c r="I2262" t="n">
        <v>7712.79</v>
      </c>
      <c r="J2262" t="n">
        <v>1.41</v>
      </c>
      <c r="K2262" t="inlineStr">
        <is>
          <t>组合风险已近10%，预算缩小</t>
        </is>
      </c>
    </row>
    <row r="2263">
      <c r="A2263" t="inlineStr">
        <is>
          <t>2023-09-19</t>
        </is>
      </c>
      <c r="B2263" t="inlineStr">
        <is>
          <t>锰硅</t>
        </is>
      </c>
      <c r="C2263" t="inlineStr">
        <is>
          <t>多</t>
        </is>
      </c>
      <c r="D2263" t="n">
        <v>2</v>
      </c>
      <c r="E2263" t="n">
        <v>5</v>
      </c>
      <c r="F2263" t="inlineStr">
        <is>
          <t>续持</t>
        </is>
      </c>
      <c r="G2263" t="n">
        <v>5</v>
      </c>
      <c r="H2263" t="n">
        <v>7152</v>
      </c>
      <c r="I2263" t="n">
        <v>6897.43</v>
      </c>
      <c r="J2263" t="n">
        <v>1</v>
      </c>
      <c r="K2263" t="inlineStr">
        <is>
          <t>续持原仓（2023-09-18开）</t>
        </is>
      </c>
    </row>
    <row r="2264">
      <c r="A2264" t="inlineStr">
        <is>
          <t>2023-09-19</t>
        </is>
      </c>
      <c r="B2264" t="inlineStr">
        <is>
          <t>尿素</t>
        </is>
      </c>
      <c r="C2264" t="inlineStr">
        <is>
          <t>多</t>
        </is>
      </c>
      <c r="D2264" t="n">
        <v>2</v>
      </c>
      <c r="E2264" t="n">
        <v>5</v>
      </c>
      <c r="F2264" t="inlineStr">
        <is>
          <t>续持</t>
        </is>
      </c>
      <c r="G2264" t="n">
        <v>1</v>
      </c>
      <c r="H2264" t="n">
        <v>2266</v>
      </c>
      <c r="I2264" t="n">
        <v>2055.07</v>
      </c>
      <c r="J2264" t="n">
        <v>1</v>
      </c>
      <c r="K2264" t="inlineStr">
        <is>
          <t>续持原仓（2023-09-18开）</t>
        </is>
      </c>
    </row>
    <row r="2265">
      <c r="A2265" t="inlineStr">
        <is>
          <t>2023-09-19</t>
        </is>
      </c>
      <c r="B2265" t="inlineStr">
        <is>
          <t>乙二醇</t>
        </is>
      </c>
      <c r="C2265" t="inlineStr">
        <is>
          <t>多</t>
        </is>
      </c>
      <c r="D2265" t="n">
        <v>2</v>
      </c>
      <c r="E2265" t="n">
        <v>4</v>
      </c>
      <c r="F2265" t="inlineStr">
        <is>
          <t>续持</t>
        </is>
      </c>
      <c r="G2265" t="n">
        <v>11</v>
      </c>
      <c r="H2265" t="n">
        <v>4388</v>
      </c>
      <c r="I2265" t="n">
        <v>4205.21</v>
      </c>
      <c r="J2265" t="n">
        <v>2.8</v>
      </c>
      <c r="K2265" t="inlineStr">
        <is>
          <t>续持原仓（2023-09-18开）</t>
        </is>
      </c>
    </row>
    <row r="2266">
      <c r="A2266" t="inlineStr">
        <is>
          <t>2023-09-20</t>
        </is>
      </c>
      <c r="B2266" t="inlineStr">
        <is>
          <t>豆油</t>
        </is>
      </c>
      <c r="C2266" t="inlineStr">
        <is>
          <t>空</t>
        </is>
      </c>
      <c r="D2266" t="n">
        <v>3</v>
      </c>
      <c r="E2266" t="n">
        <v>6</v>
      </c>
      <c r="F2266" t="inlineStr">
        <is>
          <t>不做</t>
        </is>
      </c>
      <c r="H2266" t="n">
        <v>8090</v>
      </c>
      <c r="J2266" t="n">
        <v>0</v>
      </c>
      <c r="K2266" t="inlineStr">
        <is>
          <t>组合风险已近10%，预算缩小</t>
        </is>
      </c>
    </row>
    <row r="2267">
      <c r="A2267" t="inlineStr">
        <is>
          <t>2023-09-20</t>
        </is>
      </c>
      <c r="B2267" t="inlineStr">
        <is>
          <t>沪金</t>
        </is>
      </c>
      <c r="C2267" t="inlineStr">
        <is>
          <t>多</t>
        </is>
      </c>
      <c r="D2267" t="n">
        <v>2</v>
      </c>
      <c r="E2267" t="n">
        <v>5</v>
      </c>
      <c r="F2267" t="inlineStr">
        <is>
          <t>不做</t>
        </is>
      </c>
      <c r="H2267" t="n">
        <v>471.38</v>
      </c>
      <c r="J2267" t="n">
        <v>1</v>
      </c>
      <c r="K2267" t="inlineStr">
        <is>
          <t>1手风险11846元超过预算10000元</t>
        </is>
      </c>
    </row>
    <row r="2268">
      <c r="A2268" t="inlineStr">
        <is>
          <t>2023-09-20</t>
        </is>
      </c>
      <c r="B2268" t="inlineStr">
        <is>
          <t>乙二醇</t>
        </is>
      </c>
      <c r="C2268" t="inlineStr">
        <is>
          <t>多</t>
        </is>
      </c>
      <c r="D2268" t="n">
        <v>2</v>
      </c>
      <c r="E2268" t="n">
        <v>5</v>
      </c>
      <c r="F2268" t="inlineStr">
        <is>
          <t>续持</t>
        </is>
      </c>
      <c r="G2268" t="n">
        <v>11</v>
      </c>
      <c r="H2268" t="n">
        <v>4387</v>
      </c>
      <c r="I2268" t="n">
        <v>4205.43</v>
      </c>
      <c r="J2268" t="n">
        <v>2.8</v>
      </c>
      <c r="K2268" t="inlineStr">
        <is>
          <t>续持原仓（2023-09-18开）</t>
        </is>
      </c>
    </row>
    <row r="2269">
      <c r="A2269" t="inlineStr">
        <is>
          <t>2023-09-20</t>
        </is>
      </c>
      <c r="B2269" t="inlineStr">
        <is>
          <t>沪银</t>
        </is>
      </c>
      <c r="C2269" t="inlineStr">
        <is>
          <t>多</t>
        </is>
      </c>
      <c r="D2269" t="n">
        <v>2</v>
      </c>
      <c r="E2269" t="n">
        <v>4</v>
      </c>
      <c r="F2269" t="inlineStr">
        <is>
          <t>影子仓</t>
        </is>
      </c>
      <c r="G2269" t="n">
        <v>2</v>
      </c>
      <c r="H2269" t="n">
        <v>5915</v>
      </c>
      <c r="I2269" t="n">
        <v>5657</v>
      </c>
      <c r="J2269" t="n">
        <v>1</v>
      </c>
      <c r="K2269" t="inlineStr">
        <is>
          <t>凯利≤0，开1%影子仓（只统计，不计入组合）</t>
        </is>
      </c>
    </row>
    <row r="2270">
      <c r="A2270" t="inlineStr">
        <is>
          <t>2023-09-20</t>
        </is>
      </c>
      <c r="B2270" t="inlineStr">
        <is>
          <t>尿素</t>
        </is>
      </c>
      <c r="C2270" t="inlineStr">
        <is>
          <t>多</t>
        </is>
      </c>
      <c r="D2270" t="n">
        <v>2</v>
      </c>
      <c r="E2270" t="n">
        <v>4</v>
      </c>
      <c r="F2270" t="inlineStr">
        <is>
          <t>续持</t>
        </is>
      </c>
      <c r="G2270" t="n">
        <v>1</v>
      </c>
      <c r="H2270" t="n">
        <v>2252</v>
      </c>
      <c r="I2270" t="n">
        <v>2055.07</v>
      </c>
      <c r="J2270" t="n">
        <v>1</v>
      </c>
      <c r="K2270" t="inlineStr">
        <is>
          <t>续持原仓（2023-09-18开）</t>
        </is>
      </c>
    </row>
    <row r="2271">
      <c r="A2271" t="inlineStr">
        <is>
          <t>2023-09-20</t>
        </is>
      </c>
      <c r="B2271" t="inlineStr">
        <is>
          <t>燃料油</t>
        </is>
      </c>
      <c r="C2271" t="inlineStr">
        <is>
          <t>空</t>
        </is>
      </c>
      <c r="D2271" t="n">
        <v>2</v>
      </c>
      <c r="E2271" t="n">
        <v>4</v>
      </c>
      <c r="F2271" t="inlineStr">
        <is>
          <t>影子仓</t>
        </is>
      </c>
      <c r="G2271" t="n">
        <v>4</v>
      </c>
      <c r="H2271" t="n">
        <v>3567</v>
      </c>
      <c r="I2271" t="n">
        <v>3813.43</v>
      </c>
      <c r="J2271" t="n">
        <v>1</v>
      </c>
      <c r="K2271" t="inlineStr">
        <is>
          <t>凯利≤0，开1%影子仓（只统计，不计入组合）</t>
        </is>
      </c>
    </row>
    <row r="2272">
      <c r="A2272" t="inlineStr">
        <is>
          <t>2023-09-21</t>
        </is>
      </c>
      <c r="B2272" t="inlineStr">
        <is>
          <t>豆油</t>
        </is>
      </c>
      <c r="C2272" t="inlineStr">
        <is>
          <t>空</t>
        </is>
      </c>
      <c r="D2272" t="n">
        <v>3</v>
      </c>
      <c r="E2272" t="n">
        <v>6</v>
      </c>
      <c r="F2272" t="inlineStr">
        <is>
          <t>开仓</t>
        </is>
      </c>
      <c r="G2272" t="n">
        <v>5</v>
      </c>
      <c r="H2272" t="n">
        <v>7844</v>
      </c>
      <c r="I2272" t="n">
        <v>8333</v>
      </c>
      <c r="J2272" t="n">
        <v>2.68</v>
      </c>
      <c r="K2272" t="inlineStr">
        <is>
          <t>¼凯利</t>
        </is>
      </c>
    </row>
    <row r="2273">
      <c r="A2273" t="inlineStr">
        <is>
          <t>2023-09-21</t>
        </is>
      </c>
      <c r="B2273" t="inlineStr">
        <is>
          <t>燃料油</t>
        </is>
      </c>
      <c r="C2273" t="inlineStr">
        <is>
          <t>空</t>
        </is>
      </c>
      <c r="D2273" t="n">
        <v>2</v>
      </c>
      <c r="E2273" t="n">
        <v>5</v>
      </c>
      <c r="F2273" t="inlineStr">
        <is>
          <t>续持</t>
        </is>
      </c>
      <c r="G2273" t="n">
        <v>4</v>
      </c>
      <c r="H2273" t="n">
        <v>3545</v>
      </c>
      <c r="I2273" t="n">
        <v>3778</v>
      </c>
      <c r="J2273" t="n">
        <v>1</v>
      </c>
      <c r="K2273" t="inlineStr">
        <is>
          <t>续持原仓（2023-09-20开）</t>
        </is>
      </c>
    </row>
    <row r="2274">
      <c r="A2274" t="inlineStr">
        <is>
          <t>2023-09-21</t>
        </is>
      </c>
      <c r="B2274" t="inlineStr">
        <is>
          <t>沪金</t>
        </is>
      </c>
      <c r="C2274" t="inlineStr">
        <is>
          <t>多</t>
        </is>
      </c>
      <c r="D2274" t="n">
        <v>2</v>
      </c>
      <c r="E2274" t="n">
        <v>4</v>
      </c>
      <c r="F2274" t="inlineStr">
        <is>
          <t>不做</t>
        </is>
      </c>
      <c r="H2274" t="n">
        <v>470.88</v>
      </c>
      <c r="J2274" t="n">
        <v>1</v>
      </c>
      <c r="K2274" t="inlineStr">
        <is>
          <t>1手风险12013元超过预算10000元</t>
        </is>
      </c>
    </row>
    <row r="2275">
      <c r="A2275" t="inlineStr">
        <is>
          <t>2023-09-22</t>
        </is>
      </c>
      <c r="B2275" t="inlineStr">
        <is>
          <t>沪铝</t>
        </is>
      </c>
      <c r="C2275" t="inlineStr">
        <is>
          <t>多</t>
        </is>
      </c>
      <c r="D2275" t="n">
        <v>3</v>
      </c>
      <c r="E2275" t="n">
        <v>7</v>
      </c>
      <c r="F2275" t="inlineStr">
        <is>
          <t>开仓</t>
        </is>
      </c>
      <c r="G2275" t="n">
        <v>7</v>
      </c>
      <c r="H2275" t="n">
        <v>19620</v>
      </c>
      <c r="I2275" t="n">
        <v>18945</v>
      </c>
      <c r="J2275" t="n">
        <v>2.68</v>
      </c>
      <c r="K2275" t="inlineStr">
        <is>
          <t>¼凯利</t>
        </is>
      </c>
    </row>
    <row r="2276">
      <c r="A2276" t="inlineStr">
        <is>
          <t>2023-09-22</t>
        </is>
      </c>
      <c r="B2276" t="inlineStr">
        <is>
          <t>沪镍</t>
        </is>
      </c>
      <c r="C2276" t="inlineStr">
        <is>
          <t>空</t>
        </is>
      </c>
      <c r="D2276" t="n">
        <v>2</v>
      </c>
      <c r="E2276" t="n">
        <v>5</v>
      </c>
      <c r="F2276" t="inlineStr">
        <is>
          <t>不做</t>
        </is>
      </c>
      <c r="H2276" t="n">
        <v>156660</v>
      </c>
      <c r="J2276" t="n">
        <v>1</v>
      </c>
      <c r="K2276" t="inlineStr">
        <is>
          <t>1手风险10254元超过预算10000元</t>
        </is>
      </c>
    </row>
    <row r="2277">
      <c r="A2277" t="inlineStr">
        <is>
          <t>2023-09-22</t>
        </is>
      </c>
      <c r="B2277" t="inlineStr">
        <is>
          <t>玻璃</t>
        </is>
      </c>
      <c r="C2277" t="inlineStr">
        <is>
          <t>多</t>
        </is>
      </c>
      <c r="D2277" t="n">
        <v>2</v>
      </c>
      <c r="E2277" t="n">
        <v>5</v>
      </c>
      <c r="F2277" t="inlineStr">
        <is>
          <t>影子仓</t>
        </is>
      </c>
      <c r="G2277" t="n">
        <v>2</v>
      </c>
      <c r="H2277" t="n">
        <v>1742</v>
      </c>
      <c r="I2277" t="n">
        <v>1554.07</v>
      </c>
      <c r="J2277" t="n">
        <v>1</v>
      </c>
      <c r="K2277" t="inlineStr">
        <is>
          <t>凯利≤0，开1%影子仓（只统计，不计入组合）</t>
        </is>
      </c>
    </row>
    <row r="2278">
      <c r="A2278" t="inlineStr">
        <is>
          <t>2023-09-22</t>
        </is>
      </c>
      <c r="B2278" t="inlineStr">
        <is>
          <t>乙二醇</t>
        </is>
      </c>
      <c r="C2278" t="inlineStr">
        <is>
          <t>多</t>
        </is>
      </c>
      <c r="D2278" t="n">
        <v>2</v>
      </c>
      <c r="E2278" t="n">
        <v>4</v>
      </c>
      <c r="F2278" t="inlineStr">
        <is>
          <t>观望</t>
        </is>
      </c>
      <c r="G2278" t="n">
        <v>4</v>
      </c>
      <c r="H2278" t="n">
        <v>4328</v>
      </c>
      <c r="I2278" t="n">
        <v>4105.79</v>
      </c>
      <c r="J2278" t="n">
        <v>1</v>
      </c>
      <c r="K2278" t="inlineStr">
        <is>
          <t>逆5日线（收盘在5日线下，不追多）</t>
        </is>
      </c>
    </row>
    <row r="2279">
      <c r="A2279" t="inlineStr">
        <is>
          <t>2023-09-22</t>
        </is>
      </c>
      <c r="B2279" t="inlineStr">
        <is>
          <t>尿素</t>
        </is>
      </c>
      <c r="C2279" t="inlineStr">
        <is>
          <t>多</t>
        </is>
      </c>
      <c r="D2279" t="n">
        <v>2</v>
      </c>
      <c r="E2279" t="n">
        <v>4</v>
      </c>
      <c r="F2279" t="inlineStr">
        <is>
          <t>观望</t>
        </is>
      </c>
      <c r="G2279" t="n">
        <v>2</v>
      </c>
      <c r="H2279" t="n">
        <v>2237</v>
      </c>
      <c r="I2279" t="n">
        <v>2033.21</v>
      </c>
      <c r="J2279" t="n">
        <v>1</v>
      </c>
      <c r="K2279" t="inlineStr">
        <is>
          <t>逆5日线（收盘在5日线下，不追多）</t>
        </is>
      </c>
    </row>
    <row r="2280">
      <c r="A2280" t="inlineStr">
        <is>
          <t>2023-09-22</t>
        </is>
      </c>
      <c r="B2280" t="inlineStr">
        <is>
          <t>热卷</t>
        </is>
      </c>
      <c r="C2280" t="inlineStr">
        <is>
          <t>多</t>
        </is>
      </c>
      <c r="D2280" t="n">
        <v>2</v>
      </c>
      <c r="E2280" t="n">
        <v>4</v>
      </c>
      <c r="F2280" t="inlineStr">
        <is>
          <t>观望</t>
        </is>
      </c>
      <c r="G2280" t="n">
        <v>5</v>
      </c>
      <c r="H2280" t="n">
        <v>3863</v>
      </c>
      <c r="I2280" t="n">
        <v>3692</v>
      </c>
      <c r="J2280" t="n">
        <v>1</v>
      </c>
      <c r="K2280" t="inlineStr">
        <is>
          <t>逆5日线（收盘在5日线下，不追多）</t>
        </is>
      </c>
    </row>
    <row r="2281">
      <c r="A2281" t="inlineStr">
        <is>
          <t>2023-09-25</t>
        </is>
      </c>
      <c r="B2281" t="inlineStr">
        <is>
          <t>棕榈油</t>
        </is>
      </c>
      <c r="C2281" t="inlineStr">
        <is>
          <t>空</t>
        </is>
      </c>
      <c r="D2281" t="n">
        <v>3</v>
      </c>
      <c r="E2281" t="n">
        <v>6</v>
      </c>
      <c r="F2281" t="inlineStr">
        <is>
          <t>不做</t>
        </is>
      </c>
      <c r="H2281" t="n">
        <v>7214</v>
      </c>
      <c r="J2281" t="n">
        <v>0.23</v>
      </c>
      <c r="K2281" t="inlineStr">
        <is>
          <t>组合风险已近10%，预算缩小</t>
        </is>
      </c>
    </row>
    <row r="2282">
      <c r="A2282" t="inlineStr">
        <is>
          <t>2023-09-25</t>
        </is>
      </c>
      <c r="B2282" t="inlineStr">
        <is>
          <t>沪金</t>
        </is>
      </c>
      <c r="C2282" t="inlineStr">
        <is>
          <t>多</t>
        </is>
      </c>
      <c r="D2282" t="n">
        <v>2</v>
      </c>
      <c r="E2282" t="n">
        <v>5</v>
      </c>
      <c r="F2282" t="inlineStr">
        <is>
          <t>不做</t>
        </is>
      </c>
      <c r="H2282" t="n">
        <v>471.48</v>
      </c>
      <c r="J2282" t="n">
        <v>1</v>
      </c>
      <c r="K2282" t="inlineStr">
        <is>
          <t>1手风险11953元超过预算10000元</t>
        </is>
      </c>
    </row>
    <row r="2283">
      <c r="A2283" t="inlineStr">
        <is>
          <t>2023-09-25</t>
        </is>
      </c>
      <c r="B2283" t="inlineStr">
        <is>
          <t>沪铝</t>
        </is>
      </c>
      <c r="C2283" t="inlineStr">
        <is>
          <t>多</t>
        </is>
      </c>
      <c r="D2283" t="n">
        <v>2</v>
      </c>
      <c r="E2283" t="n">
        <v>4</v>
      </c>
      <c r="F2283" t="inlineStr">
        <is>
          <t>续持</t>
        </is>
      </c>
      <c r="G2283" t="n">
        <v>7</v>
      </c>
      <c r="H2283" t="n">
        <v>19335</v>
      </c>
      <c r="I2283" t="n">
        <v>18830</v>
      </c>
      <c r="J2283" t="n">
        <v>2.68</v>
      </c>
      <c r="K2283" t="inlineStr">
        <is>
          <t>续持原仓（2023-09-22开）</t>
        </is>
      </c>
    </row>
    <row r="2284">
      <c r="A2284" t="inlineStr">
        <is>
          <t>2023-09-26</t>
        </is>
      </c>
      <c r="B2284" t="inlineStr">
        <is>
          <t>沪铜</t>
        </is>
      </c>
      <c r="C2284" t="inlineStr">
        <is>
          <t>空</t>
        </is>
      </c>
      <c r="D2284" t="n">
        <v>3</v>
      </c>
      <c r="E2284" t="n">
        <v>6</v>
      </c>
      <c r="F2284" t="inlineStr">
        <is>
          <t>开仓</t>
        </is>
      </c>
      <c r="G2284" t="n">
        <v>1</v>
      </c>
      <c r="H2284" t="n">
        <v>67190</v>
      </c>
      <c r="I2284" t="n">
        <v>68906.42999999999</v>
      </c>
      <c r="J2284" t="n">
        <v>1.64</v>
      </c>
      <c r="K2284" t="inlineStr">
        <is>
          <t>组合风险已近10%，预算缩小</t>
        </is>
      </c>
    </row>
    <row r="2285">
      <c r="A2285" t="inlineStr">
        <is>
          <t>2023-09-26</t>
        </is>
      </c>
      <c r="B2285" t="inlineStr">
        <is>
          <t>沪金</t>
        </is>
      </c>
      <c r="C2285" t="inlineStr">
        <is>
          <t>多</t>
        </is>
      </c>
      <c r="D2285" t="n">
        <v>2</v>
      </c>
      <c r="E2285" t="n">
        <v>5</v>
      </c>
      <c r="F2285" t="inlineStr">
        <is>
          <t>观望</t>
        </is>
      </c>
      <c r="H2285" t="n">
        <v>470.6</v>
      </c>
      <c r="J2285" t="n">
        <v>1</v>
      </c>
      <c r="K2285" t="inlineStr">
        <is>
          <t>逆5日线（收盘在5日线下，不追多）</t>
        </is>
      </c>
    </row>
    <row r="2286">
      <c r="A2286" t="inlineStr">
        <is>
          <t>2023-09-27</t>
        </is>
      </c>
      <c r="B2286" t="inlineStr">
        <is>
          <t>PVC</t>
        </is>
      </c>
      <c r="C2286" t="inlineStr">
        <is>
          <t>空</t>
        </is>
      </c>
      <c r="D2286" t="n">
        <v>2</v>
      </c>
      <c r="E2286" t="n">
        <v>5</v>
      </c>
      <c r="F2286" t="inlineStr">
        <is>
          <t>影子仓</t>
        </is>
      </c>
      <c r="G2286" t="n">
        <v>6</v>
      </c>
      <c r="H2286" t="n">
        <v>6117</v>
      </c>
      <c r="I2286" t="n">
        <v>6436.93</v>
      </c>
      <c r="J2286" t="n">
        <v>1</v>
      </c>
      <c r="K2286" t="inlineStr">
        <is>
          <t>凯利≤0，开1%影子仓（只统计，不计入组合）</t>
        </is>
      </c>
    </row>
    <row r="2287">
      <c r="A2287" t="inlineStr">
        <is>
          <t>2023-09-28</t>
        </is>
      </c>
      <c r="B2287" t="inlineStr">
        <is>
          <t>沪锌</t>
        </is>
      </c>
      <c r="C2287" t="inlineStr">
        <is>
          <t>空</t>
        </is>
      </c>
      <c r="D2287" t="n">
        <v>2</v>
      </c>
      <c r="E2287" t="n">
        <v>4</v>
      </c>
      <c r="F2287" t="inlineStr">
        <is>
          <t>影子仓</t>
        </is>
      </c>
      <c r="G2287" t="n">
        <v>1</v>
      </c>
      <c r="H2287" t="n">
        <v>21570</v>
      </c>
      <c r="I2287" t="n">
        <v>22640.36</v>
      </c>
      <c r="J2287" t="n">
        <v>1</v>
      </c>
      <c r="K2287" t="inlineStr">
        <is>
          <t>凯利≤0，开1%影子仓（只统计，不计入组合）</t>
        </is>
      </c>
    </row>
    <row r="2288">
      <c r="A2288" t="inlineStr">
        <is>
          <t>2023-09-28</t>
        </is>
      </c>
      <c r="B2288" t="inlineStr">
        <is>
          <t>纯碱</t>
        </is>
      </c>
      <c r="C2288" t="inlineStr">
        <is>
          <t>空</t>
        </is>
      </c>
      <c r="D2288" t="n">
        <v>2</v>
      </c>
      <c r="E2288" t="n">
        <v>4</v>
      </c>
      <c r="F2288" t="inlineStr">
        <is>
          <t>影子仓</t>
        </is>
      </c>
      <c r="G2288" t="n">
        <v>2</v>
      </c>
      <c r="H2288" t="n">
        <v>1740</v>
      </c>
      <c r="I2288" t="n">
        <v>1945.93</v>
      </c>
      <c r="J2288" t="n">
        <v>1</v>
      </c>
      <c r="K2288" t="inlineStr">
        <is>
          <t>凯利≤0，开1%影子仓（只统计，不计入组合）</t>
        </is>
      </c>
    </row>
    <row r="2289">
      <c r="A2289" t="inlineStr">
        <is>
          <t>2023-09-28</t>
        </is>
      </c>
      <c r="B2289" t="inlineStr">
        <is>
          <t>棕榈油</t>
        </is>
      </c>
      <c r="C2289" t="inlineStr">
        <is>
          <t>空</t>
        </is>
      </c>
      <c r="D2289" t="n">
        <v>2</v>
      </c>
      <c r="E2289" t="n">
        <v>4</v>
      </c>
      <c r="F2289" t="inlineStr">
        <is>
          <t>观望</t>
        </is>
      </c>
      <c r="G2289" t="n">
        <v>2</v>
      </c>
      <c r="H2289" t="n">
        <v>7468</v>
      </c>
      <c r="I2289" t="n">
        <v>7900.43</v>
      </c>
      <c r="J2289" t="n">
        <v>1</v>
      </c>
      <c r="K2289" t="inlineStr">
        <is>
          <t>逆5日线（收盘在5日线上，不追空）</t>
        </is>
      </c>
    </row>
    <row r="2290">
      <c r="A2290" t="inlineStr">
        <is>
          <t>2023-10-09</t>
        </is>
      </c>
      <c r="B2290" t="inlineStr">
        <is>
          <t>PVC</t>
        </is>
      </c>
      <c r="C2290" t="inlineStr">
        <is>
          <t>空</t>
        </is>
      </c>
      <c r="D2290" t="n">
        <v>3</v>
      </c>
      <c r="E2290" t="n">
        <v>7</v>
      </c>
      <c r="F2290" t="inlineStr">
        <is>
          <t>开仓</t>
        </is>
      </c>
      <c r="G2290" t="n">
        <v>15</v>
      </c>
      <c r="H2290" t="n">
        <v>6008</v>
      </c>
      <c r="I2290" t="n">
        <v>6338</v>
      </c>
      <c r="J2290" t="n">
        <v>2.51</v>
      </c>
      <c r="K2290" t="inlineStr">
        <is>
          <t>¼凯利</t>
        </is>
      </c>
    </row>
    <row r="2291">
      <c r="A2291" t="inlineStr">
        <is>
          <t>2023-10-09</t>
        </is>
      </c>
      <c r="B2291" t="inlineStr">
        <is>
          <t>沪镍</t>
        </is>
      </c>
      <c r="C2291" t="inlineStr">
        <is>
          <t>空</t>
        </is>
      </c>
      <c r="D2291" t="n">
        <v>3</v>
      </c>
      <c r="E2291" t="n">
        <v>7</v>
      </c>
      <c r="F2291" t="inlineStr">
        <is>
          <t>开仓</t>
        </is>
      </c>
      <c r="G2291" t="n">
        <v>1</v>
      </c>
      <c r="H2291" t="n">
        <v>150990</v>
      </c>
      <c r="I2291" t="n">
        <v>161588.57</v>
      </c>
      <c r="J2291" t="n">
        <v>1.81</v>
      </c>
      <c r="K2291" t="inlineStr">
        <is>
          <t>组合风险已近10%，预算缩小</t>
        </is>
      </c>
    </row>
    <row r="2292">
      <c r="A2292" t="inlineStr">
        <is>
          <t>2023-10-09</t>
        </is>
      </c>
      <c r="B2292" t="inlineStr">
        <is>
          <t>纯碱</t>
        </is>
      </c>
      <c r="C2292" t="inlineStr">
        <is>
          <t>空</t>
        </is>
      </c>
      <c r="D2292" t="n">
        <v>2</v>
      </c>
      <c r="E2292" t="n">
        <v>4</v>
      </c>
      <c r="F2292" t="inlineStr">
        <is>
          <t>续持</t>
        </is>
      </c>
      <c r="G2292" t="n">
        <v>2</v>
      </c>
      <c r="H2292" t="n">
        <v>1748</v>
      </c>
      <c r="I2292" t="n">
        <v>1918</v>
      </c>
      <c r="J2292" t="n">
        <v>1</v>
      </c>
      <c r="K2292" t="inlineStr">
        <is>
          <t>续持原仓（2023-09-28开）</t>
        </is>
      </c>
    </row>
    <row r="2293">
      <c r="A2293" t="inlineStr">
        <is>
          <t>2023-10-09</t>
        </is>
      </c>
      <c r="B2293" t="inlineStr">
        <is>
          <t>棉花</t>
        </is>
      </c>
      <c r="C2293" t="inlineStr">
        <is>
          <t>空</t>
        </is>
      </c>
      <c r="D2293" t="n">
        <v>2</v>
      </c>
      <c r="E2293" t="n">
        <v>4</v>
      </c>
      <c r="F2293" t="inlineStr">
        <is>
          <t>观望</t>
        </is>
      </c>
      <c r="G2293" t="n">
        <v>2</v>
      </c>
      <c r="H2293" t="n">
        <v>17600</v>
      </c>
      <c r="I2293" t="n">
        <v>18411.07</v>
      </c>
      <c r="J2293" t="n">
        <v>1</v>
      </c>
      <c r="K2293" t="inlineStr">
        <is>
          <t>逆5日线（收盘在5日线上，不追空）</t>
        </is>
      </c>
    </row>
    <row r="2294">
      <c r="A2294" t="inlineStr">
        <is>
          <t>2023-10-10</t>
        </is>
      </c>
      <c r="B2294" t="inlineStr">
        <is>
          <t>PVC</t>
        </is>
      </c>
      <c r="C2294" t="inlineStr">
        <is>
          <t>空</t>
        </is>
      </c>
      <c r="D2294" t="n">
        <v>3</v>
      </c>
      <c r="E2294" t="n">
        <v>7</v>
      </c>
      <c r="F2294" t="inlineStr">
        <is>
          <t>续持</t>
        </is>
      </c>
      <c r="G2294" t="n">
        <v>15</v>
      </c>
      <c r="H2294" t="n">
        <v>5909</v>
      </c>
      <c r="I2294" t="n">
        <v>6243.43</v>
      </c>
      <c r="J2294" t="n">
        <v>2.51</v>
      </c>
      <c r="K2294" t="inlineStr">
        <is>
          <t>续持原仓（2023-10-09开）</t>
        </is>
      </c>
    </row>
    <row r="2295">
      <c r="A2295" t="inlineStr">
        <is>
          <t>2023-10-10</t>
        </is>
      </c>
      <c r="B2295" t="inlineStr">
        <is>
          <t>棕榈油</t>
        </is>
      </c>
      <c r="C2295" t="inlineStr">
        <is>
          <t>空</t>
        </is>
      </c>
      <c r="D2295" t="n">
        <v>3</v>
      </c>
      <c r="E2295" t="n">
        <v>7</v>
      </c>
      <c r="F2295" t="inlineStr">
        <is>
          <t>不做</t>
        </is>
      </c>
      <c r="H2295" t="n">
        <v>7076</v>
      </c>
      <c r="J2295" t="n">
        <v>0.32</v>
      </c>
      <c r="K2295" t="inlineStr">
        <is>
          <t>1手风险4727元超过预算3200元</t>
        </is>
      </c>
    </row>
    <row r="2296">
      <c r="A2296" t="inlineStr">
        <is>
          <t>2023-10-10</t>
        </is>
      </c>
      <c r="B2296" t="inlineStr">
        <is>
          <t>锰硅</t>
        </is>
      </c>
      <c r="C2296" t="inlineStr">
        <is>
          <t>空</t>
        </is>
      </c>
      <c r="D2296" t="n">
        <v>2</v>
      </c>
      <c r="E2296" t="n">
        <v>4</v>
      </c>
      <c r="F2296" t="inlineStr">
        <is>
          <t>影子仓</t>
        </is>
      </c>
      <c r="G2296" t="n">
        <v>4</v>
      </c>
      <c r="H2296" t="n">
        <v>6784</v>
      </c>
      <c r="I2296" t="n">
        <v>7193.29</v>
      </c>
      <c r="J2296" t="n">
        <v>1</v>
      </c>
      <c r="K2296" t="inlineStr">
        <is>
          <t>凯利≤0，开1%影子仓（只统计，不计入组合）</t>
        </is>
      </c>
    </row>
    <row r="2297">
      <c r="A2297" t="inlineStr">
        <is>
          <t>2023-10-11</t>
        </is>
      </c>
      <c r="B2297" t="inlineStr">
        <is>
          <t>PVC</t>
        </is>
      </c>
      <c r="C2297" t="inlineStr">
        <is>
          <t>空</t>
        </is>
      </c>
      <c r="D2297" t="n">
        <v>2</v>
      </c>
      <c r="E2297" t="n">
        <v>5</v>
      </c>
      <c r="F2297" t="inlineStr">
        <is>
          <t>续持</t>
        </is>
      </c>
      <c r="G2297" t="n">
        <v>15</v>
      </c>
      <c r="H2297" t="n">
        <v>5930</v>
      </c>
      <c r="I2297" t="n">
        <v>6187.21</v>
      </c>
      <c r="J2297" t="n">
        <v>2.51</v>
      </c>
      <c r="K2297" t="inlineStr">
        <is>
          <t>续持原仓（2023-10-09开）</t>
        </is>
      </c>
    </row>
    <row r="2298">
      <c r="A2298" t="inlineStr">
        <is>
          <t>2023-10-11</t>
        </is>
      </c>
      <c r="B2298" t="inlineStr">
        <is>
          <t>沪铝</t>
        </is>
      </c>
      <c r="C2298" t="inlineStr">
        <is>
          <t>多</t>
        </is>
      </c>
      <c r="D2298" t="n">
        <v>2</v>
      </c>
      <c r="E2298" t="n">
        <v>5</v>
      </c>
      <c r="F2298" t="inlineStr">
        <is>
          <t>观望</t>
        </is>
      </c>
      <c r="G2298" t="n">
        <v>2</v>
      </c>
      <c r="H2298" t="n">
        <v>19110</v>
      </c>
      <c r="I2298" t="n">
        <v>18422.14</v>
      </c>
      <c r="J2298" t="n">
        <v>1</v>
      </c>
      <c r="K2298" t="inlineStr">
        <is>
          <t>逆5日线（收盘在5日线下，不追多）</t>
        </is>
      </c>
    </row>
    <row r="2299">
      <c r="A2299" t="inlineStr">
        <is>
          <t>2023-10-11</t>
        </is>
      </c>
      <c r="B2299" t="inlineStr">
        <is>
          <t>棕榈油</t>
        </is>
      </c>
      <c r="C2299" t="inlineStr">
        <is>
          <t>空</t>
        </is>
      </c>
      <c r="D2299" t="n">
        <v>2</v>
      </c>
      <c r="E2299" t="n">
        <v>5</v>
      </c>
      <c r="F2299" t="inlineStr">
        <is>
          <t>影子仓</t>
        </is>
      </c>
      <c r="G2299" t="n">
        <v>2</v>
      </c>
      <c r="H2299" t="n">
        <v>7086</v>
      </c>
      <c r="I2299" t="n">
        <v>7553.14</v>
      </c>
      <c r="J2299" t="n">
        <v>1</v>
      </c>
      <c r="K2299" t="inlineStr">
        <is>
          <t>凯利≤0，开1%影子仓（只统计，不计入组合）</t>
        </is>
      </c>
    </row>
    <row r="2300">
      <c r="A2300" t="inlineStr">
        <is>
          <t>2023-10-12</t>
        </is>
      </c>
      <c r="B2300" t="inlineStr">
        <is>
          <t>PVC</t>
        </is>
      </c>
      <c r="C2300" t="inlineStr">
        <is>
          <t>空</t>
        </is>
      </c>
      <c r="D2300" t="n">
        <v>3</v>
      </c>
      <c r="E2300" t="n">
        <v>6</v>
      </c>
      <c r="F2300" t="inlineStr">
        <is>
          <t>续持</t>
        </is>
      </c>
      <c r="G2300" t="n">
        <v>15</v>
      </c>
      <c r="H2300" t="n">
        <v>5968</v>
      </c>
      <c r="I2300" t="n">
        <v>6181.43</v>
      </c>
      <c r="J2300" t="n">
        <v>2.51</v>
      </c>
      <c r="K2300" t="inlineStr">
        <is>
          <t>续持原仓（2023-10-09开）</t>
        </is>
      </c>
    </row>
    <row r="2301">
      <c r="A2301" t="inlineStr">
        <is>
          <t>2023-10-12</t>
        </is>
      </c>
      <c r="B2301" t="inlineStr">
        <is>
          <t>菜粕</t>
        </is>
      </c>
      <c r="C2301" t="inlineStr">
        <is>
          <t>空</t>
        </is>
      </c>
      <c r="D2301" t="n">
        <v>2</v>
      </c>
      <c r="E2301" t="n">
        <v>4</v>
      </c>
      <c r="F2301" t="inlineStr">
        <is>
          <t>影子仓</t>
        </is>
      </c>
      <c r="G2301" t="n">
        <v>3</v>
      </c>
      <c r="H2301" t="n">
        <v>2888</v>
      </c>
      <c r="I2301" t="n">
        <v>3144.71</v>
      </c>
      <c r="J2301" t="n">
        <v>1</v>
      </c>
      <c r="K2301" t="inlineStr">
        <is>
          <t>凯利≤0，开1%影子仓（只统计，不计入组合）</t>
        </is>
      </c>
    </row>
    <row r="2302">
      <c r="A2302" t="inlineStr">
        <is>
          <t>2023-10-13</t>
        </is>
      </c>
      <c r="B2302" t="inlineStr">
        <is>
          <t>PVC</t>
        </is>
      </c>
      <c r="C2302" t="inlineStr">
        <is>
          <t>空</t>
        </is>
      </c>
      <c r="D2302" t="n">
        <v>3</v>
      </c>
      <c r="E2302" t="n">
        <v>6</v>
      </c>
      <c r="F2302" t="inlineStr">
        <is>
          <t>观望</t>
        </is>
      </c>
      <c r="G2302" t="n">
        <v>3</v>
      </c>
      <c r="H2302" t="n">
        <v>5955</v>
      </c>
      <c r="I2302" t="n">
        <v>6262.29</v>
      </c>
      <c r="J2302" t="n">
        <v>0.49</v>
      </c>
      <c r="K2302" t="inlineStr">
        <is>
          <t>逆5日线（收盘在5日线上，不追空）</t>
        </is>
      </c>
    </row>
    <row r="2303">
      <c r="A2303" t="inlineStr">
        <is>
          <t>2023-10-13</t>
        </is>
      </c>
      <c r="B2303" t="inlineStr">
        <is>
          <t>沪铜</t>
        </is>
      </c>
      <c r="C2303" t="inlineStr">
        <is>
          <t>空</t>
        </is>
      </c>
      <c r="D2303" t="n">
        <v>3</v>
      </c>
      <c r="E2303" t="n">
        <v>6</v>
      </c>
      <c r="F2303" t="inlineStr">
        <is>
          <t>开仓</t>
        </is>
      </c>
      <c r="G2303" t="n">
        <v>2</v>
      </c>
      <c r="H2303" t="n">
        <v>66470</v>
      </c>
      <c r="I2303" t="n">
        <v>68368.57000000001</v>
      </c>
      <c r="J2303" t="n">
        <v>2.46</v>
      </c>
      <c r="K2303" t="inlineStr">
        <is>
          <t>¼凯利</t>
        </is>
      </c>
    </row>
    <row r="2304">
      <c r="A2304" t="inlineStr">
        <is>
          <t>2023-10-13</t>
        </is>
      </c>
      <c r="B2304" t="inlineStr">
        <is>
          <t>锰硅</t>
        </is>
      </c>
      <c r="C2304" t="inlineStr">
        <is>
          <t>空</t>
        </is>
      </c>
      <c r="D2304" t="n">
        <v>2</v>
      </c>
      <c r="E2304" t="n">
        <v>5</v>
      </c>
      <c r="F2304" t="inlineStr">
        <is>
          <t>续持</t>
        </is>
      </c>
      <c r="G2304" t="n">
        <v>4</v>
      </c>
      <c r="H2304" t="n">
        <v>6666</v>
      </c>
      <c r="I2304" t="n">
        <v>7028.71</v>
      </c>
      <c r="J2304" t="n">
        <v>1</v>
      </c>
      <c r="K2304" t="inlineStr">
        <is>
          <t>续持原仓（2023-10-10开）</t>
        </is>
      </c>
    </row>
    <row r="2305">
      <c r="A2305" t="inlineStr">
        <is>
          <t>2023-10-13</t>
        </is>
      </c>
      <c r="B2305" t="inlineStr">
        <is>
          <t>沪镍</t>
        </is>
      </c>
      <c r="C2305" t="inlineStr">
        <is>
          <t>空</t>
        </is>
      </c>
      <c r="D2305" t="n">
        <v>2</v>
      </c>
      <c r="E2305" t="n">
        <v>4</v>
      </c>
      <c r="F2305" t="inlineStr">
        <is>
          <t>不做</t>
        </is>
      </c>
      <c r="H2305" t="n">
        <v>151220</v>
      </c>
      <c r="J2305" t="n">
        <v>1</v>
      </c>
      <c r="K2305" t="inlineStr">
        <is>
          <t>1手风险10903元超过预算10000元</t>
        </is>
      </c>
    </row>
    <row r="2306">
      <c r="A2306" t="inlineStr">
        <is>
          <t>2023-10-13</t>
        </is>
      </c>
      <c r="B2306" t="inlineStr">
        <is>
          <t>豆油</t>
        </is>
      </c>
      <c r="C2306" t="inlineStr">
        <is>
          <t>多</t>
        </is>
      </c>
      <c r="D2306" t="n">
        <v>2</v>
      </c>
      <c r="E2306" t="n">
        <v>4</v>
      </c>
      <c r="F2306" t="inlineStr">
        <is>
          <t>影子仓</t>
        </is>
      </c>
      <c r="G2306" t="n">
        <v>2</v>
      </c>
      <c r="H2306" t="n">
        <v>8022</v>
      </c>
      <c r="I2306" t="n">
        <v>7563.43</v>
      </c>
      <c r="J2306" t="n">
        <v>1</v>
      </c>
      <c r="K2306" t="inlineStr">
        <is>
          <t>凯利≤0，开1%影子仓（只统计，不计入组合）</t>
        </is>
      </c>
    </row>
    <row r="2307">
      <c r="A2307" t="inlineStr">
        <is>
          <t>2023-10-16</t>
        </is>
      </c>
      <c r="B2307" t="inlineStr">
        <is>
          <t>PVC</t>
        </is>
      </c>
      <c r="C2307" t="inlineStr">
        <is>
          <t>空</t>
        </is>
      </c>
      <c r="D2307" t="n">
        <v>3</v>
      </c>
      <c r="E2307" t="n">
        <v>6</v>
      </c>
      <c r="F2307" t="inlineStr">
        <is>
          <t>观望</t>
        </is>
      </c>
      <c r="G2307" t="n">
        <v>3</v>
      </c>
      <c r="H2307" t="n">
        <v>5973</v>
      </c>
      <c r="I2307" t="n">
        <v>6271.5</v>
      </c>
      <c r="J2307" t="n">
        <v>0.49</v>
      </c>
      <c r="K2307" t="inlineStr">
        <is>
          <t>逆5日线（收盘在5日线上，不追空）</t>
        </is>
      </c>
    </row>
    <row r="2308">
      <c r="A2308" t="inlineStr">
        <is>
          <t>2023-10-16</t>
        </is>
      </c>
      <c r="B2308" t="inlineStr">
        <is>
          <t>沪铜</t>
        </is>
      </c>
      <c r="C2308" t="inlineStr">
        <is>
          <t>空</t>
        </is>
      </c>
      <c r="D2308" t="n">
        <v>2</v>
      </c>
      <c r="E2308" t="n">
        <v>5</v>
      </c>
      <c r="F2308" t="inlineStr">
        <is>
          <t>续持</t>
        </is>
      </c>
      <c r="G2308" t="n">
        <v>2</v>
      </c>
      <c r="H2308" t="n">
        <v>66630</v>
      </c>
      <c r="I2308" t="n">
        <v>67829.28999999999</v>
      </c>
      <c r="J2308" t="n">
        <v>2.46</v>
      </c>
      <c r="K2308" t="inlineStr">
        <is>
          <t>续持原仓（2023-10-13开）</t>
        </is>
      </c>
    </row>
    <row r="2309">
      <c r="A2309" t="inlineStr">
        <is>
          <t>2023-10-16</t>
        </is>
      </c>
      <c r="B2309" t="inlineStr">
        <is>
          <t>纸浆</t>
        </is>
      </c>
      <c r="C2309" t="inlineStr">
        <is>
          <t>多</t>
        </is>
      </c>
      <c r="D2309" t="n">
        <v>2</v>
      </c>
      <c r="E2309" t="n">
        <v>5</v>
      </c>
      <c r="F2309" t="inlineStr">
        <is>
          <t>影子仓</t>
        </is>
      </c>
      <c r="G2309" t="n">
        <v>2</v>
      </c>
      <c r="H2309" t="n">
        <v>6324</v>
      </c>
      <c r="I2309" t="n">
        <v>5975.57</v>
      </c>
      <c r="J2309" t="n">
        <v>1</v>
      </c>
      <c r="K2309" t="inlineStr">
        <is>
          <t>凯利≤0，开1%影子仓（只统计，不计入组合）</t>
        </is>
      </c>
    </row>
    <row r="2310">
      <c r="A2310" t="inlineStr">
        <is>
          <t>2023-10-16</t>
        </is>
      </c>
      <c r="B2310" t="inlineStr">
        <is>
          <t>玉米</t>
        </is>
      </c>
      <c r="C2310" t="inlineStr">
        <is>
          <t>空</t>
        </is>
      </c>
      <c r="D2310" t="n">
        <v>2</v>
      </c>
      <c r="E2310" t="n">
        <v>4</v>
      </c>
      <c r="F2310" t="inlineStr">
        <is>
          <t>影子仓</t>
        </is>
      </c>
      <c r="G2310" t="n">
        <v>14</v>
      </c>
      <c r="H2310" t="n">
        <v>2527</v>
      </c>
      <c r="I2310" t="n">
        <v>2594.93</v>
      </c>
      <c r="J2310" t="n">
        <v>1</v>
      </c>
      <c r="K2310" t="inlineStr">
        <is>
          <t>凯利≤0，开1%影子仓（只统计，不计入组合）</t>
        </is>
      </c>
    </row>
    <row r="2311">
      <c r="A2311" t="inlineStr">
        <is>
          <t>2023-10-16</t>
        </is>
      </c>
      <c r="B2311" t="inlineStr">
        <is>
          <t>纯碱</t>
        </is>
      </c>
      <c r="C2311" t="inlineStr">
        <is>
          <t>多</t>
        </is>
      </c>
      <c r="D2311" t="n">
        <v>2</v>
      </c>
      <c r="E2311" t="n">
        <v>4</v>
      </c>
      <c r="F2311" t="inlineStr">
        <is>
          <t>影子仓</t>
        </is>
      </c>
      <c r="G2311" t="n">
        <v>2</v>
      </c>
      <c r="H2311" t="n">
        <v>1742</v>
      </c>
      <c r="I2311" t="n">
        <v>1554.29</v>
      </c>
      <c r="J2311" t="n">
        <v>1</v>
      </c>
      <c r="K2311" t="inlineStr">
        <is>
          <t>凯利≤0，开1%影子仓（只统计，不计入组合）</t>
        </is>
      </c>
    </row>
    <row r="2312">
      <c r="A2312" t="inlineStr">
        <is>
          <t>2023-10-17</t>
        </is>
      </c>
      <c r="B2312" t="inlineStr">
        <is>
          <t>沪铜</t>
        </is>
      </c>
      <c r="C2312" t="inlineStr">
        <is>
          <t>空</t>
        </is>
      </c>
      <c r="D2312" t="n">
        <v>3</v>
      </c>
      <c r="E2312" t="n">
        <v>6</v>
      </c>
      <c r="F2312" t="inlineStr">
        <is>
          <t>续持</t>
        </is>
      </c>
      <c r="G2312" t="n">
        <v>2</v>
      </c>
      <c r="H2312" t="n">
        <v>65880</v>
      </c>
      <c r="I2312" t="n">
        <v>67806.42999999999</v>
      </c>
      <c r="J2312" t="n">
        <v>2.46</v>
      </c>
      <c r="K2312" t="inlineStr">
        <is>
          <t>续持原仓（2023-10-13开）</t>
        </is>
      </c>
    </row>
    <row r="2313">
      <c r="A2313" t="inlineStr">
        <is>
          <t>2023-10-17</t>
        </is>
      </c>
      <c r="B2313" t="inlineStr">
        <is>
          <t>豆油</t>
        </is>
      </c>
      <c r="C2313" t="inlineStr">
        <is>
          <t>多</t>
        </is>
      </c>
      <c r="D2313" t="n">
        <v>2</v>
      </c>
      <c r="E2313" t="n">
        <v>5</v>
      </c>
      <c r="F2313" t="inlineStr">
        <is>
          <t>续持</t>
        </is>
      </c>
      <c r="G2313" t="n">
        <v>2</v>
      </c>
      <c r="H2313" t="n">
        <v>8068</v>
      </c>
      <c r="I2313" t="n">
        <v>7673.71</v>
      </c>
      <c r="J2313" t="n">
        <v>1</v>
      </c>
      <c r="K2313" t="inlineStr">
        <is>
          <t>续持原仓（2023-10-13开）</t>
        </is>
      </c>
    </row>
    <row r="2314">
      <c r="A2314" t="inlineStr">
        <is>
          <t>2023-10-17</t>
        </is>
      </c>
      <c r="B2314" t="inlineStr">
        <is>
          <t>白糖</t>
        </is>
      </c>
      <c r="C2314" t="inlineStr">
        <is>
          <t>空</t>
        </is>
      </c>
      <c r="D2314" t="n">
        <v>2</v>
      </c>
      <c r="E2314" t="n">
        <v>4</v>
      </c>
      <c r="F2314" t="inlineStr">
        <is>
          <t>影子仓</t>
        </is>
      </c>
      <c r="G2314" t="n">
        <v>3</v>
      </c>
      <c r="H2314" t="n">
        <v>6790</v>
      </c>
      <c r="I2314" t="n">
        <v>7052.29</v>
      </c>
      <c r="J2314" t="n">
        <v>1</v>
      </c>
      <c r="K2314" t="inlineStr">
        <is>
          <t>凯利≤0，开1%影子仓（只统计，不计入组合）</t>
        </is>
      </c>
    </row>
    <row r="2315">
      <c r="A2315" t="inlineStr">
        <is>
          <t>2023-10-18</t>
        </is>
      </c>
      <c r="B2315" t="inlineStr">
        <is>
          <t>PVC</t>
        </is>
      </c>
      <c r="C2315" t="inlineStr">
        <is>
          <t>空</t>
        </is>
      </c>
      <c r="D2315" t="n">
        <v>3</v>
      </c>
      <c r="E2315" t="n">
        <v>6</v>
      </c>
      <c r="F2315" t="inlineStr">
        <is>
          <t>开仓</t>
        </is>
      </c>
      <c r="G2315" t="n">
        <v>17</v>
      </c>
      <c r="H2315" t="n">
        <v>5872</v>
      </c>
      <c r="I2315" t="n">
        <v>6152.71</v>
      </c>
      <c r="J2315" t="n">
        <v>2.44</v>
      </c>
      <c r="K2315" t="inlineStr">
        <is>
          <t>¼凯利</t>
        </is>
      </c>
    </row>
    <row r="2316">
      <c r="A2316" t="inlineStr">
        <is>
          <t>2023-10-18</t>
        </is>
      </c>
      <c r="B2316" t="inlineStr">
        <is>
          <t>塑料</t>
        </is>
      </c>
      <c r="C2316" t="inlineStr">
        <is>
          <t>空</t>
        </is>
      </c>
      <c r="D2316" t="n">
        <v>2</v>
      </c>
      <c r="E2316" t="n">
        <v>5</v>
      </c>
      <c r="F2316" t="inlineStr">
        <is>
          <t>影子仓</t>
        </is>
      </c>
      <c r="G2316" t="n">
        <v>7</v>
      </c>
      <c r="H2316" t="n">
        <v>7931</v>
      </c>
      <c r="I2316" t="n">
        <v>8189.21</v>
      </c>
      <c r="J2316" t="n">
        <v>1</v>
      </c>
      <c r="K2316" t="inlineStr">
        <is>
          <t>凯利≤0，开1%影子仓（只统计，不计入组合）</t>
        </is>
      </c>
    </row>
    <row r="2317">
      <c r="A2317" t="inlineStr">
        <is>
          <t>2023-10-18</t>
        </is>
      </c>
      <c r="B2317" t="inlineStr">
        <is>
          <t>聚丙烯</t>
        </is>
      </c>
      <c r="C2317" t="inlineStr">
        <is>
          <t>空</t>
        </is>
      </c>
      <c r="D2317" t="n">
        <v>2</v>
      </c>
      <c r="E2317" t="n">
        <v>5</v>
      </c>
      <c r="F2317" t="inlineStr">
        <is>
          <t>影子仓</t>
        </is>
      </c>
      <c r="G2317" t="n">
        <v>6</v>
      </c>
      <c r="H2317" t="n">
        <v>7421</v>
      </c>
      <c r="I2317" t="n">
        <v>7720.36</v>
      </c>
      <c r="J2317" t="n">
        <v>1</v>
      </c>
      <c r="K2317" t="inlineStr">
        <is>
          <t>凯利≤0，开1%影子仓（只统计，不计入组合）</t>
        </is>
      </c>
    </row>
    <row r="2318">
      <c r="A2318" t="inlineStr">
        <is>
          <t>2023-10-18</t>
        </is>
      </c>
      <c r="B2318" t="inlineStr">
        <is>
          <t>PTA</t>
        </is>
      </c>
      <c r="C2318" t="inlineStr">
        <is>
          <t>空</t>
        </is>
      </c>
      <c r="D2318" t="n">
        <v>2</v>
      </c>
      <c r="E2318" t="n">
        <v>5</v>
      </c>
      <c r="F2318" t="inlineStr">
        <is>
          <t>影子仓</t>
        </is>
      </c>
      <c r="G2318" t="n">
        <v>5</v>
      </c>
      <c r="H2318" t="n">
        <v>5800</v>
      </c>
      <c r="I2318" t="n">
        <v>6136.43</v>
      </c>
      <c r="J2318" t="n">
        <v>1</v>
      </c>
      <c r="K2318" t="inlineStr">
        <is>
          <t>凯利≤0，开1%影子仓（只统计，不计入组合）</t>
        </is>
      </c>
    </row>
    <row r="2319">
      <c r="A2319" t="inlineStr">
        <is>
          <t>2023-10-18</t>
        </is>
      </c>
      <c r="B2319" t="inlineStr">
        <is>
          <t>硅铁</t>
        </is>
      </c>
      <c r="C2319" t="inlineStr">
        <is>
          <t>空</t>
        </is>
      </c>
      <c r="D2319" t="n">
        <v>2</v>
      </c>
      <c r="E2319" t="n">
        <v>5</v>
      </c>
      <c r="F2319" t="inlineStr">
        <is>
          <t>影子仓</t>
        </is>
      </c>
      <c r="G2319" t="n">
        <v>5</v>
      </c>
      <c r="H2319" t="n">
        <v>6948</v>
      </c>
      <c r="I2319" t="n">
        <v>7324.71</v>
      </c>
      <c r="J2319" t="n">
        <v>1</v>
      </c>
      <c r="K2319" t="inlineStr">
        <is>
          <t>凯利≤0，开1%影子仓（只统计，不计入组合）</t>
        </is>
      </c>
    </row>
    <row r="2320">
      <c r="A2320" t="inlineStr">
        <is>
          <t>2023-10-19</t>
        </is>
      </c>
      <c r="B2320" t="inlineStr">
        <is>
          <t>玉米</t>
        </is>
      </c>
      <c r="C2320" t="inlineStr">
        <is>
          <t>空</t>
        </is>
      </c>
      <c r="D2320" t="n">
        <v>2</v>
      </c>
      <c r="E2320" t="n">
        <v>5</v>
      </c>
      <c r="F2320" t="inlineStr">
        <is>
          <t>影子仓</t>
        </is>
      </c>
      <c r="G2320" t="n">
        <v>13</v>
      </c>
      <c r="H2320" t="n">
        <v>2511</v>
      </c>
      <c r="I2320" t="n">
        <v>2587.5</v>
      </c>
      <c r="J2320" t="n">
        <v>1</v>
      </c>
      <c r="K2320" t="inlineStr">
        <is>
          <t>凯利≤0，开1%影子仓（只统计，不计入组合）</t>
        </is>
      </c>
    </row>
    <row r="2321">
      <c r="A2321" t="inlineStr">
        <is>
          <t>2023-10-19</t>
        </is>
      </c>
      <c r="B2321" t="inlineStr">
        <is>
          <t>聚丙烯</t>
        </is>
      </c>
      <c r="C2321" t="inlineStr">
        <is>
          <t>空</t>
        </is>
      </c>
      <c r="D2321" t="n">
        <v>2</v>
      </c>
      <c r="E2321" t="n">
        <v>5</v>
      </c>
      <c r="F2321" t="inlineStr">
        <is>
          <t>续持</t>
        </is>
      </c>
      <c r="G2321" t="n">
        <v>6</v>
      </c>
      <c r="H2321" t="n">
        <v>7434</v>
      </c>
      <c r="I2321" t="n">
        <v>7671.21</v>
      </c>
      <c r="J2321" t="n">
        <v>1</v>
      </c>
      <c r="K2321" t="inlineStr">
        <is>
          <t>续持原仓（2023-10-18开）</t>
        </is>
      </c>
    </row>
    <row r="2322">
      <c r="A2322" t="inlineStr">
        <is>
          <t>2023-10-19</t>
        </is>
      </c>
      <c r="B2322" t="inlineStr">
        <is>
          <t>沪铜</t>
        </is>
      </c>
      <c r="C2322" t="inlineStr">
        <is>
          <t>空</t>
        </is>
      </c>
      <c r="D2322" t="n">
        <v>2</v>
      </c>
      <c r="E2322" t="n">
        <v>5</v>
      </c>
      <c r="F2322" t="inlineStr">
        <is>
          <t>观望</t>
        </is>
      </c>
      <c r="H2322" t="n">
        <v>66470</v>
      </c>
      <c r="J2322" t="n">
        <v>1</v>
      </c>
      <c r="K2322" t="inlineStr">
        <is>
          <t>逆5日线（收盘在5日线上，不追空）</t>
        </is>
      </c>
    </row>
    <row r="2323">
      <c r="A2323" t="inlineStr">
        <is>
          <t>2023-10-19</t>
        </is>
      </c>
      <c r="B2323" t="inlineStr">
        <is>
          <t>纸浆</t>
        </is>
      </c>
      <c r="C2323" t="inlineStr">
        <is>
          <t>多</t>
        </is>
      </c>
      <c r="D2323" t="n">
        <v>2</v>
      </c>
      <c r="E2323" t="n">
        <v>5</v>
      </c>
      <c r="F2323" t="inlineStr">
        <is>
          <t>观望</t>
        </is>
      </c>
      <c r="G2323" t="n">
        <v>2</v>
      </c>
      <c r="H2323" t="n">
        <v>6200</v>
      </c>
      <c r="I2323" t="n">
        <v>5846</v>
      </c>
      <c r="J2323" t="n">
        <v>1</v>
      </c>
      <c r="K2323" t="inlineStr">
        <is>
          <t>逆5日线（收盘在5日线下，不追多）</t>
        </is>
      </c>
    </row>
    <row r="2324">
      <c r="A2324" t="inlineStr">
        <is>
          <t>2023-10-19</t>
        </is>
      </c>
      <c r="B2324" t="inlineStr">
        <is>
          <t>豆油</t>
        </is>
      </c>
      <c r="C2324" t="inlineStr">
        <is>
          <t>多</t>
        </is>
      </c>
      <c r="D2324" t="n">
        <v>2</v>
      </c>
      <c r="E2324" t="n">
        <v>5</v>
      </c>
      <c r="F2324" t="inlineStr">
        <is>
          <t>影子仓</t>
        </is>
      </c>
      <c r="G2324" t="n">
        <v>2</v>
      </c>
      <c r="H2324" t="n">
        <v>8088</v>
      </c>
      <c r="I2324" t="n">
        <v>7689.43</v>
      </c>
      <c r="J2324" t="n">
        <v>1</v>
      </c>
      <c r="K2324" t="inlineStr">
        <is>
          <t>凯利≤0，开1%影子仓（只统计，不计入组合）</t>
        </is>
      </c>
    </row>
    <row r="2325">
      <c r="A2325" t="inlineStr">
        <is>
          <t>2023-10-19</t>
        </is>
      </c>
      <c r="B2325" t="inlineStr">
        <is>
          <t>硅铁</t>
        </is>
      </c>
      <c r="C2325" t="inlineStr">
        <is>
          <t>空</t>
        </is>
      </c>
      <c r="D2325" t="n">
        <v>2</v>
      </c>
      <c r="E2325" t="n">
        <v>4</v>
      </c>
      <c r="F2325" t="inlineStr">
        <is>
          <t>续持</t>
        </is>
      </c>
      <c r="G2325" t="n">
        <v>5</v>
      </c>
      <c r="H2325" t="n">
        <v>6956</v>
      </c>
      <c r="I2325" t="n">
        <v>7290.43</v>
      </c>
      <c r="J2325" t="n">
        <v>1</v>
      </c>
      <c r="K2325" t="inlineStr">
        <is>
          <t>续持原仓（2023-10-18开）</t>
        </is>
      </c>
    </row>
    <row r="2326">
      <c r="A2326" t="inlineStr">
        <is>
          <t>2023-10-19</t>
        </is>
      </c>
      <c r="B2326" t="inlineStr">
        <is>
          <t>豆粕</t>
        </is>
      </c>
      <c r="C2326" t="inlineStr">
        <is>
          <t>多</t>
        </is>
      </c>
      <c r="D2326" t="n">
        <v>2</v>
      </c>
      <c r="E2326" t="n">
        <v>4</v>
      </c>
      <c r="F2326" t="inlineStr">
        <is>
          <t>影子仓</t>
        </is>
      </c>
      <c r="G2326" t="n">
        <v>4</v>
      </c>
      <c r="H2326" t="n">
        <v>3911</v>
      </c>
      <c r="I2326" t="n">
        <v>3698.64</v>
      </c>
      <c r="J2326" t="n">
        <v>1</v>
      </c>
      <c r="K2326" t="inlineStr">
        <is>
          <t>凯利≤0，开1%影子仓（只统计，不计入组合）</t>
        </is>
      </c>
    </row>
    <row r="2327">
      <c r="A2327" t="inlineStr">
        <is>
          <t>2023-10-20</t>
        </is>
      </c>
      <c r="B2327" t="inlineStr">
        <is>
          <t>沪金</t>
        </is>
      </c>
      <c r="C2327" t="inlineStr">
        <is>
          <t>多</t>
        </is>
      </c>
      <c r="D2327" t="n">
        <v>3</v>
      </c>
      <c r="E2327" t="n">
        <v>7</v>
      </c>
      <c r="F2327" t="inlineStr">
        <is>
          <t>开仓</t>
        </is>
      </c>
      <c r="G2327" t="n">
        <v>1</v>
      </c>
      <c r="H2327" t="n">
        <v>476.68</v>
      </c>
      <c r="I2327" t="n">
        <v>461.48</v>
      </c>
      <c r="J2327" t="n">
        <v>2.4</v>
      </c>
      <c r="K2327" t="inlineStr">
        <is>
          <t>¼凯利</t>
        </is>
      </c>
    </row>
    <row r="2328">
      <c r="A2328" t="inlineStr">
        <is>
          <t>2023-10-20</t>
        </is>
      </c>
      <c r="B2328" t="inlineStr">
        <is>
          <t>乙二醇</t>
        </is>
      </c>
      <c r="C2328" t="inlineStr">
        <is>
          <t>空</t>
        </is>
      </c>
      <c r="D2328" t="n">
        <v>3</v>
      </c>
      <c r="E2328" t="n">
        <v>6</v>
      </c>
      <c r="F2328" t="inlineStr">
        <is>
          <t>开仓</t>
        </is>
      </c>
      <c r="G2328" t="n">
        <v>13</v>
      </c>
      <c r="H2328" t="n">
        <v>4076</v>
      </c>
      <c r="I2328" t="n">
        <v>4247.43</v>
      </c>
      <c r="J2328" t="n">
        <v>2.4</v>
      </c>
      <c r="K2328" t="inlineStr">
        <is>
          <t>¼凯利</t>
        </is>
      </c>
    </row>
    <row r="2329">
      <c r="A2329" t="inlineStr">
        <is>
          <t>2023-10-20</t>
        </is>
      </c>
      <c r="B2329" t="inlineStr">
        <is>
          <t>玉米</t>
        </is>
      </c>
      <c r="C2329" t="inlineStr">
        <is>
          <t>空</t>
        </is>
      </c>
      <c r="D2329" t="n">
        <v>3</v>
      </c>
      <c r="E2329" t="n">
        <v>6</v>
      </c>
      <c r="F2329" t="inlineStr">
        <is>
          <t>续持</t>
        </is>
      </c>
      <c r="G2329" t="n">
        <v>13</v>
      </c>
      <c r="H2329" t="n">
        <v>2506</v>
      </c>
      <c r="I2329" t="n">
        <v>2573.21</v>
      </c>
      <c r="J2329" t="n">
        <v>1</v>
      </c>
      <c r="K2329" t="inlineStr">
        <is>
          <t>续持原仓（2023-10-19开）</t>
        </is>
      </c>
    </row>
    <row r="2330">
      <c r="A2330" t="inlineStr">
        <is>
          <t>2023-10-20</t>
        </is>
      </c>
      <c r="B2330" t="inlineStr">
        <is>
          <t>聚丙烯</t>
        </is>
      </c>
      <c r="C2330" t="inlineStr">
        <is>
          <t>空</t>
        </is>
      </c>
      <c r="D2330" t="n">
        <v>3</v>
      </c>
      <c r="E2330" t="n">
        <v>6</v>
      </c>
      <c r="F2330" t="inlineStr">
        <is>
          <t>续持</t>
        </is>
      </c>
      <c r="G2330" t="n">
        <v>6</v>
      </c>
      <c r="H2330" t="n">
        <v>7441</v>
      </c>
      <c r="I2330" t="n">
        <v>7669.93</v>
      </c>
      <c r="J2330" t="n">
        <v>1</v>
      </c>
      <c r="K2330" t="inlineStr">
        <is>
          <t>续持原仓（2023-10-18开）</t>
        </is>
      </c>
    </row>
    <row r="2331">
      <c r="A2331" t="inlineStr">
        <is>
          <t>2023-10-20</t>
        </is>
      </c>
      <c r="B2331" t="inlineStr">
        <is>
          <t>沪铜</t>
        </is>
      </c>
      <c r="C2331" t="inlineStr">
        <is>
          <t>空</t>
        </is>
      </c>
      <c r="D2331" t="n">
        <v>3</v>
      </c>
      <c r="E2331" t="n">
        <v>6</v>
      </c>
      <c r="F2331" t="inlineStr">
        <is>
          <t>续持</t>
        </is>
      </c>
      <c r="G2331" t="n">
        <v>2</v>
      </c>
      <c r="H2331" t="n">
        <v>66060</v>
      </c>
      <c r="I2331" t="n">
        <v>67736.42999999999</v>
      </c>
      <c r="J2331" t="n">
        <v>2.46</v>
      </c>
      <c r="K2331" t="inlineStr">
        <is>
          <t>续持原仓（2023-10-13开）</t>
        </is>
      </c>
    </row>
    <row r="2332">
      <c r="A2332" t="inlineStr">
        <is>
          <t>2023-10-20</t>
        </is>
      </c>
      <c r="B2332" t="inlineStr">
        <is>
          <t>硅铁</t>
        </is>
      </c>
      <c r="C2332" t="inlineStr">
        <is>
          <t>空</t>
        </is>
      </c>
      <c r="D2332" t="n">
        <v>2</v>
      </c>
      <c r="E2332" t="n">
        <v>5</v>
      </c>
      <c r="F2332" t="inlineStr">
        <is>
          <t>续持</t>
        </is>
      </c>
      <c r="G2332" t="n">
        <v>5</v>
      </c>
      <c r="H2332" t="n">
        <v>6930</v>
      </c>
      <c r="I2332" t="n">
        <v>7266.71</v>
      </c>
      <c r="J2332" t="n">
        <v>1</v>
      </c>
      <c r="K2332" t="inlineStr">
        <is>
          <t>续持原仓（2023-10-18开）</t>
        </is>
      </c>
    </row>
    <row r="2333">
      <c r="A2333" t="inlineStr">
        <is>
          <t>2023-10-20</t>
        </is>
      </c>
      <c r="B2333" t="inlineStr">
        <is>
          <t>豆油</t>
        </is>
      </c>
      <c r="C2333" t="inlineStr">
        <is>
          <t>多</t>
        </is>
      </c>
      <c r="D2333" t="n">
        <v>2</v>
      </c>
      <c r="E2333" t="n">
        <v>4</v>
      </c>
      <c r="F2333" t="inlineStr">
        <is>
          <t>观望</t>
        </is>
      </c>
      <c r="G2333" t="n">
        <v>2</v>
      </c>
      <c r="H2333" t="n">
        <v>7972</v>
      </c>
      <c r="I2333" t="n">
        <v>7558.43</v>
      </c>
      <c r="J2333" t="n">
        <v>1</v>
      </c>
      <c r="K2333" t="inlineStr">
        <is>
          <t>逆5日线（收盘在5日线下，不追多）</t>
        </is>
      </c>
    </row>
    <row r="2334">
      <c r="A2334" t="inlineStr">
        <is>
          <t>2023-10-23</t>
        </is>
      </c>
      <c r="B2334" t="inlineStr">
        <is>
          <t>棉花</t>
        </is>
      </c>
      <c r="C2334" t="inlineStr">
        <is>
          <t>空</t>
        </is>
      </c>
      <c r="D2334" t="n">
        <v>3</v>
      </c>
      <c r="E2334" t="n">
        <v>7</v>
      </c>
      <c r="F2334" t="inlineStr">
        <is>
          <t>开仓</t>
        </is>
      </c>
      <c r="G2334" t="n">
        <v>5</v>
      </c>
      <c r="H2334" t="n">
        <v>15910</v>
      </c>
      <c r="I2334" t="n">
        <v>16851.79</v>
      </c>
      <c r="J2334" t="n">
        <v>2.44</v>
      </c>
      <c r="K2334" t="inlineStr">
        <is>
          <t>¼凯利</t>
        </is>
      </c>
    </row>
    <row r="2335">
      <c r="A2335" t="inlineStr">
        <is>
          <t>2023-10-23</t>
        </is>
      </c>
      <c r="B2335" t="inlineStr">
        <is>
          <t>乙二醇</t>
        </is>
      </c>
      <c r="C2335" t="inlineStr">
        <is>
          <t>空</t>
        </is>
      </c>
      <c r="D2335" t="n">
        <v>3</v>
      </c>
      <c r="E2335" t="n">
        <v>6</v>
      </c>
      <c r="F2335" t="inlineStr">
        <is>
          <t>续持</t>
        </is>
      </c>
      <c r="G2335" t="n">
        <v>13</v>
      </c>
      <c r="H2335" t="n">
        <v>4078</v>
      </c>
      <c r="I2335" t="n">
        <v>4171.64</v>
      </c>
      <c r="J2335" t="n">
        <v>2.4</v>
      </c>
      <c r="K2335" t="inlineStr">
        <is>
          <t>续持原仓（2023-10-20开）</t>
        </is>
      </c>
    </row>
    <row r="2336">
      <c r="A2336" t="inlineStr">
        <is>
          <t>2023-10-23</t>
        </is>
      </c>
      <c r="B2336" t="inlineStr">
        <is>
          <t>纯碱</t>
        </is>
      </c>
      <c r="C2336" t="inlineStr">
        <is>
          <t>空</t>
        </is>
      </c>
      <c r="D2336" t="n">
        <v>3</v>
      </c>
      <c r="E2336" t="n">
        <v>6</v>
      </c>
      <c r="F2336" t="inlineStr">
        <is>
          <t>开仓</t>
        </is>
      </c>
      <c r="G2336" t="n">
        <v>8</v>
      </c>
      <c r="H2336" t="n">
        <v>1690</v>
      </c>
      <c r="I2336" t="n">
        <v>1833.14</v>
      </c>
      <c r="J2336" t="n">
        <v>2.44</v>
      </c>
      <c r="K2336" t="inlineStr">
        <is>
          <t>¼凯利</t>
        </is>
      </c>
    </row>
    <row r="2337">
      <c r="A2337" t="inlineStr">
        <is>
          <t>2023-10-23</t>
        </is>
      </c>
      <c r="B2337" t="inlineStr">
        <is>
          <t>玉米</t>
        </is>
      </c>
      <c r="C2337" t="inlineStr">
        <is>
          <t>空</t>
        </is>
      </c>
      <c r="D2337" t="n">
        <v>2</v>
      </c>
      <c r="E2337" t="n">
        <v>5</v>
      </c>
      <c r="F2337" t="inlineStr">
        <is>
          <t>观望</t>
        </is>
      </c>
      <c r="G2337" t="n">
        <v>14</v>
      </c>
      <c r="H2337" t="n">
        <v>2511</v>
      </c>
      <c r="I2337" t="n">
        <v>2582.14</v>
      </c>
      <c r="J2337" t="n">
        <v>1</v>
      </c>
      <c r="K2337" t="inlineStr">
        <is>
          <t>逆5日线（收盘在5日线上，不追空）</t>
        </is>
      </c>
    </row>
    <row r="2338">
      <c r="A2338" t="inlineStr">
        <is>
          <t>2023-10-23</t>
        </is>
      </c>
      <c r="B2338" t="inlineStr">
        <is>
          <t>塑料</t>
        </is>
      </c>
      <c r="C2338" t="inlineStr">
        <is>
          <t>空</t>
        </is>
      </c>
      <c r="D2338" t="n">
        <v>2</v>
      </c>
      <c r="E2338" t="n">
        <v>5</v>
      </c>
      <c r="F2338" t="inlineStr">
        <is>
          <t>观望</t>
        </is>
      </c>
      <c r="G2338" t="n">
        <v>8</v>
      </c>
      <c r="H2338" t="n">
        <v>7989</v>
      </c>
      <c r="I2338" t="n">
        <v>8235.639999999999</v>
      </c>
      <c r="J2338" t="n">
        <v>1</v>
      </c>
      <c r="K2338" t="inlineStr">
        <is>
          <t>逆5日线（收盘在5日线上，不追空）</t>
        </is>
      </c>
    </row>
    <row r="2339">
      <c r="A2339" t="inlineStr">
        <is>
          <t>2023-10-24</t>
        </is>
      </c>
      <c r="B2339" t="inlineStr">
        <is>
          <t>乙二醇</t>
        </is>
      </c>
      <c r="C2339" t="inlineStr">
        <is>
          <t>空</t>
        </is>
      </c>
      <c r="D2339" t="n">
        <v>3</v>
      </c>
      <c r="E2339" t="n">
        <v>6</v>
      </c>
      <c r="F2339" t="inlineStr">
        <is>
          <t>观望</t>
        </is>
      </c>
      <c r="G2339" t="n">
        <v>3</v>
      </c>
      <c r="H2339" t="n">
        <v>4097</v>
      </c>
      <c r="I2339" t="n">
        <v>4257.29</v>
      </c>
      <c r="J2339" t="n">
        <v>0.6</v>
      </c>
      <c r="K2339" t="inlineStr">
        <is>
          <t>逆5日线（收盘在5日线上，不追空）</t>
        </is>
      </c>
    </row>
    <row r="2340">
      <c r="A2340" t="inlineStr">
        <is>
          <t>2023-10-24</t>
        </is>
      </c>
      <c r="B2340" t="inlineStr">
        <is>
          <t>玉米</t>
        </is>
      </c>
      <c r="C2340" t="inlineStr">
        <is>
          <t>空</t>
        </is>
      </c>
      <c r="D2340" t="n">
        <v>3</v>
      </c>
      <c r="E2340" t="n">
        <v>6</v>
      </c>
      <c r="F2340" t="inlineStr">
        <is>
          <t>观望</t>
        </is>
      </c>
      <c r="G2340" t="n">
        <v>34</v>
      </c>
      <c r="H2340" t="n">
        <v>2519</v>
      </c>
      <c r="I2340" t="n">
        <v>2589.93</v>
      </c>
      <c r="J2340" t="n">
        <v>2.44</v>
      </c>
      <c r="K2340" t="inlineStr">
        <is>
          <t>逆5日线（收盘在5日线上，不追空）</t>
        </is>
      </c>
    </row>
    <row r="2341">
      <c r="A2341" t="inlineStr">
        <is>
          <t>2023-10-24</t>
        </is>
      </c>
      <c r="B2341" t="inlineStr">
        <is>
          <t>PVC</t>
        </is>
      </c>
      <c r="C2341" t="inlineStr">
        <is>
          <t>空</t>
        </is>
      </c>
      <c r="D2341" t="n">
        <v>2</v>
      </c>
      <c r="E2341" t="n">
        <v>5</v>
      </c>
      <c r="F2341" t="inlineStr">
        <is>
          <t>观望</t>
        </is>
      </c>
      <c r="G2341" t="n">
        <v>7</v>
      </c>
      <c r="H2341" t="n">
        <v>5995</v>
      </c>
      <c r="I2341" t="n">
        <v>6258.79</v>
      </c>
      <c r="J2341" t="n">
        <v>1</v>
      </c>
      <c r="K2341" t="inlineStr">
        <is>
          <t>逆5日线（收盘在5日线上，不追空）</t>
        </is>
      </c>
    </row>
    <row r="2342">
      <c r="A2342" t="inlineStr">
        <is>
          <t>2023-10-24</t>
        </is>
      </c>
      <c r="B2342" t="inlineStr">
        <is>
          <t>沪银</t>
        </is>
      </c>
      <c r="C2342" t="inlineStr">
        <is>
          <t>空</t>
        </is>
      </c>
      <c r="D2342" t="n">
        <v>2</v>
      </c>
      <c r="E2342" t="n">
        <v>5</v>
      </c>
      <c r="F2342" t="inlineStr">
        <is>
          <t>影子仓</t>
        </is>
      </c>
      <c r="G2342" t="n">
        <v>2</v>
      </c>
      <c r="H2342" t="n">
        <v>5837</v>
      </c>
      <c r="I2342" t="n">
        <v>6078.29</v>
      </c>
      <c r="J2342" t="n">
        <v>1</v>
      </c>
      <c r="K2342" t="inlineStr">
        <is>
          <t>凯利≤0，开1%影子仓（只统计，不计入组合）</t>
        </is>
      </c>
    </row>
    <row r="2343">
      <c r="A2343" t="inlineStr">
        <is>
          <t>2023-10-24</t>
        </is>
      </c>
      <c r="B2343" t="inlineStr">
        <is>
          <t>塑料</t>
        </is>
      </c>
      <c r="C2343" t="inlineStr">
        <is>
          <t>空</t>
        </is>
      </c>
      <c r="D2343" t="n">
        <v>2</v>
      </c>
      <c r="E2343" t="n">
        <v>4</v>
      </c>
      <c r="F2343" t="inlineStr">
        <is>
          <t>观望</t>
        </is>
      </c>
      <c r="G2343" t="n">
        <v>8</v>
      </c>
      <c r="H2343" t="n">
        <v>7993</v>
      </c>
      <c r="I2343" t="n">
        <v>8242.43</v>
      </c>
      <c r="J2343" t="n">
        <v>1</v>
      </c>
      <c r="K2343" t="inlineStr">
        <is>
          <t>逆5日线（收盘在5日线上，不追空）</t>
        </is>
      </c>
    </row>
    <row r="2344">
      <c r="A2344" t="inlineStr">
        <is>
          <t>2023-10-25</t>
        </is>
      </c>
      <c r="B2344" t="inlineStr">
        <is>
          <t>沪银</t>
        </is>
      </c>
      <c r="C2344" t="inlineStr">
        <is>
          <t>空</t>
        </is>
      </c>
      <c r="D2344" t="n">
        <v>3</v>
      </c>
      <c r="E2344" t="n">
        <v>6</v>
      </c>
      <c r="F2344" t="inlineStr">
        <is>
          <t>续持</t>
        </is>
      </c>
      <c r="G2344" t="n">
        <v>2</v>
      </c>
      <c r="H2344" t="n">
        <v>5812</v>
      </c>
      <c r="I2344" t="n">
        <v>6027.21</v>
      </c>
      <c r="J2344" t="n">
        <v>1</v>
      </c>
      <c r="K2344" t="inlineStr">
        <is>
          <t>续持原仓（2023-10-24开）</t>
        </is>
      </c>
    </row>
    <row r="2345">
      <c r="A2345" t="inlineStr">
        <is>
          <t>2023-10-25</t>
        </is>
      </c>
      <c r="B2345" t="inlineStr">
        <is>
          <t>玉米</t>
        </is>
      </c>
      <c r="C2345" t="inlineStr">
        <is>
          <t>空</t>
        </is>
      </c>
      <c r="D2345" t="n">
        <v>2</v>
      </c>
      <c r="E2345" t="n">
        <v>5</v>
      </c>
      <c r="F2345" t="inlineStr">
        <is>
          <t>观望</t>
        </is>
      </c>
      <c r="G2345" t="n">
        <v>14</v>
      </c>
      <c r="H2345" t="n">
        <v>2518</v>
      </c>
      <c r="I2345" t="n">
        <v>2588.07</v>
      </c>
      <c r="J2345" t="n">
        <v>1</v>
      </c>
      <c r="K2345" t="inlineStr">
        <is>
          <t>逆5日线（收盘在5日线上，不追空）</t>
        </is>
      </c>
    </row>
    <row r="2346">
      <c r="A2346" t="inlineStr">
        <is>
          <t>2023-10-26</t>
        </is>
      </c>
      <c r="B2346" t="inlineStr">
        <is>
          <t>纯碱</t>
        </is>
      </c>
      <c r="C2346" t="inlineStr">
        <is>
          <t>空</t>
        </is>
      </c>
      <c r="D2346" t="n">
        <v>3</v>
      </c>
      <c r="E2346" t="n">
        <v>7</v>
      </c>
      <c r="F2346" t="inlineStr">
        <is>
          <t>开仓</t>
        </is>
      </c>
      <c r="G2346" t="n">
        <v>9</v>
      </c>
      <c r="H2346" t="n">
        <v>1665</v>
      </c>
      <c r="I2346" t="n">
        <v>1800.21</v>
      </c>
      <c r="J2346" t="n">
        <v>2.44</v>
      </c>
      <c r="K2346" t="inlineStr">
        <is>
          <t>¼凯利</t>
        </is>
      </c>
    </row>
    <row r="2347">
      <c r="A2347" t="inlineStr">
        <is>
          <t>2023-10-26</t>
        </is>
      </c>
      <c r="B2347" t="inlineStr">
        <is>
          <t>玉米</t>
        </is>
      </c>
      <c r="C2347" t="inlineStr">
        <is>
          <t>空</t>
        </is>
      </c>
      <c r="D2347" t="n">
        <v>3</v>
      </c>
      <c r="E2347" t="n">
        <v>6</v>
      </c>
      <c r="F2347" t="inlineStr">
        <is>
          <t>续持</t>
        </is>
      </c>
      <c r="G2347" t="n">
        <v>13</v>
      </c>
      <c r="H2347" t="n">
        <v>2500</v>
      </c>
      <c r="I2347" t="n">
        <v>2561.21</v>
      </c>
      <c r="J2347" t="n">
        <v>1</v>
      </c>
      <c r="K2347" t="inlineStr">
        <is>
          <t>续持原仓（2023-10-19开）</t>
        </is>
      </c>
    </row>
    <row r="2348">
      <c r="A2348" t="inlineStr">
        <is>
          <t>2023-10-26</t>
        </is>
      </c>
      <c r="B2348" t="inlineStr">
        <is>
          <t>沪铜</t>
        </is>
      </c>
      <c r="C2348" t="inlineStr">
        <is>
          <t>空</t>
        </is>
      </c>
      <c r="D2348" t="n">
        <v>2</v>
      </c>
      <c r="E2348" t="n">
        <v>4</v>
      </c>
      <c r="F2348" t="inlineStr">
        <is>
          <t>观望</t>
        </is>
      </c>
      <c r="H2348" t="n">
        <v>66550</v>
      </c>
      <c r="J2348" t="n">
        <v>1</v>
      </c>
      <c r="K2348" t="inlineStr">
        <is>
          <t>逆5日线（收盘在5日线上，不追空）</t>
        </is>
      </c>
    </row>
    <row r="2349">
      <c r="A2349" t="inlineStr">
        <is>
          <t>2023-10-26</t>
        </is>
      </c>
      <c r="B2349" t="inlineStr">
        <is>
          <t>沪银</t>
        </is>
      </c>
      <c r="C2349" t="inlineStr">
        <is>
          <t>空</t>
        </is>
      </c>
      <c r="D2349" t="n">
        <v>2</v>
      </c>
      <c r="E2349" t="n">
        <v>4</v>
      </c>
      <c r="F2349" t="inlineStr">
        <is>
          <t>观望</t>
        </is>
      </c>
      <c r="G2349" t="n">
        <v>2</v>
      </c>
      <c r="H2349" t="n">
        <v>5849</v>
      </c>
      <c r="I2349" t="n">
        <v>6080.21</v>
      </c>
      <c r="J2349" t="n">
        <v>1</v>
      </c>
      <c r="K2349" t="inlineStr">
        <is>
          <t>逆5日线（收盘在5日线上，不追空）</t>
        </is>
      </c>
    </row>
    <row r="2350">
      <c r="A2350" t="inlineStr">
        <is>
          <t>2023-10-26</t>
        </is>
      </c>
      <c r="B2350" t="inlineStr">
        <is>
          <t>沪金</t>
        </is>
      </c>
      <c r="C2350" t="inlineStr">
        <is>
          <t>多</t>
        </is>
      </c>
      <c r="D2350" t="n">
        <v>2</v>
      </c>
      <c r="E2350" t="n">
        <v>4</v>
      </c>
      <c r="F2350" t="inlineStr">
        <is>
          <t>续持</t>
        </is>
      </c>
      <c r="G2350" t="n">
        <v>1</v>
      </c>
      <c r="H2350" t="n">
        <v>477.84</v>
      </c>
      <c r="I2350" t="n">
        <v>466.63</v>
      </c>
      <c r="J2350" t="n">
        <v>2.4</v>
      </c>
      <c r="K2350" t="inlineStr">
        <is>
          <t>续持原仓（2023-10-20开）</t>
        </is>
      </c>
    </row>
    <row r="2351">
      <c r="A2351" t="inlineStr">
        <is>
          <t>2023-10-26</t>
        </is>
      </c>
      <c r="B2351" t="inlineStr">
        <is>
          <t>PTA</t>
        </is>
      </c>
      <c r="C2351" t="inlineStr">
        <is>
          <t>多</t>
        </is>
      </c>
      <c r="D2351" t="n">
        <v>2</v>
      </c>
      <c r="E2351" t="n">
        <v>4</v>
      </c>
      <c r="F2351" t="inlineStr">
        <is>
          <t>影子仓</t>
        </is>
      </c>
      <c r="G2351" t="n">
        <v>5</v>
      </c>
      <c r="H2351" t="n">
        <v>5832</v>
      </c>
      <c r="I2351" t="n">
        <v>5487</v>
      </c>
      <c r="J2351" t="n">
        <v>1</v>
      </c>
      <c r="K2351" t="inlineStr">
        <is>
          <t>凯利≤0，开1%影子仓（只统计，不计入组合）</t>
        </is>
      </c>
    </row>
    <row r="2352">
      <c r="A2352" t="inlineStr">
        <is>
          <t>2023-10-27</t>
        </is>
      </c>
      <c r="B2352" t="inlineStr">
        <is>
          <t>玉米</t>
        </is>
      </c>
      <c r="C2352" t="inlineStr">
        <is>
          <t>空</t>
        </is>
      </c>
      <c r="D2352" t="n">
        <v>3</v>
      </c>
      <c r="E2352" t="n">
        <v>6</v>
      </c>
      <c r="F2352" t="inlineStr">
        <is>
          <t>观望</t>
        </is>
      </c>
      <c r="G2352" t="n">
        <v>33</v>
      </c>
      <c r="H2352" t="n">
        <v>2515</v>
      </c>
      <c r="I2352" t="n">
        <v>2585.29</v>
      </c>
      <c r="J2352" t="n">
        <v>2.34</v>
      </c>
      <c r="K2352" t="inlineStr">
        <is>
          <t>逆5日线（收盘在5日线上，不追空）</t>
        </is>
      </c>
    </row>
    <row r="2353">
      <c r="A2353" t="inlineStr">
        <is>
          <t>2023-10-27</t>
        </is>
      </c>
      <c r="B2353" t="inlineStr">
        <is>
          <t>豆粕</t>
        </is>
      </c>
      <c r="C2353" t="inlineStr">
        <is>
          <t>多</t>
        </is>
      </c>
      <c r="D2353" t="n">
        <v>3</v>
      </c>
      <c r="E2353" t="n">
        <v>6</v>
      </c>
      <c r="F2353" t="inlineStr">
        <is>
          <t>续持</t>
        </is>
      </c>
      <c r="G2353" t="n">
        <v>4</v>
      </c>
      <c r="H2353" t="n">
        <v>3929</v>
      </c>
      <c r="I2353" t="n">
        <v>3762.36</v>
      </c>
      <c r="J2353" t="n">
        <v>1</v>
      </c>
      <c r="K2353" t="inlineStr">
        <is>
          <t>续持原仓（2023-10-19开）</t>
        </is>
      </c>
    </row>
    <row r="2354">
      <c r="A2354" t="inlineStr">
        <is>
          <t>2023-10-27</t>
        </is>
      </c>
      <c r="B2354" t="inlineStr">
        <is>
          <t>纯碱</t>
        </is>
      </c>
      <c r="C2354" t="inlineStr">
        <is>
          <t>空</t>
        </is>
      </c>
      <c r="D2354" t="n">
        <v>2</v>
      </c>
      <c r="E2354" t="n">
        <v>4</v>
      </c>
      <c r="F2354" t="inlineStr">
        <is>
          <t>观望</t>
        </is>
      </c>
      <c r="G2354" t="n">
        <v>3</v>
      </c>
      <c r="H2354" t="n">
        <v>1688</v>
      </c>
      <c r="I2354" t="n">
        <v>1821.71</v>
      </c>
      <c r="J2354" t="n">
        <v>1</v>
      </c>
      <c r="K2354" t="inlineStr">
        <is>
          <t>逆5日线（收盘在5日线上，不追空）</t>
        </is>
      </c>
    </row>
    <row r="2355">
      <c r="A2355" t="inlineStr">
        <is>
          <t>2023-10-27</t>
        </is>
      </c>
      <c r="B2355" t="inlineStr">
        <is>
          <t>沪银</t>
        </is>
      </c>
      <c r="C2355" t="inlineStr">
        <is>
          <t>空</t>
        </is>
      </c>
      <c r="D2355" t="n">
        <v>2</v>
      </c>
      <c r="E2355" t="n">
        <v>4</v>
      </c>
      <c r="F2355" t="inlineStr">
        <is>
          <t>观望</t>
        </is>
      </c>
      <c r="G2355" t="n">
        <v>3</v>
      </c>
      <c r="H2355" t="n">
        <v>5861</v>
      </c>
      <c r="I2355" t="n">
        <v>6076.36</v>
      </c>
      <c r="J2355" t="n">
        <v>1</v>
      </c>
      <c r="K2355" t="inlineStr">
        <is>
          <t>逆5日线（收盘在5日线上，不追空）</t>
        </is>
      </c>
    </row>
    <row r="2356">
      <c r="A2356" t="inlineStr">
        <is>
          <t>2023-10-30</t>
        </is>
      </c>
      <c r="B2356" t="inlineStr">
        <is>
          <t>豆粕</t>
        </is>
      </c>
      <c r="C2356" t="inlineStr">
        <is>
          <t>多</t>
        </is>
      </c>
      <c r="D2356" t="n">
        <v>3</v>
      </c>
      <c r="E2356" t="n">
        <v>6</v>
      </c>
      <c r="F2356" t="inlineStr">
        <is>
          <t>续持</t>
        </is>
      </c>
      <c r="G2356" t="n">
        <v>4</v>
      </c>
      <c r="H2356" t="n">
        <v>3992</v>
      </c>
      <c r="I2356" t="n">
        <v>3824.43</v>
      </c>
      <c r="J2356" t="n">
        <v>1</v>
      </c>
      <c r="K2356" t="inlineStr">
        <is>
          <t>续持原仓（2023-10-19开）</t>
        </is>
      </c>
    </row>
    <row r="2357">
      <c r="A2357" t="inlineStr">
        <is>
          <t>2023-10-30</t>
        </is>
      </c>
      <c r="B2357" t="inlineStr">
        <is>
          <t>尿素</t>
        </is>
      </c>
      <c r="C2357" t="inlineStr">
        <is>
          <t>多</t>
        </is>
      </c>
      <c r="D2357" t="n">
        <v>2</v>
      </c>
      <c r="E2357" t="n">
        <v>4</v>
      </c>
      <c r="F2357" t="inlineStr">
        <is>
          <t>影子仓</t>
        </is>
      </c>
      <c r="G2357" t="n">
        <v>2</v>
      </c>
      <c r="H2357" t="n">
        <v>2342</v>
      </c>
      <c r="I2357" t="n">
        <v>2128.79</v>
      </c>
      <c r="J2357" t="n">
        <v>1</v>
      </c>
      <c r="K2357" t="inlineStr">
        <is>
          <t>凯利≤0，开1%影子仓（只统计，不计入组合）</t>
        </is>
      </c>
    </row>
    <row r="2358">
      <c r="A2358" t="inlineStr">
        <is>
          <t>2023-10-31</t>
        </is>
      </c>
      <c r="B2358" t="inlineStr">
        <is>
          <t>铁矿石</t>
        </is>
      </c>
      <c r="C2358" t="inlineStr">
        <is>
          <t>多</t>
        </is>
      </c>
      <c r="D2358" t="n">
        <v>2</v>
      </c>
      <c r="E2358" t="n">
        <v>5</v>
      </c>
      <c r="F2358" t="inlineStr">
        <is>
          <t>影子仓</t>
        </is>
      </c>
      <c r="G2358" t="n">
        <v>1</v>
      </c>
      <c r="H2358" t="n">
        <v>898.5</v>
      </c>
      <c r="I2358" t="n">
        <v>839.79</v>
      </c>
      <c r="J2358" t="n">
        <v>1</v>
      </c>
      <c r="K2358" t="inlineStr">
        <is>
          <t>凯利≤0，开1%影子仓（只统计，不计入组合）</t>
        </is>
      </c>
    </row>
    <row r="2359">
      <c r="A2359" t="inlineStr">
        <is>
          <t>2023-10-31</t>
        </is>
      </c>
      <c r="B2359" t="inlineStr">
        <is>
          <t>棉花</t>
        </is>
      </c>
      <c r="C2359" t="inlineStr">
        <is>
          <t>空</t>
        </is>
      </c>
      <c r="D2359" t="n">
        <v>2</v>
      </c>
      <c r="E2359" t="n">
        <v>5</v>
      </c>
      <c r="F2359" t="inlineStr">
        <is>
          <t>续持</t>
        </is>
      </c>
      <c r="G2359" t="n">
        <v>5</v>
      </c>
      <c r="H2359" t="n">
        <v>15785</v>
      </c>
      <c r="I2359" t="n">
        <v>16453.93</v>
      </c>
      <c r="J2359" t="n">
        <v>2.44</v>
      </c>
      <c r="K2359" t="inlineStr">
        <is>
          <t>续持原仓（2023-10-23开）</t>
        </is>
      </c>
    </row>
    <row r="2360">
      <c r="A2360" t="inlineStr">
        <is>
          <t>2023-10-31</t>
        </is>
      </c>
      <c r="B2360" t="inlineStr">
        <is>
          <t>菜油</t>
        </is>
      </c>
      <c r="C2360" t="inlineStr">
        <is>
          <t>空</t>
        </is>
      </c>
      <c r="D2360" t="n">
        <v>2</v>
      </c>
      <c r="E2360" t="n">
        <v>5</v>
      </c>
      <c r="F2360" t="inlineStr">
        <is>
          <t>影子仓</t>
        </is>
      </c>
      <c r="G2360" t="n">
        <v>1</v>
      </c>
      <c r="H2360" t="n">
        <v>8436</v>
      </c>
      <c r="I2360" t="n">
        <v>8948.790000000001</v>
      </c>
      <c r="J2360" t="n">
        <v>1</v>
      </c>
      <c r="K2360" t="inlineStr">
        <is>
          <t>凯利≤0，开1%影子仓（只统计，不计入组合）</t>
        </is>
      </c>
    </row>
    <row r="2361">
      <c r="A2361" t="inlineStr">
        <is>
          <t>2023-10-31</t>
        </is>
      </c>
      <c r="B2361" t="inlineStr">
        <is>
          <t>热卷</t>
        </is>
      </c>
      <c r="C2361" t="inlineStr">
        <is>
          <t>多</t>
        </is>
      </c>
      <c r="D2361" t="n">
        <v>2</v>
      </c>
      <c r="E2361" t="n">
        <v>4</v>
      </c>
      <c r="F2361" t="inlineStr">
        <is>
          <t>影子仓</t>
        </is>
      </c>
      <c r="G2361" t="n">
        <v>6</v>
      </c>
      <c r="H2361" t="n">
        <v>3849</v>
      </c>
      <c r="I2361" t="n">
        <v>3704.79</v>
      </c>
      <c r="J2361" t="n">
        <v>1</v>
      </c>
      <c r="K2361" t="inlineStr">
        <is>
          <t>凯利≤0，开1%影子仓（只统计，不计入组合）</t>
        </is>
      </c>
    </row>
    <row r="2362">
      <c r="A2362" t="inlineStr">
        <is>
          <t>2023-11-01</t>
        </is>
      </c>
      <c r="B2362" t="inlineStr">
        <is>
          <t>沪镍</t>
        </is>
      </c>
      <c r="C2362" t="inlineStr">
        <is>
          <t>空</t>
        </is>
      </c>
      <c r="D2362" t="n">
        <v>3</v>
      </c>
      <c r="E2362" t="n">
        <v>7</v>
      </c>
      <c r="F2362" t="inlineStr">
        <is>
          <t>开仓</t>
        </is>
      </c>
      <c r="G2362" t="n">
        <v>2</v>
      </c>
      <c r="H2362" t="n">
        <v>140640</v>
      </c>
      <c r="I2362" t="n">
        <v>150801.43</v>
      </c>
      <c r="J2362" t="n">
        <v>2.35</v>
      </c>
      <c r="K2362" t="inlineStr">
        <is>
          <t>¼凯利</t>
        </is>
      </c>
    </row>
    <row r="2363">
      <c r="A2363" t="inlineStr">
        <is>
          <t>2023-11-01</t>
        </is>
      </c>
      <c r="B2363" t="inlineStr">
        <is>
          <t>玉米</t>
        </is>
      </c>
      <c r="C2363" t="inlineStr">
        <is>
          <t>空</t>
        </is>
      </c>
      <c r="D2363" t="n">
        <v>3</v>
      </c>
      <c r="E2363" t="n">
        <v>6</v>
      </c>
      <c r="F2363" t="inlineStr">
        <is>
          <t>观望</t>
        </is>
      </c>
      <c r="G2363" t="n">
        <v>31</v>
      </c>
      <c r="H2363" t="n">
        <v>2542</v>
      </c>
      <c r="I2363" t="n">
        <v>2617</v>
      </c>
      <c r="J2363" t="n">
        <v>2.35</v>
      </c>
      <c r="K2363" t="inlineStr">
        <is>
          <t>逆5日线（收盘在5日线上，不追空）</t>
        </is>
      </c>
    </row>
    <row r="2364">
      <c r="A2364" t="inlineStr">
        <is>
          <t>2023-11-01</t>
        </is>
      </c>
      <c r="B2364" t="inlineStr">
        <is>
          <t>铁矿石</t>
        </is>
      </c>
      <c r="C2364" t="inlineStr">
        <is>
          <t>多</t>
        </is>
      </c>
      <c r="D2364" t="n">
        <v>3</v>
      </c>
      <c r="E2364" t="n">
        <v>6</v>
      </c>
      <c r="F2364" t="inlineStr">
        <is>
          <t>续持</t>
        </is>
      </c>
      <c r="G2364" t="n">
        <v>1</v>
      </c>
      <c r="H2364" t="n">
        <v>919.5</v>
      </c>
      <c r="I2364" t="n">
        <v>861.29</v>
      </c>
      <c r="J2364" t="n">
        <v>1</v>
      </c>
      <c r="K2364" t="inlineStr">
        <is>
          <t>续持原仓（2023-10-31开）</t>
        </is>
      </c>
    </row>
    <row r="2365">
      <c r="A2365" t="inlineStr">
        <is>
          <t>2023-11-01</t>
        </is>
      </c>
      <c r="B2365" t="inlineStr">
        <is>
          <t>沪金</t>
        </is>
      </c>
      <c r="C2365" t="inlineStr">
        <is>
          <t>多</t>
        </is>
      </c>
      <c r="D2365" t="n">
        <v>2</v>
      </c>
      <c r="E2365" t="n">
        <v>5</v>
      </c>
      <c r="F2365" t="inlineStr">
        <is>
          <t>观望</t>
        </is>
      </c>
      <c r="H2365" t="n">
        <v>477.86</v>
      </c>
      <c r="J2365" t="n">
        <v>1</v>
      </c>
      <c r="K2365" t="inlineStr">
        <is>
          <t>逆5日线（收盘在5日线下，不追多）</t>
        </is>
      </c>
    </row>
    <row r="2366">
      <c r="A2366" t="inlineStr">
        <is>
          <t>2023-11-02</t>
        </is>
      </c>
      <c r="B2366" t="inlineStr">
        <is>
          <t>豆粕</t>
        </is>
      </c>
      <c r="C2366" t="inlineStr">
        <is>
          <t>多</t>
        </is>
      </c>
      <c r="D2366" t="n">
        <v>3</v>
      </c>
      <c r="E2366" t="n">
        <v>7</v>
      </c>
      <c r="F2366" t="inlineStr">
        <is>
          <t>开仓</t>
        </is>
      </c>
      <c r="G2366" t="n">
        <v>12</v>
      </c>
      <c r="H2366" t="n">
        <v>3997</v>
      </c>
      <c r="I2366" t="n">
        <v>3813.57</v>
      </c>
      <c r="J2366" t="n">
        <v>2.35</v>
      </c>
      <c r="K2366" t="inlineStr">
        <is>
          <t>¼凯利</t>
        </is>
      </c>
    </row>
    <row r="2367">
      <c r="A2367" t="inlineStr">
        <is>
          <t>2023-11-02</t>
        </is>
      </c>
      <c r="B2367" t="inlineStr">
        <is>
          <t>沪镍</t>
        </is>
      </c>
      <c r="C2367" t="inlineStr">
        <is>
          <t>空</t>
        </is>
      </c>
      <c r="D2367" t="n">
        <v>3</v>
      </c>
      <c r="E2367" t="n">
        <v>6</v>
      </c>
      <c r="F2367" t="inlineStr">
        <is>
          <t>续持</t>
        </is>
      </c>
      <c r="G2367" t="n">
        <v>2</v>
      </c>
      <c r="H2367" t="n">
        <v>140830</v>
      </c>
      <c r="I2367" t="n">
        <v>150527.14</v>
      </c>
      <c r="J2367" t="n">
        <v>2.35</v>
      </c>
      <c r="K2367" t="inlineStr">
        <is>
          <t>续持原仓（2023-11-01开）</t>
        </is>
      </c>
    </row>
    <row r="2368">
      <c r="A2368" t="inlineStr">
        <is>
          <t>2023-11-02</t>
        </is>
      </c>
      <c r="B2368" t="inlineStr">
        <is>
          <t>铁矿石</t>
        </is>
      </c>
      <c r="C2368" t="inlineStr">
        <is>
          <t>多</t>
        </is>
      </c>
      <c r="D2368" t="n">
        <v>3</v>
      </c>
      <c r="E2368" t="n">
        <v>6</v>
      </c>
      <c r="F2368" t="inlineStr">
        <is>
          <t>续持</t>
        </is>
      </c>
      <c r="G2368" t="n">
        <v>1</v>
      </c>
      <c r="H2368" t="n">
        <v>926.5</v>
      </c>
      <c r="I2368" t="n">
        <v>866.1799999999999</v>
      </c>
      <c r="J2368" t="n">
        <v>1</v>
      </c>
      <c r="K2368" t="inlineStr">
        <is>
          <t>续持原仓（2023-10-31开）</t>
        </is>
      </c>
    </row>
    <row r="2369">
      <c r="A2369" t="inlineStr">
        <is>
          <t>2023-11-02</t>
        </is>
      </c>
      <c r="B2369" t="inlineStr">
        <is>
          <t>沪金</t>
        </is>
      </c>
      <c r="C2369" t="inlineStr">
        <is>
          <t>多</t>
        </is>
      </c>
      <c r="D2369" t="n">
        <v>3</v>
      </c>
      <c r="E2369" t="n">
        <v>6</v>
      </c>
      <c r="F2369" t="inlineStr">
        <is>
          <t>观望</t>
        </is>
      </c>
      <c r="G2369" t="n">
        <v>1</v>
      </c>
      <c r="H2369" t="n">
        <v>478.72</v>
      </c>
      <c r="I2369" t="n">
        <v>464.72</v>
      </c>
      <c r="J2369" t="n">
        <v>2.35</v>
      </c>
      <c r="K2369" t="inlineStr">
        <is>
          <t>逆5日线（收盘在5日线下，不追多）</t>
        </is>
      </c>
    </row>
    <row r="2370">
      <c r="A2370" t="inlineStr">
        <is>
          <t>2023-11-02</t>
        </is>
      </c>
      <c r="B2370" t="inlineStr">
        <is>
          <t>菜油</t>
        </is>
      </c>
      <c r="C2370" t="inlineStr">
        <is>
          <t>空</t>
        </is>
      </c>
      <c r="D2370" t="n">
        <v>3</v>
      </c>
      <c r="E2370" t="n">
        <v>6</v>
      </c>
      <c r="F2370" t="inlineStr">
        <is>
          <t>观望</t>
        </is>
      </c>
      <c r="G2370" t="n">
        <v>4</v>
      </c>
      <c r="H2370" t="n">
        <v>8514</v>
      </c>
      <c r="I2370" t="n">
        <v>9015.43</v>
      </c>
      <c r="J2370" t="n">
        <v>2.35</v>
      </c>
      <c r="K2370" t="inlineStr">
        <is>
          <t>逆5日线（收盘在5日线上，不追空）</t>
        </is>
      </c>
    </row>
    <row r="2371">
      <c r="A2371" t="inlineStr">
        <is>
          <t>2023-11-02</t>
        </is>
      </c>
      <c r="B2371" t="inlineStr">
        <is>
          <t>热卷</t>
        </is>
      </c>
      <c r="C2371" t="inlineStr">
        <is>
          <t>多</t>
        </is>
      </c>
      <c r="D2371" t="n">
        <v>2</v>
      </c>
      <c r="E2371" t="n">
        <v>5</v>
      </c>
      <c r="F2371" t="inlineStr">
        <is>
          <t>影子仓</t>
        </is>
      </c>
      <c r="G2371" t="n">
        <v>7</v>
      </c>
      <c r="H2371" t="n">
        <v>3858</v>
      </c>
      <c r="I2371" t="n">
        <v>3716.79</v>
      </c>
      <c r="J2371" t="n">
        <v>1</v>
      </c>
      <c r="K2371" t="inlineStr">
        <is>
          <t>凯利≤0，开1%影子仓（只统计，不计入组合）</t>
        </is>
      </c>
    </row>
    <row r="2372">
      <c r="A2372" t="inlineStr">
        <is>
          <t>2023-11-02</t>
        </is>
      </c>
      <c r="B2372" t="inlineStr">
        <is>
          <t>PVC</t>
        </is>
      </c>
      <c r="C2372" t="inlineStr">
        <is>
          <t>多</t>
        </is>
      </c>
      <c r="D2372" t="n">
        <v>2</v>
      </c>
      <c r="E2372" t="n">
        <v>4</v>
      </c>
      <c r="F2372" t="inlineStr">
        <is>
          <t>观望</t>
        </is>
      </c>
      <c r="G2372" t="n">
        <v>8</v>
      </c>
      <c r="H2372" t="n">
        <v>6088</v>
      </c>
      <c r="I2372" t="n">
        <v>5847.14</v>
      </c>
      <c r="J2372" t="n">
        <v>1</v>
      </c>
      <c r="K2372" t="inlineStr">
        <is>
          <t>逆5日线（收盘在5日线下，不追多）</t>
        </is>
      </c>
    </row>
    <row r="2373">
      <c r="A2373" t="inlineStr">
        <is>
          <t>2023-11-03</t>
        </is>
      </c>
      <c r="B2373" t="inlineStr">
        <is>
          <t>热卷</t>
        </is>
      </c>
      <c r="C2373" t="inlineStr">
        <is>
          <t>多</t>
        </is>
      </c>
      <c r="D2373" t="n">
        <v>3</v>
      </c>
      <c r="E2373" t="n">
        <v>7</v>
      </c>
      <c r="F2373" t="inlineStr">
        <is>
          <t>续持</t>
        </is>
      </c>
      <c r="G2373" t="n">
        <v>7</v>
      </c>
      <c r="H2373" t="n">
        <v>3899</v>
      </c>
      <c r="I2373" t="n">
        <v>3770</v>
      </c>
      <c r="J2373" t="n">
        <v>1</v>
      </c>
      <c r="K2373" t="inlineStr">
        <is>
          <t>续持原仓（2023-11-02开）</t>
        </is>
      </c>
    </row>
    <row r="2374">
      <c r="A2374" t="inlineStr">
        <is>
          <t>2023-11-03</t>
        </is>
      </c>
      <c r="B2374" t="inlineStr">
        <is>
          <t>豆粕</t>
        </is>
      </c>
      <c r="C2374" t="inlineStr">
        <is>
          <t>多</t>
        </is>
      </c>
      <c r="D2374" t="n">
        <v>3</v>
      </c>
      <c r="E2374" t="n">
        <v>7</v>
      </c>
      <c r="F2374" t="inlineStr">
        <is>
          <t>续持</t>
        </is>
      </c>
      <c r="G2374" t="n">
        <v>12</v>
      </c>
      <c r="H2374" t="n">
        <v>4039</v>
      </c>
      <c r="I2374" t="n">
        <v>3865.5</v>
      </c>
      <c r="J2374" t="n">
        <v>2.35</v>
      </c>
      <c r="K2374" t="inlineStr">
        <is>
          <t>续持原仓（2023-11-02开）</t>
        </is>
      </c>
    </row>
    <row r="2375">
      <c r="A2375" t="inlineStr">
        <is>
          <t>2023-11-03</t>
        </is>
      </c>
      <c r="B2375" t="inlineStr">
        <is>
          <t>沪金</t>
        </is>
      </c>
      <c r="C2375" t="inlineStr">
        <is>
          <t>多</t>
        </is>
      </c>
      <c r="D2375" t="n">
        <v>2</v>
      </c>
      <c r="E2375" t="n">
        <v>5</v>
      </c>
      <c r="F2375" t="inlineStr">
        <is>
          <t>观望</t>
        </is>
      </c>
      <c r="H2375" t="n">
        <v>478.2</v>
      </c>
      <c r="J2375" t="n">
        <v>1</v>
      </c>
      <c r="K2375" t="inlineStr">
        <is>
          <t>逆5日线（收盘在5日线下，不追多）</t>
        </is>
      </c>
    </row>
    <row r="2376">
      <c r="A2376" t="inlineStr">
        <is>
          <t>2023-11-03</t>
        </is>
      </c>
      <c r="B2376" t="inlineStr">
        <is>
          <t>聚丙烯</t>
        </is>
      </c>
      <c r="C2376" t="inlineStr">
        <is>
          <t>多</t>
        </is>
      </c>
      <c r="D2376" t="n">
        <v>2</v>
      </c>
      <c r="E2376" t="n">
        <v>5</v>
      </c>
      <c r="F2376" t="inlineStr">
        <is>
          <t>影子仓</t>
        </is>
      </c>
      <c r="G2376" t="n">
        <v>7</v>
      </c>
      <c r="H2376" t="n">
        <v>7695</v>
      </c>
      <c r="I2376" t="n">
        <v>7427.79</v>
      </c>
      <c r="J2376" t="n">
        <v>1</v>
      </c>
      <c r="K2376" t="inlineStr">
        <is>
          <t>凯利≤0，开1%影子仓（只统计，不计入组合）</t>
        </is>
      </c>
    </row>
    <row r="2377">
      <c r="A2377" t="inlineStr">
        <is>
          <t>2023-11-03</t>
        </is>
      </c>
      <c r="B2377" t="inlineStr">
        <is>
          <t>尿素</t>
        </is>
      </c>
      <c r="C2377" t="inlineStr">
        <is>
          <t>多</t>
        </is>
      </c>
      <c r="D2377" t="n">
        <v>2</v>
      </c>
      <c r="E2377" t="n">
        <v>5</v>
      </c>
      <c r="F2377" t="inlineStr">
        <is>
          <t>续持</t>
        </is>
      </c>
      <c r="G2377" t="n">
        <v>2</v>
      </c>
      <c r="H2377" t="n">
        <v>2360</v>
      </c>
      <c r="I2377" t="n">
        <v>2218.57</v>
      </c>
      <c r="J2377" t="n">
        <v>1</v>
      </c>
      <c r="K2377" t="inlineStr">
        <is>
          <t>续持原仓（2023-10-30开）</t>
        </is>
      </c>
    </row>
    <row r="2378">
      <c r="A2378" t="inlineStr">
        <is>
          <t>2023-11-06</t>
        </is>
      </c>
      <c r="B2378" t="inlineStr">
        <is>
          <t>豆粕</t>
        </is>
      </c>
      <c r="C2378" t="inlineStr">
        <is>
          <t>多</t>
        </is>
      </c>
      <c r="D2378" t="n">
        <v>3</v>
      </c>
      <c r="E2378" t="n">
        <v>7</v>
      </c>
      <c r="F2378" t="inlineStr">
        <is>
          <t>续持</t>
        </is>
      </c>
      <c r="G2378" t="n">
        <v>12</v>
      </c>
      <c r="H2378" t="n">
        <v>4118</v>
      </c>
      <c r="I2378" t="n">
        <v>3928.57</v>
      </c>
      <c r="J2378" t="n">
        <v>2.35</v>
      </c>
      <c r="K2378" t="inlineStr">
        <is>
          <t>续持原仓（2023-11-02开）</t>
        </is>
      </c>
    </row>
    <row r="2379">
      <c r="A2379" t="inlineStr">
        <is>
          <t>2023-11-06</t>
        </is>
      </c>
      <c r="B2379" t="inlineStr">
        <is>
          <t>尿素</t>
        </is>
      </c>
      <c r="C2379" t="inlineStr">
        <is>
          <t>多</t>
        </is>
      </c>
      <c r="D2379" t="n">
        <v>3</v>
      </c>
      <c r="E2379" t="n">
        <v>7</v>
      </c>
      <c r="F2379" t="inlineStr">
        <is>
          <t>续持</t>
        </is>
      </c>
      <c r="G2379" t="n">
        <v>2</v>
      </c>
      <c r="H2379" t="n">
        <v>2420</v>
      </c>
      <c r="I2379" t="n">
        <v>2222.64</v>
      </c>
      <c r="J2379" t="n">
        <v>1</v>
      </c>
      <c r="K2379" t="inlineStr">
        <is>
          <t>续持原仓（2023-10-30开）</t>
        </is>
      </c>
    </row>
    <row r="2380">
      <c r="A2380" t="inlineStr">
        <is>
          <t>2023-11-06</t>
        </is>
      </c>
      <c r="B2380" t="inlineStr">
        <is>
          <t>铁矿石</t>
        </is>
      </c>
      <c r="C2380" t="inlineStr">
        <is>
          <t>多</t>
        </is>
      </c>
      <c r="D2380" t="n">
        <v>2</v>
      </c>
      <c r="E2380" t="n">
        <v>5</v>
      </c>
      <c r="F2380" t="inlineStr">
        <is>
          <t>影子仓</t>
        </is>
      </c>
      <c r="G2380" t="n">
        <v>1</v>
      </c>
      <c r="H2380" t="n">
        <v>925</v>
      </c>
      <c r="I2380" t="n">
        <v>863.71</v>
      </c>
      <c r="J2380" t="n">
        <v>1</v>
      </c>
      <c r="K2380" t="inlineStr">
        <is>
          <t>凯利≤0，开1%影子仓（只统计，不计入组合）</t>
        </is>
      </c>
    </row>
    <row r="2381">
      <c r="A2381" t="inlineStr">
        <is>
          <t>2023-11-06</t>
        </is>
      </c>
      <c r="B2381" t="inlineStr">
        <is>
          <t>PVC</t>
        </is>
      </c>
      <c r="C2381" t="inlineStr">
        <is>
          <t>多</t>
        </is>
      </c>
      <c r="D2381" t="n">
        <v>2</v>
      </c>
      <c r="E2381" t="n">
        <v>4</v>
      </c>
      <c r="F2381" t="inlineStr">
        <is>
          <t>影子仓</t>
        </is>
      </c>
      <c r="G2381" t="n">
        <v>8</v>
      </c>
      <c r="H2381" t="n">
        <v>6180</v>
      </c>
      <c r="I2381" t="n">
        <v>5938.29</v>
      </c>
      <c r="J2381" t="n">
        <v>1</v>
      </c>
      <c r="K2381" t="inlineStr">
        <is>
          <t>凯利≤0，开1%影子仓（只统计，不计入组合）</t>
        </is>
      </c>
    </row>
    <row r="2382">
      <c r="A2382" t="inlineStr">
        <is>
          <t>2023-11-06</t>
        </is>
      </c>
      <c r="B2382" t="inlineStr">
        <is>
          <t>菜油</t>
        </is>
      </c>
      <c r="C2382" t="inlineStr">
        <is>
          <t>空</t>
        </is>
      </c>
      <c r="D2382" t="n">
        <v>2</v>
      </c>
      <c r="E2382" t="n">
        <v>4</v>
      </c>
      <c r="F2382" t="inlineStr">
        <is>
          <t>观望</t>
        </is>
      </c>
      <c r="G2382" t="n">
        <v>1</v>
      </c>
      <c r="H2382" t="n">
        <v>8603</v>
      </c>
      <c r="I2382" t="n">
        <v>9114.07</v>
      </c>
      <c r="J2382" t="n">
        <v>1</v>
      </c>
      <c r="K2382" t="inlineStr">
        <is>
          <t>逆5日线（收盘在5日线上，不追空）</t>
        </is>
      </c>
    </row>
    <row r="2383">
      <c r="A2383" t="inlineStr">
        <is>
          <t>2023-11-07</t>
        </is>
      </c>
      <c r="B2383" t="inlineStr">
        <is>
          <t>尿素</t>
        </is>
      </c>
      <c r="C2383" t="inlineStr">
        <is>
          <t>多</t>
        </is>
      </c>
      <c r="D2383" t="n">
        <v>3</v>
      </c>
      <c r="E2383" t="n">
        <v>7</v>
      </c>
      <c r="F2383" t="inlineStr">
        <is>
          <t>续持</t>
        </is>
      </c>
      <c r="G2383" t="n">
        <v>2</v>
      </c>
      <c r="H2383" t="n">
        <v>2429</v>
      </c>
      <c r="I2383" t="n">
        <v>2270.71</v>
      </c>
      <c r="J2383" t="n">
        <v>1</v>
      </c>
      <c r="K2383" t="inlineStr">
        <is>
          <t>续持原仓（2023-10-30开）</t>
        </is>
      </c>
    </row>
    <row r="2384">
      <c r="A2384" t="inlineStr">
        <is>
          <t>2023-11-07</t>
        </is>
      </c>
      <c r="B2384" t="inlineStr">
        <is>
          <t>菜油</t>
        </is>
      </c>
      <c r="C2384" t="inlineStr">
        <is>
          <t>空</t>
        </is>
      </c>
      <c r="D2384" t="n">
        <v>3</v>
      </c>
      <c r="E2384" t="n">
        <v>7</v>
      </c>
      <c r="F2384" t="inlineStr">
        <is>
          <t>开仓</t>
        </is>
      </c>
      <c r="G2384" t="n">
        <v>4</v>
      </c>
      <c r="H2384" t="n">
        <v>8492</v>
      </c>
      <c r="I2384" t="n">
        <v>9011</v>
      </c>
      <c r="J2384" t="n">
        <v>2.13</v>
      </c>
      <c r="K2384" t="inlineStr">
        <is>
          <t>¼凯利</t>
        </is>
      </c>
    </row>
    <row r="2385">
      <c r="A2385" t="inlineStr">
        <is>
          <t>2023-11-07</t>
        </is>
      </c>
      <c r="B2385" t="inlineStr">
        <is>
          <t>沪镍</t>
        </is>
      </c>
      <c r="C2385" t="inlineStr">
        <is>
          <t>空</t>
        </is>
      </c>
      <c r="D2385" t="n">
        <v>3</v>
      </c>
      <c r="E2385" t="n">
        <v>6</v>
      </c>
      <c r="F2385" t="inlineStr">
        <is>
          <t>开仓</t>
        </is>
      </c>
      <c r="G2385" t="n">
        <v>2</v>
      </c>
      <c r="H2385" t="n">
        <v>141450</v>
      </c>
      <c r="I2385" t="n">
        <v>151054.29</v>
      </c>
      <c r="J2385" t="n">
        <v>2.13</v>
      </c>
      <c r="K2385" t="inlineStr">
        <is>
          <t>¼凯利</t>
        </is>
      </c>
    </row>
    <row r="2386">
      <c r="A2386" t="inlineStr">
        <is>
          <t>2023-11-07</t>
        </is>
      </c>
      <c r="B2386" t="inlineStr">
        <is>
          <t>豆粕</t>
        </is>
      </c>
      <c r="C2386" t="inlineStr">
        <is>
          <t>多</t>
        </is>
      </c>
      <c r="D2386" t="n">
        <v>3</v>
      </c>
      <c r="E2386" t="n">
        <v>6</v>
      </c>
      <c r="F2386" t="inlineStr">
        <is>
          <t>续持</t>
        </is>
      </c>
      <c r="G2386" t="n">
        <v>12</v>
      </c>
      <c r="H2386" t="n">
        <v>4100</v>
      </c>
      <c r="I2386" t="n">
        <v>3953</v>
      </c>
      <c r="J2386" t="n">
        <v>2.35</v>
      </c>
      <c r="K2386" t="inlineStr">
        <is>
          <t>续持原仓（2023-11-02开）</t>
        </is>
      </c>
    </row>
    <row r="2387">
      <c r="A2387" t="inlineStr">
        <is>
          <t>2023-11-07</t>
        </is>
      </c>
      <c r="B2387" t="inlineStr">
        <is>
          <t>PVC</t>
        </is>
      </c>
      <c r="C2387" t="inlineStr">
        <is>
          <t>多</t>
        </is>
      </c>
      <c r="D2387" t="n">
        <v>2</v>
      </c>
      <c r="E2387" t="n">
        <v>5</v>
      </c>
      <c r="F2387" t="inlineStr">
        <is>
          <t>观望</t>
        </is>
      </c>
      <c r="G2387" t="n">
        <v>8</v>
      </c>
      <c r="H2387" t="n">
        <v>6110</v>
      </c>
      <c r="I2387" t="n">
        <v>5873.86</v>
      </c>
      <c r="J2387" t="n">
        <v>1</v>
      </c>
      <c r="K2387" t="inlineStr">
        <is>
          <t>逆5日线（收盘在5日线下，不追多）</t>
        </is>
      </c>
    </row>
    <row r="2388">
      <c r="A2388" t="inlineStr">
        <is>
          <t>2023-11-07</t>
        </is>
      </c>
      <c r="B2388" t="inlineStr">
        <is>
          <t>铁矿石</t>
        </is>
      </c>
      <c r="C2388" t="inlineStr">
        <is>
          <t>多</t>
        </is>
      </c>
      <c r="D2388" t="n">
        <v>2</v>
      </c>
      <c r="E2388" t="n">
        <v>5</v>
      </c>
      <c r="F2388" t="inlineStr">
        <is>
          <t>观望</t>
        </is>
      </c>
      <c r="G2388" t="n">
        <v>1</v>
      </c>
      <c r="H2388" t="n">
        <v>923.5</v>
      </c>
      <c r="I2388" t="n">
        <v>862.54</v>
      </c>
      <c r="J2388" t="n">
        <v>1</v>
      </c>
      <c r="K2388" t="inlineStr">
        <is>
          <t>逆5日线（收盘在5日线下，不追多）</t>
        </is>
      </c>
    </row>
    <row r="2389">
      <c r="A2389" t="inlineStr">
        <is>
          <t>2023-11-07</t>
        </is>
      </c>
      <c r="B2389" t="inlineStr">
        <is>
          <t>热卷</t>
        </is>
      </c>
      <c r="C2389" t="inlineStr">
        <is>
          <t>多</t>
        </is>
      </c>
      <c r="D2389" t="n">
        <v>2</v>
      </c>
      <c r="E2389" t="n">
        <v>5</v>
      </c>
      <c r="F2389" t="inlineStr">
        <is>
          <t>影子仓</t>
        </is>
      </c>
      <c r="G2389" t="n">
        <v>7</v>
      </c>
      <c r="H2389" t="n">
        <v>3889</v>
      </c>
      <c r="I2389" t="n">
        <v>3752.29</v>
      </c>
      <c r="J2389" t="n">
        <v>1</v>
      </c>
      <c r="K2389" t="inlineStr">
        <is>
          <t>凯利≤0，开1%影子仓（只统计，不计入组合）</t>
        </is>
      </c>
    </row>
    <row r="2390">
      <c r="A2390" t="inlineStr">
        <is>
          <t>2023-11-08</t>
        </is>
      </c>
      <c r="B2390" t="inlineStr">
        <is>
          <t>热卷</t>
        </is>
      </c>
      <c r="C2390" t="inlineStr">
        <is>
          <t>多</t>
        </is>
      </c>
      <c r="D2390" t="n">
        <v>3</v>
      </c>
      <c r="E2390" t="n">
        <v>7</v>
      </c>
      <c r="F2390" t="inlineStr">
        <is>
          <t>续持</t>
        </is>
      </c>
      <c r="G2390" t="n">
        <v>7</v>
      </c>
      <c r="H2390" t="n">
        <v>3940</v>
      </c>
      <c r="I2390" t="n">
        <v>3798.43</v>
      </c>
      <c r="J2390" t="n">
        <v>1</v>
      </c>
      <c r="K2390" t="inlineStr">
        <is>
          <t>续持原仓（2023-11-07开）</t>
        </is>
      </c>
    </row>
    <row r="2391">
      <c r="A2391" t="inlineStr">
        <is>
          <t>2023-11-08</t>
        </is>
      </c>
      <c r="B2391" t="inlineStr">
        <is>
          <t>PVC</t>
        </is>
      </c>
      <c r="C2391" t="inlineStr">
        <is>
          <t>多</t>
        </is>
      </c>
      <c r="D2391" t="n">
        <v>3</v>
      </c>
      <c r="E2391" t="n">
        <v>6</v>
      </c>
      <c r="F2391" t="inlineStr">
        <is>
          <t>续持</t>
        </is>
      </c>
      <c r="G2391" t="n">
        <v>8</v>
      </c>
      <c r="H2391" t="n">
        <v>6144</v>
      </c>
      <c r="I2391" t="n">
        <v>5943.86</v>
      </c>
      <c r="J2391" t="n">
        <v>1</v>
      </c>
      <c r="K2391" t="inlineStr">
        <is>
          <t>续持原仓（2023-11-06开）</t>
        </is>
      </c>
    </row>
    <row r="2392">
      <c r="A2392" t="inlineStr">
        <is>
          <t>2023-11-08</t>
        </is>
      </c>
      <c r="B2392" t="inlineStr">
        <is>
          <t>豆粕</t>
        </is>
      </c>
      <c r="C2392" t="inlineStr">
        <is>
          <t>多</t>
        </is>
      </c>
      <c r="D2392" t="n">
        <v>3</v>
      </c>
      <c r="E2392" t="n">
        <v>6</v>
      </c>
      <c r="F2392" t="inlineStr">
        <is>
          <t>续持</t>
        </is>
      </c>
      <c r="G2392" t="n">
        <v>12</v>
      </c>
      <c r="H2392" t="n">
        <v>4129</v>
      </c>
      <c r="I2392" t="n">
        <v>3970.64</v>
      </c>
      <c r="J2392" t="n">
        <v>2.35</v>
      </c>
      <c r="K2392" t="inlineStr">
        <is>
          <t>续持原仓（2023-11-02开）</t>
        </is>
      </c>
    </row>
    <row r="2393">
      <c r="A2393" t="inlineStr">
        <is>
          <t>2023-11-08</t>
        </is>
      </c>
      <c r="B2393" t="inlineStr">
        <is>
          <t>铁矿石</t>
        </is>
      </c>
      <c r="C2393" t="inlineStr">
        <is>
          <t>多</t>
        </is>
      </c>
      <c r="D2393" t="n">
        <v>3</v>
      </c>
      <c r="E2393" t="n">
        <v>6</v>
      </c>
      <c r="F2393" t="inlineStr">
        <is>
          <t>续持</t>
        </is>
      </c>
      <c r="G2393" t="n">
        <v>1</v>
      </c>
      <c r="H2393" t="n">
        <v>935</v>
      </c>
      <c r="I2393" t="n">
        <v>873.79</v>
      </c>
      <c r="J2393" t="n">
        <v>1</v>
      </c>
      <c r="K2393" t="inlineStr">
        <is>
          <t>续持原仓（2023-11-06开）</t>
        </is>
      </c>
    </row>
    <row r="2394">
      <c r="A2394" t="inlineStr">
        <is>
          <t>2023-11-08</t>
        </is>
      </c>
      <c r="B2394" t="inlineStr">
        <is>
          <t>菜油</t>
        </is>
      </c>
      <c r="C2394" t="inlineStr">
        <is>
          <t>空</t>
        </is>
      </c>
      <c r="D2394" t="n">
        <v>2</v>
      </c>
      <c r="E2394" t="n">
        <v>5</v>
      </c>
      <c r="F2394" t="inlineStr">
        <is>
          <t>续持</t>
        </is>
      </c>
      <c r="G2394" t="n">
        <v>4</v>
      </c>
      <c r="H2394" t="n">
        <v>8521</v>
      </c>
      <c r="I2394" t="n">
        <v>8959.290000000001</v>
      </c>
      <c r="J2394" t="n">
        <v>2.13</v>
      </c>
      <c r="K2394" t="inlineStr">
        <is>
          <t>续持原仓（2023-11-07开）</t>
        </is>
      </c>
    </row>
    <row r="2395">
      <c r="A2395" t="inlineStr">
        <is>
          <t>2023-11-08</t>
        </is>
      </c>
      <c r="B2395" t="inlineStr">
        <is>
          <t>白糖</t>
        </is>
      </c>
      <c r="C2395" t="inlineStr">
        <is>
          <t>多</t>
        </is>
      </c>
      <c r="D2395" t="n">
        <v>2</v>
      </c>
      <c r="E2395" t="n">
        <v>5</v>
      </c>
      <c r="F2395" t="inlineStr">
        <is>
          <t>影子仓</t>
        </is>
      </c>
      <c r="G2395" t="n">
        <v>4</v>
      </c>
      <c r="H2395" t="n">
        <v>6940</v>
      </c>
      <c r="I2395" t="n">
        <v>6725.07</v>
      </c>
      <c r="J2395" t="n">
        <v>1</v>
      </c>
      <c r="K2395" t="inlineStr">
        <is>
          <t>凯利≤0，开1%影子仓（只统计，不计入组合）</t>
        </is>
      </c>
    </row>
    <row r="2396">
      <c r="A2396" t="inlineStr">
        <is>
          <t>2023-11-08</t>
        </is>
      </c>
      <c r="B2396" t="inlineStr">
        <is>
          <t>苯乙烯</t>
        </is>
      </c>
      <c r="C2396" t="inlineStr">
        <is>
          <t>空</t>
        </is>
      </c>
      <c r="D2396" t="n">
        <v>2</v>
      </c>
      <c r="E2396" t="n">
        <v>4</v>
      </c>
      <c r="F2396" t="inlineStr">
        <is>
          <t>影子仓</t>
        </is>
      </c>
      <c r="G2396" t="n">
        <v>3</v>
      </c>
      <c r="H2396" t="n">
        <v>8439</v>
      </c>
      <c r="I2396" t="n">
        <v>8999.790000000001</v>
      </c>
      <c r="J2396" t="n">
        <v>1</v>
      </c>
      <c r="K2396" t="inlineStr">
        <is>
          <t>凯利≤0，开1%影子仓（只统计，不计入组合）</t>
        </is>
      </c>
    </row>
    <row r="2397">
      <c r="A2397" t="inlineStr">
        <is>
          <t>2023-11-08</t>
        </is>
      </c>
      <c r="B2397" t="inlineStr">
        <is>
          <t>PTA</t>
        </is>
      </c>
      <c r="C2397" t="inlineStr">
        <is>
          <t>空</t>
        </is>
      </c>
      <c r="D2397" t="n">
        <v>2</v>
      </c>
      <c r="E2397" t="n">
        <v>4</v>
      </c>
      <c r="F2397" t="inlineStr">
        <is>
          <t>影子仓</t>
        </is>
      </c>
      <c r="G2397" t="n">
        <v>5</v>
      </c>
      <c r="H2397" t="n">
        <v>5824</v>
      </c>
      <c r="I2397" t="n">
        <v>6164.29</v>
      </c>
      <c r="J2397" t="n">
        <v>1</v>
      </c>
      <c r="K2397" t="inlineStr">
        <is>
          <t>凯利≤0，开1%影子仓（只统计，不计入组合）</t>
        </is>
      </c>
    </row>
    <row r="2398">
      <c r="A2398" t="inlineStr">
        <is>
          <t>2023-11-09</t>
        </is>
      </c>
      <c r="B2398" t="inlineStr">
        <is>
          <t>菜油</t>
        </is>
      </c>
      <c r="C2398" t="inlineStr">
        <is>
          <t>空</t>
        </is>
      </c>
      <c r="D2398" t="n">
        <v>3</v>
      </c>
      <c r="E2398" t="n">
        <v>7</v>
      </c>
      <c r="F2398" t="inlineStr">
        <is>
          <t>续持</t>
        </is>
      </c>
      <c r="G2398" t="n">
        <v>4</v>
      </c>
      <c r="H2398" t="n">
        <v>8441</v>
      </c>
      <c r="I2398" t="n">
        <v>8901.93</v>
      </c>
      <c r="J2398" t="n">
        <v>2.13</v>
      </c>
      <c r="K2398" t="inlineStr">
        <is>
          <t>续持原仓（2023-11-07开）</t>
        </is>
      </c>
    </row>
    <row r="2399">
      <c r="A2399" t="inlineStr">
        <is>
          <t>2023-11-09</t>
        </is>
      </c>
      <c r="B2399" t="inlineStr">
        <is>
          <t>热卷</t>
        </is>
      </c>
      <c r="C2399" t="inlineStr">
        <is>
          <t>多</t>
        </is>
      </c>
      <c r="D2399" t="n">
        <v>3</v>
      </c>
      <c r="E2399" t="n">
        <v>7</v>
      </c>
      <c r="F2399" t="inlineStr">
        <is>
          <t>续持</t>
        </is>
      </c>
      <c r="G2399" t="n">
        <v>7</v>
      </c>
      <c r="H2399" t="n">
        <v>3953</v>
      </c>
      <c r="I2399" t="n">
        <v>3831.43</v>
      </c>
      <c r="J2399" t="n">
        <v>1</v>
      </c>
      <c r="K2399" t="inlineStr">
        <is>
          <t>续持原仓（2023-11-07开）</t>
        </is>
      </c>
    </row>
    <row r="2400">
      <c r="A2400" t="inlineStr">
        <is>
          <t>2023-11-09</t>
        </is>
      </c>
      <c r="B2400" t="inlineStr">
        <is>
          <t>铁矿石</t>
        </is>
      </c>
      <c r="C2400" t="inlineStr">
        <is>
          <t>多</t>
        </is>
      </c>
      <c r="D2400" t="n">
        <v>3</v>
      </c>
      <c r="E2400" t="n">
        <v>6</v>
      </c>
      <c r="F2400" t="inlineStr">
        <is>
          <t>续持</t>
        </is>
      </c>
      <c r="G2400" t="n">
        <v>1</v>
      </c>
      <c r="H2400" t="n">
        <v>939</v>
      </c>
      <c r="I2400" t="n">
        <v>887.04</v>
      </c>
      <c r="J2400" t="n">
        <v>1</v>
      </c>
      <c r="K2400" t="inlineStr">
        <is>
          <t>续持原仓（2023-11-06开）</t>
        </is>
      </c>
    </row>
    <row r="2401">
      <c r="A2401" t="inlineStr">
        <is>
          <t>2023-11-09</t>
        </is>
      </c>
      <c r="B2401" t="inlineStr">
        <is>
          <t>沪银</t>
        </is>
      </c>
      <c r="C2401" t="inlineStr">
        <is>
          <t>空</t>
        </is>
      </c>
      <c r="D2401" t="n">
        <v>3</v>
      </c>
      <c r="E2401" t="n">
        <v>6</v>
      </c>
      <c r="F2401" t="inlineStr">
        <is>
          <t>续持</t>
        </is>
      </c>
      <c r="G2401" t="n">
        <v>2</v>
      </c>
      <c r="H2401" t="n">
        <v>5731</v>
      </c>
      <c r="I2401" t="n">
        <v>5946.29</v>
      </c>
      <c r="J2401" t="n">
        <v>1</v>
      </c>
      <c r="K2401" t="inlineStr">
        <is>
          <t>续持原仓（2023-10-24开）</t>
        </is>
      </c>
    </row>
    <row r="2402">
      <c r="A2402" t="inlineStr">
        <is>
          <t>2023-11-09</t>
        </is>
      </c>
      <c r="B2402" t="inlineStr">
        <is>
          <t>菜粕</t>
        </is>
      </c>
      <c r="C2402" t="inlineStr">
        <is>
          <t>多</t>
        </is>
      </c>
      <c r="D2402" t="n">
        <v>3</v>
      </c>
      <c r="E2402" t="n">
        <v>6</v>
      </c>
      <c r="F2402" t="inlineStr">
        <is>
          <t>开仓</t>
        </is>
      </c>
      <c r="G2402" t="n">
        <v>3</v>
      </c>
      <c r="H2402" t="n">
        <v>3055</v>
      </c>
      <c r="I2402" t="n">
        <v>2846.29</v>
      </c>
      <c r="J2402" t="n">
        <v>0.65</v>
      </c>
      <c r="K2402" t="inlineStr">
        <is>
          <t>与豆粕高度相关（同组≤3%），预算缩小</t>
        </is>
      </c>
    </row>
    <row r="2403">
      <c r="A2403" t="inlineStr">
        <is>
          <t>2023-11-09</t>
        </is>
      </c>
      <c r="B2403" t="inlineStr">
        <is>
          <t>PVC</t>
        </is>
      </c>
      <c r="C2403" t="inlineStr">
        <is>
          <t>多</t>
        </is>
      </c>
      <c r="D2403" t="n">
        <v>2</v>
      </c>
      <c r="E2403" t="n">
        <v>5</v>
      </c>
      <c r="F2403" t="inlineStr">
        <is>
          <t>观望</t>
        </is>
      </c>
      <c r="G2403" t="n">
        <v>8</v>
      </c>
      <c r="H2403" t="n">
        <v>6135</v>
      </c>
      <c r="I2403" t="n">
        <v>5904</v>
      </c>
      <c r="J2403" t="n">
        <v>1</v>
      </c>
      <c r="K2403" t="inlineStr">
        <is>
          <t>逆5日线（收盘在5日线下，不追多）</t>
        </is>
      </c>
    </row>
    <row r="2404">
      <c r="A2404" t="inlineStr">
        <is>
          <t>2023-11-09</t>
        </is>
      </c>
      <c r="B2404" t="inlineStr">
        <is>
          <t>豆粕</t>
        </is>
      </c>
      <c r="C2404" t="inlineStr">
        <is>
          <t>多</t>
        </is>
      </c>
      <c r="D2404" t="n">
        <v>2</v>
      </c>
      <c r="E2404" t="n">
        <v>5</v>
      </c>
      <c r="F2404" t="inlineStr">
        <is>
          <t>续持</t>
        </is>
      </c>
      <c r="G2404" t="n">
        <v>12</v>
      </c>
      <c r="H2404" t="n">
        <v>4119</v>
      </c>
      <c r="I2404" t="n">
        <v>3972.36</v>
      </c>
      <c r="J2404" t="n">
        <v>2.35</v>
      </c>
      <c r="K2404" t="inlineStr">
        <is>
          <t>续持原仓（2023-11-02开）</t>
        </is>
      </c>
    </row>
    <row r="2405">
      <c r="A2405" t="inlineStr">
        <is>
          <t>2023-11-09</t>
        </is>
      </c>
      <c r="B2405" t="inlineStr">
        <is>
          <t>沪金</t>
        </is>
      </c>
      <c r="C2405" t="inlineStr">
        <is>
          <t>空</t>
        </is>
      </c>
      <c r="D2405" t="n">
        <v>2</v>
      </c>
      <c r="E2405" t="n">
        <v>4</v>
      </c>
      <c r="F2405" t="inlineStr">
        <is>
          <t>不做</t>
        </is>
      </c>
      <c r="H2405" t="n">
        <v>468.9</v>
      </c>
      <c r="J2405" t="n">
        <v>1</v>
      </c>
      <c r="K2405" t="inlineStr">
        <is>
          <t>1手风险11756元超过预算10000元</t>
        </is>
      </c>
    </row>
    <row r="2406">
      <c r="A2406" t="inlineStr">
        <is>
          <t>2023-11-10</t>
        </is>
      </c>
      <c r="B2406" t="inlineStr">
        <is>
          <t>热卷</t>
        </is>
      </c>
      <c r="C2406" t="inlineStr">
        <is>
          <t>多</t>
        </is>
      </c>
      <c r="D2406" t="n">
        <v>3</v>
      </c>
      <c r="E2406" t="n">
        <v>7</v>
      </c>
      <c r="F2406" t="inlineStr">
        <is>
          <t>续持</t>
        </is>
      </c>
      <c r="G2406" t="n">
        <v>7</v>
      </c>
      <c r="H2406" t="n">
        <v>3985</v>
      </c>
      <c r="I2406" t="n">
        <v>3853.86</v>
      </c>
      <c r="J2406" t="n">
        <v>1</v>
      </c>
      <c r="K2406" t="inlineStr">
        <is>
          <t>续持原仓（2023-11-07开）</t>
        </is>
      </c>
    </row>
    <row r="2407">
      <c r="A2407" t="inlineStr">
        <is>
          <t>2023-11-10</t>
        </is>
      </c>
      <c r="B2407" t="inlineStr">
        <is>
          <t>铁矿石</t>
        </is>
      </c>
      <c r="C2407" t="inlineStr">
        <is>
          <t>多</t>
        </is>
      </c>
      <c r="D2407" t="n">
        <v>3</v>
      </c>
      <c r="E2407" t="n">
        <v>7</v>
      </c>
      <c r="F2407" t="inlineStr">
        <is>
          <t>续持</t>
        </is>
      </c>
      <c r="G2407" t="n">
        <v>1</v>
      </c>
      <c r="H2407" t="n">
        <v>961.5</v>
      </c>
      <c r="I2407" t="n">
        <v>904.25</v>
      </c>
      <c r="J2407" t="n">
        <v>1</v>
      </c>
      <c r="K2407" t="inlineStr">
        <is>
          <t>续持原仓（2023-11-06开）</t>
        </is>
      </c>
    </row>
    <row r="2408">
      <c r="A2408" t="inlineStr">
        <is>
          <t>2023-11-10</t>
        </is>
      </c>
      <c r="B2408" t="inlineStr">
        <is>
          <t>白糖</t>
        </is>
      </c>
      <c r="C2408" t="inlineStr">
        <is>
          <t>多</t>
        </is>
      </c>
      <c r="D2408" t="n">
        <v>3</v>
      </c>
      <c r="E2408" t="n">
        <v>6</v>
      </c>
      <c r="F2408" t="inlineStr">
        <is>
          <t>续持</t>
        </is>
      </c>
      <c r="G2408" t="n">
        <v>4</v>
      </c>
      <c r="H2408" t="n">
        <v>7003</v>
      </c>
      <c r="I2408" t="n">
        <v>6827.93</v>
      </c>
      <c r="J2408" t="n">
        <v>1</v>
      </c>
      <c r="K2408" t="inlineStr">
        <is>
          <t>续持原仓（2023-11-08开）</t>
        </is>
      </c>
    </row>
    <row r="2409">
      <c r="A2409" t="inlineStr">
        <is>
          <t>2023-11-10</t>
        </is>
      </c>
      <c r="B2409" t="inlineStr">
        <is>
          <t>PVC</t>
        </is>
      </c>
      <c r="C2409" t="inlineStr">
        <is>
          <t>多</t>
        </is>
      </c>
      <c r="D2409" t="n">
        <v>3</v>
      </c>
      <c r="E2409" t="n">
        <v>6</v>
      </c>
      <c r="F2409" t="inlineStr">
        <is>
          <t>观望</t>
        </is>
      </c>
      <c r="G2409" t="n">
        <v>18</v>
      </c>
      <c r="H2409" t="n">
        <v>6100</v>
      </c>
      <c r="I2409" t="n">
        <v>5865.57</v>
      </c>
      <c r="J2409" t="n">
        <v>2.14</v>
      </c>
      <c r="K2409" t="inlineStr">
        <is>
          <t>逆5日线（收盘在5日线下，不追多）</t>
        </is>
      </c>
    </row>
    <row r="2410">
      <c r="A2410" t="inlineStr">
        <is>
          <t>2023-11-10</t>
        </is>
      </c>
      <c r="B2410" t="inlineStr">
        <is>
          <t>螺纹钢</t>
        </is>
      </c>
      <c r="C2410" t="inlineStr">
        <is>
          <t>多</t>
        </is>
      </c>
      <c r="D2410" t="n">
        <v>3</v>
      </c>
      <c r="E2410" t="n">
        <v>6</v>
      </c>
      <c r="F2410" t="inlineStr">
        <is>
          <t>开仓</t>
        </is>
      </c>
      <c r="G2410" t="n">
        <v>15</v>
      </c>
      <c r="H2410" t="n">
        <v>3879</v>
      </c>
      <c r="I2410" t="n">
        <v>3736.71</v>
      </c>
      <c r="J2410" t="n">
        <v>2.14</v>
      </c>
      <c r="K2410" t="inlineStr">
        <is>
          <t>¼凯利</t>
        </is>
      </c>
    </row>
    <row r="2411">
      <c r="A2411" t="inlineStr">
        <is>
          <t>2023-11-10</t>
        </is>
      </c>
      <c r="B2411" t="inlineStr">
        <is>
          <t>苯乙烯</t>
        </is>
      </c>
      <c r="C2411" t="inlineStr">
        <is>
          <t>空</t>
        </is>
      </c>
      <c r="D2411" t="n">
        <v>2</v>
      </c>
      <c r="E2411" t="n">
        <v>4</v>
      </c>
      <c r="F2411" t="inlineStr">
        <is>
          <t>影子仓</t>
        </is>
      </c>
      <c r="G2411" t="n">
        <v>3</v>
      </c>
      <c r="H2411" t="n">
        <v>8471</v>
      </c>
      <c r="I2411" t="n">
        <v>9013.790000000001</v>
      </c>
      <c r="J2411" t="n">
        <v>1</v>
      </c>
      <c r="K2411" t="inlineStr">
        <is>
          <t>凯利≤0，开1%影子仓（只统计，不计入组合）</t>
        </is>
      </c>
    </row>
    <row r="2412">
      <c r="A2412" t="inlineStr">
        <is>
          <t>2023-11-13</t>
        </is>
      </c>
      <c r="B2412" t="inlineStr">
        <is>
          <t>沪镍</t>
        </is>
      </c>
      <c r="C2412" t="inlineStr">
        <is>
          <t>空</t>
        </is>
      </c>
      <c r="D2412" t="n">
        <v>3</v>
      </c>
      <c r="E2412" t="n">
        <v>7</v>
      </c>
      <c r="F2412" t="inlineStr">
        <is>
          <t>开仓</t>
        </is>
      </c>
      <c r="G2412" t="n">
        <v>2</v>
      </c>
      <c r="H2412" t="n">
        <v>139660</v>
      </c>
      <c r="I2412" t="n">
        <v>148677.14</v>
      </c>
      <c r="J2412" t="n">
        <v>2.12</v>
      </c>
      <c r="K2412" t="inlineStr">
        <is>
          <t>¼凯利</t>
        </is>
      </c>
    </row>
    <row r="2413">
      <c r="A2413" t="inlineStr">
        <is>
          <t>2023-11-13</t>
        </is>
      </c>
      <c r="B2413" t="inlineStr">
        <is>
          <t>豆粕</t>
        </is>
      </c>
      <c r="C2413" t="inlineStr">
        <is>
          <t>多</t>
        </is>
      </c>
      <c r="D2413" t="n">
        <v>3</v>
      </c>
      <c r="E2413" t="n">
        <v>7</v>
      </c>
      <c r="F2413" t="inlineStr">
        <is>
          <t>观望</t>
        </is>
      </c>
      <c r="G2413" t="n">
        <v>10</v>
      </c>
      <c r="H2413" t="n">
        <v>4058</v>
      </c>
      <c r="I2413" t="n">
        <v>3864.71</v>
      </c>
      <c r="J2413" t="n">
        <v>2.12</v>
      </c>
      <c r="K2413" t="inlineStr">
        <is>
          <t>逆5日线（收盘在5日线下，不追多）</t>
        </is>
      </c>
    </row>
    <row r="2414">
      <c r="A2414" t="inlineStr">
        <is>
          <t>2023-11-13</t>
        </is>
      </c>
      <c r="B2414" t="inlineStr">
        <is>
          <t>苯乙烯</t>
        </is>
      </c>
      <c r="C2414" t="inlineStr">
        <is>
          <t>空</t>
        </is>
      </c>
      <c r="D2414" t="n">
        <v>3</v>
      </c>
      <c r="E2414" t="n">
        <v>6</v>
      </c>
      <c r="F2414" t="inlineStr">
        <is>
          <t>续持</t>
        </is>
      </c>
      <c r="G2414" t="n">
        <v>3</v>
      </c>
      <c r="H2414" t="n">
        <v>8376</v>
      </c>
      <c r="I2414" t="n">
        <v>8832.209999999999</v>
      </c>
      <c r="J2414" t="n">
        <v>1</v>
      </c>
      <c r="K2414" t="inlineStr">
        <is>
          <t>续持原仓（2023-11-10开）</t>
        </is>
      </c>
    </row>
    <row r="2415">
      <c r="A2415" t="inlineStr">
        <is>
          <t>2023-11-13</t>
        </is>
      </c>
      <c r="B2415" t="inlineStr">
        <is>
          <t>沪银</t>
        </is>
      </c>
      <c r="C2415" t="inlineStr">
        <is>
          <t>空</t>
        </is>
      </c>
      <c r="D2415" t="n">
        <v>3</v>
      </c>
      <c r="E2415" t="n">
        <v>6</v>
      </c>
      <c r="F2415" t="inlineStr">
        <is>
          <t>续持</t>
        </is>
      </c>
      <c r="G2415" t="n">
        <v>2</v>
      </c>
      <c r="H2415" t="n">
        <v>5688</v>
      </c>
      <c r="I2415" t="n">
        <v>5901.64</v>
      </c>
      <c r="J2415" t="n">
        <v>1</v>
      </c>
      <c r="K2415" t="inlineStr">
        <is>
          <t>续持原仓（2023-10-24开）</t>
        </is>
      </c>
    </row>
    <row r="2416">
      <c r="A2416" t="inlineStr">
        <is>
          <t>2023-11-13</t>
        </is>
      </c>
      <c r="B2416" t="inlineStr">
        <is>
          <t>热卷</t>
        </is>
      </c>
      <c r="C2416" t="inlineStr">
        <is>
          <t>多</t>
        </is>
      </c>
      <c r="D2416" t="n">
        <v>2</v>
      </c>
      <c r="E2416" t="n">
        <v>5</v>
      </c>
      <c r="F2416" t="inlineStr">
        <is>
          <t>续持</t>
        </is>
      </c>
      <c r="G2416" t="n">
        <v>7</v>
      </c>
      <c r="H2416" t="n">
        <v>3962</v>
      </c>
      <c r="I2416" t="n">
        <v>3867</v>
      </c>
      <c r="J2416" t="n">
        <v>1</v>
      </c>
      <c r="K2416" t="inlineStr">
        <is>
          <t>续持原仓（2023-11-07开）</t>
        </is>
      </c>
    </row>
    <row r="2417">
      <c r="A2417" t="inlineStr">
        <is>
          <t>2023-11-13</t>
        </is>
      </c>
      <c r="B2417" t="inlineStr">
        <is>
          <t>纯碱</t>
        </is>
      </c>
      <c r="C2417" t="inlineStr">
        <is>
          <t>多</t>
        </is>
      </c>
      <c r="D2417" t="n">
        <v>2</v>
      </c>
      <c r="E2417" t="n">
        <v>5</v>
      </c>
      <c r="F2417" t="inlineStr">
        <is>
          <t>影子仓</t>
        </is>
      </c>
      <c r="G2417" t="n">
        <v>2</v>
      </c>
      <c r="H2417" t="n">
        <v>2058</v>
      </c>
      <c r="I2417" t="n">
        <v>1839</v>
      </c>
      <c r="J2417" t="n">
        <v>1</v>
      </c>
      <c r="K2417" t="inlineStr">
        <is>
          <t>凯利≤0，开1%影子仓（只统计，不计入组合）</t>
        </is>
      </c>
    </row>
    <row r="2418">
      <c r="A2418" t="inlineStr">
        <is>
          <t>2023-11-13</t>
        </is>
      </c>
      <c r="B2418" t="inlineStr">
        <is>
          <t>PVC</t>
        </is>
      </c>
      <c r="C2418" t="inlineStr">
        <is>
          <t>多</t>
        </is>
      </c>
      <c r="D2418" t="n">
        <v>2</v>
      </c>
      <c r="E2418" t="n">
        <v>5</v>
      </c>
      <c r="F2418" t="inlineStr">
        <is>
          <t>观望</t>
        </is>
      </c>
      <c r="G2418" t="n">
        <v>8</v>
      </c>
      <c r="H2418" t="n">
        <v>6012</v>
      </c>
      <c r="I2418" t="n">
        <v>5767.5</v>
      </c>
      <c r="J2418" t="n">
        <v>1</v>
      </c>
      <c r="K2418" t="inlineStr">
        <is>
          <t>逆5日线（收盘在5日线下，不追多）</t>
        </is>
      </c>
    </row>
    <row r="2419">
      <c r="A2419" t="inlineStr">
        <is>
          <t>2023-11-13</t>
        </is>
      </c>
      <c r="B2419" t="inlineStr">
        <is>
          <t>PTA</t>
        </is>
      </c>
      <c r="C2419" t="inlineStr">
        <is>
          <t>空</t>
        </is>
      </c>
      <c r="D2419" t="n">
        <v>2</v>
      </c>
      <c r="E2419" t="n">
        <v>5</v>
      </c>
      <c r="F2419" t="inlineStr">
        <is>
          <t>影子仓</t>
        </is>
      </c>
      <c r="G2419" t="n">
        <v>5</v>
      </c>
      <c r="H2419" t="n">
        <v>5802</v>
      </c>
      <c r="I2419" t="n">
        <v>6136.29</v>
      </c>
      <c r="J2419" t="n">
        <v>1</v>
      </c>
      <c r="K2419" t="inlineStr">
        <is>
          <t>凯利≤0，开1%影子仓（只统计，不计入组合）</t>
        </is>
      </c>
    </row>
    <row r="2420">
      <c r="A2420" t="inlineStr">
        <is>
          <t>2023-11-13</t>
        </is>
      </c>
      <c r="B2420" t="inlineStr">
        <is>
          <t>螺纹钢</t>
        </is>
      </c>
      <c r="C2420" t="inlineStr">
        <is>
          <t>多</t>
        </is>
      </c>
      <c r="D2420" t="n">
        <v>2</v>
      </c>
      <c r="E2420" t="n">
        <v>4</v>
      </c>
      <c r="F2420" t="inlineStr">
        <is>
          <t>续持</t>
        </is>
      </c>
      <c r="G2420" t="n">
        <v>15</v>
      </c>
      <c r="H2420" t="n">
        <v>3872</v>
      </c>
      <c r="I2420" t="n">
        <v>3775.5</v>
      </c>
      <c r="J2420" t="n">
        <v>2.14</v>
      </c>
      <c r="K2420" t="inlineStr">
        <is>
          <t>续持原仓（2023-11-10开）</t>
        </is>
      </c>
    </row>
    <row r="2421">
      <c r="A2421" t="inlineStr">
        <is>
          <t>2023-11-13</t>
        </is>
      </c>
      <c r="B2421" t="inlineStr">
        <is>
          <t>棉花</t>
        </is>
      </c>
      <c r="C2421" t="inlineStr">
        <is>
          <t>空</t>
        </is>
      </c>
      <c r="D2421" t="n">
        <v>2</v>
      </c>
      <c r="E2421" t="n">
        <v>4</v>
      </c>
      <c r="F2421" t="inlineStr">
        <is>
          <t>影子仓</t>
        </is>
      </c>
      <c r="G2421" t="n">
        <v>2</v>
      </c>
      <c r="H2421" t="n">
        <v>15635</v>
      </c>
      <c r="I2421" t="n">
        <v>16434.29</v>
      </c>
      <c r="J2421" t="n">
        <v>1</v>
      </c>
      <c r="K2421" t="inlineStr">
        <is>
          <t>凯利≤0，开1%影子仓（只统计，不计入组合）</t>
        </is>
      </c>
    </row>
    <row r="2422">
      <c r="A2422" t="inlineStr">
        <is>
          <t>2023-11-14</t>
        </is>
      </c>
      <c r="B2422" t="inlineStr">
        <is>
          <t>热卷</t>
        </is>
      </c>
      <c r="C2422" t="inlineStr">
        <is>
          <t>多</t>
        </is>
      </c>
      <c r="D2422" t="n">
        <v>2</v>
      </c>
      <c r="E2422" t="n">
        <v>5</v>
      </c>
      <c r="F2422" t="inlineStr">
        <is>
          <t>观望</t>
        </is>
      </c>
      <c r="G2422" t="n">
        <v>7</v>
      </c>
      <c r="H2422" t="n">
        <v>3951</v>
      </c>
      <c r="I2422" t="n">
        <v>3816.86</v>
      </c>
      <c r="J2422" t="n">
        <v>1</v>
      </c>
      <c r="K2422" t="inlineStr">
        <is>
          <t>逆5日线（收盘在5日线下，不追多）</t>
        </is>
      </c>
    </row>
    <row r="2423">
      <c r="A2423" t="inlineStr">
        <is>
          <t>2023-11-14</t>
        </is>
      </c>
      <c r="B2423" t="inlineStr">
        <is>
          <t>铁矿石</t>
        </is>
      </c>
      <c r="C2423" t="inlineStr">
        <is>
          <t>多</t>
        </is>
      </c>
      <c r="D2423" t="n">
        <v>2</v>
      </c>
      <c r="E2423" t="n">
        <v>5</v>
      </c>
      <c r="F2423" t="inlineStr">
        <is>
          <t>影子仓</t>
        </is>
      </c>
      <c r="G2423" t="n">
        <v>1</v>
      </c>
      <c r="H2423" t="n">
        <v>965.5</v>
      </c>
      <c r="I2423" t="n">
        <v>911.71</v>
      </c>
      <c r="J2423" t="n">
        <v>1</v>
      </c>
      <c r="K2423" t="inlineStr">
        <is>
          <t>凯利≤0，开1%影子仓（只统计，不计入组合）</t>
        </is>
      </c>
    </row>
    <row r="2424">
      <c r="A2424" t="inlineStr">
        <is>
          <t>2023-11-14</t>
        </is>
      </c>
      <c r="B2424" t="inlineStr">
        <is>
          <t>乙二醇</t>
        </is>
      </c>
      <c r="C2424" t="inlineStr">
        <is>
          <t>多</t>
        </is>
      </c>
      <c r="D2424" t="n">
        <v>2</v>
      </c>
      <c r="E2424" t="n">
        <v>5</v>
      </c>
      <c r="F2424" t="inlineStr">
        <is>
          <t>观望</t>
        </is>
      </c>
      <c r="G2424" t="n">
        <v>5</v>
      </c>
      <c r="H2424" t="n">
        <v>4177</v>
      </c>
      <c r="I2424" t="n">
        <v>3999.57</v>
      </c>
      <c r="J2424" t="n">
        <v>1</v>
      </c>
      <c r="K2424" t="inlineStr">
        <is>
          <t>逆5日线（收盘在5日线下，不追多）</t>
        </is>
      </c>
    </row>
    <row r="2425">
      <c r="A2425" t="inlineStr">
        <is>
          <t>2023-11-14</t>
        </is>
      </c>
      <c r="B2425" t="inlineStr">
        <is>
          <t>PVC</t>
        </is>
      </c>
      <c r="C2425" t="inlineStr">
        <is>
          <t>多</t>
        </is>
      </c>
      <c r="D2425" t="n">
        <v>2</v>
      </c>
      <c r="E2425" t="n">
        <v>5</v>
      </c>
      <c r="F2425" t="inlineStr">
        <is>
          <t>观望</t>
        </is>
      </c>
      <c r="G2425" t="n">
        <v>8</v>
      </c>
      <c r="H2425" t="n">
        <v>6081</v>
      </c>
      <c r="I2425" t="n">
        <v>5834.57</v>
      </c>
      <c r="J2425" t="n">
        <v>1</v>
      </c>
      <c r="K2425" t="inlineStr">
        <is>
          <t>逆5日线（收盘在5日线下，不追多）</t>
        </is>
      </c>
    </row>
    <row r="2426">
      <c r="A2426" t="inlineStr">
        <is>
          <t>2023-11-15</t>
        </is>
      </c>
      <c r="B2426" t="inlineStr">
        <is>
          <t>热卷</t>
        </is>
      </c>
      <c r="C2426" t="inlineStr">
        <is>
          <t>多</t>
        </is>
      </c>
      <c r="D2426" t="n">
        <v>3</v>
      </c>
      <c r="E2426" t="n">
        <v>7</v>
      </c>
      <c r="F2426" t="inlineStr">
        <is>
          <t>续持</t>
        </is>
      </c>
      <c r="G2426" t="n">
        <v>7</v>
      </c>
      <c r="H2426" t="n">
        <v>4000</v>
      </c>
      <c r="I2426" t="n">
        <v>3894.36</v>
      </c>
      <c r="J2426" t="n">
        <v>1</v>
      </c>
      <c r="K2426" t="inlineStr">
        <is>
          <t>续持原仓（2023-11-07开）</t>
        </is>
      </c>
    </row>
    <row r="2427">
      <c r="A2427" t="inlineStr">
        <is>
          <t>2023-11-15</t>
        </is>
      </c>
      <c r="B2427" t="inlineStr">
        <is>
          <t>铁矿石</t>
        </is>
      </c>
      <c r="C2427" t="inlineStr">
        <is>
          <t>多</t>
        </is>
      </c>
      <c r="D2427" t="n">
        <v>3</v>
      </c>
      <c r="E2427" t="n">
        <v>6</v>
      </c>
      <c r="F2427" t="inlineStr">
        <is>
          <t>续持</t>
        </is>
      </c>
      <c r="G2427" t="n">
        <v>1</v>
      </c>
      <c r="H2427" t="n">
        <v>971.5</v>
      </c>
      <c r="I2427" t="n">
        <v>937.5700000000001</v>
      </c>
      <c r="J2427" t="n">
        <v>1</v>
      </c>
      <c r="K2427" t="inlineStr">
        <is>
          <t>续持原仓（2023-11-14开）</t>
        </is>
      </c>
    </row>
    <row r="2428">
      <c r="A2428" t="inlineStr">
        <is>
          <t>2023-11-15</t>
        </is>
      </c>
      <c r="B2428" t="inlineStr">
        <is>
          <t>菜粕</t>
        </is>
      </c>
      <c r="C2428" t="inlineStr">
        <is>
          <t>多</t>
        </is>
      </c>
      <c r="D2428" t="n">
        <v>3</v>
      </c>
      <c r="E2428" t="n">
        <v>6</v>
      </c>
      <c r="F2428" t="inlineStr">
        <is>
          <t>开仓</t>
        </is>
      </c>
      <c r="G2428" t="n">
        <v>10</v>
      </c>
      <c r="H2428" t="n">
        <v>2985</v>
      </c>
      <c r="I2428" t="n">
        <v>2772.43</v>
      </c>
      <c r="J2428" t="n">
        <v>2.14</v>
      </c>
      <c r="K2428" t="inlineStr">
        <is>
          <t>¼凯利</t>
        </is>
      </c>
    </row>
    <row r="2429">
      <c r="A2429" t="inlineStr">
        <is>
          <t>2023-11-15</t>
        </is>
      </c>
      <c r="B2429" t="inlineStr">
        <is>
          <t>豆粕</t>
        </is>
      </c>
      <c r="C2429" t="inlineStr">
        <is>
          <t>多</t>
        </is>
      </c>
      <c r="D2429" t="n">
        <v>2</v>
      </c>
      <c r="E2429" t="n">
        <v>5</v>
      </c>
      <c r="F2429" t="inlineStr">
        <is>
          <t>影子仓</t>
        </is>
      </c>
      <c r="G2429" t="n">
        <v>5</v>
      </c>
      <c r="H2429" t="n">
        <v>4138</v>
      </c>
      <c r="I2429" t="n">
        <v>3942.14</v>
      </c>
      <c r="J2429" t="n">
        <v>1</v>
      </c>
      <c r="K2429" t="inlineStr">
        <is>
          <t>凯利≤0，开1%影子仓（只统计，不计入组合）</t>
        </is>
      </c>
    </row>
    <row r="2430">
      <c r="A2430" t="inlineStr">
        <is>
          <t>2023-11-15</t>
        </is>
      </c>
      <c r="B2430" t="inlineStr">
        <is>
          <t>PVC</t>
        </is>
      </c>
      <c r="C2430" t="inlineStr">
        <is>
          <t>多</t>
        </is>
      </c>
      <c r="D2430" t="n">
        <v>2</v>
      </c>
      <c r="E2430" t="n">
        <v>5</v>
      </c>
      <c r="F2430" t="inlineStr">
        <is>
          <t>续持</t>
        </is>
      </c>
      <c r="G2430" t="n">
        <v>8</v>
      </c>
      <c r="H2430" t="n">
        <v>6112</v>
      </c>
      <c r="I2430" t="n">
        <v>5949</v>
      </c>
      <c r="J2430" t="n">
        <v>1</v>
      </c>
      <c r="K2430" t="inlineStr">
        <is>
          <t>续持原仓（2023-11-06开）</t>
        </is>
      </c>
    </row>
    <row r="2431">
      <c r="A2431" t="inlineStr">
        <is>
          <t>2023-11-16</t>
        </is>
      </c>
      <c r="B2431" t="inlineStr">
        <is>
          <t>热卷</t>
        </is>
      </c>
      <c r="C2431" t="inlineStr">
        <is>
          <t>多</t>
        </is>
      </c>
      <c r="D2431" t="n">
        <v>3</v>
      </c>
      <c r="E2431" t="n">
        <v>7</v>
      </c>
      <c r="F2431" t="inlineStr">
        <is>
          <t>续持</t>
        </is>
      </c>
      <c r="G2431" t="n">
        <v>7</v>
      </c>
      <c r="H2431" t="n">
        <v>4048</v>
      </c>
      <c r="I2431" t="n">
        <v>3902.5</v>
      </c>
      <c r="J2431" t="n">
        <v>1</v>
      </c>
      <c r="K2431" t="inlineStr">
        <is>
          <t>续持原仓（2023-11-07开）</t>
        </is>
      </c>
    </row>
    <row r="2432">
      <c r="A2432" t="inlineStr">
        <is>
          <t>2023-11-16</t>
        </is>
      </c>
      <c r="B2432" t="inlineStr">
        <is>
          <t>铁矿石</t>
        </is>
      </c>
      <c r="C2432" t="inlineStr">
        <is>
          <t>多</t>
        </is>
      </c>
      <c r="D2432" t="n">
        <v>3</v>
      </c>
      <c r="E2432" t="n">
        <v>6</v>
      </c>
      <c r="F2432" t="inlineStr">
        <is>
          <t>观望</t>
        </is>
      </c>
      <c r="G2432" t="n">
        <v>3</v>
      </c>
      <c r="H2432" t="n">
        <v>965</v>
      </c>
      <c r="I2432" t="n">
        <v>908.21</v>
      </c>
      <c r="J2432" t="n">
        <v>2.08</v>
      </c>
      <c r="K2432" t="inlineStr">
        <is>
          <t>逆5日线（收盘在5日线下，不追多）</t>
        </is>
      </c>
    </row>
    <row r="2433">
      <c r="A2433" t="inlineStr">
        <is>
          <t>2023-11-16</t>
        </is>
      </c>
      <c r="B2433" t="inlineStr">
        <is>
          <t>PVC</t>
        </is>
      </c>
      <c r="C2433" t="inlineStr">
        <is>
          <t>多</t>
        </is>
      </c>
      <c r="D2433" t="n">
        <v>3</v>
      </c>
      <c r="E2433" t="n">
        <v>6</v>
      </c>
      <c r="F2433" t="inlineStr">
        <is>
          <t>续持</t>
        </is>
      </c>
      <c r="G2433" t="n">
        <v>8</v>
      </c>
      <c r="H2433" t="n">
        <v>6137</v>
      </c>
      <c r="I2433" t="n">
        <v>5949</v>
      </c>
      <c r="J2433" t="n">
        <v>1</v>
      </c>
      <c r="K2433" t="inlineStr">
        <is>
          <t>续持原仓（2023-11-06开）</t>
        </is>
      </c>
    </row>
    <row r="2434">
      <c r="A2434" t="inlineStr">
        <is>
          <t>2023-11-16</t>
        </is>
      </c>
      <c r="B2434" t="inlineStr">
        <is>
          <t>豆粕</t>
        </is>
      </c>
      <c r="C2434" t="inlineStr">
        <is>
          <t>多</t>
        </is>
      </c>
      <c r="D2434" t="n">
        <v>2</v>
      </c>
      <c r="E2434" t="n">
        <v>5</v>
      </c>
      <c r="F2434" t="inlineStr">
        <is>
          <t>续持</t>
        </is>
      </c>
      <c r="G2434" t="n">
        <v>5</v>
      </c>
      <c r="H2434" t="n">
        <v>4126</v>
      </c>
      <c r="I2434" t="n">
        <v>3950.14</v>
      </c>
      <c r="J2434" t="n">
        <v>1</v>
      </c>
      <c r="K2434" t="inlineStr">
        <is>
          <t>续持原仓（2023-11-15开）</t>
        </is>
      </c>
    </row>
    <row r="2435">
      <c r="A2435" t="inlineStr">
        <is>
          <t>2023-11-16</t>
        </is>
      </c>
      <c r="B2435" t="inlineStr">
        <is>
          <t>乙二醇</t>
        </is>
      </c>
      <c r="C2435" t="inlineStr">
        <is>
          <t>多</t>
        </is>
      </c>
      <c r="D2435" t="n">
        <v>2</v>
      </c>
      <c r="E2435" t="n">
        <v>5</v>
      </c>
      <c r="F2435" t="inlineStr">
        <is>
          <t>影子仓</t>
        </is>
      </c>
      <c r="G2435" t="n">
        <v>5</v>
      </c>
      <c r="H2435" t="n">
        <v>4258</v>
      </c>
      <c r="I2435" t="n">
        <v>4083.57</v>
      </c>
      <c r="J2435" t="n">
        <v>1</v>
      </c>
      <c r="K2435" t="inlineStr">
        <is>
          <t>凯利≤0，开1%影子仓（只统计，不计入组合）</t>
        </is>
      </c>
    </row>
    <row r="2436">
      <c r="A2436" t="inlineStr">
        <is>
          <t>2023-11-17</t>
        </is>
      </c>
      <c r="B2436" t="inlineStr">
        <is>
          <t>热卷</t>
        </is>
      </c>
      <c r="C2436" t="inlineStr">
        <is>
          <t>多</t>
        </is>
      </c>
      <c r="D2436" t="n">
        <v>2</v>
      </c>
      <c r="E2436" t="n">
        <v>5</v>
      </c>
      <c r="F2436" t="inlineStr">
        <is>
          <t>续持</t>
        </is>
      </c>
      <c r="G2436" t="n">
        <v>7</v>
      </c>
      <c r="H2436" t="n">
        <v>4012</v>
      </c>
      <c r="I2436" t="n">
        <v>3916.43</v>
      </c>
      <c r="J2436" t="n">
        <v>1</v>
      </c>
      <c r="K2436" t="inlineStr">
        <is>
          <t>续持原仓（2023-11-07开）</t>
        </is>
      </c>
    </row>
    <row r="2437">
      <c r="A2437" t="inlineStr">
        <is>
          <t>2023-11-17</t>
        </is>
      </c>
      <c r="B2437" t="inlineStr">
        <is>
          <t>PVC</t>
        </is>
      </c>
      <c r="C2437" t="inlineStr">
        <is>
          <t>多</t>
        </is>
      </c>
      <c r="D2437" t="n">
        <v>2</v>
      </c>
      <c r="E2437" t="n">
        <v>5</v>
      </c>
      <c r="F2437" t="inlineStr">
        <is>
          <t>观望</t>
        </is>
      </c>
      <c r="G2437" t="n">
        <v>7</v>
      </c>
      <c r="H2437" t="n">
        <v>6058</v>
      </c>
      <c r="I2437" t="n">
        <v>5802.36</v>
      </c>
      <c r="J2437" t="n">
        <v>1</v>
      </c>
      <c r="K2437" t="inlineStr">
        <is>
          <t>逆5日线（收盘在5日线下，不追多）</t>
        </is>
      </c>
    </row>
    <row r="2438">
      <c r="A2438" t="inlineStr">
        <is>
          <t>2023-11-17</t>
        </is>
      </c>
      <c r="B2438" t="inlineStr">
        <is>
          <t>乙二醇</t>
        </is>
      </c>
      <c r="C2438" t="inlineStr">
        <is>
          <t>多</t>
        </is>
      </c>
      <c r="D2438" t="n">
        <v>2</v>
      </c>
      <c r="E2438" t="n">
        <v>5</v>
      </c>
      <c r="F2438" t="inlineStr">
        <is>
          <t>续持</t>
        </is>
      </c>
      <c r="G2438" t="n">
        <v>5</v>
      </c>
      <c r="H2438" t="n">
        <v>4228</v>
      </c>
      <c r="I2438" t="n">
        <v>4088.29</v>
      </c>
      <c r="J2438" t="n">
        <v>1</v>
      </c>
      <c r="K2438" t="inlineStr">
        <is>
          <t>续持原仓（2023-11-16开）</t>
        </is>
      </c>
    </row>
    <row r="2439">
      <c r="A2439" t="inlineStr">
        <is>
          <t>2023-11-17</t>
        </is>
      </c>
      <c r="B2439" t="inlineStr">
        <is>
          <t>豆油</t>
        </is>
      </c>
      <c r="C2439" t="inlineStr">
        <is>
          <t>多</t>
        </is>
      </c>
      <c r="D2439" t="n">
        <v>2</v>
      </c>
      <c r="E2439" t="n">
        <v>5</v>
      </c>
      <c r="F2439" t="inlineStr">
        <is>
          <t>观望</t>
        </is>
      </c>
      <c r="G2439" t="n">
        <v>2</v>
      </c>
      <c r="H2439" t="n">
        <v>8310</v>
      </c>
      <c r="I2439" t="n">
        <v>7886.57</v>
      </c>
      <c r="J2439" t="n">
        <v>1</v>
      </c>
      <c r="K2439" t="inlineStr">
        <is>
          <t>逆5日线（收盘在5日线下，不追多）</t>
        </is>
      </c>
    </row>
    <row r="2440">
      <c r="A2440" t="inlineStr">
        <is>
          <t>2023-11-17</t>
        </is>
      </c>
      <c r="B2440" t="inlineStr">
        <is>
          <t>玻璃</t>
        </is>
      </c>
      <c r="C2440" t="inlineStr">
        <is>
          <t>多</t>
        </is>
      </c>
      <c r="D2440" t="n">
        <v>2</v>
      </c>
      <c r="E2440" t="n">
        <v>5</v>
      </c>
      <c r="F2440" t="inlineStr">
        <is>
          <t>影子仓</t>
        </is>
      </c>
      <c r="G2440" t="n">
        <v>3</v>
      </c>
      <c r="H2440" t="n">
        <v>1718</v>
      </c>
      <c r="I2440" t="n">
        <v>1587.07</v>
      </c>
      <c r="J2440" t="n">
        <v>1</v>
      </c>
      <c r="K2440" t="inlineStr">
        <is>
          <t>凯利≤0，开1%影子仓（只统计，不计入组合）</t>
        </is>
      </c>
    </row>
    <row r="2441">
      <c r="A2441" t="inlineStr">
        <is>
          <t>2023-11-20</t>
        </is>
      </c>
      <c r="B2441" t="inlineStr">
        <is>
          <t>热卷</t>
        </is>
      </c>
      <c r="C2441" t="inlineStr">
        <is>
          <t>多</t>
        </is>
      </c>
      <c r="D2441" t="n">
        <v>3</v>
      </c>
      <c r="E2441" t="n">
        <v>7</v>
      </c>
      <c r="F2441" t="inlineStr">
        <is>
          <t>续持</t>
        </is>
      </c>
      <c r="G2441" t="n">
        <v>7</v>
      </c>
      <c r="H2441" t="n">
        <v>4047</v>
      </c>
      <c r="I2441" t="n">
        <v>3916.43</v>
      </c>
      <c r="J2441" t="n">
        <v>1</v>
      </c>
      <c r="K2441" t="inlineStr">
        <is>
          <t>续持原仓（2023-11-07开）</t>
        </is>
      </c>
    </row>
    <row r="2442">
      <c r="A2442" t="inlineStr">
        <is>
          <t>2023-11-20</t>
        </is>
      </c>
      <c r="B2442" t="inlineStr">
        <is>
          <t>纯碱</t>
        </is>
      </c>
      <c r="C2442" t="inlineStr">
        <is>
          <t>多</t>
        </is>
      </c>
      <c r="D2442" t="n">
        <v>3</v>
      </c>
      <c r="E2442" t="n">
        <v>6</v>
      </c>
      <c r="F2442" t="inlineStr">
        <is>
          <t>开仓</t>
        </is>
      </c>
      <c r="G2442" t="n">
        <v>4</v>
      </c>
      <c r="H2442" t="n">
        <v>2236</v>
      </c>
      <c r="I2442" t="n">
        <v>1979.71</v>
      </c>
      <c r="J2442" t="n">
        <v>2.06</v>
      </c>
      <c r="K2442" t="inlineStr">
        <is>
          <t>¼凯利</t>
        </is>
      </c>
    </row>
    <row r="2443">
      <c r="A2443" t="inlineStr">
        <is>
          <t>2023-11-20</t>
        </is>
      </c>
      <c r="B2443" t="inlineStr">
        <is>
          <t>豆油</t>
        </is>
      </c>
      <c r="C2443" t="inlineStr">
        <is>
          <t>多</t>
        </is>
      </c>
      <c r="D2443" t="n">
        <v>2</v>
      </c>
      <c r="E2443" t="n">
        <v>4</v>
      </c>
      <c r="F2443" t="inlineStr">
        <is>
          <t>观望</t>
        </is>
      </c>
      <c r="G2443" t="n">
        <v>2</v>
      </c>
      <c r="H2443" t="n">
        <v>8324</v>
      </c>
      <c r="I2443" t="n">
        <v>7912.57</v>
      </c>
      <c r="J2443" t="n">
        <v>1</v>
      </c>
      <c r="K2443" t="inlineStr">
        <is>
          <t>逆5日线（收盘在5日线下，不追多）</t>
        </is>
      </c>
    </row>
    <row r="2444">
      <c r="A2444" t="inlineStr">
        <is>
          <t>2023-11-20</t>
        </is>
      </c>
      <c r="B2444" t="inlineStr">
        <is>
          <t>菜粕</t>
        </is>
      </c>
      <c r="C2444" t="inlineStr">
        <is>
          <t>多</t>
        </is>
      </c>
      <c r="D2444" t="n">
        <v>2</v>
      </c>
      <c r="E2444" t="n">
        <v>4</v>
      </c>
      <c r="F2444" t="inlineStr">
        <is>
          <t>观望</t>
        </is>
      </c>
      <c r="G2444" t="n">
        <v>4</v>
      </c>
      <c r="H2444" t="n">
        <v>2875</v>
      </c>
      <c r="I2444" t="n">
        <v>2671.64</v>
      </c>
      <c r="J2444" t="n">
        <v>1</v>
      </c>
      <c r="K2444" t="inlineStr">
        <is>
          <t>逆5日线（收盘在5日线下，不追多）</t>
        </is>
      </c>
    </row>
    <row r="2445">
      <c r="A2445" t="inlineStr">
        <is>
          <t>2023-11-20</t>
        </is>
      </c>
      <c r="B2445" t="inlineStr">
        <is>
          <t>棉花</t>
        </is>
      </c>
      <c r="C2445" t="inlineStr">
        <is>
          <t>空</t>
        </is>
      </c>
      <c r="D2445" t="n">
        <v>2</v>
      </c>
      <c r="E2445" t="n">
        <v>4</v>
      </c>
      <c r="F2445" t="inlineStr">
        <is>
          <t>续持</t>
        </is>
      </c>
      <c r="G2445" t="n">
        <v>2</v>
      </c>
      <c r="H2445" t="n">
        <v>15565</v>
      </c>
      <c r="I2445" t="n">
        <v>16293.93</v>
      </c>
      <c r="J2445" t="n">
        <v>1</v>
      </c>
      <c r="K2445" t="inlineStr">
        <is>
          <t>续持原仓（2023-11-13开）</t>
        </is>
      </c>
    </row>
    <row r="2446">
      <c r="A2446" t="inlineStr">
        <is>
          <t>2023-11-21</t>
        </is>
      </c>
      <c r="B2446" t="inlineStr">
        <is>
          <t>沪镍</t>
        </is>
      </c>
      <c r="C2446" t="inlineStr">
        <is>
          <t>空</t>
        </is>
      </c>
      <c r="D2446" t="n">
        <v>3</v>
      </c>
      <c r="E2446" t="n">
        <v>6</v>
      </c>
      <c r="F2446" t="inlineStr">
        <is>
          <t>开仓</t>
        </is>
      </c>
      <c r="G2446" t="n">
        <v>2</v>
      </c>
      <c r="H2446" t="n">
        <v>132510</v>
      </c>
      <c r="I2446" t="n">
        <v>141049.29</v>
      </c>
      <c r="J2446" t="n">
        <v>1.89</v>
      </c>
      <c r="K2446" t="inlineStr">
        <is>
          <t>¼凯利</t>
        </is>
      </c>
    </row>
    <row r="2447">
      <c r="A2447" t="inlineStr">
        <is>
          <t>2023-11-21</t>
        </is>
      </c>
      <c r="B2447" t="inlineStr">
        <is>
          <t>棉花</t>
        </is>
      </c>
      <c r="C2447" t="inlineStr">
        <is>
          <t>空</t>
        </is>
      </c>
      <c r="D2447" t="n">
        <v>3</v>
      </c>
      <c r="E2447" t="n">
        <v>6</v>
      </c>
      <c r="F2447" t="inlineStr">
        <is>
          <t>续持</t>
        </is>
      </c>
      <c r="G2447" t="n">
        <v>2</v>
      </c>
      <c r="H2447" t="n">
        <v>15160</v>
      </c>
      <c r="I2447" t="n">
        <v>15888.57</v>
      </c>
      <c r="J2447" t="n">
        <v>1</v>
      </c>
      <c r="K2447" t="inlineStr">
        <is>
          <t>续持原仓（2023-11-13开）</t>
        </is>
      </c>
    </row>
    <row r="2448">
      <c r="A2448" t="inlineStr">
        <is>
          <t>2023-11-21</t>
        </is>
      </c>
      <c r="B2448" t="inlineStr">
        <is>
          <t>热卷</t>
        </is>
      </c>
      <c r="C2448" t="inlineStr">
        <is>
          <t>多</t>
        </is>
      </c>
      <c r="D2448" t="n">
        <v>2</v>
      </c>
      <c r="E2448" t="n">
        <v>5</v>
      </c>
      <c r="F2448" t="inlineStr">
        <is>
          <t>观望</t>
        </is>
      </c>
      <c r="G2448" t="n">
        <v>6</v>
      </c>
      <c r="H2448" t="n">
        <v>4017</v>
      </c>
      <c r="I2448" t="n">
        <v>3852</v>
      </c>
      <c r="J2448" t="n">
        <v>1</v>
      </c>
      <c r="K2448" t="inlineStr">
        <is>
          <t>逆5日线（收盘在5日线下，不追多）</t>
        </is>
      </c>
    </row>
    <row r="2449">
      <c r="A2449" t="inlineStr">
        <is>
          <t>2023-11-21</t>
        </is>
      </c>
      <c r="B2449" t="inlineStr">
        <is>
          <t>玉米</t>
        </is>
      </c>
      <c r="C2449" t="inlineStr">
        <is>
          <t>多</t>
        </is>
      </c>
      <c r="D2449" t="n">
        <v>2</v>
      </c>
      <c r="E2449" t="n">
        <v>5</v>
      </c>
      <c r="F2449" t="inlineStr">
        <is>
          <t>影子仓</t>
        </is>
      </c>
      <c r="G2449" t="n">
        <v>14</v>
      </c>
      <c r="H2449" t="n">
        <v>2570</v>
      </c>
      <c r="I2449" t="n">
        <v>2501.64</v>
      </c>
      <c r="J2449" t="n">
        <v>1</v>
      </c>
      <c r="K2449" t="inlineStr">
        <is>
          <t>凯利≤0，开1%影子仓（只统计，不计入组合）</t>
        </is>
      </c>
    </row>
    <row r="2450">
      <c r="A2450" t="inlineStr">
        <is>
          <t>2023-11-21</t>
        </is>
      </c>
      <c r="B2450" t="inlineStr">
        <is>
          <t>纯碱</t>
        </is>
      </c>
      <c r="C2450" t="inlineStr">
        <is>
          <t>多</t>
        </is>
      </c>
      <c r="D2450" t="n">
        <v>2</v>
      </c>
      <c r="E2450" t="n">
        <v>5</v>
      </c>
      <c r="F2450" t="inlineStr">
        <is>
          <t>续持</t>
        </is>
      </c>
      <c r="G2450" t="n">
        <v>4</v>
      </c>
      <c r="H2450" t="n">
        <v>2206</v>
      </c>
      <c r="I2450" t="n">
        <v>1990.86</v>
      </c>
      <c r="J2450" t="n">
        <v>2.06</v>
      </c>
      <c r="K2450" t="inlineStr">
        <is>
          <t>续持原仓（2023-11-20开）</t>
        </is>
      </c>
    </row>
    <row r="2451">
      <c r="A2451" t="inlineStr">
        <is>
          <t>2023-11-21</t>
        </is>
      </c>
      <c r="B2451" t="inlineStr">
        <is>
          <t>菜粕</t>
        </is>
      </c>
      <c r="C2451" t="inlineStr">
        <is>
          <t>多</t>
        </is>
      </c>
      <c r="D2451" t="n">
        <v>2</v>
      </c>
      <c r="E2451" t="n">
        <v>5</v>
      </c>
      <c r="F2451" t="inlineStr">
        <is>
          <t>观望</t>
        </is>
      </c>
      <c r="G2451" t="n">
        <v>4</v>
      </c>
      <c r="H2451" t="n">
        <v>2896</v>
      </c>
      <c r="I2451" t="n">
        <v>2695.64</v>
      </c>
      <c r="J2451" t="n">
        <v>1</v>
      </c>
      <c r="K2451" t="inlineStr">
        <is>
          <t>逆5日线（收盘在5日线下，不追多）</t>
        </is>
      </c>
    </row>
    <row r="2452">
      <c r="A2452" t="inlineStr">
        <is>
          <t>2023-11-21</t>
        </is>
      </c>
      <c r="B2452" t="inlineStr">
        <is>
          <t>沪银</t>
        </is>
      </c>
      <c r="C2452" t="inlineStr">
        <is>
          <t>空</t>
        </is>
      </c>
      <c r="D2452" t="n">
        <v>2</v>
      </c>
      <c r="E2452" t="n">
        <v>4</v>
      </c>
      <c r="F2452" t="inlineStr">
        <is>
          <t>影子仓</t>
        </is>
      </c>
      <c r="G2452" t="n">
        <v>2</v>
      </c>
      <c r="H2452" t="n">
        <v>5875</v>
      </c>
      <c r="I2452" t="n">
        <v>6121.86</v>
      </c>
      <c r="J2452" t="n">
        <v>1</v>
      </c>
      <c r="K2452" t="inlineStr">
        <is>
          <t>凯利≤0，开1%影子仓（只统计，不计入组合）</t>
        </is>
      </c>
    </row>
    <row r="2453">
      <c r="A2453" t="inlineStr">
        <is>
          <t>2023-11-21</t>
        </is>
      </c>
      <c r="B2453" t="inlineStr">
        <is>
          <t>苯乙烯</t>
        </is>
      </c>
      <c r="C2453" t="inlineStr">
        <is>
          <t>空</t>
        </is>
      </c>
      <c r="D2453" t="n">
        <v>2</v>
      </c>
      <c r="E2453" t="n">
        <v>4</v>
      </c>
      <c r="F2453" t="inlineStr">
        <is>
          <t>影子仓</t>
        </is>
      </c>
      <c r="G2453" t="n">
        <v>3</v>
      </c>
      <c r="H2453" t="n">
        <v>8469</v>
      </c>
      <c r="I2453" t="n">
        <v>9049.07</v>
      </c>
      <c r="J2453" t="n">
        <v>1</v>
      </c>
      <c r="K2453" t="inlineStr">
        <is>
          <t>凯利≤0，开1%影子仓（只统计，不计入组合）</t>
        </is>
      </c>
    </row>
    <row r="2454">
      <c r="A2454" t="inlineStr">
        <is>
          <t>2023-11-22</t>
        </is>
      </c>
      <c r="B2454" t="inlineStr">
        <is>
          <t>热卷</t>
        </is>
      </c>
      <c r="C2454" t="inlineStr">
        <is>
          <t>多</t>
        </is>
      </c>
      <c r="D2454" t="n">
        <v>3</v>
      </c>
      <c r="E2454" t="n">
        <v>7</v>
      </c>
      <c r="F2454" t="inlineStr">
        <is>
          <t>续持</t>
        </is>
      </c>
      <c r="G2454" t="n">
        <v>7</v>
      </c>
      <c r="H2454" t="n">
        <v>4059</v>
      </c>
      <c r="I2454" t="n">
        <v>3916.43</v>
      </c>
      <c r="J2454" t="n">
        <v>1</v>
      </c>
      <c r="K2454" t="inlineStr">
        <is>
          <t>续持原仓（2023-11-07开）</t>
        </is>
      </c>
    </row>
    <row r="2455">
      <c r="A2455" t="inlineStr">
        <is>
          <t>2023-11-22</t>
        </is>
      </c>
      <c r="B2455" t="inlineStr">
        <is>
          <t>螺纹钢</t>
        </is>
      </c>
      <c r="C2455" t="inlineStr">
        <is>
          <t>多</t>
        </is>
      </c>
      <c r="D2455" t="n">
        <v>3</v>
      </c>
      <c r="E2455" t="n">
        <v>6</v>
      </c>
      <c r="F2455" t="inlineStr">
        <is>
          <t>开仓</t>
        </is>
      </c>
      <c r="G2455" t="n">
        <v>9</v>
      </c>
      <c r="H2455" t="n">
        <v>4001</v>
      </c>
      <c r="I2455" t="n">
        <v>3806.64</v>
      </c>
      <c r="J2455" t="n">
        <v>1.87</v>
      </c>
      <c r="K2455" t="inlineStr">
        <is>
          <t>¼凯利</t>
        </is>
      </c>
    </row>
    <row r="2456">
      <c r="A2456" t="inlineStr">
        <is>
          <t>2023-11-22</t>
        </is>
      </c>
      <c r="B2456" t="inlineStr">
        <is>
          <t>豆油</t>
        </is>
      </c>
      <c r="C2456" t="inlineStr">
        <is>
          <t>多</t>
        </is>
      </c>
      <c r="D2456" t="n">
        <v>3</v>
      </c>
      <c r="E2456" t="n">
        <v>6</v>
      </c>
      <c r="F2456" t="inlineStr">
        <is>
          <t>开仓</t>
        </is>
      </c>
      <c r="G2456" t="n">
        <v>4</v>
      </c>
      <c r="H2456" t="n">
        <v>8360</v>
      </c>
      <c r="I2456" t="n">
        <v>7957.14</v>
      </c>
      <c r="J2456" t="n">
        <v>1.87</v>
      </c>
      <c r="K2456" t="inlineStr">
        <is>
          <t>¼凯利</t>
        </is>
      </c>
    </row>
    <row r="2457">
      <c r="A2457" t="inlineStr">
        <is>
          <t>2023-11-22</t>
        </is>
      </c>
      <c r="B2457" t="inlineStr">
        <is>
          <t>纯碱</t>
        </is>
      </c>
      <c r="C2457" t="inlineStr">
        <is>
          <t>多</t>
        </is>
      </c>
      <c r="D2457" t="n">
        <v>3</v>
      </c>
      <c r="E2457" t="n">
        <v>6</v>
      </c>
      <c r="F2457" t="inlineStr">
        <is>
          <t>续持</t>
        </is>
      </c>
      <c r="G2457" t="n">
        <v>4</v>
      </c>
      <c r="H2457" t="n">
        <v>2341</v>
      </c>
      <c r="I2457" t="n">
        <v>2052.71</v>
      </c>
      <c r="J2457" t="n">
        <v>2.06</v>
      </c>
      <c r="K2457" t="inlineStr">
        <is>
          <t>续持原仓（2023-11-20开）</t>
        </is>
      </c>
    </row>
    <row r="2458">
      <c r="A2458" t="inlineStr">
        <is>
          <t>2023-11-22</t>
        </is>
      </c>
      <c r="B2458" t="inlineStr">
        <is>
          <t>沪金</t>
        </is>
      </c>
      <c r="C2458" t="inlineStr">
        <is>
          <t>空</t>
        </is>
      </c>
      <c r="D2458" t="n">
        <v>2</v>
      </c>
      <c r="E2458" t="n">
        <v>5</v>
      </c>
      <c r="F2458" t="inlineStr">
        <is>
          <t>不做</t>
        </is>
      </c>
      <c r="H2458" t="n">
        <v>466.1</v>
      </c>
      <c r="J2458" t="n">
        <v>1</v>
      </c>
      <c r="K2458" t="inlineStr">
        <is>
          <t>1手风险11366元超过预算10000元</t>
        </is>
      </c>
    </row>
    <row r="2459">
      <c r="A2459" t="inlineStr">
        <is>
          <t>2023-11-22</t>
        </is>
      </c>
      <c r="B2459" t="inlineStr">
        <is>
          <t>棕榈油</t>
        </is>
      </c>
      <c r="C2459" t="inlineStr">
        <is>
          <t>空</t>
        </is>
      </c>
      <c r="D2459" t="n">
        <v>2</v>
      </c>
      <c r="E2459" t="n">
        <v>5</v>
      </c>
      <c r="F2459" t="inlineStr">
        <is>
          <t>观望</t>
        </is>
      </c>
      <c r="G2459" t="n">
        <v>2</v>
      </c>
      <c r="H2459" t="n">
        <v>7558</v>
      </c>
      <c r="I2459" t="n">
        <v>8020.43</v>
      </c>
      <c r="J2459" t="n">
        <v>1</v>
      </c>
      <c r="K2459" t="inlineStr">
        <is>
          <t>逆5日线（收盘在5日线上，不追空）</t>
        </is>
      </c>
    </row>
    <row r="2460">
      <c r="A2460" t="inlineStr">
        <is>
          <t>2023-11-22</t>
        </is>
      </c>
      <c r="B2460" t="inlineStr">
        <is>
          <t>沪铜</t>
        </is>
      </c>
      <c r="C2460" t="inlineStr">
        <is>
          <t>多</t>
        </is>
      </c>
      <c r="D2460" t="n">
        <v>2</v>
      </c>
      <c r="E2460" t="n">
        <v>4</v>
      </c>
      <c r="F2460" t="inlineStr">
        <is>
          <t>影子仓</t>
        </is>
      </c>
      <c r="G2460" t="n">
        <v>1</v>
      </c>
      <c r="H2460" t="n">
        <v>67930</v>
      </c>
      <c r="I2460" t="n">
        <v>66541.42999999999</v>
      </c>
      <c r="J2460" t="n">
        <v>1</v>
      </c>
      <c r="K2460" t="inlineStr">
        <is>
          <t>凯利≤0，开1%影子仓（只统计，不计入组合）</t>
        </is>
      </c>
    </row>
    <row r="2461">
      <c r="A2461" t="inlineStr">
        <is>
          <t>2023-11-23</t>
        </is>
      </c>
      <c r="B2461" t="inlineStr">
        <is>
          <t>纯碱</t>
        </is>
      </c>
      <c r="C2461" t="inlineStr">
        <is>
          <t>多</t>
        </is>
      </c>
      <c r="D2461" t="n">
        <v>3</v>
      </c>
      <c r="E2461" t="n">
        <v>6</v>
      </c>
      <c r="F2461" t="inlineStr">
        <is>
          <t>续持</t>
        </is>
      </c>
      <c r="G2461" t="n">
        <v>4</v>
      </c>
      <c r="H2461" t="n">
        <v>2353</v>
      </c>
      <c r="I2461" t="n">
        <v>2069.93</v>
      </c>
      <c r="J2461" t="n">
        <v>2.06</v>
      </c>
      <c r="K2461" t="inlineStr">
        <is>
          <t>续持原仓（2023-11-20开）</t>
        </is>
      </c>
    </row>
    <row r="2462">
      <c r="A2462" t="inlineStr">
        <is>
          <t>2023-11-23</t>
        </is>
      </c>
      <c r="B2462" t="inlineStr">
        <is>
          <t>沥青</t>
        </is>
      </c>
      <c r="C2462" t="inlineStr">
        <is>
          <t>空</t>
        </is>
      </c>
      <c r="D2462" t="n">
        <v>2</v>
      </c>
      <c r="E2462" t="n">
        <v>4</v>
      </c>
      <c r="F2462" t="inlineStr">
        <is>
          <t>影子仓</t>
        </is>
      </c>
      <c r="G2462" t="n">
        <v>4</v>
      </c>
      <c r="H2462" t="n">
        <v>3554</v>
      </c>
      <c r="I2462" t="n">
        <v>3761.64</v>
      </c>
      <c r="J2462" t="n">
        <v>1</v>
      </c>
      <c r="K2462" t="inlineStr">
        <is>
          <t>凯利≤0，开1%影子仓（只统计，不计入组合）</t>
        </is>
      </c>
    </row>
    <row r="2463">
      <c r="A2463" t="inlineStr">
        <is>
          <t>2023-11-24</t>
        </is>
      </c>
      <c r="B2463" t="inlineStr">
        <is>
          <t>铁矿石</t>
        </is>
      </c>
      <c r="C2463" t="inlineStr">
        <is>
          <t>多</t>
        </is>
      </c>
      <c r="D2463" t="n">
        <v>3</v>
      </c>
      <c r="E2463" t="n">
        <v>6</v>
      </c>
      <c r="F2463" t="inlineStr">
        <is>
          <t>开仓</t>
        </is>
      </c>
      <c r="G2463" t="n">
        <v>3</v>
      </c>
      <c r="H2463" t="n">
        <v>986.5</v>
      </c>
      <c r="I2463" t="n">
        <v>919.96</v>
      </c>
      <c r="J2463" t="n">
        <v>2.05</v>
      </c>
      <c r="K2463" t="inlineStr">
        <is>
          <t>¼凯利</t>
        </is>
      </c>
    </row>
    <row r="2464">
      <c r="A2464" t="inlineStr">
        <is>
          <t>2023-11-24</t>
        </is>
      </c>
      <c r="B2464" t="inlineStr">
        <is>
          <t>沪铜</t>
        </is>
      </c>
      <c r="C2464" t="inlineStr">
        <is>
          <t>多</t>
        </is>
      </c>
      <c r="D2464" t="n">
        <v>3</v>
      </c>
      <c r="E2464" t="n">
        <v>6</v>
      </c>
      <c r="F2464" t="inlineStr">
        <is>
          <t>续持</t>
        </is>
      </c>
      <c r="G2464" t="n">
        <v>1</v>
      </c>
      <c r="H2464" t="n">
        <v>68050</v>
      </c>
      <c r="I2464" t="n">
        <v>66792.14</v>
      </c>
      <c r="J2464" t="n">
        <v>1</v>
      </c>
      <c r="K2464" t="inlineStr">
        <is>
          <t>续持原仓（2023-11-22开）</t>
        </is>
      </c>
    </row>
    <row r="2465">
      <c r="A2465" t="inlineStr">
        <is>
          <t>2023-11-24</t>
        </is>
      </c>
      <c r="B2465" t="inlineStr">
        <is>
          <t>螺纹钢</t>
        </is>
      </c>
      <c r="C2465" t="inlineStr">
        <is>
          <t>多</t>
        </is>
      </c>
      <c r="D2465" t="n">
        <v>3</v>
      </c>
      <c r="E2465" t="n">
        <v>6</v>
      </c>
      <c r="F2465" t="inlineStr">
        <is>
          <t>续持</t>
        </is>
      </c>
      <c r="G2465" t="n">
        <v>9</v>
      </c>
      <c r="H2465" t="n">
        <v>3976</v>
      </c>
      <c r="I2465" t="n">
        <v>3812.21</v>
      </c>
      <c r="J2465" t="n">
        <v>1.87</v>
      </c>
      <c r="K2465" t="inlineStr">
        <is>
          <t>续持原仓（2023-11-22开）</t>
        </is>
      </c>
    </row>
    <row r="2466">
      <c r="A2466" t="inlineStr">
        <is>
          <t>2023-11-24</t>
        </is>
      </c>
      <c r="B2466" t="inlineStr">
        <is>
          <t>沪金</t>
        </is>
      </c>
      <c r="C2466" t="inlineStr">
        <is>
          <t>空</t>
        </is>
      </c>
      <c r="D2466" t="n">
        <v>2</v>
      </c>
      <c r="E2466" t="n">
        <v>5</v>
      </c>
      <c r="F2466" t="inlineStr">
        <is>
          <t>不做</t>
        </is>
      </c>
      <c r="H2466" t="n">
        <v>465.9</v>
      </c>
      <c r="J2466" t="n">
        <v>1</v>
      </c>
      <c r="K2466" t="inlineStr">
        <is>
          <t>1手风险10826元超过预算10000元</t>
        </is>
      </c>
    </row>
    <row r="2467">
      <c r="A2467" t="inlineStr">
        <is>
          <t>2023-11-24</t>
        </is>
      </c>
      <c r="B2467" t="inlineStr">
        <is>
          <t>菜粕</t>
        </is>
      </c>
      <c r="C2467" t="inlineStr">
        <is>
          <t>多</t>
        </is>
      </c>
      <c r="D2467" t="n">
        <v>2</v>
      </c>
      <c r="E2467" t="n">
        <v>5</v>
      </c>
      <c r="F2467" t="inlineStr">
        <is>
          <t>影子仓</t>
        </is>
      </c>
      <c r="G2467" t="n">
        <v>5</v>
      </c>
      <c r="H2467" t="n">
        <v>2894</v>
      </c>
      <c r="I2467" t="n">
        <v>2697.07</v>
      </c>
      <c r="J2467" t="n">
        <v>1</v>
      </c>
      <c r="K2467" t="inlineStr">
        <is>
          <t>凯利≤0，开1%影子仓（只统计，不计入组合）</t>
        </is>
      </c>
    </row>
    <row r="2468">
      <c r="A2468" t="inlineStr">
        <is>
          <t>2023-11-24</t>
        </is>
      </c>
      <c r="B2468" t="inlineStr">
        <is>
          <t>纯碱</t>
        </is>
      </c>
      <c r="C2468" t="inlineStr">
        <is>
          <t>多</t>
        </is>
      </c>
      <c r="D2468" t="n">
        <v>2</v>
      </c>
      <c r="E2468" t="n">
        <v>4</v>
      </c>
      <c r="F2468" t="inlineStr">
        <is>
          <t>续持</t>
        </is>
      </c>
      <c r="G2468" t="n">
        <v>4</v>
      </c>
      <c r="H2468" t="n">
        <v>2323</v>
      </c>
      <c r="I2468" t="n">
        <v>2069.93</v>
      </c>
      <c r="J2468" t="n">
        <v>2.06</v>
      </c>
      <c r="K2468" t="inlineStr">
        <is>
          <t>续持原仓（2023-11-20开）</t>
        </is>
      </c>
    </row>
    <row r="2469">
      <c r="A2469" t="inlineStr">
        <is>
          <t>2023-11-24</t>
        </is>
      </c>
      <c r="B2469" t="inlineStr">
        <is>
          <t>棉花</t>
        </is>
      </c>
      <c r="C2469" t="inlineStr">
        <is>
          <t>空</t>
        </is>
      </c>
      <c r="D2469" t="n">
        <v>2</v>
      </c>
      <c r="E2469" t="n">
        <v>4</v>
      </c>
      <c r="F2469" t="inlineStr">
        <is>
          <t>影子仓</t>
        </is>
      </c>
      <c r="G2469" t="n">
        <v>2</v>
      </c>
      <c r="H2469" t="n">
        <v>15205</v>
      </c>
      <c r="I2469" t="n">
        <v>15986.07</v>
      </c>
      <c r="J2469" t="n">
        <v>1</v>
      </c>
      <c r="K2469" t="inlineStr">
        <is>
          <t>凯利≤0，开1%影子仓（只统计，不计入组合）</t>
        </is>
      </c>
    </row>
    <row r="2470">
      <c r="A2470" t="inlineStr">
        <is>
          <t>2023-11-27</t>
        </is>
      </c>
      <c r="B2470" t="inlineStr">
        <is>
          <t>棉花</t>
        </is>
      </c>
      <c r="C2470" t="inlineStr">
        <is>
          <t>空</t>
        </is>
      </c>
      <c r="D2470" t="n">
        <v>3</v>
      </c>
      <c r="E2470" t="n">
        <v>6</v>
      </c>
      <c r="F2470" t="inlineStr">
        <is>
          <t>续持</t>
        </is>
      </c>
      <c r="G2470" t="n">
        <v>2</v>
      </c>
      <c r="H2470" t="n">
        <v>15055</v>
      </c>
      <c r="I2470" t="n">
        <v>15819.29</v>
      </c>
      <c r="J2470" t="n">
        <v>1</v>
      </c>
      <c r="K2470" t="inlineStr">
        <is>
          <t>续持原仓（2023-11-24开）</t>
        </is>
      </c>
    </row>
    <row r="2471">
      <c r="A2471" t="inlineStr">
        <is>
          <t>2023-11-27</t>
        </is>
      </c>
      <c r="B2471" t="inlineStr">
        <is>
          <t>铁矿石</t>
        </is>
      </c>
      <c r="C2471" t="inlineStr">
        <is>
          <t>多</t>
        </is>
      </c>
      <c r="D2471" t="n">
        <v>2</v>
      </c>
      <c r="E2471" t="n">
        <v>5</v>
      </c>
      <c r="F2471" t="inlineStr">
        <is>
          <t>观望</t>
        </is>
      </c>
      <c r="G2471" t="n">
        <v>1</v>
      </c>
      <c r="H2471" t="n">
        <v>980.5</v>
      </c>
      <c r="I2471" t="n">
        <v>912.46</v>
      </c>
      <c r="J2471" t="n">
        <v>1</v>
      </c>
      <c r="K2471" t="inlineStr">
        <is>
          <t>逆5日线（收盘在5日线下，不追多）</t>
        </is>
      </c>
    </row>
    <row r="2472">
      <c r="A2472" t="inlineStr">
        <is>
          <t>2023-11-27</t>
        </is>
      </c>
      <c r="B2472" t="inlineStr">
        <is>
          <t>沪铜</t>
        </is>
      </c>
      <c r="C2472" t="inlineStr">
        <is>
          <t>多</t>
        </is>
      </c>
      <c r="D2472" t="n">
        <v>2</v>
      </c>
      <c r="E2472" t="n">
        <v>5</v>
      </c>
      <c r="F2472" t="inlineStr">
        <is>
          <t>续持</t>
        </is>
      </c>
      <c r="G2472" t="n">
        <v>1</v>
      </c>
      <c r="H2472" t="n">
        <v>68100</v>
      </c>
      <c r="I2472" t="n">
        <v>66847.86</v>
      </c>
      <c r="J2472" t="n">
        <v>1</v>
      </c>
      <c r="K2472" t="inlineStr">
        <is>
          <t>续持原仓（2023-11-22开）</t>
        </is>
      </c>
    </row>
    <row r="2473">
      <c r="A2473" t="inlineStr">
        <is>
          <t>2023-11-27</t>
        </is>
      </c>
      <c r="B2473" t="inlineStr">
        <is>
          <t>沪金</t>
        </is>
      </c>
      <c r="C2473" t="inlineStr">
        <is>
          <t>多</t>
        </is>
      </c>
      <c r="D2473" t="n">
        <v>2</v>
      </c>
      <c r="E2473" t="n">
        <v>4</v>
      </c>
      <c r="F2473" t="inlineStr">
        <is>
          <t>不做</t>
        </is>
      </c>
      <c r="H2473" t="n">
        <v>470.08</v>
      </c>
      <c r="J2473" t="n">
        <v>1</v>
      </c>
      <c r="K2473" t="inlineStr">
        <is>
          <t>1手风险11297元超过预算10000元</t>
        </is>
      </c>
    </row>
    <row r="2474">
      <c r="A2474" t="inlineStr">
        <is>
          <t>2023-11-27</t>
        </is>
      </c>
      <c r="B2474" t="inlineStr">
        <is>
          <t>PTA</t>
        </is>
      </c>
      <c r="C2474" t="inlineStr">
        <is>
          <t>空</t>
        </is>
      </c>
      <c r="D2474" t="n">
        <v>2</v>
      </c>
      <c r="E2474" t="n">
        <v>4</v>
      </c>
      <c r="F2474" t="inlineStr">
        <is>
          <t>影子仓</t>
        </is>
      </c>
      <c r="G2474" t="n">
        <v>5</v>
      </c>
      <c r="H2474" t="n">
        <v>5676</v>
      </c>
      <c r="I2474" t="n">
        <v>6012</v>
      </c>
      <c r="J2474" t="n">
        <v>1</v>
      </c>
      <c r="K2474" t="inlineStr">
        <is>
          <t>凯利≤0，开1%影子仓（只统计，不计入组合）</t>
        </is>
      </c>
    </row>
    <row r="2475">
      <c r="A2475" t="inlineStr">
        <is>
          <t>2023-11-28</t>
        </is>
      </c>
      <c r="B2475" t="inlineStr">
        <is>
          <t>塑料</t>
        </is>
      </c>
      <c r="C2475" t="inlineStr">
        <is>
          <t>空</t>
        </is>
      </c>
      <c r="D2475" t="n">
        <v>3</v>
      </c>
      <c r="E2475" t="n">
        <v>7</v>
      </c>
      <c r="F2475" t="inlineStr">
        <is>
          <t>开仓</t>
        </is>
      </c>
      <c r="G2475" t="n">
        <v>14</v>
      </c>
      <c r="H2475" t="n">
        <v>7864</v>
      </c>
      <c r="I2475" t="n">
        <v>8156.71</v>
      </c>
      <c r="J2475" t="n">
        <v>2.09</v>
      </c>
      <c r="K2475" t="inlineStr">
        <is>
          <t>¼凯利</t>
        </is>
      </c>
    </row>
    <row r="2476">
      <c r="A2476" t="inlineStr">
        <is>
          <t>2023-11-28</t>
        </is>
      </c>
      <c r="B2476" t="inlineStr">
        <is>
          <t>沪铜</t>
        </is>
      </c>
      <c r="C2476" t="inlineStr">
        <is>
          <t>多</t>
        </is>
      </c>
      <c r="D2476" t="n">
        <v>2</v>
      </c>
      <c r="E2476" t="n">
        <v>5</v>
      </c>
      <c r="F2476" t="inlineStr">
        <is>
          <t>观望</t>
        </is>
      </c>
      <c r="G2476" t="n">
        <v>1</v>
      </c>
      <c r="H2476" t="n">
        <v>67700</v>
      </c>
      <c r="I2476" t="n">
        <v>66343.57000000001</v>
      </c>
      <c r="J2476" t="n">
        <v>1</v>
      </c>
      <c r="K2476" t="inlineStr">
        <is>
          <t>逆5日线（收盘在5日线下，不追多）</t>
        </is>
      </c>
    </row>
    <row r="2477">
      <c r="A2477" t="inlineStr">
        <is>
          <t>2023-11-28</t>
        </is>
      </c>
      <c r="B2477" t="inlineStr">
        <is>
          <t>棉花</t>
        </is>
      </c>
      <c r="C2477" t="inlineStr">
        <is>
          <t>空</t>
        </is>
      </c>
      <c r="D2477" t="n">
        <v>2</v>
      </c>
      <c r="E2477" t="n">
        <v>4</v>
      </c>
      <c r="F2477" t="inlineStr">
        <is>
          <t>续持</t>
        </is>
      </c>
      <c r="G2477" t="n">
        <v>2</v>
      </c>
      <c r="H2477" t="n">
        <v>15055</v>
      </c>
      <c r="I2477" t="n">
        <v>15645.71</v>
      </c>
      <c r="J2477" t="n">
        <v>1</v>
      </c>
      <c r="K2477" t="inlineStr">
        <is>
          <t>续持原仓（2023-11-24开）</t>
        </is>
      </c>
    </row>
    <row r="2478">
      <c r="A2478" t="inlineStr">
        <is>
          <t>2023-11-28</t>
        </is>
      </c>
      <c r="B2478" t="inlineStr">
        <is>
          <t>PTA</t>
        </is>
      </c>
      <c r="C2478" t="inlineStr">
        <is>
          <t>空</t>
        </is>
      </c>
      <c r="D2478" t="n">
        <v>2</v>
      </c>
      <c r="E2478" t="n">
        <v>4</v>
      </c>
      <c r="F2478" t="inlineStr">
        <is>
          <t>续持</t>
        </is>
      </c>
      <c r="G2478" t="n">
        <v>5</v>
      </c>
      <c r="H2478" t="n">
        <v>5634</v>
      </c>
      <c r="I2478" t="n">
        <v>5964.14</v>
      </c>
      <c r="J2478" t="n">
        <v>1</v>
      </c>
      <c r="K2478" t="inlineStr">
        <is>
          <t>续持原仓（2023-11-27开）</t>
        </is>
      </c>
    </row>
    <row r="2479">
      <c r="A2479" t="inlineStr">
        <is>
          <t>2023-11-29</t>
        </is>
      </c>
      <c r="B2479" t="inlineStr">
        <is>
          <t>铁矿石</t>
        </is>
      </c>
      <c r="C2479" t="inlineStr">
        <is>
          <t>多</t>
        </is>
      </c>
      <c r="D2479" t="n">
        <v>3</v>
      </c>
      <c r="E2479" t="n">
        <v>6</v>
      </c>
      <c r="F2479" t="inlineStr">
        <is>
          <t>观望</t>
        </is>
      </c>
      <c r="G2479" t="n">
        <v>1</v>
      </c>
      <c r="H2479" t="n">
        <v>955.5</v>
      </c>
      <c r="I2479" t="n">
        <v>882.96</v>
      </c>
      <c r="J2479" t="n">
        <v>0.95</v>
      </c>
      <c r="K2479" t="inlineStr">
        <is>
          <t>逆5日线（收盘在5日线下，不追多）</t>
        </is>
      </c>
    </row>
    <row r="2480">
      <c r="A2480" t="inlineStr">
        <is>
          <t>2023-11-29</t>
        </is>
      </c>
      <c r="B2480" t="inlineStr">
        <is>
          <t>沪铜</t>
        </is>
      </c>
      <c r="C2480" t="inlineStr">
        <is>
          <t>多</t>
        </is>
      </c>
      <c r="D2480" t="n">
        <v>3</v>
      </c>
      <c r="E2480" t="n">
        <v>6</v>
      </c>
      <c r="F2480" t="inlineStr">
        <is>
          <t>续持</t>
        </is>
      </c>
      <c r="G2480" t="n">
        <v>1</v>
      </c>
      <c r="H2480" t="n">
        <v>68090</v>
      </c>
      <c r="I2480" t="n">
        <v>67007.86</v>
      </c>
      <c r="J2480" t="n">
        <v>1</v>
      </c>
      <c r="K2480" t="inlineStr">
        <is>
          <t>续持原仓（2023-11-22开）</t>
        </is>
      </c>
    </row>
    <row r="2481">
      <c r="A2481" t="inlineStr">
        <is>
          <t>2023-11-29</t>
        </is>
      </c>
      <c r="B2481" t="inlineStr">
        <is>
          <t>沪金</t>
        </is>
      </c>
      <c r="C2481" t="inlineStr">
        <is>
          <t>多</t>
        </is>
      </c>
      <c r="D2481" t="n">
        <v>2</v>
      </c>
      <c r="E2481" t="n">
        <v>5</v>
      </c>
      <c r="F2481" t="inlineStr">
        <is>
          <t>不做</t>
        </is>
      </c>
      <c r="H2481" t="n">
        <v>475.46</v>
      </c>
      <c r="J2481" t="n">
        <v>1</v>
      </c>
      <c r="K2481" t="inlineStr">
        <is>
          <t>1手风险11426元超过预算10000元</t>
        </is>
      </c>
    </row>
    <row r="2482">
      <c r="A2482" t="inlineStr">
        <is>
          <t>2023-11-29</t>
        </is>
      </c>
      <c r="B2482" t="inlineStr">
        <is>
          <t>聚丙烯</t>
        </is>
      </c>
      <c r="C2482" t="inlineStr">
        <is>
          <t>空</t>
        </is>
      </c>
      <c r="D2482" t="n">
        <v>2</v>
      </c>
      <c r="E2482" t="n">
        <v>5</v>
      </c>
      <c r="F2482" t="inlineStr">
        <is>
          <t>影子仓</t>
        </is>
      </c>
      <c r="G2482" t="n">
        <v>7</v>
      </c>
      <c r="H2482" t="n">
        <v>7393</v>
      </c>
      <c r="I2482" t="n">
        <v>7665.14</v>
      </c>
      <c r="J2482" t="n">
        <v>1</v>
      </c>
      <c r="K2482" t="inlineStr">
        <is>
          <t>凯利≤0，开1%影子仓（只统计，不计入组合）</t>
        </is>
      </c>
    </row>
    <row r="2483">
      <c r="A2483" t="inlineStr">
        <is>
          <t>2023-11-29</t>
        </is>
      </c>
      <c r="B2483" t="inlineStr">
        <is>
          <t>玻璃</t>
        </is>
      </c>
      <c r="C2483" t="inlineStr">
        <is>
          <t>多</t>
        </is>
      </c>
      <c r="D2483" t="n">
        <v>2</v>
      </c>
      <c r="E2483" t="n">
        <v>5</v>
      </c>
      <c r="F2483" t="inlineStr">
        <is>
          <t>影子仓</t>
        </is>
      </c>
      <c r="G2483" t="n">
        <v>3</v>
      </c>
      <c r="H2483" t="n">
        <v>1806</v>
      </c>
      <c r="I2483" t="n">
        <v>1641.43</v>
      </c>
      <c r="J2483" t="n">
        <v>1</v>
      </c>
      <c r="K2483" t="inlineStr">
        <is>
          <t>凯利≤0，开1%影子仓（只统计，不计入组合）</t>
        </is>
      </c>
    </row>
    <row r="2484">
      <c r="A2484" t="inlineStr">
        <is>
          <t>2023-11-29</t>
        </is>
      </c>
      <c r="B2484" t="inlineStr">
        <is>
          <t>苯乙烯</t>
        </is>
      </c>
      <c r="C2484" t="inlineStr">
        <is>
          <t>空</t>
        </is>
      </c>
      <c r="D2484" t="n">
        <v>2</v>
      </c>
      <c r="E2484" t="n">
        <v>4</v>
      </c>
      <c r="F2484" t="inlineStr">
        <is>
          <t>影子仓</t>
        </is>
      </c>
      <c r="G2484" t="n">
        <v>3</v>
      </c>
      <c r="H2484" t="n">
        <v>8046</v>
      </c>
      <c r="I2484" t="n">
        <v>8627.57</v>
      </c>
      <c r="J2484" t="n">
        <v>1</v>
      </c>
      <c r="K2484" t="inlineStr">
        <is>
          <t>凯利≤0，开1%影子仓（只统计，不计入组合）</t>
        </is>
      </c>
    </row>
    <row r="2485">
      <c r="A2485" t="inlineStr">
        <is>
          <t>2023-11-29</t>
        </is>
      </c>
      <c r="B2485" t="inlineStr">
        <is>
          <t>棉花</t>
        </is>
      </c>
      <c r="C2485" t="inlineStr">
        <is>
          <t>空</t>
        </is>
      </c>
      <c r="D2485" t="n">
        <v>2</v>
      </c>
      <c r="E2485" t="n">
        <v>4</v>
      </c>
      <c r="F2485" t="inlineStr">
        <is>
          <t>续持</t>
        </is>
      </c>
      <c r="G2485" t="n">
        <v>2</v>
      </c>
      <c r="H2485" t="n">
        <v>15145</v>
      </c>
      <c r="I2485" t="n">
        <v>15633.93</v>
      </c>
      <c r="J2485" t="n">
        <v>1</v>
      </c>
      <c r="K2485" t="inlineStr">
        <is>
          <t>续持原仓（2023-11-24开）</t>
        </is>
      </c>
    </row>
    <row r="2486">
      <c r="A2486" t="inlineStr">
        <is>
          <t>2023-11-29</t>
        </is>
      </c>
      <c r="B2486" t="inlineStr">
        <is>
          <t>锰硅</t>
        </is>
      </c>
      <c r="C2486" t="inlineStr">
        <is>
          <t>空</t>
        </is>
      </c>
      <c r="D2486" t="n">
        <v>2</v>
      </c>
      <c r="E2486" t="n">
        <v>4</v>
      </c>
      <c r="F2486" t="inlineStr">
        <is>
          <t>影子仓</t>
        </is>
      </c>
      <c r="G2486" t="n">
        <v>7</v>
      </c>
      <c r="H2486" t="n">
        <v>6438</v>
      </c>
      <c r="I2486" t="n">
        <v>6715.29</v>
      </c>
      <c r="J2486" t="n">
        <v>1</v>
      </c>
      <c r="K2486" t="inlineStr">
        <is>
          <t>凯利≤0，开1%影子仓（只统计，不计入组合）</t>
        </is>
      </c>
    </row>
    <row r="2487">
      <c r="A2487" t="inlineStr">
        <is>
          <t>2023-11-30</t>
        </is>
      </c>
      <c r="B2487" t="inlineStr">
        <is>
          <t>纯碱</t>
        </is>
      </c>
      <c r="C2487" t="inlineStr">
        <is>
          <t>多</t>
        </is>
      </c>
      <c r="D2487" t="n">
        <v>3</v>
      </c>
      <c r="E2487" t="n">
        <v>6</v>
      </c>
      <c r="F2487" t="inlineStr">
        <is>
          <t>开仓</t>
        </is>
      </c>
      <c r="G2487" t="n">
        <v>2</v>
      </c>
      <c r="H2487" t="n">
        <v>2442</v>
      </c>
      <c r="I2487" t="n">
        <v>2090.57</v>
      </c>
      <c r="J2487" t="n">
        <v>2.1</v>
      </c>
      <c r="K2487" t="inlineStr">
        <is>
          <t>¼凯利</t>
        </is>
      </c>
    </row>
    <row r="2488">
      <c r="A2488" t="inlineStr">
        <is>
          <t>2023-11-30</t>
        </is>
      </c>
      <c r="B2488" t="inlineStr">
        <is>
          <t>沪铜</t>
        </is>
      </c>
      <c r="C2488" t="inlineStr">
        <is>
          <t>多</t>
        </is>
      </c>
      <c r="D2488" t="n">
        <v>3</v>
      </c>
      <c r="E2488" t="n">
        <v>6</v>
      </c>
      <c r="F2488" t="inlineStr">
        <is>
          <t>续持</t>
        </is>
      </c>
      <c r="G2488" t="n">
        <v>1</v>
      </c>
      <c r="H2488" t="n">
        <v>68220</v>
      </c>
      <c r="I2488" t="n">
        <v>67007.86</v>
      </c>
      <c r="J2488" t="n">
        <v>1</v>
      </c>
      <c r="K2488" t="inlineStr">
        <is>
          <t>续持原仓（2023-11-22开）</t>
        </is>
      </c>
    </row>
    <row r="2489">
      <c r="A2489" t="inlineStr">
        <is>
          <t>2023-11-30</t>
        </is>
      </c>
      <c r="B2489" t="inlineStr">
        <is>
          <t>锰硅</t>
        </is>
      </c>
      <c r="C2489" t="inlineStr">
        <is>
          <t>空</t>
        </is>
      </c>
      <c r="D2489" t="n">
        <v>3</v>
      </c>
      <c r="E2489" t="n">
        <v>6</v>
      </c>
      <c r="F2489" t="inlineStr">
        <is>
          <t>续持</t>
        </is>
      </c>
      <c r="G2489" t="n">
        <v>7</v>
      </c>
      <c r="H2489" t="n">
        <v>6412</v>
      </c>
      <c r="I2489" t="n">
        <v>6664</v>
      </c>
      <c r="J2489" t="n">
        <v>1</v>
      </c>
      <c r="K2489" t="inlineStr">
        <is>
          <t>续持原仓（2023-11-29开）</t>
        </is>
      </c>
    </row>
    <row r="2490">
      <c r="A2490" t="inlineStr">
        <is>
          <t>2023-11-30</t>
        </is>
      </c>
      <c r="B2490" t="inlineStr">
        <is>
          <t>铁矿石</t>
        </is>
      </c>
      <c r="C2490" t="inlineStr">
        <is>
          <t>多</t>
        </is>
      </c>
      <c r="D2490" t="n">
        <v>2</v>
      </c>
      <c r="E2490" t="n">
        <v>5</v>
      </c>
      <c r="F2490" t="inlineStr">
        <is>
          <t>续持</t>
        </is>
      </c>
      <c r="G2490" t="n">
        <v>3</v>
      </c>
      <c r="H2490" t="n">
        <v>969.5</v>
      </c>
      <c r="I2490" t="n">
        <v>923.46</v>
      </c>
      <c r="J2490" t="n">
        <v>2.05</v>
      </c>
      <c r="K2490" t="inlineStr">
        <is>
          <t>续持原仓（2023-11-24开）</t>
        </is>
      </c>
    </row>
    <row r="2491">
      <c r="A2491" t="inlineStr">
        <is>
          <t>2023-11-30</t>
        </is>
      </c>
      <c r="B2491" t="inlineStr">
        <is>
          <t>塑料</t>
        </is>
      </c>
      <c r="C2491" t="inlineStr">
        <is>
          <t>空</t>
        </is>
      </c>
      <c r="D2491" t="n">
        <v>2</v>
      </c>
      <c r="E2491" t="n">
        <v>4</v>
      </c>
      <c r="F2491" t="inlineStr">
        <is>
          <t>观望</t>
        </is>
      </c>
      <c r="G2491" t="n">
        <v>6</v>
      </c>
      <c r="H2491" t="n">
        <v>7968</v>
      </c>
      <c r="I2491" t="n">
        <v>8257.709999999999</v>
      </c>
      <c r="J2491" t="n">
        <v>1</v>
      </c>
      <c r="K2491" t="inlineStr">
        <is>
          <t>逆5日线（收盘在5日线上，不追空）</t>
        </is>
      </c>
    </row>
    <row r="2492">
      <c r="A2492" t="inlineStr">
        <is>
          <t>2023-11-30</t>
        </is>
      </c>
      <c r="B2492" t="inlineStr">
        <is>
          <t>沪铝</t>
        </is>
      </c>
      <c r="C2492" t="inlineStr">
        <is>
          <t>多</t>
        </is>
      </c>
      <c r="D2492" t="n">
        <v>2</v>
      </c>
      <c r="E2492" t="n">
        <v>4</v>
      </c>
      <c r="F2492" t="inlineStr">
        <is>
          <t>观望</t>
        </is>
      </c>
      <c r="G2492" t="n">
        <v>3</v>
      </c>
      <c r="H2492" t="n">
        <v>18600</v>
      </c>
      <c r="I2492" t="n">
        <v>18020.36</v>
      </c>
      <c r="J2492" t="n">
        <v>1</v>
      </c>
      <c r="K2492" t="inlineStr">
        <is>
          <t>逆5日线（收盘在5日线下，不追多）</t>
        </is>
      </c>
    </row>
    <row r="2493">
      <c r="A2493" t="inlineStr">
        <is>
          <t>2023-12-01</t>
        </is>
      </c>
      <c r="B2493" t="inlineStr">
        <is>
          <t>塑料</t>
        </is>
      </c>
      <c r="C2493" t="inlineStr">
        <is>
          <t>空</t>
        </is>
      </c>
      <c r="D2493" t="n">
        <v>3</v>
      </c>
      <c r="E2493" t="n">
        <v>7</v>
      </c>
      <c r="F2493" t="inlineStr">
        <is>
          <t>观望</t>
        </is>
      </c>
      <c r="G2493" t="n">
        <v>15</v>
      </c>
      <c r="H2493" t="n">
        <v>7932</v>
      </c>
      <c r="I2493" t="n">
        <v>8206.93</v>
      </c>
      <c r="J2493" t="n">
        <v>2.14</v>
      </c>
      <c r="K2493" t="inlineStr">
        <is>
          <t>逆5日线（收盘在5日线上，不追空）</t>
        </is>
      </c>
    </row>
    <row r="2494">
      <c r="A2494" t="inlineStr">
        <is>
          <t>2023-12-01</t>
        </is>
      </c>
      <c r="B2494" t="inlineStr">
        <is>
          <t>沪铜</t>
        </is>
      </c>
      <c r="C2494" t="inlineStr">
        <is>
          <t>多</t>
        </is>
      </c>
      <c r="D2494" t="n">
        <v>3</v>
      </c>
      <c r="E2494" t="n">
        <v>6</v>
      </c>
      <c r="F2494" t="inlineStr">
        <is>
          <t>续持</t>
        </is>
      </c>
      <c r="G2494" t="n">
        <v>1</v>
      </c>
      <c r="H2494" t="n">
        <v>68360</v>
      </c>
      <c r="I2494" t="n">
        <v>67167.86</v>
      </c>
      <c r="J2494" t="n">
        <v>1</v>
      </c>
      <c r="K2494" t="inlineStr">
        <is>
          <t>续持原仓（2023-11-22开）</t>
        </is>
      </c>
    </row>
    <row r="2495">
      <c r="A2495" t="inlineStr">
        <is>
          <t>2023-12-01</t>
        </is>
      </c>
      <c r="B2495" t="inlineStr">
        <is>
          <t>聚丙烯</t>
        </is>
      </c>
      <c r="C2495" t="inlineStr">
        <is>
          <t>空</t>
        </is>
      </c>
      <c r="D2495" t="n">
        <v>3</v>
      </c>
      <c r="E2495" t="n">
        <v>6</v>
      </c>
      <c r="F2495" t="inlineStr">
        <is>
          <t>观望</t>
        </is>
      </c>
      <c r="G2495" t="n">
        <v>15</v>
      </c>
      <c r="H2495" t="n">
        <v>7442</v>
      </c>
      <c r="I2495" t="n">
        <v>7710.07</v>
      </c>
      <c r="J2495" t="n">
        <v>2.14</v>
      </c>
      <c r="K2495" t="inlineStr">
        <is>
          <t>逆5日线（收盘在5日线上，不追空）</t>
        </is>
      </c>
    </row>
    <row r="2496">
      <c r="A2496" t="inlineStr">
        <is>
          <t>2023-12-01</t>
        </is>
      </c>
      <c r="B2496" t="inlineStr">
        <is>
          <t>铁矿石</t>
        </is>
      </c>
      <c r="C2496" t="inlineStr">
        <is>
          <t>多</t>
        </is>
      </c>
      <c r="D2496" t="n">
        <v>2</v>
      </c>
      <c r="E2496" t="n">
        <v>5</v>
      </c>
      <c r="F2496" t="inlineStr">
        <is>
          <t>续持</t>
        </is>
      </c>
      <c r="G2496" t="n">
        <v>3</v>
      </c>
      <c r="H2496" t="n">
        <v>975.5</v>
      </c>
      <c r="I2496" t="n">
        <v>923.46</v>
      </c>
      <c r="J2496" t="n">
        <v>2.05</v>
      </c>
      <c r="K2496" t="inlineStr">
        <is>
          <t>续持原仓（2023-11-24开）</t>
        </is>
      </c>
    </row>
    <row r="2497">
      <c r="A2497" t="inlineStr">
        <is>
          <t>2023-12-01</t>
        </is>
      </c>
      <c r="B2497" t="inlineStr">
        <is>
          <t>沪金</t>
        </is>
      </c>
      <c r="C2497" t="inlineStr">
        <is>
          <t>多</t>
        </is>
      </c>
      <c r="D2497" t="n">
        <v>2</v>
      </c>
      <c r="E2497" t="n">
        <v>5</v>
      </c>
      <c r="F2497" t="inlineStr">
        <is>
          <t>不做</t>
        </is>
      </c>
      <c r="H2497" t="n">
        <v>475.78</v>
      </c>
      <c r="J2497" t="n">
        <v>1</v>
      </c>
      <c r="K2497" t="inlineStr">
        <is>
          <t>1手风险10470元超过预算10000元</t>
        </is>
      </c>
    </row>
    <row r="2498">
      <c r="A2498" t="inlineStr">
        <is>
          <t>2023-12-01</t>
        </is>
      </c>
      <c r="B2498" t="inlineStr">
        <is>
          <t>锰硅</t>
        </is>
      </c>
      <c r="C2498" t="inlineStr">
        <is>
          <t>空</t>
        </is>
      </c>
      <c r="D2498" t="n">
        <v>2</v>
      </c>
      <c r="E2498" t="n">
        <v>5</v>
      </c>
      <c r="F2498" t="inlineStr">
        <is>
          <t>续持</t>
        </is>
      </c>
      <c r="G2498" t="n">
        <v>7</v>
      </c>
      <c r="H2498" t="n">
        <v>6362</v>
      </c>
      <c r="I2498" t="n">
        <v>6601</v>
      </c>
      <c r="J2498" t="n">
        <v>1</v>
      </c>
      <c r="K2498" t="inlineStr">
        <is>
          <t>续持原仓（2023-11-29开）</t>
        </is>
      </c>
    </row>
    <row r="2499">
      <c r="A2499" t="inlineStr">
        <is>
          <t>2023-12-01</t>
        </is>
      </c>
      <c r="B2499" t="inlineStr">
        <is>
          <t>甲醇</t>
        </is>
      </c>
      <c r="C2499" t="inlineStr">
        <is>
          <t>多</t>
        </is>
      </c>
      <c r="D2499" t="n">
        <v>2</v>
      </c>
      <c r="E2499" t="n">
        <v>4</v>
      </c>
      <c r="F2499" t="inlineStr">
        <is>
          <t>影子仓</t>
        </is>
      </c>
      <c r="G2499" t="n">
        <v>6</v>
      </c>
      <c r="H2499" t="n">
        <v>2498</v>
      </c>
      <c r="I2499" t="n">
        <v>2346.29</v>
      </c>
      <c r="J2499" t="n">
        <v>1</v>
      </c>
      <c r="K2499" t="inlineStr">
        <is>
          <t>凯利≤0，开1%影子仓（只统计，不计入组合）</t>
        </is>
      </c>
    </row>
    <row r="2500">
      <c r="A2500" t="inlineStr">
        <is>
          <t>2023-12-04</t>
        </is>
      </c>
      <c r="B2500" t="inlineStr">
        <is>
          <t>沪铜</t>
        </is>
      </c>
      <c r="C2500" t="inlineStr">
        <is>
          <t>多</t>
        </is>
      </c>
      <c r="D2500" t="n">
        <v>3</v>
      </c>
      <c r="E2500" t="n">
        <v>7</v>
      </c>
      <c r="F2500" t="inlineStr">
        <is>
          <t>续持</t>
        </is>
      </c>
      <c r="G2500" t="n">
        <v>1</v>
      </c>
      <c r="H2500" t="n">
        <v>68580</v>
      </c>
      <c r="I2500" t="n">
        <v>67647.86</v>
      </c>
      <c r="J2500" t="n">
        <v>1</v>
      </c>
      <c r="K2500" t="inlineStr">
        <is>
          <t>续持原仓（2023-11-22开）</t>
        </is>
      </c>
    </row>
    <row r="2501">
      <c r="A2501" t="inlineStr">
        <is>
          <t>2023-12-04</t>
        </is>
      </c>
      <c r="B2501" t="inlineStr">
        <is>
          <t>沪银</t>
        </is>
      </c>
      <c r="C2501" t="inlineStr">
        <is>
          <t>多</t>
        </is>
      </c>
      <c r="D2501" t="n">
        <v>3</v>
      </c>
      <c r="E2501" t="n">
        <v>7</v>
      </c>
      <c r="F2501" t="inlineStr">
        <is>
          <t>开仓</t>
        </is>
      </c>
      <c r="G2501" t="n">
        <v>4</v>
      </c>
      <c r="H2501" t="n">
        <v>6209</v>
      </c>
      <c r="I2501" t="n">
        <v>5865.07</v>
      </c>
      <c r="J2501" t="n">
        <v>2.14</v>
      </c>
      <c r="K2501" t="inlineStr">
        <is>
          <t>¼凯利</t>
        </is>
      </c>
    </row>
    <row r="2502">
      <c r="A2502" t="inlineStr">
        <is>
          <t>2023-12-04</t>
        </is>
      </c>
      <c r="B2502" t="inlineStr">
        <is>
          <t>沪镍</t>
        </is>
      </c>
      <c r="C2502" t="inlineStr">
        <is>
          <t>空</t>
        </is>
      </c>
      <c r="D2502" t="n">
        <v>3</v>
      </c>
      <c r="E2502" t="n">
        <v>7</v>
      </c>
      <c r="F2502" t="inlineStr">
        <is>
          <t>开仓</t>
        </is>
      </c>
      <c r="G2502" t="n">
        <v>1</v>
      </c>
      <c r="H2502" t="n">
        <v>128460</v>
      </c>
      <c r="I2502" t="n">
        <v>140567.14</v>
      </c>
      <c r="J2502" t="n">
        <v>2.14</v>
      </c>
      <c r="K2502" t="inlineStr">
        <is>
          <t>¼凯利</t>
        </is>
      </c>
    </row>
    <row r="2503">
      <c r="A2503" t="inlineStr">
        <is>
          <t>2023-12-04</t>
        </is>
      </c>
      <c r="B2503" t="inlineStr">
        <is>
          <t>塑料</t>
        </is>
      </c>
      <c r="C2503" t="inlineStr">
        <is>
          <t>空</t>
        </is>
      </c>
      <c r="D2503" t="n">
        <v>3</v>
      </c>
      <c r="E2503" t="n">
        <v>6</v>
      </c>
      <c r="F2503" t="inlineStr">
        <is>
          <t>开仓</t>
        </is>
      </c>
      <c r="G2503" t="n">
        <v>12</v>
      </c>
      <c r="H2503" t="n">
        <v>7856</v>
      </c>
      <c r="I2503" t="n">
        <v>8142.29</v>
      </c>
      <c r="J2503" t="n">
        <v>1.8</v>
      </c>
      <c r="K2503" t="inlineStr">
        <is>
          <t>组合风险已近10%，预算缩小</t>
        </is>
      </c>
    </row>
    <row r="2504">
      <c r="A2504" t="inlineStr">
        <is>
          <t>2023-12-04</t>
        </is>
      </c>
      <c r="B2504" t="inlineStr">
        <is>
          <t>棉花</t>
        </is>
      </c>
      <c r="C2504" t="inlineStr">
        <is>
          <t>空</t>
        </is>
      </c>
      <c r="D2504" t="n">
        <v>3</v>
      </c>
      <c r="E2504" t="n">
        <v>6</v>
      </c>
      <c r="F2504" t="inlineStr">
        <is>
          <t>观望</t>
        </is>
      </c>
      <c r="H2504" t="n">
        <v>14870</v>
      </c>
      <c r="J2504" t="n">
        <v>0</v>
      </c>
      <c r="K2504" t="inlineStr">
        <is>
          <t>逆5日线（收盘在5日线上，不追空）</t>
        </is>
      </c>
    </row>
    <row r="2505">
      <c r="A2505" t="inlineStr">
        <is>
          <t>2023-12-04</t>
        </is>
      </c>
      <c r="B2505" t="inlineStr">
        <is>
          <t>沪锌</t>
        </is>
      </c>
      <c r="C2505" t="inlineStr">
        <is>
          <t>空</t>
        </is>
      </c>
      <c r="D2505" t="n">
        <v>2</v>
      </c>
      <c r="E2505" t="n">
        <v>5</v>
      </c>
      <c r="F2505" t="inlineStr">
        <is>
          <t>影子仓</t>
        </is>
      </c>
      <c r="G2505" t="n">
        <v>2</v>
      </c>
      <c r="H2505" t="n">
        <v>20760</v>
      </c>
      <c r="I2505" t="n">
        <v>21582.86</v>
      </c>
      <c r="J2505" t="n">
        <v>1</v>
      </c>
      <c r="K2505" t="inlineStr">
        <is>
          <t>凯利≤0，开1%影子仓（只统计，不计入组合）</t>
        </is>
      </c>
    </row>
    <row r="2506">
      <c r="A2506" t="inlineStr">
        <is>
          <t>2023-12-04</t>
        </is>
      </c>
      <c r="B2506" t="inlineStr">
        <is>
          <t>豆粕</t>
        </is>
      </c>
      <c r="C2506" t="inlineStr">
        <is>
          <t>空</t>
        </is>
      </c>
      <c r="D2506" t="n">
        <v>2</v>
      </c>
      <c r="E2506" t="n">
        <v>5</v>
      </c>
      <c r="F2506" t="inlineStr">
        <is>
          <t>影子仓</t>
        </is>
      </c>
      <c r="G2506" t="n">
        <v>5</v>
      </c>
      <c r="H2506" t="n">
        <v>3366</v>
      </c>
      <c r="I2506" t="n">
        <v>3557.79</v>
      </c>
      <c r="J2506" t="n">
        <v>1</v>
      </c>
      <c r="K2506" t="inlineStr">
        <is>
          <t>凯利≤0，开1%影子仓（只统计，不计入组合）</t>
        </is>
      </c>
    </row>
    <row r="2507">
      <c r="A2507" t="inlineStr">
        <is>
          <t>2023-12-04</t>
        </is>
      </c>
      <c r="B2507" t="inlineStr">
        <is>
          <t>铁矿石</t>
        </is>
      </c>
      <c r="C2507" t="inlineStr">
        <is>
          <t>多</t>
        </is>
      </c>
      <c r="D2507" t="n">
        <v>2</v>
      </c>
      <c r="E2507" t="n">
        <v>4</v>
      </c>
      <c r="F2507" t="inlineStr">
        <is>
          <t>观望</t>
        </is>
      </c>
      <c r="G2507" t="n">
        <v>1</v>
      </c>
      <c r="H2507" t="n">
        <v>958</v>
      </c>
      <c r="I2507" t="n">
        <v>880.3200000000001</v>
      </c>
      <c r="J2507" t="n">
        <v>1</v>
      </c>
      <c r="K2507" t="inlineStr">
        <is>
          <t>逆5日线（收盘在5日线下，不追多）</t>
        </is>
      </c>
    </row>
    <row r="2508">
      <c r="A2508" t="inlineStr">
        <is>
          <t>2023-12-05</t>
        </is>
      </c>
      <c r="B2508" t="inlineStr">
        <is>
          <t>PVC</t>
        </is>
      </c>
      <c r="C2508" t="inlineStr">
        <is>
          <t>空</t>
        </is>
      </c>
      <c r="D2508" t="n">
        <v>3</v>
      </c>
      <c r="E2508" t="n">
        <v>7</v>
      </c>
      <c r="F2508" t="inlineStr">
        <is>
          <t>开仓</t>
        </is>
      </c>
      <c r="G2508" t="n">
        <v>14</v>
      </c>
      <c r="H2508" t="n">
        <v>5671</v>
      </c>
      <c r="I2508" t="n">
        <v>5963.5</v>
      </c>
      <c r="J2508" t="n">
        <v>2.07</v>
      </c>
      <c r="K2508" t="inlineStr">
        <is>
          <t>¼凯利</t>
        </is>
      </c>
    </row>
    <row r="2509">
      <c r="A2509" t="inlineStr">
        <is>
          <t>2023-12-05</t>
        </is>
      </c>
      <c r="B2509" t="inlineStr">
        <is>
          <t>沪锌</t>
        </is>
      </c>
      <c r="C2509" t="inlineStr">
        <is>
          <t>空</t>
        </is>
      </c>
      <c r="D2509" t="n">
        <v>3</v>
      </c>
      <c r="E2509" t="n">
        <v>7</v>
      </c>
      <c r="F2509" t="inlineStr">
        <is>
          <t>续持</t>
        </is>
      </c>
      <c r="G2509" t="n">
        <v>2</v>
      </c>
      <c r="H2509" t="n">
        <v>20410</v>
      </c>
      <c r="I2509" t="n">
        <v>21163.93</v>
      </c>
      <c r="J2509" t="n">
        <v>1</v>
      </c>
      <c r="K2509" t="inlineStr">
        <is>
          <t>续持原仓（2023-12-04开）</t>
        </is>
      </c>
    </row>
    <row r="2510">
      <c r="A2510" t="inlineStr">
        <is>
          <t>2023-12-05</t>
        </is>
      </c>
      <c r="B2510" t="inlineStr">
        <is>
          <t>铁矿石</t>
        </is>
      </c>
      <c r="C2510" t="inlineStr">
        <is>
          <t>多</t>
        </is>
      </c>
      <c r="D2510" t="n">
        <v>3</v>
      </c>
      <c r="E2510" t="n">
        <v>6</v>
      </c>
      <c r="F2510" t="inlineStr">
        <is>
          <t>续持</t>
        </is>
      </c>
      <c r="G2510" t="n">
        <v>3</v>
      </c>
      <c r="H2510" t="n">
        <v>966</v>
      </c>
      <c r="I2510" t="n">
        <v>923.46</v>
      </c>
      <c r="J2510" t="n">
        <v>2.05</v>
      </c>
      <c r="K2510" t="inlineStr">
        <is>
          <t>续持原仓（2023-11-24开）</t>
        </is>
      </c>
    </row>
    <row r="2511">
      <c r="A2511" t="inlineStr">
        <is>
          <t>2023-12-05</t>
        </is>
      </c>
      <c r="B2511" t="inlineStr">
        <is>
          <t>锰硅</t>
        </is>
      </c>
      <c r="C2511" t="inlineStr">
        <is>
          <t>空</t>
        </is>
      </c>
      <c r="D2511" t="n">
        <v>3</v>
      </c>
      <c r="E2511" t="n">
        <v>6</v>
      </c>
      <c r="F2511" t="inlineStr">
        <is>
          <t>续持</t>
        </is>
      </c>
      <c r="G2511" t="n">
        <v>7</v>
      </c>
      <c r="H2511" t="n">
        <v>6334</v>
      </c>
      <c r="I2511" t="n">
        <v>6531</v>
      </c>
      <c r="J2511" t="n">
        <v>1</v>
      </c>
      <c r="K2511" t="inlineStr">
        <is>
          <t>续持原仓（2023-11-29开）</t>
        </is>
      </c>
    </row>
    <row r="2512">
      <c r="A2512" t="inlineStr">
        <is>
          <t>2023-12-05</t>
        </is>
      </c>
      <c r="B2512" t="inlineStr">
        <is>
          <t>豆粕</t>
        </is>
      </c>
      <c r="C2512" t="inlineStr">
        <is>
          <t>空</t>
        </is>
      </c>
      <c r="D2512" t="n">
        <v>2</v>
      </c>
      <c r="E2512" t="n">
        <v>5</v>
      </c>
      <c r="F2512" t="inlineStr">
        <is>
          <t>续持</t>
        </is>
      </c>
      <c r="G2512" t="n">
        <v>5</v>
      </c>
      <c r="H2512" t="n">
        <v>3368</v>
      </c>
      <c r="I2512" t="n">
        <v>3543.36</v>
      </c>
      <c r="J2512" t="n">
        <v>1</v>
      </c>
      <c r="K2512" t="inlineStr">
        <is>
          <t>续持原仓（2023-12-04开）</t>
        </is>
      </c>
    </row>
    <row r="2513">
      <c r="A2513" t="inlineStr">
        <is>
          <t>2023-12-05</t>
        </is>
      </c>
      <c r="B2513" t="inlineStr">
        <is>
          <t>硅铁</t>
        </is>
      </c>
      <c r="C2513" t="inlineStr">
        <is>
          <t>空</t>
        </is>
      </c>
      <c r="D2513" t="n">
        <v>2</v>
      </c>
      <c r="E2513" t="n">
        <v>5</v>
      </c>
      <c r="F2513" t="inlineStr">
        <is>
          <t>影子仓</t>
        </is>
      </c>
      <c r="G2513" t="n">
        <v>6</v>
      </c>
      <c r="H2513" t="n">
        <v>6636</v>
      </c>
      <c r="I2513" t="n">
        <v>6966</v>
      </c>
      <c r="J2513" t="n">
        <v>1</v>
      </c>
      <c r="K2513" t="inlineStr">
        <is>
          <t>凯利≤0，开1%影子仓（只统计，不计入组合）</t>
        </is>
      </c>
    </row>
    <row r="2514">
      <c r="A2514" t="inlineStr">
        <is>
          <t>2023-12-05</t>
        </is>
      </c>
      <c r="B2514" t="inlineStr">
        <is>
          <t>沪金</t>
        </is>
      </c>
      <c r="C2514" t="inlineStr">
        <is>
          <t>多</t>
        </is>
      </c>
      <c r="D2514" t="n">
        <v>2</v>
      </c>
      <c r="E2514" t="n">
        <v>4</v>
      </c>
      <c r="F2514" t="inlineStr">
        <is>
          <t>观望</t>
        </is>
      </c>
      <c r="H2514" t="n">
        <v>475</v>
      </c>
      <c r="J2514" t="n">
        <v>1</v>
      </c>
      <c r="K2514" t="inlineStr">
        <is>
          <t>逆5日线（收盘在5日线下，不追多）</t>
        </is>
      </c>
    </row>
    <row r="2515">
      <c r="A2515" t="inlineStr">
        <is>
          <t>2023-12-06</t>
        </is>
      </c>
      <c r="B2515" t="inlineStr">
        <is>
          <t>铁矿石</t>
        </is>
      </c>
      <c r="C2515" t="inlineStr">
        <is>
          <t>多</t>
        </is>
      </c>
      <c r="D2515" t="n">
        <v>3</v>
      </c>
      <c r="E2515" t="n">
        <v>6</v>
      </c>
      <c r="F2515" t="inlineStr">
        <is>
          <t>续持</t>
        </is>
      </c>
      <c r="G2515" t="n">
        <v>3</v>
      </c>
      <c r="H2515" t="n">
        <v>980</v>
      </c>
      <c r="I2515" t="n">
        <v>923.46</v>
      </c>
      <c r="J2515" t="n">
        <v>2.05</v>
      </c>
      <c r="K2515" t="inlineStr">
        <is>
          <t>续持原仓（2023-11-24开）</t>
        </is>
      </c>
    </row>
    <row r="2516">
      <c r="A2516" t="inlineStr">
        <is>
          <t>2023-12-06</t>
        </is>
      </c>
      <c r="B2516" t="inlineStr">
        <is>
          <t>沪金</t>
        </is>
      </c>
      <c r="C2516" t="inlineStr">
        <is>
          <t>多</t>
        </is>
      </c>
      <c r="D2516" t="n">
        <v>3</v>
      </c>
      <c r="E2516" t="n">
        <v>6</v>
      </c>
      <c r="F2516" t="inlineStr">
        <is>
          <t>观望</t>
        </is>
      </c>
      <c r="G2516" t="n">
        <v>1</v>
      </c>
      <c r="H2516" t="n">
        <v>474.08</v>
      </c>
      <c r="I2516" t="n">
        <v>460.31</v>
      </c>
      <c r="J2516" t="n">
        <v>2.05</v>
      </c>
      <c r="K2516" t="inlineStr">
        <is>
          <t>逆5日线（收盘在5日线下，不追多）</t>
        </is>
      </c>
    </row>
    <row r="2517">
      <c r="A2517" t="inlineStr">
        <is>
          <t>2023-12-06</t>
        </is>
      </c>
      <c r="B2517" t="inlineStr">
        <is>
          <t>沪银</t>
        </is>
      </c>
      <c r="C2517" t="inlineStr">
        <is>
          <t>多</t>
        </is>
      </c>
      <c r="D2517" t="n">
        <v>3</v>
      </c>
      <c r="E2517" t="n">
        <v>6</v>
      </c>
      <c r="F2517" t="inlineStr">
        <is>
          <t>观望</t>
        </is>
      </c>
      <c r="G2517" t="n">
        <v>3</v>
      </c>
      <c r="H2517" t="n">
        <v>5994</v>
      </c>
      <c r="I2517" t="n">
        <v>5627.57</v>
      </c>
      <c r="J2517" t="n">
        <v>2.05</v>
      </c>
      <c r="K2517" t="inlineStr">
        <is>
          <t>逆5日线（收盘在5日线下，不追多）</t>
        </is>
      </c>
    </row>
    <row r="2518">
      <c r="A2518" t="inlineStr">
        <is>
          <t>2023-12-06</t>
        </is>
      </c>
      <c r="B2518" t="inlineStr">
        <is>
          <t>锰硅</t>
        </is>
      </c>
      <c r="C2518" t="inlineStr">
        <is>
          <t>空</t>
        </is>
      </c>
      <c r="D2518" t="n">
        <v>3</v>
      </c>
      <c r="E2518" t="n">
        <v>6</v>
      </c>
      <c r="F2518" t="inlineStr">
        <is>
          <t>续持</t>
        </is>
      </c>
      <c r="G2518" t="n">
        <v>7</v>
      </c>
      <c r="H2518" t="n">
        <v>6312</v>
      </c>
      <c r="I2518" t="n">
        <v>6526.71</v>
      </c>
      <c r="J2518" t="n">
        <v>1</v>
      </c>
      <c r="K2518" t="inlineStr">
        <is>
          <t>续持原仓（2023-11-29开）</t>
        </is>
      </c>
    </row>
    <row r="2519">
      <c r="A2519" t="inlineStr">
        <is>
          <t>2023-12-06</t>
        </is>
      </c>
      <c r="B2519" t="inlineStr">
        <is>
          <t>棕榈油</t>
        </is>
      </c>
      <c r="C2519" t="inlineStr">
        <is>
          <t>空</t>
        </is>
      </c>
      <c r="D2519" t="n">
        <v>2</v>
      </c>
      <c r="E2519" t="n">
        <v>5</v>
      </c>
      <c r="F2519" t="inlineStr">
        <is>
          <t>影子仓</t>
        </is>
      </c>
      <c r="G2519" t="n">
        <v>2</v>
      </c>
      <c r="H2519" t="n">
        <v>6930</v>
      </c>
      <c r="I2519" t="n">
        <v>7407.86</v>
      </c>
      <c r="J2519" t="n">
        <v>1</v>
      </c>
      <c r="K2519" t="inlineStr">
        <is>
          <t>凯利≤0，开1%影子仓（只统计，不计入组合）</t>
        </is>
      </c>
    </row>
    <row r="2520">
      <c r="A2520" t="inlineStr">
        <is>
          <t>2023-12-06</t>
        </is>
      </c>
      <c r="B2520" t="inlineStr">
        <is>
          <t>白糖</t>
        </is>
      </c>
      <c r="C2520" t="inlineStr">
        <is>
          <t>空</t>
        </is>
      </c>
      <c r="D2520" t="n">
        <v>2</v>
      </c>
      <c r="E2520" t="n">
        <v>5</v>
      </c>
      <c r="F2520" t="inlineStr">
        <is>
          <t>影子仓</t>
        </is>
      </c>
      <c r="G2520" t="n">
        <v>4</v>
      </c>
      <c r="H2520" t="n">
        <v>6356</v>
      </c>
      <c r="I2520" t="n">
        <v>6602.21</v>
      </c>
      <c r="J2520" t="n">
        <v>1</v>
      </c>
      <c r="K2520" t="inlineStr">
        <is>
          <t>凯利≤0，开1%影子仓（只统计，不计入组合）</t>
        </is>
      </c>
    </row>
    <row r="2521">
      <c r="A2521" t="inlineStr">
        <is>
          <t>2023-12-06</t>
        </is>
      </c>
      <c r="B2521" t="inlineStr">
        <is>
          <t>玉米</t>
        </is>
      </c>
      <c r="C2521" t="inlineStr">
        <is>
          <t>多</t>
        </is>
      </c>
      <c r="D2521" t="n">
        <v>2</v>
      </c>
      <c r="E2521" t="n">
        <v>5</v>
      </c>
      <c r="F2521" t="inlineStr">
        <is>
          <t>影子仓</t>
        </is>
      </c>
      <c r="G2521" t="n">
        <v>14</v>
      </c>
      <c r="H2521" t="n">
        <v>2499</v>
      </c>
      <c r="I2521" t="n">
        <v>2431.29</v>
      </c>
      <c r="J2521" t="n">
        <v>1</v>
      </c>
      <c r="K2521" t="inlineStr">
        <is>
          <t>凯利≤0，开1%影子仓（只统计，不计入组合）</t>
        </is>
      </c>
    </row>
    <row r="2522">
      <c r="A2522" t="inlineStr">
        <is>
          <t>2023-12-06</t>
        </is>
      </c>
      <c r="B2522" t="inlineStr">
        <is>
          <t>沪铜</t>
        </is>
      </c>
      <c r="C2522" t="inlineStr">
        <is>
          <t>多</t>
        </is>
      </c>
      <c r="D2522" t="n">
        <v>2</v>
      </c>
      <c r="E2522" t="n">
        <v>4</v>
      </c>
      <c r="F2522" t="inlineStr">
        <is>
          <t>观望</t>
        </is>
      </c>
      <c r="G2522" t="n">
        <v>1</v>
      </c>
      <c r="H2522" t="n">
        <v>68050</v>
      </c>
      <c r="I2522" t="n">
        <v>66400</v>
      </c>
      <c r="J2522" t="n">
        <v>1</v>
      </c>
      <c r="K2522" t="inlineStr">
        <is>
          <t>逆5日线（收盘在5日线下，不追多）</t>
        </is>
      </c>
    </row>
    <row r="2523">
      <c r="A2523" t="inlineStr">
        <is>
          <t>2023-12-06</t>
        </is>
      </c>
      <c r="B2523" t="inlineStr">
        <is>
          <t>沪铝</t>
        </is>
      </c>
      <c r="C2523" t="inlineStr">
        <is>
          <t>空</t>
        </is>
      </c>
      <c r="D2523" t="n">
        <v>2</v>
      </c>
      <c r="E2523" t="n">
        <v>4</v>
      </c>
      <c r="F2523" t="inlineStr">
        <is>
          <t>影子仓</t>
        </is>
      </c>
      <c r="G2523" t="n">
        <v>3</v>
      </c>
      <c r="H2523" t="n">
        <v>18480</v>
      </c>
      <c r="I2523" t="n">
        <v>19057.5</v>
      </c>
      <c r="J2523" t="n">
        <v>1</v>
      </c>
      <c r="K2523" t="inlineStr">
        <is>
          <t>凯利≤0，开1%影子仓（只统计，不计入组合）</t>
        </is>
      </c>
    </row>
    <row r="2524">
      <c r="A2524" t="inlineStr">
        <is>
          <t>2023-12-07</t>
        </is>
      </c>
      <c r="B2524" t="inlineStr">
        <is>
          <t>沪银</t>
        </is>
      </c>
      <c r="C2524" t="inlineStr">
        <is>
          <t>多</t>
        </is>
      </c>
      <c r="D2524" t="n">
        <v>3</v>
      </c>
      <c r="E2524" t="n">
        <v>6</v>
      </c>
      <c r="F2524" t="inlineStr">
        <is>
          <t>观望</t>
        </is>
      </c>
      <c r="G2524" t="n">
        <v>3</v>
      </c>
      <c r="H2524" t="n">
        <v>5969</v>
      </c>
      <c r="I2524" t="n">
        <v>5594.64</v>
      </c>
      <c r="J2524" t="n">
        <v>1.92</v>
      </c>
      <c r="K2524" t="inlineStr">
        <is>
          <t>逆5日线（收盘在5日线下，不追多）</t>
        </is>
      </c>
    </row>
    <row r="2525">
      <c r="A2525" t="inlineStr">
        <is>
          <t>2023-12-07</t>
        </is>
      </c>
      <c r="B2525" t="inlineStr">
        <is>
          <t>铁矿石</t>
        </is>
      </c>
      <c r="C2525" t="inlineStr">
        <is>
          <t>多</t>
        </is>
      </c>
      <c r="D2525" t="n">
        <v>3</v>
      </c>
      <c r="E2525" t="n">
        <v>6</v>
      </c>
      <c r="F2525" t="inlineStr">
        <is>
          <t>续持</t>
        </is>
      </c>
      <c r="G2525" t="n">
        <v>3</v>
      </c>
      <c r="H2525" t="n">
        <v>952</v>
      </c>
      <c r="I2525" t="n">
        <v>879.29</v>
      </c>
      <c r="J2525" t="n">
        <v>2.05</v>
      </c>
      <c r="K2525" t="inlineStr">
        <is>
          <t>续持原仓（2023-11-24开）</t>
        </is>
      </c>
    </row>
    <row r="2526">
      <c r="A2526" t="inlineStr">
        <is>
          <t>2023-12-07</t>
        </is>
      </c>
      <c r="B2526" t="inlineStr">
        <is>
          <t>沪金</t>
        </is>
      </c>
      <c r="C2526" t="inlineStr">
        <is>
          <t>多</t>
        </is>
      </c>
      <c r="D2526" t="n">
        <v>2</v>
      </c>
      <c r="E2526" t="n">
        <v>5</v>
      </c>
      <c r="F2526" t="inlineStr">
        <is>
          <t>观望</t>
        </is>
      </c>
      <c r="H2526" t="n">
        <v>474.88</v>
      </c>
      <c r="J2526" t="n">
        <v>1</v>
      </c>
      <c r="K2526" t="inlineStr">
        <is>
          <t>逆5日线（收盘在5日线下，不追多）</t>
        </is>
      </c>
    </row>
    <row r="2527">
      <c r="A2527" t="inlineStr">
        <is>
          <t>2023-12-07</t>
        </is>
      </c>
      <c r="B2527" t="inlineStr">
        <is>
          <t>锰硅</t>
        </is>
      </c>
      <c r="C2527" t="inlineStr">
        <is>
          <t>空</t>
        </is>
      </c>
      <c r="D2527" t="n">
        <v>2</v>
      </c>
      <c r="E2527" t="n">
        <v>5</v>
      </c>
      <c r="F2527" t="inlineStr">
        <is>
          <t>续持</t>
        </is>
      </c>
      <c r="G2527" t="n">
        <v>7</v>
      </c>
      <c r="H2527" t="n">
        <v>6324</v>
      </c>
      <c r="I2527" t="n">
        <v>6506.14</v>
      </c>
      <c r="J2527" t="n">
        <v>1</v>
      </c>
      <c r="K2527" t="inlineStr">
        <is>
          <t>续持原仓（2023-11-29开）</t>
        </is>
      </c>
    </row>
    <row r="2528">
      <c r="A2528" t="inlineStr">
        <is>
          <t>2023-12-07</t>
        </is>
      </c>
      <c r="B2528" t="inlineStr">
        <is>
          <t>甲醇</t>
        </is>
      </c>
      <c r="C2528" t="inlineStr">
        <is>
          <t>多</t>
        </is>
      </c>
      <c r="D2528" t="n">
        <v>2</v>
      </c>
      <c r="E2528" t="n">
        <v>5</v>
      </c>
      <c r="F2528" t="inlineStr">
        <is>
          <t>影子仓</t>
        </is>
      </c>
      <c r="G2528" t="n">
        <v>6</v>
      </c>
      <c r="H2528" t="n">
        <v>2433</v>
      </c>
      <c r="I2528" t="n">
        <v>2268.43</v>
      </c>
      <c r="J2528" t="n">
        <v>1</v>
      </c>
      <c r="K2528" t="inlineStr">
        <is>
          <t>凯利≤0，开1%影子仓（只统计，不计入组合）</t>
        </is>
      </c>
    </row>
    <row r="2529">
      <c r="A2529" t="inlineStr">
        <is>
          <t>2023-12-07</t>
        </is>
      </c>
      <c r="B2529" t="inlineStr">
        <is>
          <t>沪铜</t>
        </is>
      </c>
      <c r="C2529" t="inlineStr">
        <is>
          <t>多</t>
        </is>
      </c>
      <c r="D2529" t="n">
        <v>2</v>
      </c>
      <c r="E2529" t="n">
        <v>4</v>
      </c>
      <c r="F2529" t="inlineStr">
        <is>
          <t>观望</t>
        </is>
      </c>
      <c r="G2529" t="n">
        <v>1</v>
      </c>
      <c r="H2529" t="n">
        <v>67480</v>
      </c>
      <c r="I2529" t="n">
        <v>65729.28999999999</v>
      </c>
      <c r="J2529" t="n">
        <v>1</v>
      </c>
      <c r="K2529" t="inlineStr">
        <is>
          <t>逆5日线（收盘在5日线下，不追多）</t>
        </is>
      </c>
    </row>
    <row r="2530">
      <c r="A2530" t="inlineStr">
        <is>
          <t>2023-12-08</t>
        </is>
      </c>
      <c r="B2530" t="inlineStr">
        <is>
          <t>沪银</t>
        </is>
      </c>
      <c r="C2530" t="inlineStr">
        <is>
          <t>多</t>
        </is>
      </c>
      <c r="D2530" t="n">
        <v>3</v>
      </c>
      <c r="E2530" t="n">
        <v>6</v>
      </c>
      <c r="F2530" t="inlineStr">
        <is>
          <t>观望</t>
        </is>
      </c>
      <c r="G2530" t="n">
        <v>3</v>
      </c>
      <c r="H2530" t="n">
        <v>6012</v>
      </c>
      <c r="I2530" t="n">
        <v>5638.71</v>
      </c>
      <c r="J2530" t="n">
        <v>1.9</v>
      </c>
      <c r="K2530" t="inlineStr">
        <is>
          <t>逆5日线（收盘在5日线下，不追多）</t>
        </is>
      </c>
    </row>
    <row r="2531">
      <c r="A2531" t="inlineStr">
        <is>
          <t>2023-12-08</t>
        </is>
      </c>
      <c r="B2531" t="inlineStr">
        <is>
          <t>螺纹钢</t>
        </is>
      </c>
      <c r="C2531" t="inlineStr">
        <is>
          <t>多</t>
        </is>
      </c>
      <c r="D2531" t="n">
        <v>3</v>
      </c>
      <c r="E2531" t="n">
        <v>6</v>
      </c>
      <c r="F2531" t="inlineStr">
        <is>
          <t>开仓</t>
        </is>
      </c>
      <c r="G2531" t="n">
        <v>9</v>
      </c>
      <c r="H2531" t="n">
        <v>4042</v>
      </c>
      <c r="I2531" t="n">
        <v>3836.71</v>
      </c>
      <c r="J2531" t="n">
        <v>1.9</v>
      </c>
      <c r="K2531" t="inlineStr">
        <is>
          <t>¼凯利</t>
        </is>
      </c>
    </row>
    <row r="2532">
      <c r="A2532" t="inlineStr">
        <is>
          <t>2023-12-08</t>
        </is>
      </c>
      <c r="B2532" t="inlineStr">
        <is>
          <t>沪金</t>
        </is>
      </c>
      <c r="C2532" t="inlineStr">
        <is>
          <t>多</t>
        </is>
      </c>
      <c r="D2532" t="n">
        <v>3</v>
      </c>
      <c r="E2532" t="n">
        <v>6</v>
      </c>
      <c r="F2532" t="inlineStr">
        <is>
          <t>观望</t>
        </is>
      </c>
      <c r="G2532" t="n">
        <v>1</v>
      </c>
      <c r="H2532" t="n">
        <v>475.2</v>
      </c>
      <c r="I2532" t="n">
        <v>462.16</v>
      </c>
      <c r="J2532" t="n">
        <v>1.9</v>
      </c>
      <c r="K2532" t="inlineStr">
        <is>
          <t>逆5日线（收盘在5日线下，不追多）</t>
        </is>
      </c>
    </row>
    <row r="2533">
      <c r="A2533" t="inlineStr">
        <is>
          <t>2023-12-08</t>
        </is>
      </c>
      <c r="B2533" t="inlineStr">
        <is>
          <t>燃料油</t>
        </is>
      </c>
      <c r="C2533" t="inlineStr">
        <is>
          <t>多</t>
        </is>
      </c>
      <c r="D2533" t="n">
        <v>2</v>
      </c>
      <c r="E2533" t="n">
        <v>4</v>
      </c>
      <c r="F2533" t="inlineStr">
        <is>
          <t>观望</t>
        </is>
      </c>
      <c r="G2533" t="n">
        <v>3</v>
      </c>
      <c r="H2533" t="n">
        <v>2955</v>
      </c>
      <c r="I2533" t="n">
        <v>2637</v>
      </c>
      <c r="J2533" t="n">
        <v>1</v>
      </c>
      <c r="K2533" t="inlineStr">
        <is>
          <t>逆5日线（收盘在5日线下，不追多）</t>
        </is>
      </c>
    </row>
    <row r="2534">
      <c r="A2534" t="inlineStr">
        <is>
          <t>2023-12-11</t>
        </is>
      </c>
      <c r="B2534" t="inlineStr">
        <is>
          <t>沪镍</t>
        </is>
      </c>
      <c r="C2534" t="inlineStr">
        <is>
          <t>空</t>
        </is>
      </c>
      <c r="D2534" t="n">
        <v>3</v>
      </c>
      <c r="E2534" t="n">
        <v>6</v>
      </c>
      <c r="F2534" t="inlineStr">
        <is>
          <t>观望</t>
        </is>
      </c>
      <c r="G2534" t="n">
        <v>1</v>
      </c>
      <c r="H2534" t="n">
        <v>132060</v>
      </c>
      <c r="I2534" t="n">
        <v>147604.29</v>
      </c>
      <c r="J2534" t="n">
        <v>1.87</v>
      </c>
      <c r="K2534" t="inlineStr">
        <is>
          <t>逆5日线（收盘在5日线上，不追空）</t>
        </is>
      </c>
    </row>
    <row r="2535">
      <c r="A2535" t="inlineStr">
        <is>
          <t>2023-12-11</t>
        </is>
      </c>
      <c r="B2535" t="inlineStr">
        <is>
          <t>豆粕</t>
        </is>
      </c>
      <c r="C2535" t="inlineStr">
        <is>
          <t>空</t>
        </is>
      </c>
      <c r="D2535" t="n">
        <v>2</v>
      </c>
      <c r="E2535" t="n">
        <v>5</v>
      </c>
      <c r="F2535" t="inlineStr">
        <is>
          <t>观望</t>
        </is>
      </c>
      <c r="G2535" t="n">
        <v>5</v>
      </c>
      <c r="H2535" t="n">
        <v>3418</v>
      </c>
      <c r="I2535" t="n">
        <v>3589.21</v>
      </c>
      <c r="J2535" t="n">
        <v>1</v>
      </c>
      <c r="K2535" t="inlineStr">
        <is>
          <t>逆5日线（收盘在5日线上，不追空）</t>
        </is>
      </c>
    </row>
    <row r="2536">
      <c r="A2536" t="inlineStr">
        <is>
          <t>2023-12-11</t>
        </is>
      </c>
      <c r="B2536" t="inlineStr">
        <is>
          <t>PTA</t>
        </is>
      </c>
      <c r="C2536" t="inlineStr">
        <is>
          <t>空</t>
        </is>
      </c>
      <c r="D2536" t="n">
        <v>2</v>
      </c>
      <c r="E2536" t="n">
        <v>5</v>
      </c>
      <c r="F2536" t="inlineStr">
        <is>
          <t>观望</t>
        </is>
      </c>
      <c r="G2536" t="n">
        <v>6</v>
      </c>
      <c r="H2536" t="n">
        <v>5744</v>
      </c>
      <c r="I2536" t="n">
        <v>6039.71</v>
      </c>
      <c r="J2536" t="n">
        <v>1</v>
      </c>
      <c r="K2536" t="inlineStr">
        <is>
          <t>逆5日线（收盘在5日线上，不追空）</t>
        </is>
      </c>
    </row>
    <row r="2537">
      <c r="A2537" t="inlineStr">
        <is>
          <t>2023-12-11</t>
        </is>
      </c>
      <c r="B2537" t="inlineStr">
        <is>
          <t>菜油</t>
        </is>
      </c>
      <c r="C2537" t="inlineStr">
        <is>
          <t>空</t>
        </is>
      </c>
      <c r="D2537" t="n">
        <v>2</v>
      </c>
      <c r="E2537" t="n">
        <v>5</v>
      </c>
      <c r="F2537" t="inlineStr">
        <is>
          <t>观望</t>
        </is>
      </c>
      <c r="G2537" t="n">
        <v>1</v>
      </c>
      <c r="H2537" t="n">
        <v>8217</v>
      </c>
      <c r="I2537" t="n">
        <v>8719.07</v>
      </c>
      <c r="J2537" t="n">
        <v>1</v>
      </c>
      <c r="K2537" t="inlineStr">
        <is>
          <t>逆5日线（收盘在5日线上，不追空）</t>
        </is>
      </c>
    </row>
    <row r="2538">
      <c r="A2538" t="inlineStr">
        <is>
          <t>2023-12-11</t>
        </is>
      </c>
      <c r="B2538" t="inlineStr">
        <is>
          <t>沪铜</t>
        </is>
      </c>
      <c r="C2538" t="inlineStr">
        <is>
          <t>多</t>
        </is>
      </c>
      <c r="D2538" t="n">
        <v>2</v>
      </c>
      <c r="E2538" t="n">
        <v>5</v>
      </c>
      <c r="F2538" t="inlineStr">
        <is>
          <t>影子仓</t>
        </is>
      </c>
      <c r="G2538" t="n">
        <v>1</v>
      </c>
      <c r="H2538" t="n">
        <v>68350</v>
      </c>
      <c r="I2538" t="n">
        <v>66522.14</v>
      </c>
      <c r="J2538" t="n">
        <v>1</v>
      </c>
      <c r="K2538" t="inlineStr">
        <is>
          <t>凯利≤0，开1%影子仓（只统计，不计入组合）</t>
        </is>
      </c>
    </row>
    <row r="2539">
      <c r="A2539" t="inlineStr">
        <is>
          <t>2023-12-11</t>
        </is>
      </c>
      <c r="B2539" t="inlineStr">
        <is>
          <t>硅铁</t>
        </is>
      </c>
      <c r="C2539" t="inlineStr">
        <is>
          <t>空</t>
        </is>
      </c>
      <c r="D2539" t="n">
        <v>2</v>
      </c>
      <c r="E2539" t="n">
        <v>5</v>
      </c>
      <c r="F2539" t="inlineStr">
        <is>
          <t>观望</t>
        </is>
      </c>
      <c r="G2539" t="n">
        <v>6</v>
      </c>
      <c r="H2539" t="n">
        <v>6848</v>
      </c>
      <c r="I2539" t="n">
        <v>7175</v>
      </c>
      <c r="J2539" t="n">
        <v>1</v>
      </c>
      <c r="K2539" t="inlineStr">
        <is>
          <t>逆5日线（收盘在5日线上，不追空）</t>
        </is>
      </c>
    </row>
    <row r="2540">
      <c r="A2540" t="inlineStr">
        <is>
          <t>2023-12-11</t>
        </is>
      </c>
      <c r="B2540" t="inlineStr">
        <is>
          <t>燃料油</t>
        </is>
      </c>
      <c r="C2540" t="inlineStr">
        <is>
          <t>多</t>
        </is>
      </c>
      <c r="D2540" t="n">
        <v>2</v>
      </c>
      <c r="E2540" t="n">
        <v>4</v>
      </c>
      <c r="F2540" t="inlineStr">
        <is>
          <t>观望</t>
        </is>
      </c>
      <c r="G2540" t="n">
        <v>3</v>
      </c>
      <c r="H2540" t="n">
        <v>2984</v>
      </c>
      <c r="I2540" t="n">
        <v>2668.36</v>
      </c>
      <c r="J2540" t="n">
        <v>1</v>
      </c>
      <c r="K2540" t="inlineStr">
        <is>
          <t>逆5日线（收盘在5日线下，不追多）</t>
        </is>
      </c>
    </row>
    <row r="2541">
      <c r="A2541" t="inlineStr">
        <is>
          <t>2023-12-12</t>
        </is>
      </c>
      <c r="B2541" t="inlineStr">
        <is>
          <t>玉米</t>
        </is>
      </c>
      <c r="C2541" t="inlineStr">
        <is>
          <t>空</t>
        </is>
      </c>
      <c r="D2541" t="n">
        <v>3</v>
      </c>
      <c r="E2541" t="n">
        <v>6</v>
      </c>
      <c r="F2541" t="inlineStr">
        <is>
          <t>开仓</t>
        </is>
      </c>
      <c r="G2541" t="n">
        <v>27</v>
      </c>
      <c r="H2541" t="n">
        <v>2477</v>
      </c>
      <c r="I2541" t="n">
        <v>2541.71</v>
      </c>
      <c r="J2541" t="n">
        <v>1.76</v>
      </c>
      <c r="K2541" t="inlineStr">
        <is>
          <t>¼凯利</t>
        </is>
      </c>
    </row>
    <row r="2542">
      <c r="A2542" t="inlineStr">
        <is>
          <t>2023-12-12</t>
        </is>
      </c>
      <c r="B2542" t="inlineStr">
        <is>
          <t>铁矿石</t>
        </is>
      </c>
      <c r="C2542" t="inlineStr">
        <is>
          <t>多</t>
        </is>
      </c>
      <c r="D2542" t="n">
        <v>2</v>
      </c>
      <c r="E2542" t="n">
        <v>5</v>
      </c>
      <c r="F2542" t="inlineStr">
        <is>
          <t>影子仓</t>
        </is>
      </c>
      <c r="G2542" t="n">
        <v>1</v>
      </c>
      <c r="H2542" t="n">
        <v>969.5</v>
      </c>
      <c r="I2542" t="n">
        <v>893.86</v>
      </c>
      <c r="J2542" t="n">
        <v>1</v>
      </c>
      <c r="K2542" t="inlineStr">
        <is>
          <t>凯利≤0，开1%影子仓（只统计，不计入组合）</t>
        </is>
      </c>
    </row>
    <row r="2543">
      <c r="A2543" t="inlineStr">
        <is>
          <t>2023-12-12</t>
        </is>
      </c>
      <c r="B2543" t="inlineStr">
        <is>
          <t>锰硅</t>
        </is>
      </c>
      <c r="C2543" t="inlineStr">
        <is>
          <t>空</t>
        </is>
      </c>
      <c r="D2543" t="n">
        <v>2</v>
      </c>
      <c r="E2543" t="n">
        <v>5</v>
      </c>
      <c r="F2543" t="inlineStr">
        <is>
          <t>观望</t>
        </is>
      </c>
      <c r="G2543" t="n">
        <v>8</v>
      </c>
      <c r="H2543" t="n">
        <v>6494</v>
      </c>
      <c r="I2543" t="n">
        <v>6733.14</v>
      </c>
      <c r="J2543" t="n">
        <v>1</v>
      </c>
      <c r="K2543" t="inlineStr">
        <is>
          <t>逆5日线（收盘在5日线上，不追空）</t>
        </is>
      </c>
    </row>
    <row r="2544">
      <c r="A2544" t="inlineStr">
        <is>
          <t>2023-12-12</t>
        </is>
      </c>
      <c r="B2544" t="inlineStr">
        <is>
          <t>玻璃</t>
        </is>
      </c>
      <c r="C2544" t="inlineStr">
        <is>
          <t>空</t>
        </is>
      </c>
      <c r="D2544" t="n">
        <v>2</v>
      </c>
      <c r="E2544" t="n">
        <v>5</v>
      </c>
      <c r="F2544" t="inlineStr">
        <is>
          <t>影子仓</t>
        </is>
      </c>
      <c r="G2544" t="n">
        <v>2</v>
      </c>
      <c r="H2544" t="n">
        <v>1880</v>
      </c>
      <c r="I2544" t="n">
        <v>2126.64</v>
      </c>
      <c r="J2544" t="n">
        <v>1</v>
      </c>
      <c r="K2544" t="inlineStr">
        <is>
          <t>凯利≤0，开1%影子仓（只统计，不计入组合）</t>
        </is>
      </c>
    </row>
    <row r="2545">
      <c r="A2545" t="inlineStr">
        <is>
          <t>2023-12-12</t>
        </is>
      </c>
      <c r="B2545" t="inlineStr">
        <is>
          <t>菜粕</t>
        </is>
      </c>
      <c r="C2545" t="inlineStr">
        <is>
          <t>多</t>
        </is>
      </c>
      <c r="D2545" t="n">
        <v>2</v>
      </c>
      <c r="E2545" t="n">
        <v>5</v>
      </c>
      <c r="F2545" t="inlineStr">
        <is>
          <t>影子仓</t>
        </is>
      </c>
      <c r="G2545" t="n">
        <v>5</v>
      </c>
      <c r="H2545" t="n">
        <v>2934</v>
      </c>
      <c r="I2545" t="n">
        <v>2745.43</v>
      </c>
      <c r="J2545" t="n">
        <v>1</v>
      </c>
      <c r="K2545" t="inlineStr">
        <is>
          <t>凯利≤0，开1%影子仓（只统计，不计入组合）</t>
        </is>
      </c>
    </row>
    <row r="2546">
      <c r="A2546" t="inlineStr">
        <is>
          <t>2023-12-12</t>
        </is>
      </c>
      <c r="B2546" t="inlineStr">
        <is>
          <t>沪铜</t>
        </is>
      </c>
      <c r="C2546" t="inlineStr">
        <is>
          <t>多</t>
        </is>
      </c>
      <c r="D2546" t="n">
        <v>2</v>
      </c>
      <c r="E2546" t="n">
        <v>4</v>
      </c>
      <c r="F2546" t="inlineStr">
        <is>
          <t>续持</t>
        </is>
      </c>
      <c r="G2546" t="n">
        <v>1</v>
      </c>
      <c r="H2546" t="n">
        <v>68170</v>
      </c>
      <c r="I2546" t="n">
        <v>66342.86</v>
      </c>
      <c r="J2546" t="n">
        <v>1</v>
      </c>
      <c r="K2546" t="inlineStr">
        <is>
          <t>续持原仓（2023-12-11开）</t>
        </is>
      </c>
    </row>
    <row r="2547">
      <c r="A2547" t="inlineStr">
        <is>
          <t>2023-12-12</t>
        </is>
      </c>
      <c r="B2547" t="inlineStr">
        <is>
          <t>硅铁</t>
        </is>
      </c>
      <c r="C2547" t="inlineStr">
        <is>
          <t>空</t>
        </is>
      </c>
      <c r="D2547" t="n">
        <v>2</v>
      </c>
      <c r="E2547" t="n">
        <v>4</v>
      </c>
      <c r="F2547" t="inlineStr">
        <is>
          <t>观望</t>
        </is>
      </c>
      <c r="G2547" t="n">
        <v>6</v>
      </c>
      <c r="H2547" t="n">
        <v>6838</v>
      </c>
      <c r="I2547" t="n">
        <v>7165.43</v>
      </c>
      <c r="J2547" t="n">
        <v>1</v>
      </c>
      <c r="K2547" t="inlineStr">
        <is>
          <t>逆5日线（收盘在5日线上，不追空）</t>
        </is>
      </c>
    </row>
    <row r="2548">
      <c r="A2548" t="inlineStr">
        <is>
          <t>2023-12-12</t>
        </is>
      </c>
      <c r="B2548" t="inlineStr">
        <is>
          <t>沪镍</t>
        </is>
      </c>
      <c r="C2548" t="inlineStr">
        <is>
          <t>空</t>
        </is>
      </c>
      <c r="D2548" t="n">
        <v>2</v>
      </c>
      <c r="E2548" t="n">
        <v>4</v>
      </c>
      <c r="F2548" t="inlineStr">
        <is>
          <t>观望</t>
        </is>
      </c>
      <c r="H2548" t="n">
        <v>131800</v>
      </c>
      <c r="J2548" t="n">
        <v>1</v>
      </c>
      <c r="K2548" t="inlineStr">
        <is>
          <t>逆5日线（收盘在5日线上，不追空）</t>
        </is>
      </c>
    </row>
    <row r="2549">
      <c r="A2549" t="inlineStr">
        <is>
          <t>2023-12-12</t>
        </is>
      </c>
      <c r="B2549" t="inlineStr">
        <is>
          <t>棕榈油</t>
        </is>
      </c>
      <c r="C2549" t="inlineStr">
        <is>
          <t>多</t>
        </is>
      </c>
      <c r="D2549" t="n">
        <v>2</v>
      </c>
      <c r="E2549" t="n">
        <v>4</v>
      </c>
      <c r="F2549" t="inlineStr">
        <is>
          <t>影子仓</t>
        </is>
      </c>
      <c r="G2549" t="n">
        <v>2</v>
      </c>
      <c r="H2549" t="n">
        <v>7220</v>
      </c>
      <c r="I2549" t="n">
        <v>6757.57</v>
      </c>
      <c r="J2549" t="n">
        <v>1</v>
      </c>
      <c r="K2549" t="inlineStr">
        <is>
          <t>凯利≤0，开1%影子仓（只统计，不计入组合）</t>
        </is>
      </c>
    </row>
    <row r="2550">
      <c r="A2550" t="inlineStr">
        <is>
          <t>2023-12-13</t>
        </is>
      </c>
      <c r="B2550" t="inlineStr">
        <is>
          <t>玉米</t>
        </is>
      </c>
      <c r="C2550" t="inlineStr">
        <is>
          <t>空</t>
        </is>
      </c>
      <c r="D2550" t="n">
        <v>3</v>
      </c>
      <c r="E2550" t="n">
        <v>6</v>
      </c>
      <c r="F2550" t="inlineStr">
        <is>
          <t>续持</t>
        </is>
      </c>
      <c r="G2550" t="n">
        <v>27</v>
      </c>
      <c r="H2550" t="n">
        <v>2455</v>
      </c>
      <c r="I2550" t="n">
        <v>2518.5</v>
      </c>
      <c r="J2550" t="n">
        <v>1.76</v>
      </c>
      <c r="K2550" t="inlineStr">
        <is>
          <t>续持原仓（2023-12-12开）</t>
        </is>
      </c>
    </row>
    <row r="2551">
      <c r="A2551" t="inlineStr">
        <is>
          <t>2023-12-13</t>
        </is>
      </c>
      <c r="B2551" t="inlineStr">
        <is>
          <t>PTA</t>
        </is>
      </c>
      <c r="C2551" t="inlineStr">
        <is>
          <t>空</t>
        </is>
      </c>
      <c r="D2551" t="n">
        <v>3</v>
      </c>
      <c r="E2551" t="n">
        <v>6</v>
      </c>
      <c r="F2551" t="inlineStr">
        <is>
          <t>开仓</t>
        </is>
      </c>
      <c r="G2551" t="n">
        <v>10</v>
      </c>
      <c r="H2551" t="n">
        <v>5590</v>
      </c>
      <c r="I2551" t="n">
        <v>5917.86</v>
      </c>
      <c r="J2551" t="n">
        <v>1.76</v>
      </c>
      <c r="K2551" t="inlineStr">
        <is>
          <t>¼凯利</t>
        </is>
      </c>
    </row>
    <row r="2552">
      <c r="A2552" t="inlineStr">
        <is>
          <t>2023-12-13</t>
        </is>
      </c>
      <c r="B2552" t="inlineStr">
        <is>
          <t>锰硅</t>
        </is>
      </c>
      <c r="C2552" t="inlineStr">
        <is>
          <t>空</t>
        </is>
      </c>
      <c r="D2552" t="n">
        <v>2</v>
      </c>
      <c r="E2552" t="n">
        <v>5</v>
      </c>
      <c r="F2552" t="inlineStr">
        <is>
          <t>影子仓</t>
        </is>
      </c>
      <c r="G2552" t="n">
        <v>7</v>
      </c>
      <c r="H2552" t="n">
        <v>6408</v>
      </c>
      <c r="I2552" t="n">
        <v>6660.86</v>
      </c>
      <c r="J2552" t="n">
        <v>1</v>
      </c>
      <c r="K2552" t="inlineStr">
        <is>
          <t>凯利≤0，开1%影子仓（只统计，不计入组合）</t>
        </is>
      </c>
    </row>
    <row r="2553">
      <c r="A2553" t="inlineStr">
        <is>
          <t>2023-12-13</t>
        </is>
      </c>
      <c r="B2553" t="inlineStr">
        <is>
          <t>白糖</t>
        </is>
      </c>
      <c r="C2553" t="inlineStr">
        <is>
          <t>空</t>
        </is>
      </c>
      <c r="D2553" t="n">
        <v>2</v>
      </c>
      <c r="E2553" t="n">
        <v>4</v>
      </c>
      <c r="F2553" t="inlineStr">
        <is>
          <t>影子仓</t>
        </is>
      </c>
      <c r="G2553" t="n">
        <v>3</v>
      </c>
      <c r="H2553" t="n">
        <v>6279</v>
      </c>
      <c r="I2553" t="n">
        <v>6601.71</v>
      </c>
      <c r="J2553" t="n">
        <v>1</v>
      </c>
      <c r="K2553" t="inlineStr">
        <is>
          <t>凯利≤0，开1%影子仓（只统计，不计入组合）</t>
        </is>
      </c>
    </row>
    <row r="2554">
      <c r="A2554" t="inlineStr">
        <is>
          <t>2023-12-13</t>
        </is>
      </c>
      <c r="B2554" t="inlineStr">
        <is>
          <t>沥青</t>
        </is>
      </c>
      <c r="C2554" t="inlineStr">
        <is>
          <t>空</t>
        </is>
      </c>
      <c r="D2554" t="n">
        <v>2</v>
      </c>
      <c r="E2554" t="n">
        <v>4</v>
      </c>
      <c r="F2554" t="inlineStr">
        <is>
          <t>影子仓</t>
        </is>
      </c>
      <c r="G2554" t="n">
        <v>5</v>
      </c>
      <c r="H2554" t="n">
        <v>3668</v>
      </c>
      <c r="I2554" t="n">
        <v>3845.21</v>
      </c>
      <c r="J2554" t="n">
        <v>1</v>
      </c>
      <c r="K2554" t="inlineStr">
        <is>
          <t>凯利≤0，开1%影子仓（只统计，不计入组合）</t>
        </is>
      </c>
    </row>
    <row r="2555">
      <c r="A2555" t="inlineStr">
        <is>
          <t>2023-12-14</t>
        </is>
      </c>
      <c r="B2555" t="inlineStr">
        <is>
          <t>豆油</t>
        </is>
      </c>
      <c r="C2555" t="inlineStr">
        <is>
          <t>空</t>
        </is>
      </c>
      <c r="D2555" t="n">
        <v>3</v>
      </c>
      <c r="E2555" t="n">
        <v>7</v>
      </c>
      <c r="F2555" t="inlineStr">
        <is>
          <t>开仓</t>
        </is>
      </c>
      <c r="G2555" t="n">
        <v>4</v>
      </c>
      <c r="H2555" t="n">
        <v>7580</v>
      </c>
      <c r="I2555" t="n">
        <v>7971.29</v>
      </c>
      <c r="J2555" t="n">
        <v>1.78</v>
      </c>
      <c r="K2555" t="inlineStr">
        <is>
          <t>¼凯利</t>
        </is>
      </c>
    </row>
    <row r="2556">
      <c r="A2556" t="inlineStr">
        <is>
          <t>2023-12-14</t>
        </is>
      </c>
      <c r="B2556" t="inlineStr">
        <is>
          <t>菜油</t>
        </is>
      </c>
      <c r="C2556" t="inlineStr">
        <is>
          <t>空</t>
        </is>
      </c>
      <c r="D2556" t="n">
        <v>3</v>
      </c>
      <c r="E2556" t="n">
        <v>7</v>
      </c>
      <c r="F2556" t="inlineStr">
        <is>
          <t>开仓</t>
        </is>
      </c>
      <c r="G2556" t="n">
        <v>2</v>
      </c>
      <c r="H2556" t="n">
        <v>8098</v>
      </c>
      <c r="I2556" t="n">
        <v>8570.5</v>
      </c>
      <c r="J2556" t="n">
        <v>1.22</v>
      </c>
      <c r="K2556" t="inlineStr">
        <is>
          <t>与豆油高度相关（同组≤3%），预算缩小</t>
        </is>
      </c>
    </row>
    <row r="2557">
      <c r="A2557" t="inlineStr">
        <is>
          <t>2023-12-14</t>
        </is>
      </c>
      <c r="B2557" t="inlineStr">
        <is>
          <t>玉米</t>
        </is>
      </c>
      <c r="C2557" t="inlineStr">
        <is>
          <t>空</t>
        </is>
      </c>
      <c r="D2557" t="n">
        <v>2</v>
      </c>
      <c r="E2557" t="n">
        <v>5</v>
      </c>
      <c r="F2557" t="inlineStr">
        <is>
          <t>续持</t>
        </is>
      </c>
      <c r="G2557" t="n">
        <v>27</v>
      </c>
      <c r="H2557" t="n">
        <v>2450</v>
      </c>
      <c r="I2557" t="n">
        <v>2510.07</v>
      </c>
      <c r="J2557" t="n">
        <v>1.76</v>
      </c>
      <c r="K2557" t="inlineStr">
        <is>
          <t>续持原仓（2023-12-12开）</t>
        </is>
      </c>
    </row>
    <row r="2558">
      <c r="A2558" t="inlineStr">
        <is>
          <t>2023-12-14</t>
        </is>
      </c>
      <c r="B2558" t="inlineStr">
        <is>
          <t>硅铁</t>
        </is>
      </c>
      <c r="C2558" t="inlineStr">
        <is>
          <t>空</t>
        </is>
      </c>
      <c r="D2558" t="n">
        <v>2</v>
      </c>
      <c r="E2558" t="n">
        <v>4</v>
      </c>
      <c r="F2558" t="inlineStr">
        <is>
          <t>影子仓</t>
        </is>
      </c>
      <c r="G2558" t="n">
        <v>5</v>
      </c>
      <c r="H2558" t="n">
        <v>6790</v>
      </c>
      <c r="I2558" t="n">
        <v>7136.71</v>
      </c>
      <c r="J2558" t="n">
        <v>1</v>
      </c>
      <c r="K2558" t="inlineStr">
        <is>
          <t>凯利≤0，开1%影子仓（只统计，不计入组合）</t>
        </is>
      </c>
    </row>
    <row r="2559">
      <c r="A2559" t="inlineStr">
        <is>
          <t>2023-12-14</t>
        </is>
      </c>
      <c r="B2559" t="inlineStr">
        <is>
          <t>白糖</t>
        </is>
      </c>
      <c r="C2559" t="inlineStr">
        <is>
          <t>空</t>
        </is>
      </c>
      <c r="D2559" t="n">
        <v>2</v>
      </c>
      <c r="E2559" t="n">
        <v>4</v>
      </c>
      <c r="F2559" t="inlineStr">
        <is>
          <t>续持</t>
        </is>
      </c>
      <c r="G2559" t="n">
        <v>3</v>
      </c>
      <c r="H2559" t="n">
        <v>6239</v>
      </c>
      <c r="I2559" t="n">
        <v>6541.93</v>
      </c>
      <c r="J2559" t="n">
        <v>1</v>
      </c>
      <c r="K2559" t="inlineStr">
        <is>
          <t>续持原仓（2023-12-13开）</t>
        </is>
      </c>
    </row>
    <row r="2560">
      <c r="A2560" t="inlineStr">
        <is>
          <t>2023-12-15</t>
        </is>
      </c>
      <c r="B2560" t="inlineStr">
        <is>
          <t>纯碱</t>
        </is>
      </c>
      <c r="C2560" t="inlineStr">
        <is>
          <t>多</t>
        </is>
      </c>
      <c r="D2560" t="n">
        <v>3</v>
      </c>
      <c r="E2560" t="n">
        <v>7</v>
      </c>
      <c r="F2560" t="inlineStr">
        <is>
          <t>观望</t>
        </is>
      </c>
      <c r="G2560" t="n">
        <v>2</v>
      </c>
      <c r="H2560" t="n">
        <v>2207</v>
      </c>
      <c r="I2560" t="n">
        <v>1788.5</v>
      </c>
      <c r="J2560" t="n">
        <v>1.79</v>
      </c>
      <c r="K2560" t="inlineStr">
        <is>
          <t>逆5日线（收盘在5日线下，不追多）</t>
        </is>
      </c>
    </row>
    <row r="2561">
      <c r="A2561" t="inlineStr">
        <is>
          <t>2023-12-15</t>
        </is>
      </c>
      <c r="B2561" t="inlineStr">
        <is>
          <t>菜油</t>
        </is>
      </c>
      <c r="C2561" t="inlineStr">
        <is>
          <t>空</t>
        </is>
      </c>
      <c r="D2561" t="n">
        <v>3</v>
      </c>
      <c r="E2561" t="n">
        <v>6</v>
      </c>
      <c r="F2561" t="inlineStr">
        <is>
          <t>续持</t>
        </is>
      </c>
      <c r="G2561" t="n">
        <v>2</v>
      </c>
      <c r="H2561" t="n">
        <v>8089</v>
      </c>
      <c r="I2561" t="n">
        <v>8526.93</v>
      </c>
      <c r="J2561" t="n">
        <v>1.22</v>
      </c>
      <c r="K2561" t="inlineStr">
        <is>
          <t>续持原仓（2023-12-14开）</t>
        </is>
      </c>
    </row>
    <row r="2562">
      <c r="A2562" t="inlineStr">
        <is>
          <t>2023-12-15</t>
        </is>
      </c>
      <c r="B2562" t="inlineStr">
        <is>
          <t>豆粕</t>
        </is>
      </c>
      <c r="C2562" t="inlineStr">
        <is>
          <t>空</t>
        </is>
      </c>
      <c r="D2562" t="n">
        <v>2</v>
      </c>
      <c r="E2562" t="n">
        <v>5</v>
      </c>
      <c r="F2562" t="inlineStr">
        <is>
          <t>续持</t>
        </is>
      </c>
      <c r="G2562" t="n">
        <v>5</v>
      </c>
      <c r="H2562" t="n">
        <v>3404</v>
      </c>
      <c r="I2562" t="n">
        <v>3505.14</v>
      </c>
      <c r="J2562" t="n">
        <v>1</v>
      </c>
      <c r="K2562" t="inlineStr">
        <is>
          <t>续持原仓（2023-12-04开）</t>
        </is>
      </c>
    </row>
    <row r="2563">
      <c r="A2563" t="inlineStr">
        <is>
          <t>2023-12-15</t>
        </is>
      </c>
      <c r="B2563" t="inlineStr">
        <is>
          <t>沥青</t>
        </is>
      </c>
      <c r="C2563" t="inlineStr">
        <is>
          <t>空</t>
        </is>
      </c>
      <c r="D2563" t="n">
        <v>2</v>
      </c>
      <c r="E2563" t="n">
        <v>5</v>
      </c>
      <c r="F2563" t="inlineStr">
        <is>
          <t>观望</t>
        </is>
      </c>
      <c r="G2563" t="n">
        <v>5</v>
      </c>
      <c r="H2563" t="n">
        <v>3711</v>
      </c>
      <c r="I2563" t="n">
        <v>3892.5</v>
      </c>
      <c r="J2563" t="n">
        <v>1</v>
      </c>
      <c r="K2563" t="inlineStr">
        <is>
          <t>逆5日线（收盘在5日线上，不追空）</t>
        </is>
      </c>
    </row>
    <row r="2564">
      <c r="A2564" t="inlineStr">
        <is>
          <t>2023-12-15</t>
        </is>
      </c>
      <c r="B2564" t="inlineStr">
        <is>
          <t>玉米</t>
        </is>
      </c>
      <c r="C2564" t="inlineStr">
        <is>
          <t>空</t>
        </is>
      </c>
      <c r="D2564" t="n">
        <v>2</v>
      </c>
      <c r="E2564" t="n">
        <v>4</v>
      </c>
      <c r="F2564" t="inlineStr">
        <is>
          <t>续持</t>
        </is>
      </c>
      <c r="G2564" t="n">
        <v>27</v>
      </c>
      <c r="H2564" t="n">
        <v>2446</v>
      </c>
      <c r="I2564" t="n">
        <v>2503.5</v>
      </c>
      <c r="J2564" t="n">
        <v>1.76</v>
      </c>
      <c r="K2564" t="inlineStr">
        <is>
          <t>续持原仓（2023-12-12开）</t>
        </is>
      </c>
    </row>
    <row r="2565">
      <c r="A2565" t="inlineStr">
        <is>
          <t>2023-12-18</t>
        </is>
      </c>
      <c r="B2565" t="inlineStr">
        <is>
          <t>菜油</t>
        </is>
      </c>
      <c r="C2565" t="inlineStr">
        <is>
          <t>空</t>
        </is>
      </c>
      <c r="D2565" t="n">
        <v>2</v>
      </c>
      <c r="E2565" t="n">
        <v>5</v>
      </c>
      <c r="F2565" t="inlineStr">
        <is>
          <t>续持</t>
        </is>
      </c>
      <c r="G2565" t="n">
        <v>2</v>
      </c>
      <c r="H2565" t="n">
        <v>8090</v>
      </c>
      <c r="I2565" t="n">
        <v>8481.07</v>
      </c>
      <c r="J2565" t="n">
        <v>1.22</v>
      </c>
      <c r="K2565" t="inlineStr">
        <is>
          <t>续持原仓（2023-12-14开）</t>
        </is>
      </c>
    </row>
    <row r="2566">
      <c r="A2566" t="inlineStr">
        <is>
          <t>2023-12-18</t>
        </is>
      </c>
      <c r="B2566" t="inlineStr">
        <is>
          <t>白糖</t>
        </is>
      </c>
      <c r="C2566" t="inlineStr">
        <is>
          <t>空</t>
        </is>
      </c>
      <c r="D2566" t="n">
        <v>2</v>
      </c>
      <c r="E2566" t="n">
        <v>5</v>
      </c>
      <c r="F2566" t="inlineStr">
        <is>
          <t>续持</t>
        </is>
      </c>
      <c r="G2566" t="n">
        <v>3</v>
      </c>
      <c r="H2566" t="n">
        <v>6214</v>
      </c>
      <c r="I2566" t="n">
        <v>6520.86</v>
      </c>
      <c r="J2566" t="n">
        <v>1</v>
      </c>
      <c r="K2566" t="inlineStr">
        <is>
          <t>续持原仓（2023-12-13开）</t>
        </is>
      </c>
    </row>
    <row r="2567">
      <c r="A2567" t="inlineStr">
        <is>
          <t>2023-12-18</t>
        </is>
      </c>
      <c r="B2567" t="inlineStr">
        <is>
          <t>沥青</t>
        </is>
      </c>
      <c r="C2567" t="inlineStr">
        <is>
          <t>空</t>
        </is>
      </c>
      <c r="D2567" t="n">
        <v>2</v>
      </c>
      <c r="E2567" t="n">
        <v>5</v>
      </c>
      <c r="F2567" t="inlineStr">
        <is>
          <t>续持</t>
        </is>
      </c>
      <c r="G2567" t="n">
        <v>5</v>
      </c>
      <c r="H2567" t="n">
        <v>3675</v>
      </c>
      <c r="I2567" t="n">
        <v>3843.29</v>
      </c>
      <c r="J2567" t="n">
        <v>1</v>
      </c>
      <c r="K2567" t="inlineStr">
        <is>
          <t>续持原仓（2023-12-13开）</t>
        </is>
      </c>
    </row>
    <row r="2568">
      <c r="A2568" t="inlineStr">
        <is>
          <t>2023-12-19</t>
        </is>
      </c>
      <c r="B2568" t="inlineStr">
        <is>
          <t>菜油</t>
        </is>
      </c>
      <c r="C2568" t="inlineStr">
        <is>
          <t>空</t>
        </is>
      </c>
      <c r="D2568" t="n">
        <v>3</v>
      </c>
      <c r="E2568" t="n">
        <v>6</v>
      </c>
      <c r="F2568" t="inlineStr">
        <is>
          <t>续持</t>
        </is>
      </c>
      <c r="G2568" t="n">
        <v>2</v>
      </c>
      <c r="H2568" t="n">
        <v>8069</v>
      </c>
      <c r="I2568" t="n">
        <v>8453.07</v>
      </c>
      <c r="J2568" t="n">
        <v>1.22</v>
      </c>
      <c r="K2568" t="inlineStr">
        <is>
          <t>续持原仓（2023-12-14开）</t>
        </is>
      </c>
    </row>
    <row r="2569">
      <c r="A2569" t="inlineStr">
        <is>
          <t>2023-12-19</t>
        </is>
      </c>
      <c r="B2569" t="inlineStr">
        <is>
          <t>白糖</t>
        </is>
      </c>
      <c r="C2569" t="inlineStr">
        <is>
          <t>空</t>
        </is>
      </c>
      <c r="D2569" t="n">
        <v>3</v>
      </c>
      <c r="E2569" t="n">
        <v>6</v>
      </c>
      <c r="F2569" t="inlineStr">
        <is>
          <t>续持</t>
        </is>
      </c>
      <c r="G2569" t="n">
        <v>3</v>
      </c>
      <c r="H2569" t="n">
        <v>6106</v>
      </c>
      <c r="I2569" t="n">
        <v>6457.07</v>
      </c>
      <c r="J2569" t="n">
        <v>1</v>
      </c>
      <c r="K2569" t="inlineStr">
        <is>
          <t>续持原仓（2023-12-13开）</t>
        </is>
      </c>
    </row>
    <row r="2570">
      <c r="A2570" t="inlineStr">
        <is>
          <t>2023-12-19</t>
        </is>
      </c>
      <c r="B2570" t="inlineStr">
        <is>
          <t>乙二醇</t>
        </is>
      </c>
      <c r="C2570" t="inlineStr">
        <is>
          <t>多</t>
        </is>
      </c>
      <c r="D2570" t="n">
        <v>2</v>
      </c>
      <c r="E2570" t="n">
        <v>5</v>
      </c>
      <c r="F2570" t="inlineStr">
        <is>
          <t>影子仓</t>
        </is>
      </c>
      <c r="G2570" t="n">
        <v>5</v>
      </c>
      <c r="H2570" t="n">
        <v>4348</v>
      </c>
      <c r="I2570" t="n">
        <v>4165.21</v>
      </c>
      <c r="J2570" t="n">
        <v>1</v>
      </c>
      <c r="K2570" t="inlineStr">
        <is>
          <t>凯利≤0，开1%影子仓（只统计，不计入组合）</t>
        </is>
      </c>
    </row>
    <row r="2571">
      <c r="A2571" t="inlineStr">
        <is>
          <t>2023-12-19</t>
        </is>
      </c>
      <c r="B2571" t="inlineStr">
        <is>
          <t>锰硅</t>
        </is>
      </c>
      <c r="C2571" t="inlineStr">
        <is>
          <t>空</t>
        </is>
      </c>
      <c r="D2571" t="n">
        <v>2</v>
      </c>
      <c r="E2571" t="n">
        <v>4</v>
      </c>
      <c r="F2571" t="inlineStr">
        <is>
          <t>续持</t>
        </is>
      </c>
      <c r="G2571" t="n">
        <v>7</v>
      </c>
      <c r="H2571" t="n">
        <v>6442</v>
      </c>
      <c r="I2571" t="n">
        <v>6655.86</v>
      </c>
      <c r="J2571" t="n">
        <v>1</v>
      </c>
      <c r="K2571" t="inlineStr">
        <is>
          <t>续持原仓（2023-12-13开）</t>
        </is>
      </c>
    </row>
    <row r="2572">
      <c r="A2572" t="inlineStr">
        <is>
          <t>2023-12-19</t>
        </is>
      </c>
      <c r="B2572" t="inlineStr">
        <is>
          <t>棕榈油</t>
        </is>
      </c>
      <c r="C2572" t="inlineStr">
        <is>
          <t>多</t>
        </is>
      </c>
      <c r="D2572" t="n">
        <v>2</v>
      </c>
      <c r="E2572" t="n">
        <v>4</v>
      </c>
      <c r="F2572" t="inlineStr">
        <is>
          <t>影子仓</t>
        </is>
      </c>
      <c r="G2572" t="n">
        <v>2</v>
      </c>
      <c r="H2572" t="n">
        <v>7152</v>
      </c>
      <c r="I2572" t="n">
        <v>6714</v>
      </c>
      <c r="J2572" t="n">
        <v>1</v>
      </c>
      <c r="K2572" t="inlineStr">
        <is>
          <t>凯利≤0，开1%影子仓（只统计，不计入组合）</t>
        </is>
      </c>
    </row>
    <row r="2573">
      <c r="A2573" t="inlineStr">
        <is>
          <t>2023-12-20</t>
        </is>
      </c>
      <c r="B2573" t="inlineStr">
        <is>
          <t>菜油</t>
        </is>
      </c>
      <c r="C2573" t="inlineStr">
        <is>
          <t>空</t>
        </is>
      </c>
      <c r="D2573" t="n">
        <v>3</v>
      </c>
      <c r="E2573" t="n">
        <v>7</v>
      </c>
      <c r="F2573" t="inlineStr">
        <is>
          <t>续持</t>
        </is>
      </c>
      <c r="G2573" t="n">
        <v>2</v>
      </c>
      <c r="H2573" t="n">
        <v>8031</v>
      </c>
      <c r="I2573" t="n">
        <v>8432.43</v>
      </c>
      <c r="J2573" t="n">
        <v>1.22</v>
      </c>
      <c r="K2573" t="inlineStr">
        <is>
          <t>续持原仓（2023-12-14开）</t>
        </is>
      </c>
    </row>
    <row r="2574">
      <c r="A2574" t="inlineStr">
        <is>
          <t>2023-12-20</t>
        </is>
      </c>
      <c r="B2574" t="inlineStr">
        <is>
          <t>豆粕</t>
        </is>
      </c>
      <c r="C2574" t="inlineStr">
        <is>
          <t>空</t>
        </is>
      </c>
      <c r="D2574" t="n">
        <v>3</v>
      </c>
      <c r="E2574" t="n">
        <v>6</v>
      </c>
      <c r="F2574" t="inlineStr">
        <is>
          <t>开仓</t>
        </is>
      </c>
      <c r="G2574" t="n">
        <v>12</v>
      </c>
      <c r="H2574" t="n">
        <v>3355</v>
      </c>
      <c r="I2574" t="n">
        <v>3509.71</v>
      </c>
      <c r="J2574" t="n">
        <v>1.95</v>
      </c>
      <c r="K2574" t="inlineStr">
        <is>
          <t>¼凯利</t>
        </is>
      </c>
    </row>
    <row r="2575">
      <c r="A2575" t="inlineStr">
        <is>
          <t>2023-12-20</t>
        </is>
      </c>
      <c r="B2575" t="inlineStr">
        <is>
          <t>棉花</t>
        </is>
      </c>
      <c r="C2575" t="inlineStr">
        <is>
          <t>多</t>
        </is>
      </c>
      <c r="D2575" t="n">
        <v>3</v>
      </c>
      <c r="E2575" t="n">
        <v>6</v>
      </c>
      <c r="F2575" t="inlineStr">
        <is>
          <t>观望</t>
        </is>
      </c>
      <c r="G2575" t="n">
        <v>6</v>
      </c>
      <c r="H2575" t="n">
        <v>15240</v>
      </c>
      <c r="I2575" t="n">
        <v>14604.64</v>
      </c>
      <c r="J2575" t="n">
        <v>1.95</v>
      </c>
      <c r="K2575" t="inlineStr">
        <is>
          <t>逆5日线（收盘在5日线下，不追多）</t>
        </is>
      </c>
    </row>
    <row r="2576">
      <c r="A2576" t="inlineStr">
        <is>
          <t>2023-12-20</t>
        </is>
      </c>
      <c r="B2576" t="inlineStr">
        <is>
          <t>玉米</t>
        </is>
      </c>
      <c r="C2576" t="inlineStr">
        <is>
          <t>空</t>
        </is>
      </c>
      <c r="D2576" t="n">
        <v>2</v>
      </c>
      <c r="E2576" t="n">
        <v>5</v>
      </c>
      <c r="F2576" t="inlineStr">
        <is>
          <t>影子仓</t>
        </is>
      </c>
      <c r="G2576" t="n">
        <v>12</v>
      </c>
      <c r="H2576" t="n">
        <v>2391</v>
      </c>
      <c r="I2576" t="n">
        <v>2468.36</v>
      </c>
      <c r="J2576" t="n">
        <v>1</v>
      </c>
      <c r="K2576" t="inlineStr">
        <is>
          <t>凯利≤0，开1%影子仓（只统计，不计入组合）</t>
        </is>
      </c>
    </row>
    <row r="2577">
      <c r="A2577" t="inlineStr">
        <is>
          <t>2023-12-20</t>
        </is>
      </c>
      <c r="B2577" t="inlineStr">
        <is>
          <t>螺纹钢</t>
        </is>
      </c>
      <c r="C2577" t="inlineStr">
        <is>
          <t>多</t>
        </is>
      </c>
      <c r="D2577" t="n">
        <v>2</v>
      </c>
      <c r="E2577" t="n">
        <v>4</v>
      </c>
      <c r="F2577" t="inlineStr">
        <is>
          <t>续持</t>
        </is>
      </c>
      <c r="G2577" t="n">
        <v>9</v>
      </c>
      <c r="H2577" t="n">
        <v>3940</v>
      </c>
      <c r="I2577" t="n">
        <v>3884</v>
      </c>
      <c r="J2577" t="n">
        <v>1.9</v>
      </c>
      <c r="K2577" t="inlineStr">
        <is>
          <t>续持原仓（2023-12-08开）</t>
        </is>
      </c>
    </row>
    <row r="2578">
      <c r="A2578" t="inlineStr">
        <is>
          <t>2023-12-21</t>
        </is>
      </c>
      <c r="B2578" t="inlineStr">
        <is>
          <t>豆粕</t>
        </is>
      </c>
      <c r="C2578" t="inlineStr">
        <is>
          <t>空</t>
        </is>
      </c>
      <c r="D2578" t="n">
        <v>2</v>
      </c>
      <c r="E2578" t="n">
        <v>5</v>
      </c>
      <c r="F2578" t="inlineStr">
        <is>
          <t>续持</t>
        </is>
      </c>
      <c r="G2578" t="n">
        <v>12</v>
      </c>
      <c r="H2578" t="n">
        <v>3355</v>
      </c>
      <c r="I2578" t="n">
        <v>3476.71</v>
      </c>
      <c r="J2578" t="n">
        <v>1.95</v>
      </c>
      <c r="K2578" t="inlineStr">
        <is>
          <t>续持原仓（2023-12-20开）</t>
        </is>
      </c>
    </row>
    <row r="2579">
      <c r="A2579" t="inlineStr">
        <is>
          <t>2023-12-21</t>
        </is>
      </c>
      <c r="B2579" t="inlineStr">
        <is>
          <t>螺纹钢</t>
        </is>
      </c>
      <c r="C2579" t="inlineStr">
        <is>
          <t>多</t>
        </is>
      </c>
      <c r="D2579" t="n">
        <v>2</v>
      </c>
      <c r="E2579" t="n">
        <v>5</v>
      </c>
      <c r="F2579" t="inlineStr">
        <is>
          <t>续持</t>
        </is>
      </c>
      <c r="G2579" t="n">
        <v>9</v>
      </c>
      <c r="H2579" t="n">
        <v>3988</v>
      </c>
      <c r="I2579" t="n">
        <v>3884</v>
      </c>
      <c r="J2579" t="n">
        <v>1.9</v>
      </c>
      <c r="K2579" t="inlineStr">
        <is>
          <t>续持原仓（2023-12-08开）</t>
        </is>
      </c>
    </row>
    <row r="2580">
      <c r="A2580" t="inlineStr">
        <is>
          <t>2023-12-21</t>
        </is>
      </c>
      <c r="B2580" t="inlineStr">
        <is>
          <t>白糖</t>
        </is>
      </c>
      <c r="C2580" t="inlineStr">
        <is>
          <t>空</t>
        </is>
      </c>
      <c r="D2580" t="n">
        <v>2</v>
      </c>
      <c r="E2580" t="n">
        <v>4</v>
      </c>
      <c r="F2580" t="inlineStr">
        <is>
          <t>观望</t>
        </is>
      </c>
      <c r="G2580" t="n">
        <v>3</v>
      </c>
      <c r="H2580" t="n">
        <v>6195</v>
      </c>
      <c r="I2580" t="n">
        <v>6527.79</v>
      </c>
      <c r="J2580" t="n">
        <v>1</v>
      </c>
      <c r="K2580" t="inlineStr">
        <is>
          <t>逆5日线（收盘在5日线上，不追空）</t>
        </is>
      </c>
    </row>
    <row r="2581">
      <c r="A2581" t="inlineStr">
        <is>
          <t>2023-12-21</t>
        </is>
      </c>
      <c r="B2581" t="inlineStr">
        <is>
          <t>棉花</t>
        </is>
      </c>
      <c r="C2581" t="inlineStr">
        <is>
          <t>多</t>
        </is>
      </c>
      <c r="D2581" t="n">
        <v>2</v>
      </c>
      <c r="E2581" t="n">
        <v>4</v>
      </c>
      <c r="F2581" t="inlineStr">
        <is>
          <t>影子仓</t>
        </is>
      </c>
      <c r="G2581" t="n">
        <v>3</v>
      </c>
      <c r="H2581" t="n">
        <v>15260</v>
      </c>
      <c r="I2581" t="n">
        <v>14667.5</v>
      </c>
      <c r="J2581" t="n">
        <v>1</v>
      </c>
      <c r="K2581" t="inlineStr">
        <is>
          <t>凯利≤0，开1%影子仓（只统计，不计入组合）</t>
        </is>
      </c>
    </row>
    <row r="2582">
      <c r="A2582" t="inlineStr">
        <is>
          <t>2023-12-21</t>
        </is>
      </c>
      <c r="B2582" t="inlineStr">
        <is>
          <t>纯碱</t>
        </is>
      </c>
      <c r="C2582" t="inlineStr">
        <is>
          <t>多</t>
        </is>
      </c>
      <c r="D2582" t="n">
        <v>2</v>
      </c>
      <c r="E2582" t="n">
        <v>4</v>
      </c>
      <c r="F2582" t="inlineStr">
        <is>
          <t>影子仓</t>
        </is>
      </c>
      <c r="G2582" t="n">
        <v>1</v>
      </c>
      <c r="H2582" t="n">
        <v>2168</v>
      </c>
      <c r="I2582" t="n">
        <v>1797.71</v>
      </c>
      <c r="J2582" t="n">
        <v>1</v>
      </c>
      <c r="K2582" t="inlineStr">
        <is>
          <t>凯利≤0，开1%影子仓（只统计，不计入组合）</t>
        </is>
      </c>
    </row>
    <row r="2583">
      <c r="A2583" t="inlineStr">
        <is>
          <t>2023-12-22</t>
        </is>
      </c>
      <c r="B2583" t="inlineStr">
        <is>
          <t>菜油</t>
        </is>
      </c>
      <c r="C2583" t="inlineStr">
        <is>
          <t>空</t>
        </is>
      </c>
      <c r="D2583" t="n">
        <v>3</v>
      </c>
      <c r="E2583" t="n">
        <v>7</v>
      </c>
      <c r="F2583" t="inlineStr">
        <is>
          <t>开仓</t>
        </is>
      </c>
      <c r="G2583" t="n">
        <v>4</v>
      </c>
      <c r="H2583" t="n">
        <v>8067</v>
      </c>
      <c r="I2583" t="n">
        <v>8486.57</v>
      </c>
      <c r="J2583" t="n">
        <v>1.85</v>
      </c>
      <c r="K2583" t="inlineStr">
        <is>
          <t>¼凯利</t>
        </is>
      </c>
    </row>
    <row r="2584">
      <c r="A2584" t="inlineStr">
        <is>
          <t>2023-12-22</t>
        </is>
      </c>
      <c r="B2584" t="inlineStr">
        <is>
          <t>沪铜</t>
        </is>
      </c>
      <c r="C2584" t="inlineStr">
        <is>
          <t>多</t>
        </is>
      </c>
      <c r="D2584" t="n">
        <v>3</v>
      </c>
      <c r="E2584" t="n">
        <v>6</v>
      </c>
      <c r="F2584" t="inlineStr">
        <is>
          <t>续持</t>
        </is>
      </c>
      <c r="G2584" t="n">
        <v>1</v>
      </c>
      <c r="H2584" t="n">
        <v>69040</v>
      </c>
      <c r="I2584" t="n">
        <v>67466.42999999999</v>
      </c>
      <c r="J2584" t="n">
        <v>1</v>
      </c>
      <c r="K2584" t="inlineStr">
        <is>
          <t>续持原仓（2023-12-11开）</t>
        </is>
      </c>
    </row>
    <row r="2585">
      <c r="A2585" t="inlineStr">
        <is>
          <t>2023-12-22</t>
        </is>
      </c>
      <c r="B2585" t="inlineStr">
        <is>
          <t>棉花</t>
        </is>
      </c>
      <c r="C2585" t="inlineStr">
        <is>
          <t>多</t>
        </is>
      </c>
      <c r="D2585" t="n">
        <v>3</v>
      </c>
      <c r="E2585" t="n">
        <v>6</v>
      </c>
      <c r="F2585" t="inlineStr">
        <is>
          <t>续持</t>
        </is>
      </c>
      <c r="G2585" t="n">
        <v>3</v>
      </c>
      <c r="H2585" t="n">
        <v>15425</v>
      </c>
      <c r="I2585" t="n">
        <v>14856.43</v>
      </c>
      <c r="J2585" t="n">
        <v>1</v>
      </c>
      <c r="K2585" t="inlineStr">
        <is>
          <t>续持原仓（2023-12-21开）</t>
        </is>
      </c>
    </row>
    <row r="2586">
      <c r="A2586" t="inlineStr">
        <is>
          <t>2023-12-22</t>
        </is>
      </c>
      <c r="B2586" t="inlineStr">
        <is>
          <t>螺纹钢</t>
        </is>
      </c>
      <c r="C2586" t="inlineStr">
        <is>
          <t>多</t>
        </is>
      </c>
      <c r="D2586" t="n">
        <v>2</v>
      </c>
      <c r="E2586" t="n">
        <v>5</v>
      </c>
      <c r="F2586" t="inlineStr">
        <is>
          <t>续持</t>
        </is>
      </c>
      <c r="G2586" t="n">
        <v>9</v>
      </c>
      <c r="H2586" t="n">
        <v>4004</v>
      </c>
      <c r="I2586" t="n">
        <v>3886.79</v>
      </c>
      <c r="J2586" t="n">
        <v>1.9</v>
      </c>
      <c r="K2586" t="inlineStr">
        <is>
          <t>续持原仓（2023-12-08开）</t>
        </is>
      </c>
    </row>
    <row r="2587">
      <c r="A2587" t="inlineStr">
        <is>
          <t>2023-12-22</t>
        </is>
      </c>
      <c r="B2587" t="inlineStr">
        <is>
          <t>聚丙烯</t>
        </is>
      </c>
      <c r="C2587" t="inlineStr">
        <is>
          <t>多</t>
        </is>
      </c>
      <c r="D2587" t="n">
        <v>2</v>
      </c>
      <c r="E2587" t="n">
        <v>4</v>
      </c>
      <c r="F2587" t="inlineStr">
        <is>
          <t>影子仓</t>
        </is>
      </c>
      <c r="G2587" t="n">
        <v>7</v>
      </c>
      <c r="H2587" t="n">
        <v>7624</v>
      </c>
      <c r="I2587" t="n">
        <v>7350.57</v>
      </c>
      <c r="J2587" t="n">
        <v>1</v>
      </c>
      <c r="K2587" t="inlineStr">
        <is>
          <t>凯利≤0，开1%影子仓（只统计，不计入组合）</t>
        </is>
      </c>
    </row>
    <row r="2588">
      <c r="A2588" t="inlineStr">
        <is>
          <t>2023-12-25</t>
        </is>
      </c>
      <c r="B2588" t="inlineStr">
        <is>
          <t>塑料</t>
        </is>
      </c>
      <c r="C2588" t="inlineStr">
        <is>
          <t>多</t>
        </is>
      </c>
      <c r="D2588" t="n">
        <v>3</v>
      </c>
      <c r="E2588" t="n">
        <v>6</v>
      </c>
      <c r="F2588" t="inlineStr">
        <is>
          <t>开仓</t>
        </is>
      </c>
      <c r="G2588" t="n">
        <v>15</v>
      </c>
      <c r="H2588" t="n">
        <v>8288</v>
      </c>
      <c r="I2588" t="n">
        <v>8040.5</v>
      </c>
      <c r="J2588" t="n">
        <v>1.89</v>
      </c>
      <c r="K2588" t="inlineStr">
        <is>
          <t>¼凯利</t>
        </is>
      </c>
    </row>
    <row r="2589">
      <c r="A2589" t="inlineStr">
        <is>
          <t>2023-12-25</t>
        </is>
      </c>
      <c r="B2589" t="inlineStr">
        <is>
          <t>沪铝</t>
        </is>
      </c>
      <c r="C2589" t="inlineStr">
        <is>
          <t>多</t>
        </is>
      </c>
      <c r="D2589" t="n">
        <v>3</v>
      </c>
      <c r="E2589" t="n">
        <v>6</v>
      </c>
      <c r="F2589" t="inlineStr">
        <is>
          <t>开仓</t>
        </is>
      </c>
      <c r="G2589" t="n">
        <v>6</v>
      </c>
      <c r="H2589" t="n">
        <v>19110</v>
      </c>
      <c r="I2589" t="n">
        <v>18481.07</v>
      </c>
      <c r="J2589" t="n">
        <v>1.89</v>
      </c>
      <c r="K2589" t="inlineStr">
        <is>
          <t>¼凯利</t>
        </is>
      </c>
    </row>
    <row r="2590">
      <c r="A2590" t="inlineStr">
        <is>
          <t>2023-12-25</t>
        </is>
      </c>
      <c r="B2590" t="inlineStr">
        <is>
          <t>菜油</t>
        </is>
      </c>
      <c r="C2590" t="inlineStr">
        <is>
          <t>空</t>
        </is>
      </c>
      <c r="D2590" t="n">
        <v>2</v>
      </c>
      <c r="E2590" t="n">
        <v>5</v>
      </c>
      <c r="F2590" t="inlineStr">
        <is>
          <t>观望</t>
        </is>
      </c>
      <c r="G2590" t="n">
        <v>2</v>
      </c>
      <c r="H2590" t="n">
        <v>8106</v>
      </c>
      <c r="I2590" t="n">
        <v>8541.639999999999</v>
      </c>
      <c r="J2590" t="n">
        <v>1</v>
      </c>
      <c r="K2590" t="inlineStr">
        <is>
          <t>逆5日线（收盘在5日线上，不追空）</t>
        </is>
      </c>
    </row>
    <row r="2591">
      <c r="A2591" t="inlineStr">
        <is>
          <t>2023-12-25</t>
        </is>
      </c>
      <c r="B2591" t="inlineStr">
        <is>
          <t>螺纹钢</t>
        </is>
      </c>
      <c r="C2591" t="inlineStr">
        <is>
          <t>多</t>
        </is>
      </c>
      <c r="D2591" t="n">
        <v>2</v>
      </c>
      <c r="E2591" t="n">
        <v>5</v>
      </c>
      <c r="F2591" t="inlineStr">
        <is>
          <t>续持</t>
        </is>
      </c>
      <c r="G2591" t="n">
        <v>9</v>
      </c>
      <c r="H2591" t="n">
        <v>3998</v>
      </c>
      <c r="I2591" t="n">
        <v>3886.79</v>
      </c>
      <c r="J2591" t="n">
        <v>1.9</v>
      </c>
      <c r="K2591" t="inlineStr">
        <is>
          <t>续持原仓（2023-12-08开）</t>
        </is>
      </c>
    </row>
    <row r="2592">
      <c r="A2592" t="inlineStr">
        <is>
          <t>2023-12-25</t>
        </is>
      </c>
      <c r="B2592" t="inlineStr">
        <is>
          <t>棉花</t>
        </is>
      </c>
      <c r="C2592" t="inlineStr">
        <is>
          <t>多</t>
        </is>
      </c>
      <c r="D2592" t="n">
        <v>2</v>
      </c>
      <c r="E2592" t="n">
        <v>5</v>
      </c>
      <c r="F2592" t="inlineStr">
        <is>
          <t>续持</t>
        </is>
      </c>
      <c r="G2592" t="n">
        <v>3</v>
      </c>
      <c r="H2592" t="n">
        <v>15405</v>
      </c>
      <c r="I2592" t="n">
        <v>14895.36</v>
      </c>
      <c r="J2592" t="n">
        <v>1</v>
      </c>
      <c r="K2592" t="inlineStr">
        <is>
          <t>续持原仓（2023-12-21开）</t>
        </is>
      </c>
    </row>
    <row r="2593">
      <c r="A2593" t="inlineStr">
        <is>
          <t>2023-12-25</t>
        </is>
      </c>
      <c r="B2593" t="inlineStr">
        <is>
          <t>玻璃</t>
        </is>
      </c>
      <c r="C2593" t="inlineStr">
        <is>
          <t>空</t>
        </is>
      </c>
      <c r="D2593" t="n">
        <v>2</v>
      </c>
      <c r="E2593" t="n">
        <v>5</v>
      </c>
      <c r="F2593" t="inlineStr">
        <is>
          <t>观望</t>
        </is>
      </c>
      <c r="G2593" t="n">
        <v>2</v>
      </c>
      <c r="H2593" t="n">
        <v>1872</v>
      </c>
      <c r="I2593" t="n">
        <v>2080.29</v>
      </c>
      <c r="J2593" t="n">
        <v>1</v>
      </c>
      <c r="K2593" t="inlineStr">
        <is>
          <t>逆5日线（收盘在5日线上，不追空）</t>
        </is>
      </c>
    </row>
    <row r="2594">
      <c r="A2594" t="inlineStr">
        <is>
          <t>2023-12-25</t>
        </is>
      </c>
      <c r="B2594" t="inlineStr">
        <is>
          <t>聚丙烯</t>
        </is>
      </c>
      <c r="C2594" t="inlineStr">
        <is>
          <t>多</t>
        </is>
      </c>
      <c r="D2594" t="n">
        <v>2</v>
      </c>
      <c r="E2594" t="n">
        <v>4</v>
      </c>
      <c r="F2594" t="inlineStr">
        <is>
          <t>续持</t>
        </is>
      </c>
      <c r="G2594" t="n">
        <v>7</v>
      </c>
      <c r="H2594" t="n">
        <v>7627</v>
      </c>
      <c r="I2594" t="n">
        <v>7383</v>
      </c>
      <c r="J2594" t="n">
        <v>1</v>
      </c>
      <c r="K2594" t="inlineStr">
        <is>
          <t>续持原仓（2023-12-22开）</t>
        </is>
      </c>
    </row>
    <row r="2595">
      <c r="A2595" t="inlineStr">
        <is>
          <t>2023-12-26</t>
        </is>
      </c>
      <c r="B2595" t="inlineStr">
        <is>
          <t>塑料</t>
        </is>
      </c>
      <c r="C2595" t="inlineStr">
        <is>
          <t>多</t>
        </is>
      </c>
      <c r="D2595" t="n">
        <v>3</v>
      </c>
      <c r="E2595" t="n">
        <v>6</v>
      </c>
      <c r="F2595" t="inlineStr">
        <is>
          <t>续持</t>
        </is>
      </c>
      <c r="G2595" t="n">
        <v>15</v>
      </c>
      <c r="H2595" t="n">
        <v>8282</v>
      </c>
      <c r="I2595" t="n">
        <v>8063.14</v>
      </c>
      <c r="J2595" t="n">
        <v>1.89</v>
      </c>
      <c r="K2595" t="inlineStr">
        <is>
          <t>续持原仓（2023-12-25开）</t>
        </is>
      </c>
    </row>
    <row r="2596">
      <c r="A2596" t="inlineStr">
        <is>
          <t>2023-12-26</t>
        </is>
      </c>
      <c r="B2596" t="inlineStr">
        <is>
          <t>螺纹钢</t>
        </is>
      </c>
      <c r="C2596" t="inlineStr">
        <is>
          <t>多</t>
        </is>
      </c>
      <c r="D2596" t="n">
        <v>3</v>
      </c>
      <c r="E2596" t="n">
        <v>6</v>
      </c>
      <c r="F2596" t="inlineStr">
        <is>
          <t>续持</t>
        </is>
      </c>
      <c r="G2596" t="n">
        <v>9</v>
      </c>
      <c r="H2596" t="n">
        <v>4023</v>
      </c>
      <c r="I2596" t="n">
        <v>3894.93</v>
      </c>
      <c r="J2596" t="n">
        <v>1.9</v>
      </c>
      <c r="K2596" t="inlineStr">
        <is>
          <t>续持原仓（2023-12-08开）</t>
        </is>
      </c>
    </row>
    <row r="2597">
      <c r="A2597" t="inlineStr">
        <is>
          <t>2023-12-26</t>
        </is>
      </c>
      <c r="B2597" t="inlineStr">
        <is>
          <t>沪铜</t>
        </is>
      </c>
      <c r="C2597" t="inlineStr">
        <is>
          <t>多</t>
        </is>
      </c>
      <c r="D2597" t="n">
        <v>3</v>
      </c>
      <c r="E2597" t="n">
        <v>6</v>
      </c>
      <c r="F2597" t="inlineStr">
        <is>
          <t>续持</t>
        </is>
      </c>
      <c r="G2597" t="n">
        <v>1</v>
      </c>
      <c r="H2597" t="n">
        <v>69330</v>
      </c>
      <c r="I2597" t="n">
        <v>67710.71000000001</v>
      </c>
      <c r="J2597" t="n">
        <v>1</v>
      </c>
      <c r="K2597" t="inlineStr">
        <is>
          <t>续持原仓（2023-12-11开）</t>
        </is>
      </c>
    </row>
    <row r="2598">
      <c r="A2598" t="inlineStr">
        <is>
          <t>2023-12-26</t>
        </is>
      </c>
      <c r="B2598" t="inlineStr">
        <is>
          <t>棉花</t>
        </is>
      </c>
      <c r="C2598" t="inlineStr">
        <is>
          <t>多</t>
        </is>
      </c>
      <c r="D2598" t="n">
        <v>2</v>
      </c>
      <c r="E2598" t="n">
        <v>5</v>
      </c>
      <c r="F2598" t="inlineStr">
        <is>
          <t>续持</t>
        </is>
      </c>
      <c r="G2598" t="n">
        <v>3</v>
      </c>
      <c r="H2598" t="n">
        <v>15435</v>
      </c>
      <c r="I2598" t="n">
        <v>14940.36</v>
      </c>
      <c r="J2598" t="n">
        <v>1</v>
      </c>
      <c r="K2598" t="inlineStr">
        <is>
          <t>续持原仓（2023-12-21开）</t>
        </is>
      </c>
    </row>
    <row r="2599">
      <c r="A2599" t="inlineStr">
        <is>
          <t>2023-12-26</t>
        </is>
      </c>
      <c r="B2599" t="inlineStr">
        <is>
          <t>菜油</t>
        </is>
      </c>
      <c r="C2599" t="inlineStr">
        <is>
          <t>空</t>
        </is>
      </c>
      <c r="D2599" t="n">
        <v>2</v>
      </c>
      <c r="E2599" t="n">
        <v>5</v>
      </c>
      <c r="F2599" t="inlineStr">
        <is>
          <t>观望</t>
        </is>
      </c>
      <c r="G2599" t="n">
        <v>2</v>
      </c>
      <c r="H2599" t="n">
        <v>8106</v>
      </c>
      <c r="I2599" t="n">
        <v>8514.209999999999</v>
      </c>
      <c r="J2599" t="n">
        <v>1</v>
      </c>
      <c r="K2599" t="inlineStr">
        <is>
          <t>逆5日线（收盘在5日线上，不追空）</t>
        </is>
      </c>
    </row>
    <row r="2600">
      <c r="A2600" t="inlineStr">
        <is>
          <t>2023-12-26</t>
        </is>
      </c>
      <c r="B2600" t="inlineStr">
        <is>
          <t>燃料油</t>
        </is>
      </c>
      <c r="C2600" t="inlineStr">
        <is>
          <t>多</t>
        </is>
      </c>
      <c r="D2600" t="n">
        <v>2</v>
      </c>
      <c r="E2600" t="n">
        <v>5</v>
      </c>
      <c r="F2600" t="inlineStr">
        <is>
          <t>影子仓</t>
        </is>
      </c>
      <c r="G2600" t="n">
        <v>4</v>
      </c>
      <c r="H2600" t="n">
        <v>3075</v>
      </c>
      <c r="I2600" t="n">
        <v>2827.71</v>
      </c>
      <c r="J2600" t="n">
        <v>1</v>
      </c>
      <c r="K2600" t="inlineStr">
        <is>
          <t>凯利≤0，开1%影子仓（只统计，不计入组合）</t>
        </is>
      </c>
    </row>
    <row r="2601">
      <c r="A2601" t="inlineStr">
        <is>
          <t>2023-12-27</t>
        </is>
      </c>
      <c r="B2601" t="inlineStr">
        <is>
          <t>沪铝</t>
        </is>
      </c>
      <c r="C2601" t="inlineStr">
        <is>
          <t>多</t>
        </is>
      </c>
      <c r="D2601" t="n">
        <v>3</v>
      </c>
      <c r="E2601" t="n">
        <v>7</v>
      </c>
      <c r="F2601" t="inlineStr">
        <is>
          <t>开仓</t>
        </is>
      </c>
      <c r="G2601" t="n">
        <v>6</v>
      </c>
      <c r="H2601" t="n">
        <v>19325</v>
      </c>
      <c r="I2601" t="n">
        <v>18674.64</v>
      </c>
      <c r="J2601" t="n">
        <v>1.97</v>
      </c>
      <c r="K2601" t="inlineStr">
        <is>
          <t>¼凯利</t>
        </is>
      </c>
    </row>
    <row r="2602">
      <c r="A2602" t="inlineStr">
        <is>
          <t>2023-12-27</t>
        </is>
      </c>
      <c r="B2602" t="inlineStr">
        <is>
          <t>沪锌</t>
        </is>
      </c>
      <c r="C2602" t="inlineStr">
        <is>
          <t>多</t>
        </is>
      </c>
      <c r="D2602" t="n">
        <v>2</v>
      </c>
      <c r="E2602" t="n">
        <v>5</v>
      </c>
      <c r="F2602" t="inlineStr">
        <is>
          <t>影子仓</t>
        </is>
      </c>
      <c r="G2602" t="n">
        <v>2</v>
      </c>
      <c r="H2602" t="n">
        <v>21455</v>
      </c>
      <c r="I2602" t="n">
        <v>20655.71</v>
      </c>
      <c r="J2602" t="n">
        <v>1</v>
      </c>
      <c r="K2602" t="inlineStr">
        <is>
          <t>凯利≤0，开1%影子仓（只统计，不计入组合）</t>
        </is>
      </c>
    </row>
    <row r="2603">
      <c r="A2603" t="inlineStr">
        <is>
          <t>2023-12-27</t>
        </is>
      </c>
      <c r="B2603" t="inlineStr">
        <is>
          <t>棉花</t>
        </is>
      </c>
      <c r="C2603" t="inlineStr">
        <is>
          <t>多</t>
        </is>
      </c>
      <c r="D2603" t="n">
        <v>2</v>
      </c>
      <c r="E2603" t="n">
        <v>5</v>
      </c>
      <c r="F2603" t="inlineStr">
        <is>
          <t>续持</t>
        </is>
      </c>
      <c r="G2603" t="n">
        <v>3</v>
      </c>
      <c r="H2603" t="n">
        <v>15520</v>
      </c>
      <c r="I2603" t="n">
        <v>14973.93</v>
      </c>
      <c r="J2603" t="n">
        <v>1</v>
      </c>
      <c r="K2603" t="inlineStr">
        <is>
          <t>续持原仓（2023-12-21开）</t>
        </is>
      </c>
    </row>
    <row r="2604">
      <c r="A2604" t="inlineStr">
        <is>
          <t>2023-12-27</t>
        </is>
      </c>
      <c r="B2604" t="inlineStr">
        <is>
          <t>苯乙烯</t>
        </is>
      </c>
      <c r="C2604" t="inlineStr">
        <is>
          <t>多</t>
        </is>
      </c>
      <c r="D2604" t="n">
        <v>2</v>
      </c>
      <c r="E2604" t="n">
        <v>5</v>
      </c>
      <c r="F2604" t="inlineStr">
        <is>
          <t>影子仓</t>
        </is>
      </c>
      <c r="G2604" t="n">
        <v>3</v>
      </c>
      <c r="H2604" t="n">
        <v>8578</v>
      </c>
      <c r="I2604" t="n">
        <v>8050</v>
      </c>
      <c r="J2604" t="n">
        <v>1</v>
      </c>
      <c r="K2604" t="inlineStr">
        <is>
          <t>凯利≤0，开1%影子仓（只统计，不计入组合）</t>
        </is>
      </c>
    </row>
    <row r="2605">
      <c r="A2605" t="inlineStr">
        <is>
          <t>2023-12-27</t>
        </is>
      </c>
      <c r="B2605" t="inlineStr">
        <is>
          <t>燃料油</t>
        </is>
      </c>
      <c r="C2605" t="inlineStr">
        <is>
          <t>多</t>
        </is>
      </c>
      <c r="D2605" t="n">
        <v>2</v>
      </c>
      <c r="E2605" t="n">
        <v>4</v>
      </c>
      <c r="F2605" t="inlineStr">
        <is>
          <t>续持</t>
        </is>
      </c>
      <c r="G2605" t="n">
        <v>4</v>
      </c>
      <c r="H2605" t="n">
        <v>3125</v>
      </c>
      <c r="I2605" t="n">
        <v>2909.36</v>
      </c>
      <c r="J2605" t="n">
        <v>1</v>
      </c>
      <c r="K2605" t="inlineStr">
        <is>
          <t>续持原仓（2023-12-26开）</t>
        </is>
      </c>
    </row>
    <row r="2606">
      <c r="A2606" t="inlineStr">
        <is>
          <t>2023-12-28</t>
        </is>
      </c>
      <c r="B2606" t="inlineStr">
        <is>
          <t>沪铝</t>
        </is>
      </c>
      <c r="C2606" t="inlineStr">
        <is>
          <t>多</t>
        </is>
      </c>
      <c r="D2606" t="n">
        <v>3</v>
      </c>
      <c r="E2606" t="n">
        <v>7</v>
      </c>
      <c r="F2606" t="inlineStr">
        <is>
          <t>续持</t>
        </is>
      </c>
      <c r="G2606" t="n">
        <v>6</v>
      </c>
      <c r="H2606" t="n">
        <v>19520</v>
      </c>
      <c r="I2606" t="n">
        <v>18996.79</v>
      </c>
      <c r="J2606" t="n">
        <v>1.97</v>
      </c>
      <c r="K2606" t="inlineStr">
        <is>
          <t>续持原仓（2023-12-27开）</t>
        </is>
      </c>
    </row>
    <row r="2607">
      <c r="A2607" t="inlineStr">
        <is>
          <t>2023-12-28</t>
        </is>
      </c>
      <c r="B2607" t="inlineStr">
        <is>
          <t>菜粕</t>
        </is>
      </c>
      <c r="C2607" t="inlineStr">
        <is>
          <t>多</t>
        </is>
      </c>
      <c r="D2607" t="n">
        <v>3</v>
      </c>
      <c r="E2607" t="n">
        <v>7</v>
      </c>
      <c r="F2607" t="inlineStr">
        <is>
          <t>开仓</t>
        </is>
      </c>
      <c r="G2607" t="n">
        <v>10</v>
      </c>
      <c r="H2607" t="n">
        <v>2924</v>
      </c>
      <c r="I2607" t="n">
        <v>2727.71</v>
      </c>
      <c r="J2607" t="n">
        <v>2.03</v>
      </c>
      <c r="K2607" t="inlineStr">
        <is>
          <t>¼凯利</t>
        </is>
      </c>
    </row>
    <row r="2608">
      <c r="A2608" t="inlineStr">
        <is>
          <t>2023-12-28</t>
        </is>
      </c>
      <c r="B2608" t="inlineStr">
        <is>
          <t>沪锌</t>
        </is>
      </c>
      <c r="C2608" t="inlineStr">
        <is>
          <t>多</t>
        </is>
      </c>
      <c r="D2608" t="n">
        <v>3</v>
      </c>
      <c r="E2608" t="n">
        <v>6</v>
      </c>
      <c r="F2608" t="inlineStr">
        <is>
          <t>续持</t>
        </is>
      </c>
      <c r="G2608" t="n">
        <v>2</v>
      </c>
      <c r="H2608" t="n">
        <v>21530</v>
      </c>
      <c r="I2608" t="n">
        <v>20792.14</v>
      </c>
      <c r="J2608" t="n">
        <v>1</v>
      </c>
      <c r="K2608" t="inlineStr">
        <is>
          <t>续持原仓（2023-12-27开）</t>
        </is>
      </c>
    </row>
    <row r="2609">
      <c r="A2609" t="inlineStr">
        <is>
          <t>2023-12-28</t>
        </is>
      </c>
      <c r="B2609" t="inlineStr">
        <is>
          <t>PTA</t>
        </is>
      </c>
      <c r="C2609" t="inlineStr">
        <is>
          <t>多</t>
        </is>
      </c>
      <c r="D2609" t="n">
        <v>3</v>
      </c>
      <c r="E2609" t="n">
        <v>6</v>
      </c>
      <c r="F2609" t="inlineStr">
        <is>
          <t>开仓</t>
        </is>
      </c>
      <c r="G2609" t="n">
        <v>13</v>
      </c>
      <c r="H2609" t="n">
        <v>5990</v>
      </c>
      <c r="I2609" t="n">
        <v>5696</v>
      </c>
      <c r="J2609" t="n">
        <v>2.03</v>
      </c>
      <c r="K2609" t="inlineStr">
        <is>
          <t>¼凯利</t>
        </is>
      </c>
    </row>
    <row r="2610">
      <c r="A2610" t="inlineStr">
        <is>
          <t>2023-12-28</t>
        </is>
      </c>
      <c r="B2610" t="inlineStr">
        <is>
          <t>沪铜</t>
        </is>
      </c>
      <c r="C2610" t="inlineStr">
        <is>
          <t>多</t>
        </is>
      </c>
      <c r="D2610" t="n">
        <v>2</v>
      </c>
      <c r="E2610" t="n">
        <v>4</v>
      </c>
      <c r="F2610" t="inlineStr">
        <is>
          <t>影子仓</t>
        </is>
      </c>
      <c r="G2610" t="n">
        <v>1</v>
      </c>
      <c r="H2610" t="n">
        <v>69340</v>
      </c>
      <c r="I2610" t="n">
        <v>67786.42999999999</v>
      </c>
      <c r="J2610" t="n">
        <v>1</v>
      </c>
      <c r="K2610" t="inlineStr">
        <is>
          <t>凯利≤0，开1%影子仓（只统计，不计入组合）</t>
        </is>
      </c>
    </row>
    <row r="2611">
      <c r="A2611" t="inlineStr">
        <is>
          <t>2023-12-29</t>
        </is>
      </c>
      <c r="B2611" t="inlineStr">
        <is>
          <t>热卷</t>
        </is>
      </c>
      <c r="C2611" t="inlineStr">
        <is>
          <t>多</t>
        </is>
      </c>
      <c r="D2611" t="n">
        <v>3</v>
      </c>
      <c r="E2611" t="n">
        <v>6</v>
      </c>
      <c r="F2611" t="inlineStr">
        <is>
          <t>观望</t>
        </is>
      </c>
      <c r="G2611" t="n">
        <v>13</v>
      </c>
      <c r="H2611" t="n">
        <v>4114</v>
      </c>
      <c r="I2611" t="n">
        <v>3963.14</v>
      </c>
      <c r="J2611" t="n">
        <v>2.05</v>
      </c>
      <c r="K2611" t="inlineStr">
        <is>
          <t>逆5日线（收盘在5日线下，不追多）</t>
        </is>
      </c>
    </row>
    <row r="2612">
      <c r="A2612" t="inlineStr">
        <is>
          <t>2023-12-29</t>
        </is>
      </c>
      <c r="B2612" t="inlineStr">
        <is>
          <t>沪铝</t>
        </is>
      </c>
      <c r="C2612" t="inlineStr">
        <is>
          <t>多</t>
        </is>
      </c>
      <c r="D2612" t="n">
        <v>2</v>
      </c>
      <c r="E2612" t="n">
        <v>5</v>
      </c>
      <c r="F2612" t="inlineStr">
        <is>
          <t>续持</t>
        </is>
      </c>
      <c r="G2612" t="n">
        <v>6</v>
      </c>
      <c r="H2612" t="n">
        <v>19505</v>
      </c>
      <c r="I2612" t="n">
        <v>19007.5</v>
      </c>
      <c r="J2612" t="n">
        <v>1.97</v>
      </c>
      <c r="K2612" t="inlineStr">
        <is>
          <t>续持原仓（2023-12-27开）</t>
        </is>
      </c>
    </row>
    <row r="2613">
      <c r="A2613" t="inlineStr">
        <is>
          <t>2023-12-29</t>
        </is>
      </c>
      <c r="B2613" t="inlineStr">
        <is>
          <t>棉花</t>
        </is>
      </c>
      <c r="C2613" t="inlineStr">
        <is>
          <t>多</t>
        </is>
      </c>
      <c r="D2613" t="n">
        <v>2</v>
      </c>
      <c r="E2613" t="n">
        <v>5</v>
      </c>
      <c r="F2613" t="inlineStr">
        <is>
          <t>观望</t>
        </is>
      </c>
      <c r="G2613" t="n">
        <v>3</v>
      </c>
      <c r="H2613" t="n">
        <v>15455</v>
      </c>
      <c r="I2613" t="n">
        <v>14934.29</v>
      </c>
      <c r="J2613" t="n">
        <v>1</v>
      </c>
      <c r="K2613" t="inlineStr">
        <is>
          <t>逆5日线（收盘在5日线下，不追多）</t>
        </is>
      </c>
    </row>
    <row r="2614">
      <c r="A2614" t="inlineStr">
        <is>
          <t>2023-12-29</t>
        </is>
      </c>
      <c r="B2614" t="inlineStr">
        <is>
          <t>苯乙烯</t>
        </is>
      </c>
      <c r="C2614" t="inlineStr">
        <is>
          <t>多</t>
        </is>
      </c>
      <c r="D2614" t="n">
        <v>2</v>
      </c>
      <c r="E2614" t="n">
        <v>5</v>
      </c>
      <c r="F2614" t="inlineStr">
        <is>
          <t>观望</t>
        </is>
      </c>
      <c r="G2614" t="n">
        <v>3</v>
      </c>
      <c r="H2614" t="n">
        <v>8484</v>
      </c>
      <c r="I2614" t="n">
        <v>7961.36</v>
      </c>
      <c r="J2614" t="n">
        <v>1</v>
      </c>
      <c r="K2614" t="inlineStr">
        <is>
          <t>逆5日线（收盘在5日线下，不追多）</t>
        </is>
      </c>
    </row>
    <row r="2615">
      <c r="A2615" t="inlineStr">
        <is>
          <t>2023-12-29</t>
        </is>
      </c>
      <c r="B2615" t="inlineStr">
        <is>
          <t>塑料</t>
        </is>
      </c>
      <c r="C2615" t="inlineStr">
        <is>
          <t>多</t>
        </is>
      </c>
      <c r="D2615" t="n">
        <v>2</v>
      </c>
      <c r="E2615" t="n">
        <v>4</v>
      </c>
      <c r="F2615" t="inlineStr">
        <is>
          <t>观望</t>
        </is>
      </c>
      <c r="G2615" t="n">
        <v>9</v>
      </c>
      <c r="H2615" t="n">
        <v>8280</v>
      </c>
      <c r="I2615" t="n">
        <v>8058.86</v>
      </c>
      <c r="J2615" t="n">
        <v>1</v>
      </c>
      <c r="K2615" t="inlineStr">
        <is>
          <t>逆5日线（收盘在5日线下，不追多）</t>
        </is>
      </c>
    </row>
    <row r="2616">
      <c r="A2616" t="inlineStr">
        <is>
          <t>2023-12-29</t>
        </is>
      </c>
      <c r="B2616" t="inlineStr">
        <is>
          <t>菜油</t>
        </is>
      </c>
      <c r="C2616" t="inlineStr">
        <is>
          <t>空</t>
        </is>
      </c>
      <c r="D2616" t="n">
        <v>2</v>
      </c>
      <c r="E2616" t="n">
        <v>4</v>
      </c>
      <c r="F2616" t="inlineStr">
        <is>
          <t>影子仓</t>
        </is>
      </c>
      <c r="G2616" t="n">
        <v>2</v>
      </c>
      <c r="H2616" t="n">
        <v>7965</v>
      </c>
      <c r="I2616" t="n">
        <v>8355.860000000001</v>
      </c>
      <c r="J2616" t="n">
        <v>1</v>
      </c>
      <c r="K2616" t="inlineStr">
        <is>
          <t>凯利≤0，开1%影子仓（只统计，不计入组合）</t>
        </is>
      </c>
    </row>
    <row r="2617">
      <c r="A2617" t="inlineStr">
        <is>
          <t>2024-01-02</t>
        </is>
      </c>
      <c r="B2617" t="inlineStr">
        <is>
          <t>热卷</t>
        </is>
      </c>
      <c r="C2617" t="inlineStr">
        <is>
          <t>多</t>
        </is>
      </c>
      <c r="D2617" t="n">
        <v>3</v>
      </c>
      <c r="E2617" t="n">
        <v>7</v>
      </c>
      <c r="F2617" t="inlineStr">
        <is>
          <t>开仓</t>
        </is>
      </c>
      <c r="G2617" t="n">
        <v>12</v>
      </c>
      <c r="H2617" t="n">
        <v>4146</v>
      </c>
      <c r="I2617" t="n">
        <v>3989.79</v>
      </c>
      <c r="J2617" t="n">
        <v>2.03</v>
      </c>
      <c r="K2617" t="inlineStr">
        <is>
          <t>¼凯利</t>
        </is>
      </c>
    </row>
    <row r="2618">
      <c r="A2618" t="inlineStr">
        <is>
          <t>2024-01-02</t>
        </is>
      </c>
      <c r="B2618" t="inlineStr">
        <is>
          <t>沪锌</t>
        </is>
      </c>
      <c r="C2618" t="inlineStr">
        <is>
          <t>多</t>
        </is>
      </c>
      <c r="D2618" t="n">
        <v>3</v>
      </c>
      <c r="E2618" t="n">
        <v>7</v>
      </c>
      <c r="F2618" t="inlineStr">
        <is>
          <t>开仓</t>
        </is>
      </c>
      <c r="G2618" t="n">
        <v>5</v>
      </c>
      <c r="H2618" t="n">
        <v>21635</v>
      </c>
      <c r="I2618" t="n">
        <v>20930</v>
      </c>
      <c r="J2618" t="n">
        <v>2.03</v>
      </c>
      <c r="K2618" t="inlineStr">
        <is>
          <t>¼凯利</t>
        </is>
      </c>
    </row>
    <row r="2619">
      <c r="A2619" t="inlineStr">
        <is>
          <t>2024-01-02</t>
        </is>
      </c>
      <c r="B2619" t="inlineStr">
        <is>
          <t>苯乙烯</t>
        </is>
      </c>
      <c r="C2619" t="inlineStr">
        <is>
          <t>多</t>
        </is>
      </c>
      <c r="D2619" t="n">
        <v>3</v>
      </c>
      <c r="E2619" t="n">
        <v>7</v>
      </c>
      <c r="F2619" t="inlineStr">
        <is>
          <t>续持</t>
        </is>
      </c>
      <c r="G2619" t="n">
        <v>3</v>
      </c>
      <c r="H2619" t="n">
        <v>8618</v>
      </c>
      <c r="I2619" t="n">
        <v>8109.29</v>
      </c>
      <c r="J2619" t="n">
        <v>1</v>
      </c>
      <c r="K2619" t="inlineStr">
        <is>
          <t>续持原仓（2023-12-27开）</t>
        </is>
      </c>
    </row>
    <row r="2620">
      <c r="A2620" t="inlineStr">
        <is>
          <t>2024-01-02</t>
        </is>
      </c>
      <c r="B2620" t="inlineStr">
        <is>
          <t>沪铝</t>
        </is>
      </c>
      <c r="C2620" t="inlineStr">
        <is>
          <t>多</t>
        </is>
      </c>
      <c r="D2620" t="n">
        <v>3</v>
      </c>
      <c r="E2620" t="n">
        <v>6</v>
      </c>
      <c r="F2620" t="inlineStr">
        <is>
          <t>续持</t>
        </is>
      </c>
      <c r="G2620" t="n">
        <v>6</v>
      </c>
      <c r="H2620" t="n">
        <v>19755</v>
      </c>
      <c r="I2620" t="n">
        <v>19058.57</v>
      </c>
      <c r="J2620" t="n">
        <v>1.97</v>
      </c>
      <c r="K2620" t="inlineStr">
        <is>
          <t>续持原仓（2023-12-27开）</t>
        </is>
      </c>
    </row>
    <row r="2621">
      <c r="A2621" t="inlineStr">
        <is>
          <t>2024-01-02</t>
        </is>
      </c>
      <c r="B2621" t="inlineStr">
        <is>
          <t>纯碱</t>
        </is>
      </c>
      <c r="C2621" t="inlineStr">
        <is>
          <t>空</t>
        </is>
      </c>
      <c r="D2621" t="n">
        <v>3</v>
      </c>
      <c r="E2621" t="n">
        <v>6</v>
      </c>
      <c r="F2621" t="inlineStr">
        <is>
          <t>开仓</t>
        </is>
      </c>
      <c r="G2621" t="n">
        <v>3</v>
      </c>
      <c r="H2621" t="n">
        <v>2018</v>
      </c>
      <c r="I2621" t="n">
        <v>2276.64</v>
      </c>
      <c r="J2621" t="n">
        <v>1.94</v>
      </c>
      <c r="K2621" t="inlineStr">
        <is>
          <t>组合风险已近10%，预算缩小</t>
        </is>
      </c>
    </row>
    <row r="2622">
      <c r="A2622" t="inlineStr">
        <is>
          <t>2024-01-02</t>
        </is>
      </c>
      <c r="B2622" t="inlineStr">
        <is>
          <t>棉花</t>
        </is>
      </c>
      <c r="C2622" t="inlineStr">
        <is>
          <t>多</t>
        </is>
      </c>
      <c r="D2622" t="n">
        <v>3</v>
      </c>
      <c r="E2622" t="n">
        <v>6</v>
      </c>
      <c r="F2622" t="inlineStr">
        <is>
          <t>不做</t>
        </is>
      </c>
      <c r="H2622" t="n">
        <v>15600</v>
      </c>
      <c r="J2622" t="n">
        <v>0</v>
      </c>
      <c r="K2622" t="inlineStr">
        <is>
          <t>组合风险已近10%，预算缩小</t>
        </is>
      </c>
    </row>
    <row r="2623">
      <c r="A2623" t="inlineStr">
        <is>
          <t>2024-01-03</t>
        </is>
      </c>
      <c r="B2623" t="inlineStr">
        <is>
          <t>热卷</t>
        </is>
      </c>
      <c r="C2623" t="inlineStr">
        <is>
          <t>多</t>
        </is>
      </c>
      <c r="D2623" t="n">
        <v>3</v>
      </c>
      <c r="E2623" t="n">
        <v>6</v>
      </c>
      <c r="F2623" t="inlineStr">
        <is>
          <t>续持</t>
        </is>
      </c>
      <c r="G2623" t="n">
        <v>12</v>
      </c>
      <c r="H2623" t="n">
        <v>4160</v>
      </c>
      <c r="I2623" t="n">
        <v>4043.79</v>
      </c>
      <c r="J2623" t="n">
        <v>2.03</v>
      </c>
      <c r="K2623" t="inlineStr">
        <is>
          <t>续持原仓（2024-01-02开）</t>
        </is>
      </c>
    </row>
    <row r="2624">
      <c r="A2624" t="inlineStr">
        <is>
          <t>2024-01-03</t>
        </is>
      </c>
      <c r="B2624" t="inlineStr">
        <is>
          <t>沪锌</t>
        </is>
      </c>
      <c r="C2624" t="inlineStr">
        <is>
          <t>多</t>
        </is>
      </c>
      <c r="D2624" t="n">
        <v>2</v>
      </c>
      <c r="E2624" t="n">
        <v>5</v>
      </c>
      <c r="F2624" t="inlineStr">
        <is>
          <t>续持</t>
        </is>
      </c>
      <c r="G2624" t="n">
        <v>5</v>
      </c>
      <c r="H2624" t="n">
        <v>21645</v>
      </c>
      <c r="I2624" t="n">
        <v>20983.93</v>
      </c>
      <c r="J2624" t="n">
        <v>2.03</v>
      </c>
      <c r="K2624" t="inlineStr">
        <is>
          <t>续持原仓（2024-01-02开）</t>
        </is>
      </c>
    </row>
    <row r="2625">
      <c r="A2625" t="inlineStr">
        <is>
          <t>2024-01-03</t>
        </is>
      </c>
      <c r="B2625" t="inlineStr">
        <is>
          <t>棉花</t>
        </is>
      </c>
      <c r="C2625" t="inlineStr">
        <is>
          <t>多</t>
        </is>
      </c>
      <c r="D2625" t="n">
        <v>2</v>
      </c>
      <c r="E2625" t="n">
        <v>5</v>
      </c>
      <c r="F2625" t="inlineStr">
        <is>
          <t>影子仓</t>
        </is>
      </c>
      <c r="G2625" t="n">
        <v>3</v>
      </c>
      <c r="H2625" t="n">
        <v>15645</v>
      </c>
      <c r="I2625" t="n">
        <v>15113.57</v>
      </c>
      <c r="J2625" t="n">
        <v>1</v>
      </c>
      <c r="K2625" t="inlineStr">
        <is>
          <t>凯利≤0，开1%影子仓（只统计，不计入组合）</t>
        </is>
      </c>
    </row>
    <row r="2626">
      <c r="A2626" t="inlineStr">
        <is>
          <t>2024-01-03</t>
        </is>
      </c>
      <c r="B2626" t="inlineStr">
        <is>
          <t>乙二醇</t>
        </is>
      </c>
      <c r="C2626" t="inlineStr">
        <is>
          <t>多</t>
        </is>
      </c>
      <c r="D2626" t="n">
        <v>2</v>
      </c>
      <c r="E2626" t="n">
        <v>5</v>
      </c>
      <c r="F2626" t="inlineStr">
        <is>
          <t>影子仓</t>
        </is>
      </c>
      <c r="G2626" t="n">
        <v>3</v>
      </c>
      <c r="H2626" t="n">
        <v>4581</v>
      </c>
      <c r="I2626" t="n">
        <v>4297.71</v>
      </c>
      <c r="J2626" t="n">
        <v>1</v>
      </c>
      <c r="K2626" t="inlineStr">
        <is>
          <t>凯利≤0，开1%影子仓（只统计，不计入组合）</t>
        </is>
      </c>
    </row>
    <row r="2627">
      <c r="A2627" t="inlineStr">
        <is>
          <t>2024-01-03</t>
        </is>
      </c>
      <c r="B2627" t="inlineStr">
        <is>
          <t>沪铜</t>
        </is>
      </c>
      <c r="C2627" t="inlineStr">
        <is>
          <t>多</t>
        </is>
      </c>
      <c r="D2627" t="n">
        <v>2</v>
      </c>
      <c r="E2627" t="n">
        <v>4</v>
      </c>
      <c r="F2627" t="inlineStr">
        <is>
          <t>观望</t>
        </is>
      </c>
      <c r="G2627" t="n">
        <v>1</v>
      </c>
      <c r="H2627" t="n">
        <v>68610</v>
      </c>
      <c r="I2627" t="n">
        <v>67140</v>
      </c>
      <c r="J2627" t="n">
        <v>1</v>
      </c>
      <c r="K2627" t="inlineStr">
        <is>
          <t>逆5日线（收盘在5日线下，不追多）</t>
        </is>
      </c>
    </row>
    <row r="2628">
      <c r="A2628" t="inlineStr">
        <is>
          <t>2024-01-04</t>
        </is>
      </c>
      <c r="B2628" t="inlineStr">
        <is>
          <t>纯碱</t>
        </is>
      </c>
      <c r="C2628" t="inlineStr">
        <is>
          <t>空</t>
        </is>
      </c>
      <c r="D2628" t="n">
        <v>3</v>
      </c>
      <c r="E2628" t="n">
        <v>7</v>
      </c>
      <c r="F2628" t="inlineStr">
        <is>
          <t>开仓</t>
        </is>
      </c>
      <c r="G2628" t="n">
        <v>3</v>
      </c>
      <c r="H2628" t="n">
        <v>1992</v>
      </c>
      <c r="I2628" t="n">
        <v>2235.64</v>
      </c>
      <c r="J2628" t="n">
        <v>1.85</v>
      </c>
      <c r="K2628" t="inlineStr">
        <is>
          <t>¼凯利</t>
        </is>
      </c>
    </row>
    <row r="2629">
      <c r="A2629" t="inlineStr">
        <is>
          <t>2024-01-04</t>
        </is>
      </c>
      <c r="B2629" t="inlineStr">
        <is>
          <t>菜油</t>
        </is>
      </c>
      <c r="C2629" t="inlineStr">
        <is>
          <t>空</t>
        </is>
      </c>
      <c r="D2629" t="n">
        <v>2</v>
      </c>
      <c r="E2629" t="n">
        <v>5</v>
      </c>
      <c r="F2629" t="inlineStr">
        <is>
          <t>影子仓</t>
        </is>
      </c>
      <c r="G2629" t="n">
        <v>2</v>
      </c>
      <c r="H2629" t="n">
        <v>7833</v>
      </c>
      <c r="I2629" t="n">
        <v>8218.709999999999</v>
      </c>
      <c r="J2629" t="n">
        <v>1</v>
      </c>
      <c r="K2629" t="inlineStr">
        <is>
          <t>凯利≤0，开1%影子仓（只统计，不计入组合）</t>
        </is>
      </c>
    </row>
    <row r="2630">
      <c r="A2630" t="inlineStr">
        <is>
          <t>2024-01-04</t>
        </is>
      </c>
      <c r="B2630" t="inlineStr">
        <is>
          <t>棕榈油</t>
        </is>
      </c>
      <c r="C2630" t="inlineStr">
        <is>
          <t>空</t>
        </is>
      </c>
      <c r="D2630" t="n">
        <v>2</v>
      </c>
      <c r="E2630" t="n">
        <v>5</v>
      </c>
      <c r="F2630" t="inlineStr">
        <is>
          <t>影子仓</t>
        </is>
      </c>
      <c r="G2630" t="n">
        <v>2</v>
      </c>
      <c r="H2630" t="n">
        <v>6984</v>
      </c>
      <c r="I2630" t="n">
        <v>7377</v>
      </c>
      <c r="J2630" t="n">
        <v>1</v>
      </c>
      <c r="K2630" t="inlineStr">
        <is>
          <t>凯利≤0，开1%影子仓（只统计，不计入组合）</t>
        </is>
      </c>
    </row>
    <row r="2631">
      <c r="A2631" t="inlineStr">
        <is>
          <t>2024-01-04</t>
        </is>
      </c>
      <c r="B2631" t="inlineStr">
        <is>
          <t>乙二醇</t>
        </is>
      </c>
      <c r="C2631" t="inlineStr">
        <is>
          <t>多</t>
        </is>
      </c>
      <c r="D2631" t="n">
        <v>2</v>
      </c>
      <c r="E2631" t="n">
        <v>5</v>
      </c>
      <c r="F2631" t="inlineStr">
        <is>
          <t>续持</t>
        </is>
      </c>
      <c r="G2631" t="n">
        <v>3</v>
      </c>
      <c r="H2631" t="n">
        <v>4552</v>
      </c>
      <c r="I2631" t="n">
        <v>4323.93</v>
      </c>
      <c r="J2631" t="n">
        <v>1</v>
      </c>
      <c r="K2631" t="inlineStr">
        <is>
          <t>续持原仓（2024-01-03开）</t>
        </is>
      </c>
    </row>
    <row r="2632">
      <c r="A2632" t="inlineStr">
        <is>
          <t>2024-01-04</t>
        </is>
      </c>
      <c r="B2632" t="inlineStr">
        <is>
          <t>沪铝</t>
        </is>
      </c>
      <c r="C2632" t="inlineStr">
        <is>
          <t>多</t>
        </is>
      </c>
      <c r="D2632" t="n">
        <v>2</v>
      </c>
      <c r="E2632" t="n">
        <v>5</v>
      </c>
      <c r="F2632" t="inlineStr">
        <is>
          <t>观望</t>
        </is>
      </c>
      <c r="G2632" t="n">
        <v>2</v>
      </c>
      <c r="H2632" t="n">
        <v>19215</v>
      </c>
      <c r="I2632" t="n">
        <v>18440.36</v>
      </c>
      <c r="J2632" t="n">
        <v>1</v>
      </c>
      <c r="K2632" t="inlineStr">
        <is>
          <t>逆5日线（收盘在5日线下，不追多）</t>
        </is>
      </c>
    </row>
    <row r="2633">
      <c r="A2633" t="inlineStr">
        <is>
          <t>2024-01-04</t>
        </is>
      </c>
      <c r="B2633" t="inlineStr">
        <is>
          <t>沪锌</t>
        </is>
      </c>
      <c r="C2633" t="inlineStr">
        <is>
          <t>多</t>
        </is>
      </c>
      <c r="D2633" t="n">
        <v>2</v>
      </c>
      <c r="E2633" t="n">
        <v>4</v>
      </c>
      <c r="F2633" t="inlineStr">
        <is>
          <t>观望</t>
        </is>
      </c>
      <c r="G2633" t="n">
        <v>2</v>
      </c>
      <c r="H2633" t="n">
        <v>21310</v>
      </c>
      <c r="I2633" t="n">
        <v>20640.36</v>
      </c>
      <c r="J2633" t="n">
        <v>1</v>
      </c>
      <c r="K2633" t="inlineStr">
        <is>
          <t>逆5日线（收盘在5日线下，不追多）</t>
        </is>
      </c>
    </row>
    <row r="2634">
      <c r="A2634" t="inlineStr">
        <is>
          <t>2024-01-04</t>
        </is>
      </c>
      <c r="B2634" t="inlineStr">
        <is>
          <t>热卷</t>
        </is>
      </c>
      <c r="C2634" t="inlineStr">
        <is>
          <t>多</t>
        </is>
      </c>
      <c r="D2634" t="n">
        <v>2</v>
      </c>
      <c r="E2634" t="n">
        <v>4</v>
      </c>
      <c r="F2634" t="inlineStr">
        <is>
          <t>续持</t>
        </is>
      </c>
      <c r="G2634" t="n">
        <v>12</v>
      </c>
      <c r="H2634" t="n">
        <v>4147</v>
      </c>
      <c r="I2634" t="n">
        <v>4045.93</v>
      </c>
      <c r="J2634" t="n">
        <v>2.03</v>
      </c>
      <c r="K2634" t="inlineStr">
        <is>
          <t>续持原仓（2024-01-02开）</t>
        </is>
      </c>
    </row>
    <row r="2635">
      <c r="A2635" t="inlineStr">
        <is>
          <t>2024-01-05</t>
        </is>
      </c>
      <c r="B2635" t="inlineStr">
        <is>
          <t>纯碱</t>
        </is>
      </c>
      <c r="C2635" t="inlineStr">
        <is>
          <t>空</t>
        </is>
      </c>
      <c r="D2635" t="n">
        <v>3</v>
      </c>
      <c r="E2635" t="n">
        <v>6</v>
      </c>
      <c r="F2635" t="inlineStr">
        <is>
          <t>续持</t>
        </is>
      </c>
      <c r="G2635" t="n">
        <v>3</v>
      </c>
      <c r="H2635" t="n">
        <v>1940</v>
      </c>
      <c r="I2635" t="n">
        <v>2169.29</v>
      </c>
      <c r="J2635" t="n">
        <v>1.85</v>
      </c>
      <c r="K2635" t="inlineStr">
        <is>
          <t>续持原仓（2024-01-04开）</t>
        </is>
      </c>
    </row>
    <row r="2636">
      <c r="A2636" t="inlineStr">
        <is>
          <t>2024-01-05</t>
        </is>
      </c>
      <c r="B2636" t="inlineStr">
        <is>
          <t>豆粕</t>
        </is>
      </c>
      <c r="C2636" t="inlineStr">
        <is>
          <t>空</t>
        </is>
      </c>
      <c r="D2636" t="n">
        <v>3</v>
      </c>
      <c r="E2636" t="n">
        <v>6</v>
      </c>
      <c r="F2636" t="inlineStr">
        <is>
          <t>开仓</t>
        </is>
      </c>
      <c r="G2636" t="n">
        <v>12</v>
      </c>
      <c r="H2636" t="n">
        <v>3205</v>
      </c>
      <c r="I2636" t="n">
        <v>3347.5</v>
      </c>
      <c r="J2636" t="n">
        <v>1.85</v>
      </c>
      <c r="K2636" t="inlineStr">
        <is>
          <t>¼凯利</t>
        </is>
      </c>
    </row>
    <row r="2637">
      <c r="A2637" t="inlineStr">
        <is>
          <t>2024-01-05</t>
        </is>
      </c>
      <c r="B2637" t="inlineStr">
        <is>
          <t>沪铝</t>
        </is>
      </c>
      <c r="C2637" t="inlineStr">
        <is>
          <t>多</t>
        </is>
      </c>
      <c r="D2637" t="n">
        <v>3</v>
      </c>
      <c r="E2637" t="n">
        <v>6</v>
      </c>
      <c r="F2637" t="inlineStr">
        <is>
          <t>观望</t>
        </is>
      </c>
      <c r="H2637" t="n">
        <v>19195</v>
      </c>
      <c r="J2637" t="n">
        <v>0.27</v>
      </c>
      <c r="K2637" t="inlineStr">
        <is>
          <t>逆5日线（收盘在5日线下，不追多）</t>
        </is>
      </c>
    </row>
    <row r="2638">
      <c r="A2638" t="inlineStr">
        <is>
          <t>2024-01-05</t>
        </is>
      </c>
      <c r="B2638" t="inlineStr">
        <is>
          <t>聚丙烯</t>
        </is>
      </c>
      <c r="C2638" t="inlineStr">
        <is>
          <t>空</t>
        </is>
      </c>
      <c r="D2638" t="n">
        <v>3</v>
      </c>
      <c r="E2638" t="n">
        <v>6</v>
      </c>
      <c r="F2638" t="inlineStr">
        <is>
          <t>不做</t>
        </is>
      </c>
      <c r="H2638" t="n">
        <v>7377</v>
      </c>
      <c r="J2638" t="n">
        <v>0.27</v>
      </c>
      <c r="K2638" t="inlineStr">
        <is>
          <t>组合风险已近10%，预算缩小</t>
        </is>
      </c>
    </row>
    <row r="2639">
      <c r="A2639" t="inlineStr">
        <is>
          <t>2024-01-05</t>
        </is>
      </c>
      <c r="B2639" t="inlineStr">
        <is>
          <t>沪锌</t>
        </is>
      </c>
      <c r="C2639" t="inlineStr">
        <is>
          <t>多</t>
        </is>
      </c>
      <c r="D2639" t="n">
        <v>2</v>
      </c>
      <c r="E2639" t="n">
        <v>4</v>
      </c>
      <c r="F2639" t="inlineStr">
        <is>
          <t>观望</t>
        </is>
      </c>
      <c r="G2639" t="n">
        <v>3</v>
      </c>
      <c r="H2639" t="n">
        <v>21250</v>
      </c>
      <c r="I2639" t="n">
        <v>20584.64</v>
      </c>
      <c r="J2639" t="n">
        <v>1</v>
      </c>
      <c r="K2639" t="inlineStr">
        <is>
          <t>逆5日线（收盘在5日线下，不追多）</t>
        </is>
      </c>
    </row>
    <row r="2640">
      <c r="A2640" t="inlineStr">
        <is>
          <t>2024-01-05</t>
        </is>
      </c>
      <c r="B2640" t="inlineStr">
        <is>
          <t>沪镍</t>
        </is>
      </c>
      <c r="C2640" t="inlineStr">
        <is>
          <t>空</t>
        </is>
      </c>
      <c r="D2640" t="n">
        <v>2</v>
      </c>
      <c r="E2640" t="n">
        <v>4</v>
      </c>
      <c r="F2640" t="inlineStr">
        <is>
          <t>影子仓</t>
        </is>
      </c>
      <c r="G2640" t="n">
        <v>1</v>
      </c>
      <c r="H2640" t="n">
        <v>123540</v>
      </c>
      <c r="I2640" t="n">
        <v>133065</v>
      </c>
      <c r="J2640" t="n">
        <v>1</v>
      </c>
      <c r="K2640" t="inlineStr">
        <is>
          <t>凯利≤0，开1%影子仓（只统计，不计入组合）</t>
        </is>
      </c>
    </row>
    <row r="2641">
      <c r="A2641" t="inlineStr">
        <is>
          <t>2024-01-08</t>
        </is>
      </c>
      <c r="B2641" t="inlineStr">
        <is>
          <t>聚丙烯</t>
        </is>
      </c>
      <c r="C2641" t="inlineStr">
        <is>
          <t>空</t>
        </is>
      </c>
      <c r="D2641" t="n">
        <v>3</v>
      </c>
      <c r="E2641" t="n">
        <v>7</v>
      </c>
      <c r="F2641" t="inlineStr">
        <is>
          <t>开仓</t>
        </is>
      </c>
      <c r="G2641" t="n">
        <v>13</v>
      </c>
      <c r="H2641" t="n">
        <v>7312</v>
      </c>
      <c r="I2641" t="n">
        <v>7559.07</v>
      </c>
      <c r="J2641" t="n">
        <v>1.69</v>
      </c>
      <c r="K2641" t="inlineStr">
        <is>
          <t>¼凯利</t>
        </is>
      </c>
    </row>
    <row r="2642">
      <c r="A2642" t="inlineStr">
        <is>
          <t>2024-01-08</t>
        </is>
      </c>
      <c r="B2642" t="inlineStr">
        <is>
          <t>豆粕</t>
        </is>
      </c>
      <c r="C2642" t="inlineStr">
        <is>
          <t>空</t>
        </is>
      </c>
      <c r="D2642" t="n">
        <v>3</v>
      </c>
      <c r="E2642" t="n">
        <v>6</v>
      </c>
      <c r="F2642" t="inlineStr">
        <is>
          <t>续持</t>
        </is>
      </c>
      <c r="G2642" t="n">
        <v>12</v>
      </c>
      <c r="H2642" t="n">
        <v>3157</v>
      </c>
      <c r="I2642" t="n">
        <v>3292.86</v>
      </c>
      <c r="J2642" t="n">
        <v>1.85</v>
      </c>
      <c r="K2642" t="inlineStr">
        <is>
          <t>续持原仓（2024-01-05开）</t>
        </is>
      </c>
    </row>
    <row r="2643">
      <c r="A2643" t="inlineStr">
        <is>
          <t>2024-01-08</t>
        </is>
      </c>
      <c r="B2643" t="inlineStr">
        <is>
          <t>沪锌</t>
        </is>
      </c>
      <c r="C2643" t="inlineStr">
        <is>
          <t>多</t>
        </is>
      </c>
      <c r="D2643" t="n">
        <v>2</v>
      </c>
      <c r="E2643" t="n">
        <v>5</v>
      </c>
      <c r="F2643" t="inlineStr">
        <is>
          <t>观望</t>
        </is>
      </c>
      <c r="G2643" t="n">
        <v>2</v>
      </c>
      <c r="H2643" t="n">
        <v>21235</v>
      </c>
      <c r="I2643" t="n">
        <v>20555.71</v>
      </c>
      <c r="J2643" t="n">
        <v>1</v>
      </c>
      <c r="K2643" t="inlineStr">
        <is>
          <t>逆5日线（收盘在5日线下，不追多）</t>
        </is>
      </c>
    </row>
    <row r="2644">
      <c r="A2644" t="inlineStr">
        <is>
          <t>2024-01-08</t>
        </is>
      </c>
      <c r="B2644" t="inlineStr">
        <is>
          <t>白糖</t>
        </is>
      </c>
      <c r="C2644" t="inlineStr">
        <is>
          <t>多</t>
        </is>
      </c>
      <c r="D2644" t="n">
        <v>2</v>
      </c>
      <c r="E2644" t="n">
        <v>4</v>
      </c>
      <c r="F2644" t="inlineStr">
        <is>
          <t>观望</t>
        </is>
      </c>
      <c r="G2644" t="n">
        <v>4</v>
      </c>
      <c r="H2644" t="n">
        <v>6313</v>
      </c>
      <c r="I2644" t="n">
        <v>6092.07</v>
      </c>
      <c r="J2644" t="n">
        <v>1</v>
      </c>
      <c r="K2644" t="inlineStr">
        <is>
          <t>逆5日线（收盘在5日线下，不追多）</t>
        </is>
      </c>
    </row>
    <row r="2645">
      <c r="A2645" t="inlineStr">
        <is>
          <t>2024-01-08</t>
        </is>
      </c>
      <c r="B2645" t="inlineStr">
        <is>
          <t>硅铁</t>
        </is>
      </c>
      <c r="C2645" t="inlineStr">
        <is>
          <t>空</t>
        </is>
      </c>
      <c r="D2645" t="n">
        <v>2</v>
      </c>
      <c r="E2645" t="n">
        <v>4</v>
      </c>
      <c r="F2645" t="inlineStr">
        <is>
          <t>影子仓</t>
        </is>
      </c>
      <c r="G2645" t="n">
        <v>7</v>
      </c>
      <c r="H2645" t="n">
        <v>6712</v>
      </c>
      <c r="I2645" t="n">
        <v>6991.86</v>
      </c>
      <c r="J2645" t="n">
        <v>1</v>
      </c>
      <c r="K2645" t="inlineStr">
        <is>
          <t>凯利≤0，开1%影子仓（只统计，不计入组合）</t>
        </is>
      </c>
    </row>
    <row r="2646">
      <c r="A2646" t="inlineStr">
        <is>
          <t>2024-01-08</t>
        </is>
      </c>
      <c r="B2646" t="inlineStr">
        <is>
          <t>苯乙烯</t>
        </is>
      </c>
      <c r="C2646" t="inlineStr">
        <is>
          <t>空</t>
        </is>
      </c>
      <c r="D2646" t="n">
        <v>2</v>
      </c>
      <c r="E2646" t="n">
        <v>4</v>
      </c>
      <c r="F2646" t="inlineStr">
        <is>
          <t>影子仓</t>
        </is>
      </c>
      <c r="G2646" t="n">
        <v>3</v>
      </c>
      <c r="H2646" t="n">
        <v>8279</v>
      </c>
      <c r="I2646" t="n">
        <v>8779.790000000001</v>
      </c>
      <c r="J2646" t="n">
        <v>1</v>
      </c>
      <c r="K2646" t="inlineStr">
        <is>
          <t>凯利≤0，开1%影子仓（只统计，不计入组合）</t>
        </is>
      </c>
    </row>
    <row r="2647">
      <c r="A2647" t="inlineStr">
        <is>
          <t>2024-01-09</t>
        </is>
      </c>
      <c r="B2647" t="inlineStr">
        <is>
          <t>纯碱</t>
        </is>
      </c>
      <c r="C2647" t="inlineStr">
        <is>
          <t>空</t>
        </is>
      </c>
      <c r="D2647" t="n">
        <v>3</v>
      </c>
      <c r="E2647" t="n">
        <v>7</v>
      </c>
      <c r="F2647" t="inlineStr">
        <is>
          <t>开仓</t>
        </is>
      </c>
      <c r="G2647" t="n">
        <v>3</v>
      </c>
      <c r="H2647" t="n">
        <v>1927</v>
      </c>
      <c r="I2647" t="n">
        <v>2142.14</v>
      </c>
      <c r="J2647" t="n">
        <v>1.62</v>
      </c>
      <c r="K2647" t="inlineStr">
        <is>
          <t>¼凯利</t>
        </is>
      </c>
    </row>
    <row r="2648">
      <c r="A2648" t="inlineStr">
        <is>
          <t>2024-01-09</t>
        </is>
      </c>
      <c r="B2648" t="inlineStr">
        <is>
          <t>聚丙烯</t>
        </is>
      </c>
      <c r="C2648" t="inlineStr">
        <is>
          <t>空</t>
        </is>
      </c>
      <c r="D2648" t="n">
        <v>3</v>
      </c>
      <c r="E2648" t="n">
        <v>6</v>
      </c>
      <c r="F2648" t="inlineStr">
        <is>
          <t>续持</t>
        </is>
      </c>
      <c r="G2648" t="n">
        <v>13</v>
      </c>
      <c r="H2648" t="n">
        <v>7317</v>
      </c>
      <c r="I2648" t="n">
        <v>7538.21</v>
      </c>
      <c r="J2648" t="n">
        <v>1.69</v>
      </c>
      <c r="K2648" t="inlineStr">
        <is>
          <t>续持原仓（2024-01-08开）</t>
        </is>
      </c>
    </row>
    <row r="2649">
      <c r="A2649" t="inlineStr">
        <is>
          <t>2024-01-09</t>
        </is>
      </c>
      <c r="B2649" t="inlineStr">
        <is>
          <t>豆粕</t>
        </is>
      </c>
      <c r="C2649" t="inlineStr">
        <is>
          <t>空</t>
        </is>
      </c>
      <c r="D2649" t="n">
        <v>2</v>
      </c>
      <c r="E2649" t="n">
        <v>5</v>
      </c>
      <c r="F2649" t="inlineStr">
        <is>
          <t>续持</t>
        </is>
      </c>
      <c r="G2649" t="n">
        <v>12</v>
      </c>
      <c r="H2649" t="n">
        <v>3162</v>
      </c>
      <c r="I2649" t="n">
        <v>3273.14</v>
      </c>
      <c r="J2649" t="n">
        <v>1.85</v>
      </c>
      <c r="K2649" t="inlineStr">
        <is>
          <t>续持原仓（2024-01-05开）</t>
        </is>
      </c>
    </row>
    <row r="2650">
      <c r="A2650" t="inlineStr">
        <is>
          <t>2024-01-09</t>
        </is>
      </c>
      <c r="B2650" t="inlineStr">
        <is>
          <t>螺纹钢</t>
        </is>
      </c>
      <c r="C2650" t="inlineStr">
        <is>
          <t>多</t>
        </is>
      </c>
      <c r="D2650" t="n">
        <v>2</v>
      </c>
      <c r="E2650" t="n">
        <v>4</v>
      </c>
      <c r="F2650" t="inlineStr">
        <is>
          <t>观望</t>
        </is>
      </c>
      <c r="G2650" t="n">
        <v>7</v>
      </c>
      <c r="H2650" t="n">
        <v>3943</v>
      </c>
      <c r="I2650" t="n">
        <v>3801.14</v>
      </c>
      <c r="J2650" t="n">
        <v>1</v>
      </c>
      <c r="K2650" t="inlineStr">
        <is>
          <t>逆5日线（收盘在5日线下，不追多）</t>
        </is>
      </c>
    </row>
    <row r="2651">
      <c r="A2651" t="inlineStr">
        <is>
          <t>2024-01-10</t>
        </is>
      </c>
      <c r="B2651" t="inlineStr">
        <is>
          <t>纯碱</t>
        </is>
      </c>
      <c r="C2651" t="inlineStr">
        <is>
          <t>空</t>
        </is>
      </c>
      <c r="D2651" t="n">
        <v>3</v>
      </c>
      <c r="E2651" t="n">
        <v>7</v>
      </c>
      <c r="F2651" t="inlineStr">
        <is>
          <t>续持</t>
        </is>
      </c>
      <c r="G2651" t="n">
        <v>3</v>
      </c>
      <c r="H2651" t="n">
        <v>1848</v>
      </c>
      <c r="I2651" t="n">
        <v>2063.5</v>
      </c>
      <c r="J2651" t="n">
        <v>1.62</v>
      </c>
      <c r="K2651" t="inlineStr">
        <is>
          <t>续持原仓（2024-01-09开）</t>
        </is>
      </c>
    </row>
    <row r="2652">
      <c r="A2652" t="inlineStr">
        <is>
          <t>2024-01-10</t>
        </is>
      </c>
      <c r="B2652" t="inlineStr">
        <is>
          <t>豆粕</t>
        </is>
      </c>
      <c r="C2652" t="inlineStr">
        <is>
          <t>空</t>
        </is>
      </c>
      <c r="D2652" t="n">
        <v>3</v>
      </c>
      <c r="E2652" t="n">
        <v>7</v>
      </c>
      <c r="F2652" t="inlineStr">
        <is>
          <t>续持</t>
        </is>
      </c>
      <c r="G2652" t="n">
        <v>12</v>
      </c>
      <c r="H2652" t="n">
        <v>3144</v>
      </c>
      <c r="I2652" t="n">
        <v>3271</v>
      </c>
      <c r="J2652" t="n">
        <v>1.85</v>
      </c>
      <c r="K2652" t="inlineStr">
        <is>
          <t>续持原仓（2024-01-05开）</t>
        </is>
      </c>
    </row>
    <row r="2653">
      <c r="A2653" t="inlineStr">
        <is>
          <t>2024-01-10</t>
        </is>
      </c>
      <c r="B2653" t="inlineStr">
        <is>
          <t>聚丙烯</t>
        </is>
      </c>
      <c r="C2653" t="inlineStr">
        <is>
          <t>空</t>
        </is>
      </c>
      <c r="D2653" t="n">
        <v>3</v>
      </c>
      <c r="E2653" t="n">
        <v>6</v>
      </c>
      <c r="F2653" t="inlineStr">
        <is>
          <t>续持</t>
        </is>
      </c>
      <c r="G2653" t="n">
        <v>13</v>
      </c>
      <c r="H2653" t="n">
        <v>7209</v>
      </c>
      <c r="I2653" t="n">
        <v>7437.5</v>
      </c>
      <c r="J2653" t="n">
        <v>1.69</v>
      </c>
      <c r="K2653" t="inlineStr">
        <is>
          <t>续持原仓（2024-01-08开）</t>
        </is>
      </c>
    </row>
    <row r="2654">
      <c r="A2654" t="inlineStr">
        <is>
          <t>2024-01-10</t>
        </is>
      </c>
      <c r="B2654" t="inlineStr">
        <is>
          <t>白糖</t>
        </is>
      </c>
      <c r="C2654" t="inlineStr">
        <is>
          <t>多</t>
        </is>
      </c>
      <c r="D2654" t="n">
        <v>2</v>
      </c>
      <c r="E2654" t="n">
        <v>4</v>
      </c>
      <c r="F2654" t="inlineStr">
        <is>
          <t>观望</t>
        </is>
      </c>
      <c r="G2654" t="n">
        <v>4</v>
      </c>
      <c r="H2654" t="n">
        <v>6218</v>
      </c>
      <c r="I2654" t="n">
        <v>5996.86</v>
      </c>
      <c r="J2654" t="n">
        <v>1</v>
      </c>
      <c r="K2654" t="inlineStr">
        <is>
          <t>逆5日线（收盘在5日线下，不追多）</t>
        </is>
      </c>
    </row>
    <row r="2655">
      <c r="A2655" t="inlineStr">
        <is>
          <t>2024-01-10</t>
        </is>
      </c>
      <c r="B2655" t="inlineStr">
        <is>
          <t>PTA</t>
        </is>
      </c>
      <c r="C2655" t="inlineStr">
        <is>
          <t>多</t>
        </is>
      </c>
      <c r="D2655" t="n">
        <v>2</v>
      </c>
      <c r="E2655" t="n">
        <v>4</v>
      </c>
      <c r="F2655" t="inlineStr">
        <is>
          <t>观望</t>
        </is>
      </c>
      <c r="G2655" t="n">
        <v>7</v>
      </c>
      <c r="H2655" t="n">
        <v>5744</v>
      </c>
      <c r="I2655" t="n">
        <v>5459</v>
      </c>
      <c r="J2655" t="n">
        <v>1</v>
      </c>
      <c r="K2655" t="inlineStr">
        <is>
          <t>逆5日线（收盘在5日线下，不追多）</t>
        </is>
      </c>
    </row>
    <row r="2656">
      <c r="A2656" t="inlineStr">
        <is>
          <t>2024-01-10</t>
        </is>
      </c>
      <c r="B2656" t="inlineStr">
        <is>
          <t>硅铁</t>
        </is>
      </c>
      <c r="C2656" t="inlineStr">
        <is>
          <t>空</t>
        </is>
      </c>
      <c r="D2656" t="n">
        <v>2</v>
      </c>
      <c r="E2656" t="n">
        <v>4</v>
      </c>
      <c r="F2656" t="inlineStr">
        <is>
          <t>影子仓</t>
        </is>
      </c>
      <c r="G2656" t="n">
        <v>7</v>
      </c>
      <c r="H2656" t="n">
        <v>6662</v>
      </c>
      <c r="I2656" t="n">
        <v>6931.14</v>
      </c>
      <c r="J2656" t="n">
        <v>1</v>
      </c>
      <c r="K2656" t="inlineStr">
        <is>
          <t>凯利≤0，开1%影子仓（只统计，不计入组合）</t>
        </is>
      </c>
    </row>
    <row r="2657">
      <c r="A2657" t="inlineStr">
        <is>
          <t>2024-01-11</t>
        </is>
      </c>
      <c r="B2657" t="inlineStr">
        <is>
          <t>沪锌</t>
        </is>
      </c>
      <c r="C2657" t="inlineStr">
        <is>
          <t>多</t>
        </is>
      </c>
      <c r="D2657" t="n">
        <v>3</v>
      </c>
      <c r="E2657" t="n">
        <v>6</v>
      </c>
      <c r="F2657" t="inlineStr">
        <is>
          <t>开仓</t>
        </is>
      </c>
      <c r="G2657" t="n">
        <v>5</v>
      </c>
      <c r="H2657" t="n">
        <v>21215</v>
      </c>
      <c r="I2657" t="n">
        <v>20557.14</v>
      </c>
      <c r="J2657" t="n">
        <v>1.65</v>
      </c>
      <c r="K2657" t="inlineStr">
        <is>
          <t>¼凯利</t>
        </is>
      </c>
    </row>
    <row r="2658">
      <c r="A2658" t="inlineStr">
        <is>
          <t>2024-01-11</t>
        </is>
      </c>
      <c r="B2658" t="inlineStr">
        <is>
          <t>菜粕</t>
        </is>
      </c>
      <c r="C2658" t="inlineStr">
        <is>
          <t>空</t>
        </is>
      </c>
      <c r="D2658" t="n">
        <v>3</v>
      </c>
      <c r="E2658" t="n">
        <v>6</v>
      </c>
      <c r="F2658" t="inlineStr">
        <is>
          <t>开仓</t>
        </is>
      </c>
      <c r="G2658" t="n">
        <v>5</v>
      </c>
      <c r="H2658" t="n">
        <v>2629</v>
      </c>
      <c r="I2658" t="n">
        <v>2831.5</v>
      </c>
      <c r="J2658" t="n">
        <v>1.15</v>
      </c>
      <c r="K2658" t="inlineStr">
        <is>
          <t>与豆粕高度相关（同组≤3%），预算缩小</t>
        </is>
      </c>
    </row>
    <row r="2659">
      <c r="A2659" t="inlineStr">
        <is>
          <t>2024-01-11</t>
        </is>
      </c>
      <c r="B2659" t="inlineStr">
        <is>
          <t>豆粕</t>
        </is>
      </c>
      <c r="C2659" t="inlineStr">
        <is>
          <t>空</t>
        </is>
      </c>
      <c r="D2659" t="n">
        <v>2</v>
      </c>
      <c r="E2659" t="n">
        <v>5</v>
      </c>
      <c r="F2659" t="inlineStr">
        <is>
          <t>续持</t>
        </is>
      </c>
      <c r="G2659" t="n">
        <v>12</v>
      </c>
      <c r="H2659" t="n">
        <v>3135</v>
      </c>
      <c r="I2659" t="n">
        <v>3249</v>
      </c>
      <c r="J2659" t="n">
        <v>1.85</v>
      </c>
      <c r="K2659" t="inlineStr">
        <is>
          <t>续持原仓（2024-01-05开）</t>
        </is>
      </c>
    </row>
    <row r="2660">
      <c r="A2660" t="inlineStr">
        <is>
          <t>2024-01-11</t>
        </is>
      </c>
      <c r="B2660" t="inlineStr">
        <is>
          <t>甲醇</t>
        </is>
      </c>
      <c r="C2660" t="inlineStr">
        <is>
          <t>多</t>
        </is>
      </c>
      <c r="D2660" t="n">
        <v>2</v>
      </c>
      <c r="E2660" t="n">
        <v>5</v>
      </c>
      <c r="F2660" t="inlineStr">
        <is>
          <t>观望</t>
        </is>
      </c>
      <c r="G2660" t="n">
        <v>7</v>
      </c>
      <c r="H2660" t="n">
        <v>2337</v>
      </c>
      <c r="I2660" t="n">
        <v>2199.21</v>
      </c>
      <c r="J2660" t="n">
        <v>1</v>
      </c>
      <c r="K2660" t="inlineStr">
        <is>
          <t>逆5日线（收盘在5日线下，不追多）</t>
        </is>
      </c>
    </row>
    <row r="2661">
      <c r="A2661" t="inlineStr">
        <is>
          <t>2024-01-11</t>
        </is>
      </c>
      <c r="B2661" t="inlineStr">
        <is>
          <t>聚丙烯</t>
        </is>
      </c>
      <c r="C2661" t="inlineStr">
        <is>
          <t>空</t>
        </is>
      </c>
      <c r="D2661" t="n">
        <v>2</v>
      </c>
      <c r="E2661" t="n">
        <v>4</v>
      </c>
      <c r="F2661" t="inlineStr">
        <is>
          <t>续持</t>
        </is>
      </c>
      <c r="G2661" t="n">
        <v>13</v>
      </c>
      <c r="H2661" t="n">
        <v>7247</v>
      </c>
      <c r="I2661" t="n">
        <v>7432.57</v>
      </c>
      <c r="J2661" t="n">
        <v>1.69</v>
      </c>
      <c r="K2661" t="inlineStr">
        <is>
          <t>续持原仓（2024-01-08开）</t>
        </is>
      </c>
    </row>
    <row r="2662">
      <c r="A2662" t="inlineStr">
        <is>
          <t>2024-01-11</t>
        </is>
      </c>
      <c r="B2662" t="inlineStr">
        <is>
          <t>硅铁</t>
        </is>
      </c>
      <c r="C2662" t="inlineStr">
        <is>
          <t>空</t>
        </is>
      </c>
      <c r="D2662" t="n">
        <v>2</v>
      </c>
      <c r="E2662" t="n">
        <v>4</v>
      </c>
      <c r="F2662" t="inlineStr">
        <is>
          <t>观望</t>
        </is>
      </c>
      <c r="G2662" t="n">
        <v>7</v>
      </c>
      <c r="H2662" t="n">
        <v>6708</v>
      </c>
      <c r="I2662" t="n">
        <v>6975.86</v>
      </c>
      <c r="J2662" t="n">
        <v>1</v>
      </c>
      <c r="K2662" t="inlineStr">
        <is>
          <t>逆5日线（收盘在5日线上，不追空）</t>
        </is>
      </c>
    </row>
    <row r="2663">
      <c r="A2663" t="inlineStr">
        <is>
          <t>2024-01-12</t>
        </is>
      </c>
      <c r="B2663" t="inlineStr">
        <is>
          <t>纯碱</t>
        </is>
      </c>
      <c r="C2663" t="inlineStr">
        <is>
          <t>空</t>
        </is>
      </c>
      <c r="D2663" t="n">
        <v>3</v>
      </c>
      <c r="E2663" t="n">
        <v>6</v>
      </c>
      <c r="F2663" t="inlineStr">
        <is>
          <t>开仓</t>
        </is>
      </c>
      <c r="G2663" t="n">
        <v>4</v>
      </c>
      <c r="H2663" t="n">
        <v>1827</v>
      </c>
      <c r="I2663" t="n">
        <v>2022.21</v>
      </c>
      <c r="J2663" t="n">
        <v>1.69</v>
      </c>
      <c r="K2663" t="inlineStr">
        <is>
          <t>¼凯利</t>
        </is>
      </c>
    </row>
    <row r="2664">
      <c r="A2664" t="inlineStr">
        <is>
          <t>2024-01-12</t>
        </is>
      </c>
      <c r="B2664" t="inlineStr">
        <is>
          <t>豆粕</t>
        </is>
      </c>
      <c r="C2664" t="inlineStr">
        <is>
          <t>空</t>
        </is>
      </c>
      <c r="D2664" t="n">
        <v>3</v>
      </c>
      <c r="E2664" t="n">
        <v>6</v>
      </c>
      <c r="F2664" t="inlineStr">
        <is>
          <t>续持</t>
        </is>
      </c>
      <c r="G2664" t="n">
        <v>12</v>
      </c>
      <c r="H2664" t="n">
        <v>3078</v>
      </c>
      <c r="I2664" t="n">
        <v>3216.86</v>
      </c>
      <c r="J2664" t="n">
        <v>1.85</v>
      </c>
      <c r="K2664" t="inlineStr">
        <is>
          <t>续持原仓（2024-01-05开）</t>
        </is>
      </c>
    </row>
    <row r="2665">
      <c r="A2665" t="inlineStr">
        <is>
          <t>2024-01-12</t>
        </is>
      </c>
      <c r="B2665" t="inlineStr">
        <is>
          <t>沪铝</t>
        </is>
      </c>
      <c r="C2665" t="inlineStr">
        <is>
          <t>多</t>
        </is>
      </c>
      <c r="D2665" t="n">
        <v>3</v>
      </c>
      <c r="E2665" t="n">
        <v>6</v>
      </c>
      <c r="F2665" t="inlineStr">
        <is>
          <t>观望</t>
        </is>
      </c>
      <c r="G2665" t="n">
        <v>4</v>
      </c>
      <c r="H2665" t="n">
        <v>19030</v>
      </c>
      <c r="I2665" t="n">
        <v>18282.14</v>
      </c>
      <c r="J2665" t="n">
        <v>1.69</v>
      </c>
      <c r="K2665" t="inlineStr">
        <is>
          <t>逆5日线（收盘在5日线下，不追多）</t>
        </is>
      </c>
    </row>
    <row r="2666">
      <c r="A2666" t="inlineStr">
        <is>
          <t>2024-01-15</t>
        </is>
      </c>
      <c r="B2666" t="inlineStr">
        <is>
          <t>沪锌</t>
        </is>
      </c>
      <c r="C2666" t="inlineStr">
        <is>
          <t>多</t>
        </is>
      </c>
      <c r="D2666" t="n">
        <v>3</v>
      </c>
      <c r="E2666" t="n">
        <v>7</v>
      </c>
      <c r="F2666" t="inlineStr">
        <is>
          <t>续持</t>
        </is>
      </c>
      <c r="G2666" t="n">
        <v>5</v>
      </c>
      <c r="H2666" t="n">
        <v>21235</v>
      </c>
      <c r="I2666" t="n">
        <v>20594.64</v>
      </c>
      <c r="J2666" t="n">
        <v>1.65</v>
      </c>
      <c r="K2666" t="inlineStr">
        <is>
          <t>续持原仓（2024-01-11开）</t>
        </is>
      </c>
    </row>
    <row r="2667">
      <c r="A2667" t="inlineStr">
        <is>
          <t>2024-01-15</t>
        </is>
      </c>
      <c r="B2667" t="inlineStr">
        <is>
          <t>纯碱</t>
        </is>
      </c>
      <c r="C2667" t="inlineStr">
        <is>
          <t>空</t>
        </is>
      </c>
      <c r="D2667" t="n">
        <v>2</v>
      </c>
      <c r="E2667" t="n">
        <v>5</v>
      </c>
      <c r="F2667" t="inlineStr">
        <is>
          <t>续持</t>
        </is>
      </c>
      <c r="G2667" t="n">
        <v>4</v>
      </c>
      <c r="H2667" t="n">
        <v>1838</v>
      </c>
      <c r="I2667" t="n">
        <v>1993.57</v>
      </c>
      <c r="J2667" t="n">
        <v>1.69</v>
      </c>
      <c r="K2667" t="inlineStr">
        <is>
          <t>续持原仓（2024-01-12开）</t>
        </is>
      </c>
    </row>
    <row r="2668">
      <c r="A2668" t="inlineStr">
        <is>
          <t>2024-01-15</t>
        </is>
      </c>
      <c r="B2668" t="inlineStr">
        <is>
          <t>白糖</t>
        </is>
      </c>
      <c r="C2668" t="inlineStr">
        <is>
          <t>多</t>
        </is>
      </c>
      <c r="D2668" t="n">
        <v>2</v>
      </c>
      <c r="E2668" t="n">
        <v>5</v>
      </c>
      <c r="F2668" t="inlineStr">
        <is>
          <t>观望</t>
        </is>
      </c>
      <c r="G2668" t="n">
        <v>4</v>
      </c>
      <c r="H2668" t="n">
        <v>6269</v>
      </c>
      <c r="I2668" t="n">
        <v>6060.71</v>
      </c>
      <c r="J2668" t="n">
        <v>1</v>
      </c>
      <c r="K2668" t="inlineStr">
        <is>
          <t>逆5日线（收盘在5日线下，不追多）</t>
        </is>
      </c>
    </row>
    <row r="2669">
      <c r="A2669" t="inlineStr">
        <is>
          <t>2024-01-15</t>
        </is>
      </c>
      <c r="B2669" t="inlineStr">
        <is>
          <t>棉花</t>
        </is>
      </c>
      <c r="C2669" t="inlineStr">
        <is>
          <t>空</t>
        </is>
      </c>
      <c r="D2669" t="n">
        <v>2</v>
      </c>
      <c r="E2669" t="n">
        <v>4</v>
      </c>
      <c r="F2669" t="inlineStr">
        <is>
          <t>影子仓</t>
        </is>
      </c>
      <c r="G2669" t="n">
        <v>3</v>
      </c>
      <c r="H2669" t="n">
        <v>15435</v>
      </c>
      <c r="I2669" t="n">
        <v>15948.21</v>
      </c>
      <c r="J2669" t="n">
        <v>1</v>
      </c>
      <c r="K2669" t="inlineStr">
        <is>
          <t>凯利≤0，开1%影子仓（只统计，不计入组合）</t>
        </is>
      </c>
    </row>
    <row r="2670">
      <c r="A2670" t="inlineStr">
        <is>
          <t>2024-01-16</t>
        </is>
      </c>
      <c r="B2670" t="inlineStr">
        <is>
          <t>菜粕</t>
        </is>
      </c>
      <c r="C2670" t="inlineStr">
        <is>
          <t>空</t>
        </is>
      </c>
      <c r="D2670" t="n">
        <v>3</v>
      </c>
      <c r="E2670" t="n">
        <v>6</v>
      </c>
      <c r="F2670" t="inlineStr">
        <is>
          <t>观望</t>
        </is>
      </c>
      <c r="G2670" t="n">
        <v>9</v>
      </c>
      <c r="H2670" t="n">
        <v>2612</v>
      </c>
      <c r="I2670" t="n">
        <v>2794.79</v>
      </c>
      <c r="J2670" t="n">
        <v>1.74</v>
      </c>
      <c r="K2670" t="inlineStr">
        <is>
          <t>逆5日线（收盘在5日线上，不追空）</t>
        </is>
      </c>
    </row>
    <row r="2671">
      <c r="A2671" t="inlineStr">
        <is>
          <t>2024-01-16</t>
        </is>
      </c>
      <c r="B2671" t="inlineStr">
        <is>
          <t>沪铜</t>
        </is>
      </c>
      <c r="C2671" t="inlineStr">
        <is>
          <t>空</t>
        </is>
      </c>
      <c r="D2671" t="n">
        <v>2</v>
      </c>
      <c r="E2671" t="n">
        <v>5</v>
      </c>
      <c r="F2671" t="inlineStr">
        <is>
          <t>影子仓</t>
        </is>
      </c>
      <c r="G2671" t="n">
        <v>1</v>
      </c>
      <c r="H2671" t="n">
        <v>67810</v>
      </c>
      <c r="I2671" t="n">
        <v>69282.14</v>
      </c>
      <c r="J2671" t="n">
        <v>1</v>
      </c>
      <c r="K2671" t="inlineStr">
        <is>
          <t>凯利≤0，开1%影子仓（只统计，不计入组合）</t>
        </is>
      </c>
    </row>
    <row r="2672">
      <c r="A2672" t="inlineStr">
        <is>
          <t>2024-01-16</t>
        </is>
      </c>
      <c r="B2672" t="inlineStr">
        <is>
          <t>聚丙烯</t>
        </is>
      </c>
      <c r="C2672" t="inlineStr">
        <is>
          <t>多</t>
        </is>
      </c>
      <c r="D2672" t="n">
        <v>2</v>
      </c>
      <c r="E2672" t="n">
        <v>5</v>
      </c>
      <c r="F2672" t="inlineStr">
        <is>
          <t>影子仓</t>
        </is>
      </c>
      <c r="G2672" t="n">
        <v>8</v>
      </c>
      <c r="H2672" t="n">
        <v>7375</v>
      </c>
      <c r="I2672" t="n">
        <v>7143.36</v>
      </c>
      <c r="J2672" t="n">
        <v>1</v>
      </c>
      <c r="K2672" t="inlineStr">
        <is>
          <t>凯利≤0，开1%影子仓（只统计，不计入组合）</t>
        </is>
      </c>
    </row>
    <row r="2673">
      <c r="A2673" t="inlineStr">
        <is>
          <t>2024-01-16</t>
        </is>
      </c>
      <c r="B2673" t="inlineStr">
        <is>
          <t>豆粕</t>
        </is>
      </c>
      <c r="C2673" t="inlineStr">
        <is>
          <t>空</t>
        </is>
      </c>
      <c r="D2673" t="n">
        <v>2</v>
      </c>
      <c r="E2673" t="n">
        <v>4</v>
      </c>
      <c r="F2673" t="inlineStr">
        <is>
          <t>影子仓</t>
        </is>
      </c>
      <c r="G2673" t="n">
        <v>6</v>
      </c>
      <c r="H2673" t="n">
        <v>3083</v>
      </c>
      <c r="I2673" t="n">
        <v>3228.5</v>
      </c>
      <c r="J2673" t="n">
        <v>1</v>
      </c>
      <c r="K2673" t="inlineStr">
        <is>
          <t>凯利≤0，开1%影子仓（只统计，不计入组合）</t>
        </is>
      </c>
    </row>
    <row r="2674">
      <c r="A2674" t="inlineStr">
        <is>
          <t>2024-01-16</t>
        </is>
      </c>
      <c r="B2674" t="inlineStr">
        <is>
          <t>白糖</t>
        </is>
      </c>
      <c r="C2674" t="inlineStr">
        <is>
          <t>多</t>
        </is>
      </c>
      <c r="D2674" t="n">
        <v>2</v>
      </c>
      <c r="E2674" t="n">
        <v>4</v>
      </c>
      <c r="F2674" t="inlineStr">
        <is>
          <t>影子仓</t>
        </is>
      </c>
      <c r="G2674" t="n">
        <v>4</v>
      </c>
      <c r="H2674" t="n">
        <v>6293</v>
      </c>
      <c r="I2674" t="n">
        <v>6091.57</v>
      </c>
      <c r="J2674" t="n">
        <v>1</v>
      </c>
      <c r="K2674" t="inlineStr">
        <is>
          <t>凯利≤0，开1%影子仓（只统计，不计入组合）</t>
        </is>
      </c>
    </row>
    <row r="2675">
      <c r="A2675" t="inlineStr">
        <is>
          <t>2024-01-16</t>
        </is>
      </c>
      <c r="B2675" t="inlineStr">
        <is>
          <t>玻璃</t>
        </is>
      </c>
      <c r="C2675" t="inlineStr">
        <is>
          <t>多</t>
        </is>
      </c>
      <c r="D2675" t="n">
        <v>2</v>
      </c>
      <c r="E2675" t="n">
        <v>4</v>
      </c>
      <c r="F2675" t="inlineStr">
        <is>
          <t>观望</t>
        </is>
      </c>
      <c r="G2675" t="n">
        <v>2</v>
      </c>
      <c r="H2675" t="n">
        <v>1750</v>
      </c>
      <c r="I2675" t="n">
        <v>1552.43</v>
      </c>
      <c r="J2675" t="n">
        <v>1</v>
      </c>
      <c r="K2675" t="inlineStr">
        <is>
          <t>逆5日线（收盘在5日线下，不追多）</t>
        </is>
      </c>
    </row>
    <row r="2676">
      <c r="A2676" t="inlineStr">
        <is>
          <t>2024-01-17</t>
        </is>
      </c>
      <c r="B2676" t="inlineStr">
        <is>
          <t>豆粕</t>
        </is>
      </c>
      <c r="C2676" t="inlineStr">
        <is>
          <t>空</t>
        </is>
      </c>
      <c r="D2676" t="n">
        <v>3</v>
      </c>
      <c r="E2676" t="n">
        <v>7</v>
      </c>
      <c r="F2676" t="inlineStr">
        <is>
          <t>续持</t>
        </is>
      </c>
      <c r="G2676" t="n">
        <v>6</v>
      </c>
      <c r="H2676" t="n">
        <v>3054</v>
      </c>
      <c r="I2676" t="n">
        <v>3197</v>
      </c>
      <c r="J2676" t="n">
        <v>1</v>
      </c>
      <c r="K2676" t="inlineStr">
        <is>
          <t>续持原仓（2024-01-16开）</t>
        </is>
      </c>
    </row>
    <row r="2677">
      <c r="A2677" t="inlineStr">
        <is>
          <t>2024-01-17</t>
        </is>
      </c>
      <c r="B2677" t="inlineStr">
        <is>
          <t>菜粕</t>
        </is>
      </c>
      <c r="C2677" t="inlineStr">
        <is>
          <t>空</t>
        </is>
      </c>
      <c r="D2677" t="n">
        <v>3</v>
      </c>
      <c r="E2677" t="n">
        <v>7</v>
      </c>
      <c r="F2677" t="inlineStr">
        <is>
          <t>开仓</t>
        </is>
      </c>
      <c r="G2677" t="n">
        <v>10</v>
      </c>
      <c r="H2677" t="n">
        <v>2583</v>
      </c>
      <c r="I2677" t="n">
        <v>2755.29</v>
      </c>
      <c r="J2677" t="n">
        <v>1.73</v>
      </c>
      <c r="K2677" t="inlineStr">
        <is>
          <t>¼凯利</t>
        </is>
      </c>
    </row>
    <row r="2678">
      <c r="A2678" t="inlineStr">
        <is>
          <t>2024-01-17</t>
        </is>
      </c>
      <c r="B2678" t="inlineStr">
        <is>
          <t>沪铜</t>
        </is>
      </c>
      <c r="C2678" t="inlineStr">
        <is>
          <t>空</t>
        </is>
      </c>
      <c r="D2678" t="n">
        <v>2</v>
      </c>
      <c r="E2678" t="n">
        <v>5</v>
      </c>
      <c r="F2678" t="inlineStr">
        <is>
          <t>续持</t>
        </is>
      </c>
      <c r="G2678" t="n">
        <v>1</v>
      </c>
      <c r="H2678" t="n">
        <v>67720</v>
      </c>
      <c r="I2678" t="n">
        <v>69166.42999999999</v>
      </c>
      <c r="J2678" t="n">
        <v>1</v>
      </c>
      <c r="K2678" t="inlineStr">
        <is>
          <t>续持原仓（2024-01-16开）</t>
        </is>
      </c>
    </row>
    <row r="2679">
      <c r="A2679" t="inlineStr">
        <is>
          <t>2024-01-17</t>
        </is>
      </c>
      <c r="B2679" t="inlineStr">
        <is>
          <t>螺纹钢</t>
        </is>
      </c>
      <c r="C2679" t="inlineStr">
        <is>
          <t>空</t>
        </is>
      </c>
      <c r="D2679" t="n">
        <v>2</v>
      </c>
      <c r="E2679" t="n">
        <v>4</v>
      </c>
      <c r="F2679" t="inlineStr">
        <is>
          <t>影子仓</t>
        </is>
      </c>
      <c r="G2679" t="n">
        <v>6</v>
      </c>
      <c r="H2679" t="n">
        <v>3858</v>
      </c>
      <c r="I2679" t="n">
        <v>4006.71</v>
      </c>
      <c r="J2679" t="n">
        <v>1</v>
      </c>
      <c r="K2679" t="inlineStr">
        <is>
          <t>凯利≤0，开1%影子仓（只统计，不计入组合）</t>
        </is>
      </c>
    </row>
    <row r="2680">
      <c r="A2680" t="inlineStr">
        <is>
          <t>2024-01-17</t>
        </is>
      </c>
      <c r="B2680" t="inlineStr">
        <is>
          <t>乙二醇</t>
        </is>
      </c>
      <c r="C2680" t="inlineStr">
        <is>
          <t>多</t>
        </is>
      </c>
      <c r="D2680" t="n">
        <v>2</v>
      </c>
      <c r="E2680" t="n">
        <v>4</v>
      </c>
      <c r="F2680" t="inlineStr">
        <is>
          <t>影子仓</t>
        </is>
      </c>
      <c r="G2680" t="n">
        <v>2</v>
      </c>
      <c r="H2680" t="n">
        <v>4651</v>
      </c>
      <c r="I2680" t="n">
        <v>4312</v>
      </c>
      <c r="J2680" t="n">
        <v>1</v>
      </c>
      <c r="K2680" t="inlineStr">
        <is>
          <t>凯利≤0，开1%影子仓（只统计，不计入组合）</t>
        </is>
      </c>
    </row>
    <row r="2681">
      <c r="A2681" t="inlineStr">
        <is>
          <t>2024-01-18</t>
        </is>
      </c>
      <c r="B2681" t="inlineStr">
        <is>
          <t>菜粕</t>
        </is>
      </c>
      <c r="C2681" t="inlineStr">
        <is>
          <t>空</t>
        </is>
      </c>
      <c r="D2681" t="n">
        <v>3</v>
      </c>
      <c r="E2681" t="n">
        <v>6</v>
      </c>
      <c r="F2681" t="inlineStr">
        <is>
          <t>续持</t>
        </is>
      </c>
      <c r="G2681" t="n">
        <v>10</v>
      </c>
      <c r="H2681" t="n">
        <v>2564</v>
      </c>
      <c r="I2681" t="n">
        <v>2683.14</v>
      </c>
      <c r="J2681" t="n">
        <v>1.73</v>
      </c>
      <c r="K2681" t="inlineStr">
        <is>
          <t>续持原仓（2024-01-17开）</t>
        </is>
      </c>
    </row>
    <row r="2682">
      <c r="A2682" t="inlineStr">
        <is>
          <t>2024-01-18</t>
        </is>
      </c>
      <c r="B2682" t="inlineStr">
        <is>
          <t>聚丙烯</t>
        </is>
      </c>
      <c r="C2682" t="inlineStr">
        <is>
          <t>多</t>
        </is>
      </c>
      <c r="D2682" t="n">
        <v>2</v>
      </c>
      <c r="E2682" t="n">
        <v>5</v>
      </c>
      <c r="F2682" t="inlineStr">
        <is>
          <t>续持</t>
        </is>
      </c>
      <c r="G2682" t="n">
        <v>8</v>
      </c>
      <c r="H2682" t="n">
        <v>7348</v>
      </c>
      <c r="I2682" t="n">
        <v>7163.71</v>
      </c>
      <c r="J2682" t="n">
        <v>1</v>
      </c>
      <c r="K2682" t="inlineStr">
        <is>
          <t>续持原仓（2024-01-16开）</t>
        </is>
      </c>
    </row>
    <row r="2683">
      <c r="A2683" t="inlineStr">
        <is>
          <t>2024-01-18</t>
        </is>
      </c>
      <c r="B2683" t="inlineStr">
        <is>
          <t>沪锌</t>
        </is>
      </c>
      <c r="C2683" t="inlineStr">
        <is>
          <t>空</t>
        </is>
      </c>
      <c r="D2683" t="n">
        <v>2</v>
      </c>
      <c r="E2683" t="n">
        <v>4</v>
      </c>
      <c r="F2683" t="inlineStr">
        <is>
          <t>影子仓</t>
        </is>
      </c>
      <c r="G2683" t="n">
        <v>2</v>
      </c>
      <c r="H2683" t="n">
        <v>20770</v>
      </c>
      <c r="I2683" t="n">
        <v>21478.21</v>
      </c>
      <c r="J2683" t="n">
        <v>1</v>
      </c>
      <c r="K2683" t="inlineStr">
        <is>
          <t>凯利≤0，开1%影子仓（只统计，不计入组合）</t>
        </is>
      </c>
    </row>
    <row r="2684">
      <c r="A2684" t="inlineStr">
        <is>
          <t>2024-01-18</t>
        </is>
      </c>
      <c r="B2684" t="inlineStr">
        <is>
          <t>白糖</t>
        </is>
      </c>
      <c r="C2684" t="inlineStr">
        <is>
          <t>多</t>
        </is>
      </c>
      <c r="D2684" t="n">
        <v>2</v>
      </c>
      <c r="E2684" t="n">
        <v>4</v>
      </c>
      <c r="F2684" t="inlineStr">
        <is>
          <t>影子仓</t>
        </is>
      </c>
      <c r="G2684" t="n">
        <v>4</v>
      </c>
      <c r="H2684" t="n">
        <v>6340</v>
      </c>
      <c r="I2684" t="n">
        <v>6136</v>
      </c>
      <c r="J2684" t="n">
        <v>1</v>
      </c>
      <c r="K2684" t="inlineStr">
        <is>
          <t>凯利≤0，开1%影子仓（只统计，不计入组合）</t>
        </is>
      </c>
    </row>
    <row r="2685">
      <c r="A2685" t="inlineStr">
        <is>
          <t>2024-01-18</t>
        </is>
      </c>
      <c r="B2685" t="inlineStr">
        <is>
          <t>PTA</t>
        </is>
      </c>
      <c r="C2685" t="inlineStr">
        <is>
          <t>多</t>
        </is>
      </c>
      <c r="D2685" t="n">
        <v>2</v>
      </c>
      <c r="E2685" t="n">
        <v>4</v>
      </c>
      <c r="F2685" t="inlineStr">
        <is>
          <t>影子仓</t>
        </is>
      </c>
      <c r="G2685" t="n">
        <v>7</v>
      </c>
      <c r="H2685" t="n">
        <v>5844</v>
      </c>
      <c r="I2685" t="n">
        <v>5559.86</v>
      </c>
      <c r="J2685" t="n">
        <v>1</v>
      </c>
      <c r="K2685" t="inlineStr">
        <is>
          <t>凯利≤0，开1%影子仓（只统计，不计入组合）</t>
        </is>
      </c>
    </row>
    <row r="2686">
      <c r="A2686" t="inlineStr">
        <is>
          <t>2024-01-19</t>
        </is>
      </c>
      <c r="B2686" t="inlineStr">
        <is>
          <t>菜粕</t>
        </is>
      </c>
      <c r="C2686" t="inlineStr">
        <is>
          <t>空</t>
        </is>
      </c>
      <c r="D2686" t="n">
        <v>3</v>
      </c>
      <c r="E2686" t="n">
        <v>7</v>
      </c>
      <c r="F2686" t="inlineStr">
        <is>
          <t>续持</t>
        </is>
      </c>
      <c r="G2686" t="n">
        <v>10</v>
      </c>
      <c r="H2686" t="n">
        <v>2549</v>
      </c>
      <c r="I2686" t="n">
        <v>2672.86</v>
      </c>
      <c r="J2686" t="n">
        <v>1.73</v>
      </c>
      <c r="K2686" t="inlineStr">
        <is>
          <t>续持原仓（2024-01-17开）</t>
        </is>
      </c>
    </row>
    <row r="2687">
      <c r="A2687" t="inlineStr">
        <is>
          <t>2024-01-19</t>
        </is>
      </c>
      <c r="B2687" t="inlineStr">
        <is>
          <t>纯碱</t>
        </is>
      </c>
      <c r="C2687" t="inlineStr">
        <is>
          <t>空</t>
        </is>
      </c>
      <c r="D2687" t="n">
        <v>3</v>
      </c>
      <c r="E2687" t="n">
        <v>6</v>
      </c>
      <c r="F2687" t="inlineStr">
        <is>
          <t>观望</t>
        </is>
      </c>
      <c r="G2687" t="n">
        <v>4</v>
      </c>
      <c r="H2687" t="n">
        <v>1907</v>
      </c>
      <c r="I2687" t="n">
        <v>2108.86</v>
      </c>
      <c r="J2687" t="n">
        <v>1.78</v>
      </c>
      <c r="K2687" t="inlineStr">
        <is>
          <t>逆5日线（收盘在5日线上，不追空）</t>
        </is>
      </c>
    </row>
    <row r="2688">
      <c r="A2688" t="inlineStr">
        <is>
          <t>2024-01-19</t>
        </is>
      </c>
      <c r="B2688" t="inlineStr">
        <is>
          <t>棕榈油</t>
        </is>
      </c>
      <c r="C2688" t="inlineStr">
        <is>
          <t>多</t>
        </is>
      </c>
      <c r="D2688" t="n">
        <v>2</v>
      </c>
      <c r="E2688" t="n">
        <v>5</v>
      </c>
      <c r="F2688" t="inlineStr">
        <is>
          <t>影子仓</t>
        </is>
      </c>
      <c r="G2688" t="n">
        <v>2</v>
      </c>
      <c r="H2688" t="n">
        <v>7520</v>
      </c>
      <c r="I2688" t="n">
        <v>7110.29</v>
      </c>
      <c r="J2688" t="n">
        <v>1</v>
      </c>
      <c r="K2688" t="inlineStr">
        <is>
          <t>凯利≤0，开1%影子仓（只统计，不计入组合）</t>
        </is>
      </c>
    </row>
    <row r="2689">
      <c r="A2689" t="inlineStr">
        <is>
          <t>2024-01-19</t>
        </is>
      </c>
      <c r="B2689" t="inlineStr">
        <is>
          <t>沪银</t>
        </is>
      </c>
      <c r="C2689" t="inlineStr">
        <is>
          <t>空</t>
        </is>
      </c>
      <c r="D2689" t="n">
        <v>2</v>
      </c>
      <c r="E2689" t="n">
        <v>4</v>
      </c>
      <c r="F2689" t="inlineStr">
        <is>
          <t>影子仓</t>
        </is>
      </c>
      <c r="G2689" t="n">
        <v>2</v>
      </c>
      <c r="H2689" t="n">
        <v>5913</v>
      </c>
      <c r="I2689" t="n">
        <v>6144.64</v>
      </c>
      <c r="J2689" t="n">
        <v>1</v>
      </c>
      <c r="K2689" t="inlineStr">
        <is>
          <t>凯利≤0，开1%影子仓（只统计，不计入组合）</t>
        </is>
      </c>
    </row>
    <row r="2690">
      <c r="A2690" t="inlineStr">
        <is>
          <t>2024-01-22</t>
        </is>
      </c>
      <c r="B2690" t="inlineStr">
        <is>
          <t>菜粕</t>
        </is>
      </c>
      <c r="C2690" t="inlineStr">
        <is>
          <t>空</t>
        </is>
      </c>
      <c r="D2690" t="n">
        <v>3</v>
      </c>
      <c r="E2690" t="n">
        <v>7</v>
      </c>
      <c r="F2690" t="inlineStr">
        <is>
          <t>续持</t>
        </is>
      </c>
      <c r="G2690" t="n">
        <v>10</v>
      </c>
      <c r="H2690" t="n">
        <v>2524</v>
      </c>
      <c r="I2690" t="n">
        <v>2660.21</v>
      </c>
      <c r="J2690" t="n">
        <v>1.73</v>
      </c>
      <c r="K2690" t="inlineStr">
        <is>
          <t>续持原仓（2024-01-17开）</t>
        </is>
      </c>
    </row>
    <row r="2691">
      <c r="A2691" t="inlineStr">
        <is>
          <t>2024-01-22</t>
        </is>
      </c>
      <c r="B2691" t="inlineStr">
        <is>
          <t>沪银</t>
        </is>
      </c>
      <c r="C2691" t="inlineStr">
        <is>
          <t>空</t>
        </is>
      </c>
      <c r="D2691" t="n">
        <v>3</v>
      </c>
      <c r="E2691" t="n">
        <v>7</v>
      </c>
      <c r="F2691" t="inlineStr">
        <is>
          <t>续持</t>
        </is>
      </c>
      <c r="G2691" t="n">
        <v>2</v>
      </c>
      <c r="H2691" t="n">
        <v>5753</v>
      </c>
      <c r="I2691" t="n">
        <v>6004.07</v>
      </c>
      <c r="J2691" t="n">
        <v>1</v>
      </c>
      <c r="K2691" t="inlineStr">
        <is>
          <t>续持原仓（2024-01-19开）</t>
        </is>
      </c>
    </row>
    <row r="2692">
      <c r="A2692" t="inlineStr">
        <is>
          <t>2024-01-22</t>
        </is>
      </c>
      <c r="B2692" t="inlineStr">
        <is>
          <t>沪铝</t>
        </is>
      </c>
      <c r="C2692" t="inlineStr">
        <is>
          <t>空</t>
        </is>
      </c>
      <c r="D2692" t="n">
        <v>2</v>
      </c>
      <c r="E2692" t="n">
        <v>5</v>
      </c>
      <c r="F2692" t="inlineStr">
        <is>
          <t>影子仓</t>
        </is>
      </c>
      <c r="G2692" t="n">
        <v>3</v>
      </c>
      <c r="H2692" t="n">
        <v>18695</v>
      </c>
      <c r="I2692" t="n">
        <v>19269.29</v>
      </c>
      <c r="J2692" t="n">
        <v>1</v>
      </c>
      <c r="K2692" t="inlineStr">
        <is>
          <t>凯利≤0，开1%影子仓（只统计，不计入组合）</t>
        </is>
      </c>
    </row>
    <row r="2693">
      <c r="A2693" t="inlineStr">
        <is>
          <t>2024-01-22</t>
        </is>
      </c>
      <c r="B2693" t="inlineStr">
        <is>
          <t>螺纹钢</t>
        </is>
      </c>
      <c r="C2693" t="inlineStr">
        <is>
          <t>空</t>
        </is>
      </c>
      <c r="D2693" t="n">
        <v>2</v>
      </c>
      <c r="E2693" t="n">
        <v>5</v>
      </c>
      <c r="F2693" t="inlineStr">
        <is>
          <t>观望</t>
        </is>
      </c>
      <c r="G2693" t="n">
        <v>6</v>
      </c>
      <c r="H2693" t="n">
        <v>3902</v>
      </c>
      <c r="I2693" t="n">
        <v>4048.57</v>
      </c>
      <c r="J2693" t="n">
        <v>1</v>
      </c>
      <c r="K2693" t="inlineStr">
        <is>
          <t>逆5日线（收盘在5日线上，不追空）</t>
        </is>
      </c>
    </row>
    <row r="2694">
      <c r="A2694" t="inlineStr">
        <is>
          <t>2024-01-22</t>
        </is>
      </c>
      <c r="B2694" t="inlineStr">
        <is>
          <t>玉米</t>
        </is>
      </c>
      <c r="C2694" t="inlineStr">
        <is>
          <t>空</t>
        </is>
      </c>
      <c r="D2694" t="n">
        <v>2</v>
      </c>
      <c r="E2694" t="n">
        <v>5</v>
      </c>
      <c r="F2694" t="inlineStr">
        <is>
          <t>影子仓</t>
        </is>
      </c>
      <c r="G2694" t="n">
        <v>10</v>
      </c>
      <c r="H2694" t="n">
        <v>2323</v>
      </c>
      <c r="I2694" t="n">
        <v>2420.07</v>
      </c>
      <c r="J2694" t="n">
        <v>1</v>
      </c>
      <c r="K2694" t="inlineStr">
        <is>
          <t>凯利≤0，开1%影子仓（只统计，不计入组合）</t>
        </is>
      </c>
    </row>
    <row r="2695">
      <c r="A2695" t="inlineStr">
        <is>
          <t>2024-01-22</t>
        </is>
      </c>
      <c r="B2695" t="inlineStr">
        <is>
          <t>苯乙烯</t>
        </is>
      </c>
      <c r="C2695" t="inlineStr">
        <is>
          <t>多</t>
        </is>
      </c>
      <c r="D2695" t="n">
        <v>2</v>
      </c>
      <c r="E2695" t="n">
        <v>4</v>
      </c>
      <c r="F2695" t="inlineStr">
        <is>
          <t>影子仓</t>
        </is>
      </c>
      <c r="G2695" t="n">
        <v>3</v>
      </c>
      <c r="H2695" t="n">
        <v>8830</v>
      </c>
      <c r="I2695" t="n">
        <v>8317</v>
      </c>
      <c r="J2695" t="n">
        <v>1</v>
      </c>
      <c r="K2695" t="inlineStr">
        <is>
          <t>凯利≤0，开1%影子仓（只统计，不计入组合）</t>
        </is>
      </c>
    </row>
    <row r="2696">
      <c r="A2696" t="inlineStr">
        <is>
          <t>2024-01-23</t>
        </is>
      </c>
      <c r="B2696" t="inlineStr">
        <is>
          <t>菜粕</t>
        </is>
      </c>
      <c r="C2696" t="inlineStr">
        <is>
          <t>空</t>
        </is>
      </c>
      <c r="D2696" t="n">
        <v>3</v>
      </c>
      <c r="E2696" t="n">
        <v>6</v>
      </c>
      <c r="F2696" t="inlineStr">
        <is>
          <t>续持</t>
        </is>
      </c>
      <c r="G2696" t="n">
        <v>10</v>
      </c>
      <c r="H2696" t="n">
        <v>2529</v>
      </c>
      <c r="I2696" t="n">
        <v>2658.93</v>
      </c>
      <c r="J2696" t="n">
        <v>1.73</v>
      </c>
      <c r="K2696" t="inlineStr">
        <is>
          <t>续持原仓（2024-01-17开）</t>
        </is>
      </c>
    </row>
    <row r="2697">
      <c r="A2697" t="inlineStr">
        <is>
          <t>2024-01-23</t>
        </is>
      </c>
      <c r="B2697" t="inlineStr">
        <is>
          <t>沪铜</t>
        </is>
      </c>
      <c r="C2697" t="inlineStr">
        <is>
          <t>空</t>
        </is>
      </c>
      <c r="D2697" t="n">
        <v>3</v>
      </c>
      <c r="E2697" t="n">
        <v>6</v>
      </c>
      <c r="F2697" t="inlineStr">
        <is>
          <t>观望</t>
        </is>
      </c>
      <c r="G2697" t="n">
        <v>2</v>
      </c>
      <c r="H2697" t="n">
        <v>68110</v>
      </c>
      <c r="I2697" t="n">
        <v>69517.86</v>
      </c>
      <c r="J2697" t="n">
        <v>1.78</v>
      </c>
      <c r="K2697" t="inlineStr">
        <is>
          <t>逆5日线（收盘在5日线上，不追空）</t>
        </is>
      </c>
    </row>
    <row r="2698">
      <c r="A2698" t="inlineStr">
        <is>
          <t>2024-01-23</t>
        </is>
      </c>
      <c r="B2698" t="inlineStr">
        <is>
          <t>豆粕</t>
        </is>
      </c>
      <c r="C2698" t="inlineStr">
        <is>
          <t>空</t>
        </is>
      </c>
      <c r="D2698" t="n">
        <v>2</v>
      </c>
      <c r="E2698" t="n">
        <v>5</v>
      </c>
      <c r="F2698" t="inlineStr">
        <is>
          <t>观望</t>
        </is>
      </c>
      <c r="G2698" t="n">
        <v>7</v>
      </c>
      <c r="H2698" t="n">
        <v>3047</v>
      </c>
      <c r="I2698" t="n">
        <v>3188.43</v>
      </c>
      <c r="J2698" t="n">
        <v>1</v>
      </c>
      <c r="K2698" t="inlineStr">
        <is>
          <t>逆5日线（收盘在5日线上，不追空）</t>
        </is>
      </c>
    </row>
    <row r="2699">
      <c r="A2699" t="inlineStr">
        <is>
          <t>2024-01-23</t>
        </is>
      </c>
      <c r="B2699" t="inlineStr">
        <is>
          <t>沪铝</t>
        </is>
      </c>
      <c r="C2699" t="inlineStr">
        <is>
          <t>空</t>
        </is>
      </c>
      <c r="D2699" t="n">
        <v>2</v>
      </c>
      <c r="E2699" t="n">
        <v>5</v>
      </c>
      <c r="F2699" t="inlineStr">
        <is>
          <t>续持</t>
        </is>
      </c>
      <c r="G2699" t="n">
        <v>3</v>
      </c>
      <c r="H2699" t="n">
        <v>18675</v>
      </c>
      <c r="I2699" t="n">
        <v>19101.79</v>
      </c>
      <c r="J2699" t="n">
        <v>1</v>
      </c>
      <c r="K2699" t="inlineStr">
        <is>
          <t>续持原仓（2024-01-22开）</t>
        </is>
      </c>
    </row>
    <row r="2700">
      <c r="A2700" t="inlineStr">
        <is>
          <t>2024-01-23</t>
        </is>
      </c>
      <c r="B2700" t="inlineStr">
        <is>
          <t>苯乙烯</t>
        </is>
      </c>
      <c r="C2700" t="inlineStr">
        <is>
          <t>多</t>
        </is>
      </c>
      <c r="D2700" t="n">
        <v>2</v>
      </c>
      <c r="E2700" t="n">
        <v>4</v>
      </c>
      <c r="F2700" t="inlineStr">
        <is>
          <t>续持</t>
        </is>
      </c>
      <c r="G2700" t="n">
        <v>3</v>
      </c>
      <c r="H2700" t="n">
        <v>8894</v>
      </c>
      <c r="I2700" t="n">
        <v>8390.790000000001</v>
      </c>
      <c r="J2700" t="n">
        <v>1</v>
      </c>
      <c r="K2700" t="inlineStr">
        <is>
          <t>续持原仓（2024-01-22开）</t>
        </is>
      </c>
    </row>
    <row r="2701">
      <c r="A2701" t="inlineStr">
        <is>
          <t>2024-01-24</t>
        </is>
      </c>
      <c r="B2701" t="inlineStr">
        <is>
          <t>沪铜</t>
        </is>
      </c>
      <c r="C2701" t="inlineStr">
        <is>
          <t>空</t>
        </is>
      </c>
      <c r="D2701" t="n">
        <v>3</v>
      </c>
      <c r="E2701" t="n">
        <v>6</v>
      </c>
      <c r="F2701" t="inlineStr">
        <is>
          <t>观望</t>
        </is>
      </c>
      <c r="G2701" t="n">
        <v>2</v>
      </c>
      <c r="H2701" t="n">
        <v>68380</v>
      </c>
      <c r="I2701" t="n">
        <v>69772.86</v>
      </c>
      <c r="J2701" t="n">
        <v>1.79</v>
      </c>
      <c r="K2701" t="inlineStr">
        <is>
          <t>逆5日线（收盘在5日线上，不追空）</t>
        </is>
      </c>
    </row>
    <row r="2702">
      <c r="A2702" t="inlineStr">
        <is>
          <t>2024-01-24</t>
        </is>
      </c>
      <c r="B2702" t="inlineStr">
        <is>
          <t>白糖</t>
        </is>
      </c>
      <c r="C2702" t="inlineStr">
        <is>
          <t>多</t>
        </is>
      </c>
      <c r="D2702" t="n">
        <v>3</v>
      </c>
      <c r="E2702" t="n">
        <v>6</v>
      </c>
      <c r="F2702" t="inlineStr">
        <is>
          <t>开仓</t>
        </is>
      </c>
      <c r="G2702" t="n">
        <v>9</v>
      </c>
      <c r="H2702" t="n">
        <v>6474</v>
      </c>
      <c r="I2702" t="n">
        <v>6284.79</v>
      </c>
      <c r="J2702" t="n">
        <v>1.79</v>
      </c>
      <c r="K2702" t="inlineStr">
        <is>
          <t>¼凯利</t>
        </is>
      </c>
    </row>
    <row r="2703">
      <c r="A2703" t="inlineStr">
        <is>
          <t>2024-01-24</t>
        </is>
      </c>
      <c r="B2703" t="inlineStr">
        <is>
          <t>PTA</t>
        </is>
      </c>
      <c r="C2703" t="inlineStr">
        <is>
          <t>多</t>
        </is>
      </c>
      <c r="D2703" t="n">
        <v>3</v>
      </c>
      <c r="E2703" t="n">
        <v>6</v>
      </c>
      <c r="F2703" t="inlineStr">
        <is>
          <t>开仓</t>
        </is>
      </c>
      <c r="G2703" t="n">
        <v>13</v>
      </c>
      <c r="H2703" t="n">
        <v>6028</v>
      </c>
      <c r="I2703" t="n">
        <v>5770.43</v>
      </c>
      <c r="J2703" t="n">
        <v>1.79</v>
      </c>
      <c r="K2703" t="inlineStr">
        <is>
          <t>¼凯利</t>
        </is>
      </c>
    </row>
    <row r="2704">
      <c r="A2704" t="inlineStr">
        <is>
          <t>2024-01-25</t>
        </is>
      </c>
      <c r="B2704" t="inlineStr">
        <is>
          <t>菜粕</t>
        </is>
      </c>
      <c r="C2704" t="inlineStr">
        <is>
          <t>空</t>
        </is>
      </c>
      <c r="D2704" t="n">
        <v>3</v>
      </c>
      <c r="E2704" t="n">
        <v>7</v>
      </c>
      <c r="F2704" t="inlineStr">
        <is>
          <t>开仓</t>
        </is>
      </c>
      <c r="G2704" t="n">
        <v>11</v>
      </c>
      <c r="H2704" t="n">
        <v>2528</v>
      </c>
      <c r="I2704" t="n">
        <v>2676.29</v>
      </c>
      <c r="J2704" t="n">
        <v>1.77</v>
      </c>
      <c r="K2704" t="inlineStr">
        <is>
          <t>¼凯利</t>
        </is>
      </c>
    </row>
    <row r="2705">
      <c r="A2705" t="inlineStr">
        <is>
          <t>2024-01-25</t>
        </is>
      </c>
      <c r="B2705" t="inlineStr">
        <is>
          <t>豆粕</t>
        </is>
      </c>
      <c r="C2705" t="inlineStr">
        <is>
          <t>空</t>
        </is>
      </c>
      <c r="D2705" t="n">
        <v>3</v>
      </c>
      <c r="E2705" t="n">
        <v>7</v>
      </c>
      <c r="F2705" t="inlineStr">
        <is>
          <t>观望</t>
        </is>
      </c>
      <c r="G2705" t="n">
        <v>8</v>
      </c>
      <c r="H2705" t="n">
        <v>3050</v>
      </c>
      <c r="I2705" t="n">
        <v>3190.14</v>
      </c>
      <c r="J2705" t="n">
        <v>1.23</v>
      </c>
      <c r="K2705" t="inlineStr">
        <is>
          <t>逆5日线（收盘在5日线上，不追空）</t>
        </is>
      </c>
    </row>
    <row r="2706">
      <c r="A2706" t="inlineStr">
        <is>
          <t>2024-01-25</t>
        </is>
      </c>
      <c r="B2706" t="inlineStr">
        <is>
          <t>白糖</t>
        </is>
      </c>
      <c r="C2706" t="inlineStr">
        <is>
          <t>多</t>
        </is>
      </c>
      <c r="D2706" t="n">
        <v>3</v>
      </c>
      <c r="E2706" t="n">
        <v>7</v>
      </c>
      <c r="F2706" t="inlineStr">
        <is>
          <t>续持</t>
        </is>
      </c>
      <c r="G2706" t="n">
        <v>9</v>
      </c>
      <c r="H2706" t="n">
        <v>6506</v>
      </c>
      <c r="I2706" t="n">
        <v>6330.07</v>
      </c>
      <c r="J2706" t="n">
        <v>1.79</v>
      </c>
      <c r="K2706" t="inlineStr">
        <is>
          <t>续持原仓（2024-01-24开）</t>
        </is>
      </c>
    </row>
    <row r="2707">
      <c r="A2707" t="inlineStr">
        <is>
          <t>2024-01-25</t>
        </is>
      </c>
      <c r="B2707" t="inlineStr">
        <is>
          <t>燃料油</t>
        </is>
      </c>
      <c r="C2707" t="inlineStr">
        <is>
          <t>多</t>
        </is>
      </c>
      <c r="D2707" t="n">
        <v>2</v>
      </c>
      <c r="E2707" t="n">
        <v>4</v>
      </c>
      <c r="F2707" t="inlineStr">
        <is>
          <t>观望</t>
        </is>
      </c>
      <c r="G2707" t="n">
        <v>4</v>
      </c>
      <c r="H2707" t="n">
        <v>2998</v>
      </c>
      <c r="I2707" t="n">
        <v>2787.14</v>
      </c>
      <c r="J2707" t="n">
        <v>1</v>
      </c>
      <c r="K2707" t="inlineStr">
        <is>
          <t>逆5日线（收盘在5日线下，不追多）</t>
        </is>
      </c>
    </row>
    <row r="2708">
      <c r="A2708" t="inlineStr">
        <is>
          <t>2024-01-26</t>
        </is>
      </c>
      <c r="B2708" t="inlineStr">
        <is>
          <t>菜粕</t>
        </is>
      </c>
      <c r="C2708" t="inlineStr">
        <is>
          <t>空</t>
        </is>
      </c>
      <c r="D2708" t="n">
        <v>3</v>
      </c>
      <c r="E2708" t="n">
        <v>7</v>
      </c>
      <c r="F2708" t="inlineStr">
        <is>
          <t>续持</t>
        </is>
      </c>
      <c r="G2708" t="n">
        <v>11</v>
      </c>
      <c r="H2708" t="n">
        <v>2509</v>
      </c>
      <c r="I2708" t="n">
        <v>2646.64</v>
      </c>
      <c r="J2708" t="n">
        <v>1.77</v>
      </c>
      <c r="K2708" t="inlineStr">
        <is>
          <t>续持原仓（2024-01-25开）</t>
        </is>
      </c>
    </row>
    <row r="2709">
      <c r="A2709" t="inlineStr">
        <is>
          <t>2024-01-26</t>
        </is>
      </c>
      <c r="B2709" t="inlineStr">
        <is>
          <t>豆粕</t>
        </is>
      </c>
      <c r="C2709" t="inlineStr">
        <is>
          <t>空</t>
        </is>
      </c>
      <c r="D2709" t="n">
        <v>3</v>
      </c>
      <c r="E2709" t="n">
        <v>7</v>
      </c>
      <c r="F2709" t="inlineStr">
        <is>
          <t>开仓</t>
        </is>
      </c>
      <c r="G2709" t="n">
        <v>8</v>
      </c>
      <c r="H2709" t="n">
        <v>3007</v>
      </c>
      <c r="I2709" t="n">
        <v>3147.36</v>
      </c>
      <c r="J2709" t="n">
        <v>1.23</v>
      </c>
      <c r="K2709" t="inlineStr">
        <is>
          <t>与菜粕高度相关（同组≤3%），预算缩小</t>
        </is>
      </c>
    </row>
    <row r="2710">
      <c r="A2710" t="inlineStr">
        <is>
          <t>2024-01-26</t>
        </is>
      </c>
      <c r="B2710" t="inlineStr">
        <is>
          <t>PTA</t>
        </is>
      </c>
      <c r="C2710" t="inlineStr">
        <is>
          <t>多</t>
        </is>
      </c>
      <c r="D2710" t="n">
        <v>2</v>
      </c>
      <c r="E2710" t="n">
        <v>5</v>
      </c>
      <c r="F2710" t="inlineStr">
        <is>
          <t>影子仓</t>
        </is>
      </c>
      <c r="G2710" t="n">
        <v>8</v>
      </c>
      <c r="H2710" t="n">
        <v>6040</v>
      </c>
      <c r="I2710" t="n">
        <v>5805.14</v>
      </c>
      <c r="J2710" t="n">
        <v>1</v>
      </c>
      <c r="K2710" t="inlineStr">
        <is>
          <t>凯利≤0，开1%影子仓（只统计，不计入组合）</t>
        </is>
      </c>
    </row>
    <row r="2711">
      <c r="A2711" t="inlineStr">
        <is>
          <t>2024-01-26</t>
        </is>
      </c>
      <c r="B2711" t="inlineStr">
        <is>
          <t>沪锌</t>
        </is>
      </c>
      <c r="C2711" t="inlineStr">
        <is>
          <t>空</t>
        </is>
      </c>
      <c r="D2711" t="n">
        <v>2</v>
      </c>
      <c r="E2711" t="n">
        <v>4</v>
      </c>
      <c r="F2711" t="inlineStr">
        <is>
          <t>观望</t>
        </is>
      </c>
      <c r="G2711" t="n">
        <v>3</v>
      </c>
      <c r="H2711" t="n">
        <v>21410</v>
      </c>
      <c r="I2711" t="n">
        <v>22074.29</v>
      </c>
      <c r="J2711" t="n">
        <v>1</v>
      </c>
      <c r="K2711" t="inlineStr">
        <is>
          <t>逆5日线（收盘在5日线上，不追空）</t>
        </is>
      </c>
    </row>
    <row r="2712">
      <c r="A2712" t="inlineStr">
        <is>
          <t>2024-01-26</t>
        </is>
      </c>
      <c r="B2712" t="inlineStr">
        <is>
          <t>沪镍</t>
        </is>
      </c>
      <c r="C2712" t="inlineStr">
        <is>
          <t>多</t>
        </is>
      </c>
      <c r="D2712" t="n">
        <v>2</v>
      </c>
      <c r="E2712" t="n">
        <v>4</v>
      </c>
      <c r="F2712" t="inlineStr">
        <is>
          <t>影子仓</t>
        </is>
      </c>
      <c r="G2712" t="n">
        <v>1</v>
      </c>
      <c r="H2712" t="n">
        <v>130400</v>
      </c>
      <c r="I2712" t="n">
        <v>122428.57</v>
      </c>
      <c r="J2712" t="n">
        <v>1</v>
      </c>
      <c r="K2712" t="inlineStr">
        <is>
          <t>凯利≤0，开1%影子仓（只统计，不计入组合）</t>
        </is>
      </c>
    </row>
    <row r="2713">
      <c r="A2713" t="inlineStr">
        <is>
          <t>2024-01-29</t>
        </is>
      </c>
      <c r="B2713" t="inlineStr">
        <is>
          <t>菜粕</t>
        </is>
      </c>
      <c r="C2713" t="inlineStr">
        <is>
          <t>空</t>
        </is>
      </c>
      <c r="D2713" t="n">
        <v>3</v>
      </c>
      <c r="E2713" t="n">
        <v>6</v>
      </c>
      <c r="F2713" t="inlineStr">
        <is>
          <t>续持</t>
        </is>
      </c>
      <c r="G2713" t="n">
        <v>11</v>
      </c>
      <c r="H2713" t="n">
        <v>2451</v>
      </c>
      <c r="I2713" t="n">
        <v>2586</v>
      </c>
      <c r="J2713" t="n">
        <v>1.77</v>
      </c>
      <c r="K2713" t="inlineStr">
        <is>
          <t>续持原仓（2024-01-25开）</t>
        </is>
      </c>
    </row>
    <row r="2714">
      <c r="A2714" t="inlineStr">
        <is>
          <t>2024-01-29</t>
        </is>
      </c>
      <c r="B2714" t="inlineStr">
        <is>
          <t>白糖</t>
        </is>
      </c>
      <c r="C2714" t="inlineStr">
        <is>
          <t>多</t>
        </is>
      </c>
      <c r="D2714" t="n">
        <v>3</v>
      </c>
      <c r="E2714" t="n">
        <v>6</v>
      </c>
      <c r="F2714" t="inlineStr">
        <is>
          <t>开仓</t>
        </is>
      </c>
      <c r="G2714" t="n">
        <v>8</v>
      </c>
      <c r="H2714" t="n">
        <v>6473</v>
      </c>
      <c r="I2714" t="n">
        <v>6263.21</v>
      </c>
      <c r="J2714" t="n">
        <v>1.76</v>
      </c>
      <c r="K2714" t="inlineStr">
        <is>
          <t>¼凯利</t>
        </is>
      </c>
    </row>
    <row r="2715">
      <c r="A2715" t="inlineStr">
        <is>
          <t>2024-01-29</t>
        </is>
      </c>
      <c r="B2715" t="inlineStr">
        <is>
          <t>玻璃</t>
        </is>
      </c>
      <c r="C2715" t="inlineStr">
        <is>
          <t>多</t>
        </is>
      </c>
      <c r="D2715" t="n">
        <v>2</v>
      </c>
      <c r="E2715" t="n">
        <v>4</v>
      </c>
      <c r="F2715" t="inlineStr">
        <is>
          <t>影子仓</t>
        </is>
      </c>
      <c r="G2715" t="n">
        <v>2</v>
      </c>
      <c r="H2715" t="n">
        <v>1864</v>
      </c>
      <c r="I2715" t="n">
        <v>1691.07</v>
      </c>
      <c r="J2715" t="n">
        <v>1</v>
      </c>
      <c r="K2715" t="inlineStr">
        <is>
          <t>凯利≤0，开1%影子仓（只统计，不计入组合）</t>
        </is>
      </c>
    </row>
    <row r="2716">
      <c r="A2716" t="inlineStr">
        <is>
          <t>2024-01-29</t>
        </is>
      </c>
      <c r="B2716" t="inlineStr">
        <is>
          <t>沪锌</t>
        </is>
      </c>
      <c r="C2716" t="inlineStr">
        <is>
          <t>空</t>
        </is>
      </c>
      <c r="D2716" t="n">
        <v>2</v>
      </c>
      <c r="E2716" t="n">
        <v>4</v>
      </c>
      <c r="F2716" t="inlineStr">
        <is>
          <t>观望</t>
        </is>
      </c>
      <c r="G2716" t="n">
        <v>3</v>
      </c>
      <c r="H2716" t="n">
        <v>21395</v>
      </c>
      <c r="I2716" t="n">
        <v>22047.5</v>
      </c>
      <c r="J2716" t="n">
        <v>1</v>
      </c>
      <c r="K2716" t="inlineStr">
        <is>
          <t>逆5日线（收盘在5日线上，不追空）</t>
        </is>
      </c>
    </row>
    <row r="2717">
      <c r="A2717" t="inlineStr">
        <is>
          <t>2024-01-29</t>
        </is>
      </c>
      <c r="B2717" t="inlineStr">
        <is>
          <t>沪银</t>
        </is>
      </c>
      <c r="C2717" t="inlineStr">
        <is>
          <t>多</t>
        </is>
      </c>
      <c r="D2717" t="n">
        <v>2</v>
      </c>
      <c r="E2717" t="n">
        <v>4</v>
      </c>
      <c r="F2717" t="inlineStr">
        <is>
          <t>影子仓</t>
        </is>
      </c>
      <c r="G2717" t="n">
        <v>3</v>
      </c>
      <c r="H2717" t="n">
        <v>5930</v>
      </c>
      <c r="I2717" t="n">
        <v>5709.5</v>
      </c>
      <c r="J2717" t="n">
        <v>1</v>
      </c>
      <c r="K2717" t="inlineStr">
        <is>
          <t>凯利≤0，开1%影子仓（只统计，不计入组合）</t>
        </is>
      </c>
    </row>
    <row r="2718">
      <c r="A2718" t="inlineStr">
        <is>
          <t>2024-01-30</t>
        </is>
      </c>
      <c r="B2718" t="inlineStr">
        <is>
          <t>豆粕</t>
        </is>
      </c>
      <c r="C2718" t="inlineStr">
        <is>
          <t>空</t>
        </is>
      </c>
      <c r="D2718" t="n">
        <v>3</v>
      </c>
      <c r="E2718" t="n">
        <v>6</v>
      </c>
      <c r="F2718" t="inlineStr">
        <is>
          <t>开仓</t>
        </is>
      </c>
      <c r="G2718" t="n">
        <v>12</v>
      </c>
      <c r="H2718" t="n">
        <v>2944</v>
      </c>
      <c r="I2718" t="n">
        <v>3093.57</v>
      </c>
      <c r="J2718" t="n">
        <v>1.8</v>
      </c>
      <c r="K2718" t="inlineStr">
        <is>
          <t>¼凯利</t>
        </is>
      </c>
    </row>
    <row r="2719">
      <c r="A2719" t="inlineStr">
        <is>
          <t>2024-01-30</t>
        </is>
      </c>
      <c r="B2719" t="inlineStr">
        <is>
          <t>沪银</t>
        </is>
      </c>
      <c r="C2719" t="inlineStr">
        <is>
          <t>多</t>
        </is>
      </c>
      <c r="D2719" t="n">
        <v>3</v>
      </c>
      <c r="E2719" t="n">
        <v>6</v>
      </c>
      <c r="F2719" t="inlineStr">
        <is>
          <t>续持</t>
        </is>
      </c>
      <c r="G2719" t="n">
        <v>3</v>
      </c>
      <c r="H2719" t="n">
        <v>5968</v>
      </c>
      <c r="I2719" t="n">
        <v>5755.21</v>
      </c>
      <c r="J2719" t="n">
        <v>1</v>
      </c>
      <c r="K2719" t="inlineStr">
        <is>
          <t>续持原仓（2024-01-29开）</t>
        </is>
      </c>
    </row>
    <row r="2720">
      <c r="A2720" t="inlineStr">
        <is>
          <t>2024-01-30</t>
        </is>
      </c>
      <c r="B2720" t="inlineStr">
        <is>
          <t>沪铝</t>
        </is>
      </c>
      <c r="C2720" t="inlineStr">
        <is>
          <t>空</t>
        </is>
      </c>
      <c r="D2720" t="n">
        <v>2</v>
      </c>
      <c r="E2720" t="n">
        <v>5</v>
      </c>
      <c r="F2720" t="inlineStr">
        <is>
          <t>影子仓</t>
        </is>
      </c>
      <c r="G2720" t="n">
        <v>3</v>
      </c>
      <c r="H2720" t="n">
        <v>18950</v>
      </c>
      <c r="I2720" t="n">
        <v>19530.71</v>
      </c>
      <c r="J2720" t="n">
        <v>1</v>
      </c>
      <c r="K2720" t="inlineStr">
        <is>
          <t>凯利≤0，开1%影子仓（只统计，不计入组合）</t>
        </is>
      </c>
    </row>
    <row r="2721">
      <c r="A2721" t="inlineStr">
        <is>
          <t>2024-01-30</t>
        </is>
      </c>
      <c r="B2721" t="inlineStr">
        <is>
          <t>白糖</t>
        </is>
      </c>
      <c r="C2721" t="inlineStr">
        <is>
          <t>多</t>
        </is>
      </c>
      <c r="D2721" t="n">
        <v>2</v>
      </c>
      <c r="E2721" t="n">
        <v>4</v>
      </c>
      <c r="F2721" t="inlineStr">
        <is>
          <t>观望</t>
        </is>
      </c>
      <c r="G2721" t="n">
        <v>5</v>
      </c>
      <c r="H2721" t="n">
        <v>6439</v>
      </c>
      <c r="I2721" t="n">
        <v>6245.07</v>
      </c>
      <c r="J2721" t="n">
        <v>1</v>
      </c>
      <c r="K2721" t="inlineStr">
        <is>
          <t>逆5日线（收盘在5日线下，不追多）</t>
        </is>
      </c>
    </row>
    <row r="2722">
      <c r="A2722" t="inlineStr">
        <is>
          <t>2024-01-30</t>
        </is>
      </c>
      <c r="B2722" t="inlineStr">
        <is>
          <t>PTA</t>
        </is>
      </c>
      <c r="C2722" t="inlineStr">
        <is>
          <t>多</t>
        </is>
      </c>
      <c r="D2722" t="n">
        <v>2</v>
      </c>
      <c r="E2722" t="n">
        <v>4</v>
      </c>
      <c r="F2722" t="inlineStr">
        <is>
          <t>观望</t>
        </is>
      </c>
      <c r="G2722" t="n">
        <v>8</v>
      </c>
      <c r="H2722" t="n">
        <v>6014</v>
      </c>
      <c r="I2722" t="n">
        <v>5781.71</v>
      </c>
      <c r="J2722" t="n">
        <v>1</v>
      </c>
      <c r="K2722" t="inlineStr">
        <is>
          <t>逆5日线（收盘在5日线下，不追多）</t>
        </is>
      </c>
    </row>
    <row r="2723">
      <c r="A2723" t="inlineStr">
        <is>
          <t>2024-01-30</t>
        </is>
      </c>
      <c r="B2723" t="inlineStr">
        <is>
          <t>豆油</t>
        </is>
      </c>
      <c r="C2723" t="inlineStr">
        <is>
          <t>空</t>
        </is>
      </c>
      <c r="D2723" t="n">
        <v>2</v>
      </c>
      <c r="E2723" t="n">
        <v>4</v>
      </c>
      <c r="F2723" t="inlineStr">
        <is>
          <t>影子仓</t>
        </is>
      </c>
      <c r="G2723" t="n">
        <v>2</v>
      </c>
      <c r="H2723" t="n">
        <v>7204</v>
      </c>
      <c r="I2723" t="n">
        <v>7586.29</v>
      </c>
      <c r="J2723" t="n">
        <v>1</v>
      </c>
      <c r="K2723" t="inlineStr">
        <is>
          <t>凯利≤0，开1%影子仓（只统计，不计入组合）</t>
        </is>
      </c>
    </row>
    <row r="2724">
      <c r="A2724" t="inlineStr">
        <is>
          <t>2024-01-31</t>
        </is>
      </c>
      <c r="B2724" t="inlineStr">
        <is>
          <t>白糖</t>
        </is>
      </c>
      <c r="C2724" t="inlineStr">
        <is>
          <t>多</t>
        </is>
      </c>
      <c r="D2724" t="n">
        <v>3</v>
      </c>
      <c r="E2724" t="n">
        <v>6</v>
      </c>
      <c r="F2724" t="inlineStr">
        <is>
          <t>观望</t>
        </is>
      </c>
      <c r="G2724" t="n">
        <v>6</v>
      </c>
      <c r="H2724" t="n">
        <v>6461</v>
      </c>
      <c r="I2724" t="n">
        <v>6270.29</v>
      </c>
      <c r="J2724" t="n">
        <v>1.24</v>
      </c>
      <c r="K2724" t="inlineStr">
        <is>
          <t>逆5日线（收盘在5日线下，不追多）</t>
        </is>
      </c>
    </row>
    <row r="2725">
      <c r="A2725" t="inlineStr">
        <is>
          <t>2024-01-31</t>
        </is>
      </c>
      <c r="B2725" t="inlineStr">
        <is>
          <t>沪铜</t>
        </is>
      </c>
      <c r="C2725" t="inlineStr">
        <is>
          <t>多</t>
        </is>
      </c>
      <c r="D2725" t="n">
        <v>2</v>
      </c>
      <c r="E2725" t="n">
        <v>5</v>
      </c>
      <c r="F2725" t="inlineStr">
        <is>
          <t>影子仓</t>
        </is>
      </c>
      <c r="G2725" t="n">
        <v>1</v>
      </c>
      <c r="H2725" t="n">
        <v>69350</v>
      </c>
      <c r="I2725" t="n">
        <v>67972.14</v>
      </c>
      <c r="J2725" t="n">
        <v>1</v>
      </c>
      <c r="K2725" t="inlineStr">
        <is>
          <t>凯利≤0，开1%影子仓（只统计，不计入组合）</t>
        </is>
      </c>
    </row>
    <row r="2726">
      <c r="A2726" t="inlineStr">
        <is>
          <t>2024-01-31</t>
        </is>
      </c>
      <c r="B2726" t="inlineStr">
        <is>
          <t>热卷</t>
        </is>
      </c>
      <c r="C2726" t="inlineStr">
        <is>
          <t>空</t>
        </is>
      </c>
      <c r="D2726" t="n">
        <v>2</v>
      </c>
      <c r="E2726" t="n">
        <v>5</v>
      </c>
      <c r="F2726" t="inlineStr">
        <is>
          <t>影子仓</t>
        </is>
      </c>
      <c r="G2726" t="n">
        <v>7</v>
      </c>
      <c r="H2726" t="n">
        <v>4005</v>
      </c>
      <c r="I2726" t="n">
        <v>4133.79</v>
      </c>
      <c r="J2726" t="n">
        <v>1</v>
      </c>
      <c r="K2726" t="inlineStr">
        <is>
          <t>凯利≤0，开1%影子仓（只统计，不计入组合）</t>
        </is>
      </c>
    </row>
    <row r="2727">
      <c r="A2727" t="inlineStr">
        <is>
          <t>2024-01-31</t>
        </is>
      </c>
      <c r="B2727" t="inlineStr">
        <is>
          <t>沪镍</t>
        </is>
      </c>
      <c r="C2727" t="inlineStr">
        <is>
          <t>多</t>
        </is>
      </c>
      <c r="D2727" t="n">
        <v>2</v>
      </c>
      <c r="E2727" t="n">
        <v>4</v>
      </c>
      <c r="F2727" t="inlineStr">
        <is>
          <t>观望</t>
        </is>
      </c>
      <c r="G2727" t="n">
        <v>1</v>
      </c>
      <c r="H2727" t="n">
        <v>126990</v>
      </c>
      <c r="I2727" t="n">
        <v>119213.57</v>
      </c>
      <c r="J2727" t="n">
        <v>1</v>
      </c>
      <c r="K2727" t="inlineStr">
        <is>
          <t>逆5日线（收盘在5日线下，不追多）</t>
        </is>
      </c>
    </row>
    <row r="2728">
      <c r="A2728" t="inlineStr">
        <is>
          <t>2024-02-01</t>
        </is>
      </c>
      <c r="B2728" t="inlineStr">
        <is>
          <t>苯乙烯</t>
        </is>
      </c>
      <c r="C2728" t="inlineStr">
        <is>
          <t>多</t>
        </is>
      </c>
      <c r="D2728" t="n">
        <v>3</v>
      </c>
      <c r="E2728" t="n">
        <v>7</v>
      </c>
      <c r="F2728" t="inlineStr">
        <is>
          <t>开仓</t>
        </is>
      </c>
      <c r="G2728" t="n">
        <v>6</v>
      </c>
      <c r="H2728" t="n">
        <v>8826</v>
      </c>
      <c r="I2728" t="n">
        <v>8323.93</v>
      </c>
      <c r="J2728" t="n">
        <v>1.74</v>
      </c>
      <c r="K2728" t="inlineStr">
        <is>
          <t>¼凯利</t>
        </is>
      </c>
    </row>
    <row r="2729">
      <c r="A2729" t="inlineStr">
        <is>
          <t>2024-02-01</t>
        </is>
      </c>
      <c r="B2729" t="inlineStr">
        <is>
          <t>PTA</t>
        </is>
      </c>
      <c r="C2729" t="inlineStr">
        <is>
          <t>多</t>
        </is>
      </c>
      <c r="D2729" t="n">
        <v>2</v>
      </c>
      <c r="E2729" t="n">
        <v>4</v>
      </c>
      <c r="F2729" t="inlineStr">
        <is>
          <t>观望</t>
        </is>
      </c>
      <c r="G2729" t="n">
        <v>8</v>
      </c>
      <c r="H2729" t="n">
        <v>5878</v>
      </c>
      <c r="I2729" t="n">
        <v>5641</v>
      </c>
      <c r="J2729" t="n">
        <v>1</v>
      </c>
      <c r="K2729" t="inlineStr">
        <is>
          <t>逆5日线（收盘在5日线下，不追多）</t>
        </is>
      </c>
    </row>
    <row r="2730">
      <c r="A2730" t="inlineStr">
        <is>
          <t>2024-02-02</t>
        </is>
      </c>
      <c r="B2730" t="inlineStr">
        <is>
          <t>沪金</t>
        </is>
      </c>
      <c r="C2730" t="inlineStr">
        <is>
          <t>多</t>
        </is>
      </c>
      <c r="D2730" t="n">
        <v>3</v>
      </c>
      <c r="E2730" t="n">
        <v>7</v>
      </c>
      <c r="F2730" t="inlineStr">
        <is>
          <t>开仓</t>
        </is>
      </c>
      <c r="G2730" t="n">
        <v>2</v>
      </c>
      <c r="H2730" t="n">
        <v>484.82</v>
      </c>
      <c r="I2730" t="n">
        <v>476.94</v>
      </c>
      <c r="J2730" t="n">
        <v>1.74</v>
      </c>
      <c r="K2730" t="inlineStr">
        <is>
          <t>¼凯利</t>
        </is>
      </c>
    </row>
    <row r="2731">
      <c r="A2731" t="inlineStr">
        <is>
          <t>2024-02-02</t>
        </is>
      </c>
      <c r="B2731" t="inlineStr">
        <is>
          <t>豆粕</t>
        </is>
      </c>
      <c r="C2731" t="inlineStr">
        <is>
          <t>空</t>
        </is>
      </c>
      <c r="D2731" t="n">
        <v>3</v>
      </c>
      <c r="E2731" t="n">
        <v>6</v>
      </c>
      <c r="F2731" t="inlineStr">
        <is>
          <t>观望</t>
        </is>
      </c>
      <c r="G2731" t="n">
        <v>11</v>
      </c>
      <c r="H2731" t="n">
        <v>2997</v>
      </c>
      <c r="I2731" t="n">
        <v>3149.14</v>
      </c>
      <c r="J2731" t="n">
        <v>1.74</v>
      </c>
      <c r="K2731" t="inlineStr">
        <is>
          <t>逆5日线（收盘在5日线上，不追空）</t>
        </is>
      </c>
    </row>
    <row r="2732">
      <c r="A2732" t="inlineStr">
        <is>
          <t>2024-02-02</t>
        </is>
      </c>
      <c r="B2732" t="inlineStr">
        <is>
          <t>苯乙烯</t>
        </is>
      </c>
      <c r="C2732" t="inlineStr">
        <is>
          <t>多</t>
        </is>
      </c>
      <c r="D2732" t="n">
        <v>2</v>
      </c>
      <c r="E2732" t="n">
        <v>5</v>
      </c>
      <c r="F2732" t="inlineStr">
        <is>
          <t>观望</t>
        </is>
      </c>
      <c r="G2732" t="n">
        <v>3</v>
      </c>
      <c r="H2732" t="n">
        <v>8649</v>
      </c>
      <c r="I2732" t="n">
        <v>8133.21</v>
      </c>
      <c r="J2732" t="n">
        <v>1</v>
      </c>
      <c r="K2732" t="inlineStr">
        <is>
          <t>逆5日线（收盘在5日线下，不追多）</t>
        </is>
      </c>
    </row>
    <row r="2733">
      <c r="A2733" t="inlineStr">
        <is>
          <t>2024-02-02</t>
        </is>
      </c>
      <c r="B2733" t="inlineStr">
        <is>
          <t>棕榈油</t>
        </is>
      </c>
      <c r="C2733" t="inlineStr">
        <is>
          <t>空</t>
        </is>
      </c>
      <c r="D2733" t="n">
        <v>2</v>
      </c>
      <c r="E2733" t="n">
        <v>5</v>
      </c>
      <c r="F2733" t="inlineStr">
        <is>
          <t>影子仓</t>
        </is>
      </c>
      <c r="G2733" t="n">
        <v>2</v>
      </c>
      <c r="H2733" t="n">
        <v>7052</v>
      </c>
      <c r="I2733" t="n">
        <v>7467.29</v>
      </c>
      <c r="J2733" t="n">
        <v>1</v>
      </c>
      <c r="K2733" t="inlineStr">
        <is>
          <t>凯利≤0，开1%影子仓（只统计，不计入组合）</t>
        </is>
      </c>
    </row>
    <row r="2734">
      <c r="A2734" t="inlineStr">
        <is>
          <t>2024-02-05</t>
        </is>
      </c>
      <c r="B2734" t="inlineStr">
        <is>
          <t>棕榈油</t>
        </is>
      </c>
      <c r="C2734" t="inlineStr">
        <is>
          <t>空</t>
        </is>
      </c>
      <c r="D2734" t="n">
        <v>3</v>
      </c>
      <c r="E2734" t="n">
        <v>6</v>
      </c>
      <c r="F2734" t="inlineStr">
        <is>
          <t>续持</t>
        </is>
      </c>
      <c r="G2734" t="n">
        <v>2</v>
      </c>
      <c r="H2734" t="n">
        <v>7054</v>
      </c>
      <c r="I2734" t="n">
        <v>7399.71</v>
      </c>
      <c r="J2734" t="n">
        <v>1</v>
      </c>
      <c r="K2734" t="inlineStr">
        <is>
          <t>续持原仓（2024-02-02开）</t>
        </is>
      </c>
    </row>
    <row r="2735">
      <c r="A2735" t="inlineStr">
        <is>
          <t>2024-02-05</t>
        </is>
      </c>
      <c r="B2735" t="inlineStr">
        <is>
          <t>PTA</t>
        </is>
      </c>
      <c r="C2735" t="inlineStr">
        <is>
          <t>多</t>
        </is>
      </c>
      <c r="D2735" t="n">
        <v>2</v>
      </c>
      <c r="E2735" t="n">
        <v>4</v>
      </c>
      <c r="F2735" t="inlineStr">
        <is>
          <t>观望</t>
        </is>
      </c>
      <c r="G2735" t="n">
        <v>8</v>
      </c>
      <c r="H2735" t="n">
        <v>5852</v>
      </c>
      <c r="I2735" t="n">
        <v>5627</v>
      </c>
      <c r="J2735" t="n">
        <v>1</v>
      </c>
      <c r="K2735" t="inlineStr">
        <is>
          <t>逆5日线（收盘在5日线下，不追多）</t>
        </is>
      </c>
    </row>
    <row r="2736">
      <c r="A2736" t="inlineStr">
        <is>
          <t>2024-02-05</t>
        </is>
      </c>
      <c r="B2736" t="inlineStr">
        <is>
          <t>甲醇</t>
        </is>
      </c>
      <c r="C2736" t="inlineStr">
        <is>
          <t>多</t>
        </is>
      </c>
      <c r="D2736" t="n">
        <v>2</v>
      </c>
      <c r="E2736" t="n">
        <v>4</v>
      </c>
      <c r="F2736" t="inlineStr">
        <is>
          <t>观望</t>
        </is>
      </c>
      <c r="G2736" t="n">
        <v>9</v>
      </c>
      <c r="H2736" t="n">
        <v>2453</v>
      </c>
      <c r="I2736" t="n">
        <v>2345.86</v>
      </c>
      <c r="J2736" t="n">
        <v>1</v>
      </c>
      <c r="K2736" t="inlineStr">
        <is>
          <t>逆5日线（收盘在5日线下，不追多）</t>
        </is>
      </c>
    </row>
    <row r="2737">
      <c r="A2737" t="inlineStr">
        <is>
          <t>2024-02-06</t>
        </is>
      </c>
      <c r="B2737" t="inlineStr">
        <is>
          <t>苯乙烯</t>
        </is>
      </c>
      <c r="C2737" t="inlineStr">
        <is>
          <t>多</t>
        </is>
      </c>
      <c r="D2737" t="n">
        <v>3</v>
      </c>
      <c r="E2737" t="n">
        <v>7</v>
      </c>
      <c r="F2737" t="inlineStr">
        <is>
          <t>开仓</t>
        </is>
      </c>
      <c r="G2737" t="n">
        <v>6</v>
      </c>
      <c r="H2737" t="n">
        <v>8906</v>
      </c>
      <c r="I2737" t="n">
        <v>8408</v>
      </c>
      <c r="J2737" t="n">
        <v>1.67</v>
      </c>
      <c r="K2737" t="inlineStr">
        <is>
          <t>¼凯利</t>
        </is>
      </c>
    </row>
    <row r="2738">
      <c r="A2738" t="inlineStr">
        <is>
          <t>2024-02-06</t>
        </is>
      </c>
      <c r="B2738" t="inlineStr">
        <is>
          <t>沪铝</t>
        </is>
      </c>
      <c r="C2738" t="inlineStr">
        <is>
          <t>空</t>
        </is>
      </c>
      <c r="D2738" t="n">
        <v>3</v>
      </c>
      <c r="E2738" t="n">
        <v>6</v>
      </c>
      <c r="F2738" t="inlineStr">
        <is>
          <t>开仓</t>
        </is>
      </c>
      <c r="G2738" t="n">
        <v>5</v>
      </c>
      <c r="H2738" t="n">
        <v>18850</v>
      </c>
      <c r="I2738" t="n">
        <v>19468.21</v>
      </c>
      <c r="J2738" t="n">
        <v>1.67</v>
      </c>
      <c r="K2738" t="inlineStr">
        <is>
          <t>¼凯利</t>
        </is>
      </c>
    </row>
    <row r="2739">
      <c r="A2739" t="inlineStr">
        <is>
          <t>2024-02-06</t>
        </is>
      </c>
      <c r="B2739" t="inlineStr">
        <is>
          <t>白糖</t>
        </is>
      </c>
      <c r="C2739" t="inlineStr">
        <is>
          <t>多</t>
        </is>
      </c>
      <c r="D2739" t="n">
        <v>3</v>
      </c>
      <c r="E2739" t="n">
        <v>6</v>
      </c>
      <c r="F2739" t="inlineStr">
        <is>
          <t>开仓</t>
        </is>
      </c>
      <c r="G2739" t="n">
        <v>8</v>
      </c>
      <c r="H2739" t="n">
        <v>6494</v>
      </c>
      <c r="I2739" t="n">
        <v>6287.86</v>
      </c>
      <c r="J2739" t="n">
        <v>1.67</v>
      </c>
      <c r="K2739" t="inlineStr">
        <is>
          <t>¼凯利</t>
        </is>
      </c>
    </row>
    <row r="2740">
      <c r="A2740" t="inlineStr">
        <is>
          <t>2024-02-06</t>
        </is>
      </c>
      <c r="B2740" t="inlineStr">
        <is>
          <t>PTA</t>
        </is>
      </c>
      <c r="C2740" t="inlineStr">
        <is>
          <t>多</t>
        </is>
      </c>
      <c r="D2740" t="n">
        <v>2</v>
      </c>
      <c r="E2740" t="n">
        <v>5</v>
      </c>
      <c r="F2740" t="inlineStr">
        <is>
          <t>观望</t>
        </is>
      </c>
      <c r="G2740" t="n">
        <v>8</v>
      </c>
      <c r="H2740" t="n">
        <v>5882</v>
      </c>
      <c r="I2740" t="n">
        <v>5654.43</v>
      </c>
      <c r="J2740" t="n">
        <v>1</v>
      </c>
      <c r="K2740" t="inlineStr">
        <is>
          <t>逆5日线（收盘在5日线下，不追多）</t>
        </is>
      </c>
    </row>
    <row r="2741">
      <c r="A2741" t="inlineStr">
        <is>
          <t>2024-02-06</t>
        </is>
      </c>
      <c r="B2741" t="inlineStr">
        <is>
          <t>甲醇</t>
        </is>
      </c>
      <c r="C2741" t="inlineStr">
        <is>
          <t>多</t>
        </is>
      </c>
      <c r="D2741" t="n">
        <v>2</v>
      </c>
      <c r="E2741" t="n">
        <v>4</v>
      </c>
      <c r="F2741" t="inlineStr">
        <is>
          <t>观望</t>
        </is>
      </c>
      <c r="G2741" t="n">
        <v>9</v>
      </c>
      <c r="H2741" t="n">
        <v>2459</v>
      </c>
      <c r="I2741" t="n">
        <v>2348.86</v>
      </c>
      <c r="J2741" t="n">
        <v>1</v>
      </c>
      <c r="K2741" t="inlineStr">
        <is>
          <t>逆5日线（收盘在5日线下，不追多）</t>
        </is>
      </c>
    </row>
    <row r="2742">
      <c r="A2742" t="inlineStr">
        <is>
          <t>2024-02-06</t>
        </is>
      </c>
      <c r="B2742" t="inlineStr">
        <is>
          <t>玉米</t>
        </is>
      </c>
      <c r="C2742" t="inlineStr">
        <is>
          <t>多</t>
        </is>
      </c>
      <c r="D2742" t="n">
        <v>2</v>
      </c>
      <c r="E2742" t="n">
        <v>4</v>
      </c>
      <c r="F2742" t="inlineStr">
        <is>
          <t>影子仓</t>
        </is>
      </c>
      <c r="G2742" t="n">
        <v>13</v>
      </c>
      <c r="H2742" t="n">
        <v>2415</v>
      </c>
      <c r="I2742" t="n">
        <v>2340.64</v>
      </c>
      <c r="J2742" t="n">
        <v>1</v>
      </c>
      <c r="K2742" t="inlineStr">
        <is>
          <t>凯利≤0，开1%影子仓（只统计，不计入组合）</t>
        </is>
      </c>
    </row>
    <row r="2743">
      <c r="A2743" t="inlineStr">
        <is>
          <t>2024-02-07</t>
        </is>
      </c>
      <c r="B2743" t="inlineStr">
        <is>
          <t>菜粕</t>
        </is>
      </c>
      <c r="C2743" t="inlineStr">
        <is>
          <t>空</t>
        </is>
      </c>
      <c r="D2743" t="n">
        <v>3</v>
      </c>
      <c r="E2743" t="n">
        <v>6</v>
      </c>
      <c r="F2743" t="inlineStr">
        <is>
          <t>开仓</t>
        </is>
      </c>
      <c r="G2743" t="n">
        <v>11</v>
      </c>
      <c r="H2743" t="n">
        <v>2437</v>
      </c>
      <c r="I2743" t="n">
        <v>2583.79</v>
      </c>
      <c r="J2743" t="n">
        <v>1.71</v>
      </c>
      <c r="K2743" t="inlineStr">
        <is>
          <t>¼凯利</t>
        </is>
      </c>
    </row>
    <row r="2744">
      <c r="A2744" t="inlineStr">
        <is>
          <t>2024-02-07</t>
        </is>
      </c>
      <c r="B2744" t="inlineStr">
        <is>
          <t>沪镍</t>
        </is>
      </c>
      <c r="C2744" t="inlineStr">
        <is>
          <t>空</t>
        </is>
      </c>
      <c r="D2744" t="n">
        <v>3</v>
      </c>
      <c r="E2744" t="n">
        <v>6</v>
      </c>
      <c r="F2744" t="inlineStr">
        <is>
          <t>开仓</t>
        </is>
      </c>
      <c r="G2744" t="n">
        <v>2</v>
      </c>
      <c r="H2744" t="n">
        <v>124050</v>
      </c>
      <c r="I2744" t="n">
        <v>131905.71</v>
      </c>
      <c r="J2744" t="n">
        <v>1.71</v>
      </c>
      <c r="K2744" t="inlineStr">
        <is>
          <t>¼凯利</t>
        </is>
      </c>
    </row>
    <row r="2745">
      <c r="A2745" t="inlineStr">
        <is>
          <t>2024-02-07</t>
        </is>
      </c>
      <c r="B2745" t="inlineStr">
        <is>
          <t>白糖</t>
        </is>
      </c>
      <c r="C2745" t="inlineStr">
        <is>
          <t>多</t>
        </is>
      </c>
      <c r="D2745" t="n">
        <v>3</v>
      </c>
      <c r="E2745" t="n">
        <v>6</v>
      </c>
      <c r="F2745" t="inlineStr">
        <is>
          <t>续持</t>
        </is>
      </c>
      <c r="G2745" t="n">
        <v>8</v>
      </c>
      <c r="H2745" t="n">
        <v>6547</v>
      </c>
      <c r="I2745" t="n">
        <v>6337.64</v>
      </c>
      <c r="J2745" t="n">
        <v>1.67</v>
      </c>
      <c r="K2745" t="inlineStr">
        <is>
          <t>续持原仓（2024-02-06开）</t>
        </is>
      </c>
    </row>
    <row r="2746">
      <c r="A2746" t="inlineStr">
        <is>
          <t>2024-02-07</t>
        </is>
      </c>
      <c r="B2746" t="inlineStr">
        <is>
          <t>PTA</t>
        </is>
      </c>
      <c r="C2746" t="inlineStr">
        <is>
          <t>多</t>
        </is>
      </c>
      <c r="D2746" t="n">
        <v>2</v>
      </c>
      <c r="E2746" t="n">
        <v>5</v>
      </c>
      <c r="F2746" t="inlineStr">
        <is>
          <t>影子仓</t>
        </is>
      </c>
      <c r="G2746" t="n">
        <v>9</v>
      </c>
      <c r="H2746" t="n">
        <v>5900</v>
      </c>
      <c r="I2746" t="n">
        <v>5682.71</v>
      </c>
      <c r="J2746" t="n">
        <v>1</v>
      </c>
      <c r="K2746" t="inlineStr">
        <is>
          <t>凯利≤0，开1%影子仓（只统计，不计入组合）</t>
        </is>
      </c>
    </row>
    <row r="2747">
      <c r="A2747" t="inlineStr">
        <is>
          <t>2024-02-07</t>
        </is>
      </c>
      <c r="B2747" t="inlineStr">
        <is>
          <t>豆粕</t>
        </is>
      </c>
      <c r="C2747" t="inlineStr">
        <is>
          <t>空</t>
        </is>
      </c>
      <c r="D2747" t="n">
        <v>2</v>
      </c>
      <c r="E2747" t="n">
        <v>4</v>
      </c>
      <c r="F2747" t="inlineStr">
        <is>
          <t>影子仓</t>
        </is>
      </c>
      <c r="G2747" t="n">
        <v>6</v>
      </c>
      <c r="H2747" t="n">
        <v>2982</v>
      </c>
      <c r="I2747" t="n">
        <v>3132.43</v>
      </c>
      <c r="J2747" t="n">
        <v>1</v>
      </c>
      <c r="K2747" t="inlineStr">
        <is>
          <t>凯利≤0，开1%影子仓（只统计，不计入组合）</t>
        </is>
      </c>
    </row>
    <row r="2748">
      <c r="A2748" t="inlineStr">
        <is>
          <t>2024-02-08</t>
        </is>
      </c>
      <c r="B2748" t="inlineStr">
        <is>
          <t>白糖</t>
        </is>
      </c>
      <c r="C2748" t="inlineStr">
        <is>
          <t>多</t>
        </is>
      </c>
      <c r="D2748" t="n">
        <v>3</v>
      </c>
      <c r="E2748" t="n">
        <v>6</v>
      </c>
      <c r="F2748" t="inlineStr">
        <is>
          <t>续持</t>
        </is>
      </c>
      <c r="G2748" t="n">
        <v>8</v>
      </c>
      <c r="H2748" t="n">
        <v>6566</v>
      </c>
      <c r="I2748" t="n">
        <v>6390.07</v>
      </c>
      <c r="J2748" t="n">
        <v>1.67</v>
      </c>
      <c r="K2748" t="inlineStr">
        <is>
          <t>续持原仓（2024-02-06开）</t>
        </is>
      </c>
    </row>
    <row r="2749">
      <c r="A2749" t="inlineStr">
        <is>
          <t>2024-02-08</t>
        </is>
      </c>
      <c r="B2749" t="inlineStr">
        <is>
          <t>沪锌</t>
        </is>
      </c>
      <c r="C2749" t="inlineStr">
        <is>
          <t>空</t>
        </is>
      </c>
      <c r="D2749" t="n">
        <v>2</v>
      </c>
      <c r="E2749" t="n">
        <v>5</v>
      </c>
      <c r="F2749" t="inlineStr">
        <is>
          <t>影子仓</t>
        </is>
      </c>
      <c r="G2749" t="n">
        <v>3</v>
      </c>
      <c r="H2749" t="n">
        <v>20515</v>
      </c>
      <c r="I2749" t="n">
        <v>21175</v>
      </c>
      <c r="J2749" t="n">
        <v>1</v>
      </c>
      <c r="K2749" t="inlineStr">
        <is>
          <t>凯利≤0，开1%影子仓（只统计，不计入组合）</t>
        </is>
      </c>
    </row>
    <row r="2750">
      <c r="A2750" t="inlineStr">
        <is>
          <t>2024-02-19</t>
        </is>
      </c>
      <c r="B2750" t="inlineStr">
        <is>
          <t>PTA</t>
        </is>
      </c>
      <c r="C2750" t="inlineStr">
        <is>
          <t>多</t>
        </is>
      </c>
      <c r="D2750" t="n">
        <v>3</v>
      </c>
      <c r="E2750" t="n">
        <v>6</v>
      </c>
      <c r="F2750" t="inlineStr">
        <is>
          <t>开仓</t>
        </is>
      </c>
      <c r="G2750" t="n">
        <v>15</v>
      </c>
      <c r="H2750" t="n">
        <v>5972</v>
      </c>
      <c r="I2750" t="n">
        <v>5753</v>
      </c>
      <c r="J2750" t="n">
        <v>1.65</v>
      </c>
      <c r="K2750" t="inlineStr">
        <is>
          <t>¼凯利</t>
        </is>
      </c>
    </row>
    <row r="2751">
      <c r="A2751" t="inlineStr">
        <is>
          <t>2024-02-19</t>
        </is>
      </c>
      <c r="B2751" t="inlineStr">
        <is>
          <t>苯乙烯</t>
        </is>
      </c>
      <c r="C2751" t="inlineStr">
        <is>
          <t>多</t>
        </is>
      </c>
      <c r="D2751" t="n">
        <v>3</v>
      </c>
      <c r="E2751" t="n">
        <v>6</v>
      </c>
      <c r="F2751" t="inlineStr">
        <is>
          <t>开仓</t>
        </is>
      </c>
      <c r="G2751" t="n">
        <v>5</v>
      </c>
      <c r="H2751" t="n">
        <v>9273</v>
      </c>
      <c r="I2751" t="n">
        <v>8720.57</v>
      </c>
      <c r="J2751" t="n">
        <v>1.65</v>
      </c>
      <c r="K2751" t="inlineStr">
        <is>
          <t>¼凯利</t>
        </is>
      </c>
    </row>
    <row r="2752">
      <c r="A2752" t="inlineStr">
        <is>
          <t>2024-02-19</t>
        </is>
      </c>
      <c r="B2752" t="inlineStr">
        <is>
          <t>沪锌</t>
        </is>
      </c>
      <c r="C2752" t="inlineStr">
        <is>
          <t>空</t>
        </is>
      </c>
      <c r="D2752" t="n">
        <v>3</v>
      </c>
      <c r="E2752" t="n">
        <v>6</v>
      </c>
      <c r="F2752" t="inlineStr">
        <is>
          <t>续持</t>
        </is>
      </c>
      <c r="G2752" t="n">
        <v>3</v>
      </c>
      <c r="H2752" t="n">
        <v>20265</v>
      </c>
      <c r="I2752" t="n">
        <v>20897.14</v>
      </c>
      <c r="J2752" t="n">
        <v>1</v>
      </c>
      <c r="K2752" t="inlineStr">
        <is>
          <t>续持原仓（2024-02-08开）</t>
        </is>
      </c>
    </row>
    <row r="2753">
      <c r="A2753" t="inlineStr">
        <is>
          <t>2024-02-20</t>
        </is>
      </c>
      <c r="B2753" t="inlineStr">
        <is>
          <t>沪铝</t>
        </is>
      </c>
      <c r="C2753" t="inlineStr">
        <is>
          <t>空</t>
        </is>
      </c>
      <c r="D2753" t="n">
        <v>3</v>
      </c>
      <c r="E2753" t="n">
        <v>7</v>
      </c>
      <c r="F2753" t="inlineStr">
        <is>
          <t>开仓</t>
        </is>
      </c>
      <c r="G2753" t="n">
        <v>5</v>
      </c>
      <c r="H2753" t="n">
        <v>18690</v>
      </c>
      <c r="I2753" t="n">
        <v>19348.93</v>
      </c>
      <c r="J2753" t="n">
        <v>1.65</v>
      </c>
      <c r="K2753" t="inlineStr">
        <is>
          <t>¼凯利</t>
        </is>
      </c>
    </row>
    <row r="2754">
      <c r="A2754" t="inlineStr">
        <is>
          <t>2024-02-20</t>
        </is>
      </c>
      <c r="B2754" t="inlineStr">
        <is>
          <t>苯乙烯</t>
        </is>
      </c>
      <c r="C2754" t="inlineStr">
        <is>
          <t>多</t>
        </is>
      </c>
      <c r="D2754" t="n">
        <v>2</v>
      </c>
      <c r="E2754" t="n">
        <v>5</v>
      </c>
      <c r="F2754" t="inlineStr">
        <is>
          <t>续持</t>
        </is>
      </c>
      <c r="G2754" t="n">
        <v>5</v>
      </c>
      <c r="H2754" t="n">
        <v>9145</v>
      </c>
      <c r="I2754" t="n">
        <v>8742.709999999999</v>
      </c>
      <c r="J2754" t="n">
        <v>1.65</v>
      </c>
      <c r="K2754" t="inlineStr">
        <is>
          <t>续持原仓（2024-02-19开）</t>
        </is>
      </c>
    </row>
    <row r="2755">
      <c r="A2755" t="inlineStr">
        <is>
          <t>2024-02-20</t>
        </is>
      </c>
      <c r="B2755" t="inlineStr">
        <is>
          <t>玻璃</t>
        </is>
      </c>
      <c r="C2755" t="inlineStr">
        <is>
          <t>空</t>
        </is>
      </c>
      <c r="D2755" t="n">
        <v>2</v>
      </c>
      <c r="E2755" t="n">
        <v>4</v>
      </c>
      <c r="F2755" t="inlineStr">
        <is>
          <t>影子仓</t>
        </is>
      </c>
      <c r="G2755" t="n">
        <v>3</v>
      </c>
      <c r="H2755" t="n">
        <v>1687</v>
      </c>
      <c r="I2755" t="n">
        <v>1843.43</v>
      </c>
      <c r="J2755" t="n">
        <v>1</v>
      </c>
      <c r="K2755" t="inlineStr">
        <is>
          <t>凯利≤0，开1%影子仓（只统计，不计入组合）</t>
        </is>
      </c>
    </row>
    <row r="2756">
      <c r="A2756" t="inlineStr">
        <is>
          <t>2024-02-20</t>
        </is>
      </c>
      <c r="B2756" t="inlineStr">
        <is>
          <t>棕榈油</t>
        </is>
      </c>
      <c r="C2756" t="inlineStr">
        <is>
          <t>多</t>
        </is>
      </c>
      <c r="D2756" t="n">
        <v>2</v>
      </c>
      <c r="E2756" t="n">
        <v>4</v>
      </c>
      <c r="F2756" t="inlineStr">
        <is>
          <t>影子仓</t>
        </is>
      </c>
      <c r="G2756" t="n">
        <v>2</v>
      </c>
      <c r="H2756" t="n">
        <v>7320</v>
      </c>
      <c r="I2756" t="n">
        <v>6918.43</v>
      </c>
      <c r="J2756" t="n">
        <v>1</v>
      </c>
      <c r="K2756" t="inlineStr">
        <is>
          <t>凯利≤0，开1%影子仓（只统计，不计入组合）</t>
        </is>
      </c>
    </row>
    <row r="2757">
      <c r="A2757" t="inlineStr">
        <is>
          <t>2024-02-22</t>
        </is>
      </c>
      <c r="B2757" t="inlineStr">
        <is>
          <t>沪锌</t>
        </is>
      </c>
      <c r="C2757" t="inlineStr">
        <is>
          <t>多</t>
        </is>
      </c>
      <c r="D2757" t="n">
        <v>2</v>
      </c>
      <c r="E2757" t="n">
        <v>5</v>
      </c>
      <c r="F2757" t="inlineStr">
        <is>
          <t>影子仓</t>
        </is>
      </c>
      <c r="G2757" t="n">
        <v>2</v>
      </c>
      <c r="H2757" t="n">
        <v>20385</v>
      </c>
      <c r="I2757" t="n">
        <v>19706.79</v>
      </c>
      <c r="J2757" t="n">
        <v>1</v>
      </c>
      <c r="K2757" t="inlineStr">
        <is>
          <t>凯利≤0，开1%影子仓（只统计，不计入组合）</t>
        </is>
      </c>
    </row>
    <row r="2758">
      <c r="A2758" t="inlineStr">
        <is>
          <t>2024-02-22</t>
        </is>
      </c>
      <c r="B2758" t="inlineStr">
        <is>
          <t>沪镍</t>
        </is>
      </c>
      <c r="C2758" t="inlineStr">
        <is>
          <t>多</t>
        </is>
      </c>
      <c r="D2758" t="n">
        <v>2</v>
      </c>
      <c r="E2758" t="n">
        <v>4</v>
      </c>
      <c r="F2758" t="inlineStr">
        <is>
          <t>影子仓</t>
        </is>
      </c>
      <c r="G2758" t="n">
        <v>1</v>
      </c>
      <c r="H2758" t="n">
        <v>131730</v>
      </c>
      <c r="I2758" t="n">
        <v>124345.71</v>
      </c>
      <c r="J2758" t="n">
        <v>1</v>
      </c>
      <c r="K2758" t="inlineStr">
        <is>
          <t>凯利≤0，开1%影子仓（只统计，不计入组合）</t>
        </is>
      </c>
    </row>
    <row r="2759">
      <c r="A2759" t="inlineStr">
        <is>
          <t>2024-02-23</t>
        </is>
      </c>
      <c r="B2759" t="inlineStr">
        <is>
          <t>甲醇</t>
        </is>
      </c>
      <c r="C2759" t="inlineStr">
        <is>
          <t>多</t>
        </is>
      </c>
      <c r="D2759" t="n">
        <v>3</v>
      </c>
      <c r="E2759" t="n">
        <v>7</v>
      </c>
      <c r="F2759" t="inlineStr">
        <is>
          <t>开仓</t>
        </is>
      </c>
      <c r="G2759" t="n">
        <v>11</v>
      </c>
      <c r="H2759" t="n">
        <v>2508</v>
      </c>
      <c r="I2759" t="n">
        <v>2380.71</v>
      </c>
      <c r="J2759" t="n">
        <v>1.44</v>
      </c>
      <c r="K2759" t="inlineStr">
        <is>
          <t>¼凯利</t>
        </is>
      </c>
    </row>
    <row r="2760">
      <c r="A2760" t="inlineStr">
        <is>
          <t>2024-02-23</t>
        </is>
      </c>
      <c r="B2760" t="inlineStr">
        <is>
          <t>纯碱</t>
        </is>
      </c>
      <c r="C2760" t="inlineStr">
        <is>
          <t>空</t>
        </is>
      </c>
      <c r="D2760" t="n">
        <v>3</v>
      </c>
      <c r="E2760" t="n">
        <v>6</v>
      </c>
      <c r="F2760" t="inlineStr">
        <is>
          <t>观望</t>
        </is>
      </c>
      <c r="G2760" t="n">
        <v>3</v>
      </c>
      <c r="H2760" t="n">
        <v>1845</v>
      </c>
      <c r="I2760" t="n">
        <v>2032.07</v>
      </c>
      <c r="J2760" t="n">
        <v>1.44</v>
      </c>
      <c r="K2760" t="inlineStr">
        <is>
          <t>逆5日线（收盘在5日线上，不追空）</t>
        </is>
      </c>
    </row>
    <row r="2761">
      <c r="A2761" t="inlineStr">
        <is>
          <t>2024-02-23</t>
        </is>
      </c>
      <c r="B2761" t="inlineStr">
        <is>
          <t>玉米</t>
        </is>
      </c>
      <c r="C2761" t="inlineStr">
        <is>
          <t>多</t>
        </is>
      </c>
      <c r="D2761" t="n">
        <v>2</v>
      </c>
      <c r="E2761" t="n">
        <v>5</v>
      </c>
      <c r="F2761" t="inlineStr">
        <is>
          <t>影子仓</t>
        </is>
      </c>
      <c r="G2761" t="n">
        <v>12</v>
      </c>
      <c r="H2761" t="n">
        <v>2463</v>
      </c>
      <c r="I2761" t="n">
        <v>2385.64</v>
      </c>
      <c r="J2761" t="n">
        <v>1</v>
      </c>
      <c r="K2761" t="inlineStr">
        <is>
          <t>凯利≤0，开1%影子仓（只统计，不计入组合）</t>
        </is>
      </c>
    </row>
    <row r="2762">
      <c r="A2762" t="inlineStr">
        <is>
          <t>2024-02-26</t>
        </is>
      </c>
      <c r="B2762" t="inlineStr">
        <is>
          <t>纯碱</t>
        </is>
      </c>
      <c r="C2762" t="inlineStr">
        <is>
          <t>空</t>
        </is>
      </c>
      <c r="D2762" t="n">
        <v>3</v>
      </c>
      <c r="E2762" t="n">
        <v>7</v>
      </c>
      <c r="F2762" t="inlineStr">
        <is>
          <t>开仓</t>
        </is>
      </c>
      <c r="G2762" t="n">
        <v>3</v>
      </c>
      <c r="H2762" t="n">
        <v>1776</v>
      </c>
      <c r="I2762" t="n">
        <v>1967.14</v>
      </c>
      <c r="J2762" t="n">
        <v>1.44</v>
      </c>
      <c r="K2762" t="inlineStr">
        <is>
          <t>¼凯利</t>
        </is>
      </c>
    </row>
    <row r="2763">
      <c r="A2763" t="inlineStr">
        <is>
          <t>2024-02-26</t>
        </is>
      </c>
      <c r="B2763" t="inlineStr">
        <is>
          <t>沪锌</t>
        </is>
      </c>
      <c r="C2763" t="inlineStr">
        <is>
          <t>多</t>
        </is>
      </c>
      <c r="D2763" t="n">
        <v>3</v>
      </c>
      <c r="E2763" t="n">
        <v>6</v>
      </c>
      <c r="F2763" t="inlineStr">
        <is>
          <t>开仓</t>
        </is>
      </c>
      <c r="G2763" t="n">
        <v>4</v>
      </c>
      <c r="H2763" t="n">
        <v>20530</v>
      </c>
      <c r="I2763" t="n">
        <v>19840</v>
      </c>
      <c r="J2763" t="n">
        <v>1.44</v>
      </c>
      <c r="K2763" t="inlineStr">
        <is>
          <t>¼凯利</t>
        </is>
      </c>
    </row>
    <row r="2764">
      <c r="A2764" t="inlineStr">
        <is>
          <t>2024-02-26</t>
        </is>
      </c>
      <c r="B2764" t="inlineStr">
        <is>
          <t>热卷</t>
        </is>
      </c>
      <c r="C2764" t="inlineStr">
        <is>
          <t>空</t>
        </is>
      </c>
      <c r="D2764" t="n">
        <v>2</v>
      </c>
      <c r="E2764" t="n">
        <v>5</v>
      </c>
      <c r="F2764" t="inlineStr">
        <is>
          <t>影子仓</t>
        </is>
      </c>
      <c r="G2764" t="n">
        <v>6</v>
      </c>
      <c r="H2764" t="n">
        <v>3872</v>
      </c>
      <c r="I2764" t="n">
        <v>4029.93</v>
      </c>
      <c r="J2764" t="n">
        <v>1</v>
      </c>
      <c r="K2764" t="inlineStr">
        <is>
          <t>凯利≤0，开1%影子仓（只统计，不计入组合）</t>
        </is>
      </c>
    </row>
    <row r="2765">
      <c r="A2765" t="inlineStr">
        <is>
          <t>2024-02-26</t>
        </is>
      </c>
      <c r="B2765" t="inlineStr">
        <is>
          <t>棕榈油</t>
        </is>
      </c>
      <c r="C2765" t="inlineStr">
        <is>
          <t>空</t>
        </is>
      </c>
      <c r="D2765" t="n">
        <v>2</v>
      </c>
      <c r="E2765" t="n">
        <v>5</v>
      </c>
      <c r="F2765" t="inlineStr">
        <is>
          <t>影子仓</t>
        </is>
      </c>
      <c r="G2765" t="n">
        <v>2</v>
      </c>
      <c r="H2765" t="n">
        <v>7274</v>
      </c>
      <c r="I2765" t="n">
        <v>7647.29</v>
      </c>
      <c r="J2765" t="n">
        <v>1</v>
      </c>
      <c r="K2765" t="inlineStr">
        <is>
          <t>凯利≤0，开1%影子仓（只统计，不计入组合）</t>
        </is>
      </c>
    </row>
    <row r="2766">
      <c r="A2766" t="inlineStr">
        <is>
          <t>2024-02-27</t>
        </is>
      </c>
      <c r="B2766" t="inlineStr">
        <is>
          <t>甲醇</t>
        </is>
      </c>
      <c r="C2766" t="inlineStr">
        <is>
          <t>多</t>
        </is>
      </c>
      <c r="D2766" t="n">
        <v>3</v>
      </c>
      <c r="E2766" t="n">
        <v>7</v>
      </c>
      <c r="F2766" t="inlineStr">
        <is>
          <t>开仓</t>
        </is>
      </c>
      <c r="G2766" t="n">
        <v>10</v>
      </c>
      <c r="H2766" t="n">
        <v>2533</v>
      </c>
      <c r="I2766" t="n">
        <v>2401.64</v>
      </c>
      <c r="J2766" t="n">
        <v>1.44</v>
      </c>
      <c r="K2766" t="inlineStr">
        <is>
          <t>¼凯利</t>
        </is>
      </c>
    </row>
    <row r="2767">
      <c r="A2767" t="inlineStr">
        <is>
          <t>2024-02-27</t>
        </is>
      </c>
      <c r="B2767" t="inlineStr">
        <is>
          <t>玉米</t>
        </is>
      </c>
      <c r="C2767" t="inlineStr">
        <is>
          <t>多</t>
        </is>
      </c>
      <c r="D2767" t="n">
        <v>2</v>
      </c>
      <c r="E2767" t="n">
        <v>5</v>
      </c>
      <c r="F2767" t="inlineStr">
        <is>
          <t>观望</t>
        </is>
      </c>
      <c r="G2767" t="n">
        <v>13</v>
      </c>
      <c r="H2767" t="n">
        <v>2453</v>
      </c>
      <c r="I2767" t="n">
        <v>2377.36</v>
      </c>
      <c r="J2767" t="n">
        <v>1</v>
      </c>
      <c r="K2767" t="inlineStr">
        <is>
          <t>逆5日线（收盘在5日线下，不追多）</t>
        </is>
      </c>
    </row>
    <row r="2768">
      <c r="A2768" t="inlineStr">
        <is>
          <t>2024-02-28</t>
        </is>
      </c>
      <c r="B2768" t="inlineStr">
        <is>
          <t>螺纹钢</t>
        </is>
      </c>
      <c r="C2768" t="inlineStr">
        <is>
          <t>空</t>
        </is>
      </c>
      <c r="D2768" t="n">
        <v>3</v>
      </c>
      <c r="E2768" t="n">
        <v>7</v>
      </c>
      <c r="F2768" t="inlineStr">
        <is>
          <t>观望</t>
        </is>
      </c>
      <c r="G2768" t="n">
        <v>8</v>
      </c>
      <c r="H2768" t="n">
        <v>3810</v>
      </c>
      <c r="I2768" t="n">
        <v>3978.86</v>
      </c>
      <c r="J2768" t="n">
        <v>1.43</v>
      </c>
      <c r="K2768" t="inlineStr">
        <is>
          <t>逆5日线（收盘在5日线上，不追空）</t>
        </is>
      </c>
    </row>
    <row r="2769">
      <c r="A2769" t="inlineStr">
        <is>
          <t>2024-02-28</t>
        </is>
      </c>
      <c r="B2769" t="inlineStr">
        <is>
          <t>热卷</t>
        </is>
      </c>
      <c r="C2769" t="inlineStr">
        <is>
          <t>空</t>
        </is>
      </c>
      <c r="D2769" t="n">
        <v>2</v>
      </c>
      <c r="E2769" t="n">
        <v>5</v>
      </c>
      <c r="F2769" t="inlineStr">
        <is>
          <t>观望</t>
        </is>
      </c>
      <c r="G2769" t="n">
        <v>6</v>
      </c>
      <c r="H2769" t="n">
        <v>3920</v>
      </c>
      <c r="I2769" t="n">
        <v>4079.86</v>
      </c>
      <c r="J2769" t="n">
        <v>1</v>
      </c>
      <c r="K2769" t="inlineStr">
        <is>
          <t>逆5日线（收盘在5日线上，不追空）</t>
        </is>
      </c>
    </row>
    <row r="2770">
      <c r="A2770" t="inlineStr">
        <is>
          <t>2024-02-28</t>
        </is>
      </c>
      <c r="B2770" t="inlineStr">
        <is>
          <t>沪铝</t>
        </is>
      </c>
      <c r="C2770" t="inlineStr">
        <is>
          <t>空</t>
        </is>
      </c>
      <c r="D2770" t="n">
        <v>2</v>
      </c>
      <c r="E2770" t="n">
        <v>5</v>
      </c>
      <c r="F2770" t="inlineStr">
        <is>
          <t>影子仓</t>
        </is>
      </c>
      <c r="G2770" t="n">
        <v>3</v>
      </c>
      <c r="H2770" t="n">
        <v>18790</v>
      </c>
      <c r="I2770" t="n">
        <v>19425.36</v>
      </c>
      <c r="J2770" t="n">
        <v>1</v>
      </c>
      <c r="K2770" t="inlineStr">
        <is>
          <t>凯利≤0，开1%影子仓（只统计，不计入组合）</t>
        </is>
      </c>
    </row>
    <row r="2771">
      <c r="A2771" t="inlineStr">
        <is>
          <t>2024-02-28</t>
        </is>
      </c>
      <c r="B2771" t="inlineStr">
        <is>
          <t>沪铜</t>
        </is>
      </c>
      <c r="C2771" t="inlineStr">
        <is>
          <t>空</t>
        </is>
      </c>
      <c r="D2771" t="n">
        <v>2</v>
      </c>
      <c r="E2771" t="n">
        <v>5</v>
      </c>
      <c r="F2771" t="inlineStr">
        <is>
          <t>影子仓</t>
        </is>
      </c>
      <c r="G2771" t="n">
        <v>1</v>
      </c>
      <c r="H2771" t="n">
        <v>68760</v>
      </c>
      <c r="I2771" t="n">
        <v>70332.86</v>
      </c>
      <c r="J2771" t="n">
        <v>1</v>
      </c>
      <c r="K2771" t="inlineStr">
        <is>
          <t>凯利≤0，开1%影子仓（只统计，不计入组合）</t>
        </is>
      </c>
    </row>
    <row r="2772">
      <c r="A2772" t="inlineStr">
        <is>
          <t>2024-02-28</t>
        </is>
      </c>
      <c r="B2772" t="inlineStr">
        <is>
          <t>玉米</t>
        </is>
      </c>
      <c r="C2772" t="inlineStr">
        <is>
          <t>多</t>
        </is>
      </c>
      <c r="D2772" t="n">
        <v>2</v>
      </c>
      <c r="E2772" t="n">
        <v>4</v>
      </c>
      <c r="F2772" t="inlineStr">
        <is>
          <t>观望</t>
        </is>
      </c>
      <c r="G2772" t="n">
        <v>14</v>
      </c>
      <c r="H2772" t="n">
        <v>2452</v>
      </c>
      <c r="I2772" t="n">
        <v>2380.64</v>
      </c>
      <c r="J2772" t="n">
        <v>1</v>
      </c>
      <c r="K2772" t="inlineStr">
        <is>
          <t>逆5日线（收盘在5日线下，不追多）</t>
        </is>
      </c>
    </row>
    <row r="2773">
      <c r="A2773" t="inlineStr">
        <is>
          <t>2024-02-29</t>
        </is>
      </c>
      <c r="B2773" t="inlineStr">
        <is>
          <t>螺纹钢</t>
        </is>
      </c>
      <c r="C2773" t="inlineStr">
        <is>
          <t>空</t>
        </is>
      </c>
      <c r="D2773" t="n">
        <v>3</v>
      </c>
      <c r="E2773" t="n">
        <v>7</v>
      </c>
      <c r="F2773" t="inlineStr">
        <is>
          <t>开仓</t>
        </is>
      </c>
      <c r="G2773" t="n">
        <v>8</v>
      </c>
      <c r="H2773" t="n">
        <v>3788</v>
      </c>
      <c r="I2773" t="n">
        <v>3959.21</v>
      </c>
      <c r="J2773" t="n">
        <v>1.43</v>
      </c>
      <c r="K2773" t="inlineStr">
        <is>
          <t>¼凯利</t>
        </is>
      </c>
    </row>
    <row r="2774">
      <c r="A2774" t="inlineStr">
        <is>
          <t>2024-02-29</t>
        </is>
      </c>
      <c r="B2774" t="inlineStr">
        <is>
          <t>豆油</t>
        </is>
      </c>
      <c r="C2774" t="inlineStr">
        <is>
          <t>多</t>
        </is>
      </c>
      <c r="D2774" t="n">
        <v>3</v>
      </c>
      <c r="E2774" t="n">
        <v>6</v>
      </c>
      <c r="F2774" t="inlineStr">
        <is>
          <t>开仓</t>
        </is>
      </c>
      <c r="G2774" t="n">
        <v>4</v>
      </c>
      <c r="H2774" t="n">
        <v>7358</v>
      </c>
      <c r="I2774" t="n">
        <v>7053.71</v>
      </c>
      <c r="J2774" t="n">
        <v>1.43</v>
      </c>
      <c r="K2774" t="inlineStr">
        <is>
          <t>¼凯利</t>
        </is>
      </c>
    </row>
    <row r="2775">
      <c r="A2775" t="inlineStr">
        <is>
          <t>2024-02-29</t>
        </is>
      </c>
      <c r="B2775" t="inlineStr">
        <is>
          <t>沪铝</t>
        </is>
      </c>
      <c r="C2775" t="inlineStr">
        <is>
          <t>空</t>
        </is>
      </c>
      <c r="D2775" t="n">
        <v>2</v>
      </c>
      <c r="E2775" t="n">
        <v>4</v>
      </c>
      <c r="F2775" t="inlineStr">
        <is>
          <t>观望</t>
        </is>
      </c>
      <c r="G2775" t="n">
        <v>3</v>
      </c>
      <c r="H2775" t="n">
        <v>18925</v>
      </c>
      <c r="I2775" t="n">
        <v>19534.64</v>
      </c>
      <c r="J2775" t="n">
        <v>1</v>
      </c>
      <c r="K2775" t="inlineStr">
        <is>
          <t>逆5日线（收盘在5日线上，不追空）</t>
        </is>
      </c>
    </row>
    <row r="2776">
      <c r="A2776" t="inlineStr">
        <is>
          <t>2024-02-29</t>
        </is>
      </c>
      <c r="B2776" t="inlineStr">
        <is>
          <t>沪铜</t>
        </is>
      </c>
      <c r="C2776" t="inlineStr">
        <is>
          <t>空</t>
        </is>
      </c>
      <c r="D2776" t="n">
        <v>2</v>
      </c>
      <c r="E2776" t="n">
        <v>4</v>
      </c>
      <c r="F2776" t="inlineStr">
        <is>
          <t>续持</t>
        </is>
      </c>
      <c r="G2776" t="n">
        <v>1</v>
      </c>
      <c r="H2776" t="n">
        <v>68990</v>
      </c>
      <c r="I2776" t="n">
        <v>70015.71000000001</v>
      </c>
      <c r="J2776" t="n">
        <v>1</v>
      </c>
      <c r="K2776" t="inlineStr">
        <is>
          <t>续持原仓（2024-02-28开）</t>
        </is>
      </c>
    </row>
    <row r="2777">
      <c r="A2777" t="inlineStr">
        <is>
          <t>2024-03-01</t>
        </is>
      </c>
      <c r="B2777" t="inlineStr">
        <is>
          <t>热卷</t>
        </is>
      </c>
      <c r="C2777" t="inlineStr">
        <is>
          <t>空</t>
        </is>
      </c>
      <c r="D2777" t="n">
        <v>3</v>
      </c>
      <c r="E2777" t="n">
        <v>6</v>
      </c>
      <c r="F2777" t="inlineStr">
        <is>
          <t>续持</t>
        </is>
      </c>
      <c r="G2777" t="n">
        <v>6</v>
      </c>
      <c r="H2777" t="n">
        <v>3885</v>
      </c>
      <c r="I2777" t="n">
        <v>4012.14</v>
      </c>
      <c r="J2777" t="n">
        <v>1</v>
      </c>
      <c r="K2777" t="inlineStr">
        <is>
          <t>续持原仓（2024-02-26开）</t>
        </is>
      </c>
    </row>
    <row r="2778">
      <c r="A2778" t="inlineStr">
        <is>
          <t>2024-03-01</t>
        </is>
      </c>
      <c r="B2778" t="inlineStr">
        <is>
          <t>沪铝</t>
        </is>
      </c>
      <c r="C2778" t="inlineStr">
        <is>
          <t>空</t>
        </is>
      </c>
      <c r="D2778" t="n">
        <v>2</v>
      </c>
      <c r="E2778" t="n">
        <v>4</v>
      </c>
      <c r="F2778" t="inlineStr">
        <is>
          <t>观望</t>
        </is>
      </c>
      <c r="G2778" t="n">
        <v>3</v>
      </c>
      <c r="H2778" t="n">
        <v>18965</v>
      </c>
      <c r="I2778" t="n">
        <v>19554.29</v>
      </c>
      <c r="J2778" t="n">
        <v>1</v>
      </c>
      <c r="K2778" t="inlineStr">
        <is>
          <t>逆5日线（收盘在5日线上，不追空）</t>
        </is>
      </c>
    </row>
    <row r="2779">
      <c r="A2779" t="inlineStr">
        <is>
          <t>2024-03-04</t>
        </is>
      </c>
      <c r="B2779" t="inlineStr">
        <is>
          <t>豆油</t>
        </is>
      </c>
      <c r="C2779" t="inlineStr">
        <is>
          <t>多</t>
        </is>
      </c>
      <c r="D2779" t="n">
        <v>3</v>
      </c>
      <c r="E2779" t="n">
        <v>6</v>
      </c>
      <c r="F2779" t="inlineStr">
        <is>
          <t>开仓</t>
        </is>
      </c>
      <c r="G2779" t="n">
        <v>5</v>
      </c>
      <c r="H2779" t="n">
        <v>7418</v>
      </c>
      <c r="I2779" t="n">
        <v>7119.29</v>
      </c>
      <c r="J2779" t="n">
        <v>1.57</v>
      </c>
      <c r="K2779" t="inlineStr">
        <is>
          <t>¼凯利</t>
        </is>
      </c>
    </row>
    <row r="2780">
      <c r="A2780" t="inlineStr">
        <is>
          <t>2024-03-04</t>
        </is>
      </c>
      <c r="B2780" t="inlineStr">
        <is>
          <t>热卷</t>
        </is>
      </c>
      <c r="C2780" t="inlineStr">
        <is>
          <t>空</t>
        </is>
      </c>
      <c r="D2780" t="n">
        <v>2</v>
      </c>
      <c r="E2780" t="n">
        <v>4</v>
      </c>
      <c r="F2780" t="inlineStr">
        <is>
          <t>续持</t>
        </is>
      </c>
      <c r="G2780" t="n">
        <v>6</v>
      </c>
      <c r="H2780" t="n">
        <v>3888</v>
      </c>
      <c r="I2780" t="n">
        <v>4004.64</v>
      </c>
      <c r="J2780" t="n">
        <v>1</v>
      </c>
      <c r="K2780" t="inlineStr">
        <is>
          <t>续持原仓（2024-02-26开）</t>
        </is>
      </c>
    </row>
    <row r="2781">
      <c r="A2781" t="inlineStr">
        <is>
          <t>2024-03-05</t>
        </is>
      </c>
      <c r="B2781" t="inlineStr">
        <is>
          <t>沪金</t>
        </is>
      </c>
      <c r="C2781" t="inlineStr">
        <is>
          <t>多</t>
        </is>
      </c>
      <c r="D2781" t="n">
        <v>3</v>
      </c>
      <c r="E2781" t="n">
        <v>6</v>
      </c>
      <c r="F2781" t="inlineStr">
        <is>
          <t>开仓</t>
        </is>
      </c>
      <c r="G2781" t="n">
        <v>1</v>
      </c>
      <c r="H2781" t="n">
        <v>497.36</v>
      </c>
      <c r="I2781" t="n">
        <v>488.75</v>
      </c>
      <c r="J2781" t="n">
        <v>1.58</v>
      </c>
      <c r="K2781" t="inlineStr">
        <is>
          <t>¼凯利</t>
        </is>
      </c>
    </row>
    <row r="2782">
      <c r="A2782" t="inlineStr">
        <is>
          <t>2024-03-05</t>
        </is>
      </c>
      <c r="B2782" t="inlineStr">
        <is>
          <t>PVC</t>
        </is>
      </c>
      <c r="C2782" t="inlineStr">
        <is>
          <t>多</t>
        </is>
      </c>
      <c r="D2782" t="n">
        <v>3</v>
      </c>
      <c r="E2782" t="n">
        <v>6</v>
      </c>
      <c r="F2782" t="inlineStr">
        <is>
          <t>观望</t>
        </is>
      </c>
      <c r="G2782" t="n">
        <v>16</v>
      </c>
      <c r="H2782" t="n">
        <v>5906</v>
      </c>
      <c r="I2782" t="n">
        <v>5709.29</v>
      </c>
      <c r="J2782" t="n">
        <v>1.58</v>
      </c>
      <c r="K2782" t="inlineStr">
        <is>
          <t>逆5日线（收盘在5日线下，不追多）</t>
        </is>
      </c>
    </row>
    <row r="2783">
      <c r="A2783" t="inlineStr">
        <is>
          <t>2024-03-05</t>
        </is>
      </c>
      <c r="B2783" t="inlineStr">
        <is>
          <t>豆油</t>
        </is>
      </c>
      <c r="C2783" t="inlineStr">
        <is>
          <t>多</t>
        </is>
      </c>
      <c r="D2783" t="n">
        <v>2</v>
      </c>
      <c r="E2783" t="n">
        <v>5</v>
      </c>
      <c r="F2783" t="inlineStr">
        <is>
          <t>续持</t>
        </is>
      </c>
      <c r="G2783" t="n">
        <v>5</v>
      </c>
      <c r="H2783" t="n">
        <v>7424</v>
      </c>
      <c r="I2783" t="n">
        <v>7141.29</v>
      </c>
      <c r="J2783" t="n">
        <v>1.57</v>
      </c>
      <c r="K2783" t="inlineStr">
        <is>
          <t>续持原仓（2024-03-04开）</t>
        </is>
      </c>
    </row>
    <row r="2784">
      <c r="A2784" t="inlineStr">
        <is>
          <t>2024-03-05</t>
        </is>
      </c>
      <c r="B2784" t="inlineStr">
        <is>
          <t>沪铜</t>
        </is>
      </c>
      <c r="C2784" t="inlineStr">
        <is>
          <t>空</t>
        </is>
      </c>
      <c r="D2784" t="n">
        <v>2</v>
      </c>
      <c r="E2784" t="n">
        <v>4</v>
      </c>
      <c r="F2784" t="inlineStr">
        <is>
          <t>观望</t>
        </is>
      </c>
      <c r="G2784" t="n">
        <v>1</v>
      </c>
      <c r="H2784" t="n">
        <v>69050</v>
      </c>
      <c r="I2784" t="n">
        <v>70389.28999999999</v>
      </c>
      <c r="J2784" t="n">
        <v>1</v>
      </c>
      <c r="K2784" t="inlineStr">
        <is>
          <t>逆5日线（收盘在5日线上，不追空）</t>
        </is>
      </c>
    </row>
    <row r="2785">
      <c r="A2785" t="inlineStr">
        <is>
          <t>2024-03-06</t>
        </is>
      </c>
      <c r="B2785" t="inlineStr">
        <is>
          <t>沪金</t>
        </is>
      </c>
      <c r="C2785" t="inlineStr">
        <is>
          <t>多</t>
        </is>
      </c>
      <c r="D2785" t="n">
        <v>3</v>
      </c>
      <c r="E2785" t="n">
        <v>6</v>
      </c>
      <c r="F2785" t="inlineStr">
        <is>
          <t>续持</t>
        </is>
      </c>
      <c r="G2785" t="n">
        <v>1</v>
      </c>
      <c r="H2785" t="n">
        <v>500.7</v>
      </c>
      <c r="I2785" t="n">
        <v>493.41</v>
      </c>
      <c r="J2785" t="n">
        <v>1.58</v>
      </c>
      <c r="K2785" t="inlineStr">
        <is>
          <t>续持原仓（2024-03-05开）</t>
        </is>
      </c>
    </row>
    <row r="2786">
      <c r="A2786" t="inlineStr">
        <is>
          <t>2024-03-06</t>
        </is>
      </c>
      <c r="B2786" t="inlineStr">
        <is>
          <t>热卷</t>
        </is>
      </c>
      <c r="C2786" t="inlineStr">
        <is>
          <t>空</t>
        </is>
      </c>
      <c r="D2786" t="n">
        <v>3</v>
      </c>
      <c r="E2786" t="n">
        <v>6</v>
      </c>
      <c r="F2786" t="inlineStr">
        <is>
          <t>开仓</t>
        </is>
      </c>
      <c r="G2786" t="n">
        <v>9</v>
      </c>
      <c r="H2786" t="n">
        <v>3844</v>
      </c>
      <c r="I2786" t="n">
        <v>4007.29</v>
      </c>
      <c r="J2786" t="n">
        <v>1.63</v>
      </c>
      <c r="K2786" t="inlineStr">
        <is>
          <t>¼凯利</t>
        </is>
      </c>
    </row>
    <row r="2787">
      <c r="A2787" t="inlineStr">
        <is>
          <t>2024-03-06</t>
        </is>
      </c>
      <c r="B2787" t="inlineStr">
        <is>
          <t>PVC</t>
        </is>
      </c>
      <c r="C2787" t="inlineStr">
        <is>
          <t>多</t>
        </is>
      </c>
      <c r="D2787" t="n">
        <v>3</v>
      </c>
      <c r="E2787" t="n">
        <v>6</v>
      </c>
      <c r="F2787" t="inlineStr">
        <is>
          <t>观望</t>
        </is>
      </c>
      <c r="G2787" t="n">
        <v>17</v>
      </c>
      <c r="H2787" t="n">
        <v>5939</v>
      </c>
      <c r="I2787" t="n">
        <v>5748.5</v>
      </c>
      <c r="J2787" t="n">
        <v>1.63</v>
      </c>
      <c r="K2787" t="inlineStr">
        <is>
          <t>逆5日线（收盘在5日线下，不追多）</t>
        </is>
      </c>
    </row>
    <row r="2788">
      <c r="A2788" t="inlineStr">
        <is>
          <t>2024-03-06</t>
        </is>
      </c>
      <c r="B2788" t="inlineStr">
        <is>
          <t>螺纹钢</t>
        </is>
      </c>
      <c r="C2788" t="inlineStr">
        <is>
          <t>空</t>
        </is>
      </c>
      <c r="D2788" t="n">
        <v>3</v>
      </c>
      <c r="E2788" t="n">
        <v>6</v>
      </c>
      <c r="F2788" t="inlineStr">
        <is>
          <t>开仓</t>
        </is>
      </c>
      <c r="G2788" t="n">
        <v>8</v>
      </c>
      <c r="H2788" t="n">
        <v>3712</v>
      </c>
      <c r="I2788" t="n">
        <v>3883.21</v>
      </c>
      <c r="J2788" t="n">
        <v>1.37</v>
      </c>
      <c r="K2788" t="inlineStr">
        <is>
          <t>与热卷高度相关（同组≤3%），预算缩小</t>
        </is>
      </c>
    </row>
    <row r="2789">
      <c r="A2789" t="inlineStr">
        <is>
          <t>2024-03-06</t>
        </is>
      </c>
      <c r="B2789" t="inlineStr">
        <is>
          <t>玻璃</t>
        </is>
      </c>
      <c r="C2789" t="inlineStr">
        <is>
          <t>空</t>
        </is>
      </c>
      <c r="D2789" t="n">
        <v>2</v>
      </c>
      <c r="E2789" t="n">
        <v>4</v>
      </c>
      <c r="F2789" t="inlineStr">
        <is>
          <t>影子仓</t>
        </is>
      </c>
      <c r="G2789" t="n">
        <v>3</v>
      </c>
      <c r="H2789" t="n">
        <v>1644</v>
      </c>
      <c r="I2789" t="n">
        <v>1780.29</v>
      </c>
      <c r="J2789" t="n">
        <v>1</v>
      </c>
      <c r="K2789" t="inlineStr">
        <is>
          <t>凯利≤0，开1%影子仓（只统计，不计入组合）</t>
        </is>
      </c>
    </row>
    <row r="2790">
      <c r="A2790" t="inlineStr">
        <is>
          <t>2024-03-07</t>
        </is>
      </c>
      <c r="B2790" t="inlineStr">
        <is>
          <t>棕榈油</t>
        </is>
      </c>
      <c r="C2790" t="inlineStr">
        <is>
          <t>多</t>
        </is>
      </c>
      <c r="D2790" t="n">
        <v>3</v>
      </c>
      <c r="E2790" t="n">
        <v>7</v>
      </c>
      <c r="F2790" t="inlineStr">
        <is>
          <t>开仓</t>
        </is>
      </c>
      <c r="G2790" t="n">
        <v>5</v>
      </c>
      <c r="H2790" t="n">
        <v>7682</v>
      </c>
      <c r="I2790" t="n">
        <v>7368.29</v>
      </c>
      <c r="J2790" t="n">
        <v>1.63</v>
      </c>
      <c r="K2790" t="inlineStr">
        <is>
          <t>¼凯利</t>
        </is>
      </c>
    </row>
    <row r="2791">
      <c r="A2791" t="inlineStr">
        <is>
          <t>2024-03-07</t>
        </is>
      </c>
      <c r="B2791" t="inlineStr">
        <is>
          <t>沪金</t>
        </is>
      </c>
      <c r="C2791" t="inlineStr">
        <is>
          <t>多</t>
        </is>
      </c>
      <c r="D2791" t="n">
        <v>3</v>
      </c>
      <c r="E2791" t="n">
        <v>6</v>
      </c>
      <c r="F2791" t="inlineStr">
        <is>
          <t>续持</t>
        </is>
      </c>
      <c r="G2791" t="n">
        <v>1</v>
      </c>
      <c r="H2791" t="n">
        <v>505.88</v>
      </c>
      <c r="I2791" t="n">
        <v>496.95</v>
      </c>
      <c r="J2791" t="n">
        <v>1.58</v>
      </c>
      <c r="K2791" t="inlineStr">
        <is>
          <t>续持原仓（2024-03-05开）</t>
        </is>
      </c>
    </row>
    <row r="2792">
      <c r="A2792" t="inlineStr">
        <is>
          <t>2024-03-07</t>
        </is>
      </c>
      <c r="B2792" t="inlineStr">
        <is>
          <t>PVC</t>
        </is>
      </c>
      <c r="C2792" t="inlineStr">
        <is>
          <t>多</t>
        </is>
      </c>
      <c r="D2792" t="n">
        <v>3</v>
      </c>
      <c r="E2792" t="n">
        <v>6</v>
      </c>
      <c r="F2792" t="inlineStr">
        <is>
          <t>观望</t>
        </is>
      </c>
      <c r="G2792" t="n">
        <v>16</v>
      </c>
      <c r="H2792" t="n">
        <v>5882</v>
      </c>
      <c r="I2792" t="n">
        <v>5683.36</v>
      </c>
      <c r="J2792" t="n">
        <v>1.63</v>
      </c>
      <c r="K2792" t="inlineStr">
        <is>
          <t>逆5日线（收盘在5日线下，不追多）</t>
        </is>
      </c>
    </row>
    <row r="2793">
      <c r="A2793" t="inlineStr">
        <is>
          <t>2024-03-07</t>
        </is>
      </c>
      <c r="B2793" t="inlineStr">
        <is>
          <t>豆油</t>
        </is>
      </c>
      <c r="C2793" t="inlineStr">
        <is>
          <t>多</t>
        </is>
      </c>
      <c r="D2793" t="n">
        <v>2</v>
      </c>
      <c r="E2793" t="n">
        <v>5</v>
      </c>
      <c r="F2793" t="inlineStr">
        <is>
          <t>影子仓</t>
        </is>
      </c>
      <c r="G2793" t="n">
        <v>3</v>
      </c>
      <c r="H2793" t="n">
        <v>7508</v>
      </c>
      <c r="I2793" t="n">
        <v>7222.14</v>
      </c>
      <c r="J2793" t="n">
        <v>1</v>
      </c>
      <c r="K2793" t="inlineStr">
        <is>
          <t>凯利≤0，开1%影子仓（只统计，不计入组合）</t>
        </is>
      </c>
    </row>
    <row r="2794">
      <c r="A2794" t="inlineStr">
        <is>
          <t>2024-03-07</t>
        </is>
      </c>
      <c r="B2794" t="inlineStr">
        <is>
          <t>热卷</t>
        </is>
      </c>
      <c r="C2794" t="inlineStr">
        <is>
          <t>空</t>
        </is>
      </c>
      <c r="D2794" t="n">
        <v>2</v>
      </c>
      <c r="E2794" t="n">
        <v>5</v>
      </c>
      <c r="F2794" t="inlineStr">
        <is>
          <t>续持</t>
        </is>
      </c>
      <c r="G2794" t="n">
        <v>9</v>
      </c>
      <c r="H2794" t="n">
        <v>3853</v>
      </c>
      <c r="I2794" t="n">
        <v>3995.29</v>
      </c>
      <c r="J2794" t="n">
        <v>1.63</v>
      </c>
      <c r="K2794" t="inlineStr">
        <is>
          <t>续持原仓（2024-03-06开）</t>
        </is>
      </c>
    </row>
    <row r="2795">
      <c r="A2795" t="inlineStr">
        <is>
          <t>2024-03-07</t>
        </is>
      </c>
      <c r="B2795" t="inlineStr">
        <is>
          <t>菜粕</t>
        </is>
      </c>
      <c r="C2795" t="inlineStr">
        <is>
          <t>多</t>
        </is>
      </c>
      <c r="D2795" t="n">
        <v>2</v>
      </c>
      <c r="E2795" t="n">
        <v>5</v>
      </c>
      <c r="F2795" t="inlineStr">
        <is>
          <t>影子仓</t>
        </is>
      </c>
      <c r="G2795" t="n">
        <v>8</v>
      </c>
      <c r="H2795" t="n">
        <v>2529</v>
      </c>
      <c r="I2795" t="n">
        <v>2416.29</v>
      </c>
      <c r="J2795" t="n">
        <v>1</v>
      </c>
      <c r="K2795" t="inlineStr">
        <is>
          <t>凯利≤0，开1%影子仓（只统计，不计入组合）</t>
        </is>
      </c>
    </row>
    <row r="2796">
      <c r="A2796" t="inlineStr">
        <is>
          <t>2024-03-08</t>
        </is>
      </c>
      <c r="B2796" t="inlineStr">
        <is>
          <t>螺纹钢</t>
        </is>
      </c>
      <c r="C2796" t="inlineStr">
        <is>
          <t>空</t>
        </is>
      </c>
      <c r="D2796" t="n">
        <v>3</v>
      </c>
      <c r="E2796" t="n">
        <v>7</v>
      </c>
      <c r="F2796" t="inlineStr">
        <is>
          <t>开仓</t>
        </is>
      </c>
      <c r="G2796" t="n">
        <v>8</v>
      </c>
      <c r="H2796" t="n">
        <v>3691</v>
      </c>
      <c r="I2796" t="n">
        <v>3854.29</v>
      </c>
      <c r="J2796" t="n">
        <v>1.37</v>
      </c>
      <c r="K2796" t="inlineStr">
        <is>
          <t>与热卷高度相关（同组≤3%），预算缩小</t>
        </is>
      </c>
    </row>
    <row r="2797">
      <c r="A2797" t="inlineStr">
        <is>
          <t>2024-03-08</t>
        </is>
      </c>
      <c r="B2797" t="inlineStr">
        <is>
          <t>棕榈油</t>
        </is>
      </c>
      <c r="C2797" t="inlineStr">
        <is>
          <t>多</t>
        </is>
      </c>
      <c r="D2797" t="n">
        <v>3</v>
      </c>
      <c r="E2797" t="n">
        <v>6</v>
      </c>
      <c r="F2797" t="inlineStr">
        <is>
          <t>续持</t>
        </is>
      </c>
      <c r="G2797" t="n">
        <v>5</v>
      </c>
      <c r="H2797" t="n">
        <v>7818</v>
      </c>
      <c r="I2797" t="n">
        <v>7511.43</v>
      </c>
      <c r="J2797" t="n">
        <v>1.63</v>
      </c>
      <c r="K2797" t="inlineStr">
        <is>
          <t>续持原仓（2024-03-07开）</t>
        </is>
      </c>
    </row>
    <row r="2798">
      <c r="A2798" t="inlineStr">
        <is>
          <t>2024-03-08</t>
        </is>
      </c>
      <c r="B2798" t="inlineStr">
        <is>
          <t>沪金</t>
        </is>
      </c>
      <c r="C2798" t="inlineStr">
        <is>
          <t>多</t>
        </is>
      </c>
      <c r="D2798" t="n">
        <v>3</v>
      </c>
      <c r="E2798" t="n">
        <v>6</v>
      </c>
      <c r="F2798" t="inlineStr">
        <is>
          <t>续持</t>
        </is>
      </c>
      <c r="G2798" t="n">
        <v>1</v>
      </c>
      <c r="H2798" t="n">
        <v>506.28</v>
      </c>
      <c r="I2798" t="n">
        <v>497.41</v>
      </c>
      <c r="J2798" t="n">
        <v>1.58</v>
      </c>
      <c r="K2798" t="inlineStr">
        <is>
          <t>续持原仓（2024-03-05开）</t>
        </is>
      </c>
    </row>
    <row r="2799">
      <c r="A2799" t="inlineStr">
        <is>
          <t>2024-03-08</t>
        </is>
      </c>
      <c r="B2799" t="inlineStr">
        <is>
          <t>PVC</t>
        </is>
      </c>
      <c r="C2799" t="inlineStr">
        <is>
          <t>多</t>
        </is>
      </c>
      <c r="D2799" t="n">
        <v>3</v>
      </c>
      <c r="E2799" t="n">
        <v>6</v>
      </c>
      <c r="F2799" t="inlineStr">
        <is>
          <t>观望</t>
        </is>
      </c>
      <c r="G2799" t="n">
        <v>18</v>
      </c>
      <c r="H2799" t="n">
        <v>5906</v>
      </c>
      <c r="I2799" t="n">
        <v>5725.57</v>
      </c>
      <c r="J2799" t="n">
        <v>1.63</v>
      </c>
      <c r="K2799" t="inlineStr">
        <is>
          <t>逆5日线（收盘在5日线下，不追多）</t>
        </is>
      </c>
    </row>
    <row r="2800">
      <c r="A2800" t="inlineStr">
        <is>
          <t>2024-03-08</t>
        </is>
      </c>
      <c r="B2800" t="inlineStr">
        <is>
          <t>沪铝</t>
        </is>
      </c>
      <c r="C2800" t="inlineStr">
        <is>
          <t>多</t>
        </is>
      </c>
      <c r="D2800" t="n">
        <v>3</v>
      </c>
      <c r="E2800" t="n">
        <v>6</v>
      </c>
      <c r="F2800" t="inlineStr">
        <is>
          <t>开仓</t>
        </is>
      </c>
      <c r="G2800" t="n">
        <v>6</v>
      </c>
      <c r="H2800" t="n">
        <v>19200</v>
      </c>
      <c r="I2800" t="n">
        <v>18664.29</v>
      </c>
      <c r="J2800" t="n">
        <v>1.63</v>
      </c>
      <c r="K2800" t="inlineStr">
        <is>
          <t>¼凯利</t>
        </is>
      </c>
    </row>
    <row r="2801">
      <c r="A2801" t="inlineStr">
        <is>
          <t>2024-03-08</t>
        </is>
      </c>
      <c r="B2801" t="inlineStr">
        <is>
          <t>玉米</t>
        </is>
      </c>
      <c r="C2801" t="inlineStr">
        <is>
          <t>多</t>
        </is>
      </c>
      <c r="D2801" t="n">
        <v>2</v>
      </c>
      <c r="E2801" t="n">
        <v>5</v>
      </c>
      <c r="F2801" t="inlineStr">
        <is>
          <t>观望</t>
        </is>
      </c>
      <c r="G2801" t="n">
        <v>14</v>
      </c>
      <c r="H2801" t="n">
        <v>2445</v>
      </c>
      <c r="I2801" t="n">
        <v>2377.07</v>
      </c>
      <c r="J2801" t="n">
        <v>1</v>
      </c>
      <c r="K2801" t="inlineStr">
        <is>
          <t>逆5日线（收盘在5日线下，不追多）</t>
        </is>
      </c>
    </row>
    <row r="2802">
      <c r="A2802" t="inlineStr">
        <is>
          <t>2024-03-08</t>
        </is>
      </c>
      <c r="B2802" t="inlineStr">
        <is>
          <t>热卷</t>
        </is>
      </c>
      <c r="C2802" t="inlineStr">
        <is>
          <t>空</t>
        </is>
      </c>
      <c r="D2802" t="n">
        <v>2</v>
      </c>
      <c r="E2802" t="n">
        <v>5</v>
      </c>
      <c r="F2802" t="inlineStr">
        <is>
          <t>续持</t>
        </is>
      </c>
      <c r="G2802" t="n">
        <v>9</v>
      </c>
      <c r="H2802" t="n">
        <v>3841</v>
      </c>
      <c r="I2802" t="n">
        <v>3982.71</v>
      </c>
      <c r="J2802" t="n">
        <v>1.63</v>
      </c>
      <c r="K2802" t="inlineStr">
        <is>
          <t>续持原仓（2024-03-06开）</t>
        </is>
      </c>
    </row>
    <row r="2803">
      <c r="A2803" t="inlineStr">
        <is>
          <t>2024-03-11</t>
        </is>
      </c>
      <c r="B2803" t="inlineStr">
        <is>
          <t>螺纹钢</t>
        </is>
      </c>
      <c r="C2803" t="inlineStr">
        <is>
          <t>空</t>
        </is>
      </c>
      <c r="D2803" t="n">
        <v>3</v>
      </c>
      <c r="E2803" t="n">
        <v>7</v>
      </c>
      <c r="F2803" t="inlineStr">
        <is>
          <t>续持</t>
        </is>
      </c>
      <c r="G2803" t="n">
        <v>8</v>
      </c>
      <c r="H2803" t="n">
        <v>3606</v>
      </c>
      <c r="I2803" t="n">
        <v>3770.93</v>
      </c>
      <c r="J2803" t="n">
        <v>1.37</v>
      </c>
      <c r="K2803" t="inlineStr">
        <is>
          <t>续持原仓（2024-03-08开）</t>
        </is>
      </c>
    </row>
    <row r="2804">
      <c r="A2804" t="inlineStr">
        <is>
          <t>2024-03-11</t>
        </is>
      </c>
      <c r="B2804" t="inlineStr">
        <is>
          <t>玻璃</t>
        </is>
      </c>
      <c r="C2804" t="inlineStr">
        <is>
          <t>空</t>
        </is>
      </c>
      <c r="D2804" t="n">
        <v>3</v>
      </c>
      <c r="E2804" t="n">
        <v>7</v>
      </c>
      <c r="F2804" t="inlineStr">
        <is>
          <t>开仓</t>
        </is>
      </c>
      <c r="G2804" t="n">
        <v>6</v>
      </c>
      <c r="H2804" t="n">
        <v>1572</v>
      </c>
      <c r="I2804" t="n">
        <v>1703.36</v>
      </c>
      <c r="J2804" t="n">
        <v>1.71</v>
      </c>
      <c r="K2804" t="inlineStr">
        <is>
          <t>¼凯利</t>
        </is>
      </c>
    </row>
    <row r="2805">
      <c r="A2805" t="inlineStr">
        <is>
          <t>2024-03-11</t>
        </is>
      </c>
      <c r="B2805" t="inlineStr">
        <is>
          <t>菜粕</t>
        </is>
      </c>
      <c r="C2805" t="inlineStr">
        <is>
          <t>多</t>
        </is>
      </c>
      <c r="D2805" t="n">
        <v>3</v>
      </c>
      <c r="E2805" t="n">
        <v>7</v>
      </c>
      <c r="F2805" t="inlineStr">
        <is>
          <t>开仓</t>
        </is>
      </c>
      <c r="G2805" t="n">
        <v>3</v>
      </c>
      <c r="H2805" t="n">
        <v>2607</v>
      </c>
      <c r="I2805" t="n">
        <v>2482.5</v>
      </c>
      <c r="J2805" t="n">
        <v>0.38</v>
      </c>
      <c r="K2805" t="inlineStr">
        <is>
          <t>组合风险已近10%，预算缩小</t>
        </is>
      </c>
    </row>
    <row r="2806">
      <c r="A2806" t="inlineStr">
        <is>
          <t>2024-03-11</t>
        </is>
      </c>
      <c r="B2806" t="inlineStr">
        <is>
          <t>热卷</t>
        </is>
      </c>
      <c r="C2806" t="inlineStr">
        <is>
          <t>空</t>
        </is>
      </c>
      <c r="D2806" t="n">
        <v>3</v>
      </c>
      <c r="E2806" t="n">
        <v>6</v>
      </c>
      <c r="F2806" t="inlineStr">
        <is>
          <t>续持</t>
        </is>
      </c>
      <c r="G2806" t="n">
        <v>9</v>
      </c>
      <c r="H2806" t="n">
        <v>3767</v>
      </c>
      <c r="I2806" t="n">
        <v>3922.21</v>
      </c>
      <c r="J2806" t="n">
        <v>1.63</v>
      </c>
      <c r="K2806" t="inlineStr">
        <is>
          <t>续持原仓（2024-03-06开）</t>
        </is>
      </c>
    </row>
    <row r="2807">
      <c r="A2807" t="inlineStr">
        <is>
          <t>2024-03-11</t>
        </is>
      </c>
      <c r="B2807" t="inlineStr">
        <is>
          <t>沪铝</t>
        </is>
      </c>
      <c r="C2807" t="inlineStr">
        <is>
          <t>多</t>
        </is>
      </c>
      <c r="D2807" t="n">
        <v>2</v>
      </c>
      <c r="E2807" t="n">
        <v>5</v>
      </c>
      <c r="F2807" t="inlineStr">
        <is>
          <t>续持</t>
        </is>
      </c>
      <c r="G2807" t="n">
        <v>6</v>
      </c>
      <c r="H2807" t="n">
        <v>19180</v>
      </c>
      <c r="I2807" t="n">
        <v>18694.29</v>
      </c>
      <c r="J2807" t="n">
        <v>1.63</v>
      </c>
      <c r="K2807" t="inlineStr">
        <is>
          <t>续持原仓（2024-03-08开）</t>
        </is>
      </c>
    </row>
    <row r="2808">
      <c r="A2808" t="inlineStr">
        <is>
          <t>2024-03-11</t>
        </is>
      </c>
      <c r="B2808" t="inlineStr">
        <is>
          <t>棕榈油</t>
        </is>
      </c>
      <c r="C2808" t="inlineStr">
        <is>
          <t>多</t>
        </is>
      </c>
      <c r="D2808" t="n">
        <v>2</v>
      </c>
      <c r="E2808" t="n">
        <v>4</v>
      </c>
      <c r="F2808" t="inlineStr">
        <is>
          <t>续持</t>
        </is>
      </c>
      <c r="G2808" t="n">
        <v>5</v>
      </c>
      <c r="H2808" t="n">
        <v>7768</v>
      </c>
      <c r="I2808" t="n">
        <v>7513.14</v>
      </c>
      <c r="J2808" t="n">
        <v>1.63</v>
      </c>
      <c r="K2808" t="inlineStr">
        <is>
          <t>续持原仓（2024-03-07开）</t>
        </is>
      </c>
    </row>
    <row r="2809">
      <c r="A2809" t="inlineStr">
        <is>
          <t>2024-03-12</t>
        </is>
      </c>
      <c r="B2809" t="inlineStr">
        <is>
          <t>棕榈油</t>
        </is>
      </c>
      <c r="C2809" t="inlineStr">
        <is>
          <t>多</t>
        </is>
      </c>
      <c r="D2809" t="n">
        <v>3</v>
      </c>
      <c r="E2809" t="n">
        <v>6</v>
      </c>
      <c r="F2809" t="inlineStr">
        <is>
          <t>续持</t>
        </is>
      </c>
      <c r="G2809" t="n">
        <v>5</v>
      </c>
      <c r="H2809" t="n">
        <v>7852</v>
      </c>
      <c r="I2809" t="n">
        <v>7564.29</v>
      </c>
      <c r="J2809" t="n">
        <v>1.63</v>
      </c>
      <c r="K2809" t="inlineStr">
        <is>
          <t>续持原仓（2024-03-07开）</t>
        </is>
      </c>
    </row>
    <row r="2810">
      <c r="A2810" t="inlineStr">
        <is>
          <t>2024-03-12</t>
        </is>
      </c>
      <c r="B2810" t="inlineStr">
        <is>
          <t>玉米</t>
        </is>
      </c>
      <c r="C2810" t="inlineStr">
        <is>
          <t>多</t>
        </is>
      </c>
      <c r="D2810" t="n">
        <v>3</v>
      </c>
      <c r="E2810" t="n">
        <v>6</v>
      </c>
      <c r="F2810" t="inlineStr">
        <is>
          <t>观望</t>
        </is>
      </c>
      <c r="G2810" t="n">
        <v>5</v>
      </c>
      <c r="H2810" t="n">
        <v>2441</v>
      </c>
      <c r="I2810" t="n">
        <v>2373.93</v>
      </c>
      <c r="J2810" t="n">
        <v>0.38</v>
      </c>
      <c r="K2810" t="inlineStr">
        <is>
          <t>逆5日线（收盘在5日线下，不追多）</t>
        </is>
      </c>
    </row>
    <row r="2811">
      <c r="A2811" t="inlineStr">
        <is>
          <t>2024-03-12</t>
        </is>
      </c>
      <c r="B2811" t="inlineStr">
        <is>
          <t>沪铝</t>
        </is>
      </c>
      <c r="C2811" t="inlineStr">
        <is>
          <t>多</t>
        </is>
      </c>
      <c r="D2811" t="n">
        <v>3</v>
      </c>
      <c r="E2811" t="n">
        <v>6</v>
      </c>
      <c r="F2811" t="inlineStr">
        <is>
          <t>续持</t>
        </is>
      </c>
      <c r="G2811" t="n">
        <v>6</v>
      </c>
      <c r="H2811" t="n">
        <v>19180</v>
      </c>
      <c r="I2811" t="n">
        <v>18786.07</v>
      </c>
      <c r="J2811" t="n">
        <v>1.63</v>
      </c>
      <c r="K2811" t="inlineStr">
        <is>
          <t>续持原仓（2024-03-08开）</t>
        </is>
      </c>
    </row>
    <row r="2812">
      <c r="A2812" t="inlineStr">
        <is>
          <t>2024-03-12</t>
        </is>
      </c>
      <c r="B2812" t="inlineStr">
        <is>
          <t>螺纹钢</t>
        </is>
      </c>
      <c r="C2812" t="inlineStr">
        <is>
          <t>空</t>
        </is>
      </c>
      <c r="D2812" t="n">
        <v>2</v>
      </c>
      <c r="E2812" t="n">
        <v>5</v>
      </c>
      <c r="F2812" t="inlineStr">
        <is>
          <t>续持</t>
        </is>
      </c>
      <c r="G2812" t="n">
        <v>8</v>
      </c>
      <c r="H2812" t="n">
        <v>3636</v>
      </c>
      <c r="I2812" t="n">
        <v>3748.14</v>
      </c>
      <c r="J2812" t="n">
        <v>1.37</v>
      </c>
      <c r="K2812" t="inlineStr">
        <is>
          <t>续持原仓（2024-03-08开）</t>
        </is>
      </c>
    </row>
    <row r="2813">
      <c r="A2813" t="inlineStr">
        <is>
          <t>2024-03-12</t>
        </is>
      </c>
      <c r="B2813" t="inlineStr">
        <is>
          <t>沪金</t>
        </is>
      </c>
      <c r="C2813" t="inlineStr">
        <is>
          <t>多</t>
        </is>
      </c>
      <c r="D2813" t="n">
        <v>2</v>
      </c>
      <c r="E2813" t="n">
        <v>5</v>
      </c>
      <c r="F2813" t="inlineStr">
        <is>
          <t>不做</t>
        </is>
      </c>
      <c r="H2813" t="n">
        <v>506.74</v>
      </c>
      <c r="J2813" t="n">
        <v>1</v>
      </c>
      <c r="K2813" t="inlineStr">
        <is>
          <t>1手风险11601元超过预算10000元</t>
        </is>
      </c>
    </row>
    <row r="2814">
      <c r="A2814" t="inlineStr">
        <is>
          <t>2024-03-12</t>
        </is>
      </c>
      <c r="B2814" t="inlineStr">
        <is>
          <t>沪银</t>
        </is>
      </c>
      <c r="C2814" t="inlineStr">
        <is>
          <t>多</t>
        </is>
      </c>
      <c r="D2814" t="n">
        <v>2</v>
      </c>
      <c r="E2814" t="n">
        <v>5</v>
      </c>
      <c r="F2814" t="inlineStr">
        <is>
          <t>影子仓</t>
        </is>
      </c>
      <c r="G2814" t="n">
        <v>3</v>
      </c>
      <c r="H2814" t="n">
        <v>6155</v>
      </c>
      <c r="I2814" t="n">
        <v>5946.71</v>
      </c>
      <c r="J2814" t="n">
        <v>1</v>
      </c>
      <c r="K2814" t="inlineStr">
        <is>
          <t>凯利≤0，开1%影子仓（只统计，不计入组合）</t>
        </is>
      </c>
    </row>
    <row r="2815">
      <c r="A2815" t="inlineStr">
        <is>
          <t>2024-03-12</t>
        </is>
      </c>
      <c r="B2815" t="inlineStr">
        <is>
          <t>热卷</t>
        </is>
      </c>
      <c r="C2815" t="inlineStr">
        <is>
          <t>空</t>
        </is>
      </c>
      <c r="D2815" t="n">
        <v>2</v>
      </c>
      <c r="E2815" t="n">
        <v>5</v>
      </c>
      <c r="F2815" t="inlineStr">
        <is>
          <t>续持</t>
        </is>
      </c>
      <c r="G2815" t="n">
        <v>9</v>
      </c>
      <c r="H2815" t="n">
        <v>3804</v>
      </c>
      <c r="I2815" t="n">
        <v>3907</v>
      </c>
      <c r="J2815" t="n">
        <v>1.63</v>
      </c>
      <c r="K2815" t="inlineStr">
        <is>
          <t>续持原仓（2024-03-06开）</t>
        </is>
      </c>
    </row>
    <row r="2816">
      <c r="A2816" t="inlineStr">
        <is>
          <t>2024-03-12</t>
        </is>
      </c>
      <c r="B2816" t="inlineStr">
        <is>
          <t>玻璃</t>
        </is>
      </c>
      <c r="C2816" t="inlineStr">
        <is>
          <t>空</t>
        </is>
      </c>
      <c r="D2816" t="n">
        <v>2</v>
      </c>
      <c r="E2816" t="n">
        <v>4</v>
      </c>
      <c r="F2816" t="inlineStr">
        <is>
          <t>续持</t>
        </is>
      </c>
      <c r="G2816" t="n">
        <v>6</v>
      </c>
      <c r="H2816" t="n">
        <v>1598</v>
      </c>
      <c r="I2816" t="n">
        <v>1698.29</v>
      </c>
      <c r="J2816" t="n">
        <v>1.71</v>
      </c>
      <c r="K2816" t="inlineStr">
        <is>
          <t>续持原仓（2024-03-11开）</t>
        </is>
      </c>
    </row>
    <row r="2817">
      <c r="A2817" t="inlineStr">
        <is>
          <t>2024-03-13</t>
        </is>
      </c>
      <c r="B2817" t="inlineStr">
        <is>
          <t>棕榈油</t>
        </is>
      </c>
      <c r="C2817" t="inlineStr">
        <is>
          <t>多</t>
        </is>
      </c>
      <c r="D2817" t="n">
        <v>3</v>
      </c>
      <c r="E2817" t="n">
        <v>7</v>
      </c>
      <c r="F2817" t="inlineStr">
        <is>
          <t>续持</t>
        </is>
      </c>
      <c r="G2817" t="n">
        <v>5</v>
      </c>
      <c r="H2817" t="n">
        <v>7900</v>
      </c>
      <c r="I2817" t="n">
        <v>7592.86</v>
      </c>
      <c r="J2817" t="n">
        <v>1.63</v>
      </c>
      <c r="K2817" t="inlineStr">
        <is>
          <t>续持原仓（2024-03-07开）</t>
        </is>
      </c>
    </row>
    <row r="2818">
      <c r="A2818" t="inlineStr">
        <is>
          <t>2024-03-13</t>
        </is>
      </c>
      <c r="B2818" t="inlineStr">
        <is>
          <t>豆油</t>
        </is>
      </c>
      <c r="C2818" t="inlineStr">
        <is>
          <t>多</t>
        </is>
      </c>
      <c r="D2818" t="n">
        <v>3</v>
      </c>
      <c r="E2818" t="n">
        <v>7</v>
      </c>
      <c r="F2818" t="inlineStr">
        <is>
          <t>开仓</t>
        </is>
      </c>
      <c r="G2818" t="n">
        <v>4</v>
      </c>
      <c r="H2818" t="n">
        <v>7704</v>
      </c>
      <c r="I2818" t="n">
        <v>7428.43</v>
      </c>
      <c r="J2818" t="n">
        <v>1.37</v>
      </c>
      <c r="K2818" t="inlineStr">
        <is>
          <t>与棕榈油高度相关（同组≤3%），预算缩小</t>
        </is>
      </c>
    </row>
    <row r="2819">
      <c r="A2819" t="inlineStr">
        <is>
          <t>2024-03-13</t>
        </is>
      </c>
      <c r="B2819" t="inlineStr">
        <is>
          <t>热卷</t>
        </is>
      </c>
      <c r="C2819" t="inlineStr">
        <is>
          <t>空</t>
        </is>
      </c>
      <c r="D2819" t="n">
        <v>3</v>
      </c>
      <c r="E2819" t="n">
        <v>7</v>
      </c>
      <c r="F2819" t="inlineStr">
        <is>
          <t>续持</t>
        </is>
      </c>
      <c r="G2819" t="n">
        <v>9</v>
      </c>
      <c r="H2819" t="n">
        <v>3769</v>
      </c>
      <c r="I2819" t="n">
        <v>3906.07</v>
      </c>
      <c r="J2819" t="n">
        <v>1.63</v>
      </c>
      <c r="K2819" t="inlineStr">
        <is>
          <t>续持原仓（2024-03-06开）</t>
        </is>
      </c>
    </row>
    <row r="2820">
      <c r="A2820" t="inlineStr">
        <is>
          <t>2024-03-13</t>
        </is>
      </c>
      <c r="B2820" t="inlineStr">
        <is>
          <t>沪镍</t>
        </is>
      </c>
      <c r="C2820" t="inlineStr">
        <is>
          <t>多</t>
        </is>
      </c>
      <c r="D2820" t="n">
        <v>3</v>
      </c>
      <c r="E2820" t="n">
        <v>6</v>
      </c>
      <c r="F2820" t="inlineStr">
        <is>
          <t>开仓</t>
        </is>
      </c>
      <c r="G2820" t="n">
        <v>1</v>
      </c>
      <c r="H2820" t="n">
        <v>142050</v>
      </c>
      <c r="I2820" t="n">
        <v>132424.29</v>
      </c>
      <c r="J2820" t="n">
        <v>1.84</v>
      </c>
      <c r="K2820" t="inlineStr">
        <is>
          <t>¼凯利</t>
        </is>
      </c>
    </row>
    <row r="2821">
      <c r="A2821" t="inlineStr">
        <is>
          <t>2024-03-13</t>
        </is>
      </c>
      <c r="B2821" t="inlineStr">
        <is>
          <t>沪金</t>
        </is>
      </c>
      <c r="C2821" t="inlineStr">
        <is>
          <t>多</t>
        </is>
      </c>
      <c r="D2821" t="n">
        <v>3</v>
      </c>
      <c r="E2821" t="n">
        <v>6</v>
      </c>
      <c r="F2821" t="inlineStr">
        <is>
          <t>观望</t>
        </is>
      </c>
      <c r="G2821" t="n">
        <v>1</v>
      </c>
      <c r="H2821" t="n">
        <v>505.62</v>
      </c>
      <c r="I2821" t="n">
        <v>493.78</v>
      </c>
      <c r="J2821" t="n">
        <v>1.84</v>
      </c>
      <c r="K2821" t="inlineStr">
        <is>
          <t>逆5日线（收盘在5日线下，不追多）</t>
        </is>
      </c>
    </row>
    <row r="2822">
      <c r="A2822" t="inlineStr">
        <is>
          <t>2024-03-13</t>
        </is>
      </c>
      <c r="B2822" t="inlineStr">
        <is>
          <t>沪银</t>
        </is>
      </c>
      <c r="C2822" t="inlineStr">
        <is>
          <t>多</t>
        </is>
      </c>
      <c r="D2822" t="n">
        <v>3</v>
      </c>
      <c r="E2822" t="n">
        <v>6</v>
      </c>
      <c r="F2822" t="inlineStr">
        <is>
          <t>观望</t>
        </is>
      </c>
      <c r="G2822" t="n">
        <v>5</v>
      </c>
      <c r="H2822" t="n">
        <v>6146</v>
      </c>
      <c r="I2822" t="n">
        <v>5936</v>
      </c>
      <c r="J2822" t="n">
        <v>1.84</v>
      </c>
      <c r="K2822" t="inlineStr">
        <is>
          <t>逆5日线（收盘在5日线下，不追多）</t>
        </is>
      </c>
    </row>
    <row r="2823">
      <c r="A2823" t="inlineStr">
        <is>
          <t>2024-03-14</t>
        </is>
      </c>
      <c r="B2823" t="inlineStr">
        <is>
          <t>豆油</t>
        </is>
      </c>
      <c r="C2823" t="inlineStr">
        <is>
          <t>多</t>
        </is>
      </c>
      <c r="D2823" t="n">
        <v>3</v>
      </c>
      <c r="E2823" t="n">
        <v>7</v>
      </c>
      <c r="F2823" t="inlineStr">
        <is>
          <t>续持</t>
        </is>
      </c>
      <c r="G2823" t="n">
        <v>4</v>
      </c>
      <c r="H2823" t="n">
        <v>7770</v>
      </c>
      <c r="I2823" t="n">
        <v>7562.29</v>
      </c>
      <c r="J2823" t="n">
        <v>1.37</v>
      </c>
      <c r="K2823" t="inlineStr">
        <is>
          <t>续持原仓（2024-03-13开）</t>
        </is>
      </c>
    </row>
    <row r="2824">
      <c r="A2824" t="inlineStr">
        <is>
          <t>2024-03-14</t>
        </is>
      </c>
      <c r="B2824" t="inlineStr">
        <is>
          <t>热卷</t>
        </is>
      </c>
      <c r="C2824" t="inlineStr">
        <is>
          <t>空</t>
        </is>
      </c>
      <c r="D2824" t="n">
        <v>3</v>
      </c>
      <c r="E2824" t="n">
        <v>7</v>
      </c>
      <c r="F2824" t="inlineStr">
        <is>
          <t>续持</t>
        </is>
      </c>
      <c r="G2824" t="n">
        <v>9</v>
      </c>
      <c r="H2824" t="n">
        <v>3701</v>
      </c>
      <c r="I2824" t="n">
        <v>3860.93</v>
      </c>
      <c r="J2824" t="n">
        <v>1.63</v>
      </c>
      <c r="K2824" t="inlineStr">
        <is>
          <t>续持原仓（2024-03-06开）</t>
        </is>
      </c>
    </row>
    <row r="2825">
      <c r="A2825" t="inlineStr">
        <is>
          <t>2024-03-14</t>
        </is>
      </c>
      <c r="B2825" t="inlineStr">
        <is>
          <t>菜粕</t>
        </is>
      </c>
      <c r="C2825" t="inlineStr">
        <is>
          <t>多</t>
        </is>
      </c>
      <c r="D2825" t="n">
        <v>3</v>
      </c>
      <c r="E2825" t="n">
        <v>7</v>
      </c>
      <c r="F2825" t="inlineStr">
        <is>
          <t>开仓</t>
        </is>
      </c>
      <c r="G2825" t="n">
        <v>13</v>
      </c>
      <c r="H2825" t="n">
        <v>2647</v>
      </c>
      <c r="I2825" t="n">
        <v>2506.43</v>
      </c>
      <c r="J2825" t="n">
        <v>1.84</v>
      </c>
      <c r="K2825" t="inlineStr">
        <is>
          <t>¼凯利</t>
        </is>
      </c>
    </row>
    <row r="2826">
      <c r="A2826" t="inlineStr">
        <is>
          <t>2024-03-14</t>
        </is>
      </c>
      <c r="B2826" t="inlineStr">
        <is>
          <t>螺纹钢</t>
        </is>
      </c>
      <c r="C2826" t="inlineStr">
        <is>
          <t>空</t>
        </is>
      </c>
      <c r="D2826" t="n">
        <v>3</v>
      </c>
      <c r="E2826" t="n">
        <v>6</v>
      </c>
      <c r="F2826" t="inlineStr">
        <is>
          <t>不做</t>
        </is>
      </c>
      <c r="H2826" t="n">
        <v>3506</v>
      </c>
      <c r="J2826" t="n">
        <v>0.04</v>
      </c>
      <c r="K2826" t="inlineStr">
        <is>
          <t>组合风险已近10%，预算缩小</t>
        </is>
      </c>
    </row>
    <row r="2827">
      <c r="A2827" t="inlineStr">
        <is>
          <t>2024-03-14</t>
        </is>
      </c>
      <c r="B2827" t="inlineStr">
        <is>
          <t>沪银</t>
        </is>
      </c>
      <c r="C2827" t="inlineStr">
        <is>
          <t>多</t>
        </is>
      </c>
      <c r="D2827" t="n">
        <v>3</v>
      </c>
      <c r="E2827" t="n">
        <v>6</v>
      </c>
      <c r="F2827" t="inlineStr">
        <is>
          <t>续持</t>
        </is>
      </c>
      <c r="G2827" t="n">
        <v>3</v>
      </c>
      <c r="H2827" t="n">
        <v>6287</v>
      </c>
      <c r="I2827" t="n">
        <v>6110.5</v>
      </c>
      <c r="J2827" t="n">
        <v>1</v>
      </c>
      <c r="K2827" t="inlineStr">
        <is>
          <t>续持原仓（2024-03-12开）</t>
        </is>
      </c>
    </row>
    <row r="2828">
      <c r="A2828" t="inlineStr">
        <is>
          <t>2024-03-14</t>
        </is>
      </c>
      <c r="B2828" t="inlineStr">
        <is>
          <t>棕榈油</t>
        </is>
      </c>
      <c r="C2828" t="inlineStr">
        <is>
          <t>多</t>
        </is>
      </c>
      <c r="D2828" t="n">
        <v>2</v>
      </c>
      <c r="E2828" t="n">
        <v>5</v>
      </c>
      <c r="F2828" t="inlineStr">
        <is>
          <t>续持</t>
        </is>
      </c>
      <c r="G2828" t="n">
        <v>5</v>
      </c>
      <c r="H2828" t="n">
        <v>8132</v>
      </c>
      <c r="I2828" t="n">
        <v>7824</v>
      </c>
      <c r="J2828" t="n">
        <v>1.63</v>
      </c>
      <c r="K2828" t="inlineStr">
        <is>
          <t>续持原仓（2024-03-07开）</t>
        </is>
      </c>
    </row>
    <row r="2829">
      <c r="A2829" t="inlineStr">
        <is>
          <t>2024-03-14</t>
        </is>
      </c>
      <c r="B2829" t="inlineStr">
        <is>
          <t>沪金</t>
        </is>
      </c>
      <c r="C2829" t="inlineStr">
        <is>
          <t>多</t>
        </is>
      </c>
      <c r="D2829" t="n">
        <v>2</v>
      </c>
      <c r="E2829" t="n">
        <v>5</v>
      </c>
      <c r="F2829" t="inlineStr">
        <is>
          <t>观望</t>
        </is>
      </c>
      <c r="H2829" t="n">
        <v>506.34</v>
      </c>
      <c r="J2829" t="n">
        <v>1</v>
      </c>
      <c r="K2829" t="inlineStr">
        <is>
          <t>逆5日线（收盘在5日线下，不追多）</t>
        </is>
      </c>
    </row>
    <row r="2830">
      <c r="A2830" t="inlineStr">
        <is>
          <t>2024-03-15</t>
        </is>
      </c>
      <c r="B2830" t="inlineStr">
        <is>
          <t>豆油</t>
        </is>
      </c>
      <c r="C2830" t="inlineStr">
        <is>
          <t>多</t>
        </is>
      </c>
      <c r="D2830" t="n">
        <v>3</v>
      </c>
      <c r="E2830" t="n">
        <v>7</v>
      </c>
      <c r="F2830" t="inlineStr">
        <is>
          <t>续持</t>
        </is>
      </c>
      <c r="G2830" t="n">
        <v>4</v>
      </c>
      <c r="H2830" t="n">
        <v>7818</v>
      </c>
      <c r="I2830" t="n">
        <v>7569.86</v>
      </c>
      <c r="J2830" t="n">
        <v>1.37</v>
      </c>
      <c r="K2830" t="inlineStr">
        <is>
          <t>续持原仓（2024-03-13开）</t>
        </is>
      </c>
    </row>
    <row r="2831">
      <c r="A2831" t="inlineStr">
        <is>
          <t>2024-03-15</t>
        </is>
      </c>
      <c r="B2831" t="inlineStr">
        <is>
          <t>螺纹钢</t>
        </is>
      </c>
      <c r="C2831" t="inlineStr">
        <is>
          <t>空</t>
        </is>
      </c>
      <c r="D2831" t="n">
        <v>3</v>
      </c>
      <c r="E2831" t="n">
        <v>7</v>
      </c>
      <c r="F2831" t="inlineStr">
        <is>
          <t>不做</t>
        </is>
      </c>
      <c r="H2831" t="n">
        <v>3490</v>
      </c>
      <c r="J2831" t="n">
        <v>0.04</v>
      </c>
      <c r="K2831" t="inlineStr">
        <is>
          <t>组合风险已近10%，预算缩小</t>
        </is>
      </c>
    </row>
    <row r="2832">
      <c r="A2832" t="inlineStr">
        <is>
          <t>2024-03-15</t>
        </is>
      </c>
      <c r="B2832" t="inlineStr">
        <is>
          <t>沪金</t>
        </is>
      </c>
      <c r="C2832" t="inlineStr">
        <is>
          <t>多</t>
        </is>
      </c>
      <c r="D2832" t="n">
        <v>3</v>
      </c>
      <c r="E2832" t="n">
        <v>7</v>
      </c>
      <c r="F2832" t="inlineStr">
        <is>
          <t>不做</t>
        </is>
      </c>
      <c r="H2832" t="n">
        <v>508.16</v>
      </c>
      <c r="J2832" t="n">
        <v>0.04</v>
      </c>
      <c r="K2832" t="inlineStr">
        <is>
          <t>组合风险已近10%，预算缩小</t>
        </is>
      </c>
    </row>
    <row r="2833">
      <c r="A2833" t="inlineStr">
        <is>
          <t>2024-03-15</t>
        </is>
      </c>
      <c r="B2833" t="inlineStr">
        <is>
          <t>沪铝</t>
        </is>
      </c>
      <c r="C2833" t="inlineStr">
        <is>
          <t>多</t>
        </is>
      </c>
      <c r="D2833" t="n">
        <v>3</v>
      </c>
      <c r="E2833" t="n">
        <v>7</v>
      </c>
      <c r="F2833" t="inlineStr">
        <is>
          <t>不做</t>
        </is>
      </c>
      <c r="H2833" t="n">
        <v>19295</v>
      </c>
      <c r="J2833" t="n">
        <v>0.04</v>
      </c>
      <c r="K2833" t="inlineStr">
        <is>
          <t>组合风险已近10%，预算缩小</t>
        </is>
      </c>
    </row>
    <row r="2834">
      <c r="A2834" t="inlineStr">
        <is>
          <t>2024-03-15</t>
        </is>
      </c>
      <c r="B2834" t="inlineStr">
        <is>
          <t>铁矿石</t>
        </is>
      </c>
      <c r="C2834" t="inlineStr">
        <is>
          <t>空</t>
        </is>
      </c>
      <c r="D2834" t="n">
        <v>3</v>
      </c>
      <c r="E2834" t="n">
        <v>7</v>
      </c>
      <c r="F2834" t="inlineStr">
        <is>
          <t>不做</t>
        </is>
      </c>
      <c r="H2834" t="n">
        <v>781.5</v>
      </c>
      <c r="J2834" t="n">
        <v>0.04</v>
      </c>
      <c r="K2834" t="inlineStr">
        <is>
          <t>组合风险已近10%，预算缩小</t>
        </is>
      </c>
    </row>
    <row r="2835">
      <c r="A2835" t="inlineStr">
        <is>
          <t>2024-03-15</t>
        </is>
      </c>
      <c r="B2835" t="inlineStr">
        <is>
          <t>豆粕</t>
        </is>
      </c>
      <c r="C2835" t="inlineStr">
        <is>
          <t>多</t>
        </is>
      </c>
      <c r="D2835" t="n">
        <v>3</v>
      </c>
      <c r="E2835" t="n">
        <v>7</v>
      </c>
      <c r="F2835" t="inlineStr">
        <is>
          <t>不做</t>
        </is>
      </c>
      <c r="H2835" t="n">
        <v>3292</v>
      </c>
      <c r="J2835" t="n">
        <v>0.04</v>
      </c>
      <c r="K2835" t="inlineStr">
        <is>
          <t>组合风险已近10%，预算缩小</t>
        </is>
      </c>
    </row>
    <row r="2836">
      <c r="A2836" t="inlineStr">
        <is>
          <t>2024-03-15</t>
        </is>
      </c>
      <c r="B2836" t="inlineStr">
        <is>
          <t>棕榈油</t>
        </is>
      </c>
      <c r="C2836" t="inlineStr">
        <is>
          <t>多</t>
        </is>
      </c>
      <c r="D2836" t="n">
        <v>3</v>
      </c>
      <c r="E2836" t="n">
        <v>6</v>
      </c>
      <c r="F2836" t="inlineStr">
        <is>
          <t>续持</t>
        </is>
      </c>
      <c r="G2836" t="n">
        <v>5</v>
      </c>
      <c r="H2836" t="n">
        <v>8084</v>
      </c>
      <c r="I2836" t="n">
        <v>7863</v>
      </c>
      <c r="J2836" t="n">
        <v>1.63</v>
      </c>
      <c r="K2836" t="inlineStr">
        <is>
          <t>续持原仓（2024-03-07开）</t>
        </is>
      </c>
    </row>
    <row r="2837">
      <c r="A2837" t="inlineStr">
        <is>
          <t>2024-03-15</t>
        </is>
      </c>
      <c r="B2837" t="inlineStr">
        <is>
          <t>热卷</t>
        </is>
      </c>
      <c r="C2837" t="inlineStr">
        <is>
          <t>空</t>
        </is>
      </c>
      <c r="D2837" t="n">
        <v>2</v>
      </c>
      <c r="E2837" t="n">
        <v>5</v>
      </c>
      <c r="F2837" t="inlineStr">
        <is>
          <t>续持</t>
        </is>
      </c>
      <c r="G2837" t="n">
        <v>9</v>
      </c>
      <c r="H2837" t="n">
        <v>3692</v>
      </c>
      <c r="I2837" t="n">
        <v>3840.43</v>
      </c>
      <c r="J2837" t="n">
        <v>1.63</v>
      </c>
      <c r="K2837" t="inlineStr">
        <is>
          <t>续持原仓（2024-03-06开）</t>
        </is>
      </c>
    </row>
    <row r="2838">
      <c r="A2838" t="inlineStr">
        <is>
          <t>2024-03-15</t>
        </is>
      </c>
      <c r="B2838" t="inlineStr">
        <is>
          <t>玻璃</t>
        </is>
      </c>
      <c r="C2838" t="inlineStr">
        <is>
          <t>空</t>
        </is>
      </c>
      <c r="D2838" t="n">
        <v>2</v>
      </c>
      <c r="E2838" t="n">
        <v>4</v>
      </c>
      <c r="F2838" t="inlineStr">
        <is>
          <t>观望</t>
        </is>
      </c>
      <c r="G2838" t="n">
        <v>3</v>
      </c>
      <c r="H2838" t="n">
        <v>1603</v>
      </c>
      <c r="I2838" t="n">
        <v>1737.57</v>
      </c>
      <c r="J2838" t="n">
        <v>1</v>
      </c>
      <c r="K2838" t="inlineStr">
        <is>
          <t>逆5日线（收盘在5日线上，不追空）</t>
        </is>
      </c>
    </row>
    <row r="2839">
      <c r="A2839" t="inlineStr">
        <is>
          <t>2024-03-18</t>
        </is>
      </c>
      <c r="B2839" t="inlineStr">
        <is>
          <t>豆油</t>
        </is>
      </c>
      <c r="C2839" t="inlineStr">
        <is>
          <t>多</t>
        </is>
      </c>
      <c r="D2839" t="n">
        <v>3</v>
      </c>
      <c r="E2839" t="n">
        <v>7</v>
      </c>
      <c r="F2839" t="inlineStr">
        <is>
          <t>续持</t>
        </is>
      </c>
      <c r="G2839" t="n">
        <v>4</v>
      </c>
      <c r="H2839" t="n">
        <v>7844</v>
      </c>
      <c r="I2839" t="n">
        <v>7637.86</v>
      </c>
      <c r="J2839" t="n">
        <v>1.37</v>
      </c>
      <c r="K2839" t="inlineStr">
        <is>
          <t>续持原仓（2024-03-13开）</t>
        </is>
      </c>
    </row>
    <row r="2840">
      <c r="A2840" t="inlineStr">
        <is>
          <t>2024-03-18</t>
        </is>
      </c>
      <c r="B2840" t="inlineStr">
        <is>
          <t>菜粕</t>
        </is>
      </c>
      <c r="C2840" t="inlineStr">
        <is>
          <t>多</t>
        </is>
      </c>
      <c r="D2840" t="n">
        <v>3</v>
      </c>
      <c r="E2840" t="n">
        <v>6</v>
      </c>
      <c r="F2840" t="inlineStr">
        <is>
          <t>续持</t>
        </is>
      </c>
      <c r="G2840" t="n">
        <v>13</v>
      </c>
      <c r="H2840" t="n">
        <v>2649</v>
      </c>
      <c r="I2840" t="n">
        <v>2555.79</v>
      </c>
      <c r="J2840" t="n">
        <v>1.84</v>
      </c>
      <c r="K2840" t="inlineStr">
        <is>
          <t>续持原仓（2024-03-14开）</t>
        </is>
      </c>
    </row>
    <row r="2841">
      <c r="A2841" t="inlineStr">
        <is>
          <t>2024-03-18</t>
        </is>
      </c>
      <c r="B2841" t="inlineStr">
        <is>
          <t>沪铜</t>
        </is>
      </c>
      <c r="C2841" t="inlineStr">
        <is>
          <t>多</t>
        </is>
      </c>
      <c r="D2841" t="n">
        <v>3</v>
      </c>
      <c r="E2841" t="n">
        <v>6</v>
      </c>
      <c r="F2841" t="inlineStr">
        <is>
          <t>开仓</t>
        </is>
      </c>
      <c r="G2841" t="n">
        <v>1</v>
      </c>
      <c r="H2841" t="n">
        <v>72830</v>
      </c>
      <c r="I2841" t="n">
        <v>70725.71000000001</v>
      </c>
      <c r="J2841" t="n">
        <v>1.67</v>
      </c>
      <c r="K2841" t="inlineStr">
        <is>
          <t>组合风险已近10%，预算缩小</t>
        </is>
      </c>
    </row>
    <row r="2842">
      <c r="A2842" t="inlineStr">
        <is>
          <t>2024-03-18</t>
        </is>
      </c>
      <c r="B2842" t="inlineStr">
        <is>
          <t>热卷</t>
        </is>
      </c>
      <c r="C2842" t="inlineStr">
        <is>
          <t>空</t>
        </is>
      </c>
      <c r="D2842" t="n">
        <v>2</v>
      </c>
      <c r="E2842" t="n">
        <v>5</v>
      </c>
      <c r="F2842" t="inlineStr">
        <is>
          <t>续持</t>
        </is>
      </c>
      <c r="G2842" t="n">
        <v>9</v>
      </c>
      <c r="H2842" t="n">
        <v>3725</v>
      </c>
      <c r="I2842" t="n">
        <v>3786.21</v>
      </c>
      <c r="J2842" t="n">
        <v>1.63</v>
      </c>
      <c r="K2842" t="inlineStr">
        <is>
          <t>续持原仓（2024-03-06开）</t>
        </is>
      </c>
    </row>
    <row r="2843">
      <c r="A2843" t="inlineStr">
        <is>
          <t>2024-03-18</t>
        </is>
      </c>
      <c r="B2843" t="inlineStr">
        <is>
          <t>沪铝</t>
        </is>
      </c>
      <c r="C2843" t="inlineStr">
        <is>
          <t>多</t>
        </is>
      </c>
      <c r="D2843" t="n">
        <v>2</v>
      </c>
      <c r="E2843" t="n">
        <v>5</v>
      </c>
      <c r="F2843" t="inlineStr">
        <is>
          <t>影子仓</t>
        </is>
      </c>
      <c r="G2843" t="n">
        <v>4</v>
      </c>
      <c r="H2843" t="n">
        <v>19270</v>
      </c>
      <c r="I2843" t="n">
        <v>18830.71</v>
      </c>
      <c r="J2843" t="n">
        <v>1</v>
      </c>
      <c r="K2843" t="inlineStr">
        <is>
          <t>凯利≤0，开1%影子仓（只统计，不计入组合）</t>
        </is>
      </c>
    </row>
    <row r="2844">
      <c r="A2844" t="inlineStr">
        <is>
          <t>2024-03-18</t>
        </is>
      </c>
      <c r="B2844" t="inlineStr">
        <is>
          <t>沪银</t>
        </is>
      </c>
      <c r="C2844" t="inlineStr">
        <is>
          <t>多</t>
        </is>
      </c>
      <c r="D2844" t="n">
        <v>2</v>
      </c>
      <c r="E2844" t="n">
        <v>5</v>
      </c>
      <c r="F2844" t="inlineStr">
        <is>
          <t>续持</t>
        </is>
      </c>
      <c r="G2844" t="n">
        <v>3</v>
      </c>
      <c r="H2844" t="n">
        <v>6328</v>
      </c>
      <c r="I2844" t="n">
        <v>6153.57</v>
      </c>
      <c r="J2844" t="n">
        <v>1</v>
      </c>
      <c r="K2844" t="inlineStr">
        <is>
          <t>续持原仓（2024-03-12开）</t>
        </is>
      </c>
    </row>
    <row r="2845">
      <c r="A2845" t="inlineStr">
        <is>
          <t>2024-03-19</t>
        </is>
      </c>
      <c r="B2845" t="inlineStr">
        <is>
          <t>豆油</t>
        </is>
      </c>
      <c r="C2845" t="inlineStr">
        <is>
          <t>多</t>
        </is>
      </c>
      <c r="D2845" t="n">
        <v>3</v>
      </c>
      <c r="E2845" t="n">
        <v>6</v>
      </c>
      <c r="F2845" t="inlineStr">
        <is>
          <t>续持</t>
        </is>
      </c>
      <c r="G2845" t="n">
        <v>4</v>
      </c>
      <c r="H2845" t="n">
        <v>7820</v>
      </c>
      <c r="I2845" t="n">
        <v>7637.86</v>
      </c>
      <c r="J2845" t="n">
        <v>1.37</v>
      </c>
      <c r="K2845" t="inlineStr">
        <is>
          <t>续持原仓（2024-03-13开）</t>
        </is>
      </c>
    </row>
    <row r="2846">
      <c r="A2846" t="inlineStr">
        <is>
          <t>2024-03-19</t>
        </is>
      </c>
      <c r="B2846" t="inlineStr">
        <is>
          <t>豆粕</t>
        </is>
      </c>
      <c r="C2846" t="inlineStr">
        <is>
          <t>多</t>
        </is>
      </c>
      <c r="D2846" t="n">
        <v>3</v>
      </c>
      <c r="E2846" t="n">
        <v>6</v>
      </c>
      <c r="F2846" t="inlineStr">
        <is>
          <t>开仓</t>
        </is>
      </c>
      <c r="G2846" t="n">
        <v>11</v>
      </c>
      <c r="H2846" t="n">
        <v>3287</v>
      </c>
      <c r="I2846" t="n">
        <v>3106.79</v>
      </c>
      <c r="J2846" t="n">
        <v>2.09</v>
      </c>
      <c r="K2846" t="inlineStr">
        <is>
          <t>¼凯利</t>
        </is>
      </c>
    </row>
    <row r="2847">
      <c r="A2847" t="inlineStr">
        <is>
          <t>2024-03-19</t>
        </is>
      </c>
      <c r="B2847" t="inlineStr">
        <is>
          <t>沪金</t>
        </is>
      </c>
      <c r="C2847" t="inlineStr">
        <is>
          <t>多</t>
        </is>
      </c>
      <c r="D2847" t="n">
        <v>2</v>
      </c>
      <c r="E2847" t="n">
        <v>5</v>
      </c>
      <c r="F2847" t="inlineStr">
        <is>
          <t>观望</t>
        </is>
      </c>
      <c r="H2847" t="n">
        <v>505.22</v>
      </c>
      <c r="J2847" t="n">
        <v>1</v>
      </c>
      <c r="K2847" t="inlineStr">
        <is>
          <t>逆5日线（收盘在5日线下，不追多）</t>
        </is>
      </c>
    </row>
    <row r="2848">
      <c r="A2848" t="inlineStr">
        <is>
          <t>2024-03-19</t>
        </is>
      </c>
      <c r="B2848" t="inlineStr">
        <is>
          <t>沪银</t>
        </is>
      </c>
      <c r="C2848" t="inlineStr">
        <is>
          <t>多</t>
        </is>
      </c>
      <c r="D2848" t="n">
        <v>2</v>
      </c>
      <c r="E2848" t="n">
        <v>5</v>
      </c>
      <c r="F2848" t="inlineStr">
        <is>
          <t>续持</t>
        </is>
      </c>
      <c r="G2848" t="n">
        <v>3</v>
      </c>
      <c r="H2848" t="n">
        <v>6305</v>
      </c>
      <c r="I2848" t="n">
        <v>6153.57</v>
      </c>
      <c r="J2848" t="n">
        <v>1</v>
      </c>
      <c r="K2848" t="inlineStr">
        <is>
          <t>续持原仓（2024-03-12开）</t>
        </is>
      </c>
    </row>
    <row r="2849">
      <c r="A2849" t="inlineStr">
        <is>
          <t>2024-03-19</t>
        </is>
      </c>
      <c r="B2849" t="inlineStr">
        <is>
          <t>沪铜</t>
        </is>
      </c>
      <c r="C2849" t="inlineStr">
        <is>
          <t>多</t>
        </is>
      </c>
      <c r="D2849" t="n">
        <v>2</v>
      </c>
      <c r="E2849" t="n">
        <v>5</v>
      </c>
      <c r="F2849" t="inlineStr">
        <is>
          <t>续持</t>
        </is>
      </c>
      <c r="G2849" t="n">
        <v>1</v>
      </c>
      <c r="H2849" t="n">
        <v>72920</v>
      </c>
      <c r="I2849" t="n">
        <v>71568.57000000001</v>
      </c>
      <c r="J2849" t="n">
        <v>1.67</v>
      </c>
      <c r="K2849" t="inlineStr">
        <is>
          <t>续持原仓（2024-03-18开）</t>
        </is>
      </c>
    </row>
    <row r="2850">
      <c r="A2850" t="inlineStr">
        <is>
          <t>2024-03-19</t>
        </is>
      </c>
      <c r="B2850" t="inlineStr">
        <is>
          <t>沪镍</t>
        </is>
      </c>
      <c r="C2850" t="inlineStr">
        <is>
          <t>空</t>
        </is>
      </c>
      <c r="D2850" t="n">
        <v>2</v>
      </c>
      <c r="E2850" t="n">
        <v>4</v>
      </c>
      <c r="F2850" t="inlineStr">
        <is>
          <t>影子仓</t>
        </is>
      </c>
      <c r="G2850" t="n">
        <v>1</v>
      </c>
      <c r="H2850" t="n">
        <v>137460</v>
      </c>
      <c r="I2850" t="n">
        <v>146888.57</v>
      </c>
      <c r="J2850" t="n">
        <v>1</v>
      </c>
      <c r="K2850" t="inlineStr">
        <is>
          <t>凯利≤0，开1%影子仓（只统计，不计入组合）</t>
        </is>
      </c>
    </row>
    <row r="2851">
      <c r="A2851" t="inlineStr">
        <is>
          <t>2024-03-20</t>
        </is>
      </c>
      <c r="B2851" t="inlineStr">
        <is>
          <t>沪银</t>
        </is>
      </c>
      <c r="C2851" t="inlineStr">
        <is>
          <t>多</t>
        </is>
      </c>
      <c r="D2851" t="n">
        <v>3</v>
      </c>
      <c r="E2851" t="n">
        <v>7</v>
      </c>
      <c r="F2851" t="inlineStr">
        <is>
          <t>续持</t>
        </is>
      </c>
      <c r="G2851" t="n">
        <v>3</v>
      </c>
      <c r="H2851" t="n">
        <v>6329</v>
      </c>
      <c r="I2851" t="n">
        <v>6153.57</v>
      </c>
      <c r="J2851" t="n">
        <v>1</v>
      </c>
      <c r="K2851" t="inlineStr">
        <is>
          <t>续持原仓（2024-03-12开）</t>
        </is>
      </c>
    </row>
    <row r="2852">
      <c r="A2852" t="inlineStr">
        <is>
          <t>2024-03-20</t>
        </is>
      </c>
      <c r="B2852" t="inlineStr">
        <is>
          <t>菜粕</t>
        </is>
      </c>
      <c r="C2852" t="inlineStr">
        <is>
          <t>多</t>
        </is>
      </c>
      <c r="D2852" t="n">
        <v>3</v>
      </c>
      <c r="E2852" t="n">
        <v>6</v>
      </c>
      <c r="F2852" t="inlineStr">
        <is>
          <t>开仓</t>
        </is>
      </c>
      <c r="G2852" t="n">
        <v>5</v>
      </c>
      <c r="H2852" t="n">
        <v>2716</v>
      </c>
      <c r="I2852" t="n">
        <v>2555.93</v>
      </c>
      <c r="J2852" t="n">
        <v>0.91</v>
      </c>
      <c r="K2852" t="inlineStr">
        <is>
          <t>与豆粕高度相关（同组≤3%），预算缩小</t>
        </is>
      </c>
    </row>
    <row r="2853">
      <c r="A2853" t="inlineStr">
        <is>
          <t>2024-03-20</t>
        </is>
      </c>
      <c r="B2853" t="inlineStr">
        <is>
          <t>豆粕</t>
        </is>
      </c>
      <c r="C2853" t="inlineStr">
        <is>
          <t>多</t>
        </is>
      </c>
      <c r="D2853" t="n">
        <v>3</v>
      </c>
      <c r="E2853" t="n">
        <v>6</v>
      </c>
      <c r="F2853" t="inlineStr">
        <is>
          <t>续持</t>
        </is>
      </c>
      <c r="G2853" t="n">
        <v>11</v>
      </c>
      <c r="H2853" t="n">
        <v>3324</v>
      </c>
      <c r="I2853" t="n">
        <v>3145.29</v>
      </c>
      <c r="J2853" t="n">
        <v>2.09</v>
      </c>
      <c r="K2853" t="inlineStr">
        <is>
          <t>续持原仓（2024-03-19开）</t>
        </is>
      </c>
    </row>
    <row r="2854">
      <c r="A2854" t="inlineStr">
        <is>
          <t>2024-03-20</t>
        </is>
      </c>
      <c r="B2854" t="inlineStr">
        <is>
          <t>沪金</t>
        </is>
      </c>
      <c r="C2854" t="inlineStr">
        <is>
          <t>多</t>
        </is>
      </c>
      <c r="D2854" t="n">
        <v>3</v>
      </c>
      <c r="E2854" t="n">
        <v>6</v>
      </c>
      <c r="F2854" t="inlineStr">
        <is>
          <t>观望</t>
        </is>
      </c>
      <c r="G2854" t="n">
        <v>1</v>
      </c>
      <c r="H2854" t="n">
        <v>505.74</v>
      </c>
      <c r="I2854" t="n">
        <v>492.04</v>
      </c>
      <c r="J2854" t="n">
        <v>2.12</v>
      </c>
      <c r="K2854" t="inlineStr">
        <is>
          <t>逆5日线（收盘在5日线下，不追多）</t>
        </is>
      </c>
    </row>
    <row r="2855">
      <c r="A2855" t="inlineStr">
        <is>
          <t>2024-03-20</t>
        </is>
      </c>
      <c r="B2855" t="inlineStr">
        <is>
          <t>沪铝</t>
        </is>
      </c>
      <c r="C2855" t="inlineStr">
        <is>
          <t>多</t>
        </is>
      </c>
      <c r="D2855" t="n">
        <v>3</v>
      </c>
      <c r="E2855" t="n">
        <v>6</v>
      </c>
      <c r="F2855" t="inlineStr">
        <is>
          <t>开仓</t>
        </is>
      </c>
      <c r="G2855" t="n">
        <v>9</v>
      </c>
      <c r="H2855" t="n">
        <v>19285</v>
      </c>
      <c r="I2855" t="n">
        <v>18822.14</v>
      </c>
      <c r="J2855" t="n">
        <v>2.12</v>
      </c>
      <c r="K2855" t="inlineStr">
        <is>
          <t>¼凯利</t>
        </is>
      </c>
    </row>
    <row r="2856">
      <c r="A2856" t="inlineStr">
        <is>
          <t>2024-03-21</t>
        </is>
      </c>
      <c r="B2856" t="inlineStr">
        <is>
          <t>豆油</t>
        </is>
      </c>
      <c r="C2856" t="inlineStr">
        <is>
          <t>多</t>
        </is>
      </c>
      <c r="D2856" t="n">
        <v>3</v>
      </c>
      <c r="E2856" t="n">
        <v>7</v>
      </c>
      <c r="F2856" t="inlineStr">
        <is>
          <t>开仓</t>
        </is>
      </c>
      <c r="G2856" t="n">
        <v>6</v>
      </c>
      <c r="H2856" t="n">
        <v>7928</v>
      </c>
      <c r="I2856" t="n">
        <v>7581.71</v>
      </c>
      <c r="J2856" t="n">
        <v>2.12</v>
      </c>
      <c r="K2856" t="inlineStr">
        <is>
          <t>¼凯利</t>
        </is>
      </c>
    </row>
    <row r="2857">
      <c r="A2857" t="inlineStr">
        <is>
          <t>2024-03-21</t>
        </is>
      </c>
      <c r="B2857" t="inlineStr">
        <is>
          <t>豆粕</t>
        </is>
      </c>
      <c r="C2857" t="inlineStr">
        <is>
          <t>多</t>
        </is>
      </c>
      <c r="D2857" t="n">
        <v>3</v>
      </c>
      <c r="E2857" t="n">
        <v>7</v>
      </c>
      <c r="F2857" t="inlineStr">
        <is>
          <t>续持</t>
        </is>
      </c>
      <c r="G2857" t="n">
        <v>11</v>
      </c>
      <c r="H2857" t="n">
        <v>3385</v>
      </c>
      <c r="I2857" t="n">
        <v>3229.86</v>
      </c>
      <c r="J2857" t="n">
        <v>2.09</v>
      </c>
      <c r="K2857" t="inlineStr">
        <is>
          <t>续持原仓（2024-03-19开）</t>
        </is>
      </c>
    </row>
    <row r="2858">
      <c r="A2858" t="inlineStr">
        <is>
          <t>2024-03-21</t>
        </is>
      </c>
      <c r="B2858" t="inlineStr">
        <is>
          <t>沪金</t>
        </is>
      </c>
      <c r="C2858" t="inlineStr">
        <is>
          <t>多</t>
        </is>
      </c>
      <c r="D2858" t="n">
        <v>3</v>
      </c>
      <c r="E2858" t="n">
        <v>7</v>
      </c>
      <c r="F2858" t="inlineStr">
        <is>
          <t>开仓</t>
        </is>
      </c>
      <c r="G2858" t="n">
        <v>1</v>
      </c>
      <c r="H2858" t="n">
        <v>515.7</v>
      </c>
      <c r="I2858" t="n">
        <v>500.31</v>
      </c>
      <c r="J2858" t="n">
        <v>2.12</v>
      </c>
      <c r="K2858" t="inlineStr">
        <is>
          <t>¼凯利</t>
        </is>
      </c>
    </row>
    <row r="2859">
      <c r="A2859" t="inlineStr">
        <is>
          <t>2024-03-21</t>
        </is>
      </c>
      <c r="B2859" t="inlineStr">
        <is>
          <t>沪银</t>
        </is>
      </c>
      <c r="C2859" t="inlineStr">
        <is>
          <t>多</t>
        </is>
      </c>
      <c r="D2859" t="n">
        <v>3</v>
      </c>
      <c r="E2859" t="n">
        <v>7</v>
      </c>
      <c r="F2859" t="inlineStr">
        <is>
          <t>续持</t>
        </is>
      </c>
      <c r="G2859" t="n">
        <v>3</v>
      </c>
      <c r="H2859" t="n">
        <v>6499</v>
      </c>
      <c r="I2859" t="n">
        <v>6195.14</v>
      </c>
      <c r="J2859" t="n">
        <v>1</v>
      </c>
      <c r="K2859" t="inlineStr">
        <is>
          <t>续持原仓（2024-03-12开）</t>
        </is>
      </c>
    </row>
    <row r="2860">
      <c r="A2860" t="inlineStr">
        <is>
          <t>2024-03-21</t>
        </is>
      </c>
      <c r="B2860" t="inlineStr">
        <is>
          <t>塑料</t>
        </is>
      </c>
      <c r="C2860" t="inlineStr">
        <is>
          <t>多</t>
        </is>
      </c>
      <c r="D2860" t="n">
        <v>3</v>
      </c>
      <c r="E2860" t="n">
        <v>6</v>
      </c>
      <c r="F2860" t="inlineStr">
        <is>
          <t>开仓</t>
        </is>
      </c>
      <c r="G2860" t="n">
        <v>13</v>
      </c>
      <c r="H2860" t="n">
        <v>8341</v>
      </c>
      <c r="I2860" t="n">
        <v>8105.93</v>
      </c>
      <c r="J2860" t="n">
        <v>1.55</v>
      </c>
      <c r="K2860" t="inlineStr">
        <is>
          <t>组合风险已近10%，预算缩小</t>
        </is>
      </c>
    </row>
    <row r="2861">
      <c r="A2861" t="inlineStr">
        <is>
          <t>2024-03-22</t>
        </is>
      </c>
      <c r="B2861" t="inlineStr">
        <is>
          <t>玻璃</t>
        </is>
      </c>
      <c r="C2861" t="inlineStr">
        <is>
          <t>空</t>
        </is>
      </c>
      <c r="D2861" t="n">
        <v>3</v>
      </c>
      <c r="E2861" t="n">
        <v>7</v>
      </c>
      <c r="F2861" t="inlineStr">
        <is>
          <t>不做</t>
        </is>
      </c>
      <c r="H2861" t="n">
        <v>1531</v>
      </c>
      <c r="J2861" t="n">
        <v>0</v>
      </c>
      <c r="K2861" t="inlineStr">
        <is>
          <t>组合风险已近10%，预算缩小</t>
        </is>
      </c>
    </row>
    <row r="2862">
      <c r="A2862" t="inlineStr">
        <is>
          <t>2024-03-22</t>
        </is>
      </c>
      <c r="B2862" t="inlineStr">
        <is>
          <t>豆油</t>
        </is>
      </c>
      <c r="C2862" t="inlineStr">
        <is>
          <t>多</t>
        </is>
      </c>
      <c r="D2862" t="n">
        <v>3</v>
      </c>
      <c r="E2862" t="n">
        <v>6</v>
      </c>
      <c r="F2862" t="inlineStr">
        <is>
          <t>观望</t>
        </is>
      </c>
      <c r="H2862" t="n">
        <v>7866</v>
      </c>
      <c r="J2862" t="n">
        <v>0</v>
      </c>
      <c r="K2862" t="inlineStr">
        <is>
          <t>逆5日线（收盘在5日线下，不追多）</t>
        </is>
      </c>
    </row>
    <row r="2863">
      <c r="A2863" t="inlineStr">
        <is>
          <t>2024-03-22</t>
        </is>
      </c>
      <c r="B2863" t="inlineStr">
        <is>
          <t>热卷</t>
        </is>
      </c>
      <c r="C2863" t="inlineStr">
        <is>
          <t>空</t>
        </is>
      </c>
      <c r="D2863" t="n">
        <v>3</v>
      </c>
      <c r="E2863" t="n">
        <v>6</v>
      </c>
      <c r="F2863" t="inlineStr">
        <is>
          <t>观望</t>
        </is>
      </c>
      <c r="H2863" t="n">
        <v>3822</v>
      </c>
      <c r="J2863" t="n">
        <v>0</v>
      </c>
      <c r="K2863" t="inlineStr">
        <is>
          <t>逆5日线（收盘在5日线上，不追空）</t>
        </is>
      </c>
    </row>
    <row r="2864">
      <c r="A2864" t="inlineStr">
        <is>
          <t>2024-03-22</t>
        </is>
      </c>
      <c r="B2864" t="inlineStr">
        <is>
          <t>沪金</t>
        </is>
      </c>
      <c r="C2864" t="inlineStr">
        <is>
          <t>多</t>
        </is>
      </c>
      <c r="D2864" t="n">
        <v>2</v>
      </c>
      <c r="E2864" t="n">
        <v>5</v>
      </c>
      <c r="F2864" t="inlineStr">
        <is>
          <t>续持</t>
        </is>
      </c>
      <c r="G2864" t="n">
        <v>1</v>
      </c>
      <c r="H2864" t="n">
        <v>512.48</v>
      </c>
      <c r="I2864" t="n">
        <v>500.59</v>
      </c>
      <c r="J2864" t="n">
        <v>2.12</v>
      </c>
      <c r="K2864" t="inlineStr">
        <is>
          <t>续持原仓（2024-03-21开）</t>
        </is>
      </c>
    </row>
    <row r="2865">
      <c r="A2865" t="inlineStr">
        <is>
          <t>2024-03-22</t>
        </is>
      </c>
      <c r="B2865" t="inlineStr">
        <is>
          <t>沪铝</t>
        </is>
      </c>
      <c r="C2865" t="inlineStr">
        <is>
          <t>多</t>
        </is>
      </c>
      <c r="D2865" t="n">
        <v>2</v>
      </c>
      <c r="E2865" t="n">
        <v>5</v>
      </c>
      <c r="F2865" t="inlineStr">
        <is>
          <t>续持</t>
        </is>
      </c>
      <c r="G2865" t="n">
        <v>9</v>
      </c>
      <c r="H2865" t="n">
        <v>19400</v>
      </c>
      <c r="I2865" t="n">
        <v>19029.64</v>
      </c>
      <c r="J2865" t="n">
        <v>2.12</v>
      </c>
      <c r="K2865" t="inlineStr">
        <is>
          <t>续持原仓（2024-03-20开）</t>
        </is>
      </c>
    </row>
    <row r="2866">
      <c r="A2866" t="inlineStr">
        <is>
          <t>2024-03-22</t>
        </is>
      </c>
      <c r="B2866" t="inlineStr">
        <is>
          <t>菜粕</t>
        </is>
      </c>
      <c r="C2866" t="inlineStr">
        <is>
          <t>多</t>
        </is>
      </c>
      <c r="D2866" t="n">
        <v>2</v>
      </c>
      <c r="E2866" t="n">
        <v>4</v>
      </c>
      <c r="F2866" t="inlineStr">
        <is>
          <t>影子仓</t>
        </is>
      </c>
      <c r="G2866" t="n">
        <v>5</v>
      </c>
      <c r="H2866" t="n">
        <v>2713</v>
      </c>
      <c r="I2866" t="n">
        <v>2542.21</v>
      </c>
      <c r="J2866" t="n">
        <v>1</v>
      </c>
      <c r="K2866" t="inlineStr">
        <is>
          <t>凯利≤0，开1%影子仓（只统计，不计入组合）</t>
        </is>
      </c>
    </row>
    <row r="2867">
      <c r="A2867" t="inlineStr">
        <is>
          <t>2024-03-22</t>
        </is>
      </c>
      <c r="B2867" t="inlineStr">
        <is>
          <t>豆粕</t>
        </is>
      </c>
      <c r="C2867" t="inlineStr">
        <is>
          <t>多</t>
        </is>
      </c>
      <c r="D2867" t="n">
        <v>2</v>
      </c>
      <c r="E2867" t="n">
        <v>4</v>
      </c>
      <c r="F2867" t="inlineStr">
        <is>
          <t>续持</t>
        </is>
      </c>
      <c r="G2867" t="n">
        <v>11</v>
      </c>
      <c r="H2867" t="n">
        <v>3316</v>
      </c>
      <c r="I2867" t="n">
        <v>3229.86</v>
      </c>
      <c r="J2867" t="n">
        <v>2.09</v>
      </c>
      <c r="K2867" t="inlineStr">
        <is>
          <t>续持原仓（2024-03-19开）</t>
        </is>
      </c>
    </row>
    <row r="2868">
      <c r="A2868" t="inlineStr">
        <is>
          <t>2024-03-25</t>
        </is>
      </c>
      <c r="B2868" t="inlineStr">
        <is>
          <t>玻璃</t>
        </is>
      </c>
      <c r="C2868" t="inlineStr">
        <is>
          <t>空</t>
        </is>
      </c>
      <c r="D2868" t="n">
        <v>3</v>
      </c>
      <c r="E2868" t="n">
        <v>7</v>
      </c>
      <c r="F2868" t="inlineStr">
        <is>
          <t>开仓</t>
        </is>
      </c>
      <c r="G2868" t="n">
        <v>7</v>
      </c>
      <c r="H2868" t="n">
        <v>1489</v>
      </c>
      <c r="I2868" t="n">
        <v>1632.14</v>
      </c>
      <c r="J2868" t="n">
        <v>2.12</v>
      </c>
      <c r="K2868" t="inlineStr">
        <is>
          <t>¼凯利</t>
        </is>
      </c>
    </row>
    <row r="2869">
      <c r="A2869" t="inlineStr">
        <is>
          <t>2024-03-25</t>
        </is>
      </c>
      <c r="B2869" t="inlineStr">
        <is>
          <t>棕榈油</t>
        </is>
      </c>
      <c r="C2869" t="inlineStr">
        <is>
          <t>多</t>
        </is>
      </c>
      <c r="D2869" t="n">
        <v>3</v>
      </c>
      <c r="E2869" t="n">
        <v>7</v>
      </c>
      <c r="F2869" t="inlineStr">
        <is>
          <t>开仓</t>
        </is>
      </c>
      <c r="G2869" t="n">
        <v>4</v>
      </c>
      <c r="H2869" t="n">
        <v>8372</v>
      </c>
      <c r="I2869" t="n">
        <v>7873.57</v>
      </c>
      <c r="J2869" t="n">
        <v>2.12</v>
      </c>
      <c r="K2869" t="inlineStr">
        <is>
          <t>¼凯利</t>
        </is>
      </c>
    </row>
    <row r="2870">
      <c r="A2870" t="inlineStr">
        <is>
          <t>2024-03-25</t>
        </is>
      </c>
      <c r="B2870" t="inlineStr">
        <is>
          <t>热卷</t>
        </is>
      </c>
      <c r="C2870" t="inlineStr">
        <is>
          <t>空</t>
        </is>
      </c>
      <c r="D2870" t="n">
        <v>3</v>
      </c>
      <c r="E2870" t="n">
        <v>6</v>
      </c>
      <c r="F2870" t="inlineStr">
        <is>
          <t>开仓</t>
        </is>
      </c>
      <c r="G2870" t="n">
        <v>12</v>
      </c>
      <c r="H2870" t="n">
        <v>3806</v>
      </c>
      <c r="I2870" t="n">
        <v>3982.14</v>
      </c>
      <c r="J2870" t="n">
        <v>2.12</v>
      </c>
      <c r="K2870" t="inlineStr">
        <is>
          <t>¼凯利</t>
        </is>
      </c>
    </row>
    <row r="2871">
      <c r="A2871" t="inlineStr">
        <is>
          <t>2024-03-25</t>
        </is>
      </c>
      <c r="B2871" t="inlineStr">
        <is>
          <t>豆油</t>
        </is>
      </c>
      <c r="C2871" t="inlineStr">
        <is>
          <t>多</t>
        </is>
      </c>
      <c r="D2871" t="n">
        <v>2</v>
      </c>
      <c r="E2871" t="n">
        <v>5</v>
      </c>
      <c r="F2871" t="inlineStr">
        <is>
          <t>观望</t>
        </is>
      </c>
      <c r="G2871" t="n">
        <v>2</v>
      </c>
      <c r="H2871" t="n">
        <v>7838</v>
      </c>
      <c r="I2871" t="n">
        <v>7467.29</v>
      </c>
      <c r="J2871" t="n">
        <v>1</v>
      </c>
      <c r="K2871" t="inlineStr">
        <is>
          <t>逆5日线（收盘在5日线下，不追多）</t>
        </is>
      </c>
    </row>
    <row r="2872">
      <c r="A2872" t="inlineStr">
        <is>
          <t>2024-03-25</t>
        </is>
      </c>
      <c r="B2872" t="inlineStr">
        <is>
          <t>豆粕</t>
        </is>
      </c>
      <c r="C2872" t="inlineStr">
        <is>
          <t>多</t>
        </is>
      </c>
      <c r="D2872" t="n">
        <v>2</v>
      </c>
      <c r="E2872" t="n">
        <v>5</v>
      </c>
      <c r="F2872" t="inlineStr">
        <is>
          <t>观望</t>
        </is>
      </c>
      <c r="G2872" t="n">
        <v>4</v>
      </c>
      <c r="H2872" t="n">
        <v>3249</v>
      </c>
      <c r="I2872" t="n">
        <v>3047.14</v>
      </c>
      <c r="J2872" t="n">
        <v>1</v>
      </c>
      <c r="K2872" t="inlineStr">
        <is>
          <t>逆5日线（收盘在5日线下，不追多）</t>
        </is>
      </c>
    </row>
    <row r="2873">
      <c r="A2873" t="inlineStr">
        <is>
          <t>2024-03-26</t>
        </is>
      </c>
      <c r="B2873" t="inlineStr">
        <is>
          <t>玉米</t>
        </is>
      </c>
      <c r="C2873" t="inlineStr">
        <is>
          <t>空</t>
        </is>
      </c>
      <c r="D2873" t="n">
        <v>3</v>
      </c>
      <c r="E2873" t="n">
        <v>7</v>
      </c>
      <c r="F2873" t="inlineStr">
        <is>
          <t>开仓</t>
        </is>
      </c>
      <c r="G2873" t="n">
        <v>33</v>
      </c>
      <c r="H2873" t="n">
        <v>2385</v>
      </c>
      <c r="I2873" t="n">
        <v>2449.29</v>
      </c>
      <c r="J2873" t="n">
        <v>2.17</v>
      </c>
      <c r="K2873" t="inlineStr">
        <is>
          <t>¼凯利</t>
        </is>
      </c>
    </row>
    <row r="2874">
      <c r="A2874" t="inlineStr">
        <is>
          <t>2024-03-26</t>
        </is>
      </c>
      <c r="B2874" t="inlineStr">
        <is>
          <t>铁矿石</t>
        </is>
      </c>
      <c r="C2874" t="inlineStr">
        <is>
          <t>空</t>
        </is>
      </c>
      <c r="D2874" t="n">
        <v>3</v>
      </c>
      <c r="E2874" t="n">
        <v>7</v>
      </c>
      <c r="F2874" t="inlineStr">
        <is>
          <t>开仓</t>
        </is>
      </c>
      <c r="G2874" t="n">
        <v>2</v>
      </c>
      <c r="H2874" t="n">
        <v>814.5</v>
      </c>
      <c r="I2874" t="n">
        <v>901.39</v>
      </c>
      <c r="J2874" t="n">
        <v>2.17</v>
      </c>
      <c r="K2874" t="inlineStr">
        <is>
          <t>¼凯利</t>
        </is>
      </c>
    </row>
    <row r="2875">
      <c r="A2875" t="inlineStr">
        <is>
          <t>2024-03-26</t>
        </is>
      </c>
      <c r="B2875" t="inlineStr">
        <is>
          <t>螺纹钢</t>
        </is>
      </c>
      <c r="C2875" t="inlineStr">
        <is>
          <t>空</t>
        </is>
      </c>
      <c r="D2875" t="n">
        <v>3</v>
      </c>
      <c r="E2875" t="n">
        <v>7</v>
      </c>
      <c r="F2875" t="inlineStr">
        <is>
          <t>开仓</t>
        </is>
      </c>
      <c r="G2875" t="n">
        <v>4</v>
      </c>
      <c r="H2875" t="n">
        <v>3499</v>
      </c>
      <c r="I2875" t="n">
        <v>3691.64</v>
      </c>
      <c r="J2875" t="n">
        <v>0.83</v>
      </c>
      <c r="K2875" t="inlineStr">
        <is>
          <t>与铁矿石高度相关（同组≤3%），预算缩小</t>
        </is>
      </c>
    </row>
    <row r="2876">
      <c r="A2876" t="inlineStr">
        <is>
          <t>2024-03-26</t>
        </is>
      </c>
      <c r="B2876" t="inlineStr">
        <is>
          <t>沪镍</t>
        </is>
      </c>
      <c r="C2876" t="inlineStr">
        <is>
          <t>空</t>
        </is>
      </c>
      <c r="D2876" t="n">
        <v>3</v>
      </c>
      <c r="E2876" t="n">
        <v>6</v>
      </c>
      <c r="F2876" t="inlineStr">
        <is>
          <t>不做</t>
        </is>
      </c>
      <c r="H2876" t="n">
        <v>131780</v>
      </c>
      <c r="J2876" t="n">
        <v>0.59</v>
      </c>
      <c r="K2876" t="inlineStr">
        <is>
          <t>1手风险8961元超过预算5900元</t>
        </is>
      </c>
    </row>
    <row r="2877">
      <c r="A2877" t="inlineStr">
        <is>
          <t>2024-03-26</t>
        </is>
      </c>
      <c r="B2877" t="inlineStr">
        <is>
          <t>沪铝</t>
        </is>
      </c>
      <c r="C2877" t="inlineStr">
        <is>
          <t>多</t>
        </is>
      </c>
      <c r="D2877" t="n">
        <v>3</v>
      </c>
      <c r="E2877" t="n">
        <v>6</v>
      </c>
      <c r="F2877" t="inlineStr">
        <is>
          <t>开仓</t>
        </is>
      </c>
      <c r="G2877" t="n">
        <v>2</v>
      </c>
      <c r="H2877" t="n">
        <v>19490</v>
      </c>
      <c r="I2877" t="n">
        <v>18983.21</v>
      </c>
      <c r="J2877" t="n">
        <v>0.59</v>
      </c>
      <c r="K2877" t="inlineStr">
        <is>
          <t>组合风险已近10%，预算缩小</t>
        </is>
      </c>
    </row>
    <row r="2878">
      <c r="A2878" t="inlineStr">
        <is>
          <t>2024-03-26</t>
        </is>
      </c>
      <c r="B2878" t="inlineStr">
        <is>
          <t>菜粕</t>
        </is>
      </c>
      <c r="C2878" t="inlineStr">
        <is>
          <t>多</t>
        </is>
      </c>
      <c r="D2878" t="n">
        <v>3</v>
      </c>
      <c r="E2878" t="n">
        <v>6</v>
      </c>
      <c r="F2878" t="inlineStr">
        <is>
          <t>观望</t>
        </is>
      </c>
      <c r="H2878" t="n">
        <v>2640</v>
      </c>
      <c r="J2878" t="n">
        <v>0</v>
      </c>
      <c r="K2878" t="inlineStr">
        <is>
          <t>逆5日线（收盘在5日线下，不追多）</t>
        </is>
      </c>
    </row>
    <row r="2879">
      <c r="A2879" t="inlineStr">
        <is>
          <t>2024-03-26</t>
        </is>
      </c>
      <c r="B2879" t="inlineStr">
        <is>
          <t>沪金</t>
        </is>
      </c>
      <c r="C2879" t="inlineStr">
        <is>
          <t>多</t>
        </is>
      </c>
      <c r="D2879" t="n">
        <v>3</v>
      </c>
      <c r="E2879" t="n">
        <v>6</v>
      </c>
      <c r="F2879" t="inlineStr">
        <is>
          <t>不做</t>
        </is>
      </c>
      <c r="H2879" t="n">
        <v>514.2</v>
      </c>
      <c r="J2879" t="n">
        <v>0</v>
      </c>
      <c r="K2879" t="inlineStr">
        <is>
          <t>组合风险已近10%，预算缩小</t>
        </is>
      </c>
    </row>
    <row r="2880">
      <c r="A2880" t="inlineStr">
        <is>
          <t>2024-03-26</t>
        </is>
      </c>
      <c r="B2880" t="inlineStr">
        <is>
          <t>棕榈油</t>
        </is>
      </c>
      <c r="C2880" t="inlineStr">
        <is>
          <t>多</t>
        </is>
      </c>
      <c r="D2880" t="n">
        <v>2</v>
      </c>
      <c r="E2880" t="n">
        <v>5</v>
      </c>
      <c r="F2880" t="inlineStr">
        <is>
          <t>观望</t>
        </is>
      </c>
      <c r="G2880" t="n">
        <v>1</v>
      </c>
      <c r="H2880" t="n">
        <v>8266</v>
      </c>
      <c r="I2880" t="n">
        <v>7761.57</v>
      </c>
      <c r="J2880" t="n">
        <v>1</v>
      </c>
      <c r="K2880" t="inlineStr">
        <is>
          <t>逆5日线（收盘在5日线下，不追多）</t>
        </is>
      </c>
    </row>
    <row r="2881">
      <c r="A2881" t="inlineStr">
        <is>
          <t>2024-03-26</t>
        </is>
      </c>
      <c r="B2881" t="inlineStr">
        <is>
          <t>豆油</t>
        </is>
      </c>
      <c r="C2881" t="inlineStr">
        <is>
          <t>多</t>
        </is>
      </c>
      <c r="D2881" t="n">
        <v>2</v>
      </c>
      <c r="E2881" t="n">
        <v>5</v>
      </c>
      <c r="F2881" t="inlineStr">
        <is>
          <t>观望</t>
        </is>
      </c>
      <c r="G2881" t="n">
        <v>2</v>
      </c>
      <c r="H2881" t="n">
        <v>7784</v>
      </c>
      <c r="I2881" t="n">
        <v>7406</v>
      </c>
      <c r="J2881" t="n">
        <v>1</v>
      </c>
      <c r="K2881" t="inlineStr">
        <is>
          <t>逆5日线（收盘在5日线下，不追多）</t>
        </is>
      </c>
    </row>
    <row r="2882">
      <c r="A2882" t="inlineStr">
        <is>
          <t>2024-03-27</t>
        </is>
      </c>
      <c r="B2882" t="inlineStr">
        <is>
          <t>沪金</t>
        </is>
      </c>
      <c r="C2882" t="inlineStr">
        <is>
          <t>多</t>
        </is>
      </c>
      <c r="D2882" t="n">
        <v>3</v>
      </c>
      <c r="E2882" t="n">
        <v>7</v>
      </c>
      <c r="F2882" t="inlineStr">
        <is>
          <t>开仓</t>
        </is>
      </c>
      <c r="G2882" t="n">
        <v>1</v>
      </c>
      <c r="H2882" t="n">
        <v>516.42</v>
      </c>
      <c r="I2882" t="n">
        <v>502.6</v>
      </c>
      <c r="J2882" t="n">
        <v>2.2</v>
      </c>
      <c r="K2882" t="inlineStr">
        <is>
          <t>¼凯利</t>
        </is>
      </c>
    </row>
    <row r="2883">
      <c r="A2883" t="inlineStr">
        <is>
          <t>2024-03-27</t>
        </is>
      </c>
      <c r="B2883" t="inlineStr">
        <is>
          <t>热卷</t>
        </is>
      </c>
      <c r="C2883" t="inlineStr">
        <is>
          <t>空</t>
        </is>
      </c>
      <c r="D2883" t="n">
        <v>3</v>
      </c>
      <c r="E2883" t="n">
        <v>7</v>
      </c>
      <c r="F2883" t="inlineStr">
        <is>
          <t>开仓</t>
        </is>
      </c>
      <c r="G2883" t="n">
        <v>4</v>
      </c>
      <c r="H2883" t="n">
        <v>3717</v>
      </c>
      <c r="I2883" t="n">
        <v>3907.93</v>
      </c>
      <c r="J2883" t="n">
        <v>0.8</v>
      </c>
      <c r="K2883" t="inlineStr">
        <is>
          <t>组合风险已近10%，预算缩小</t>
        </is>
      </c>
    </row>
    <row r="2884">
      <c r="A2884" t="inlineStr">
        <is>
          <t>2024-03-27</t>
        </is>
      </c>
      <c r="B2884" t="inlineStr">
        <is>
          <t>豆粕</t>
        </is>
      </c>
      <c r="C2884" t="inlineStr">
        <is>
          <t>多</t>
        </is>
      </c>
      <c r="D2884" t="n">
        <v>3</v>
      </c>
      <c r="E2884" t="n">
        <v>6</v>
      </c>
      <c r="F2884" t="inlineStr">
        <is>
          <t>观望</t>
        </is>
      </c>
      <c r="H2884" t="n">
        <v>3261</v>
      </c>
      <c r="J2884" t="n">
        <v>0</v>
      </c>
      <c r="K2884" t="inlineStr">
        <is>
          <t>逆5日线（收盘在5日线下，不追多）</t>
        </is>
      </c>
    </row>
    <row r="2885">
      <c r="A2885" t="inlineStr">
        <is>
          <t>2024-03-27</t>
        </is>
      </c>
      <c r="B2885" t="inlineStr">
        <is>
          <t>玉米</t>
        </is>
      </c>
      <c r="C2885" t="inlineStr">
        <is>
          <t>空</t>
        </is>
      </c>
      <c r="D2885" t="n">
        <v>2</v>
      </c>
      <c r="E2885" t="n">
        <v>5</v>
      </c>
      <c r="F2885" t="inlineStr">
        <is>
          <t>续持</t>
        </is>
      </c>
      <c r="G2885" t="n">
        <v>33</v>
      </c>
      <c r="H2885" t="n">
        <v>2384</v>
      </c>
      <c r="I2885" t="n">
        <v>2445.71</v>
      </c>
      <c r="J2885" t="n">
        <v>2.17</v>
      </c>
      <c r="K2885" t="inlineStr">
        <is>
          <t>续持原仓（2024-03-26开）</t>
        </is>
      </c>
    </row>
    <row r="2886">
      <c r="A2886" t="inlineStr">
        <is>
          <t>2024-03-27</t>
        </is>
      </c>
      <c r="B2886" t="inlineStr">
        <is>
          <t>沪银</t>
        </is>
      </c>
      <c r="C2886" t="inlineStr">
        <is>
          <t>多</t>
        </is>
      </c>
      <c r="D2886" t="n">
        <v>2</v>
      </c>
      <c r="E2886" t="n">
        <v>5</v>
      </c>
      <c r="F2886" t="inlineStr">
        <is>
          <t>观望</t>
        </is>
      </c>
      <c r="G2886" t="n">
        <v>2</v>
      </c>
      <c r="H2886" t="n">
        <v>6346</v>
      </c>
      <c r="I2886" t="n">
        <v>6022</v>
      </c>
      <c r="J2886" t="n">
        <v>1</v>
      </c>
      <c r="K2886" t="inlineStr">
        <is>
          <t>逆5日线（收盘在5日线下，不追多）</t>
        </is>
      </c>
    </row>
    <row r="2887">
      <c r="A2887" t="inlineStr">
        <is>
          <t>2024-03-27</t>
        </is>
      </c>
      <c r="B2887" t="inlineStr">
        <is>
          <t>菜粕</t>
        </is>
      </c>
      <c r="C2887" t="inlineStr">
        <is>
          <t>多</t>
        </is>
      </c>
      <c r="D2887" t="n">
        <v>2</v>
      </c>
      <c r="E2887" t="n">
        <v>5</v>
      </c>
      <c r="F2887" t="inlineStr">
        <is>
          <t>观望</t>
        </is>
      </c>
      <c r="G2887" t="n">
        <v>5</v>
      </c>
      <c r="H2887" t="n">
        <v>2642</v>
      </c>
      <c r="I2887" t="n">
        <v>2455.36</v>
      </c>
      <c r="J2887" t="n">
        <v>1</v>
      </c>
      <c r="K2887" t="inlineStr">
        <is>
          <t>逆5日线（收盘在5日线下，不追多）</t>
        </is>
      </c>
    </row>
    <row r="2888">
      <c r="A2888" t="inlineStr">
        <is>
          <t>2024-03-27</t>
        </is>
      </c>
      <c r="B2888" t="inlineStr">
        <is>
          <t>沪铝</t>
        </is>
      </c>
      <c r="C2888" t="inlineStr">
        <is>
          <t>多</t>
        </is>
      </c>
      <c r="D2888" t="n">
        <v>2</v>
      </c>
      <c r="E2888" t="n">
        <v>5</v>
      </c>
      <c r="F2888" t="inlineStr">
        <is>
          <t>观望</t>
        </is>
      </c>
      <c r="G2888" t="n">
        <v>3</v>
      </c>
      <c r="H2888" t="n">
        <v>19415</v>
      </c>
      <c r="I2888" t="n">
        <v>18901.79</v>
      </c>
      <c r="J2888" t="n">
        <v>1</v>
      </c>
      <c r="K2888" t="inlineStr">
        <is>
          <t>逆5日线（收盘在5日线下，不追多）</t>
        </is>
      </c>
    </row>
    <row r="2889">
      <c r="A2889" t="inlineStr">
        <is>
          <t>2024-03-28</t>
        </is>
      </c>
      <c r="B2889" t="inlineStr">
        <is>
          <t>玻璃</t>
        </is>
      </c>
      <c r="C2889" t="inlineStr">
        <is>
          <t>空</t>
        </is>
      </c>
      <c r="D2889" t="n">
        <v>3</v>
      </c>
      <c r="E2889" t="n">
        <v>6</v>
      </c>
      <c r="F2889" t="inlineStr">
        <is>
          <t>开仓</t>
        </is>
      </c>
      <c r="G2889" t="n">
        <v>7</v>
      </c>
      <c r="H2889" t="n">
        <v>1455</v>
      </c>
      <c r="I2889" t="n">
        <v>1597.93</v>
      </c>
      <c r="J2889" t="n">
        <v>2.23</v>
      </c>
      <c r="K2889" t="inlineStr">
        <is>
          <t>¼凯利</t>
        </is>
      </c>
    </row>
    <row r="2890">
      <c r="A2890" t="inlineStr">
        <is>
          <t>2024-03-28</t>
        </is>
      </c>
      <c r="B2890" t="inlineStr">
        <is>
          <t>螺纹钢</t>
        </is>
      </c>
      <c r="C2890" t="inlineStr">
        <is>
          <t>空</t>
        </is>
      </c>
      <c r="D2890" t="n">
        <v>3</v>
      </c>
      <c r="E2890" t="n">
        <v>6</v>
      </c>
      <c r="F2890" t="inlineStr">
        <is>
          <t>开仓</t>
        </is>
      </c>
      <c r="G2890" t="n">
        <v>3</v>
      </c>
      <c r="H2890" t="n">
        <v>3481</v>
      </c>
      <c r="I2890" t="n">
        <v>3683.07</v>
      </c>
      <c r="J2890" t="n">
        <v>0.77</v>
      </c>
      <c r="K2890" t="inlineStr">
        <is>
          <t>组合风险已近10%，预算缩小</t>
        </is>
      </c>
    </row>
    <row r="2891">
      <c r="A2891" t="inlineStr">
        <is>
          <t>2024-03-28</t>
        </is>
      </c>
      <c r="B2891" t="inlineStr">
        <is>
          <t>沪银</t>
        </is>
      </c>
      <c r="C2891" t="inlineStr">
        <is>
          <t>多</t>
        </is>
      </c>
      <c r="D2891" t="n">
        <v>3</v>
      </c>
      <c r="E2891" t="n">
        <v>6</v>
      </c>
      <c r="F2891" t="inlineStr">
        <is>
          <t>不做</t>
        </is>
      </c>
      <c r="H2891" t="n">
        <v>6385</v>
      </c>
      <c r="J2891" t="n">
        <v>0</v>
      </c>
      <c r="K2891" t="inlineStr">
        <is>
          <t>组合风险已近10%，预算缩小</t>
        </is>
      </c>
    </row>
    <row r="2892">
      <c r="A2892" t="inlineStr">
        <is>
          <t>2024-03-28</t>
        </is>
      </c>
      <c r="B2892" t="inlineStr">
        <is>
          <t>沪铝</t>
        </is>
      </c>
      <c r="C2892" t="inlineStr">
        <is>
          <t>多</t>
        </is>
      </c>
      <c r="D2892" t="n">
        <v>2</v>
      </c>
      <c r="E2892" t="n">
        <v>5</v>
      </c>
      <c r="F2892" t="inlineStr">
        <is>
          <t>续持</t>
        </is>
      </c>
      <c r="G2892" t="n">
        <v>2</v>
      </c>
      <c r="H2892" t="n">
        <v>19475</v>
      </c>
      <c r="I2892" t="n">
        <v>19006.79</v>
      </c>
      <c r="J2892" t="n">
        <v>0.59</v>
      </c>
      <c r="K2892" t="inlineStr">
        <is>
          <t>续持原仓（2024-03-26开）</t>
        </is>
      </c>
    </row>
    <row r="2893">
      <c r="A2893" t="inlineStr">
        <is>
          <t>2024-03-28</t>
        </is>
      </c>
      <c r="B2893" t="inlineStr">
        <is>
          <t>菜粕</t>
        </is>
      </c>
      <c r="C2893" t="inlineStr">
        <is>
          <t>空</t>
        </is>
      </c>
      <c r="D2893" t="n">
        <v>2</v>
      </c>
      <c r="E2893" t="n">
        <v>5</v>
      </c>
      <c r="F2893" t="inlineStr">
        <is>
          <t>影子仓</t>
        </is>
      </c>
      <c r="G2893" t="n">
        <v>5</v>
      </c>
      <c r="H2893" t="n">
        <v>2593</v>
      </c>
      <c r="I2893" t="n">
        <v>2783.71</v>
      </c>
      <c r="J2893" t="n">
        <v>1</v>
      </c>
      <c r="K2893" t="inlineStr">
        <is>
          <t>凯利≤0，开1%影子仓（只统计，不计入组合）</t>
        </is>
      </c>
    </row>
    <row r="2894">
      <c r="A2894" t="inlineStr">
        <is>
          <t>2024-03-28</t>
        </is>
      </c>
      <c r="B2894" t="inlineStr">
        <is>
          <t>白糖</t>
        </is>
      </c>
      <c r="C2894" t="inlineStr">
        <is>
          <t>多</t>
        </is>
      </c>
      <c r="D2894" t="n">
        <v>2</v>
      </c>
      <c r="E2894" t="n">
        <v>4</v>
      </c>
      <c r="F2894" t="inlineStr">
        <is>
          <t>观望</t>
        </is>
      </c>
      <c r="G2894" t="n">
        <v>4</v>
      </c>
      <c r="H2894" t="n">
        <v>6472</v>
      </c>
      <c r="I2894" t="n">
        <v>6236.93</v>
      </c>
      <c r="J2894" t="n">
        <v>1</v>
      </c>
      <c r="K2894" t="inlineStr">
        <is>
          <t>逆5日线（收盘在5日线下，不追多）</t>
        </is>
      </c>
    </row>
    <row r="2895">
      <c r="A2895" t="inlineStr">
        <is>
          <t>2024-03-28</t>
        </is>
      </c>
      <c r="B2895" t="inlineStr">
        <is>
          <t>甲醇</t>
        </is>
      </c>
      <c r="C2895" t="inlineStr">
        <is>
          <t>空</t>
        </is>
      </c>
      <c r="D2895" t="n">
        <v>2</v>
      </c>
      <c r="E2895" t="n">
        <v>4</v>
      </c>
      <c r="F2895" t="inlineStr">
        <is>
          <t>影子仓</t>
        </is>
      </c>
      <c r="G2895" t="n">
        <v>7</v>
      </c>
      <c r="H2895" t="n">
        <v>2462</v>
      </c>
      <c r="I2895" t="n">
        <v>2588.21</v>
      </c>
      <c r="J2895" t="n">
        <v>1</v>
      </c>
      <c r="K2895" t="inlineStr">
        <is>
          <t>凯利≤0，开1%影子仓（只统计，不计入组合）</t>
        </is>
      </c>
    </row>
    <row r="2896">
      <c r="A2896" t="inlineStr">
        <is>
          <t>2024-03-29</t>
        </is>
      </c>
      <c r="B2896" t="inlineStr">
        <is>
          <t>螺纹钢</t>
        </is>
      </c>
      <c r="C2896" t="inlineStr">
        <is>
          <t>空</t>
        </is>
      </c>
      <c r="D2896" t="n">
        <v>3</v>
      </c>
      <c r="E2896" t="n">
        <v>7</v>
      </c>
      <c r="F2896" t="inlineStr">
        <is>
          <t>续持</t>
        </is>
      </c>
      <c r="G2896" t="n">
        <v>3</v>
      </c>
      <c r="H2896" t="n">
        <v>3412</v>
      </c>
      <c r="I2896" t="n">
        <v>3605.79</v>
      </c>
      <c r="J2896" t="n">
        <v>0.77</v>
      </c>
      <c r="K2896" t="inlineStr">
        <is>
          <t>续持原仓（2024-03-28开）</t>
        </is>
      </c>
    </row>
    <row r="2897">
      <c r="A2897" t="inlineStr">
        <is>
          <t>2024-03-29</t>
        </is>
      </c>
      <c r="B2897" t="inlineStr">
        <is>
          <t>棕榈油</t>
        </is>
      </c>
      <c r="C2897" t="inlineStr">
        <is>
          <t>多</t>
        </is>
      </c>
      <c r="D2897" t="n">
        <v>3</v>
      </c>
      <c r="E2897" t="n">
        <v>6</v>
      </c>
      <c r="F2897" t="inlineStr">
        <is>
          <t>观望</t>
        </is>
      </c>
      <c r="G2897" t="n">
        <v>1</v>
      </c>
      <c r="H2897" t="n">
        <v>8216</v>
      </c>
      <c r="I2897" t="n">
        <v>7653.29</v>
      </c>
      <c r="J2897" t="n">
        <v>0.88</v>
      </c>
      <c r="K2897" t="inlineStr">
        <is>
          <t>逆5日线（收盘在5日线下，不追多）</t>
        </is>
      </c>
    </row>
    <row r="2898">
      <c r="A2898" t="inlineStr">
        <is>
          <t>2024-03-29</t>
        </is>
      </c>
      <c r="B2898" t="inlineStr">
        <is>
          <t>沪铝</t>
        </is>
      </c>
      <c r="C2898" t="inlineStr">
        <is>
          <t>多</t>
        </is>
      </c>
      <c r="D2898" t="n">
        <v>3</v>
      </c>
      <c r="E2898" t="n">
        <v>6</v>
      </c>
      <c r="F2898" t="inlineStr">
        <is>
          <t>续持</t>
        </is>
      </c>
      <c r="G2898" t="n">
        <v>2</v>
      </c>
      <c r="H2898" t="n">
        <v>19710</v>
      </c>
      <c r="I2898" t="n">
        <v>19198.57</v>
      </c>
      <c r="J2898" t="n">
        <v>0.59</v>
      </c>
      <c r="K2898" t="inlineStr">
        <is>
          <t>续持原仓（2024-03-26开）</t>
        </is>
      </c>
    </row>
    <row r="2899">
      <c r="A2899" t="inlineStr">
        <is>
          <t>2024-03-29</t>
        </is>
      </c>
      <c r="B2899" t="inlineStr">
        <is>
          <t>热卷</t>
        </is>
      </c>
      <c r="C2899" t="inlineStr">
        <is>
          <t>空</t>
        </is>
      </c>
      <c r="D2899" t="n">
        <v>3</v>
      </c>
      <c r="E2899" t="n">
        <v>6</v>
      </c>
      <c r="F2899" t="inlineStr">
        <is>
          <t>开仓</t>
        </is>
      </c>
      <c r="G2899" t="n">
        <v>10</v>
      </c>
      <c r="H2899" t="n">
        <v>3596</v>
      </c>
      <c r="I2899" t="n">
        <v>3798.5</v>
      </c>
      <c r="J2899" t="n">
        <v>2.12</v>
      </c>
      <c r="K2899" t="inlineStr">
        <is>
          <t>组合风险已近10%，预算缩小</t>
        </is>
      </c>
    </row>
    <row r="2900">
      <c r="A2900" t="inlineStr">
        <is>
          <t>2024-03-29</t>
        </is>
      </c>
      <c r="B2900" t="inlineStr">
        <is>
          <t>沪银</t>
        </is>
      </c>
      <c r="C2900" t="inlineStr">
        <is>
          <t>多</t>
        </is>
      </c>
      <c r="D2900" t="n">
        <v>3</v>
      </c>
      <c r="E2900" t="n">
        <v>6</v>
      </c>
      <c r="F2900" t="inlineStr">
        <is>
          <t>不做</t>
        </is>
      </c>
      <c r="H2900" t="n">
        <v>6471</v>
      </c>
      <c r="J2900" t="n">
        <v>0</v>
      </c>
      <c r="K2900" t="inlineStr">
        <is>
          <t>组合风险已近10%，预算缩小</t>
        </is>
      </c>
    </row>
    <row r="2901">
      <c r="A2901" t="inlineStr">
        <is>
          <t>2024-03-29</t>
        </is>
      </c>
      <c r="B2901" t="inlineStr">
        <is>
          <t>玻璃</t>
        </is>
      </c>
      <c r="C2901" t="inlineStr">
        <is>
          <t>空</t>
        </is>
      </c>
      <c r="D2901" t="n">
        <v>3</v>
      </c>
      <c r="E2901" t="n">
        <v>6</v>
      </c>
      <c r="F2901" t="inlineStr">
        <is>
          <t>续持</t>
        </is>
      </c>
      <c r="G2901" t="n">
        <v>7</v>
      </c>
      <c r="H2901" t="n">
        <v>1471</v>
      </c>
      <c r="I2901" t="n">
        <v>1572.36</v>
      </c>
      <c r="J2901" t="n">
        <v>2.23</v>
      </c>
      <c r="K2901" t="inlineStr">
        <is>
          <t>续持原仓（2024-03-28开）</t>
        </is>
      </c>
    </row>
    <row r="2902">
      <c r="A2902" t="inlineStr">
        <is>
          <t>2024-03-29</t>
        </is>
      </c>
      <c r="B2902" t="inlineStr">
        <is>
          <t>白糖</t>
        </is>
      </c>
      <c r="C2902" t="inlineStr">
        <is>
          <t>多</t>
        </is>
      </c>
      <c r="D2902" t="n">
        <v>2</v>
      </c>
      <c r="E2902" t="n">
        <v>5</v>
      </c>
      <c r="F2902" t="inlineStr">
        <is>
          <t>影子仓</t>
        </is>
      </c>
      <c r="G2902" t="n">
        <v>4</v>
      </c>
      <c r="H2902" t="n">
        <v>6510</v>
      </c>
      <c r="I2902" t="n">
        <v>6271.29</v>
      </c>
      <c r="J2902" t="n">
        <v>1</v>
      </c>
      <c r="K2902" t="inlineStr">
        <is>
          <t>凯利≤0，开1%影子仓（只统计，不计入组合）</t>
        </is>
      </c>
    </row>
    <row r="2903">
      <c r="A2903" t="inlineStr">
        <is>
          <t>2024-03-29</t>
        </is>
      </c>
      <c r="B2903" t="inlineStr">
        <is>
          <t>纯碱</t>
        </is>
      </c>
      <c r="C2903" t="inlineStr">
        <is>
          <t>多</t>
        </is>
      </c>
      <c r="D2903" t="n">
        <v>2</v>
      </c>
      <c r="E2903" t="n">
        <v>4</v>
      </c>
      <c r="F2903" t="inlineStr">
        <is>
          <t>影子仓</t>
        </is>
      </c>
      <c r="G2903" t="n">
        <v>2</v>
      </c>
      <c r="H2903" t="n">
        <v>1789</v>
      </c>
      <c r="I2903" t="n">
        <v>1613.07</v>
      </c>
      <c r="J2903" t="n">
        <v>1</v>
      </c>
      <c r="K2903" t="inlineStr">
        <is>
          <t>凯利≤0，开1%影子仓（只统计，不计入组合）</t>
        </is>
      </c>
    </row>
    <row r="2904">
      <c r="A2904" t="inlineStr">
        <is>
          <t>2024-04-01</t>
        </is>
      </c>
      <c r="B2904" t="inlineStr">
        <is>
          <t>沪金</t>
        </is>
      </c>
      <c r="C2904" t="inlineStr">
        <is>
          <t>多</t>
        </is>
      </c>
      <c r="D2904" t="n">
        <v>3</v>
      </c>
      <c r="E2904" t="n">
        <v>7</v>
      </c>
      <c r="F2904" t="inlineStr">
        <is>
          <t>开仓</t>
        </is>
      </c>
      <c r="G2904" t="n">
        <v>1</v>
      </c>
      <c r="H2904" t="n">
        <v>534.04</v>
      </c>
      <c r="I2904" t="n">
        <v>518.17</v>
      </c>
      <c r="J2904" t="n">
        <v>2.17</v>
      </c>
      <c r="K2904" t="inlineStr">
        <is>
          <t>¼凯利</t>
        </is>
      </c>
    </row>
    <row r="2905">
      <c r="A2905" t="inlineStr">
        <is>
          <t>2024-04-01</t>
        </is>
      </c>
      <c r="B2905" t="inlineStr">
        <is>
          <t>沪银</t>
        </is>
      </c>
      <c r="C2905" t="inlineStr">
        <is>
          <t>多</t>
        </is>
      </c>
      <c r="D2905" t="n">
        <v>3</v>
      </c>
      <c r="E2905" t="n">
        <v>6</v>
      </c>
      <c r="F2905" t="inlineStr">
        <is>
          <t>开仓</t>
        </is>
      </c>
      <c r="G2905" t="n">
        <v>1</v>
      </c>
      <c r="H2905" t="n">
        <v>6495</v>
      </c>
      <c r="I2905" t="n">
        <v>6145.07</v>
      </c>
      <c r="J2905" t="n">
        <v>0.72</v>
      </c>
      <c r="K2905" t="inlineStr">
        <is>
          <t>组合风险已近10%，预算缩小</t>
        </is>
      </c>
    </row>
    <row r="2906">
      <c r="A2906" t="inlineStr">
        <is>
          <t>2024-04-01</t>
        </is>
      </c>
      <c r="B2906" t="inlineStr">
        <is>
          <t>菜粕</t>
        </is>
      </c>
      <c r="C2906" t="inlineStr">
        <is>
          <t>多</t>
        </is>
      </c>
      <c r="D2906" t="n">
        <v>3</v>
      </c>
      <c r="E2906" t="n">
        <v>6</v>
      </c>
      <c r="F2906" t="inlineStr">
        <is>
          <t>不做</t>
        </is>
      </c>
      <c r="H2906" t="n">
        <v>2701</v>
      </c>
      <c r="J2906" t="n">
        <v>0</v>
      </c>
      <c r="K2906" t="inlineStr">
        <is>
          <t>组合风险已近10%，预算缩小</t>
        </is>
      </c>
    </row>
    <row r="2907">
      <c r="A2907" t="inlineStr">
        <is>
          <t>2024-04-01</t>
        </is>
      </c>
      <c r="B2907" t="inlineStr">
        <is>
          <t>沪铝</t>
        </is>
      </c>
      <c r="C2907" t="inlineStr">
        <is>
          <t>多</t>
        </is>
      </c>
      <c r="D2907" t="n">
        <v>2</v>
      </c>
      <c r="E2907" t="n">
        <v>5</v>
      </c>
      <c r="F2907" t="inlineStr">
        <is>
          <t>续持</t>
        </is>
      </c>
      <c r="G2907" t="n">
        <v>2</v>
      </c>
      <c r="H2907" t="n">
        <v>19770</v>
      </c>
      <c r="I2907" t="n">
        <v>19252.14</v>
      </c>
      <c r="J2907" t="n">
        <v>0.59</v>
      </c>
      <c r="K2907" t="inlineStr">
        <is>
          <t>续持原仓（2024-03-26开）</t>
        </is>
      </c>
    </row>
    <row r="2908">
      <c r="A2908" t="inlineStr">
        <is>
          <t>2024-04-01</t>
        </is>
      </c>
      <c r="B2908" t="inlineStr">
        <is>
          <t>铁矿石</t>
        </is>
      </c>
      <c r="C2908" t="inlineStr">
        <is>
          <t>空</t>
        </is>
      </c>
      <c r="D2908" t="n">
        <v>2</v>
      </c>
      <c r="E2908" t="n">
        <v>4</v>
      </c>
      <c r="F2908" t="inlineStr">
        <is>
          <t>观望</t>
        </is>
      </c>
      <c r="G2908" t="n">
        <v>1</v>
      </c>
      <c r="H2908" t="n">
        <v>768</v>
      </c>
      <c r="I2908" t="n">
        <v>855.4299999999999</v>
      </c>
      <c r="J2908" t="n">
        <v>1</v>
      </c>
      <c r="K2908" t="inlineStr">
        <is>
          <t>逆5日线（收盘在5日线上，不追空）</t>
        </is>
      </c>
    </row>
    <row r="2909">
      <c r="A2909" t="inlineStr">
        <is>
          <t>2024-04-01</t>
        </is>
      </c>
      <c r="B2909" t="inlineStr">
        <is>
          <t>纯碱</t>
        </is>
      </c>
      <c r="C2909" t="inlineStr">
        <is>
          <t>多</t>
        </is>
      </c>
      <c r="D2909" t="n">
        <v>2</v>
      </c>
      <c r="E2909" t="n">
        <v>4</v>
      </c>
      <c r="F2909" t="inlineStr">
        <is>
          <t>续持</t>
        </is>
      </c>
      <c r="G2909" t="n">
        <v>2</v>
      </c>
      <c r="H2909" t="n">
        <v>1783</v>
      </c>
      <c r="I2909" t="n">
        <v>1626.29</v>
      </c>
      <c r="J2909" t="n">
        <v>1</v>
      </c>
      <c r="K2909" t="inlineStr">
        <is>
          <t>续持原仓（2024-03-29开）</t>
        </is>
      </c>
    </row>
    <row r="2910">
      <c r="A2910" t="inlineStr">
        <is>
          <t>2024-04-02</t>
        </is>
      </c>
      <c r="B2910" t="inlineStr">
        <is>
          <t>沪金</t>
        </is>
      </c>
      <c r="C2910" t="inlineStr">
        <is>
          <t>多</t>
        </is>
      </c>
      <c r="D2910" t="n">
        <v>2</v>
      </c>
      <c r="E2910" t="n">
        <v>5</v>
      </c>
      <c r="F2910" t="inlineStr">
        <is>
          <t>续持</t>
        </is>
      </c>
      <c r="G2910" t="n">
        <v>1</v>
      </c>
      <c r="H2910" t="n">
        <v>534.74</v>
      </c>
      <c r="I2910" t="n">
        <v>518.22</v>
      </c>
      <c r="J2910" t="n">
        <v>2.17</v>
      </c>
      <c r="K2910" t="inlineStr">
        <is>
          <t>续持原仓（2024-04-01开）</t>
        </is>
      </c>
    </row>
    <row r="2911">
      <c r="A2911" t="inlineStr">
        <is>
          <t>2024-04-02</t>
        </is>
      </c>
      <c r="B2911" t="inlineStr">
        <is>
          <t>沪铝</t>
        </is>
      </c>
      <c r="C2911" t="inlineStr">
        <is>
          <t>多</t>
        </is>
      </c>
      <c r="D2911" t="n">
        <v>2</v>
      </c>
      <c r="E2911" t="n">
        <v>5</v>
      </c>
      <c r="F2911" t="inlineStr">
        <is>
          <t>续持</t>
        </is>
      </c>
      <c r="G2911" t="n">
        <v>2</v>
      </c>
      <c r="H2911" t="n">
        <v>19810</v>
      </c>
      <c r="I2911" t="n">
        <v>19254.29</v>
      </c>
      <c r="J2911" t="n">
        <v>0.59</v>
      </c>
      <c r="K2911" t="inlineStr">
        <is>
          <t>续持原仓（2024-03-26开）</t>
        </is>
      </c>
    </row>
    <row r="2912">
      <c r="A2912" t="inlineStr">
        <is>
          <t>2024-04-02</t>
        </is>
      </c>
      <c r="B2912" t="inlineStr">
        <is>
          <t>沪镍</t>
        </is>
      </c>
      <c r="C2912" t="inlineStr">
        <is>
          <t>多</t>
        </is>
      </c>
      <c r="D2912" t="n">
        <v>2</v>
      </c>
      <c r="E2912" t="n">
        <v>5</v>
      </c>
      <c r="F2912" t="inlineStr">
        <is>
          <t>影子仓</t>
        </is>
      </c>
      <c r="G2912" t="n">
        <v>1</v>
      </c>
      <c r="H2912" t="n">
        <v>132590</v>
      </c>
      <c r="I2912" t="n">
        <v>124072.14</v>
      </c>
      <c r="J2912" t="n">
        <v>1</v>
      </c>
      <c r="K2912" t="inlineStr">
        <is>
          <t>凯利≤0，开1%影子仓（只统计，不计入组合）</t>
        </is>
      </c>
    </row>
    <row r="2913">
      <c r="A2913" t="inlineStr">
        <is>
          <t>2024-04-03</t>
        </is>
      </c>
      <c r="B2913" t="inlineStr">
        <is>
          <t>沪银</t>
        </is>
      </c>
      <c r="C2913" t="inlineStr">
        <is>
          <t>多</t>
        </is>
      </c>
      <c r="D2913" t="n">
        <v>3</v>
      </c>
      <c r="E2913" t="n">
        <v>6</v>
      </c>
      <c r="F2913" t="inlineStr">
        <is>
          <t>开仓</t>
        </is>
      </c>
      <c r="G2913" t="n">
        <v>2</v>
      </c>
      <c r="H2913" t="n">
        <v>6791</v>
      </c>
      <c r="I2913" t="n">
        <v>6407.43</v>
      </c>
      <c r="J2913" t="n">
        <v>1.31</v>
      </c>
      <c r="K2913" t="inlineStr">
        <is>
          <t>组合风险已近10%，预算缩小</t>
        </is>
      </c>
    </row>
    <row r="2914">
      <c r="A2914" t="inlineStr">
        <is>
          <t>2024-04-03</t>
        </is>
      </c>
      <c r="B2914" t="inlineStr">
        <is>
          <t>沪金</t>
        </is>
      </c>
      <c r="C2914" t="inlineStr">
        <is>
          <t>多</t>
        </is>
      </c>
      <c r="D2914" t="n">
        <v>2</v>
      </c>
      <c r="E2914" t="n">
        <v>5</v>
      </c>
      <c r="F2914" t="inlineStr">
        <is>
          <t>续持</t>
        </is>
      </c>
      <c r="G2914" t="n">
        <v>1</v>
      </c>
      <c r="H2914" t="n">
        <v>541.52</v>
      </c>
      <c r="I2914" t="n">
        <v>524.28</v>
      </c>
      <c r="J2914" t="n">
        <v>2.17</v>
      </c>
      <c r="K2914" t="inlineStr">
        <is>
          <t>续持原仓（2024-04-01开）</t>
        </is>
      </c>
    </row>
    <row r="2915">
      <c r="A2915" t="inlineStr">
        <is>
          <t>2024-04-03</t>
        </is>
      </c>
      <c r="B2915" t="inlineStr">
        <is>
          <t>PVC</t>
        </is>
      </c>
      <c r="C2915" t="inlineStr">
        <is>
          <t>空</t>
        </is>
      </c>
      <c r="D2915" t="n">
        <v>2</v>
      </c>
      <c r="E2915" t="n">
        <v>4</v>
      </c>
      <c r="F2915" t="inlineStr">
        <is>
          <t>影子仓</t>
        </is>
      </c>
      <c r="G2915" t="n">
        <v>9</v>
      </c>
      <c r="H2915" t="n">
        <v>5768</v>
      </c>
      <c r="I2915" t="n">
        <v>5979.93</v>
      </c>
      <c r="J2915" t="n">
        <v>1</v>
      </c>
      <c r="K2915" t="inlineStr">
        <is>
          <t>凯利≤0，开1%影子仓（只统计，不计入组合）</t>
        </is>
      </c>
    </row>
    <row r="2916">
      <c r="A2916" t="inlineStr">
        <is>
          <t>2024-04-03</t>
        </is>
      </c>
      <c r="B2916" t="inlineStr">
        <is>
          <t>沪铜</t>
        </is>
      </c>
      <c r="C2916" t="inlineStr">
        <is>
          <t>多</t>
        </is>
      </c>
      <c r="D2916" t="n">
        <v>2</v>
      </c>
      <c r="E2916" t="n">
        <v>4</v>
      </c>
      <c r="F2916" t="inlineStr">
        <is>
          <t>不做</t>
        </is>
      </c>
      <c r="H2916" t="n">
        <v>73980</v>
      </c>
      <c r="J2916" t="n">
        <v>1</v>
      </c>
      <c r="K2916" t="inlineStr">
        <is>
          <t>1手风险13318元超过预算10000元</t>
        </is>
      </c>
    </row>
    <row r="2917">
      <c r="A2917" t="inlineStr">
        <is>
          <t>2024-04-03</t>
        </is>
      </c>
      <c r="B2917" t="inlineStr">
        <is>
          <t>沪镍</t>
        </is>
      </c>
      <c r="C2917" t="inlineStr">
        <is>
          <t>多</t>
        </is>
      </c>
      <c r="D2917" t="n">
        <v>2</v>
      </c>
      <c r="E2917" t="n">
        <v>4</v>
      </c>
      <c r="F2917" t="inlineStr">
        <is>
          <t>续持</t>
        </is>
      </c>
      <c r="G2917" t="n">
        <v>1</v>
      </c>
      <c r="H2917" t="n">
        <v>133450</v>
      </c>
      <c r="I2917" t="n">
        <v>126151.43</v>
      </c>
      <c r="J2917" t="n">
        <v>1</v>
      </c>
      <c r="K2917" t="inlineStr">
        <is>
          <t>续持原仓（2024-04-02开）</t>
        </is>
      </c>
    </row>
    <row r="2918">
      <c r="A2918" t="inlineStr">
        <is>
          <t>2024-04-08</t>
        </is>
      </c>
      <c r="B2918" t="inlineStr">
        <is>
          <t>沪银</t>
        </is>
      </c>
      <c r="C2918" t="inlineStr">
        <is>
          <t>多</t>
        </is>
      </c>
      <c r="D2918" t="n">
        <v>3</v>
      </c>
      <c r="E2918" t="n">
        <v>6</v>
      </c>
      <c r="F2918" t="inlineStr">
        <is>
          <t>续持</t>
        </is>
      </c>
      <c r="G2918" t="n">
        <v>2</v>
      </c>
      <c r="H2918" t="n">
        <v>7128</v>
      </c>
      <c r="I2918" t="n">
        <v>6702.21</v>
      </c>
      <c r="J2918" t="n">
        <v>1.31</v>
      </c>
      <c r="K2918" t="inlineStr">
        <is>
          <t>续持原仓（2024-04-03开）</t>
        </is>
      </c>
    </row>
    <row r="2919">
      <c r="A2919" t="inlineStr">
        <is>
          <t>2024-04-08</t>
        </is>
      </c>
      <c r="B2919" t="inlineStr">
        <is>
          <t>甲醇</t>
        </is>
      </c>
      <c r="C2919" t="inlineStr">
        <is>
          <t>空</t>
        </is>
      </c>
      <c r="D2919" t="n">
        <v>2</v>
      </c>
      <c r="E2919" t="n">
        <v>5</v>
      </c>
      <c r="F2919" t="inlineStr">
        <is>
          <t>影子仓</t>
        </is>
      </c>
      <c r="G2919" t="n">
        <v>8</v>
      </c>
      <c r="H2919" t="n">
        <v>2493</v>
      </c>
      <c r="I2919" t="n">
        <v>2610.21</v>
      </c>
      <c r="J2919" t="n">
        <v>1</v>
      </c>
      <c r="K2919" t="inlineStr">
        <is>
          <t>凯利≤0，开1%影子仓（只统计，不计入组合）</t>
        </is>
      </c>
    </row>
    <row r="2920">
      <c r="A2920" t="inlineStr">
        <is>
          <t>2024-04-08</t>
        </is>
      </c>
      <c r="B2920" t="inlineStr">
        <is>
          <t>苯乙烯</t>
        </is>
      </c>
      <c r="C2920" t="inlineStr">
        <is>
          <t>多</t>
        </is>
      </c>
      <c r="D2920" t="n">
        <v>2</v>
      </c>
      <c r="E2920" t="n">
        <v>4</v>
      </c>
      <c r="F2920" t="inlineStr">
        <is>
          <t>影子仓</t>
        </is>
      </c>
      <c r="G2920" t="n">
        <v>5</v>
      </c>
      <c r="H2920" t="n">
        <v>9510</v>
      </c>
      <c r="I2920" t="n">
        <v>9137.360000000001</v>
      </c>
      <c r="J2920" t="n">
        <v>1</v>
      </c>
      <c r="K2920" t="inlineStr">
        <is>
          <t>凯利≤0，开1%影子仓（只统计，不计入组合）</t>
        </is>
      </c>
    </row>
    <row r="2921">
      <c r="A2921" t="inlineStr">
        <is>
          <t>2024-04-08</t>
        </is>
      </c>
      <c r="B2921" t="inlineStr">
        <is>
          <t>沪镍</t>
        </is>
      </c>
      <c r="C2921" t="inlineStr">
        <is>
          <t>多</t>
        </is>
      </c>
      <c r="D2921" t="n">
        <v>2</v>
      </c>
      <c r="E2921" t="n">
        <v>4</v>
      </c>
      <c r="F2921" t="inlineStr">
        <is>
          <t>续持</t>
        </is>
      </c>
      <c r="G2921" t="n">
        <v>1</v>
      </c>
      <c r="H2921" t="n">
        <v>136620</v>
      </c>
      <c r="I2921" t="n">
        <v>129020</v>
      </c>
      <c r="J2921" t="n">
        <v>1</v>
      </c>
      <c r="K2921" t="inlineStr">
        <is>
          <t>续持原仓（2024-04-02开）</t>
        </is>
      </c>
    </row>
    <row r="2922">
      <c r="A2922" t="inlineStr">
        <is>
          <t>2024-04-08</t>
        </is>
      </c>
      <c r="B2922" t="inlineStr">
        <is>
          <t>白糖</t>
        </is>
      </c>
      <c r="C2922" t="inlineStr">
        <is>
          <t>多</t>
        </is>
      </c>
      <c r="D2922" t="n">
        <v>2</v>
      </c>
      <c r="E2922" t="n">
        <v>4</v>
      </c>
      <c r="F2922" t="inlineStr">
        <is>
          <t>影子仓</t>
        </is>
      </c>
      <c r="G2922" t="n">
        <v>3</v>
      </c>
      <c r="H2922" t="n">
        <v>6521</v>
      </c>
      <c r="I2922" t="n">
        <v>6251.86</v>
      </c>
      <c r="J2922" t="n">
        <v>1</v>
      </c>
      <c r="K2922" t="inlineStr">
        <is>
          <t>凯利≤0，开1%影子仓（只统计，不计入组合）</t>
        </is>
      </c>
    </row>
    <row r="2923">
      <c r="A2923" t="inlineStr">
        <is>
          <t>2024-04-09</t>
        </is>
      </c>
      <c r="B2923" t="inlineStr">
        <is>
          <t>沪银</t>
        </is>
      </c>
      <c r="C2923" t="inlineStr">
        <is>
          <t>多</t>
        </is>
      </c>
      <c r="D2923" t="n">
        <v>3</v>
      </c>
      <c r="E2923" t="n">
        <v>7</v>
      </c>
      <c r="F2923" t="inlineStr">
        <is>
          <t>续持</t>
        </is>
      </c>
      <c r="G2923" t="n">
        <v>2</v>
      </c>
      <c r="H2923" t="n">
        <v>7170</v>
      </c>
      <c r="I2923" t="n">
        <v>6824.57</v>
      </c>
      <c r="J2923" t="n">
        <v>1.31</v>
      </c>
      <c r="K2923" t="inlineStr">
        <is>
          <t>续持原仓（2024-04-03开）</t>
        </is>
      </c>
    </row>
    <row r="2924">
      <c r="A2924" t="inlineStr">
        <is>
          <t>2024-04-09</t>
        </is>
      </c>
      <c r="B2924" t="inlineStr">
        <is>
          <t>沪铜</t>
        </is>
      </c>
      <c r="C2924" t="inlineStr">
        <is>
          <t>多</t>
        </is>
      </c>
      <c r="D2924" t="n">
        <v>3</v>
      </c>
      <c r="E2924" t="n">
        <v>7</v>
      </c>
      <c r="F2924" t="inlineStr">
        <is>
          <t>开仓</t>
        </is>
      </c>
      <c r="G2924" t="n">
        <v>1</v>
      </c>
      <c r="H2924" t="n">
        <v>76130</v>
      </c>
      <c r="I2924" t="n">
        <v>73262.86</v>
      </c>
      <c r="J2924" t="n">
        <v>2.23</v>
      </c>
      <c r="K2924" t="inlineStr">
        <is>
          <t>¼凯利</t>
        </is>
      </c>
    </row>
    <row r="2925">
      <c r="A2925" t="inlineStr">
        <is>
          <t>2024-04-09</t>
        </is>
      </c>
      <c r="B2925" t="inlineStr">
        <is>
          <t>玉米</t>
        </is>
      </c>
      <c r="C2925" t="inlineStr">
        <is>
          <t>空</t>
        </is>
      </c>
      <c r="D2925" t="n">
        <v>3</v>
      </c>
      <c r="E2925" t="n">
        <v>6</v>
      </c>
      <c r="F2925" t="inlineStr">
        <is>
          <t>开仓</t>
        </is>
      </c>
      <c r="G2925" t="n">
        <v>36</v>
      </c>
      <c r="H2925" t="n">
        <v>2415</v>
      </c>
      <c r="I2925" t="n">
        <v>2476.5</v>
      </c>
      <c r="J2925" t="n">
        <v>2.23</v>
      </c>
      <c r="K2925" t="inlineStr">
        <is>
          <t>¼凯利</t>
        </is>
      </c>
    </row>
    <row r="2926">
      <c r="A2926" t="inlineStr">
        <is>
          <t>2024-04-09</t>
        </is>
      </c>
      <c r="B2926" t="inlineStr">
        <is>
          <t>甲醇</t>
        </is>
      </c>
      <c r="C2926" t="inlineStr">
        <is>
          <t>空</t>
        </is>
      </c>
      <c r="D2926" t="n">
        <v>2</v>
      </c>
      <c r="E2926" t="n">
        <v>5</v>
      </c>
      <c r="F2926" t="inlineStr">
        <is>
          <t>续持</t>
        </is>
      </c>
      <c r="G2926" t="n">
        <v>8</v>
      </c>
      <c r="H2926" t="n">
        <v>2479</v>
      </c>
      <c r="I2926" t="n">
        <v>2579.36</v>
      </c>
      <c r="J2926" t="n">
        <v>1</v>
      </c>
      <c r="K2926" t="inlineStr">
        <is>
          <t>续持原仓（2024-04-08开）</t>
        </is>
      </c>
    </row>
    <row r="2927">
      <c r="A2927" t="inlineStr">
        <is>
          <t>2024-04-09</t>
        </is>
      </c>
      <c r="B2927" t="inlineStr">
        <is>
          <t>沪镍</t>
        </is>
      </c>
      <c r="C2927" t="inlineStr">
        <is>
          <t>多</t>
        </is>
      </c>
      <c r="D2927" t="n">
        <v>2</v>
      </c>
      <c r="E2927" t="n">
        <v>4</v>
      </c>
      <c r="F2927" t="inlineStr">
        <is>
          <t>续持</t>
        </is>
      </c>
      <c r="G2927" t="n">
        <v>1</v>
      </c>
      <c r="H2927" t="n">
        <v>137090</v>
      </c>
      <c r="I2927" t="n">
        <v>129921.43</v>
      </c>
      <c r="J2927" t="n">
        <v>1</v>
      </c>
      <c r="K2927" t="inlineStr">
        <is>
          <t>续持原仓（2024-04-02开）</t>
        </is>
      </c>
    </row>
    <row r="2928">
      <c r="A2928" t="inlineStr">
        <is>
          <t>2024-04-09</t>
        </is>
      </c>
      <c r="B2928" t="inlineStr">
        <is>
          <t>热卷</t>
        </is>
      </c>
      <c r="C2928" t="inlineStr">
        <is>
          <t>多</t>
        </is>
      </c>
      <c r="D2928" t="n">
        <v>2</v>
      </c>
      <c r="E2928" t="n">
        <v>4</v>
      </c>
      <c r="F2928" t="inlineStr">
        <is>
          <t>影子仓</t>
        </is>
      </c>
      <c r="G2928" t="n">
        <v>4</v>
      </c>
      <c r="H2928" t="n">
        <v>3766</v>
      </c>
      <c r="I2928" t="n">
        <v>3559.21</v>
      </c>
      <c r="J2928" t="n">
        <v>1</v>
      </c>
      <c r="K2928" t="inlineStr">
        <is>
          <t>凯利≤0，开1%影子仓（只统计，不计入组合）</t>
        </is>
      </c>
    </row>
    <row r="2929">
      <c r="A2929" t="inlineStr">
        <is>
          <t>2024-04-10</t>
        </is>
      </c>
      <c r="B2929" t="inlineStr">
        <is>
          <t>沪银</t>
        </is>
      </c>
      <c r="C2929" t="inlineStr">
        <is>
          <t>多</t>
        </is>
      </c>
      <c r="D2929" t="n">
        <v>3</v>
      </c>
      <c r="E2929" t="n">
        <v>7</v>
      </c>
      <c r="F2929" t="inlineStr">
        <is>
          <t>续持</t>
        </is>
      </c>
      <c r="G2929" t="n">
        <v>2</v>
      </c>
      <c r="H2929" t="n">
        <v>7204</v>
      </c>
      <c r="I2929" t="n">
        <v>6824.57</v>
      </c>
      <c r="J2929" t="n">
        <v>1.31</v>
      </c>
      <c r="K2929" t="inlineStr">
        <is>
          <t>续持原仓（2024-04-03开）</t>
        </is>
      </c>
    </row>
    <row r="2930">
      <c r="A2930" t="inlineStr">
        <is>
          <t>2024-04-10</t>
        </is>
      </c>
      <c r="B2930" t="inlineStr">
        <is>
          <t>沪锌</t>
        </is>
      </c>
      <c r="C2930" t="inlineStr">
        <is>
          <t>多</t>
        </is>
      </c>
      <c r="D2930" t="n">
        <v>3</v>
      </c>
      <c r="E2930" t="n">
        <v>7</v>
      </c>
      <c r="F2930" t="inlineStr">
        <is>
          <t>开仓</t>
        </is>
      </c>
      <c r="G2930" t="n">
        <v>4</v>
      </c>
      <c r="H2930" t="n">
        <v>22660</v>
      </c>
      <c r="I2930" t="n">
        <v>21723.57</v>
      </c>
      <c r="J2930" t="n">
        <v>2.13</v>
      </c>
      <c r="K2930" t="inlineStr">
        <is>
          <t>¼凯利</t>
        </is>
      </c>
    </row>
    <row r="2931">
      <c r="A2931" t="inlineStr">
        <is>
          <t>2024-04-10</t>
        </is>
      </c>
      <c r="B2931" t="inlineStr">
        <is>
          <t>沪金</t>
        </is>
      </c>
      <c r="C2931" t="inlineStr">
        <is>
          <t>多</t>
        </is>
      </c>
      <c r="D2931" t="n">
        <v>3</v>
      </c>
      <c r="E2931" t="n">
        <v>6</v>
      </c>
      <c r="F2931" t="inlineStr">
        <is>
          <t>不做</t>
        </is>
      </c>
      <c r="H2931" t="n">
        <v>558.78</v>
      </c>
      <c r="J2931" t="n">
        <v>2.13</v>
      </c>
      <c r="K2931" t="inlineStr">
        <is>
          <t>1手风险22239元超过预算21300元</t>
        </is>
      </c>
    </row>
    <row r="2932">
      <c r="A2932" t="inlineStr">
        <is>
          <t>2024-04-10</t>
        </is>
      </c>
      <c r="B2932" t="inlineStr">
        <is>
          <t>沪铝</t>
        </is>
      </c>
      <c r="C2932" t="inlineStr">
        <is>
          <t>多</t>
        </is>
      </c>
      <c r="D2932" t="n">
        <v>3</v>
      </c>
      <c r="E2932" t="n">
        <v>6</v>
      </c>
      <c r="F2932" t="inlineStr">
        <is>
          <t>开仓</t>
        </is>
      </c>
      <c r="G2932" t="n">
        <v>6</v>
      </c>
      <c r="H2932" t="n">
        <v>20505</v>
      </c>
      <c r="I2932" t="n">
        <v>19863.21</v>
      </c>
      <c r="J2932" t="n">
        <v>2.13</v>
      </c>
      <c r="K2932" t="inlineStr">
        <is>
          <t>¼凯利</t>
        </is>
      </c>
    </row>
    <row r="2933">
      <c r="A2933" t="inlineStr">
        <is>
          <t>2024-04-10</t>
        </is>
      </c>
      <c r="B2933" t="inlineStr">
        <is>
          <t>塑料</t>
        </is>
      </c>
      <c r="C2933" t="inlineStr">
        <is>
          <t>多</t>
        </is>
      </c>
      <c r="D2933" t="n">
        <v>2</v>
      </c>
      <c r="E2933" t="n">
        <v>5</v>
      </c>
      <c r="F2933" t="inlineStr">
        <is>
          <t>影子仓</t>
        </is>
      </c>
      <c r="G2933" t="n">
        <v>10</v>
      </c>
      <c r="H2933" t="n">
        <v>8371</v>
      </c>
      <c r="I2933" t="n">
        <v>8174.07</v>
      </c>
      <c r="J2933" t="n">
        <v>1</v>
      </c>
      <c r="K2933" t="inlineStr">
        <is>
          <t>凯利≤0，开1%影子仓（只统计，不计入组合）</t>
        </is>
      </c>
    </row>
    <row r="2934">
      <c r="A2934" t="inlineStr">
        <is>
          <t>2024-04-11</t>
        </is>
      </c>
      <c r="B2934" t="inlineStr">
        <is>
          <t>沪锌</t>
        </is>
      </c>
      <c r="C2934" t="inlineStr">
        <is>
          <t>多</t>
        </is>
      </c>
      <c r="D2934" t="n">
        <v>3</v>
      </c>
      <c r="E2934" t="n">
        <v>7</v>
      </c>
      <c r="F2934" t="inlineStr">
        <is>
          <t>续持</t>
        </is>
      </c>
      <c r="G2934" t="n">
        <v>4</v>
      </c>
      <c r="H2934" t="n">
        <v>22870</v>
      </c>
      <c r="I2934" t="n">
        <v>21935.71</v>
      </c>
      <c r="J2934" t="n">
        <v>2.13</v>
      </c>
      <c r="K2934" t="inlineStr">
        <is>
          <t>续持原仓（2024-04-10开）</t>
        </is>
      </c>
    </row>
    <row r="2935">
      <c r="A2935" t="inlineStr">
        <is>
          <t>2024-04-11</t>
        </is>
      </c>
      <c r="B2935" t="inlineStr">
        <is>
          <t>塑料</t>
        </is>
      </c>
      <c r="C2935" t="inlineStr">
        <is>
          <t>多</t>
        </is>
      </c>
      <c r="D2935" t="n">
        <v>3</v>
      </c>
      <c r="E2935" t="n">
        <v>6</v>
      </c>
      <c r="F2935" t="inlineStr">
        <is>
          <t>续持</t>
        </is>
      </c>
      <c r="G2935" t="n">
        <v>10</v>
      </c>
      <c r="H2935" t="n">
        <v>8418</v>
      </c>
      <c r="I2935" t="n">
        <v>8234.639999999999</v>
      </c>
      <c r="J2935" t="n">
        <v>1</v>
      </c>
      <c r="K2935" t="inlineStr">
        <is>
          <t>续持原仓（2024-04-10开）</t>
        </is>
      </c>
    </row>
    <row r="2936">
      <c r="A2936" t="inlineStr">
        <is>
          <t>2024-04-11</t>
        </is>
      </c>
      <c r="B2936" t="inlineStr">
        <is>
          <t>沪铝</t>
        </is>
      </c>
      <c r="C2936" t="inlineStr">
        <is>
          <t>多</t>
        </is>
      </c>
      <c r="D2936" t="n">
        <v>3</v>
      </c>
      <c r="E2936" t="n">
        <v>6</v>
      </c>
      <c r="F2936" t="inlineStr">
        <is>
          <t>续持</t>
        </is>
      </c>
      <c r="G2936" t="n">
        <v>6</v>
      </c>
      <c r="H2936" t="n">
        <v>20460</v>
      </c>
      <c r="I2936" t="n">
        <v>19908.21</v>
      </c>
      <c r="J2936" t="n">
        <v>2.13</v>
      </c>
      <c r="K2936" t="inlineStr">
        <is>
          <t>续持原仓（2024-04-10开）</t>
        </is>
      </c>
    </row>
    <row r="2937">
      <c r="A2937" t="inlineStr">
        <is>
          <t>2024-04-11</t>
        </is>
      </c>
      <c r="B2937" t="inlineStr">
        <is>
          <t>沪银</t>
        </is>
      </c>
      <c r="C2937" t="inlineStr">
        <is>
          <t>多</t>
        </is>
      </c>
      <c r="D2937" t="n">
        <v>2</v>
      </c>
      <c r="E2937" t="n">
        <v>5</v>
      </c>
      <c r="F2937" t="inlineStr">
        <is>
          <t>续持</t>
        </is>
      </c>
      <c r="G2937" t="n">
        <v>2</v>
      </c>
      <c r="H2937" t="n">
        <v>7164</v>
      </c>
      <c r="I2937" t="n">
        <v>6824.57</v>
      </c>
      <c r="J2937" t="n">
        <v>1.31</v>
      </c>
      <c r="K2937" t="inlineStr">
        <is>
          <t>续持原仓（2024-04-03开）</t>
        </is>
      </c>
    </row>
    <row r="2938">
      <c r="A2938" t="inlineStr">
        <is>
          <t>2024-04-11</t>
        </is>
      </c>
      <c r="B2938" t="inlineStr">
        <is>
          <t>螺纹钢</t>
        </is>
      </c>
      <c r="C2938" t="inlineStr">
        <is>
          <t>多</t>
        </is>
      </c>
      <c r="D2938" t="n">
        <v>2</v>
      </c>
      <c r="E2938" t="n">
        <v>5</v>
      </c>
      <c r="F2938" t="inlineStr">
        <is>
          <t>影子仓</t>
        </is>
      </c>
      <c r="G2938" t="n">
        <v>4</v>
      </c>
      <c r="H2938" t="n">
        <v>3613</v>
      </c>
      <c r="I2938" t="n">
        <v>3404.07</v>
      </c>
      <c r="J2938" t="n">
        <v>1</v>
      </c>
      <c r="K2938" t="inlineStr">
        <is>
          <t>凯利≤0，开1%影子仓（只统计，不计入组合）</t>
        </is>
      </c>
    </row>
    <row r="2939">
      <c r="A2939" t="inlineStr">
        <is>
          <t>2024-04-11</t>
        </is>
      </c>
      <c r="B2939" t="inlineStr">
        <is>
          <t>白糖</t>
        </is>
      </c>
      <c r="C2939" t="inlineStr">
        <is>
          <t>空</t>
        </is>
      </c>
      <c r="D2939" t="n">
        <v>2</v>
      </c>
      <c r="E2939" t="n">
        <v>4</v>
      </c>
      <c r="F2939" t="inlineStr">
        <is>
          <t>影子仓</t>
        </is>
      </c>
      <c r="G2939" t="n">
        <v>3</v>
      </c>
      <c r="H2939" t="n">
        <v>6455</v>
      </c>
      <c r="I2939" t="n">
        <v>6729.29</v>
      </c>
      <c r="J2939" t="n">
        <v>1</v>
      </c>
      <c r="K2939" t="inlineStr">
        <is>
          <t>凯利≤0，开1%影子仓（只统计，不计入组合）</t>
        </is>
      </c>
    </row>
    <row r="2940">
      <c r="A2940" t="inlineStr">
        <is>
          <t>2024-04-12</t>
        </is>
      </c>
      <c r="B2940" t="inlineStr">
        <is>
          <t>沪铝</t>
        </is>
      </c>
      <c r="C2940" t="inlineStr">
        <is>
          <t>多</t>
        </is>
      </c>
      <c r="D2940" t="n">
        <v>3</v>
      </c>
      <c r="E2940" t="n">
        <v>7</v>
      </c>
      <c r="F2940" t="inlineStr">
        <is>
          <t>续持</t>
        </is>
      </c>
      <c r="G2940" t="n">
        <v>6</v>
      </c>
      <c r="H2940" t="n">
        <v>20735</v>
      </c>
      <c r="I2940" t="n">
        <v>20059.29</v>
      </c>
      <c r="J2940" t="n">
        <v>2.13</v>
      </c>
      <c r="K2940" t="inlineStr">
        <is>
          <t>续持原仓（2024-04-10开）</t>
        </is>
      </c>
    </row>
    <row r="2941">
      <c r="A2941" t="inlineStr">
        <is>
          <t>2024-04-12</t>
        </is>
      </c>
      <c r="B2941" t="inlineStr">
        <is>
          <t>沪金</t>
        </is>
      </c>
      <c r="C2941" t="inlineStr">
        <is>
          <t>多</t>
        </is>
      </c>
      <c r="D2941" t="n">
        <v>3</v>
      </c>
      <c r="E2941" t="n">
        <v>6</v>
      </c>
      <c r="F2941" t="inlineStr">
        <is>
          <t>不做</t>
        </is>
      </c>
      <c r="H2941" t="n">
        <v>570.5</v>
      </c>
      <c r="J2941" t="n">
        <v>2.18</v>
      </c>
      <c r="K2941" t="inlineStr">
        <is>
          <t>1手风险24167元超过预算21800元</t>
        </is>
      </c>
    </row>
    <row r="2942">
      <c r="A2942" t="inlineStr">
        <is>
          <t>2024-04-12</t>
        </is>
      </c>
      <c r="B2942" t="inlineStr">
        <is>
          <t>沪银</t>
        </is>
      </c>
      <c r="C2942" t="inlineStr">
        <is>
          <t>多</t>
        </is>
      </c>
      <c r="D2942" t="n">
        <v>3</v>
      </c>
      <c r="E2942" t="n">
        <v>6</v>
      </c>
      <c r="F2942" t="inlineStr">
        <is>
          <t>续持</t>
        </is>
      </c>
      <c r="G2942" t="n">
        <v>2</v>
      </c>
      <c r="H2942" t="n">
        <v>7472</v>
      </c>
      <c r="I2942" t="n">
        <v>6962.14</v>
      </c>
      <c r="J2942" t="n">
        <v>1.31</v>
      </c>
      <c r="K2942" t="inlineStr">
        <is>
          <t>续持原仓（2024-04-03开）</t>
        </is>
      </c>
    </row>
    <row r="2943">
      <c r="A2943" t="inlineStr">
        <is>
          <t>2024-04-12</t>
        </is>
      </c>
      <c r="B2943" t="inlineStr">
        <is>
          <t>塑料</t>
        </is>
      </c>
      <c r="C2943" t="inlineStr">
        <is>
          <t>多</t>
        </is>
      </c>
      <c r="D2943" t="n">
        <v>3</v>
      </c>
      <c r="E2943" t="n">
        <v>6</v>
      </c>
      <c r="F2943" t="inlineStr">
        <is>
          <t>观望</t>
        </is>
      </c>
      <c r="G2943" t="n">
        <v>21</v>
      </c>
      <c r="H2943" t="n">
        <v>8369</v>
      </c>
      <c r="I2943" t="n">
        <v>8165.21</v>
      </c>
      <c r="J2943" t="n">
        <v>2.18</v>
      </c>
      <c r="K2943" t="inlineStr">
        <is>
          <t>逆5日线（收盘在5日线下，不追多）</t>
        </is>
      </c>
    </row>
    <row r="2944">
      <c r="A2944" t="inlineStr">
        <is>
          <t>2024-04-12</t>
        </is>
      </c>
      <c r="B2944" t="inlineStr">
        <is>
          <t>甲醇</t>
        </is>
      </c>
      <c r="C2944" t="inlineStr">
        <is>
          <t>空</t>
        </is>
      </c>
      <c r="D2944" t="n">
        <v>3</v>
      </c>
      <c r="E2944" t="n">
        <v>6</v>
      </c>
      <c r="F2944" t="inlineStr">
        <is>
          <t>观望</t>
        </is>
      </c>
      <c r="G2944" t="n">
        <v>20</v>
      </c>
      <c r="H2944" t="n">
        <v>2476</v>
      </c>
      <c r="I2944" t="n">
        <v>2582.93</v>
      </c>
      <c r="J2944" t="n">
        <v>2.18</v>
      </c>
      <c r="K2944" t="inlineStr">
        <is>
          <t>逆5日线（收盘在5日线上，不追空）</t>
        </is>
      </c>
    </row>
    <row r="2945">
      <c r="A2945" t="inlineStr">
        <is>
          <t>2024-04-12</t>
        </is>
      </c>
      <c r="B2945" t="inlineStr">
        <is>
          <t>热卷</t>
        </is>
      </c>
      <c r="C2945" t="inlineStr">
        <is>
          <t>多</t>
        </is>
      </c>
      <c r="D2945" t="n">
        <v>3</v>
      </c>
      <c r="E2945" t="n">
        <v>6</v>
      </c>
      <c r="F2945" t="inlineStr">
        <is>
          <t>续持</t>
        </is>
      </c>
      <c r="G2945" t="n">
        <v>4</v>
      </c>
      <c r="H2945" t="n">
        <v>3779</v>
      </c>
      <c r="I2945" t="n">
        <v>3591.71</v>
      </c>
      <c r="J2945" t="n">
        <v>1</v>
      </c>
      <c r="K2945" t="inlineStr">
        <is>
          <t>续持原仓（2024-04-09开）</t>
        </is>
      </c>
    </row>
    <row r="2946">
      <c r="A2946" t="inlineStr">
        <is>
          <t>2024-04-12</t>
        </is>
      </c>
      <c r="B2946" t="inlineStr">
        <is>
          <t>沪镍</t>
        </is>
      </c>
      <c r="C2946" t="inlineStr">
        <is>
          <t>空</t>
        </is>
      </c>
      <c r="D2946" t="n">
        <v>2</v>
      </c>
      <c r="E2946" t="n">
        <v>4</v>
      </c>
      <c r="F2946" t="inlineStr">
        <is>
          <t>观望</t>
        </is>
      </c>
      <c r="G2946" t="n">
        <v>1</v>
      </c>
      <c r="H2946" t="n">
        <v>138250</v>
      </c>
      <c r="I2946" t="n">
        <v>146765.71</v>
      </c>
      <c r="J2946" t="n">
        <v>1</v>
      </c>
      <c r="K2946" t="inlineStr">
        <is>
          <t>逆5日线（收盘在5日线上，不追空）</t>
        </is>
      </c>
    </row>
    <row r="2947">
      <c r="A2947" t="inlineStr">
        <is>
          <t>2024-04-15</t>
        </is>
      </c>
      <c r="B2947" t="inlineStr">
        <is>
          <t>玉米</t>
        </is>
      </c>
      <c r="C2947" t="inlineStr">
        <is>
          <t>空</t>
        </is>
      </c>
      <c r="D2947" t="n">
        <v>3</v>
      </c>
      <c r="E2947" t="n">
        <v>6</v>
      </c>
      <c r="F2947" t="inlineStr">
        <is>
          <t>开仓</t>
        </is>
      </c>
      <c r="G2947" t="n">
        <v>39</v>
      </c>
      <c r="H2947" t="n">
        <v>2392</v>
      </c>
      <c r="I2947" t="n">
        <v>2451.36</v>
      </c>
      <c r="J2947" t="n">
        <v>2.36</v>
      </c>
      <c r="K2947" t="inlineStr">
        <is>
          <t>¼凯利</t>
        </is>
      </c>
    </row>
    <row r="2948">
      <c r="A2948" t="inlineStr">
        <is>
          <t>2024-04-15</t>
        </is>
      </c>
      <c r="B2948" t="inlineStr">
        <is>
          <t>塑料</t>
        </is>
      </c>
      <c r="C2948" t="inlineStr">
        <is>
          <t>多</t>
        </is>
      </c>
      <c r="D2948" t="n">
        <v>3</v>
      </c>
      <c r="E2948" t="n">
        <v>6</v>
      </c>
      <c r="F2948" t="inlineStr">
        <is>
          <t>续持</t>
        </is>
      </c>
      <c r="G2948" t="n">
        <v>10</v>
      </c>
      <c r="H2948" t="n">
        <v>8410</v>
      </c>
      <c r="I2948" t="n">
        <v>8244.93</v>
      </c>
      <c r="J2948" t="n">
        <v>1</v>
      </c>
      <c r="K2948" t="inlineStr">
        <is>
          <t>续持原仓（2024-04-10开）</t>
        </is>
      </c>
    </row>
    <row r="2949">
      <c r="A2949" t="inlineStr">
        <is>
          <t>2024-04-15</t>
        </is>
      </c>
      <c r="B2949" t="inlineStr">
        <is>
          <t>苯乙烯</t>
        </is>
      </c>
      <c r="C2949" t="inlineStr">
        <is>
          <t>多</t>
        </is>
      </c>
      <c r="D2949" t="n">
        <v>2</v>
      </c>
      <c r="E2949" t="n">
        <v>5</v>
      </c>
      <c r="F2949" t="inlineStr">
        <is>
          <t>影子仓</t>
        </is>
      </c>
      <c r="G2949" t="n">
        <v>5</v>
      </c>
      <c r="H2949" t="n">
        <v>9528</v>
      </c>
      <c r="I2949" t="n">
        <v>9146.360000000001</v>
      </c>
      <c r="J2949" t="n">
        <v>1</v>
      </c>
      <c r="K2949" t="inlineStr">
        <is>
          <t>凯利≤0，开1%影子仓（只统计，不计入组合）</t>
        </is>
      </c>
    </row>
    <row r="2950">
      <c r="A2950" t="inlineStr">
        <is>
          <t>2024-04-15</t>
        </is>
      </c>
      <c r="B2950" t="inlineStr">
        <is>
          <t>沪锌</t>
        </is>
      </c>
      <c r="C2950" t="inlineStr">
        <is>
          <t>多</t>
        </is>
      </c>
      <c r="D2950" t="n">
        <v>2</v>
      </c>
      <c r="E2950" t="n">
        <v>4</v>
      </c>
      <c r="F2950" t="inlineStr">
        <is>
          <t>影子仓</t>
        </is>
      </c>
      <c r="G2950" t="n">
        <v>1</v>
      </c>
      <c r="H2950" t="n">
        <v>22800</v>
      </c>
      <c r="I2950" t="n">
        <v>21632.14</v>
      </c>
      <c r="J2950" t="n">
        <v>1</v>
      </c>
      <c r="K2950" t="inlineStr">
        <is>
          <t>凯利≤0，开1%影子仓（只统计，不计入组合）</t>
        </is>
      </c>
    </row>
    <row r="2951">
      <c r="A2951" t="inlineStr">
        <is>
          <t>2024-04-15</t>
        </is>
      </c>
      <c r="B2951" t="inlineStr">
        <is>
          <t>热卷</t>
        </is>
      </c>
      <c r="C2951" t="inlineStr">
        <is>
          <t>多</t>
        </is>
      </c>
      <c r="D2951" t="n">
        <v>2</v>
      </c>
      <c r="E2951" t="n">
        <v>4</v>
      </c>
      <c r="F2951" t="inlineStr">
        <is>
          <t>续持</t>
        </is>
      </c>
      <c r="G2951" t="n">
        <v>4</v>
      </c>
      <c r="H2951" t="n">
        <v>3780</v>
      </c>
      <c r="I2951" t="n">
        <v>3604.07</v>
      </c>
      <c r="J2951" t="n">
        <v>1</v>
      </c>
      <c r="K2951" t="inlineStr">
        <is>
          <t>续持原仓（2024-04-09开）</t>
        </is>
      </c>
    </row>
    <row r="2952">
      <c r="A2952" t="inlineStr">
        <is>
          <t>2024-04-15</t>
        </is>
      </c>
      <c r="B2952" t="inlineStr">
        <is>
          <t>菜粕</t>
        </is>
      </c>
      <c r="C2952" t="inlineStr">
        <is>
          <t>多</t>
        </is>
      </c>
      <c r="D2952" t="n">
        <v>2</v>
      </c>
      <c r="E2952" t="n">
        <v>4</v>
      </c>
      <c r="F2952" t="inlineStr">
        <is>
          <t>影子仓</t>
        </is>
      </c>
      <c r="G2952" t="n">
        <v>6</v>
      </c>
      <c r="H2952" t="n">
        <v>2770</v>
      </c>
      <c r="I2952" t="n">
        <v>2616.57</v>
      </c>
      <c r="J2952" t="n">
        <v>1</v>
      </c>
      <c r="K2952" t="inlineStr">
        <is>
          <t>凯利≤0，开1%影子仓（只统计，不计入组合）</t>
        </is>
      </c>
    </row>
    <row r="2953">
      <c r="A2953" t="inlineStr">
        <is>
          <t>2024-04-16</t>
        </is>
      </c>
      <c r="B2953" t="inlineStr">
        <is>
          <t>PVC</t>
        </is>
      </c>
      <c r="C2953" t="inlineStr">
        <is>
          <t>空</t>
        </is>
      </c>
      <c r="D2953" t="n">
        <v>3</v>
      </c>
      <c r="E2953" t="n">
        <v>7</v>
      </c>
      <c r="F2953" t="inlineStr">
        <is>
          <t>开仓</t>
        </is>
      </c>
      <c r="G2953" t="n">
        <v>25</v>
      </c>
      <c r="H2953" t="n">
        <v>5890</v>
      </c>
      <c r="I2953" t="n">
        <v>6074.71</v>
      </c>
      <c r="J2953" t="n">
        <v>2.37</v>
      </c>
      <c r="K2953" t="inlineStr">
        <is>
          <t>¼凯利</t>
        </is>
      </c>
    </row>
    <row r="2954">
      <c r="A2954" t="inlineStr">
        <is>
          <t>2024-04-16</t>
        </is>
      </c>
      <c r="B2954" t="inlineStr">
        <is>
          <t>玉米</t>
        </is>
      </c>
      <c r="C2954" t="inlineStr">
        <is>
          <t>空</t>
        </is>
      </c>
      <c r="D2954" t="n">
        <v>3</v>
      </c>
      <c r="E2954" t="n">
        <v>7</v>
      </c>
      <c r="F2954" t="inlineStr">
        <is>
          <t>续持</t>
        </is>
      </c>
      <c r="G2954" t="n">
        <v>39</v>
      </c>
      <c r="H2954" t="n">
        <v>2382</v>
      </c>
      <c r="I2954" t="n">
        <v>2435.57</v>
      </c>
      <c r="J2954" t="n">
        <v>2.36</v>
      </c>
      <c r="K2954" t="inlineStr">
        <is>
          <t>续持原仓（2024-04-15开）</t>
        </is>
      </c>
    </row>
    <row r="2955">
      <c r="A2955" t="inlineStr">
        <is>
          <t>2024-04-16</t>
        </is>
      </c>
      <c r="B2955" t="inlineStr">
        <is>
          <t>甲醇</t>
        </is>
      </c>
      <c r="C2955" t="inlineStr">
        <is>
          <t>空</t>
        </is>
      </c>
      <c r="D2955" t="n">
        <v>3</v>
      </c>
      <c r="E2955" t="n">
        <v>7</v>
      </c>
      <c r="F2955" t="inlineStr">
        <is>
          <t>观望</t>
        </is>
      </c>
      <c r="G2955" t="n">
        <v>21</v>
      </c>
      <c r="H2955" t="n">
        <v>2513</v>
      </c>
      <c r="I2955" t="n">
        <v>2621</v>
      </c>
      <c r="J2955" t="n">
        <v>2.37</v>
      </c>
      <c r="K2955" t="inlineStr">
        <is>
          <t>逆5日线（收盘在5日线上，不追空）</t>
        </is>
      </c>
    </row>
    <row r="2956">
      <c r="A2956" t="inlineStr">
        <is>
          <t>2024-04-16</t>
        </is>
      </c>
      <c r="B2956" t="inlineStr">
        <is>
          <t>沪金</t>
        </is>
      </c>
      <c r="C2956" t="inlineStr">
        <is>
          <t>多</t>
        </is>
      </c>
      <c r="D2956" t="n">
        <v>3</v>
      </c>
      <c r="E2956" t="n">
        <v>6</v>
      </c>
      <c r="F2956" t="inlineStr">
        <is>
          <t>不做</t>
        </is>
      </c>
      <c r="H2956" t="n">
        <v>567</v>
      </c>
      <c r="J2956" t="n">
        <v>2.37</v>
      </c>
      <c r="K2956" t="inlineStr">
        <is>
          <t>1手风险31144元超过预算23700元</t>
        </is>
      </c>
    </row>
    <row r="2957">
      <c r="A2957" t="inlineStr">
        <is>
          <t>2024-04-16</t>
        </is>
      </c>
      <c r="B2957" t="inlineStr">
        <is>
          <t>白糖</t>
        </is>
      </c>
      <c r="C2957" t="inlineStr">
        <is>
          <t>空</t>
        </is>
      </c>
      <c r="D2957" t="n">
        <v>2</v>
      </c>
      <c r="E2957" t="n">
        <v>5</v>
      </c>
      <c r="F2957" t="inlineStr">
        <is>
          <t>影子仓</t>
        </is>
      </c>
      <c r="G2957" t="n">
        <v>3</v>
      </c>
      <c r="H2957" t="n">
        <v>6303</v>
      </c>
      <c r="I2957" t="n">
        <v>6571.07</v>
      </c>
      <c r="J2957" t="n">
        <v>1</v>
      </c>
      <c r="K2957" t="inlineStr">
        <is>
          <t>凯利≤0，开1%影子仓（只统计，不计入组合）</t>
        </is>
      </c>
    </row>
    <row r="2958">
      <c r="A2958" t="inlineStr">
        <is>
          <t>2024-04-16</t>
        </is>
      </c>
      <c r="B2958" t="inlineStr">
        <is>
          <t>玻璃</t>
        </is>
      </c>
      <c r="C2958" t="inlineStr">
        <is>
          <t>空</t>
        </is>
      </c>
      <c r="D2958" t="n">
        <v>2</v>
      </c>
      <c r="E2958" t="n">
        <v>5</v>
      </c>
      <c r="F2958" t="inlineStr">
        <is>
          <t>影子仓</t>
        </is>
      </c>
      <c r="G2958" t="n">
        <v>4</v>
      </c>
      <c r="H2958" t="n">
        <v>1458</v>
      </c>
      <c r="I2958" t="n">
        <v>1576.93</v>
      </c>
      <c r="J2958" t="n">
        <v>1</v>
      </c>
      <c r="K2958" t="inlineStr">
        <is>
          <t>凯利≤0，开1%影子仓（只统计，不计入组合）</t>
        </is>
      </c>
    </row>
    <row r="2959">
      <c r="A2959" t="inlineStr">
        <is>
          <t>2024-04-17</t>
        </is>
      </c>
      <c r="B2959" t="inlineStr">
        <is>
          <t>玉米</t>
        </is>
      </c>
      <c r="C2959" t="inlineStr">
        <is>
          <t>空</t>
        </is>
      </c>
      <c r="D2959" t="n">
        <v>3</v>
      </c>
      <c r="E2959" t="n">
        <v>6</v>
      </c>
      <c r="F2959" t="inlineStr">
        <is>
          <t>续持</t>
        </is>
      </c>
      <c r="G2959" t="n">
        <v>39</v>
      </c>
      <c r="H2959" t="n">
        <v>2408</v>
      </c>
      <c r="I2959" t="n">
        <v>2456.93</v>
      </c>
      <c r="J2959" t="n">
        <v>2.36</v>
      </c>
      <c r="K2959" t="inlineStr">
        <is>
          <t>续持原仓（2024-04-15开）</t>
        </is>
      </c>
    </row>
    <row r="2960">
      <c r="A2960" t="inlineStr">
        <is>
          <t>2024-04-17</t>
        </is>
      </c>
      <c r="B2960" t="inlineStr">
        <is>
          <t>沪银</t>
        </is>
      </c>
      <c r="C2960" t="inlineStr">
        <is>
          <t>多</t>
        </is>
      </c>
      <c r="D2960" t="n">
        <v>3</v>
      </c>
      <c r="E2960" t="n">
        <v>6</v>
      </c>
      <c r="F2960" t="inlineStr">
        <is>
          <t>开仓</t>
        </is>
      </c>
      <c r="G2960" t="n">
        <v>2</v>
      </c>
      <c r="H2960" t="n">
        <v>7389</v>
      </c>
      <c r="I2960" t="n">
        <v>6778.5</v>
      </c>
      <c r="J2960" t="n">
        <v>2.34</v>
      </c>
      <c r="K2960" t="inlineStr">
        <is>
          <t>¼凯利</t>
        </is>
      </c>
    </row>
    <row r="2961">
      <c r="A2961" t="inlineStr">
        <is>
          <t>2024-04-17</t>
        </is>
      </c>
      <c r="B2961" t="inlineStr">
        <is>
          <t>沪金</t>
        </is>
      </c>
      <c r="C2961" t="inlineStr">
        <is>
          <t>多</t>
        </is>
      </c>
      <c r="D2961" t="n">
        <v>2</v>
      </c>
      <c r="E2961" t="n">
        <v>5</v>
      </c>
      <c r="F2961" t="inlineStr">
        <is>
          <t>不做</t>
        </is>
      </c>
      <c r="H2961" t="n">
        <v>567.78</v>
      </c>
      <c r="J2961" t="n">
        <v>1</v>
      </c>
      <c r="K2961" t="inlineStr">
        <is>
          <t>1手风险32516元超过预算10000元</t>
        </is>
      </c>
    </row>
    <row r="2962">
      <c r="A2962" t="inlineStr">
        <is>
          <t>2024-04-17</t>
        </is>
      </c>
      <c r="B2962" t="inlineStr">
        <is>
          <t>苯乙烯</t>
        </is>
      </c>
      <c r="C2962" t="inlineStr">
        <is>
          <t>多</t>
        </is>
      </c>
      <c r="D2962" t="n">
        <v>2</v>
      </c>
      <c r="E2962" t="n">
        <v>5</v>
      </c>
      <c r="F2962" t="inlineStr">
        <is>
          <t>影子仓</t>
        </is>
      </c>
      <c r="G2962" t="n">
        <v>5</v>
      </c>
      <c r="H2962" t="n">
        <v>9594</v>
      </c>
      <c r="I2962" t="n">
        <v>9217.07</v>
      </c>
      <c r="J2962" t="n">
        <v>1</v>
      </c>
      <c r="K2962" t="inlineStr">
        <is>
          <t>凯利≤0，开1%影子仓（只统计，不计入组合）</t>
        </is>
      </c>
    </row>
    <row r="2963">
      <c r="A2963" t="inlineStr">
        <is>
          <t>2024-04-17</t>
        </is>
      </c>
      <c r="B2963" t="inlineStr">
        <is>
          <t>纯碱</t>
        </is>
      </c>
      <c r="C2963" t="inlineStr">
        <is>
          <t>多</t>
        </is>
      </c>
      <c r="D2963" t="n">
        <v>2</v>
      </c>
      <c r="E2963" t="n">
        <v>5</v>
      </c>
      <c r="F2963" t="inlineStr">
        <is>
          <t>影子仓</t>
        </is>
      </c>
      <c r="G2963" t="n">
        <v>2</v>
      </c>
      <c r="H2963" t="n">
        <v>1933</v>
      </c>
      <c r="I2963" t="n">
        <v>1764.14</v>
      </c>
      <c r="J2963" t="n">
        <v>1</v>
      </c>
      <c r="K2963" t="inlineStr">
        <is>
          <t>凯利≤0，开1%影子仓（只统计，不计入组合）</t>
        </is>
      </c>
    </row>
    <row r="2964">
      <c r="A2964" t="inlineStr">
        <is>
          <t>2024-04-17</t>
        </is>
      </c>
      <c r="B2964" t="inlineStr">
        <is>
          <t>沪镍</t>
        </is>
      </c>
      <c r="C2964" t="inlineStr">
        <is>
          <t>多</t>
        </is>
      </c>
      <c r="D2964" t="n">
        <v>2</v>
      </c>
      <c r="E2964" t="n">
        <v>4</v>
      </c>
      <c r="F2964" t="inlineStr">
        <is>
          <t>观望</t>
        </is>
      </c>
      <c r="G2964" t="n">
        <v>1</v>
      </c>
      <c r="H2964" t="n">
        <v>136390</v>
      </c>
      <c r="I2964" t="n">
        <v>126972.14</v>
      </c>
      <c r="J2964" t="n">
        <v>1</v>
      </c>
      <c r="K2964" t="inlineStr">
        <is>
          <t>逆5日线（收盘在5日线下，不追多）</t>
        </is>
      </c>
    </row>
    <row r="2965">
      <c r="A2965" t="inlineStr">
        <is>
          <t>2024-04-18</t>
        </is>
      </c>
      <c r="B2965" t="inlineStr">
        <is>
          <t>沪锌</t>
        </is>
      </c>
      <c r="C2965" t="inlineStr">
        <is>
          <t>多</t>
        </is>
      </c>
      <c r="D2965" t="n">
        <v>3</v>
      </c>
      <c r="E2965" t="n">
        <v>7</v>
      </c>
      <c r="F2965" t="inlineStr">
        <is>
          <t>开仓</t>
        </is>
      </c>
      <c r="G2965" t="n">
        <v>3</v>
      </c>
      <c r="H2965" t="n">
        <v>22840</v>
      </c>
      <c r="I2965" t="n">
        <v>21494.29</v>
      </c>
      <c r="J2965" t="n">
        <v>2.35</v>
      </c>
      <c r="K2965" t="inlineStr">
        <is>
          <t>¼凯利</t>
        </is>
      </c>
    </row>
    <row r="2966">
      <c r="A2966" t="inlineStr">
        <is>
          <t>2024-04-18</t>
        </is>
      </c>
      <c r="B2966" t="inlineStr">
        <is>
          <t>沪铜</t>
        </is>
      </c>
      <c r="C2966" t="inlineStr">
        <is>
          <t>多</t>
        </is>
      </c>
      <c r="D2966" t="n">
        <v>3</v>
      </c>
      <c r="E2966" t="n">
        <v>7</v>
      </c>
      <c r="F2966" t="inlineStr">
        <is>
          <t>开仓</t>
        </is>
      </c>
      <c r="G2966" t="n">
        <v>1</v>
      </c>
      <c r="H2966" t="n">
        <v>78780</v>
      </c>
      <c r="I2966" t="n">
        <v>75402.86</v>
      </c>
      <c r="J2966" t="n">
        <v>2.35</v>
      </c>
      <c r="K2966" t="inlineStr">
        <is>
          <t>¼凯利</t>
        </is>
      </c>
    </row>
    <row r="2967">
      <c r="A2967" t="inlineStr">
        <is>
          <t>2024-04-18</t>
        </is>
      </c>
      <c r="B2967" t="inlineStr">
        <is>
          <t>玉米</t>
        </is>
      </c>
      <c r="C2967" t="inlineStr">
        <is>
          <t>空</t>
        </is>
      </c>
      <c r="D2967" t="n">
        <v>3</v>
      </c>
      <c r="E2967" t="n">
        <v>6</v>
      </c>
      <c r="F2967" t="inlineStr">
        <is>
          <t>续持</t>
        </is>
      </c>
      <c r="G2967" t="n">
        <v>39</v>
      </c>
      <c r="H2967" t="n">
        <v>2405</v>
      </c>
      <c r="I2967" t="n">
        <v>2456.71</v>
      </c>
      <c r="J2967" t="n">
        <v>2.36</v>
      </c>
      <c r="K2967" t="inlineStr">
        <is>
          <t>续持原仓（2024-04-15开）</t>
        </is>
      </c>
    </row>
    <row r="2968">
      <c r="A2968" t="inlineStr">
        <is>
          <t>2024-04-18</t>
        </is>
      </c>
      <c r="B2968" t="inlineStr">
        <is>
          <t>塑料</t>
        </is>
      </c>
      <c r="C2968" t="inlineStr">
        <is>
          <t>多</t>
        </is>
      </c>
      <c r="D2968" t="n">
        <v>3</v>
      </c>
      <c r="E2968" t="n">
        <v>6</v>
      </c>
      <c r="F2968" t="inlineStr">
        <is>
          <t>开仓</t>
        </is>
      </c>
      <c r="G2968" t="n">
        <v>22</v>
      </c>
      <c r="H2968" t="n">
        <v>8439</v>
      </c>
      <c r="I2968" t="n">
        <v>8227.93</v>
      </c>
      <c r="J2968" t="n">
        <v>2.35</v>
      </c>
      <c r="K2968" t="inlineStr">
        <is>
          <t>¼凯利</t>
        </is>
      </c>
    </row>
    <row r="2969">
      <c r="A2969" t="inlineStr">
        <is>
          <t>2024-04-18</t>
        </is>
      </c>
      <c r="B2969" t="inlineStr">
        <is>
          <t>甲醇</t>
        </is>
      </c>
      <c r="C2969" t="inlineStr">
        <is>
          <t>多</t>
        </is>
      </c>
      <c r="D2969" t="n">
        <v>2</v>
      </c>
      <c r="E2969" t="n">
        <v>4</v>
      </c>
      <c r="F2969" t="inlineStr">
        <is>
          <t>影子仓</t>
        </is>
      </c>
      <c r="G2969" t="n">
        <v>9</v>
      </c>
      <c r="H2969" t="n">
        <v>2558</v>
      </c>
      <c r="I2969" t="n">
        <v>2452.36</v>
      </c>
      <c r="J2969" t="n">
        <v>1</v>
      </c>
      <c r="K2969" t="inlineStr">
        <is>
          <t>凯利≤0，开1%影子仓（只统计，不计入组合）</t>
        </is>
      </c>
    </row>
    <row r="2970">
      <c r="A2970" t="inlineStr">
        <is>
          <t>2024-04-19</t>
        </is>
      </c>
      <c r="B2970" t="inlineStr">
        <is>
          <t>沪金</t>
        </is>
      </c>
      <c r="C2970" t="inlineStr">
        <is>
          <t>多</t>
        </is>
      </c>
      <c r="D2970" t="n">
        <v>3</v>
      </c>
      <c r="E2970" t="n">
        <v>7</v>
      </c>
      <c r="F2970" t="inlineStr">
        <is>
          <t>不做</t>
        </is>
      </c>
      <c r="H2970" t="n">
        <v>568.3</v>
      </c>
      <c r="J2970" t="n">
        <v>0.59</v>
      </c>
      <c r="K2970" t="inlineStr">
        <is>
          <t>1手风险36283元超过预算5900元</t>
        </is>
      </c>
    </row>
    <row r="2971">
      <c r="A2971" t="inlineStr">
        <is>
          <t>2024-04-19</t>
        </is>
      </c>
      <c r="B2971" t="inlineStr">
        <is>
          <t>塑料</t>
        </is>
      </c>
      <c r="C2971" t="inlineStr">
        <is>
          <t>多</t>
        </is>
      </c>
      <c r="D2971" t="n">
        <v>3</v>
      </c>
      <c r="E2971" t="n">
        <v>7</v>
      </c>
      <c r="F2971" t="inlineStr">
        <is>
          <t>续持</t>
        </is>
      </c>
      <c r="G2971" t="n">
        <v>22</v>
      </c>
      <c r="H2971" t="n">
        <v>8464</v>
      </c>
      <c r="I2971" t="n">
        <v>8341.860000000001</v>
      </c>
      <c r="J2971" t="n">
        <v>2.35</v>
      </c>
      <c r="K2971" t="inlineStr">
        <is>
          <t>续持原仓（2024-04-18开）</t>
        </is>
      </c>
    </row>
    <row r="2972">
      <c r="A2972" t="inlineStr">
        <is>
          <t>2024-04-19</t>
        </is>
      </c>
      <c r="B2972" t="inlineStr">
        <is>
          <t>沪铜</t>
        </is>
      </c>
      <c r="C2972" t="inlineStr">
        <is>
          <t>多</t>
        </is>
      </c>
      <c r="D2972" t="n">
        <v>3</v>
      </c>
      <c r="E2972" t="n">
        <v>7</v>
      </c>
      <c r="F2972" t="inlineStr">
        <is>
          <t>续持</t>
        </is>
      </c>
      <c r="G2972" t="n">
        <v>1</v>
      </c>
      <c r="H2972" t="n">
        <v>79370</v>
      </c>
      <c r="I2972" t="n">
        <v>76330</v>
      </c>
      <c r="J2972" t="n">
        <v>2.35</v>
      </c>
      <c r="K2972" t="inlineStr">
        <is>
          <t>续持原仓（2024-04-18开）</t>
        </is>
      </c>
    </row>
    <row r="2973">
      <c r="A2973" t="inlineStr">
        <is>
          <t>2024-04-19</t>
        </is>
      </c>
      <c r="B2973" t="inlineStr">
        <is>
          <t>沪锌</t>
        </is>
      </c>
      <c r="C2973" t="inlineStr">
        <is>
          <t>多</t>
        </is>
      </c>
      <c r="D2973" t="n">
        <v>3</v>
      </c>
      <c r="E2973" t="n">
        <v>6</v>
      </c>
      <c r="F2973" t="inlineStr">
        <is>
          <t>续持</t>
        </is>
      </c>
      <c r="G2973" t="n">
        <v>3</v>
      </c>
      <c r="H2973" t="n">
        <v>22740</v>
      </c>
      <c r="I2973" t="n">
        <v>21464.29</v>
      </c>
      <c r="J2973" t="n">
        <v>2.35</v>
      </c>
      <c r="K2973" t="inlineStr">
        <is>
          <t>续持原仓（2024-04-18开）</t>
        </is>
      </c>
    </row>
    <row r="2974">
      <c r="A2974" t="inlineStr">
        <is>
          <t>2024-04-19</t>
        </is>
      </c>
      <c r="B2974" t="inlineStr">
        <is>
          <t>白糖</t>
        </is>
      </c>
      <c r="C2974" t="inlineStr">
        <is>
          <t>空</t>
        </is>
      </c>
      <c r="D2974" t="n">
        <v>3</v>
      </c>
      <c r="E2974" t="n">
        <v>6</v>
      </c>
      <c r="F2974" t="inlineStr">
        <is>
          <t>开仓</t>
        </is>
      </c>
      <c r="G2974" t="n">
        <v>2</v>
      </c>
      <c r="H2974" t="n">
        <v>6216</v>
      </c>
      <c r="I2974" t="n">
        <v>6498.86</v>
      </c>
      <c r="J2974" t="n">
        <v>0.59</v>
      </c>
      <c r="K2974" t="inlineStr">
        <is>
          <t>组合风险已近10%，预算缩小</t>
        </is>
      </c>
    </row>
    <row r="2975">
      <c r="A2975" t="inlineStr">
        <is>
          <t>2024-04-19</t>
        </is>
      </c>
      <c r="B2975" t="inlineStr">
        <is>
          <t>沪银</t>
        </is>
      </c>
      <c r="C2975" t="inlineStr">
        <is>
          <t>多</t>
        </is>
      </c>
      <c r="D2975" t="n">
        <v>2</v>
      </c>
      <c r="E2975" t="n">
        <v>5</v>
      </c>
      <c r="F2975" t="inlineStr">
        <is>
          <t>影子仓</t>
        </is>
      </c>
      <c r="G2975" t="n">
        <v>1</v>
      </c>
      <c r="H2975" t="n">
        <v>7418</v>
      </c>
      <c r="I2975" t="n">
        <v>6755.64</v>
      </c>
      <c r="J2975" t="n">
        <v>1</v>
      </c>
      <c r="K2975" t="inlineStr">
        <is>
          <t>凯利≤0，开1%影子仓（只统计，不计入组合）</t>
        </is>
      </c>
    </row>
    <row r="2976">
      <c r="A2976" t="inlineStr">
        <is>
          <t>2024-04-22</t>
        </is>
      </c>
      <c r="B2976" t="inlineStr">
        <is>
          <t>棕榈油</t>
        </is>
      </c>
      <c r="C2976" t="inlineStr">
        <is>
          <t>空</t>
        </is>
      </c>
      <c r="D2976" t="n">
        <v>3</v>
      </c>
      <c r="E2976" t="n">
        <v>7</v>
      </c>
      <c r="F2976" t="inlineStr">
        <is>
          <t>开仓</t>
        </is>
      </c>
      <c r="G2976" t="n">
        <v>4</v>
      </c>
      <c r="H2976" t="n">
        <v>7346</v>
      </c>
      <c r="I2976" t="n">
        <v>7907.43</v>
      </c>
      <c r="J2976" t="n">
        <v>2.38</v>
      </c>
      <c r="K2976" t="inlineStr">
        <is>
          <t>¼凯利</t>
        </is>
      </c>
    </row>
    <row r="2977">
      <c r="A2977" t="inlineStr">
        <is>
          <t>2024-04-22</t>
        </is>
      </c>
      <c r="B2977" t="inlineStr">
        <is>
          <t>白糖</t>
        </is>
      </c>
      <c r="C2977" t="inlineStr">
        <is>
          <t>空</t>
        </is>
      </c>
      <c r="D2977" t="n">
        <v>2</v>
      </c>
      <c r="E2977" t="n">
        <v>5</v>
      </c>
      <c r="F2977" t="inlineStr">
        <is>
          <t>续持</t>
        </is>
      </c>
      <c r="G2977" t="n">
        <v>2</v>
      </c>
      <c r="H2977" t="n">
        <v>6212</v>
      </c>
      <c r="I2977" t="n">
        <v>6462.29</v>
      </c>
      <c r="J2977" t="n">
        <v>0.59</v>
      </c>
      <c r="K2977" t="inlineStr">
        <is>
          <t>续持原仓（2024-04-19开）</t>
        </is>
      </c>
    </row>
    <row r="2978">
      <c r="A2978" t="inlineStr">
        <is>
          <t>2024-04-23</t>
        </is>
      </c>
      <c r="B2978" t="inlineStr">
        <is>
          <t>工业硅</t>
        </is>
      </c>
      <c r="C2978" t="inlineStr">
        <is>
          <t>空</t>
        </is>
      </c>
      <c r="D2978" t="n">
        <v>3</v>
      </c>
      <c r="E2978" t="n">
        <v>6</v>
      </c>
      <c r="F2978" t="inlineStr">
        <is>
          <t>观望</t>
        </is>
      </c>
      <c r="G2978" t="n">
        <v>7</v>
      </c>
      <c r="H2978" t="n">
        <v>11710</v>
      </c>
      <c r="I2978" t="n">
        <v>12392.5</v>
      </c>
      <c r="J2978" t="n">
        <v>2.39</v>
      </c>
      <c r="K2978" t="inlineStr">
        <is>
          <t>逆5日线（收盘在5日线上，不追空）</t>
        </is>
      </c>
    </row>
    <row r="2979">
      <c r="A2979" t="inlineStr">
        <is>
          <t>2024-04-23</t>
        </is>
      </c>
      <c r="B2979" t="inlineStr">
        <is>
          <t>沪锌</t>
        </is>
      </c>
      <c r="C2979" t="inlineStr">
        <is>
          <t>多</t>
        </is>
      </c>
      <c r="D2979" t="n">
        <v>2</v>
      </c>
      <c r="E2979" t="n">
        <v>5</v>
      </c>
      <c r="F2979" t="inlineStr">
        <is>
          <t>观望</t>
        </is>
      </c>
      <c r="G2979" t="n">
        <v>1</v>
      </c>
      <c r="H2979" t="n">
        <v>22270</v>
      </c>
      <c r="I2979" t="n">
        <v>20770</v>
      </c>
      <c r="J2979" t="n">
        <v>1</v>
      </c>
      <c r="K2979" t="inlineStr">
        <is>
          <t>逆5日线（收盘在5日线下，不追多）</t>
        </is>
      </c>
    </row>
    <row r="2980">
      <c r="A2980" t="inlineStr">
        <is>
          <t>2024-04-23</t>
        </is>
      </c>
      <c r="B2980" t="inlineStr">
        <is>
          <t>锰硅</t>
        </is>
      </c>
      <c r="C2980" t="inlineStr">
        <is>
          <t>多</t>
        </is>
      </c>
      <c r="D2980" t="n">
        <v>2</v>
      </c>
      <c r="E2980" t="n">
        <v>5</v>
      </c>
      <c r="F2980" t="inlineStr">
        <is>
          <t>影子仓</t>
        </is>
      </c>
      <c r="G2980" t="n">
        <v>8</v>
      </c>
      <c r="H2980" t="n">
        <v>6706</v>
      </c>
      <c r="I2980" t="n">
        <v>6460.43</v>
      </c>
      <c r="J2980" t="n">
        <v>1</v>
      </c>
      <c r="K2980" t="inlineStr">
        <is>
          <t>凯利≤0，开1%影子仓（只统计，不计入组合）</t>
        </is>
      </c>
    </row>
    <row r="2981">
      <c r="A2981" t="inlineStr">
        <is>
          <t>2024-04-23</t>
        </is>
      </c>
      <c r="B2981" t="inlineStr">
        <is>
          <t>沪铜</t>
        </is>
      </c>
      <c r="C2981" t="inlineStr">
        <is>
          <t>多</t>
        </is>
      </c>
      <c r="D2981" t="n">
        <v>2</v>
      </c>
      <c r="E2981" t="n">
        <v>4</v>
      </c>
      <c r="F2981" t="inlineStr">
        <is>
          <t>观望</t>
        </is>
      </c>
      <c r="H2981" t="n">
        <v>78020</v>
      </c>
      <c r="J2981" t="n">
        <v>1</v>
      </c>
      <c r="K2981" t="inlineStr">
        <is>
          <t>逆5日线（收盘在5日线下，不追多）</t>
        </is>
      </c>
    </row>
    <row r="2982">
      <c r="A2982" t="inlineStr">
        <is>
          <t>2024-04-24</t>
        </is>
      </c>
      <c r="B2982" t="inlineStr">
        <is>
          <t>沪铜</t>
        </is>
      </c>
      <c r="C2982" t="inlineStr">
        <is>
          <t>多</t>
        </is>
      </c>
      <c r="D2982" t="n">
        <v>3</v>
      </c>
      <c r="E2982" t="n">
        <v>7</v>
      </c>
      <c r="F2982" t="inlineStr">
        <is>
          <t>开仓</t>
        </is>
      </c>
      <c r="G2982" t="n">
        <v>1</v>
      </c>
      <c r="H2982" t="n">
        <v>79380</v>
      </c>
      <c r="I2982" t="n">
        <v>75087.86</v>
      </c>
      <c r="J2982" t="n">
        <v>2.39</v>
      </c>
      <c r="K2982" t="inlineStr">
        <is>
          <t>¼凯利</t>
        </is>
      </c>
    </row>
    <row r="2983">
      <c r="A2983" t="inlineStr">
        <is>
          <t>2024-04-24</t>
        </is>
      </c>
      <c r="B2983" t="inlineStr">
        <is>
          <t>螺纹钢</t>
        </is>
      </c>
      <c r="C2983" t="inlineStr">
        <is>
          <t>多</t>
        </is>
      </c>
      <c r="D2983" t="n">
        <v>3</v>
      </c>
      <c r="E2983" t="n">
        <v>6</v>
      </c>
      <c r="F2983" t="inlineStr">
        <is>
          <t>开仓</t>
        </is>
      </c>
      <c r="G2983" t="n">
        <v>14</v>
      </c>
      <c r="H2983" t="n">
        <v>3681</v>
      </c>
      <c r="I2983" t="n">
        <v>3511.71</v>
      </c>
      <c r="J2983" t="n">
        <v>2.39</v>
      </c>
      <c r="K2983" t="inlineStr">
        <is>
          <t>¼凯利</t>
        </is>
      </c>
    </row>
    <row r="2984">
      <c r="A2984" t="inlineStr">
        <is>
          <t>2024-04-24</t>
        </is>
      </c>
      <c r="B2984" t="inlineStr">
        <is>
          <t>沪金</t>
        </is>
      </c>
      <c r="C2984" t="inlineStr">
        <is>
          <t>多</t>
        </is>
      </c>
      <c r="D2984" t="n">
        <v>2</v>
      </c>
      <c r="E2984" t="n">
        <v>5</v>
      </c>
      <c r="F2984" t="inlineStr">
        <is>
          <t>观望</t>
        </is>
      </c>
      <c r="H2984" t="n">
        <v>551</v>
      </c>
      <c r="J2984" t="n">
        <v>1</v>
      </c>
      <c r="K2984" t="inlineStr">
        <is>
          <t>逆5日线（收盘在5日线下，不追多）</t>
        </is>
      </c>
    </row>
    <row r="2985">
      <c r="A2985" t="inlineStr">
        <is>
          <t>2024-04-24</t>
        </is>
      </c>
      <c r="B2985" t="inlineStr">
        <is>
          <t>沪锌</t>
        </is>
      </c>
      <c r="C2985" t="inlineStr">
        <is>
          <t>多</t>
        </is>
      </c>
      <c r="D2985" t="n">
        <v>2</v>
      </c>
      <c r="E2985" t="n">
        <v>5</v>
      </c>
      <c r="F2985" t="inlineStr">
        <is>
          <t>观望</t>
        </is>
      </c>
      <c r="G2985" t="n">
        <v>1</v>
      </c>
      <c r="H2985" t="n">
        <v>22555</v>
      </c>
      <c r="I2985" t="n">
        <v>20982.14</v>
      </c>
      <c r="J2985" t="n">
        <v>1</v>
      </c>
      <c r="K2985" t="inlineStr">
        <is>
          <t>逆5日线（收盘在5日线下，不追多）</t>
        </is>
      </c>
    </row>
    <row r="2986">
      <c r="A2986" t="inlineStr">
        <is>
          <t>2024-04-24</t>
        </is>
      </c>
      <c r="B2986" t="inlineStr">
        <is>
          <t>沪铝</t>
        </is>
      </c>
      <c r="C2986" t="inlineStr">
        <is>
          <t>多</t>
        </is>
      </c>
      <c r="D2986" t="n">
        <v>2</v>
      </c>
      <c r="E2986" t="n">
        <v>5</v>
      </c>
      <c r="F2986" t="inlineStr">
        <is>
          <t>观望</t>
        </is>
      </c>
      <c r="G2986" t="n">
        <v>1</v>
      </c>
      <c r="H2986" t="n">
        <v>20250</v>
      </c>
      <c r="I2986" t="n">
        <v>19101.43</v>
      </c>
      <c r="J2986" t="n">
        <v>1</v>
      </c>
      <c r="K2986" t="inlineStr">
        <is>
          <t>逆5日线（收盘在5日线下，不追多）</t>
        </is>
      </c>
    </row>
    <row r="2987">
      <c r="A2987" t="inlineStr">
        <is>
          <t>2024-04-25</t>
        </is>
      </c>
      <c r="B2987" t="inlineStr">
        <is>
          <t>沪铜</t>
        </is>
      </c>
      <c r="C2987" t="inlineStr">
        <is>
          <t>多</t>
        </is>
      </c>
      <c r="D2987" t="n">
        <v>3</v>
      </c>
      <c r="E2987" t="n">
        <v>7</v>
      </c>
      <c r="F2987" t="inlineStr">
        <is>
          <t>续持</t>
        </is>
      </c>
      <c r="G2987" t="n">
        <v>1</v>
      </c>
      <c r="H2987" t="n">
        <v>80160</v>
      </c>
      <c r="I2987" t="n">
        <v>75790</v>
      </c>
      <c r="J2987" t="n">
        <v>2.39</v>
      </c>
      <c r="K2987" t="inlineStr">
        <is>
          <t>续持原仓（2024-04-24开）</t>
        </is>
      </c>
    </row>
    <row r="2988">
      <c r="A2988" t="inlineStr">
        <is>
          <t>2024-04-25</t>
        </is>
      </c>
      <c r="B2988" t="inlineStr">
        <is>
          <t>沪金</t>
        </is>
      </c>
      <c r="C2988" t="inlineStr">
        <is>
          <t>多</t>
        </is>
      </c>
      <c r="D2988" t="n">
        <v>3</v>
      </c>
      <c r="E2988" t="n">
        <v>6</v>
      </c>
      <c r="F2988" t="inlineStr">
        <is>
          <t>观望</t>
        </is>
      </c>
      <c r="H2988" t="n">
        <v>550.28</v>
      </c>
      <c r="J2988" t="n">
        <v>0.48</v>
      </c>
      <c r="K2988" t="inlineStr">
        <is>
          <t>逆5日线（收盘在5日线下，不追多）</t>
        </is>
      </c>
    </row>
    <row r="2989">
      <c r="A2989" t="inlineStr">
        <is>
          <t>2024-04-25</t>
        </is>
      </c>
      <c r="B2989" t="inlineStr">
        <is>
          <t>菜粕</t>
        </is>
      </c>
      <c r="C2989" t="inlineStr">
        <is>
          <t>多</t>
        </is>
      </c>
      <c r="D2989" t="n">
        <v>3</v>
      </c>
      <c r="E2989" t="n">
        <v>6</v>
      </c>
      <c r="F2989" t="inlineStr">
        <is>
          <t>开仓</t>
        </is>
      </c>
      <c r="G2989" t="n">
        <v>2</v>
      </c>
      <c r="H2989" t="n">
        <v>2787</v>
      </c>
      <c r="I2989" t="n">
        <v>2601.43</v>
      </c>
      <c r="J2989" t="n">
        <v>0.48</v>
      </c>
      <c r="K2989" t="inlineStr">
        <is>
          <t>组合风险已近10%，预算缩小</t>
        </is>
      </c>
    </row>
    <row r="2990">
      <c r="A2990" t="inlineStr">
        <is>
          <t>2024-04-25</t>
        </is>
      </c>
      <c r="B2990" t="inlineStr">
        <is>
          <t>沪锌</t>
        </is>
      </c>
      <c r="C2990" t="inlineStr">
        <is>
          <t>多</t>
        </is>
      </c>
      <c r="D2990" t="n">
        <v>3</v>
      </c>
      <c r="E2990" t="n">
        <v>6</v>
      </c>
      <c r="F2990" t="inlineStr">
        <is>
          <t>不做</t>
        </is>
      </c>
      <c r="H2990" t="n">
        <v>22770</v>
      </c>
      <c r="J2990" t="n">
        <v>0</v>
      </c>
      <c r="K2990" t="inlineStr">
        <is>
          <t>组合风险已近10%，预算缩小</t>
        </is>
      </c>
    </row>
    <row r="2991">
      <c r="A2991" t="inlineStr">
        <is>
          <t>2024-04-25</t>
        </is>
      </c>
      <c r="B2991" t="inlineStr">
        <is>
          <t>棉花</t>
        </is>
      </c>
      <c r="C2991" t="inlineStr">
        <is>
          <t>空</t>
        </is>
      </c>
      <c r="D2991" t="n">
        <v>3</v>
      </c>
      <c r="E2991" t="n">
        <v>6</v>
      </c>
      <c r="F2991" t="inlineStr">
        <is>
          <t>不做</t>
        </is>
      </c>
      <c r="H2991" t="n">
        <v>15700</v>
      </c>
      <c r="J2991" t="n">
        <v>0</v>
      </c>
      <c r="K2991" t="inlineStr">
        <is>
          <t>组合风险已近10%，预算缩小</t>
        </is>
      </c>
    </row>
    <row r="2992">
      <c r="A2992" t="inlineStr">
        <is>
          <t>2024-04-25</t>
        </is>
      </c>
      <c r="B2992" t="inlineStr">
        <is>
          <t>苯乙烯</t>
        </is>
      </c>
      <c r="C2992" t="inlineStr">
        <is>
          <t>多</t>
        </is>
      </c>
      <c r="D2992" t="n">
        <v>3</v>
      </c>
      <c r="E2992" t="n">
        <v>6</v>
      </c>
      <c r="F2992" t="inlineStr">
        <is>
          <t>不做</t>
        </is>
      </c>
      <c r="H2992" t="n">
        <v>9499</v>
      </c>
      <c r="J2992" t="n">
        <v>0</v>
      </c>
      <c r="K2992" t="inlineStr">
        <is>
          <t>组合风险已近10%，预算缩小</t>
        </is>
      </c>
    </row>
    <row r="2993">
      <c r="A2993" t="inlineStr">
        <is>
          <t>2024-04-26</t>
        </is>
      </c>
      <c r="B2993" t="inlineStr">
        <is>
          <t>沪铝</t>
        </is>
      </c>
      <c r="C2993" t="inlineStr">
        <is>
          <t>多</t>
        </is>
      </c>
      <c r="D2993" t="n">
        <v>3</v>
      </c>
      <c r="E2993" t="n">
        <v>7</v>
      </c>
      <c r="F2993" t="inlineStr">
        <is>
          <t>不做</t>
        </is>
      </c>
      <c r="H2993" t="n">
        <v>20625</v>
      </c>
      <c r="J2993" t="n">
        <v>0</v>
      </c>
      <c r="K2993" t="inlineStr">
        <is>
          <t>组合风险已近10%，预算缩小</t>
        </is>
      </c>
    </row>
    <row r="2994">
      <c r="A2994" t="inlineStr">
        <is>
          <t>2024-04-26</t>
        </is>
      </c>
      <c r="B2994" t="inlineStr">
        <is>
          <t>沪金</t>
        </is>
      </c>
      <c r="C2994" t="inlineStr">
        <is>
          <t>多</t>
        </is>
      </c>
      <c r="D2994" t="n">
        <v>3</v>
      </c>
      <c r="E2994" t="n">
        <v>6</v>
      </c>
      <c r="F2994" t="inlineStr">
        <is>
          <t>不做</t>
        </is>
      </c>
      <c r="H2994" t="n">
        <v>554.58</v>
      </c>
      <c r="J2994" t="n">
        <v>0</v>
      </c>
      <c r="K2994" t="inlineStr">
        <is>
          <t>组合风险已近10%，预算缩小</t>
        </is>
      </c>
    </row>
    <row r="2995">
      <c r="A2995" t="inlineStr">
        <is>
          <t>2024-04-26</t>
        </is>
      </c>
      <c r="B2995" t="inlineStr">
        <is>
          <t>玉米</t>
        </is>
      </c>
      <c r="C2995" t="inlineStr">
        <is>
          <t>空</t>
        </is>
      </c>
      <c r="D2995" t="n">
        <v>3</v>
      </c>
      <c r="E2995" t="n">
        <v>6</v>
      </c>
      <c r="F2995" t="inlineStr">
        <is>
          <t>续持</t>
        </is>
      </c>
      <c r="G2995" t="n">
        <v>39</v>
      </c>
      <c r="H2995" t="n">
        <v>2393</v>
      </c>
      <c r="I2995" t="n">
        <v>2441.36</v>
      </c>
      <c r="J2995" t="n">
        <v>2.36</v>
      </c>
      <c r="K2995" t="inlineStr">
        <is>
          <t>续持原仓（2024-04-15开）</t>
        </is>
      </c>
    </row>
    <row r="2996">
      <c r="A2996" t="inlineStr">
        <is>
          <t>2024-04-26</t>
        </is>
      </c>
      <c r="B2996" t="inlineStr">
        <is>
          <t>沪铜</t>
        </is>
      </c>
      <c r="C2996" t="inlineStr">
        <is>
          <t>多</t>
        </is>
      </c>
      <c r="D2996" t="n">
        <v>3</v>
      </c>
      <c r="E2996" t="n">
        <v>6</v>
      </c>
      <c r="F2996" t="inlineStr">
        <is>
          <t>续持</t>
        </is>
      </c>
      <c r="G2996" t="n">
        <v>1</v>
      </c>
      <c r="H2996" t="n">
        <v>81100</v>
      </c>
      <c r="I2996" t="n">
        <v>76945.71000000001</v>
      </c>
      <c r="J2996" t="n">
        <v>2.39</v>
      </c>
      <c r="K2996" t="inlineStr">
        <is>
          <t>续持原仓（2024-04-24开）</t>
        </is>
      </c>
    </row>
    <row r="2997">
      <c r="A2997" t="inlineStr">
        <is>
          <t>2024-04-26</t>
        </is>
      </c>
      <c r="B2997" t="inlineStr">
        <is>
          <t>螺纹钢</t>
        </is>
      </c>
      <c r="C2997" t="inlineStr">
        <is>
          <t>多</t>
        </is>
      </c>
      <c r="D2997" t="n">
        <v>3</v>
      </c>
      <c r="E2997" t="n">
        <v>6</v>
      </c>
      <c r="F2997" t="inlineStr">
        <is>
          <t>续持</t>
        </is>
      </c>
      <c r="G2997" t="n">
        <v>14</v>
      </c>
      <c r="H2997" t="n">
        <v>3685</v>
      </c>
      <c r="I2997" t="n">
        <v>3559</v>
      </c>
      <c r="J2997" t="n">
        <v>2.39</v>
      </c>
      <c r="K2997" t="inlineStr">
        <is>
          <t>续持原仓（2024-04-24开）</t>
        </is>
      </c>
    </row>
    <row r="2998">
      <c r="A2998" t="inlineStr">
        <is>
          <t>2024-04-26</t>
        </is>
      </c>
      <c r="B2998" t="inlineStr">
        <is>
          <t>白糖</t>
        </is>
      </c>
      <c r="C2998" t="inlineStr">
        <is>
          <t>空</t>
        </is>
      </c>
      <c r="D2998" t="n">
        <v>3</v>
      </c>
      <c r="E2998" t="n">
        <v>6</v>
      </c>
      <c r="F2998" t="inlineStr">
        <is>
          <t>不做</t>
        </is>
      </c>
      <c r="H2998" t="n">
        <v>6174</v>
      </c>
      <c r="J2998" t="n">
        <v>0</v>
      </c>
      <c r="K2998" t="inlineStr">
        <is>
          <t>组合风险已近10%，预算缩小</t>
        </is>
      </c>
    </row>
    <row r="2999">
      <c r="A2999" t="inlineStr">
        <is>
          <t>2024-04-26</t>
        </is>
      </c>
      <c r="B2999" t="inlineStr">
        <is>
          <t>棉花</t>
        </is>
      </c>
      <c r="C2999" t="inlineStr">
        <is>
          <t>空</t>
        </is>
      </c>
      <c r="D2999" t="n">
        <v>2</v>
      </c>
      <c r="E2999" t="n">
        <v>5</v>
      </c>
      <c r="F2999" t="inlineStr">
        <is>
          <t>影子仓</t>
        </is>
      </c>
      <c r="G2999" t="n">
        <v>4</v>
      </c>
      <c r="H2999" t="n">
        <v>15730</v>
      </c>
      <c r="I2999" t="n">
        <v>16202.5</v>
      </c>
      <c r="J2999" t="n">
        <v>1</v>
      </c>
      <c r="K2999" t="inlineStr">
        <is>
          <t>凯利≤0，开1%影子仓（只统计，不计入组合）</t>
        </is>
      </c>
    </row>
    <row r="3000">
      <c r="A3000" t="inlineStr">
        <is>
          <t>2024-04-26</t>
        </is>
      </c>
      <c r="B3000" t="inlineStr">
        <is>
          <t>锰硅</t>
        </is>
      </c>
      <c r="C3000" t="inlineStr">
        <is>
          <t>多</t>
        </is>
      </c>
      <c r="D3000" t="n">
        <v>2</v>
      </c>
      <c r="E3000" t="n">
        <v>5</v>
      </c>
      <c r="F3000" t="inlineStr">
        <is>
          <t>影子仓</t>
        </is>
      </c>
      <c r="G3000" t="n">
        <v>4</v>
      </c>
      <c r="H3000" t="n">
        <v>7436</v>
      </c>
      <c r="I3000" t="n">
        <v>7022.86</v>
      </c>
      <c r="J3000" t="n">
        <v>1</v>
      </c>
      <c r="K3000" t="inlineStr">
        <is>
          <t>凯利≤0，开1%影子仓（只统计，不计入组合）</t>
        </is>
      </c>
    </row>
    <row r="3001">
      <c r="A3001" t="inlineStr">
        <is>
          <t>2024-04-29</t>
        </is>
      </c>
      <c r="B3001" t="inlineStr">
        <is>
          <t>沪锌</t>
        </is>
      </c>
      <c r="C3001" t="inlineStr">
        <is>
          <t>多</t>
        </is>
      </c>
      <c r="D3001" t="n">
        <v>3</v>
      </c>
      <c r="E3001" t="n">
        <v>6</v>
      </c>
      <c r="F3001" t="inlineStr">
        <is>
          <t>开仓</t>
        </is>
      </c>
      <c r="G3001" t="n">
        <v>3</v>
      </c>
      <c r="H3001" t="n">
        <v>23015</v>
      </c>
      <c r="I3001" t="n">
        <v>21396.07</v>
      </c>
      <c r="J3001" t="n">
        <v>2.43</v>
      </c>
      <c r="K3001" t="inlineStr">
        <is>
          <t>¼凯利</t>
        </is>
      </c>
    </row>
    <row r="3002">
      <c r="A3002" t="inlineStr">
        <is>
          <t>2024-04-29</t>
        </is>
      </c>
      <c r="B3002" t="inlineStr">
        <is>
          <t>沪铜</t>
        </is>
      </c>
      <c r="C3002" t="inlineStr">
        <is>
          <t>多</t>
        </is>
      </c>
      <c r="D3002" t="n">
        <v>3</v>
      </c>
      <c r="E3002" t="n">
        <v>6</v>
      </c>
      <c r="F3002" t="inlineStr">
        <is>
          <t>续持</t>
        </is>
      </c>
      <c r="G3002" t="n">
        <v>1</v>
      </c>
      <c r="H3002" t="n">
        <v>80940</v>
      </c>
      <c r="I3002" t="n">
        <v>76986.42999999999</v>
      </c>
      <c r="J3002" t="n">
        <v>2.39</v>
      </c>
      <c r="K3002" t="inlineStr">
        <is>
          <t>续持原仓（2024-04-24开）</t>
        </is>
      </c>
    </row>
    <row r="3003">
      <c r="A3003" t="inlineStr">
        <is>
          <t>2024-04-29</t>
        </is>
      </c>
      <c r="B3003" t="inlineStr">
        <is>
          <t>螺纹钢</t>
        </is>
      </c>
      <c r="C3003" t="inlineStr">
        <is>
          <t>多</t>
        </is>
      </c>
      <c r="D3003" t="n">
        <v>3</v>
      </c>
      <c r="E3003" t="n">
        <v>6</v>
      </c>
      <c r="F3003" t="inlineStr">
        <is>
          <t>续持</t>
        </is>
      </c>
      <c r="G3003" t="n">
        <v>14</v>
      </c>
      <c r="H3003" t="n">
        <v>3675</v>
      </c>
      <c r="I3003" t="n">
        <v>3563.07</v>
      </c>
      <c r="J3003" t="n">
        <v>2.39</v>
      </c>
      <c r="K3003" t="inlineStr">
        <is>
          <t>续持原仓（2024-04-24开）</t>
        </is>
      </c>
    </row>
    <row r="3004">
      <c r="A3004" t="inlineStr">
        <is>
          <t>2024-04-29</t>
        </is>
      </c>
      <c r="B3004" t="inlineStr">
        <is>
          <t>白糖</t>
        </is>
      </c>
      <c r="C3004" t="inlineStr">
        <is>
          <t>空</t>
        </is>
      </c>
      <c r="D3004" t="n">
        <v>2</v>
      </c>
      <c r="E3004" t="n">
        <v>5</v>
      </c>
      <c r="F3004" t="inlineStr">
        <is>
          <t>影子仓</t>
        </is>
      </c>
      <c r="G3004" t="n">
        <v>4</v>
      </c>
      <c r="H3004" t="n">
        <v>6130</v>
      </c>
      <c r="I3004" t="n">
        <v>6367.43</v>
      </c>
      <c r="J3004" t="n">
        <v>1</v>
      </c>
      <c r="K3004" t="inlineStr">
        <is>
          <t>凯利≤0，开1%影子仓（只统计，不计入组合）</t>
        </is>
      </c>
    </row>
    <row r="3005">
      <c r="A3005" t="inlineStr">
        <is>
          <t>2024-04-29</t>
        </is>
      </c>
      <c r="B3005" t="inlineStr">
        <is>
          <t>棉花</t>
        </is>
      </c>
      <c r="C3005" t="inlineStr">
        <is>
          <t>空</t>
        </is>
      </c>
      <c r="D3005" t="n">
        <v>2</v>
      </c>
      <c r="E3005" t="n">
        <v>5</v>
      </c>
      <c r="F3005" t="inlineStr">
        <is>
          <t>续持</t>
        </is>
      </c>
      <c r="G3005" t="n">
        <v>4</v>
      </c>
      <c r="H3005" t="n">
        <v>15765</v>
      </c>
      <c r="I3005" t="n">
        <v>16145.36</v>
      </c>
      <c r="J3005" t="n">
        <v>1</v>
      </c>
      <c r="K3005" t="inlineStr">
        <is>
          <t>续持原仓（2024-04-26开）</t>
        </is>
      </c>
    </row>
    <row r="3006">
      <c r="A3006" t="inlineStr">
        <is>
          <t>2024-04-29</t>
        </is>
      </c>
      <c r="B3006" t="inlineStr">
        <is>
          <t>热卷</t>
        </is>
      </c>
      <c r="C3006" t="inlineStr">
        <is>
          <t>多</t>
        </is>
      </c>
      <c r="D3006" t="n">
        <v>2</v>
      </c>
      <c r="E3006" t="n">
        <v>5</v>
      </c>
      <c r="F3006" t="inlineStr">
        <is>
          <t>观望</t>
        </is>
      </c>
      <c r="G3006" t="n">
        <v>7</v>
      </c>
      <c r="H3006" t="n">
        <v>3816</v>
      </c>
      <c r="I3006" t="n">
        <v>3687.21</v>
      </c>
      <c r="J3006" t="n">
        <v>1</v>
      </c>
      <c r="K3006" t="inlineStr">
        <is>
          <t>逆5日线（收盘在5日线下，不追多）</t>
        </is>
      </c>
    </row>
    <row r="3007">
      <c r="A3007" t="inlineStr">
        <is>
          <t>2024-04-30</t>
        </is>
      </c>
      <c r="B3007" t="inlineStr">
        <is>
          <t>沪铜</t>
        </is>
      </c>
      <c r="C3007" t="inlineStr">
        <is>
          <t>多</t>
        </is>
      </c>
      <c r="D3007" t="n">
        <v>3</v>
      </c>
      <c r="E3007" t="n">
        <v>6</v>
      </c>
      <c r="F3007" t="inlineStr">
        <is>
          <t>续持</t>
        </is>
      </c>
      <c r="G3007" t="n">
        <v>1</v>
      </c>
      <c r="H3007" t="n">
        <v>82180</v>
      </c>
      <c r="I3007" t="n">
        <v>78150.71000000001</v>
      </c>
      <c r="J3007" t="n">
        <v>2.39</v>
      </c>
      <c r="K3007" t="inlineStr">
        <is>
          <t>续持原仓（2024-04-24开）</t>
        </is>
      </c>
    </row>
    <row r="3008">
      <c r="A3008" t="inlineStr">
        <is>
          <t>2024-04-30</t>
        </is>
      </c>
      <c r="B3008" t="inlineStr">
        <is>
          <t>棉花</t>
        </is>
      </c>
      <c r="C3008" t="inlineStr">
        <is>
          <t>空</t>
        </is>
      </c>
      <c r="D3008" t="n">
        <v>3</v>
      </c>
      <c r="E3008" t="n">
        <v>6</v>
      </c>
      <c r="F3008" t="inlineStr">
        <is>
          <t>续持</t>
        </is>
      </c>
      <c r="G3008" t="n">
        <v>4</v>
      </c>
      <c r="H3008" t="n">
        <v>15655</v>
      </c>
      <c r="I3008" t="n">
        <v>16115.71</v>
      </c>
      <c r="J3008" t="n">
        <v>1</v>
      </c>
      <c r="K3008" t="inlineStr">
        <is>
          <t>续持原仓（2024-04-26开）</t>
        </is>
      </c>
    </row>
    <row r="3009">
      <c r="A3009" t="inlineStr">
        <is>
          <t>2024-04-30</t>
        </is>
      </c>
      <c r="B3009" t="inlineStr">
        <is>
          <t>锰硅</t>
        </is>
      </c>
      <c r="C3009" t="inlineStr">
        <is>
          <t>多</t>
        </is>
      </c>
      <c r="D3009" t="n">
        <v>3</v>
      </c>
      <c r="E3009" t="n">
        <v>6</v>
      </c>
      <c r="F3009" t="inlineStr">
        <is>
          <t>开仓</t>
        </is>
      </c>
      <c r="G3009" t="n">
        <v>9</v>
      </c>
      <c r="H3009" t="n">
        <v>7914</v>
      </c>
      <c r="I3009" t="n">
        <v>7372.29</v>
      </c>
      <c r="J3009" t="n">
        <v>2.44</v>
      </c>
      <c r="K3009" t="inlineStr">
        <is>
          <t>¼凯利</t>
        </is>
      </c>
    </row>
    <row r="3010">
      <c r="A3010" t="inlineStr">
        <is>
          <t>2024-04-30</t>
        </is>
      </c>
      <c r="B3010" t="inlineStr">
        <is>
          <t>菜粕</t>
        </is>
      </c>
      <c r="C3010" t="inlineStr">
        <is>
          <t>多</t>
        </is>
      </c>
      <c r="D3010" t="n">
        <v>2</v>
      </c>
      <c r="E3010" t="n">
        <v>5</v>
      </c>
      <c r="F3010" t="inlineStr">
        <is>
          <t>观望</t>
        </is>
      </c>
      <c r="G3010" t="n">
        <v>5</v>
      </c>
      <c r="H3010" t="n">
        <v>2783</v>
      </c>
      <c r="I3010" t="n">
        <v>2589.5</v>
      </c>
      <c r="J3010" t="n">
        <v>1</v>
      </c>
      <c r="K3010" t="inlineStr">
        <is>
          <t>逆5日线（收盘在5日线下，不追多）</t>
        </is>
      </c>
    </row>
    <row r="3011">
      <c r="A3011" t="inlineStr">
        <is>
          <t>2024-04-30</t>
        </is>
      </c>
      <c r="B3011" t="inlineStr">
        <is>
          <t>玉米</t>
        </is>
      </c>
      <c r="C3011" t="inlineStr">
        <is>
          <t>空</t>
        </is>
      </c>
      <c r="D3011" t="n">
        <v>2</v>
      </c>
      <c r="E3011" t="n">
        <v>4</v>
      </c>
      <c r="F3011" t="inlineStr">
        <is>
          <t>影子仓</t>
        </is>
      </c>
      <c r="G3011" t="n">
        <v>16</v>
      </c>
      <c r="H3011" t="n">
        <v>2388</v>
      </c>
      <c r="I3011" t="n">
        <v>2447.79</v>
      </c>
      <c r="J3011" t="n">
        <v>1</v>
      </c>
      <c r="K3011" t="inlineStr">
        <is>
          <t>凯利≤0，开1%影子仓（只统计，不计入组合）</t>
        </is>
      </c>
    </row>
    <row r="3012">
      <c r="A3012" t="inlineStr">
        <is>
          <t>2024-04-30</t>
        </is>
      </c>
      <c r="B3012" t="inlineStr">
        <is>
          <t>纯碱</t>
        </is>
      </c>
      <c r="C3012" t="inlineStr">
        <is>
          <t>多</t>
        </is>
      </c>
      <c r="D3012" t="n">
        <v>2</v>
      </c>
      <c r="E3012" t="n">
        <v>4</v>
      </c>
      <c r="F3012" t="inlineStr">
        <is>
          <t>观望</t>
        </is>
      </c>
      <c r="G3012" t="n">
        <v>2</v>
      </c>
      <c r="H3012" t="n">
        <v>2176</v>
      </c>
      <c r="I3012" t="n">
        <v>1926.79</v>
      </c>
      <c r="J3012" t="n">
        <v>1</v>
      </c>
      <c r="K3012" t="inlineStr">
        <is>
          <t>逆5日线（收盘在5日线下，不追多）</t>
        </is>
      </c>
    </row>
    <row r="3013">
      <c r="A3013" t="inlineStr">
        <is>
          <t>2024-05-06</t>
        </is>
      </c>
      <c r="B3013" t="inlineStr">
        <is>
          <t>豆粕</t>
        </is>
      </c>
      <c r="C3013" t="inlineStr">
        <is>
          <t>多</t>
        </is>
      </c>
      <c r="D3013" t="n">
        <v>3</v>
      </c>
      <c r="E3013" t="n">
        <v>7</v>
      </c>
      <c r="F3013" t="inlineStr">
        <is>
          <t>开仓</t>
        </is>
      </c>
      <c r="G3013" t="n">
        <v>13</v>
      </c>
      <c r="H3013" t="n">
        <v>3475</v>
      </c>
      <c r="I3013" t="n">
        <v>3290.93</v>
      </c>
      <c r="J3013" t="n">
        <v>2.52</v>
      </c>
      <c r="K3013" t="inlineStr">
        <is>
          <t>¼凯利</t>
        </is>
      </c>
    </row>
    <row r="3014">
      <c r="A3014" t="inlineStr">
        <is>
          <t>2024-05-06</t>
        </is>
      </c>
      <c r="B3014" t="inlineStr">
        <is>
          <t>棉花</t>
        </is>
      </c>
      <c r="C3014" t="inlineStr">
        <is>
          <t>空</t>
        </is>
      </c>
      <c r="D3014" t="n">
        <v>3</v>
      </c>
      <c r="E3014" t="n">
        <v>7</v>
      </c>
      <c r="F3014" t="inlineStr">
        <is>
          <t>续持</t>
        </is>
      </c>
      <c r="G3014" t="n">
        <v>4</v>
      </c>
      <c r="H3014" t="n">
        <v>15555</v>
      </c>
      <c r="I3014" t="n">
        <v>15992.5</v>
      </c>
      <c r="J3014" t="n">
        <v>1</v>
      </c>
      <c r="K3014" t="inlineStr">
        <is>
          <t>续持原仓（2024-04-26开）</t>
        </is>
      </c>
    </row>
    <row r="3015">
      <c r="A3015" t="inlineStr">
        <is>
          <t>2024-05-06</t>
        </is>
      </c>
      <c r="B3015" t="inlineStr">
        <is>
          <t>锰硅</t>
        </is>
      </c>
      <c r="C3015" t="inlineStr">
        <is>
          <t>多</t>
        </is>
      </c>
      <c r="D3015" t="n">
        <v>3</v>
      </c>
      <c r="E3015" t="n">
        <v>6</v>
      </c>
      <c r="F3015" t="inlineStr">
        <is>
          <t>续持</t>
        </is>
      </c>
      <c r="G3015" t="n">
        <v>9</v>
      </c>
      <c r="H3015" t="n">
        <v>7950</v>
      </c>
      <c r="I3015" t="n">
        <v>7436.71</v>
      </c>
      <c r="J3015" t="n">
        <v>2.44</v>
      </c>
      <c r="K3015" t="inlineStr">
        <is>
          <t>续持原仓（2024-04-30开）</t>
        </is>
      </c>
    </row>
    <row r="3016">
      <c r="A3016" t="inlineStr">
        <is>
          <t>2024-05-06</t>
        </is>
      </c>
      <c r="B3016" t="inlineStr">
        <is>
          <t>沪镍</t>
        </is>
      </c>
      <c r="C3016" t="inlineStr">
        <is>
          <t>多</t>
        </is>
      </c>
      <c r="D3016" t="n">
        <v>2</v>
      </c>
      <c r="E3016" t="n">
        <v>5</v>
      </c>
      <c r="F3016" t="inlineStr">
        <is>
          <t>不做</t>
        </is>
      </c>
      <c r="H3016" t="n">
        <v>145040</v>
      </c>
      <c r="J3016" t="n">
        <v>1</v>
      </c>
      <c r="K3016" t="inlineStr">
        <is>
          <t>1手风险12771元超过预算10000元</t>
        </is>
      </c>
    </row>
    <row r="3017">
      <c r="A3017" t="inlineStr">
        <is>
          <t>2024-05-06</t>
        </is>
      </c>
      <c r="B3017" t="inlineStr">
        <is>
          <t>玉米</t>
        </is>
      </c>
      <c r="C3017" t="inlineStr">
        <is>
          <t>空</t>
        </is>
      </c>
      <c r="D3017" t="n">
        <v>2</v>
      </c>
      <c r="E3017" t="n">
        <v>4</v>
      </c>
      <c r="F3017" t="inlineStr">
        <is>
          <t>观望</t>
        </is>
      </c>
      <c r="G3017" t="n">
        <v>16</v>
      </c>
      <c r="H3017" t="n">
        <v>2409</v>
      </c>
      <c r="I3017" t="n">
        <v>2468.14</v>
      </c>
      <c r="J3017" t="n">
        <v>1</v>
      </c>
      <c r="K3017" t="inlineStr">
        <is>
          <t>逆5日线（收盘在5日线上，不追空）</t>
        </is>
      </c>
    </row>
    <row r="3018">
      <c r="A3018" t="inlineStr">
        <is>
          <t>2024-05-06</t>
        </is>
      </c>
      <c r="B3018" t="inlineStr">
        <is>
          <t>纯碱</t>
        </is>
      </c>
      <c r="C3018" t="inlineStr">
        <is>
          <t>多</t>
        </is>
      </c>
      <c r="D3018" t="n">
        <v>2</v>
      </c>
      <c r="E3018" t="n">
        <v>4</v>
      </c>
      <c r="F3018" t="inlineStr">
        <is>
          <t>影子仓</t>
        </is>
      </c>
      <c r="G3018" t="n">
        <v>1</v>
      </c>
      <c r="H3018" t="n">
        <v>2262</v>
      </c>
      <c r="I3018" t="n">
        <v>1998.64</v>
      </c>
      <c r="J3018" t="n">
        <v>1</v>
      </c>
      <c r="K3018" t="inlineStr">
        <is>
          <t>凯利≤0，开1%影子仓（只统计，不计入组合）</t>
        </is>
      </c>
    </row>
    <row r="3019">
      <c r="A3019" t="inlineStr">
        <is>
          <t>2024-05-07</t>
        </is>
      </c>
      <c r="B3019" t="inlineStr">
        <is>
          <t>豆粕</t>
        </is>
      </c>
      <c r="C3019" t="inlineStr">
        <is>
          <t>多</t>
        </is>
      </c>
      <c r="D3019" t="n">
        <v>3</v>
      </c>
      <c r="E3019" t="n">
        <v>7</v>
      </c>
      <c r="F3019" t="inlineStr">
        <is>
          <t>续持</t>
        </is>
      </c>
      <c r="G3019" t="n">
        <v>13</v>
      </c>
      <c r="H3019" t="n">
        <v>3591</v>
      </c>
      <c r="I3019" t="n">
        <v>3397</v>
      </c>
      <c r="J3019" t="n">
        <v>2.52</v>
      </c>
      <c r="K3019" t="inlineStr">
        <is>
          <t>续持原仓（2024-05-06开）</t>
        </is>
      </c>
    </row>
    <row r="3020">
      <c r="A3020" t="inlineStr">
        <is>
          <t>2024-05-07</t>
        </is>
      </c>
      <c r="B3020" t="inlineStr">
        <is>
          <t>锰硅</t>
        </is>
      </c>
      <c r="C3020" t="inlineStr">
        <is>
          <t>多</t>
        </is>
      </c>
      <c r="D3020" t="n">
        <v>3</v>
      </c>
      <c r="E3020" t="n">
        <v>7</v>
      </c>
      <c r="F3020" t="inlineStr">
        <is>
          <t>续持</t>
        </is>
      </c>
      <c r="G3020" t="n">
        <v>9</v>
      </c>
      <c r="H3020" t="n">
        <v>8098</v>
      </c>
      <c r="I3020" t="n">
        <v>7510.29</v>
      </c>
      <c r="J3020" t="n">
        <v>2.44</v>
      </c>
      <c r="K3020" t="inlineStr">
        <is>
          <t>续持原仓（2024-04-30开）</t>
        </is>
      </c>
    </row>
    <row r="3021">
      <c r="A3021" t="inlineStr">
        <is>
          <t>2024-05-07</t>
        </is>
      </c>
      <c r="B3021" t="inlineStr">
        <is>
          <t>棉花</t>
        </is>
      </c>
      <c r="C3021" t="inlineStr">
        <is>
          <t>空</t>
        </is>
      </c>
      <c r="D3021" t="n">
        <v>2</v>
      </c>
      <c r="E3021" t="n">
        <v>5</v>
      </c>
      <c r="F3021" t="inlineStr">
        <is>
          <t>续持</t>
        </is>
      </c>
      <c r="G3021" t="n">
        <v>4</v>
      </c>
      <c r="H3021" t="n">
        <v>15595</v>
      </c>
      <c r="I3021" t="n">
        <v>15970</v>
      </c>
      <c r="J3021" t="n">
        <v>1</v>
      </c>
      <c r="K3021" t="inlineStr">
        <is>
          <t>续持原仓（2024-04-26开）</t>
        </is>
      </c>
    </row>
    <row r="3022">
      <c r="A3022" t="inlineStr">
        <is>
          <t>2024-05-07</t>
        </is>
      </c>
      <c r="B3022" t="inlineStr">
        <is>
          <t>纯碱</t>
        </is>
      </c>
      <c r="C3022" t="inlineStr">
        <is>
          <t>多</t>
        </is>
      </c>
      <c r="D3022" t="n">
        <v>2</v>
      </c>
      <c r="E3022" t="n">
        <v>4</v>
      </c>
      <c r="F3022" t="inlineStr">
        <is>
          <t>观望</t>
        </is>
      </c>
      <c r="G3022" t="n">
        <v>1</v>
      </c>
      <c r="H3022" t="n">
        <v>2227</v>
      </c>
      <c r="I3022" t="n">
        <v>1955.71</v>
      </c>
      <c r="J3022" t="n">
        <v>1</v>
      </c>
      <c r="K3022" t="inlineStr">
        <is>
          <t>逆5日线（收盘在5日线下，不追多）</t>
        </is>
      </c>
    </row>
    <row r="3023">
      <c r="A3023" t="inlineStr">
        <is>
          <t>2024-05-07</t>
        </is>
      </c>
      <c r="B3023" t="inlineStr">
        <is>
          <t>沪镍</t>
        </is>
      </c>
      <c r="C3023" t="inlineStr">
        <is>
          <t>多</t>
        </is>
      </c>
      <c r="D3023" t="n">
        <v>2</v>
      </c>
      <c r="E3023" t="n">
        <v>4</v>
      </c>
      <c r="F3023" t="inlineStr">
        <is>
          <t>观望</t>
        </is>
      </c>
      <c r="H3023" t="n">
        <v>144170</v>
      </c>
      <c r="J3023" t="n">
        <v>1</v>
      </c>
      <c r="K3023" t="inlineStr">
        <is>
          <t>逆5日线（收盘在5日线下，不追多）</t>
        </is>
      </c>
    </row>
    <row r="3024">
      <c r="A3024" t="inlineStr">
        <is>
          <t>2024-05-08</t>
        </is>
      </c>
      <c r="B3024" t="inlineStr">
        <is>
          <t>锰硅</t>
        </is>
      </c>
      <c r="C3024" t="inlineStr">
        <is>
          <t>多</t>
        </is>
      </c>
      <c r="D3024" t="n">
        <v>3</v>
      </c>
      <c r="E3024" t="n">
        <v>7</v>
      </c>
      <c r="F3024" t="inlineStr">
        <is>
          <t>续持</t>
        </is>
      </c>
      <c r="G3024" t="n">
        <v>9</v>
      </c>
      <c r="H3024" t="n">
        <v>8278</v>
      </c>
      <c r="I3024" t="n">
        <v>7713.71</v>
      </c>
      <c r="J3024" t="n">
        <v>2.44</v>
      </c>
      <c r="K3024" t="inlineStr">
        <is>
          <t>续持原仓（2024-04-30开）</t>
        </is>
      </c>
    </row>
    <row r="3025">
      <c r="A3025" t="inlineStr">
        <is>
          <t>2024-05-08</t>
        </is>
      </c>
      <c r="B3025" t="inlineStr">
        <is>
          <t>棉花</t>
        </is>
      </c>
      <c r="C3025" t="inlineStr">
        <is>
          <t>空</t>
        </is>
      </c>
      <c r="D3025" t="n">
        <v>3</v>
      </c>
      <c r="E3025" t="n">
        <v>6</v>
      </c>
      <c r="F3025" t="inlineStr">
        <is>
          <t>续持</t>
        </is>
      </c>
      <c r="G3025" t="n">
        <v>4</v>
      </c>
      <c r="H3025" t="n">
        <v>15635</v>
      </c>
      <c r="I3025" t="n">
        <v>15963.57</v>
      </c>
      <c r="J3025" t="n">
        <v>1</v>
      </c>
      <c r="K3025" t="inlineStr">
        <is>
          <t>续持原仓（2024-04-26开）</t>
        </is>
      </c>
    </row>
    <row r="3026">
      <c r="A3026" t="inlineStr">
        <is>
          <t>2024-05-08</t>
        </is>
      </c>
      <c r="B3026" t="inlineStr">
        <is>
          <t>工业硅</t>
        </is>
      </c>
      <c r="C3026" t="inlineStr">
        <is>
          <t>空</t>
        </is>
      </c>
      <c r="D3026" t="n">
        <v>3</v>
      </c>
      <c r="E3026" t="n">
        <v>6</v>
      </c>
      <c r="F3026" t="inlineStr">
        <is>
          <t>开仓</t>
        </is>
      </c>
      <c r="G3026" t="n">
        <v>7</v>
      </c>
      <c r="H3026" t="n">
        <v>11860</v>
      </c>
      <c r="I3026" t="n">
        <v>12547.86</v>
      </c>
      <c r="J3026" t="n">
        <v>2.58</v>
      </c>
      <c r="K3026" t="inlineStr">
        <is>
          <t>¼凯利</t>
        </is>
      </c>
    </row>
    <row r="3027">
      <c r="A3027" t="inlineStr">
        <is>
          <t>2024-05-08</t>
        </is>
      </c>
      <c r="B3027" t="inlineStr">
        <is>
          <t>螺纹钢</t>
        </is>
      </c>
      <c r="C3027" t="inlineStr">
        <is>
          <t>多</t>
        </is>
      </c>
      <c r="D3027" t="n">
        <v>2</v>
      </c>
      <c r="E3027" t="n">
        <v>5</v>
      </c>
      <c r="F3027" t="inlineStr">
        <is>
          <t>观望</t>
        </is>
      </c>
      <c r="G3027" t="n">
        <v>6</v>
      </c>
      <c r="H3027" t="n">
        <v>3674</v>
      </c>
      <c r="I3027" t="n">
        <v>3517.36</v>
      </c>
      <c r="J3027" t="n">
        <v>1</v>
      </c>
      <c r="K3027" t="inlineStr">
        <is>
          <t>逆5日线（收盘在5日线下，不追多）</t>
        </is>
      </c>
    </row>
    <row r="3028">
      <c r="A3028" t="inlineStr">
        <is>
          <t>2024-05-08</t>
        </is>
      </c>
      <c r="B3028" t="inlineStr">
        <is>
          <t>菜粕</t>
        </is>
      </c>
      <c r="C3028" t="inlineStr">
        <is>
          <t>多</t>
        </is>
      </c>
      <c r="D3028" t="n">
        <v>2</v>
      </c>
      <c r="E3028" t="n">
        <v>4</v>
      </c>
      <c r="F3028" t="inlineStr">
        <is>
          <t>影子仓</t>
        </is>
      </c>
      <c r="G3028" t="n">
        <v>4</v>
      </c>
      <c r="H3028" t="n">
        <v>2909</v>
      </c>
      <c r="I3028" t="n">
        <v>2699.86</v>
      </c>
      <c r="J3028" t="n">
        <v>1</v>
      </c>
      <c r="K3028" t="inlineStr">
        <is>
          <t>凯利≤0，开1%影子仓（只统计，不计入组合）</t>
        </is>
      </c>
    </row>
    <row r="3029">
      <c r="A3029" t="inlineStr">
        <is>
          <t>2024-05-08</t>
        </is>
      </c>
      <c r="B3029" t="inlineStr">
        <is>
          <t>热卷</t>
        </is>
      </c>
      <c r="C3029" t="inlineStr">
        <is>
          <t>空</t>
        </is>
      </c>
      <c r="D3029" t="n">
        <v>2</v>
      </c>
      <c r="E3029" t="n">
        <v>4</v>
      </c>
      <c r="F3029" t="inlineStr">
        <is>
          <t>影子仓</t>
        </is>
      </c>
      <c r="G3029" t="n">
        <v>6</v>
      </c>
      <c r="H3029" t="n">
        <v>3808</v>
      </c>
      <c r="I3029" t="n">
        <v>3953.07</v>
      </c>
      <c r="J3029" t="n">
        <v>1</v>
      </c>
      <c r="K3029" t="inlineStr">
        <is>
          <t>凯利≤0，开1%影子仓（只统计，不计入组合）</t>
        </is>
      </c>
    </row>
    <row r="3030">
      <c r="A3030" t="inlineStr">
        <is>
          <t>2024-05-09</t>
        </is>
      </c>
      <c r="B3030" t="inlineStr">
        <is>
          <t>锰硅</t>
        </is>
      </c>
      <c r="C3030" t="inlineStr">
        <is>
          <t>多</t>
        </is>
      </c>
      <c r="D3030" t="n">
        <v>3</v>
      </c>
      <c r="E3030" t="n">
        <v>7</v>
      </c>
      <c r="F3030" t="inlineStr">
        <is>
          <t>续持</t>
        </is>
      </c>
      <c r="G3030" t="n">
        <v>9</v>
      </c>
      <c r="H3030" t="n">
        <v>8376</v>
      </c>
      <c r="I3030" t="n">
        <v>7720</v>
      </c>
      <c r="J3030" t="n">
        <v>2.44</v>
      </c>
      <c r="K3030" t="inlineStr">
        <is>
          <t>续持原仓（2024-04-30开）</t>
        </is>
      </c>
    </row>
    <row r="3031">
      <c r="A3031" t="inlineStr">
        <is>
          <t>2024-05-09</t>
        </is>
      </c>
      <c r="B3031" t="inlineStr">
        <is>
          <t>螺纹钢</t>
        </is>
      </c>
      <c r="C3031" t="inlineStr">
        <is>
          <t>多</t>
        </is>
      </c>
      <c r="D3031" t="n">
        <v>2</v>
      </c>
      <c r="E3031" t="n">
        <v>5</v>
      </c>
      <c r="F3031" t="inlineStr">
        <is>
          <t>观望</t>
        </is>
      </c>
      <c r="G3031" t="n">
        <v>6</v>
      </c>
      <c r="H3031" t="n">
        <v>3669</v>
      </c>
      <c r="I3031" t="n">
        <v>3513.64</v>
      </c>
      <c r="J3031" t="n">
        <v>1</v>
      </c>
      <c r="K3031" t="inlineStr">
        <is>
          <t>逆5日线（收盘在5日线下，不追多）</t>
        </is>
      </c>
    </row>
    <row r="3032">
      <c r="A3032" t="inlineStr">
        <is>
          <t>2024-05-09</t>
        </is>
      </c>
      <c r="B3032" t="inlineStr">
        <is>
          <t>苯乙烯</t>
        </is>
      </c>
      <c r="C3032" t="inlineStr">
        <is>
          <t>空</t>
        </is>
      </c>
      <c r="D3032" t="n">
        <v>2</v>
      </c>
      <c r="E3032" t="n">
        <v>5</v>
      </c>
      <c r="F3032" t="inlineStr">
        <is>
          <t>影子仓</t>
        </is>
      </c>
      <c r="G3032" t="n">
        <v>5</v>
      </c>
      <c r="H3032" t="n">
        <v>9216</v>
      </c>
      <c r="I3032" t="n">
        <v>9606</v>
      </c>
      <c r="J3032" t="n">
        <v>1</v>
      </c>
      <c r="K3032" t="inlineStr">
        <is>
          <t>凯利≤0，开1%影子仓（只统计，不计入组合）</t>
        </is>
      </c>
    </row>
    <row r="3033">
      <c r="A3033" t="inlineStr">
        <is>
          <t>2024-05-09</t>
        </is>
      </c>
      <c r="B3033" t="inlineStr">
        <is>
          <t>燃料油</t>
        </is>
      </c>
      <c r="C3033" t="inlineStr">
        <is>
          <t>多</t>
        </is>
      </c>
      <c r="D3033" t="n">
        <v>2</v>
      </c>
      <c r="E3033" t="n">
        <v>5</v>
      </c>
      <c r="F3033" t="inlineStr">
        <is>
          <t>观望</t>
        </is>
      </c>
      <c r="G3033" t="n">
        <v>4</v>
      </c>
      <c r="H3033" t="n">
        <v>3408</v>
      </c>
      <c r="I3033" t="n">
        <v>3160.29</v>
      </c>
      <c r="J3033" t="n">
        <v>1</v>
      </c>
      <c r="K3033" t="inlineStr">
        <is>
          <t>逆5日线（收盘在5日线下，不追多）</t>
        </is>
      </c>
    </row>
    <row r="3034">
      <c r="A3034" t="inlineStr">
        <is>
          <t>2024-05-09</t>
        </is>
      </c>
      <c r="B3034" t="inlineStr">
        <is>
          <t>沪镍</t>
        </is>
      </c>
      <c r="C3034" t="inlineStr">
        <is>
          <t>多</t>
        </is>
      </c>
      <c r="D3034" t="n">
        <v>2</v>
      </c>
      <c r="E3034" t="n">
        <v>4</v>
      </c>
      <c r="F3034" t="inlineStr">
        <is>
          <t>观望</t>
        </is>
      </c>
      <c r="H3034" t="n">
        <v>141770</v>
      </c>
      <c r="J3034" t="n">
        <v>1</v>
      </c>
      <c r="K3034" t="inlineStr">
        <is>
          <t>逆5日线（收盘在5日线下，不追多）</t>
        </is>
      </c>
    </row>
    <row r="3035">
      <c r="A3035" t="inlineStr">
        <is>
          <t>2024-05-10</t>
        </is>
      </c>
      <c r="B3035" t="inlineStr">
        <is>
          <t>棕榈油</t>
        </is>
      </c>
      <c r="C3035" t="inlineStr">
        <is>
          <t>空</t>
        </is>
      </c>
      <c r="D3035" t="n">
        <v>3</v>
      </c>
      <c r="E3035" t="n">
        <v>6</v>
      </c>
      <c r="F3035" t="inlineStr">
        <is>
          <t>开仓</t>
        </is>
      </c>
      <c r="G3035" t="n">
        <v>5</v>
      </c>
      <c r="H3035" t="n">
        <v>7286</v>
      </c>
      <c r="I3035" t="n">
        <v>7749.29</v>
      </c>
      <c r="J3035" t="n">
        <v>2.63</v>
      </c>
      <c r="K3035" t="inlineStr">
        <is>
          <t>¼凯利</t>
        </is>
      </c>
    </row>
    <row r="3036">
      <c r="A3036" t="inlineStr">
        <is>
          <t>2024-05-10</t>
        </is>
      </c>
      <c r="B3036" t="inlineStr">
        <is>
          <t>锰硅</t>
        </is>
      </c>
      <c r="C3036" t="inlineStr">
        <is>
          <t>多</t>
        </is>
      </c>
      <c r="D3036" t="n">
        <v>3</v>
      </c>
      <c r="E3036" t="n">
        <v>6</v>
      </c>
      <c r="F3036" t="inlineStr">
        <is>
          <t>续持</t>
        </is>
      </c>
      <c r="G3036" t="n">
        <v>9</v>
      </c>
      <c r="H3036" t="n">
        <v>8786</v>
      </c>
      <c r="I3036" t="n">
        <v>8060.71</v>
      </c>
      <c r="J3036" t="n">
        <v>2.44</v>
      </c>
      <c r="K3036" t="inlineStr">
        <is>
          <t>续持原仓（2024-04-30开）</t>
        </is>
      </c>
    </row>
    <row r="3037">
      <c r="A3037" t="inlineStr">
        <is>
          <t>2024-05-10</t>
        </is>
      </c>
      <c r="B3037" t="inlineStr">
        <is>
          <t>燃料油</t>
        </is>
      </c>
      <c r="C3037" t="inlineStr">
        <is>
          <t>多</t>
        </is>
      </c>
      <c r="D3037" t="n">
        <v>2</v>
      </c>
      <c r="E3037" t="n">
        <v>4</v>
      </c>
      <c r="F3037" t="inlineStr">
        <is>
          <t>影子仓</t>
        </is>
      </c>
      <c r="G3037" t="n">
        <v>3</v>
      </c>
      <c r="H3037" t="n">
        <v>3436</v>
      </c>
      <c r="I3037" t="n">
        <v>3184.86</v>
      </c>
      <c r="J3037" t="n">
        <v>1</v>
      </c>
      <c r="K3037" t="inlineStr">
        <is>
          <t>凯利≤0，开1%影子仓（只统计，不计入组合）</t>
        </is>
      </c>
    </row>
    <row r="3038">
      <c r="A3038" t="inlineStr">
        <is>
          <t>2024-05-10</t>
        </is>
      </c>
      <c r="B3038" t="inlineStr">
        <is>
          <t>工业硅</t>
        </is>
      </c>
      <c r="C3038" t="inlineStr">
        <is>
          <t>空</t>
        </is>
      </c>
      <c r="D3038" t="n">
        <v>2</v>
      </c>
      <c r="E3038" t="n">
        <v>4</v>
      </c>
      <c r="F3038" t="inlineStr">
        <is>
          <t>影子仓</t>
        </is>
      </c>
      <c r="G3038" t="n">
        <v>2</v>
      </c>
      <c r="H3038" t="n">
        <v>11925</v>
      </c>
      <c r="I3038" t="n">
        <v>12626.79</v>
      </c>
      <c r="J3038" t="n">
        <v>1</v>
      </c>
      <c r="K3038" t="inlineStr">
        <is>
          <t>凯利≤0，开1%影子仓（只统计，不计入组合）</t>
        </is>
      </c>
    </row>
    <row r="3039">
      <c r="A3039" t="inlineStr">
        <is>
          <t>2024-05-13</t>
        </is>
      </c>
      <c r="B3039" t="inlineStr">
        <is>
          <t>锰硅</t>
        </is>
      </c>
      <c r="C3039" t="inlineStr">
        <is>
          <t>多</t>
        </is>
      </c>
      <c r="D3039" t="n">
        <v>3</v>
      </c>
      <c r="E3039" t="n">
        <v>7</v>
      </c>
      <c r="F3039" t="inlineStr">
        <is>
          <t>续持</t>
        </is>
      </c>
      <c r="G3039" t="n">
        <v>9</v>
      </c>
      <c r="H3039" t="n">
        <v>9112</v>
      </c>
      <c r="I3039" t="n">
        <v>8339.709999999999</v>
      </c>
      <c r="J3039" t="n">
        <v>2.44</v>
      </c>
      <c r="K3039" t="inlineStr">
        <is>
          <t>续持原仓（2024-04-30开）</t>
        </is>
      </c>
    </row>
    <row r="3040">
      <c r="A3040" t="inlineStr">
        <is>
          <t>2024-05-13</t>
        </is>
      </c>
      <c r="B3040" t="inlineStr">
        <is>
          <t>沪镍</t>
        </is>
      </c>
      <c r="C3040" t="inlineStr">
        <is>
          <t>多</t>
        </is>
      </c>
      <c r="D3040" t="n">
        <v>2</v>
      </c>
      <c r="E3040" t="n">
        <v>4</v>
      </c>
      <c r="F3040" t="inlineStr">
        <is>
          <t>不做</t>
        </is>
      </c>
      <c r="H3040" t="n">
        <v>143510</v>
      </c>
      <c r="J3040" t="n">
        <v>1</v>
      </c>
      <c r="K3040" t="inlineStr">
        <is>
          <t>1手风险11981元超过预算10000元</t>
        </is>
      </c>
    </row>
    <row r="3041">
      <c r="A3041" t="inlineStr">
        <is>
          <t>2024-05-13</t>
        </is>
      </c>
      <c r="B3041" t="inlineStr">
        <is>
          <t>纯碱</t>
        </is>
      </c>
      <c r="C3041" t="inlineStr">
        <is>
          <t>多</t>
        </is>
      </c>
      <c r="D3041" t="n">
        <v>2</v>
      </c>
      <c r="E3041" t="n">
        <v>4</v>
      </c>
      <c r="F3041" t="inlineStr">
        <is>
          <t>续持</t>
        </is>
      </c>
      <c r="G3041" t="n">
        <v>1</v>
      </c>
      <c r="H3041" t="n">
        <v>2216</v>
      </c>
      <c r="I3041" t="n">
        <v>2032.36</v>
      </c>
      <c r="J3041" t="n">
        <v>1</v>
      </c>
      <c r="K3041" t="inlineStr">
        <is>
          <t>续持原仓（2024-05-06开）</t>
        </is>
      </c>
    </row>
    <row r="3042">
      <c r="A3042" t="inlineStr">
        <is>
          <t>2024-05-14</t>
        </is>
      </c>
      <c r="B3042" t="inlineStr">
        <is>
          <t>菜油</t>
        </is>
      </c>
      <c r="C3042" t="inlineStr">
        <is>
          <t>多</t>
        </is>
      </c>
      <c r="D3042" t="n">
        <v>2</v>
      </c>
      <c r="E3042" t="n">
        <v>4</v>
      </c>
      <c r="F3042" t="inlineStr">
        <is>
          <t>影子仓</t>
        </is>
      </c>
      <c r="G3042" t="n">
        <v>1</v>
      </c>
      <c r="H3042" t="n">
        <v>8866</v>
      </c>
      <c r="I3042" t="n">
        <v>8297.93</v>
      </c>
      <c r="J3042" t="n">
        <v>1</v>
      </c>
      <c r="K3042" t="inlineStr">
        <is>
          <t>凯利≤0，开1%影子仓（只统计，不计入组合）</t>
        </is>
      </c>
    </row>
    <row r="3043">
      <c r="A3043" t="inlineStr">
        <is>
          <t>2024-05-15</t>
        </is>
      </c>
      <c r="B3043" t="inlineStr">
        <is>
          <t>棉花</t>
        </is>
      </c>
      <c r="C3043" t="inlineStr">
        <is>
          <t>空</t>
        </is>
      </c>
      <c r="D3043" t="n">
        <v>3</v>
      </c>
      <c r="E3043" t="n">
        <v>6</v>
      </c>
      <c r="F3043" t="inlineStr">
        <is>
          <t>开仓</t>
        </is>
      </c>
      <c r="G3043" t="n">
        <v>9</v>
      </c>
      <c r="H3043" t="n">
        <v>14920</v>
      </c>
      <c r="I3043" t="n">
        <v>15477.14</v>
      </c>
      <c r="J3043" t="n">
        <v>2.76</v>
      </c>
      <c r="K3043" t="inlineStr">
        <is>
          <t>¼凯利</t>
        </is>
      </c>
    </row>
    <row r="3044">
      <c r="A3044" t="inlineStr">
        <is>
          <t>2024-05-15</t>
        </is>
      </c>
      <c r="B3044" t="inlineStr">
        <is>
          <t>PTA</t>
        </is>
      </c>
      <c r="C3044" t="inlineStr">
        <is>
          <t>空</t>
        </is>
      </c>
      <c r="D3044" t="n">
        <v>2</v>
      </c>
      <c r="E3044" t="n">
        <v>5</v>
      </c>
      <c r="F3044" t="inlineStr">
        <is>
          <t>影子仓</t>
        </is>
      </c>
      <c r="G3044" t="n">
        <v>11</v>
      </c>
      <c r="H3044" t="n">
        <v>5792</v>
      </c>
      <c r="I3044" t="n">
        <v>5960.43</v>
      </c>
      <c r="J3044" t="n">
        <v>1</v>
      </c>
      <c r="K3044" t="inlineStr">
        <is>
          <t>凯利≤0，开1%影子仓（只统计，不计入组合）</t>
        </is>
      </c>
    </row>
    <row r="3045">
      <c r="A3045" t="inlineStr">
        <is>
          <t>2024-05-16</t>
        </is>
      </c>
      <c r="B3045" t="inlineStr">
        <is>
          <t>棉花</t>
        </is>
      </c>
      <c r="C3045" t="inlineStr">
        <is>
          <t>空</t>
        </is>
      </c>
      <c r="D3045" t="n">
        <v>2</v>
      </c>
      <c r="E3045" t="n">
        <v>5</v>
      </c>
      <c r="F3045" t="inlineStr">
        <is>
          <t>观望</t>
        </is>
      </c>
      <c r="G3045" t="n">
        <v>3</v>
      </c>
      <c r="H3045" t="n">
        <v>15200</v>
      </c>
      <c r="I3045" t="n">
        <v>15810.71</v>
      </c>
      <c r="J3045" t="n">
        <v>1</v>
      </c>
      <c r="K3045" t="inlineStr">
        <is>
          <t>逆5日线（收盘在5日线上，不追空）</t>
        </is>
      </c>
    </row>
    <row r="3046">
      <c r="A3046" t="inlineStr">
        <is>
          <t>2024-05-16</t>
        </is>
      </c>
      <c r="B3046" t="inlineStr">
        <is>
          <t>沪镍</t>
        </is>
      </c>
      <c r="C3046" t="inlineStr">
        <is>
          <t>多</t>
        </is>
      </c>
      <c r="D3046" t="n">
        <v>2</v>
      </c>
      <c r="E3046" t="n">
        <v>5</v>
      </c>
      <c r="F3046" t="inlineStr">
        <is>
          <t>不做</t>
        </is>
      </c>
      <c r="H3046" t="n">
        <v>146620</v>
      </c>
      <c r="J3046" t="n">
        <v>1</v>
      </c>
      <c r="K3046" t="inlineStr">
        <is>
          <t>1手风险10176元超过预算10000元</t>
        </is>
      </c>
    </row>
    <row r="3047">
      <c r="A3047" t="inlineStr">
        <is>
          <t>2024-05-16</t>
        </is>
      </c>
      <c r="B3047" t="inlineStr">
        <is>
          <t>玻璃</t>
        </is>
      </c>
      <c r="C3047" t="inlineStr">
        <is>
          <t>多</t>
        </is>
      </c>
      <c r="D3047" t="n">
        <v>2</v>
      </c>
      <c r="E3047" t="n">
        <v>4</v>
      </c>
      <c r="F3047" t="inlineStr">
        <is>
          <t>观望</t>
        </is>
      </c>
      <c r="G3047" t="n">
        <v>3</v>
      </c>
      <c r="H3047" t="n">
        <v>1591</v>
      </c>
      <c r="I3047" t="n">
        <v>1460.71</v>
      </c>
      <c r="J3047" t="n">
        <v>1</v>
      </c>
      <c r="K3047" t="inlineStr">
        <is>
          <t>逆5日线（收盘在5日线下，不追多）</t>
        </is>
      </c>
    </row>
    <row r="3048">
      <c r="A3048" t="inlineStr">
        <is>
          <t>2024-05-16</t>
        </is>
      </c>
      <c r="B3048" t="inlineStr">
        <is>
          <t>PTA</t>
        </is>
      </c>
      <c r="C3048" t="inlineStr">
        <is>
          <t>空</t>
        </is>
      </c>
      <c r="D3048" t="n">
        <v>2</v>
      </c>
      <c r="E3048" t="n">
        <v>4</v>
      </c>
      <c r="F3048" t="inlineStr">
        <is>
          <t>观望</t>
        </is>
      </c>
      <c r="G3048" t="n">
        <v>11</v>
      </c>
      <c r="H3048" t="n">
        <v>5834</v>
      </c>
      <c r="I3048" t="n">
        <v>6008.86</v>
      </c>
      <c r="J3048" t="n">
        <v>1</v>
      </c>
      <c r="K3048" t="inlineStr">
        <is>
          <t>逆5日线（收盘在5日线上，不追空）</t>
        </is>
      </c>
    </row>
    <row r="3049">
      <c r="A3049" t="inlineStr">
        <is>
          <t>2024-05-17</t>
        </is>
      </c>
      <c r="B3049" t="inlineStr">
        <is>
          <t>热卷</t>
        </is>
      </c>
      <c r="C3049" t="inlineStr">
        <is>
          <t>空</t>
        </is>
      </c>
      <c r="D3049" t="n">
        <v>2</v>
      </c>
      <c r="E3049" t="n">
        <v>5</v>
      </c>
      <c r="F3049" t="inlineStr">
        <is>
          <t>观望</t>
        </is>
      </c>
      <c r="G3049" t="n">
        <v>6</v>
      </c>
      <c r="H3049" t="n">
        <v>3849</v>
      </c>
      <c r="I3049" t="n">
        <v>3992.79</v>
      </c>
      <c r="J3049" t="n">
        <v>1</v>
      </c>
      <c r="K3049" t="inlineStr">
        <is>
          <t>逆5日线（收盘在5日线上，不追空）</t>
        </is>
      </c>
    </row>
    <row r="3050">
      <c r="A3050" t="inlineStr">
        <is>
          <t>2024-05-17</t>
        </is>
      </c>
      <c r="B3050" t="inlineStr">
        <is>
          <t>棉花</t>
        </is>
      </c>
      <c r="C3050" t="inlineStr">
        <is>
          <t>空</t>
        </is>
      </c>
      <c r="D3050" t="n">
        <v>2</v>
      </c>
      <c r="E3050" t="n">
        <v>5</v>
      </c>
      <c r="F3050" t="inlineStr">
        <is>
          <t>观望</t>
        </is>
      </c>
      <c r="G3050" t="n">
        <v>3</v>
      </c>
      <c r="H3050" t="n">
        <v>15245</v>
      </c>
      <c r="I3050" t="n">
        <v>15866.43</v>
      </c>
      <c r="J3050" t="n">
        <v>1</v>
      </c>
      <c r="K3050" t="inlineStr">
        <is>
          <t>逆5日线（收盘在5日线上，不追空）</t>
        </is>
      </c>
    </row>
    <row r="3051">
      <c r="A3051" t="inlineStr">
        <is>
          <t>2024-05-17</t>
        </is>
      </c>
      <c r="B3051" t="inlineStr">
        <is>
          <t>沪银</t>
        </is>
      </c>
      <c r="C3051" t="inlineStr">
        <is>
          <t>多</t>
        </is>
      </c>
      <c r="D3051" t="n">
        <v>2</v>
      </c>
      <c r="E3051" t="n">
        <v>4</v>
      </c>
      <c r="F3051" t="inlineStr">
        <is>
          <t>影子仓</t>
        </is>
      </c>
      <c r="G3051" t="n">
        <v>1</v>
      </c>
      <c r="H3051" t="n">
        <v>7649</v>
      </c>
      <c r="I3051" t="n">
        <v>7218.93</v>
      </c>
      <c r="J3051" t="n">
        <v>1</v>
      </c>
      <c r="K3051" t="inlineStr">
        <is>
          <t>凯利≤0，开1%影子仓（只统计，不计入组合）</t>
        </is>
      </c>
    </row>
    <row r="3052">
      <c r="A3052" t="inlineStr">
        <is>
          <t>2024-05-20</t>
        </is>
      </c>
      <c r="B3052" t="inlineStr">
        <is>
          <t>棉花</t>
        </is>
      </c>
      <c r="C3052" t="inlineStr">
        <is>
          <t>空</t>
        </is>
      </c>
      <c r="D3052" t="n">
        <v>3</v>
      </c>
      <c r="E3052" t="n">
        <v>6</v>
      </c>
      <c r="F3052" t="inlineStr">
        <is>
          <t>观望</t>
        </is>
      </c>
      <c r="H3052" t="n">
        <v>15320</v>
      </c>
      <c r="J3052" t="n">
        <v>0.24</v>
      </c>
      <c r="K3052" t="inlineStr">
        <is>
          <t>逆5日线（收盘在5日线上，不追空）</t>
        </is>
      </c>
    </row>
    <row r="3053">
      <c r="A3053" t="inlineStr">
        <is>
          <t>2024-05-20</t>
        </is>
      </c>
      <c r="B3053" t="inlineStr">
        <is>
          <t>沪银</t>
        </is>
      </c>
      <c r="C3053" t="inlineStr">
        <is>
          <t>多</t>
        </is>
      </c>
      <c r="D3053" t="n">
        <v>3</v>
      </c>
      <c r="E3053" t="n">
        <v>6</v>
      </c>
      <c r="F3053" t="inlineStr">
        <is>
          <t>续持</t>
        </is>
      </c>
      <c r="G3053" t="n">
        <v>1</v>
      </c>
      <c r="H3053" t="n">
        <v>8211</v>
      </c>
      <c r="I3053" t="n">
        <v>7685.14</v>
      </c>
      <c r="J3053" t="n">
        <v>1</v>
      </c>
      <c r="K3053" t="inlineStr">
        <is>
          <t>续持原仓（2024-05-17开）</t>
        </is>
      </c>
    </row>
    <row r="3054">
      <c r="A3054" t="inlineStr">
        <is>
          <t>2024-05-20</t>
        </is>
      </c>
      <c r="B3054" t="inlineStr">
        <is>
          <t>沪铝</t>
        </is>
      </c>
      <c r="C3054" t="inlineStr">
        <is>
          <t>多</t>
        </is>
      </c>
      <c r="D3054" t="n">
        <v>2</v>
      </c>
      <c r="E3054" t="n">
        <v>4</v>
      </c>
      <c r="F3054" t="inlineStr">
        <is>
          <t>影子仓</t>
        </is>
      </c>
      <c r="G3054" t="n">
        <v>2</v>
      </c>
      <c r="H3054" t="n">
        <v>20945</v>
      </c>
      <c r="I3054" t="n">
        <v>20041.79</v>
      </c>
      <c r="J3054" t="n">
        <v>1</v>
      </c>
      <c r="K3054" t="inlineStr">
        <is>
          <t>凯利≤0，开1%影子仓（只统计，不计入组合）</t>
        </is>
      </c>
    </row>
    <row r="3055">
      <c r="A3055" t="inlineStr">
        <is>
          <t>2024-05-21</t>
        </is>
      </c>
      <c r="B3055" t="inlineStr">
        <is>
          <t>工业硅</t>
        </is>
      </c>
      <c r="C3055" t="inlineStr">
        <is>
          <t>多</t>
        </is>
      </c>
      <c r="D3055" t="n">
        <v>3</v>
      </c>
      <c r="E3055" t="n">
        <v>7</v>
      </c>
      <c r="F3055" t="inlineStr">
        <is>
          <t>开仓</t>
        </is>
      </c>
      <c r="G3055" t="n">
        <v>6</v>
      </c>
      <c r="H3055" t="n">
        <v>12425</v>
      </c>
      <c r="I3055" t="n">
        <v>11661.07</v>
      </c>
      <c r="J3055" t="n">
        <v>2.65</v>
      </c>
      <c r="K3055" t="inlineStr">
        <is>
          <t>¼凯利</t>
        </is>
      </c>
    </row>
    <row r="3056">
      <c r="A3056" t="inlineStr">
        <is>
          <t>2024-05-21</t>
        </is>
      </c>
      <c r="B3056" t="inlineStr">
        <is>
          <t>沪镍</t>
        </is>
      </c>
      <c r="C3056" t="inlineStr">
        <is>
          <t>多</t>
        </is>
      </c>
      <c r="D3056" t="n">
        <v>2</v>
      </c>
      <c r="E3056" t="n">
        <v>5</v>
      </c>
      <c r="F3056" t="inlineStr">
        <is>
          <t>不做</t>
        </is>
      </c>
      <c r="H3056" t="n">
        <v>158430</v>
      </c>
      <c r="J3056" t="n">
        <v>1</v>
      </c>
      <c r="K3056" t="inlineStr">
        <is>
          <t>1手风险12336元超过预算10000元</t>
        </is>
      </c>
    </row>
    <row r="3057">
      <c r="A3057" t="inlineStr">
        <is>
          <t>2024-05-21</t>
        </is>
      </c>
      <c r="B3057" t="inlineStr">
        <is>
          <t>沪铝</t>
        </is>
      </c>
      <c r="C3057" t="inlineStr">
        <is>
          <t>多</t>
        </is>
      </c>
      <c r="D3057" t="n">
        <v>2</v>
      </c>
      <c r="E3057" t="n">
        <v>5</v>
      </c>
      <c r="F3057" t="inlineStr">
        <is>
          <t>续持</t>
        </is>
      </c>
      <c r="G3057" t="n">
        <v>2</v>
      </c>
      <c r="H3057" t="n">
        <v>21095</v>
      </c>
      <c r="I3057" t="n">
        <v>20565.36</v>
      </c>
      <c r="J3057" t="n">
        <v>1</v>
      </c>
      <c r="K3057" t="inlineStr">
        <is>
          <t>续持原仓（2024-05-20开）</t>
        </is>
      </c>
    </row>
    <row r="3058">
      <c r="A3058" t="inlineStr">
        <is>
          <t>2024-05-21</t>
        </is>
      </c>
      <c r="B3058" t="inlineStr">
        <is>
          <t>PTA</t>
        </is>
      </c>
      <c r="C3058" t="inlineStr">
        <is>
          <t>多</t>
        </is>
      </c>
      <c r="D3058" t="n">
        <v>2</v>
      </c>
      <c r="E3058" t="n">
        <v>4</v>
      </c>
      <c r="F3058" t="inlineStr">
        <is>
          <t>影子仓</t>
        </is>
      </c>
      <c r="G3058" t="n">
        <v>11</v>
      </c>
      <c r="H3058" t="n">
        <v>5916</v>
      </c>
      <c r="I3058" t="n">
        <v>5745</v>
      </c>
      <c r="J3058" t="n">
        <v>1</v>
      </c>
      <c r="K3058" t="inlineStr">
        <is>
          <t>凯利≤0，开1%影子仓（只统计，不计入组合）</t>
        </is>
      </c>
    </row>
    <row r="3059">
      <c r="A3059" t="inlineStr">
        <is>
          <t>2024-05-21</t>
        </is>
      </c>
      <c r="B3059" t="inlineStr">
        <is>
          <t>螺纹钢</t>
        </is>
      </c>
      <c r="C3059" t="inlineStr">
        <is>
          <t>多</t>
        </is>
      </c>
      <c r="D3059" t="n">
        <v>2</v>
      </c>
      <c r="E3059" t="n">
        <v>4</v>
      </c>
      <c r="F3059" t="inlineStr">
        <is>
          <t>影子仓</t>
        </is>
      </c>
      <c r="G3059" t="n">
        <v>6</v>
      </c>
      <c r="H3059" t="n">
        <v>3746</v>
      </c>
      <c r="I3059" t="n">
        <v>3582.93</v>
      </c>
      <c r="J3059" t="n">
        <v>1</v>
      </c>
      <c r="K3059" t="inlineStr">
        <is>
          <t>凯利≤0，开1%影子仓（只统计，不计入组合）</t>
        </is>
      </c>
    </row>
    <row r="3060">
      <c r="A3060" t="inlineStr">
        <is>
          <t>2024-05-22</t>
        </is>
      </c>
      <c r="B3060" t="inlineStr">
        <is>
          <t>沪铝</t>
        </is>
      </c>
      <c r="C3060" t="inlineStr">
        <is>
          <t>多</t>
        </is>
      </c>
      <c r="D3060" t="n">
        <v>3</v>
      </c>
      <c r="E3060" t="n">
        <v>7</v>
      </c>
      <c r="F3060" t="inlineStr">
        <is>
          <t>续持</t>
        </is>
      </c>
      <c r="G3060" t="n">
        <v>2</v>
      </c>
      <c r="H3060" t="n">
        <v>21375</v>
      </c>
      <c r="I3060" t="n">
        <v>20565.36</v>
      </c>
      <c r="J3060" t="n">
        <v>1</v>
      </c>
      <c r="K3060" t="inlineStr">
        <is>
          <t>续持原仓（2024-05-20开）</t>
        </is>
      </c>
    </row>
    <row r="3061">
      <c r="A3061" t="inlineStr">
        <is>
          <t>2024-05-22</t>
        </is>
      </c>
      <c r="B3061" t="inlineStr">
        <is>
          <t>工业硅</t>
        </is>
      </c>
      <c r="C3061" t="inlineStr">
        <is>
          <t>多</t>
        </is>
      </c>
      <c r="D3061" t="n">
        <v>3</v>
      </c>
      <c r="E3061" t="n">
        <v>6</v>
      </c>
      <c r="F3061" t="inlineStr">
        <is>
          <t>续持</t>
        </is>
      </c>
      <c r="G3061" t="n">
        <v>6</v>
      </c>
      <c r="H3061" t="n">
        <v>12495</v>
      </c>
      <c r="I3061" t="n">
        <v>11867.14</v>
      </c>
      <c r="J3061" t="n">
        <v>2.65</v>
      </c>
      <c r="K3061" t="inlineStr">
        <is>
          <t>续持原仓（2024-05-21开）</t>
        </is>
      </c>
    </row>
    <row r="3062">
      <c r="A3062" t="inlineStr">
        <is>
          <t>2024-05-22</t>
        </is>
      </c>
      <c r="B3062" t="inlineStr">
        <is>
          <t>沪镍</t>
        </is>
      </c>
      <c r="C3062" t="inlineStr">
        <is>
          <t>多</t>
        </is>
      </c>
      <c r="D3062" t="n">
        <v>2</v>
      </c>
      <c r="E3062" t="n">
        <v>5</v>
      </c>
      <c r="F3062" t="inlineStr">
        <is>
          <t>不做</t>
        </is>
      </c>
      <c r="H3062" t="n">
        <v>157950</v>
      </c>
      <c r="J3062" t="n">
        <v>1</v>
      </c>
      <c r="K3062" t="inlineStr">
        <is>
          <t>1手风险12403元超过预算10000元</t>
        </is>
      </c>
    </row>
    <row r="3063">
      <c r="A3063" t="inlineStr">
        <is>
          <t>2024-05-23</t>
        </is>
      </c>
      <c r="B3063" t="inlineStr">
        <is>
          <t>沪镍</t>
        </is>
      </c>
      <c r="C3063" t="inlineStr">
        <is>
          <t>多</t>
        </is>
      </c>
      <c r="D3063" t="n">
        <v>2</v>
      </c>
      <c r="E3063" t="n">
        <v>5</v>
      </c>
      <c r="F3063" t="inlineStr">
        <is>
          <t>观望</t>
        </is>
      </c>
      <c r="H3063" t="n">
        <v>151960</v>
      </c>
      <c r="J3063" t="n">
        <v>1</v>
      </c>
      <c r="K3063" t="inlineStr">
        <is>
          <t>逆5日线（收盘在5日线下，不追多）</t>
        </is>
      </c>
    </row>
    <row r="3064">
      <c r="A3064" t="inlineStr">
        <is>
          <t>2024-05-24</t>
        </is>
      </c>
      <c r="B3064" t="inlineStr">
        <is>
          <t>甲醇</t>
        </is>
      </c>
      <c r="C3064" t="inlineStr">
        <is>
          <t>多</t>
        </is>
      </c>
      <c r="D3064" t="n">
        <v>3</v>
      </c>
      <c r="E3064" t="n">
        <v>7</v>
      </c>
      <c r="F3064" t="inlineStr">
        <is>
          <t>观望</t>
        </is>
      </c>
      <c r="G3064" t="n">
        <v>20</v>
      </c>
      <c r="H3064" t="n">
        <v>2600</v>
      </c>
      <c r="I3064" t="n">
        <v>2469.07</v>
      </c>
      <c r="J3064" t="n">
        <v>2.7</v>
      </c>
      <c r="K3064" t="inlineStr">
        <is>
          <t>逆5日线（收盘在5日线下，不追多）</t>
        </is>
      </c>
    </row>
    <row r="3065">
      <c r="A3065" t="inlineStr">
        <is>
          <t>2024-05-24</t>
        </is>
      </c>
      <c r="B3065" t="inlineStr">
        <is>
          <t>沪锌</t>
        </is>
      </c>
      <c r="C3065" t="inlineStr">
        <is>
          <t>多</t>
        </is>
      </c>
      <c r="D3065" t="n">
        <v>3</v>
      </c>
      <c r="E3065" t="n">
        <v>7</v>
      </c>
      <c r="F3065" t="inlineStr">
        <is>
          <t>开仓</t>
        </is>
      </c>
      <c r="G3065" t="n">
        <v>3</v>
      </c>
      <c r="H3065" t="n">
        <v>24725</v>
      </c>
      <c r="I3065" t="n">
        <v>23157.5</v>
      </c>
      <c r="J3065" t="n">
        <v>2.7</v>
      </c>
      <c r="K3065" t="inlineStr">
        <is>
          <t>¼凯利</t>
        </is>
      </c>
    </row>
    <row r="3066">
      <c r="A3066" t="inlineStr">
        <is>
          <t>2024-05-24</t>
        </is>
      </c>
      <c r="B3066" t="inlineStr">
        <is>
          <t>沪镍</t>
        </is>
      </c>
      <c r="C3066" t="inlineStr">
        <is>
          <t>多</t>
        </is>
      </c>
      <c r="D3066" t="n">
        <v>3</v>
      </c>
      <c r="E3066" t="n">
        <v>6</v>
      </c>
      <c r="F3066" t="inlineStr">
        <is>
          <t>观望</t>
        </is>
      </c>
      <c r="G3066" t="n">
        <v>2</v>
      </c>
      <c r="H3066" t="n">
        <v>153500</v>
      </c>
      <c r="I3066" t="n">
        <v>140525</v>
      </c>
      <c r="J3066" t="n">
        <v>2.7</v>
      </c>
      <c r="K3066" t="inlineStr">
        <is>
          <t>逆5日线（收盘在5日线下，不追多）</t>
        </is>
      </c>
    </row>
    <row r="3067">
      <c r="A3067" t="inlineStr">
        <is>
          <t>2024-05-24</t>
        </is>
      </c>
      <c r="B3067" t="inlineStr">
        <is>
          <t>玻璃</t>
        </is>
      </c>
      <c r="C3067" t="inlineStr">
        <is>
          <t>多</t>
        </is>
      </c>
      <c r="D3067" t="n">
        <v>2</v>
      </c>
      <c r="E3067" t="n">
        <v>5</v>
      </c>
      <c r="F3067" t="inlineStr">
        <is>
          <t>影子仓</t>
        </is>
      </c>
      <c r="G3067" t="n">
        <v>4</v>
      </c>
      <c r="H3067" t="n">
        <v>1716</v>
      </c>
      <c r="I3067" t="n">
        <v>1592.14</v>
      </c>
      <c r="J3067" t="n">
        <v>1</v>
      </c>
      <c r="K3067" t="inlineStr">
        <is>
          <t>凯利≤0，开1%影子仓（只统计，不计入组合）</t>
        </is>
      </c>
    </row>
    <row r="3068">
      <c r="A3068" t="inlineStr">
        <is>
          <t>2024-05-27</t>
        </is>
      </c>
      <c r="B3068" t="inlineStr">
        <is>
          <t>沪银</t>
        </is>
      </c>
      <c r="C3068" t="inlineStr">
        <is>
          <t>多</t>
        </is>
      </c>
      <c r="D3068" t="n">
        <v>3</v>
      </c>
      <c r="E3068" t="n">
        <v>7</v>
      </c>
      <c r="F3068" t="inlineStr">
        <is>
          <t>观望</t>
        </is>
      </c>
      <c r="G3068" t="n">
        <v>2</v>
      </c>
      <c r="H3068" t="n">
        <v>8081</v>
      </c>
      <c r="I3068" t="n">
        <v>7298.64</v>
      </c>
      <c r="J3068" t="n">
        <v>2.7</v>
      </c>
      <c r="K3068" t="inlineStr">
        <is>
          <t>逆5日线（收盘在5日线下，不追多）</t>
        </is>
      </c>
    </row>
    <row r="3069">
      <c r="A3069" t="inlineStr">
        <is>
          <t>2024-05-27</t>
        </is>
      </c>
      <c r="B3069" t="inlineStr">
        <is>
          <t>沪锌</t>
        </is>
      </c>
      <c r="C3069" t="inlineStr">
        <is>
          <t>多</t>
        </is>
      </c>
      <c r="D3069" t="n">
        <v>3</v>
      </c>
      <c r="E3069" t="n">
        <v>6</v>
      </c>
      <c r="F3069" t="inlineStr">
        <is>
          <t>观望</t>
        </is>
      </c>
      <c r="H3069" t="n">
        <v>24690</v>
      </c>
      <c r="J3069" t="n">
        <v>0.3</v>
      </c>
      <c r="K3069" t="inlineStr">
        <is>
          <t>逆5日线（收盘在5日线下，不追多）</t>
        </is>
      </c>
    </row>
    <row r="3070">
      <c r="A3070" t="inlineStr">
        <is>
          <t>2024-05-28</t>
        </is>
      </c>
      <c r="B3070" t="inlineStr">
        <is>
          <t>沪银</t>
        </is>
      </c>
      <c r="C3070" t="inlineStr">
        <is>
          <t>多</t>
        </is>
      </c>
      <c r="D3070" t="n">
        <v>3</v>
      </c>
      <c r="E3070" t="n">
        <v>6</v>
      </c>
      <c r="F3070" t="inlineStr">
        <is>
          <t>开仓</t>
        </is>
      </c>
      <c r="G3070" t="n">
        <v>2</v>
      </c>
      <c r="H3070" t="n">
        <v>8286</v>
      </c>
      <c r="I3070" t="n">
        <v>7446.64</v>
      </c>
      <c r="J3070" t="n">
        <v>2.71</v>
      </c>
      <c r="K3070" t="inlineStr">
        <is>
          <t>¼凯利</t>
        </is>
      </c>
    </row>
    <row r="3071">
      <c r="A3071" t="inlineStr">
        <is>
          <t>2024-05-28</t>
        </is>
      </c>
      <c r="B3071" t="inlineStr">
        <is>
          <t>沪铝</t>
        </is>
      </c>
      <c r="C3071" t="inlineStr">
        <is>
          <t>多</t>
        </is>
      </c>
      <c r="D3071" t="n">
        <v>3</v>
      </c>
      <c r="E3071" t="n">
        <v>6</v>
      </c>
      <c r="F3071" t="inlineStr">
        <is>
          <t>开仓</t>
        </is>
      </c>
      <c r="G3071" t="n">
        <v>4</v>
      </c>
      <c r="H3071" t="n">
        <v>21190</v>
      </c>
      <c r="I3071" t="n">
        <v>20039.29</v>
      </c>
      <c r="J3071" t="n">
        <v>2.71</v>
      </c>
      <c r="K3071" t="inlineStr">
        <is>
          <t>¼凯利</t>
        </is>
      </c>
    </row>
    <row r="3072">
      <c r="A3072" t="inlineStr">
        <is>
          <t>2024-05-29</t>
        </is>
      </c>
      <c r="B3072" t="inlineStr">
        <is>
          <t>沪锌</t>
        </is>
      </c>
      <c r="C3072" t="inlineStr">
        <is>
          <t>多</t>
        </is>
      </c>
      <c r="D3072" t="n">
        <v>3</v>
      </c>
      <c r="E3072" t="n">
        <v>7</v>
      </c>
      <c r="F3072" t="inlineStr">
        <is>
          <t>开仓</t>
        </is>
      </c>
      <c r="G3072" t="n">
        <v>3</v>
      </c>
      <c r="H3072" t="n">
        <v>25350</v>
      </c>
      <c r="I3072" t="n">
        <v>23747.14</v>
      </c>
      <c r="J3072" t="n">
        <v>2.73</v>
      </c>
      <c r="K3072" t="inlineStr">
        <is>
          <t>¼凯利</t>
        </is>
      </c>
    </row>
    <row r="3073">
      <c r="A3073" t="inlineStr">
        <is>
          <t>2024-05-29</t>
        </is>
      </c>
      <c r="B3073" t="inlineStr">
        <is>
          <t>沪铝</t>
        </is>
      </c>
      <c r="C3073" t="inlineStr">
        <is>
          <t>多</t>
        </is>
      </c>
      <c r="D3073" t="n">
        <v>3</v>
      </c>
      <c r="E3073" t="n">
        <v>6</v>
      </c>
      <c r="F3073" t="inlineStr">
        <is>
          <t>续持</t>
        </is>
      </c>
      <c r="G3073" t="n">
        <v>4</v>
      </c>
      <c r="H3073" t="n">
        <v>21520</v>
      </c>
      <c r="I3073" t="n">
        <v>20353.21</v>
      </c>
      <c r="J3073" t="n">
        <v>2.71</v>
      </c>
      <c r="K3073" t="inlineStr">
        <is>
          <t>续持原仓（2024-05-28开）</t>
        </is>
      </c>
    </row>
    <row r="3074">
      <c r="A3074" t="inlineStr">
        <is>
          <t>2024-05-30</t>
        </is>
      </c>
      <c r="B3074" t="inlineStr">
        <is>
          <t>沪铝</t>
        </is>
      </c>
      <c r="C3074" t="inlineStr">
        <is>
          <t>多</t>
        </is>
      </c>
      <c r="D3074" t="n">
        <v>3</v>
      </c>
      <c r="E3074" t="n">
        <v>6</v>
      </c>
      <c r="F3074" t="inlineStr">
        <is>
          <t>续持</t>
        </is>
      </c>
      <c r="G3074" t="n">
        <v>4</v>
      </c>
      <c r="H3074" t="n">
        <v>21560</v>
      </c>
      <c r="I3074" t="n">
        <v>20770.36</v>
      </c>
      <c r="J3074" t="n">
        <v>2.71</v>
      </c>
      <c r="K3074" t="inlineStr">
        <is>
          <t>续持原仓（2024-05-28开）</t>
        </is>
      </c>
    </row>
    <row r="3075">
      <c r="A3075" t="inlineStr">
        <is>
          <t>2024-05-30</t>
        </is>
      </c>
      <c r="B3075" t="inlineStr">
        <is>
          <t>沪镍</t>
        </is>
      </c>
      <c r="C3075" t="inlineStr">
        <is>
          <t>多</t>
        </is>
      </c>
      <c r="D3075" t="n">
        <v>2</v>
      </c>
      <c r="E3075" t="n">
        <v>5</v>
      </c>
      <c r="F3075" t="inlineStr">
        <is>
          <t>观望</t>
        </is>
      </c>
      <c r="H3075" t="n">
        <v>151400</v>
      </c>
      <c r="J3075" t="n">
        <v>1</v>
      </c>
      <c r="K3075" t="inlineStr">
        <is>
          <t>逆5日线（收盘在5日线下，不追多）</t>
        </is>
      </c>
    </row>
    <row r="3076">
      <c r="A3076" t="inlineStr">
        <is>
          <t>2024-05-30</t>
        </is>
      </c>
      <c r="B3076" t="inlineStr">
        <is>
          <t>PVC</t>
        </is>
      </c>
      <c r="C3076" t="inlineStr">
        <is>
          <t>多</t>
        </is>
      </c>
      <c r="D3076" t="n">
        <v>2</v>
      </c>
      <c r="E3076" t="n">
        <v>4</v>
      </c>
      <c r="F3076" t="inlineStr">
        <is>
          <t>影子仓</t>
        </is>
      </c>
      <c r="G3076" t="n">
        <v>5</v>
      </c>
      <c r="H3076" t="n">
        <v>6513</v>
      </c>
      <c r="I3076" t="n">
        <v>6119.79</v>
      </c>
      <c r="J3076" t="n">
        <v>1</v>
      </c>
      <c r="K3076" t="inlineStr">
        <is>
          <t>凯利≤0，开1%影子仓（只统计，不计入组合）</t>
        </is>
      </c>
    </row>
    <row r="3077">
      <c r="A3077" t="inlineStr">
        <is>
          <t>2024-05-30</t>
        </is>
      </c>
      <c r="B3077" t="inlineStr">
        <is>
          <t>热卷</t>
        </is>
      </c>
      <c r="C3077" t="inlineStr">
        <is>
          <t>空</t>
        </is>
      </c>
      <c r="D3077" t="n">
        <v>2</v>
      </c>
      <c r="E3077" t="n">
        <v>4</v>
      </c>
      <c r="F3077" t="inlineStr">
        <is>
          <t>影子仓</t>
        </is>
      </c>
      <c r="G3077" t="n">
        <v>7</v>
      </c>
      <c r="H3077" t="n">
        <v>3863</v>
      </c>
      <c r="I3077" t="n">
        <v>4002.5</v>
      </c>
      <c r="J3077" t="n">
        <v>1</v>
      </c>
      <c r="K3077" t="inlineStr">
        <is>
          <t>凯利≤0，开1%影子仓（只统计，不计入组合）</t>
        </is>
      </c>
    </row>
    <row r="3078">
      <c r="A3078" t="inlineStr">
        <is>
          <t>2024-05-30</t>
        </is>
      </c>
      <c r="B3078" t="inlineStr">
        <is>
          <t>碳酸锂</t>
        </is>
      </c>
      <c r="C3078" t="inlineStr">
        <is>
          <t>空</t>
        </is>
      </c>
      <c r="D3078" t="n">
        <v>2</v>
      </c>
      <c r="E3078" t="n">
        <v>4</v>
      </c>
      <c r="F3078" t="inlineStr">
        <is>
          <t>观望</t>
        </is>
      </c>
      <c r="G3078" t="n">
        <v>1</v>
      </c>
      <c r="H3078" t="n">
        <v>106000</v>
      </c>
      <c r="I3078" t="n">
        <v>114935.71</v>
      </c>
      <c r="J3078" t="n">
        <v>1</v>
      </c>
      <c r="K3078" t="inlineStr">
        <is>
          <t>逆5日线（收盘在5日线上，不追空）</t>
        </is>
      </c>
    </row>
    <row r="3079">
      <c r="A3079" t="inlineStr">
        <is>
          <t>2024-05-31</t>
        </is>
      </c>
      <c r="B3079" t="inlineStr">
        <is>
          <t>螺纹钢</t>
        </is>
      </c>
      <c r="C3079" t="inlineStr">
        <is>
          <t>空</t>
        </is>
      </c>
      <c r="D3079" t="n">
        <v>3</v>
      </c>
      <c r="E3079" t="n">
        <v>7</v>
      </c>
      <c r="F3079" t="inlineStr">
        <is>
          <t>开仓</t>
        </is>
      </c>
      <c r="G3079" t="n">
        <v>16</v>
      </c>
      <c r="H3079" t="n">
        <v>3706</v>
      </c>
      <c r="I3079" t="n">
        <v>3866.07</v>
      </c>
      <c r="J3079" t="n">
        <v>2.7</v>
      </c>
      <c r="K3079" t="inlineStr">
        <is>
          <t>¼凯利</t>
        </is>
      </c>
    </row>
    <row r="3080">
      <c r="A3080" t="inlineStr">
        <is>
          <t>2024-05-31</t>
        </is>
      </c>
      <c r="B3080" t="inlineStr">
        <is>
          <t>PVC</t>
        </is>
      </c>
      <c r="C3080" t="inlineStr">
        <is>
          <t>多</t>
        </is>
      </c>
      <c r="D3080" t="n">
        <v>3</v>
      </c>
      <c r="E3080" t="n">
        <v>6</v>
      </c>
      <c r="F3080" t="inlineStr">
        <is>
          <t>续持</t>
        </is>
      </c>
      <c r="G3080" t="n">
        <v>5</v>
      </c>
      <c r="H3080" t="n">
        <v>6566</v>
      </c>
      <c r="I3080" t="n">
        <v>6180.93</v>
      </c>
      <c r="J3080" t="n">
        <v>1</v>
      </c>
      <c r="K3080" t="inlineStr">
        <is>
          <t>续持原仓（2024-05-30开）</t>
        </is>
      </c>
    </row>
    <row r="3081">
      <c r="A3081" t="inlineStr">
        <is>
          <t>2024-05-31</t>
        </is>
      </c>
      <c r="B3081" t="inlineStr">
        <is>
          <t>沪镍</t>
        </is>
      </c>
      <c r="C3081" t="inlineStr">
        <is>
          <t>多</t>
        </is>
      </c>
      <c r="D3081" t="n">
        <v>3</v>
      </c>
      <c r="E3081" t="n">
        <v>6</v>
      </c>
      <c r="F3081" t="inlineStr">
        <is>
          <t>观望</t>
        </is>
      </c>
      <c r="G3081" t="n">
        <v>1</v>
      </c>
      <c r="H3081" t="n">
        <v>151650</v>
      </c>
      <c r="I3081" t="n">
        <v>138015</v>
      </c>
      <c r="J3081" t="n">
        <v>2.7</v>
      </c>
      <c r="K3081" t="inlineStr">
        <is>
          <t>逆5日线（收盘在5日线下，不追多）</t>
        </is>
      </c>
    </row>
    <row r="3082">
      <c r="A3082" t="inlineStr">
        <is>
          <t>2024-05-31</t>
        </is>
      </c>
      <c r="B3082" t="inlineStr">
        <is>
          <t>热卷</t>
        </is>
      </c>
      <c r="C3082" t="inlineStr">
        <is>
          <t>空</t>
        </is>
      </c>
      <c r="D3082" t="n">
        <v>3</v>
      </c>
      <c r="E3082" t="n">
        <v>6</v>
      </c>
      <c r="F3082" t="inlineStr">
        <is>
          <t>续持</t>
        </is>
      </c>
      <c r="G3082" t="n">
        <v>7</v>
      </c>
      <c r="H3082" t="n">
        <v>3833</v>
      </c>
      <c r="I3082" t="n">
        <v>3961.71</v>
      </c>
      <c r="J3082" t="n">
        <v>1</v>
      </c>
      <c r="K3082" t="inlineStr">
        <is>
          <t>续持原仓（2024-05-30开）</t>
        </is>
      </c>
    </row>
    <row r="3083">
      <c r="A3083" t="inlineStr">
        <is>
          <t>2024-05-31</t>
        </is>
      </c>
      <c r="B3083" t="inlineStr">
        <is>
          <t>沪铝</t>
        </is>
      </c>
      <c r="C3083" t="inlineStr">
        <is>
          <t>多</t>
        </is>
      </c>
      <c r="D3083" t="n">
        <v>2</v>
      </c>
      <c r="E3083" t="n">
        <v>5</v>
      </c>
      <c r="F3083" t="inlineStr">
        <is>
          <t>续持</t>
        </is>
      </c>
      <c r="G3083" t="n">
        <v>4</v>
      </c>
      <c r="H3083" t="n">
        <v>21535</v>
      </c>
      <c r="I3083" t="n">
        <v>20795</v>
      </c>
      <c r="J3083" t="n">
        <v>2.71</v>
      </c>
      <c r="K3083" t="inlineStr">
        <is>
          <t>续持原仓（2024-05-28开）</t>
        </is>
      </c>
    </row>
    <row r="3084">
      <c r="A3084" t="inlineStr">
        <is>
          <t>2024-05-31</t>
        </is>
      </c>
      <c r="B3084" t="inlineStr">
        <is>
          <t>碳酸锂</t>
        </is>
      </c>
      <c r="C3084" t="inlineStr">
        <is>
          <t>空</t>
        </is>
      </c>
      <c r="D3084" t="n">
        <v>2</v>
      </c>
      <c r="E3084" t="n">
        <v>5</v>
      </c>
      <c r="F3084" t="inlineStr">
        <is>
          <t>影子仓</t>
        </is>
      </c>
      <c r="G3084" t="n">
        <v>1</v>
      </c>
      <c r="H3084" t="n">
        <v>104850</v>
      </c>
      <c r="I3084" t="n">
        <v>113892.86</v>
      </c>
      <c r="J3084" t="n">
        <v>1</v>
      </c>
      <c r="K3084" t="inlineStr">
        <is>
          <t>凯利≤0，开1%影子仓（只统计，不计入组合）</t>
        </is>
      </c>
    </row>
    <row r="3085">
      <c r="A3085" t="inlineStr">
        <is>
          <t>2024-05-31</t>
        </is>
      </c>
      <c r="B3085" t="inlineStr">
        <is>
          <t>工业硅</t>
        </is>
      </c>
      <c r="C3085" t="inlineStr">
        <is>
          <t>空</t>
        </is>
      </c>
      <c r="D3085" t="n">
        <v>2</v>
      </c>
      <c r="E3085" t="n">
        <v>5</v>
      </c>
      <c r="F3085" t="inlineStr">
        <is>
          <t>观望</t>
        </is>
      </c>
      <c r="G3085" t="n">
        <v>1</v>
      </c>
      <c r="H3085" t="n">
        <v>12835</v>
      </c>
      <c r="I3085" t="n">
        <v>13938.57</v>
      </c>
      <c r="J3085" t="n">
        <v>1</v>
      </c>
      <c r="K3085" t="inlineStr">
        <is>
          <t>逆5日线（收盘在5日线上，不追空）</t>
        </is>
      </c>
    </row>
    <row r="3086">
      <c r="A3086" t="inlineStr">
        <is>
          <t>2024-05-31</t>
        </is>
      </c>
      <c r="B3086" t="inlineStr">
        <is>
          <t>豆粕</t>
        </is>
      </c>
      <c r="C3086" t="inlineStr">
        <is>
          <t>空</t>
        </is>
      </c>
      <c r="D3086" t="n">
        <v>2</v>
      </c>
      <c r="E3086" t="n">
        <v>4</v>
      </c>
      <c r="F3086" t="inlineStr">
        <is>
          <t>影子仓</t>
        </is>
      </c>
      <c r="G3086" t="n">
        <v>5</v>
      </c>
      <c r="H3086" t="n">
        <v>3495</v>
      </c>
      <c r="I3086" t="n">
        <v>3663.86</v>
      </c>
      <c r="J3086" t="n">
        <v>1</v>
      </c>
      <c r="K3086" t="inlineStr">
        <is>
          <t>凯利≤0，开1%影子仓（只统计，不计入组合）</t>
        </is>
      </c>
    </row>
    <row r="3087">
      <c r="A3087" t="inlineStr">
        <is>
          <t>2024-06-03</t>
        </is>
      </c>
      <c r="B3087" t="inlineStr">
        <is>
          <t>碳酸锂</t>
        </is>
      </c>
      <c r="C3087" t="inlineStr">
        <is>
          <t>空</t>
        </is>
      </c>
      <c r="D3087" t="n">
        <v>2</v>
      </c>
      <c r="E3087" t="n">
        <v>5</v>
      </c>
      <c r="F3087" t="inlineStr">
        <is>
          <t>续持</t>
        </is>
      </c>
      <c r="G3087" t="n">
        <v>1</v>
      </c>
      <c r="H3087" t="n">
        <v>102700</v>
      </c>
      <c r="I3087" t="n">
        <v>109857.14</v>
      </c>
      <c r="J3087" t="n">
        <v>1</v>
      </c>
      <c r="K3087" t="inlineStr">
        <is>
          <t>续持原仓（2024-05-31开）</t>
        </is>
      </c>
    </row>
    <row r="3088">
      <c r="A3088" t="inlineStr">
        <is>
          <t>2024-06-03</t>
        </is>
      </c>
      <c r="B3088" t="inlineStr">
        <is>
          <t>沪镍</t>
        </is>
      </c>
      <c r="C3088" t="inlineStr">
        <is>
          <t>多</t>
        </is>
      </c>
      <c r="D3088" t="n">
        <v>2</v>
      </c>
      <c r="E3088" t="n">
        <v>4</v>
      </c>
      <c r="F3088" t="inlineStr">
        <is>
          <t>观望</t>
        </is>
      </c>
      <c r="H3088" t="n">
        <v>147430</v>
      </c>
      <c r="J3088" t="n">
        <v>1</v>
      </c>
      <c r="K3088" t="inlineStr">
        <is>
          <t>逆5日线（收盘在5日线下，不追多）</t>
        </is>
      </c>
    </row>
    <row r="3089">
      <c r="A3089" t="inlineStr">
        <is>
          <t>2024-06-03</t>
        </is>
      </c>
      <c r="B3089" t="inlineStr">
        <is>
          <t>沪锌</t>
        </is>
      </c>
      <c r="C3089" t="inlineStr">
        <is>
          <t>多</t>
        </is>
      </c>
      <c r="D3089" t="n">
        <v>2</v>
      </c>
      <c r="E3089" t="n">
        <v>4</v>
      </c>
      <c r="F3089" t="inlineStr">
        <is>
          <t>观望</t>
        </is>
      </c>
      <c r="G3089" t="n">
        <v>1</v>
      </c>
      <c r="H3089" t="n">
        <v>24180</v>
      </c>
      <c r="I3089" t="n">
        <v>22503.21</v>
      </c>
      <c r="J3089" t="n">
        <v>1</v>
      </c>
      <c r="K3089" t="inlineStr">
        <is>
          <t>逆5日线（收盘在5日线下，不追多）</t>
        </is>
      </c>
    </row>
    <row r="3090">
      <c r="A3090" t="inlineStr">
        <is>
          <t>2024-06-03</t>
        </is>
      </c>
      <c r="B3090" t="inlineStr">
        <is>
          <t>铁矿石</t>
        </is>
      </c>
      <c r="C3090" t="inlineStr">
        <is>
          <t>空</t>
        </is>
      </c>
      <c r="D3090" t="n">
        <v>2</v>
      </c>
      <c r="E3090" t="n">
        <v>4</v>
      </c>
      <c r="F3090" t="inlineStr">
        <is>
          <t>影子仓</t>
        </is>
      </c>
      <c r="G3090" t="n">
        <v>1</v>
      </c>
      <c r="H3090" t="n">
        <v>843.5</v>
      </c>
      <c r="I3090" t="n">
        <v>911.64</v>
      </c>
      <c r="J3090" t="n">
        <v>1</v>
      </c>
      <c r="K3090" t="inlineStr">
        <is>
          <t>凯利≤0，开1%影子仓（只统计，不计入组合）</t>
        </is>
      </c>
    </row>
    <row r="3091">
      <c r="A3091" t="inlineStr">
        <is>
          <t>2024-06-04</t>
        </is>
      </c>
      <c r="B3091" t="inlineStr">
        <is>
          <t>碳酸锂</t>
        </is>
      </c>
      <c r="C3091" t="inlineStr">
        <is>
          <t>空</t>
        </is>
      </c>
      <c r="D3091" t="n">
        <v>3</v>
      </c>
      <c r="E3091" t="n">
        <v>6</v>
      </c>
      <c r="F3091" t="inlineStr">
        <is>
          <t>续持</t>
        </is>
      </c>
      <c r="G3091" t="n">
        <v>1</v>
      </c>
      <c r="H3091" t="n">
        <v>101850</v>
      </c>
      <c r="I3091" t="n">
        <v>109375</v>
      </c>
      <c r="J3091" t="n">
        <v>1</v>
      </c>
      <c r="K3091" t="inlineStr">
        <is>
          <t>续持原仓（2024-05-31开）</t>
        </is>
      </c>
    </row>
    <row r="3092">
      <c r="A3092" t="inlineStr">
        <is>
          <t>2024-06-04</t>
        </is>
      </c>
      <c r="B3092" t="inlineStr">
        <is>
          <t>铁矿石</t>
        </is>
      </c>
      <c r="C3092" t="inlineStr">
        <is>
          <t>空</t>
        </is>
      </c>
      <c r="D3092" t="n">
        <v>3</v>
      </c>
      <c r="E3092" t="n">
        <v>6</v>
      </c>
      <c r="F3092" t="inlineStr">
        <is>
          <t>续持</t>
        </is>
      </c>
      <c r="G3092" t="n">
        <v>1</v>
      </c>
      <c r="H3092" t="n">
        <v>834</v>
      </c>
      <c r="I3092" t="n">
        <v>899.86</v>
      </c>
      <c r="J3092" t="n">
        <v>1</v>
      </c>
      <c r="K3092" t="inlineStr">
        <is>
          <t>续持原仓（2024-06-03开）</t>
        </is>
      </c>
    </row>
    <row r="3093">
      <c r="A3093" t="inlineStr">
        <is>
          <t>2024-06-04</t>
        </is>
      </c>
      <c r="B3093" t="inlineStr">
        <is>
          <t>沪银</t>
        </is>
      </c>
      <c r="C3093" t="inlineStr">
        <is>
          <t>多</t>
        </is>
      </c>
      <c r="D3093" t="n">
        <v>3</v>
      </c>
      <c r="E3093" t="n">
        <v>6</v>
      </c>
      <c r="F3093" t="inlineStr">
        <is>
          <t>观望</t>
        </is>
      </c>
      <c r="G3093" t="n">
        <v>1</v>
      </c>
      <c r="H3093" t="n">
        <v>8086</v>
      </c>
      <c r="I3093" t="n">
        <v>7056.36</v>
      </c>
      <c r="J3093" t="n">
        <v>2.76</v>
      </c>
      <c r="K3093" t="inlineStr">
        <is>
          <t>逆5日线（收盘在5日线下，不追多）</t>
        </is>
      </c>
    </row>
    <row r="3094">
      <c r="A3094" t="inlineStr">
        <is>
          <t>2024-06-04</t>
        </is>
      </c>
      <c r="B3094" t="inlineStr">
        <is>
          <t>纯碱</t>
        </is>
      </c>
      <c r="C3094" t="inlineStr">
        <is>
          <t>空</t>
        </is>
      </c>
      <c r="D3094" t="n">
        <v>2</v>
      </c>
      <c r="E3094" t="n">
        <v>4</v>
      </c>
      <c r="F3094" t="inlineStr">
        <is>
          <t>影子仓</t>
        </is>
      </c>
      <c r="G3094" t="n">
        <v>1</v>
      </c>
      <c r="H3094" t="n">
        <v>2233</v>
      </c>
      <c r="I3094" t="n">
        <v>2506.64</v>
      </c>
      <c r="J3094" t="n">
        <v>1</v>
      </c>
      <c r="K3094" t="inlineStr">
        <is>
          <t>凯利≤0，开1%影子仓（只统计，不计入组合）</t>
        </is>
      </c>
    </row>
    <row r="3095">
      <c r="A3095" t="inlineStr">
        <is>
          <t>2024-06-05</t>
        </is>
      </c>
      <c r="B3095" t="inlineStr">
        <is>
          <t>纯碱</t>
        </is>
      </c>
      <c r="C3095" t="inlineStr">
        <is>
          <t>空</t>
        </is>
      </c>
      <c r="D3095" t="n">
        <v>2</v>
      </c>
      <c r="E3095" t="n">
        <v>5</v>
      </c>
      <c r="F3095" t="inlineStr">
        <is>
          <t>续持</t>
        </is>
      </c>
      <c r="G3095" t="n">
        <v>1</v>
      </c>
      <c r="H3095" t="n">
        <v>2195</v>
      </c>
      <c r="I3095" t="n">
        <v>2449.07</v>
      </c>
      <c r="J3095" t="n">
        <v>1</v>
      </c>
      <c r="K3095" t="inlineStr">
        <is>
          <t>续持原仓（2024-06-04开）</t>
        </is>
      </c>
    </row>
    <row r="3096">
      <c r="A3096" t="inlineStr">
        <is>
          <t>2024-06-05</t>
        </is>
      </c>
      <c r="B3096" t="inlineStr">
        <is>
          <t>菜粕</t>
        </is>
      </c>
      <c r="C3096" t="inlineStr">
        <is>
          <t>空</t>
        </is>
      </c>
      <c r="D3096" t="n">
        <v>2</v>
      </c>
      <c r="E3096" t="n">
        <v>4</v>
      </c>
      <c r="F3096" t="inlineStr">
        <is>
          <t>观望</t>
        </is>
      </c>
      <c r="G3096" t="n">
        <v>5</v>
      </c>
      <c r="H3096" t="n">
        <v>2779</v>
      </c>
      <c r="I3096" t="n">
        <v>2958.36</v>
      </c>
      <c r="J3096" t="n">
        <v>1</v>
      </c>
      <c r="K3096" t="inlineStr">
        <is>
          <t>逆5日线（收盘在5日线上，不追空）</t>
        </is>
      </c>
    </row>
    <row r="3097">
      <c r="A3097" t="inlineStr">
        <is>
          <t>2024-06-05</t>
        </is>
      </c>
      <c r="B3097" t="inlineStr">
        <is>
          <t>棉花</t>
        </is>
      </c>
      <c r="C3097" t="inlineStr">
        <is>
          <t>空</t>
        </is>
      </c>
      <c r="D3097" t="n">
        <v>2</v>
      </c>
      <c r="E3097" t="n">
        <v>4</v>
      </c>
      <c r="F3097" t="inlineStr">
        <is>
          <t>观望</t>
        </is>
      </c>
      <c r="G3097" t="n">
        <v>3</v>
      </c>
      <c r="H3097" t="n">
        <v>15150</v>
      </c>
      <c r="I3097" t="n">
        <v>15673.93</v>
      </c>
      <c r="J3097" t="n">
        <v>1</v>
      </c>
      <c r="K3097" t="inlineStr">
        <is>
          <t>逆5日线（收盘在5日线上，不追空）</t>
        </is>
      </c>
    </row>
    <row r="3098">
      <c r="A3098" t="inlineStr">
        <is>
          <t>2024-06-05</t>
        </is>
      </c>
      <c r="B3098" t="inlineStr">
        <is>
          <t>沪镍</t>
        </is>
      </c>
      <c r="C3098" t="inlineStr">
        <is>
          <t>空</t>
        </is>
      </c>
      <c r="D3098" t="n">
        <v>2</v>
      </c>
      <c r="E3098" t="n">
        <v>4</v>
      </c>
      <c r="F3098" t="inlineStr">
        <is>
          <t>不做</t>
        </is>
      </c>
      <c r="H3098" t="n">
        <v>142000</v>
      </c>
      <c r="J3098" t="n">
        <v>1</v>
      </c>
      <c r="K3098" t="inlineStr">
        <is>
          <t>1手风险14625元超过预算10000元</t>
        </is>
      </c>
    </row>
    <row r="3099">
      <c r="A3099" t="inlineStr">
        <is>
          <t>2024-06-06</t>
        </is>
      </c>
      <c r="B3099" t="inlineStr">
        <is>
          <t>甲醇</t>
        </is>
      </c>
      <c r="C3099" t="inlineStr">
        <is>
          <t>空</t>
        </is>
      </c>
      <c r="D3099" t="n">
        <v>3</v>
      </c>
      <c r="E3099" t="n">
        <v>6</v>
      </c>
      <c r="F3099" t="inlineStr">
        <is>
          <t>开仓</t>
        </is>
      </c>
      <c r="G3099" t="n">
        <v>22</v>
      </c>
      <c r="H3099" t="n">
        <v>2564</v>
      </c>
      <c r="I3099" t="n">
        <v>2687.21</v>
      </c>
      <c r="J3099" t="n">
        <v>2.72</v>
      </c>
      <c r="K3099" t="inlineStr">
        <is>
          <t>¼凯利</t>
        </is>
      </c>
    </row>
    <row r="3100">
      <c r="A3100" t="inlineStr">
        <is>
          <t>2024-06-06</t>
        </is>
      </c>
      <c r="B3100" t="inlineStr">
        <is>
          <t>沪锌</t>
        </is>
      </c>
      <c r="C3100" t="inlineStr">
        <is>
          <t>多</t>
        </is>
      </c>
      <c r="D3100" t="n">
        <v>3</v>
      </c>
      <c r="E3100" t="n">
        <v>6</v>
      </c>
      <c r="F3100" t="inlineStr">
        <is>
          <t>观望</t>
        </is>
      </c>
      <c r="G3100" t="n">
        <v>3</v>
      </c>
      <c r="H3100" t="n">
        <v>24085</v>
      </c>
      <c r="I3100" t="n">
        <v>22426.43</v>
      </c>
      <c r="J3100" t="n">
        <v>2.72</v>
      </c>
      <c r="K3100" t="inlineStr">
        <is>
          <t>逆5日线（收盘在5日线下，不追多）</t>
        </is>
      </c>
    </row>
    <row r="3101">
      <c r="A3101" t="inlineStr">
        <is>
          <t>2024-06-06</t>
        </is>
      </c>
      <c r="B3101" t="inlineStr">
        <is>
          <t>碳酸锂</t>
        </is>
      </c>
      <c r="C3101" t="inlineStr">
        <is>
          <t>空</t>
        </is>
      </c>
      <c r="D3101" t="n">
        <v>2</v>
      </c>
      <c r="E3101" t="n">
        <v>4</v>
      </c>
      <c r="F3101" t="inlineStr">
        <is>
          <t>影子仓</t>
        </is>
      </c>
      <c r="G3101" t="n">
        <v>1</v>
      </c>
      <c r="H3101" t="n">
        <v>101150</v>
      </c>
      <c r="I3101" t="n">
        <v>109453.57</v>
      </c>
      <c r="J3101" t="n">
        <v>1</v>
      </c>
      <c r="K3101" t="inlineStr">
        <is>
          <t>凯利≤0，开1%影子仓（只统计，不计入组合）</t>
        </is>
      </c>
    </row>
    <row r="3102">
      <c r="A3102" t="inlineStr">
        <is>
          <t>2024-06-06</t>
        </is>
      </c>
      <c r="B3102" t="inlineStr">
        <is>
          <t>棉花</t>
        </is>
      </c>
      <c r="C3102" t="inlineStr">
        <is>
          <t>空</t>
        </is>
      </c>
      <c r="D3102" t="n">
        <v>2</v>
      </c>
      <c r="E3102" t="n">
        <v>4</v>
      </c>
      <c r="F3102" t="inlineStr">
        <is>
          <t>观望</t>
        </is>
      </c>
      <c r="G3102" t="n">
        <v>3</v>
      </c>
      <c r="H3102" t="n">
        <v>15145</v>
      </c>
      <c r="I3102" t="n">
        <v>15663.57</v>
      </c>
      <c r="J3102" t="n">
        <v>1</v>
      </c>
      <c r="K3102" t="inlineStr">
        <is>
          <t>逆5日线（收盘在5日线上，不追空）</t>
        </is>
      </c>
    </row>
    <row r="3103">
      <c r="A3103" t="inlineStr">
        <is>
          <t>2024-06-06</t>
        </is>
      </c>
      <c r="B3103" t="inlineStr">
        <is>
          <t>玉米</t>
        </is>
      </c>
      <c r="C3103" t="inlineStr">
        <is>
          <t>空</t>
        </is>
      </c>
      <c r="D3103" t="n">
        <v>2</v>
      </c>
      <c r="E3103" t="n">
        <v>4</v>
      </c>
      <c r="F3103" t="inlineStr">
        <is>
          <t>观望</t>
        </is>
      </c>
      <c r="G3103" t="n">
        <v>20</v>
      </c>
      <c r="H3103" t="n">
        <v>2464</v>
      </c>
      <c r="I3103" t="n">
        <v>2513.29</v>
      </c>
      <c r="J3103" t="n">
        <v>1</v>
      </c>
      <c r="K3103" t="inlineStr">
        <is>
          <t>逆5日线（收盘在5日线上，不追空）</t>
        </is>
      </c>
    </row>
    <row r="3104">
      <c r="A3104" t="inlineStr">
        <is>
          <t>2024-06-06</t>
        </is>
      </c>
      <c r="B3104" t="inlineStr">
        <is>
          <t>纯碱</t>
        </is>
      </c>
      <c r="C3104" t="inlineStr">
        <is>
          <t>多</t>
        </is>
      </c>
      <c r="D3104" t="n">
        <v>2</v>
      </c>
      <c r="E3104" t="n">
        <v>4</v>
      </c>
      <c r="F3104" t="inlineStr">
        <is>
          <t>观望</t>
        </is>
      </c>
      <c r="G3104" t="n">
        <v>1</v>
      </c>
      <c r="H3104" t="n">
        <v>2232</v>
      </c>
      <c r="I3104" t="n">
        <v>1978.71</v>
      </c>
      <c r="J3104" t="n">
        <v>1</v>
      </c>
      <c r="K3104" t="inlineStr">
        <is>
          <t>逆5日线（收盘在5日线下，不追多）</t>
        </is>
      </c>
    </row>
    <row r="3105">
      <c r="A3105" t="inlineStr">
        <is>
          <t>2024-06-07</t>
        </is>
      </c>
      <c r="B3105" t="inlineStr">
        <is>
          <t>菜粕</t>
        </is>
      </c>
      <c r="C3105" t="inlineStr">
        <is>
          <t>空</t>
        </is>
      </c>
      <c r="D3105" t="n">
        <v>3</v>
      </c>
      <c r="E3105" t="n">
        <v>6</v>
      </c>
      <c r="F3105" t="inlineStr">
        <is>
          <t>开仓</t>
        </is>
      </c>
      <c r="G3105" t="n">
        <v>15</v>
      </c>
      <c r="H3105" t="n">
        <v>2756</v>
      </c>
      <c r="I3105" t="n">
        <v>2934.29</v>
      </c>
      <c r="J3105" t="n">
        <v>2.72</v>
      </c>
      <c r="K3105" t="inlineStr">
        <is>
          <t>¼凯利</t>
        </is>
      </c>
    </row>
    <row r="3106">
      <c r="A3106" t="inlineStr">
        <is>
          <t>2024-06-07</t>
        </is>
      </c>
      <c r="B3106" t="inlineStr">
        <is>
          <t>沪锌</t>
        </is>
      </c>
      <c r="C3106" t="inlineStr">
        <is>
          <t>多</t>
        </is>
      </c>
      <c r="D3106" t="n">
        <v>3</v>
      </c>
      <c r="E3106" t="n">
        <v>6</v>
      </c>
      <c r="F3106" t="inlineStr">
        <is>
          <t>观望</t>
        </is>
      </c>
      <c r="G3106" t="n">
        <v>3</v>
      </c>
      <c r="H3106" t="n">
        <v>24165</v>
      </c>
      <c r="I3106" t="n">
        <v>22593.21</v>
      </c>
      <c r="J3106" t="n">
        <v>2.72</v>
      </c>
      <c r="K3106" t="inlineStr">
        <is>
          <t>逆5日线（收盘在5日线下，不追多）</t>
        </is>
      </c>
    </row>
    <row r="3107">
      <c r="A3107" t="inlineStr">
        <is>
          <t>2024-06-07</t>
        </is>
      </c>
      <c r="B3107" t="inlineStr">
        <is>
          <t>沪银</t>
        </is>
      </c>
      <c r="C3107" t="inlineStr">
        <is>
          <t>多</t>
        </is>
      </c>
      <c r="D3107" t="n">
        <v>3</v>
      </c>
      <c r="E3107" t="n">
        <v>6</v>
      </c>
      <c r="F3107" t="inlineStr">
        <is>
          <t>开仓</t>
        </is>
      </c>
      <c r="G3107" t="n">
        <v>1</v>
      </c>
      <c r="H3107" t="n">
        <v>8221</v>
      </c>
      <c r="I3107" t="n">
        <v>7169.29</v>
      </c>
      <c r="J3107" t="n">
        <v>2.72</v>
      </c>
      <c r="K3107" t="inlineStr">
        <is>
          <t>¼凯利</t>
        </is>
      </c>
    </row>
    <row r="3108">
      <c r="A3108" t="inlineStr">
        <is>
          <t>2024-06-07</t>
        </is>
      </c>
      <c r="B3108" t="inlineStr">
        <is>
          <t>热卷</t>
        </is>
      </c>
      <c r="C3108" t="inlineStr">
        <is>
          <t>空</t>
        </is>
      </c>
      <c r="D3108" t="n">
        <v>3</v>
      </c>
      <c r="E3108" t="n">
        <v>6</v>
      </c>
      <c r="F3108" t="inlineStr">
        <is>
          <t>观望</t>
        </is>
      </c>
      <c r="G3108" t="n">
        <v>14</v>
      </c>
      <c r="H3108" t="n">
        <v>3813</v>
      </c>
      <c r="I3108" t="n">
        <v>3942</v>
      </c>
      <c r="J3108" t="n">
        <v>1.84</v>
      </c>
      <c r="K3108" t="inlineStr">
        <is>
          <t>逆5日线（收盘在5日线上，不追空）</t>
        </is>
      </c>
    </row>
    <row r="3109">
      <c r="A3109" t="inlineStr">
        <is>
          <t>2024-06-07</t>
        </is>
      </c>
      <c r="B3109" t="inlineStr">
        <is>
          <t>甲醇</t>
        </is>
      </c>
      <c r="C3109" t="inlineStr">
        <is>
          <t>空</t>
        </is>
      </c>
      <c r="D3109" t="n">
        <v>3</v>
      </c>
      <c r="E3109" t="n">
        <v>6</v>
      </c>
      <c r="F3109" t="inlineStr">
        <is>
          <t>续持</t>
        </is>
      </c>
      <c r="G3109" t="n">
        <v>22</v>
      </c>
      <c r="H3109" t="n">
        <v>2554</v>
      </c>
      <c r="I3109" t="n">
        <v>2669</v>
      </c>
      <c r="J3109" t="n">
        <v>2.72</v>
      </c>
      <c r="K3109" t="inlineStr">
        <is>
          <t>续持原仓（2024-06-06开）</t>
        </is>
      </c>
    </row>
    <row r="3110">
      <c r="A3110" t="inlineStr">
        <is>
          <t>2024-06-07</t>
        </is>
      </c>
      <c r="B3110" t="inlineStr">
        <is>
          <t>棉花</t>
        </is>
      </c>
      <c r="C3110" t="inlineStr">
        <is>
          <t>空</t>
        </is>
      </c>
      <c r="D3110" t="n">
        <v>2</v>
      </c>
      <c r="E3110" t="n">
        <v>4</v>
      </c>
      <c r="F3110" t="inlineStr">
        <is>
          <t>观望</t>
        </is>
      </c>
      <c r="G3110" t="n">
        <v>3</v>
      </c>
      <c r="H3110" t="n">
        <v>15135</v>
      </c>
      <c r="I3110" t="n">
        <v>15651.43</v>
      </c>
      <c r="J3110" t="n">
        <v>1</v>
      </c>
      <c r="K3110" t="inlineStr">
        <is>
          <t>逆5日线（收盘在5日线上，不追空）</t>
        </is>
      </c>
    </row>
    <row r="3111">
      <c r="A3111" t="inlineStr">
        <is>
          <t>2024-06-11</t>
        </is>
      </c>
      <c r="B3111" t="inlineStr">
        <is>
          <t>铁矿石</t>
        </is>
      </c>
      <c r="C3111" t="inlineStr">
        <is>
          <t>空</t>
        </is>
      </c>
      <c r="D3111" t="n">
        <v>3</v>
      </c>
      <c r="E3111" t="n">
        <v>6</v>
      </c>
      <c r="F3111" t="inlineStr">
        <is>
          <t>开仓</t>
        </is>
      </c>
      <c r="G3111" t="n">
        <v>4</v>
      </c>
      <c r="H3111" t="n">
        <v>806</v>
      </c>
      <c r="I3111" t="n">
        <v>871.79</v>
      </c>
      <c r="J3111" t="n">
        <v>2.71</v>
      </c>
      <c r="K3111" t="inlineStr">
        <is>
          <t>¼凯利</t>
        </is>
      </c>
    </row>
    <row r="3112">
      <c r="A3112" t="inlineStr">
        <is>
          <t>2024-06-11</t>
        </is>
      </c>
      <c r="B3112" t="inlineStr">
        <is>
          <t>菜粕</t>
        </is>
      </c>
      <c r="C3112" t="inlineStr">
        <is>
          <t>空</t>
        </is>
      </c>
      <c r="D3112" t="n">
        <v>2</v>
      </c>
      <c r="E3112" t="n">
        <v>5</v>
      </c>
      <c r="F3112" t="inlineStr">
        <is>
          <t>续持</t>
        </is>
      </c>
      <c r="G3112" t="n">
        <v>15</v>
      </c>
      <c r="H3112" t="n">
        <v>2742</v>
      </c>
      <c r="I3112" t="n">
        <v>2909.07</v>
      </c>
      <c r="J3112" t="n">
        <v>2.72</v>
      </c>
      <c r="K3112" t="inlineStr">
        <is>
          <t>续持原仓（2024-06-07开）</t>
        </is>
      </c>
    </row>
    <row r="3113">
      <c r="A3113" t="inlineStr">
        <is>
          <t>2024-06-11</t>
        </is>
      </c>
      <c r="B3113" t="inlineStr">
        <is>
          <t>棉花</t>
        </is>
      </c>
      <c r="C3113" t="inlineStr">
        <is>
          <t>空</t>
        </is>
      </c>
      <c r="D3113" t="n">
        <v>2</v>
      </c>
      <c r="E3113" t="n">
        <v>5</v>
      </c>
      <c r="F3113" t="inlineStr">
        <is>
          <t>影子仓</t>
        </is>
      </c>
      <c r="G3113" t="n">
        <v>3</v>
      </c>
      <c r="H3113" t="n">
        <v>14995</v>
      </c>
      <c r="I3113" t="n">
        <v>15546.79</v>
      </c>
      <c r="J3113" t="n">
        <v>1</v>
      </c>
      <c r="K3113" t="inlineStr">
        <is>
          <t>凯利≤0，开1%影子仓（只统计，不计入组合）</t>
        </is>
      </c>
    </row>
    <row r="3114">
      <c r="A3114" t="inlineStr">
        <is>
          <t>2024-06-11</t>
        </is>
      </c>
      <c r="B3114" t="inlineStr">
        <is>
          <t>纯碱</t>
        </is>
      </c>
      <c r="C3114" t="inlineStr">
        <is>
          <t>空</t>
        </is>
      </c>
      <c r="D3114" t="n">
        <v>2</v>
      </c>
      <c r="E3114" t="n">
        <v>5</v>
      </c>
      <c r="F3114" t="inlineStr">
        <is>
          <t>影子仓</t>
        </is>
      </c>
      <c r="G3114" t="n">
        <v>1</v>
      </c>
      <c r="H3114" t="n">
        <v>2170</v>
      </c>
      <c r="I3114" t="n">
        <v>2426.93</v>
      </c>
      <c r="J3114" t="n">
        <v>1</v>
      </c>
      <c r="K3114" t="inlineStr">
        <is>
          <t>凯利≤0，开1%影子仓（只统计，不计入组合）</t>
        </is>
      </c>
    </row>
    <row r="3115">
      <c r="A3115" t="inlineStr">
        <is>
          <t>2024-06-11</t>
        </is>
      </c>
      <c r="B3115" t="inlineStr">
        <is>
          <t>甲醇</t>
        </is>
      </c>
      <c r="C3115" t="inlineStr">
        <is>
          <t>空</t>
        </is>
      </c>
      <c r="D3115" t="n">
        <v>2</v>
      </c>
      <c r="E3115" t="n">
        <v>5</v>
      </c>
      <c r="F3115" t="inlineStr">
        <is>
          <t>续持</t>
        </is>
      </c>
      <c r="G3115" t="n">
        <v>22</v>
      </c>
      <c r="H3115" t="n">
        <v>2550</v>
      </c>
      <c r="I3115" t="n">
        <v>2657.36</v>
      </c>
      <c r="J3115" t="n">
        <v>2.72</v>
      </c>
      <c r="K3115" t="inlineStr">
        <is>
          <t>续持原仓（2024-06-06开）</t>
        </is>
      </c>
    </row>
    <row r="3116">
      <c r="A3116" t="inlineStr">
        <is>
          <t>2024-06-11</t>
        </is>
      </c>
      <c r="B3116" t="inlineStr">
        <is>
          <t>沪铝</t>
        </is>
      </c>
      <c r="C3116" t="inlineStr">
        <is>
          <t>多</t>
        </is>
      </c>
      <c r="D3116" t="n">
        <v>2</v>
      </c>
      <c r="E3116" t="n">
        <v>4</v>
      </c>
      <c r="F3116" t="inlineStr">
        <is>
          <t>观望</t>
        </is>
      </c>
      <c r="G3116" t="n">
        <v>1</v>
      </c>
      <c r="H3116" t="n">
        <v>20965</v>
      </c>
      <c r="I3116" t="n">
        <v>19772.5</v>
      </c>
      <c r="J3116" t="n">
        <v>1</v>
      </c>
      <c r="K3116" t="inlineStr">
        <is>
          <t>逆5日线（收盘在5日线下，不追多）</t>
        </is>
      </c>
    </row>
    <row r="3117">
      <c r="A3117" t="inlineStr">
        <is>
          <t>2024-06-12</t>
        </is>
      </c>
      <c r="B3117" t="inlineStr">
        <is>
          <t>棉花</t>
        </is>
      </c>
      <c r="C3117" t="inlineStr">
        <is>
          <t>空</t>
        </is>
      </c>
      <c r="D3117" t="n">
        <v>2</v>
      </c>
      <c r="E3117" t="n">
        <v>5</v>
      </c>
      <c r="F3117" t="inlineStr">
        <is>
          <t>续持</t>
        </is>
      </c>
      <c r="G3117" t="n">
        <v>3</v>
      </c>
      <c r="H3117" t="n">
        <v>14995</v>
      </c>
      <c r="I3117" t="n">
        <v>15530.71</v>
      </c>
      <c r="J3117" t="n">
        <v>1</v>
      </c>
      <c r="K3117" t="inlineStr">
        <is>
          <t>续持原仓（2024-06-11开）</t>
        </is>
      </c>
    </row>
    <row r="3118">
      <c r="A3118" t="inlineStr">
        <is>
          <t>2024-06-12</t>
        </is>
      </c>
      <c r="B3118" t="inlineStr">
        <is>
          <t>热卷</t>
        </is>
      </c>
      <c r="C3118" t="inlineStr">
        <is>
          <t>空</t>
        </is>
      </c>
      <c r="D3118" t="n">
        <v>2</v>
      </c>
      <c r="E3118" t="n">
        <v>5</v>
      </c>
      <c r="F3118" t="inlineStr">
        <is>
          <t>影子仓</t>
        </is>
      </c>
      <c r="G3118" t="n">
        <v>7</v>
      </c>
      <c r="H3118" t="n">
        <v>3774</v>
      </c>
      <c r="I3118" t="n">
        <v>3901.29</v>
      </c>
      <c r="J3118" t="n">
        <v>1</v>
      </c>
      <c r="K3118" t="inlineStr">
        <is>
          <t>凯利≤0，开1%影子仓（只统计，不计入组合）</t>
        </is>
      </c>
    </row>
    <row r="3119">
      <c r="A3119" t="inlineStr">
        <is>
          <t>2024-06-12</t>
        </is>
      </c>
      <c r="B3119" t="inlineStr">
        <is>
          <t>铁矿石</t>
        </is>
      </c>
      <c r="C3119" t="inlineStr">
        <is>
          <t>空</t>
        </is>
      </c>
      <c r="D3119" t="n">
        <v>2</v>
      </c>
      <c r="E3119" t="n">
        <v>5</v>
      </c>
      <c r="F3119" t="inlineStr">
        <is>
          <t>续持</t>
        </is>
      </c>
      <c r="G3119" t="n">
        <v>4</v>
      </c>
      <c r="H3119" t="n">
        <v>810.5</v>
      </c>
      <c r="I3119" t="n">
        <v>868.11</v>
      </c>
      <c r="J3119" t="n">
        <v>2.71</v>
      </c>
      <c r="K3119" t="inlineStr">
        <is>
          <t>续持原仓（2024-06-11开）</t>
        </is>
      </c>
    </row>
    <row r="3120">
      <c r="A3120" t="inlineStr">
        <is>
          <t>2024-06-13</t>
        </is>
      </c>
      <c r="B3120" t="inlineStr">
        <is>
          <t>甲醇</t>
        </is>
      </c>
      <c r="C3120" t="inlineStr">
        <is>
          <t>空</t>
        </is>
      </c>
      <c r="D3120" t="n">
        <v>3</v>
      </c>
      <c r="E3120" t="n">
        <v>6</v>
      </c>
      <c r="F3120" t="inlineStr">
        <is>
          <t>开仓</t>
        </is>
      </c>
      <c r="G3120" t="n">
        <v>23</v>
      </c>
      <c r="H3120" t="n">
        <v>2532</v>
      </c>
      <c r="I3120" t="n">
        <v>2646.21</v>
      </c>
      <c r="J3120" t="n">
        <v>2.71</v>
      </c>
      <c r="K3120" t="inlineStr">
        <is>
          <t>¼凯利</t>
        </is>
      </c>
    </row>
    <row r="3121">
      <c r="A3121" t="inlineStr">
        <is>
          <t>2024-06-13</t>
        </is>
      </c>
      <c r="B3121" t="inlineStr">
        <is>
          <t>玻璃</t>
        </is>
      </c>
      <c r="C3121" t="inlineStr">
        <is>
          <t>空</t>
        </is>
      </c>
      <c r="D3121" t="n">
        <v>2</v>
      </c>
      <c r="E3121" t="n">
        <v>5</v>
      </c>
      <c r="F3121" t="inlineStr">
        <is>
          <t>影子仓</t>
        </is>
      </c>
      <c r="G3121" t="n">
        <v>3</v>
      </c>
      <c r="H3121" t="n">
        <v>1641</v>
      </c>
      <c r="I3121" t="n">
        <v>1800.86</v>
      </c>
      <c r="J3121" t="n">
        <v>1</v>
      </c>
      <c r="K3121" t="inlineStr">
        <is>
          <t>凯利≤0，开1%影子仓（只统计，不计入组合）</t>
        </is>
      </c>
    </row>
    <row r="3122">
      <c r="A3122" t="inlineStr">
        <is>
          <t>2024-06-13</t>
        </is>
      </c>
      <c r="B3122" t="inlineStr">
        <is>
          <t>沪镍</t>
        </is>
      </c>
      <c r="C3122" t="inlineStr">
        <is>
          <t>空</t>
        </is>
      </c>
      <c r="D3122" t="n">
        <v>2</v>
      </c>
      <c r="E3122" t="n">
        <v>5</v>
      </c>
      <c r="F3122" t="inlineStr">
        <is>
          <t>不做</t>
        </is>
      </c>
      <c r="H3122" t="n">
        <v>138520</v>
      </c>
      <c r="J3122" t="n">
        <v>1</v>
      </c>
      <c r="K3122" t="inlineStr">
        <is>
          <t>1手风险11447元超过预算10000元</t>
        </is>
      </c>
    </row>
    <row r="3123">
      <c r="A3123" t="inlineStr">
        <is>
          <t>2024-06-14</t>
        </is>
      </c>
      <c r="B3123" t="inlineStr">
        <is>
          <t>碳酸锂</t>
        </is>
      </c>
      <c r="C3123" t="inlineStr">
        <is>
          <t>空</t>
        </is>
      </c>
      <c r="D3123" t="n">
        <v>3</v>
      </c>
      <c r="E3123" t="n">
        <v>7</v>
      </c>
      <c r="F3123" t="inlineStr">
        <is>
          <t>开仓</t>
        </is>
      </c>
      <c r="G3123" t="n">
        <v>3</v>
      </c>
      <c r="H3123" t="n">
        <v>96900</v>
      </c>
      <c r="I3123" t="n">
        <v>105375</v>
      </c>
      <c r="J3123" t="n">
        <v>2.72</v>
      </c>
      <c r="K3123" t="inlineStr">
        <is>
          <t>¼凯利</t>
        </is>
      </c>
    </row>
    <row r="3124">
      <c r="A3124" t="inlineStr">
        <is>
          <t>2024-06-14</t>
        </is>
      </c>
      <c r="B3124" t="inlineStr">
        <is>
          <t>沪镍</t>
        </is>
      </c>
      <c r="C3124" t="inlineStr">
        <is>
          <t>空</t>
        </is>
      </c>
      <c r="D3124" t="n">
        <v>3</v>
      </c>
      <c r="E3124" t="n">
        <v>6</v>
      </c>
      <c r="F3124" t="inlineStr">
        <is>
          <t>开仓</t>
        </is>
      </c>
      <c r="G3124" t="n">
        <v>2</v>
      </c>
      <c r="H3124" t="n">
        <v>137010</v>
      </c>
      <c r="I3124" t="n">
        <v>148268.57</v>
      </c>
      <c r="J3124" t="n">
        <v>2.72</v>
      </c>
      <c r="K3124" t="inlineStr">
        <is>
          <t>¼凯利</t>
        </is>
      </c>
    </row>
    <row r="3125">
      <c r="A3125" t="inlineStr">
        <is>
          <t>2024-06-14</t>
        </is>
      </c>
      <c r="B3125" t="inlineStr">
        <is>
          <t>棉花</t>
        </is>
      </c>
      <c r="C3125" t="inlineStr">
        <is>
          <t>空</t>
        </is>
      </c>
      <c r="D3125" t="n">
        <v>3</v>
      </c>
      <c r="E3125" t="n">
        <v>6</v>
      </c>
      <c r="F3125" t="inlineStr">
        <is>
          <t>开仓</t>
        </is>
      </c>
      <c r="G3125" t="n">
        <v>6</v>
      </c>
      <c r="H3125" t="n">
        <v>14795</v>
      </c>
      <c r="I3125" t="n">
        <v>15363.93</v>
      </c>
      <c r="J3125" t="n">
        <v>1.85</v>
      </c>
      <c r="K3125" t="inlineStr">
        <is>
          <t>组合风险已近10%，预算缩小</t>
        </is>
      </c>
    </row>
    <row r="3126">
      <c r="A3126" t="inlineStr">
        <is>
          <t>2024-06-14</t>
        </is>
      </c>
      <c r="B3126" t="inlineStr">
        <is>
          <t>玻璃</t>
        </is>
      </c>
      <c r="C3126" t="inlineStr">
        <is>
          <t>空</t>
        </is>
      </c>
      <c r="D3126" t="n">
        <v>2</v>
      </c>
      <c r="E3126" t="n">
        <v>4</v>
      </c>
      <c r="F3126" t="inlineStr">
        <is>
          <t>续持</t>
        </is>
      </c>
      <c r="G3126" t="n">
        <v>3</v>
      </c>
      <c r="H3126" t="n">
        <v>1641</v>
      </c>
      <c r="I3126" t="n">
        <v>1779.43</v>
      </c>
      <c r="J3126" t="n">
        <v>1</v>
      </c>
      <c r="K3126" t="inlineStr">
        <is>
          <t>续持原仓（2024-06-13开）</t>
        </is>
      </c>
    </row>
    <row r="3127">
      <c r="A3127" t="inlineStr">
        <is>
          <t>2024-06-17</t>
        </is>
      </c>
      <c r="B3127" t="inlineStr">
        <is>
          <t>沪镍</t>
        </is>
      </c>
      <c r="C3127" t="inlineStr">
        <is>
          <t>空</t>
        </is>
      </c>
      <c r="D3127" t="n">
        <v>3</v>
      </c>
      <c r="E3127" t="n">
        <v>6</v>
      </c>
      <c r="F3127" t="inlineStr">
        <is>
          <t>续持</t>
        </is>
      </c>
      <c r="G3127" t="n">
        <v>2</v>
      </c>
      <c r="H3127" t="n">
        <v>135170</v>
      </c>
      <c r="I3127" t="n">
        <v>146354.29</v>
      </c>
      <c r="J3127" t="n">
        <v>2.72</v>
      </c>
      <c r="K3127" t="inlineStr">
        <is>
          <t>续持原仓（2024-06-14开）</t>
        </is>
      </c>
    </row>
    <row r="3128">
      <c r="A3128" t="inlineStr">
        <is>
          <t>2024-06-17</t>
        </is>
      </c>
      <c r="B3128" t="inlineStr">
        <is>
          <t>热卷</t>
        </is>
      </c>
      <c r="C3128" t="inlineStr">
        <is>
          <t>空</t>
        </is>
      </c>
      <c r="D3128" t="n">
        <v>2</v>
      </c>
      <c r="E3128" t="n">
        <v>5</v>
      </c>
      <c r="F3128" t="inlineStr">
        <is>
          <t>影子仓</t>
        </is>
      </c>
      <c r="G3128" t="n">
        <v>7</v>
      </c>
      <c r="H3128" t="n">
        <v>3780</v>
      </c>
      <c r="I3128" t="n">
        <v>3912</v>
      </c>
      <c r="J3128" t="n">
        <v>1</v>
      </c>
      <c r="K3128" t="inlineStr">
        <is>
          <t>凯利≤0，开1%影子仓（只统计，不计入组合）</t>
        </is>
      </c>
    </row>
    <row r="3129">
      <c r="A3129" t="inlineStr">
        <is>
          <t>2024-06-18</t>
        </is>
      </c>
      <c r="B3129" t="inlineStr">
        <is>
          <t>沪镍</t>
        </is>
      </c>
      <c r="C3129" t="inlineStr">
        <is>
          <t>空</t>
        </is>
      </c>
      <c r="D3129" t="n">
        <v>3</v>
      </c>
      <c r="E3129" t="n">
        <v>7</v>
      </c>
      <c r="F3129" t="inlineStr">
        <is>
          <t>续持</t>
        </is>
      </c>
      <c r="G3129" t="n">
        <v>2</v>
      </c>
      <c r="H3129" t="n">
        <v>133810</v>
      </c>
      <c r="I3129" t="n">
        <v>144880</v>
      </c>
      <c r="J3129" t="n">
        <v>2.72</v>
      </c>
      <c r="K3129" t="inlineStr">
        <is>
          <t>续持原仓（2024-06-14开）</t>
        </is>
      </c>
    </row>
    <row r="3130">
      <c r="A3130" t="inlineStr">
        <is>
          <t>2024-06-18</t>
        </is>
      </c>
      <c r="B3130" t="inlineStr">
        <is>
          <t>纯碱</t>
        </is>
      </c>
      <c r="C3130" t="inlineStr">
        <is>
          <t>空</t>
        </is>
      </c>
      <c r="D3130" t="n">
        <v>3</v>
      </c>
      <c r="E3130" t="n">
        <v>7</v>
      </c>
      <c r="F3130" t="inlineStr">
        <is>
          <t>开仓</t>
        </is>
      </c>
      <c r="G3130" t="n">
        <v>5</v>
      </c>
      <c r="H3130" t="n">
        <v>2076</v>
      </c>
      <c r="I3130" t="n">
        <v>2319.43</v>
      </c>
      <c r="J3130" t="n">
        <v>2.8</v>
      </c>
      <c r="K3130" t="inlineStr">
        <is>
          <t>¼凯利</t>
        </is>
      </c>
    </row>
    <row r="3131">
      <c r="A3131" t="inlineStr">
        <is>
          <t>2024-06-18</t>
        </is>
      </c>
      <c r="B3131" t="inlineStr">
        <is>
          <t>碳酸锂</t>
        </is>
      </c>
      <c r="C3131" t="inlineStr">
        <is>
          <t>空</t>
        </is>
      </c>
      <c r="D3131" t="n">
        <v>3</v>
      </c>
      <c r="E3131" t="n">
        <v>6</v>
      </c>
      <c r="F3131" t="inlineStr">
        <is>
          <t>开仓</t>
        </is>
      </c>
      <c r="G3131" t="n">
        <v>2</v>
      </c>
      <c r="H3131" t="n">
        <v>92800</v>
      </c>
      <c r="I3131" t="n">
        <v>101264.29</v>
      </c>
      <c r="J3131" t="n">
        <v>1.77</v>
      </c>
      <c r="K3131" t="inlineStr">
        <is>
          <t>组合风险已近10%，预算缩小</t>
        </is>
      </c>
    </row>
    <row r="3132">
      <c r="A3132" t="inlineStr">
        <is>
          <t>2024-06-18</t>
        </is>
      </c>
      <c r="B3132" t="inlineStr">
        <is>
          <t>玉米</t>
        </is>
      </c>
      <c r="C3132" t="inlineStr">
        <is>
          <t>空</t>
        </is>
      </c>
      <c r="D3132" t="n">
        <v>3</v>
      </c>
      <c r="E3132" t="n">
        <v>6</v>
      </c>
      <c r="F3132" t="inlineStr">
        <is>
          <t>不做</t>
        </is>
      </c>
      <c r="H3132" t="n">
        <v>2457</v>
      </c>
      <c r="J3132" t="n">
        <v>0</v>
      </c>
      <c r="K3132" t="inlineStr">
        <is>
          <t>组合风险已近10%，预算缩小</t>
        </is>
      </c>
    </row>
    <row r="3133">
      <c r="A3133" t="inlineStr">
        <is>
          <t>2024-06-18</t>
        </is>
      </c>
      <c r="B3133" t="inlineStr">
        <is>
          <t>螺纹钢</t>
        </is>
      </c>
      <c r="C3133" t="inlineStr">
        <is>
          <t>空</t>
        </is>
      </c>
      <c r="D3133" t="n">
        <v>2</v>
      </c>
      <c r="E3133" t="n">
        <v>5</v>
      </c>
      <c r="F3133" t="inlineStr">
        <is>
          <t>影子仓</t>
        </is>
      </c>
      <c r="G3133" t="n">
        <v>7</v>
      </c>
      <c r="H3133" t="n">
        <v>3618</v>
      </c>
      <c r="I3133" t="n">
        <v>3758.36</v>
      </c>
      <c r="J3133" t="n">
        <v>1</v>
      </c>
      <c r="K3133" t="inlineStr">
        <is>
          <t>凯利≤0，开1%影子仓（只统计，不计入组合）</t>
        </is>
      </c>
    </row>
    <row r="3134">
      <c r="A3134" t="inlineStr">
        <is>
          <t>2024-06-19</t>
        </is>
      </c>
      <c r="B3134" t="inlineStr">
        <is>
          <t>玻璃</t>
        </is>
      </c>
      <c r="C3134" t="inlineStr">
        <is>
          <t>空</t>
        </is>
      </c>
      <c r="D3134" t="n">
        <v>2</v>
      </c>
      <c r="E3134" t="n">
        <v>5</v>
      </c>
      <c r="F3134" t="inlineStr">
        <is>
          <t>影子仓</t>
        </is>
      </c>
      <c r="G3134" t="n">
        <v>3</v>
      </c>
      <c r="H3134" t="n">
        <v>1587</v>
      </c>
      <c r="I3134" t="n">
        <v>1730.57</v>
      </c>
      <c r="J3134" t="n">
        <v>1</v>
      </c>
      <c r="K3134" t="inlineStr">
        <is>
          <t>凯利≤0，开1%影子仓（只统计，不计入组合）</t>
        </is>
      </c>
    </row>
    <row r="3135">
      <c r="A3135" t="inlineStr">
        <is>
          <t>2024-06-19</t>
        </is>
      </c>
      <c r="B3135" t="inlineStr">
        <is>
          <t>螺纹钢</t>
        </is>
      </c>
      <c r="C3135" t="inlineStr">
        <is>
          <t>空</t>
        </is>
      </c>
      <c r="D3135" t="n">
        <v>2</v>
      </c>
      <c r="E3135" t="n">
        <v>5</v>
      </c>
      <c r="F3135" t="inlineStr">
        <is>
          <t>续持</t>
        </is>
      </c>
      <c r="G3135" t="n">
        <v>7</v>
      </c>
      <c r="H3135" t="n">
        <v>3614</v>
      </c>
      <c r="I3135" t="n">
        <v>3748.29</v>
      </c>
      <c r="J3135" t="n">
        <v>1</v>
      </c>
      <c r="K3135" t="inlineStr">
        <is>
          <t>续持原仓（2024-06-18开）</t>
        </is>
      </c>
    </row>
    <row r="3136">
      <c r="A3136" t="inlineStr">
        <is>
          <t>2024-06-19</t>
        </is>
      </c>
      <c r="B3136" t="inlineStr">
        <is>
          <t>热卷</t>
        </is>
      </c>
      <c r="C3136" t="inlineStr">
        <is>
          <t>空</t>
        </is>
      </c>
      <c r="D3136" t="n">
        <v>2</v>
      </c>
      <c r="E3136" t="n">
        <v>4</v>
      </c>
      <c r="F3136" t="inlineStr">
        <is>
          <t>续持</t>
        </is>
      </c>
      <c r="G3136" t="n">
        <v>7</v>
      </c>
      <c r="H3136" t="n">
        <v>3786</v>
      </c>
      <c r="I3136" t="n">
        <v>3906.93</v>
      </c>
      <c r="J3136" t="n">
        <v>1</v>
      </c>
      <c r="K3136" t="inlineStr">
        <is>
          <t>续持原仓（2024-06-17开）</t>
        </is>
      </c>
    </row>
    <row r="3137">
      <c r="A3137" t="inlineStr">
        <is>
          <t>2024-06-20</t>
        </is>
      </c>
      <c r="B3137" t="inlineStr">
        <is>
          <t>螺纹钢</t>
        </is>
      </c>
      <c r="C3137" t="inlineStr">
        <is>
          <t>空</t>
        </is>
      </c>
      <c r="D3137" t="n">
        <v>3</v>
      </c>
      <c r="E3137" t="n">
        <v>7</v>
      </c>
      <c r="F3137" t="inlineStr">
        <is>
          <t>续持</t>
        </is>
      </c>
      <c r="G3137" t="n">
        <v>7</v>
      </c>
      <c r="H3137" t="n">
        <v>3597</v>
      </c>
      <c r="I3137" t="n">
        <v>3715.93</v>
      </c>
      <c r="J3137" t="n">
        <v>1</v>
      </c>
      <c r="K3137" t="inlineStr">
        <is>
          <t>续持原仓（2024-06-18开）</t>
        </is>
      </c>
    </row>
    <row r="3138">
      <c r="A3138" t="inlineStr">
        <is>
          <t>2024-06-20</t>
        </is>
      </c>
      <c r="B3138" t="inlineStr">
        <is>
          <t>甲醇</t>
        </is>
      </c>
      <c r="C3138" t="inlineStr">
        <is>
          <t>空</t>
        </is>
      </c>
      <c r="D3138" t="n">
        <v>3</v>
      </c>
      <c r="E3138" t="n">
        <v>6</v>
      </c>
      <c r="F3138" t="inlineStr">
        <is>
          <t>观望</t>
        </is>
      </c>
      <c r="G3138" t="n">
        <v>28</v>
      </c>
      <c r="H3138" t="n">
        <v>2529</v>
      </c>
      <c r="I3138" t="n">
        <v>2627.36</v>
      </c>
      <c r="J3138" t="n">
        <v>2.79</v>
      </c>
      <c r="K3138" t="inlineStr">
        <is>
          <t>逆5日线（收盘在5日线上，不追空）</t>
        </is>
      </c>
    </row>
    <row r="3139">
      <c r="A3139" t="inlineStr">
        <is>
          <t>2024-06-20</t>
        </is>
      </c>
      <c r="B3139" t="inlineStr">
        <is>
          <t>菜粕</t>
        </is>
      </c>
      <c r="C3139" t="inlineStr">
        <is>
          <t>空</t>
        </is>
      </c>
      <c r="D3139" t="n">
        <v>2</v>
      </c>
      <c r="E3139" t="n">
        <v>5</v>
      </c>
      <c r="F3139" t="inlineStr">
        <is>
          <t>影子仓</t>
        </is>
      </c>
      <c r="G3139" t="n">
        <v>6</v>
      </c>
      <c r="H3139" t="n">
        <v>2583</v>
      </c>
      <c r="I3139" t="n">
        <v>2737.29</v>
      </c>
      <c r="J3139" t="n">
        <v>1</v>
      </c>
      <c r="K3139" t="inlineStr">
        <is>
          <t>凯利≤0，开1%影子仓（只统计，不计入组合）</t>
        </is>
      </c>
    </row>
    <row r="3140">
      <c r="A3140" t="inlineStr">
        <is>
          <t>2024-06-20</t>
        </is>
      </c>
      <c r="B3140" t="inlineStr">
        <is>
          <t>玻璃</t>
        </is>
      </c>
      <c r="C3140" t="inlineStr">
        <is>
          <t>空</t>
        </is>
      </c>
      <c r="D3140" t="n">
        <v>2</v>
      </c>
      <c r="E3140" t="n">
        <v>5</v>
      </c>
      <c r="F3140" t="inlineStr">
        <is>
          <t>续持</t>
        </is>
      </c>
      <c r="G3140" t="n">
        <v>3</v>
      </c>
      <c r="H3140" t="n">
        <v>1587</v>
      </c>
      <c r="I3140" t="n">
        <v>1693.93</v>
      </c>
      <c r="J3140" t="n">
        <v>1</v>
      </c>
      <c r="K3140" t="inlineStr">
        <is>
          <t>续持原仓（2024-06-19开）</t>
        </is>
      </c>
    </row>
    <row r="3141">
      <c r="A3141" t="inlineStr">
        <is>
          <t>2024-06-20</t>
        </is>
      </c>
      <c r="B3141" t="inlineStr">
        <is>
          <t>玉米</t>
        </is>
      </c>
      <c r="C3141" t="inlineStr">
        <is>
          <t>空</t>
        </is>
      </c>
      <c r="D3141" t="n">
        <v>2</v>
      </c>
      <c r="E3141" t="n">
        <v>5</v>
      </c>
      <c r="F3141" t="inlineStr">
        <is>
          <t>影子仓</t>
        </is>
      </c>
      <c r="G3141" t="n">
        <v>20</v>
      </c>
      <c r="H3141" t="n">
        <v>2465</v>
      </c>
      <c r="I3141" t="n">
        <v>2512.79</v>
      </c>
      <c r="J3141" t="n">
        <v>1</v>
      </c>
      <c r="K3141" t="inlineStr">
        <is>
          <t>凯利≤0，开1%影子仓（只统计，不计入组合）</t>
        </is>
      </c>
    </row>
    <row r="3142">
      <c r="A3142" t="inlineStr">
        <is>
          <t>2024-06-21</t>
        </is>
      </c>
      <c r="B3142" t="inlineStr">
        <is>
          <t>玻璃</t>
        </is>
      </c>
      <c r="C3142" t="inlineStr">
        <is>
          <t>空</t>
        </is>
      </c>
      <c r="D3142" t="n">
        <v>3</v>
      </c>
      <c r="E3142" t="n">
        <v>7</v>
      </c>
      <c r="F3142" t="inlineStr">
        <is>
          <t>续持</t>
        </is>
      </c>
      <c r="G3142" t="n">
        <v>3</v>
      </c>
      <c r="H3142" t="n">
        <v>1579</v>
      </c>
      <c r="I3142" t="n">
        <v>1693.93</v>
      </c>
      <c r="J3142" t="n">
        <v>1</v>
      </c>
      <c r="K3142" t="inlineStr">
        <is>
          <t>续持原仓（2024-06-19开）</t>
        </is>
      </c>
    </row>
    <row r="3143">
      <c r="A3143" t="inlineStr">
        <is>
          <t>2024-06-21</t>
        </is>
      </c>
      <c r="B3143" t="inlineStr">
        <is>
          <t>螺纹钢</t>
        </is>
      </c>
      <c r="C3143" t="inlineStr">
        <is>
          <t>空</t>
        </is>
      </c>
      <c r="D3143" t="n">
        <v>3</v>
      </c>
      <c r="E3143" t="n">
        <v>7</v>
      </c>
      <c r="F3143" t="inlineStr">
        <is>
          <t>续持</t>
        </is>
      </c>
      <c r="G3143" t="n">
        <v>7</v>
      </c>
      <c r="H3143" t="n">
        <v>3563</v>
      </c>
      <c r="I3143" t="n">
        <v>3699.71</v>
      </c>
      <c r="J3143" t="n">
        <v>1</v>
      </c>
      <c r="K3143" t="inlineStr">
        <is>
          <t>续持原仓（2024-06-18开）</t>
        </is>
      </c>
    </row>
    <row r="3144">
      <c r="A3144" t="inlineStr">
        <is>
          <t>2024-06-21</t>
        </is>
      </c>
      <c r="B3144" t="inlineStr">
        <is>
          <t>甲醇</t>
        </is>
      </c>
      <c r="C3144" t="inlineStr">
        <is>
          <t>空</t>
        </is>
      </c>
      <c r="D3144" t="n">
        <v>3</v>
      </c>
      <c r="E3144" t="n">
        <v>7</v>
      </c>
      <c r="F3144" t="inlineStr">
        <is>
          <t>开仓</t>
        </is>
      </c>
      <c r="G3144" t="n">
        <v>28</v>
      </c>
      <c r="H3144" t="n">
        <v>2498</v>
      </c>
      <c r="I3144" t="n">
        <v>2595.5</v>
      </c>
      <c r="J3144" t="n">
        <v>2.78</v>
      </c>
      <c r="K3144" t="inlineStr">
        <is>
          <t>¼凯利</t>
        </is>
      </c>
    </row>
    <row r="3145">
      <c r="A3145" t="inlineStr">
        <is>
          <t>2024-06-21</t>
        </is>
      </c>
      <c r="B3145" t="inlineStr">
        <is>
          <t>沪金</t>
        </is>
      </c>
      <c r="C3145" t="inlineStr">
        <is>
          <t>多</t>
        </is>
      </c>
      <c r="D3145" t="n">
        <v>3</v>
      </c>
      <c r="E3145" t="n">
        <v>6</v>
      </c>
      <c r="F3145" t="inlineStr">
        <is>
          <t>开仓</t>
        </is>
      </c>
      <c r="G3145" t="n">
        <v>1</v>
      </c>
      <c r="H3145" t="n">
        <v>559.74</v>
      </c>
      <c r="I3145" t="n">
        <v>537.4400000000001</v>
      </c>
      <c r="J3145" t="n">
        <v>2.78</v>
      </c>
      <c r="K3145" t="inlineStr">
        <is>
          <t>¼凯利</t>
        </is>
      </c>
    </row>
    <row r="3146">
      <c r="A3146" t="inlineStr">
        <is>
          <t>2024-06-21</t>
        </is>
      </c>
      <c r="B3146" t="inlineStr">
        <is>
          <t>纯碱</t>
        </is>
      </c>
      <c r="C3146" t="inlineStr">
        <is>
          <t>空</t>
        </is>
      </c>
      <c r="D3146" t="n">
        <v>3</v>
      </c>
      <c r="E3146" t="n">
        <v>6</v>
      </c>
      <c r="F3146" t="inlineStr">
        <is>
          <t>观望</t>
        </is>
      </c>
      <c r="G3146" t="n">
        <v>6</v>
      </c>
      <c r="H3146" t="n">
        <v>2109</v>
      </c>
      <c r="I3146" t="n">
        <v>2324.36</v>
      </c>
      <c r="J3146" t="n">
        <v>2.78</v>
      </c>
      <c r="K3146" t="inlineStr">
        <is>
          <t>逆5日线（收盘在5日线上，不追空）</t>
        </is>
      </c>
    </row>
    <row r="3147">
      <c r="A3147" t="inlineStr">
        <is>
          <t>2024-06-21</t>
        </is>
      </c>
      <c r="B3147" t="inlineStr">
        <is>
          <t>沪铝</t>
        </is>
      </c>
      <c r="C3147" t="inlineStr">
        <is>
          <t>空</t>
        </is>
      </c>
      <c r="D3147" t="n">
        <v>2</v>
      </c>
      <c r="E3147" t="n">
        <v>5</v>
      </c>
      <c r="F3147" t="inlineStr">
        <is>
          <t>观望</t>
        </is>
      </c>
      <c r="G3147" t="n">
        <v>2</v>
      </c>
      <c r="H3147" t="n">
        <v>20470</v>
      </c>
      <c r="I3147" t="n">
        <v>21340</v>
      </c>
      <c r="J3147" t="n">
        <v>1</v>
      </c>
      <c r="K3147" t="inlineStr">
        <is>
          <t>逆5日线（收盘在5日线上，不追空）</t>
        </is>
      </c>
    </row>
    <row r="3148">
      <c r="A3148" t="inlineStr">
        <is>
          <t>2024-06-24</t>
        </is>
      </c>
      <c r="B3148" t="inlineStr">
        <is>
          <t>纯碱</t>
        </is>
      </c>
      <c r="C3148" t="inlineStr">
        <is>
          <t>空</t>
        </is>
      </c>
      <c r="D3148" t="n">
        <v>3</v>
      </c>
      <c r="E3148" t="n">
        <v>6</v>
      </c>
      <c r="F3148" t="inlineStr">
        <is>
          <t>开仓</t>
        </is>
      </c>
      <c r="G3148" t="n">
        <v>6</v>
      </c>
      <c r="H3148" t="n">
        <v>2023</v>
      </c>
      <c r="I3148" t="n">
        <v>2230.86</v>
      </c>
      <c r="J3148" t="n">
        <v>2.81</v>
      </c>
      <c r="K3148" t="inlineStr">
        <is>
          <t>¼凯利</t>
        </is>
      </c>
    </row>
    <row r="3149">
      <c r="A3149" t="inlineStr">
        <is>
          <t>2024-06-24</t>
        </is>
      </c>
      <c r="B3149" t="inlineStr">
        <is>
          <t>螺纹钢</t>
        </is>
      </c>
      <c r="C3149" t="inlineStr">
        <is>
          <t>空</t>
        </is>
      </c>
      <c r="D3149" t="n">
        <v>3</v>
      </c>
      <c r="E3149" t="n">
        <v>6</v>
      </c>
      <c r="F3149" t="inlineStr">
        <is>
          <t>续持</t>
        </is>
      </c>
      <c r="G3149" t="n">
        <v>7</v>
      </c>
      <c r="H3149" t="n">
        <v>3532</v>
      </c>
      <c r="I3149" t="n">
        <v>3658.07</v>
      </c>
      <c r="J3149" t="n">
        <v>1</v>
      </c>
      <c r="K3149" t="inlineStr">
        <is>
          <t>续持原仓（2024-06-18开）</t>
        </is>
      </c>
    </row>
    <row r="3150">
      <c r="A3150" t="inlineStr">
        <is>
          <t>2024-06-24</t>
        </is>
      </c>
      <c r="B3150" t="inlineStr">
        <is>
          <t>甲醇</t>
        </is>
      </c>
      <c r="C3150" t="inlineStr">
        <is>
          <t>空</t>
        </is>
      </c>
      <c r="D3150" t="n">
        <v>3</v>
      </c>
      <c r="E3150" t="n">
        <v>6</v>
      </c>
      <c r="F3150" t="inlineStr">
        <is>
          <t>续持</t>
        </is>
      </c>
      <c r="G3150" t="n">
        <v>28</v>
      </c>
      <c r="H3150" t="n">
        <v>2478</v>
      </c>
      <c r="I3150" t="n">
        <v>2562.43</v>
      </c>
      <c r="J3150" t="n">
        <v>2.78</v>
      </c>
      <c r="K3150" t="inlineStr">
        <is>
          <t>续持原仓（2024-06-21开）</t>
        </is>
      </c>
    </row>
    <row r="3151">
      <c r="A3151" t="inlineStr">
        <is>
          <t>2024-06-25</t>
        </is>
      </c>
      <c r="B3151" t="inlineStr">
        <is>
          <t>沪镍</t>
        </is>
      </c>
      <c r="C3151" t="inlineStr">
        <is>
          <t>空</t>
        </is>
      </c>
      <c r="D3151" t="n">
        <v>2</v>
      </c>
      <c r="E3151" t="n">
        <v>5</v>
      </c>
      <c r="F3151" t="inlineStr">
        <is>
          <t>观望</t>
        </is>
      </c>
      <c r="G3151" t="n">
        <v>1</v>
      </c>
      <c r="H3151" t="n">
        <v>135950</v>
      </c>
      <c r="I3151" t="n">
        <v>144630.71</v>
      </c>
      <c r="J3151" t="n">
        <v>1</v>
      </c>
      <c r="K3151" t="inlineStr">
        <is>
          <t>逆5日线（收盘在5日线上，不追空）</t>
        </is>
      </c>
    </row>
    <row r="3152">
      <c r="A3152" t="inlineStr">
        <is>
          <t>2024-06-25</t>
        </is>
      </c>
      <c r="B3152" t="inlineStr">
        <is>
          <t>螺纹钢</t>
        </is>
      </c>
      <c r="C3152" t="inlineStr">
        <is>
          <t>空</t>
        </is>
      </c>
      <c r="D3152" t="n">
        <v>2</v>
      </c>
      <c r="E3152" t="n">
        <v>5</v>
      </c>
      <c r="F3152" t="inlineStr">
        <is>
          <t>续持</t>
        </is>
      </c>
      <c r="G3152" t="n">
        <v>7</v>
      </c>
      <c r="H3152" t="n">
        <v>3532</v>
      </c>
      <c r="I3152" t="n">
        <v>3653.14</v>
      </c>
      <c r="J3152" t="n">
        <v>1</v>
      </c>
      <c r="K3152" t="inlineStr">
        <is>
          <t>续持原仓（2024-06-18开）</t>
        </is>
      </c>
    </row>
    <row r="3153">
      <c r="A3153" t="inlineStr">
        <is>
          <t>2024-06-25</t>
        </is>
      </c>
      <c r="B3153" t="inlineStr">
        <is>
          <t>锰硅</t>
        </is>
      </c>
      <c r="C3153" t="inlineStr">
        <is>
          <t>空</t>
        </is>
      </c>
      <c r="D3153" t="n">
        <v>2</v>
      </c>
      <c r="E3153" t="n">
        <v>5</v>
      </c>
      <c r="F3153" t="inlineStr">
        <is>
          <t>影子仓</t>
        </is>
      </c>
      <c r="G3153" t="n">
        <v>2</v>
      </c>
      <c r="H3153" t="n">
        <v>7816</v>
      </c>
      <c r="I3153" t="n">
        <v>8734</v>
      </c>
      <c r="J3153" t="n">
        <v>1</v>
      </c>
      <c r="K3153" t="inlineStr">
        <is>
          <t>凯利≤0，开1%影子仓（只统计，不计入组合）</t>
        </is>
      </c>
    </row>
    <row r="3154">
      <c r="A3154" t="inlineStr">
        <is>
          <t>2024-06-25</t>
        </is>
      </c>
      <c r="B3154" t="inlineStr">
        <is>
          <t>棉花</t>
        </is>
      </c>
      <c r="C3154" t="inlineStr">
        <is>
          <t>空</t>
        </is>
      </c>
      <c r="D3154" t="n">
        <v>2</v>
      </c>
      <c r="E3154" t="n">
        <v>5</v>
      </c>
      <c r="F3154" t="inlineStr">
        <is>
          <t>观望</t>
        </is>
      </c>
      <c r="G3154" t="n">
        <v>3</v>
      </c>
      <c r="H3154" t="n">
        <v>14595</v>
      </c>
      <c r="I3154" t="n">
        <v>15173.57</v>
      </c>
      <c r="J3154" t="n">
        <v>1</v>
      </c>
      <c r="K3154" t="inlineStr">
        <is>
          <t>逆5日线（收盘在5日线上，不追空）</t>
        </is>
      </c>
    </row>
    <row r="3155">
      <c r="A3155" t="inlineStr">
        <is>
          <t>2024-06-25</t>
        </is>
      </c>
      <c r="B3155" t="inlineStr">
        <is>
          <t>甲醇</t>
        </is>
      </c>
      <c r="C3155" t="inlineStr">
        <is>
          <t>空</t>
        </is>
      </c>
      <c r="D3155" t="n">
        <v>2</v>
      </c>
      <c r="E3155" t="n">
        <v>4</v>
      </c>
      <c r="F3155" t="inlineStr">
        <is>
          <t>观望</t>
        </is>
      </c>
      <c r="G3155" t="n">
        <v>10</v>
      </c>
      <c r="H3155" t="n">
        <v>2513</v>
      </c>
      <c r="I3155" t="n">
        <v>2609.43</v>
      </c>
      <c r="J3155" t="n">
        <v>1</v>
      </c>
      <c r="K3155" t="inlineStr">
        <is>
          <t>逆5日线（收盘在5日线上，不追空）</t>
        </is>
      </c>
    </row>
    <row r="3156">
      <c r="A3156" t="inlineStr">
        <is>
          <t>2024-06-26</t>
        </is>
      </c>
      <c r="B3156" t="inlineStr">
        <is>
          <t>甲醇</t>
        </is>
      </c>
      <c r="C3156" t="inlineStr">
        <is>
          <t>空</t>
        </is>
      </c>
      <c r="D3156" t="n">
        <v>3</v>
      </c>
      <c r="E3156" t="n">
        <v>7</v>
      </c>
      <c r="F3156" t="inlineStr">
        <is>
          <t>观望</t>
        </is>
      </c>
      <c r="H3156" t="n">
        <v>2506</v>
      </c>
      <c r="J3156" t="n">
        <v>0.22</v>
      </c>
      <c r="K3156" t="inlineStr">
        <is>
          <t>逆5日线（收盘在5日线上，不追空）</t>
        </is>
      </c>
    </row>
    <row r="3157">
      <c r="A3157" t="inlineStr">
        <is>
          <t>2024-06-26</t>
        </is>
      </c>
      <c r="B3157" t="inlineStr">
        <is>
          <t>PVC</t>
        </is>
      </c>
      <c r="C3157" t="inlineStr">
        <is>
          <t>空</t>
        </is>
      </c>
      <c r="D3157" t="n">
        <v>3</v>
      </c>
      <c r="E3157" t="n">
        <v>6</v>
      </c>
      <c r="F3157" t="inlineStr">
        <is>
          <t>开仓</t>
        </is>
      </c>
      <c r="G3157" t="n">
        <v>22</v>
      </c>
      <c r="H3157" t="n">
        <v>6077</v>
      </c>
      <c r="I3157" t="n">
        <v>6327.07</v>
      </c>
      <c r="J3157" t="n">
        <v>2.8</v>
      </c>
      <c r="K3157" t="inlineStr">
        <is>
          <t>¼凯利</t>
        </is>
      </c>
    </row>
    <row r="3158">
      <c r="A3158" t="inlineStr">
        <is>
          <t>2024-06-26</t>
        </is>
      </c>
      <c r="B3158" t="inlineStr">
        <is>
          <t>螺纹钢</t>
        </is>
      </c>
      <c r="C3158" t="inlineStr">
        <is>
          <t>空</t>
        </is>
      </c>
      <c r="D3158" t="n">
        <v>2</v>
      </c>
      <c r="E3158" t="n">
        <v>5</v>
      </c>
      <c r="F3158" t="inlineStr">
        <is>
          <t>观望</t>
        </is>
      </c>
      <c r="G3158" t="n">
        <v>7</v>
      </c>
      <c r="H3158" t="n">
        <v>3563</v>
      </c>
      <c r="I3158" t="n">
        <v>3696.5</v>
      </c>
      <c r="J3158" t="n">
        <v>1</v>
      </c>
      <c r="K3158" t="inlineStr">
        <is>
          <t>逆5日线（收盘在5日线上，不追空）</t>
        </is>
      </c>
    </row>
    <row r="3159">
      <c r="A3159" t="inlineStr">
        <is>
          <t>2024-06-26</t>
        </is>
      </c>
      <c r="B3159" t="inlineStr">
        <is>
          <t>铁矿石</t>
        </is>
      </c>
      <c r="C3159" t="inlineStr">
        <is>
          <t>多</t>
        </is>
      </c>
      <c r="D3159" t="n">
        <v>2</v>
      </c>
      <c r="E3159" t="n">
        <v>4</v>
      </c>
      <c r="F3159" t="inlineStr">
        <is>
          <t>影子仓</t>
        </is>
      </c>
      <c r="G3159" t="n">
        <v>1</v>
      </c>
      <c r="H3159" t="n">
        <v>826</v>
      </c>
      <c r="I3159" t="n">
        <v>760.86</v>
      </c>
      <c r="J3159" t="n">
        <v>1</v>
      </c>
      <c r="K3159" t="inlineStr">
        <is>
          <t>凯利≤0，开1%影子仓（只统计，不计入组合）</t>
        </is>
      </c>
    </row>
    <row r="3160">
      <c r="A3160" t="inlineStr">
        <is>
          <t>2024-06-26</t>
        </is>
      </c>
      <c r="B3160" t="inlineStr">
        <is>
          <t>热卷</t>
        </is>
      </c>
      <c r="C3160" t="inlineStr">
        <is>
          <t>空</t>
        </is>
      </c>
      <c r="D3160" t="n">
        <v>2</v>
      </c>
      <c r="E3160" t="n">
        <v>4</v>
      </c>
      <c r="F3160" t="inlineStr">
        <is>
          <t>观望</t>
        </is>
      </c>
      <c r="G3160" t="n">
        <v>8</v>
      </c>
      <c r="H3160" t="n">
        <v>3753</v>
      </c>
      <c r="I3160" t="n">
        <v>3875.79</v>
      </c>
      <c r="J3160" t="n">
        <v>1</v>
      </c>
      <c r="K3160" t="inlineStr">
        <is>
          <t>逆5日线（收盘在5日线上，不追空）</t>
        </is>
      </c>
    </row>
    <row r="3161">
      <c r="A3161" t="inlineStr">
        <is>
          <t>2024-06-27</t>
        </is>
      </c>
      <c r="B3161" t="inlineStr">
        <is>
          <t>碳酸锂</t>
        </is>
      </c>
      <c r="C3161" t="inlineStr">
        <is>
          <t>空</t>
        </is>
      </c>
      <c r="D3161" t="n">
        <v>3</v>
      </c>
      <c r="E3161" t="n">
        <v>7</v>
      </c>
      <c r="F3161" t="inlineStr">
        <is>
          <t>开仓</t>
        </is>
      </c>
      <c r="G3161" t="n">
        <v>1</v>
      </c>
      <c r="H3161" t="n">
        <v>94600</v>
      </c>
      <c r="I3161" t="n">
        <v>104039.29</v>
      </c>
      <c r="J3161" t="n">
        <v>1.64</v>
      </c>
      <c r="K3161" t="inlineStr">
        <is>
          <t>组合风险已近10%，预算缩小</t>
        </is>
      </c>
    </row>
    <row r="3162">
      <c r="A3162" t="inlineStr">
        <is>
          <t>2024-06-27</t>
        </is>
      </c>
      <c r="B3162" t="inlineStr">
        <is>
          <t>螺纹钢</t>
        </is>
      </c>
      <c r="C3162" t="inlineStr">
        <is>
          <t>空</t>
        </is>
      </c>
      <c r="D3162" t="n">
        <v>3</v>
      </c>
      <c r="E3162" t="n">
        <v>7</v>
      </c>
      <c r="F3162" t="inlineStr">
        <is>
          <t>续持</t>
        </is>
      </c>
      <c r="G3162" t="n">
        <v>7</v>
      </c>
      <c r="H3162" t="n">
        <v>3535</v>
      </c>
      <c r="I3162" t="n">
        <v>3652.5</v>
      </c>
      <c r="J3162" t="n">
        <v>1</v>
      </c>
      <c r="K3162" t="inlineStr">
        <is>
          <t>续持原仓（2024-06-18开）</t>
        </is>
      </c>
    </row>
    <row r="3163">
      <c r="A3163" t="inlineStr">
        <is>
          <t>2024-06-27</t>
        </is>
      </c>
      <c r="B3163" t="inlineStr">
        <is>
          <t>沪铝</t>
        </is>
      </c>
      <c r="C3163" t="inlineStr">
        <is>
          <t>空</t>
        </is>
      </c>
      <c r="D3163" t="n">
        <v>3</v>
      </c>
      <c r="E3163" t="n">
        <v>7</v>
      </c>
      <c r="F3163" t="inlineStr">
        <is>
          <t>不做</t>
        </is>
      </c>
      <c r="H3163" t="n">
        <v>20180</v>
      </c>
      <c r="J3163" t="n">
        <v>0</v>
      </c>
      <c r="K3163" t="inlineStr">
        <is>
          <t>组合风险已近10%，预算缩小</t>
        </is>
      </c>
    </row>
    <row r="3164">
      <c r="A3164" t="inlineStr">
        <is>
          <t>2024-06-27</t>
        </is>
      </c>
      <c r="B3164" t="inlineStr">
        <is>
          <t>PVC</t>
        </is>
      </c>
      <c r="C3164" t="inlineStr">
        <is>
          <t>空</t>
        </is>
      </c>
      <c r="D3164" t="n">
        <v>3</v>
      </c>
      <c r="E3164" t="n">
        <v>6</v>
      </c>
      <c r="F3164" t="inlineStr">
        <is>
          <t>续持</t>
        </is>
      </c>
      <c r="G3164" t="n">
        <v>22</v>
      </c>
      <c r="H3164" t="n">
        <v>6034</v>
      </c>
      <c r="I3164" t="n">
        <v>6262.43</v>
      </c>
      <c r="J3164" t="n">
        <v>2.8</v>
      </c>
      <c r="K3164" t="inlineStr">
        <is>
          <t>续持原仓（2024-06-26开）</t>
        </is>
      </c>
    </row>
    <row r="3165">
      <c r="A3165" t="inlineStr">
        <is>
          <t>2024-06-27</t>
        </is>
      </c>
      <c r="B3165" t="inlineStr">
        <is>
          <t>纯碱</t>
        </is>
      </c>
      <c r="C3165" t="inlineStr">
        <is>
          <t>空</t>
        </is>
      </c>
      <c r="D3165" t="n">
        <v>3</v>
      </c>
      <c r="E3165" t="n">
        <v>6</v>
      </c>
      <c r="F3165" t="inlineStr">
        <is>
          <t>不做</t>
        </is>
      </c>
      <c r="H3165" t="n">
        <v>2022</v>
      </c>
      <c r="J3165" t="n">
        <v>0</v>
      </c>
      <c r="K3165" t="inlineStr">
        <is>
          <t>组合风险已近10%，预算缩小</t>
        </is>
      </c>
    </row>
    <row r="3166">
      <c r="A3166" t="inlineStr">
        <is>
          <t>2024-06-28</t>
        </is>
      </c>
      <c r="B3166" t="inlineStr">
        <is>
          <t>PVC</t>
        </is>
      </c>
      <c r="C3166" t="inlineStr">
        <is>
          <t>空</t>
        </is>
      </c>
      <c r="D3166" t="n">
        <v>3</v>
      </c>
      <c r="E3166" t="n">
        <v>6</v>
      </c>
      <c r="F3166" t="inlineStr">
        <is>
          <t>续持</t>
        </is>
      </c>
      <c r="G3166" t="n">
        <v>22</v>
      </c>
      <c r="H3166" t="n">
        <v>6053</v>
      </c>
      <c r="I3166" t="n">
        <v>6229.71</v>
      </c>
      <c r="J3166" t="n">
        <v>2.8</v>
      </c>
      <c r="K3166" t="inlineStr">
        <is>
          <t>续持原仓（2024-06-26开）</t>
        </is>
      </c>
    </row>
    <row r="3167">
      <c r="A3167" t="inlineStr">
        <is>
          <t>2024-06-28</t>
        </is>
      </c>
      <c r="B3167" t="inlineStr">
        <is>
          <t>螺纹钢</t>
        </is>
      </c>
      <c r="C3167" t="inlineStr">
        <is>
          <t>空</t>
        </is>
      </c>
      <c r="D3167" t="n">
        <v>2</v>
      </c>
      <c r="E3167" t="n">
        <v>5</v>
      </c>
      <c r="F3167" t="inlineStr">
        <is>
          <t>观望</t>
        </is>
      </c>
      <c r="G3167" t="n">
        <v>7</v>
      </c>
      <c r="H3167" t="n">
        <v>3544</v>
      </c>
      <c r="I3167" t="n">
        <v>3670.21</v>
      </c>
      <c r="J3167" t="n">
        <v>1</v>
      </c>
      <c r="K3167" t="inlineStr">
        <is>
          <t>逆5日线（收盘在5日线上，不追空）</t>
        </is>
      </c>
    </row>
    <row r="3168">
      <c r="A3168" t="inlineStr">
        <is>
          <t>2024-06-28</t>
        </is>
      </c>
      <c r="B3168" t="inlineStr">
        <is>
          <t>工业硅</t>
        </is>
      </c>
      <c r="C3168" t="inlineStr">
        <is>
          <t>空</t>
        </is>
      </c>
      <c r="D3168" t="n">
        <v>2</v>
      </c>
      <c r="E3168" t="n">
        <v>5</v>
      </c>
      <c r="F3168" t="inlineStr">
        <is>
          <t>观望</t>
        </is>
      </c>
      <c r="G3168" t="n">
        <v>2</v>
      </c>
      <c r="H3168" t="n">
        <v>11420</v>
      </c>
      <c r="I3168" t="n">
        <v>12243.93</v>
      </c>
      <c r="J3168" t="n">
        <v>1</v>
      </c>
      <c r="K3168" t="inlineStr">
        <is>
          <t>逆5日线（收盘在5日线上，不追空）</t>
        </is>
      </c>
    </row>
    <row r="3169">
      <c r="A3169" t="inlineStr">
        <is>
          <t>2024-06-28</t>
        </is>
      </c>
      <c r="B3169" t="inlineStr">
        <is>
          <t>苯乙烯</t>
        </is>
      </c>
      <c r="C3169" t="inlineStr">
        <is>
          <t>多</t>
        </is>
      </c>
      <c r="D3169" t="n">
        <v>2</v>
      </c>
      <c r="E3169" t="n">
        <v>4</v>
      </c>
      <c r="F3169" t="inlineStr">
        <is>
          <t>影子仓</t>
        </is>
      </c>
      <c r="G3169" t="n">
        <v>4</v>
      </c>
      <c r="H3169" t="n">
        <v>9472</v>
      </c>
      <c r="I3169" t="n">
        <v>9041.5</v>
      </c>
      <c r="J3169" t="n">
        <v>1</v>
      </c>
      <c r="K3169" t="inlineStr">
        <is>
          <t>凯利≤0，开1%影子仓（只统计，不计入组合）</t>
        </is>
      </c>
    </row>
    <row r="3170">
      <c r="A3170" t="inlineStr">
        <is>
          <t>2024-07-01</t>
        </is>
      </c>
      <c r="B3170" t="inlineStr">
        <is>
          <t>玻璃</t>
        </is>
      </c>
      <c r="C3170" t="inlineStr">
        <is>
          <t>空</t>
        </is>
      </c>
      <c r="D3170" t="n">
        <v>3</v>
      </c>
      <c r="E3170" t="n">
        <v>7</v>
      </c>
      <c r="F3170" t="inlineStr">
        <is>
          <t>观望</t>
        </is>
      </c>
      <c r="G3170" t="n">
        <v>6</v>
      </c>
      <c r="H3170" t="n">
        <v>1551</v>
      </c>
      <c r="I3170" t="n">
        <v>1672.71</v>
      </c>
      <c r="J3170" t="n">
        <v>1.64</v>
      </c>
      <c r="K3170" t="inlineStr">
        <is>
          <t>逆5日线（收盘在5日线上，不追空）</t>
        </is>
      </c>
    </row>
    <row r="3171">
      <c r="A3171" t="inlineStr">
        <is>
          <t>2024-07-01</t>
        </is>
      </c>
      <c r="B3171" t="inlineStr">
        <is>
          <t>锰硅</t>
        </is>
      </c>
      <c r="C3171" t="inlineStr">
        <is>
          <t>空</t>
        </is>
      </c>
      <c r="D3171" t="n">
        <v>3</v>
      </c>
      <c r="E3171" t="n">
        <v>6</v>
      </c>
      <c r="F3171" t="inlineStr">
        <is>
          <t>开仓</t>
        </is>
      </c>
      <c r="G3171" t="n">
        <v>3</v>
      </c>
      <c r="H3171" t="n">
        <v>7530</v>
      </c>
      <c r="I3171" t="n">
        <v>8433</v>
      </c>
      <c r="J3171" t="n">
        <v>1.64</v>
      </c>
      <c r="K3171" t="inlineStr">
        <is>
          <t>组合风险已近10%，预算缩小</t>
        </is>
      </c>
    </row>
    <row r="3172">
      <c r="A3172" t="inlineStr">
        <is>
          <t>2024-07-01</t>
        </is>
      </c>
      <c r="B3172" t="inlineStr">
        <is>
          <t>PVC</t>
        </is>
      </c>
      <c r="C3172" t="inlineStr">
        <is>
          <t>空</t>
        </is>
      </c>
      <c r="D3172" t="n">
        <v>2</v>
      </c>
      <c r="E3172" t="n">
        <v>5</v>
      </c>
      <c r="F3172" t="inlineStr">
        <is>
          <t>观望</t>
        </is>
      </c>
      <c r="G3172" t="n">
        <v>9</v>
      </c>
      <c r="H3172" t="n">
        <v>6091</v>
      </c>
      <c r="I3172" t="n">
        <v>6305.07</v>
      </c>
      <c r="J3172" t="n">
        <v>1</v>
      </c>
      <c r="K3172" t="inlineStr">
        <is>
          <t>逆5日线（收盘在5日线上，不追空）</t>
        </is>
      </c>
    </row>
    <row r="3173">
      <c r="A3173" t="inlineStr">
        <is>
          <t>2024-07-01</t>
        </is>
      </c>
      <c r="B3173" t="inlineStr">
        <is>
          <t>热卷</t>
        </is>
      </c>
      <c r="C3173" t="inlineStr">
        <is>
          <t>多</t>
        </is>
      </c>
      <c r="D3173" t="n">
        <v>2</v>
      </c>
      <c r="E3173" t="n">
        <v>4</v>
      </c>
      <c r="F3173" t="inlineStr">
        <is>
          <t>影子仓</t>
        </is>
      </c>
      <c r="G3173" t="n">
        <v>9</v>
      </c>
      <c r="H3173" t="n">
        <v>3760</v>
      </c>
      <c r="I3173" t="n">
        <v>3651.14</v>
      </c>
      <c r="J3173" t="n">
        <v>1</v>
      </c>
      <c r="K3173" t="inlineStr">
        <is>
          <t>凯利≤0，开1%影子仓（只统计，不计入组合）</t>
        </is>
      </c>
    </row>
    <row r="3174">
      <c r="A3174" t="inlineStr">
        <is>
          <t>2024-07-02</t>
        </is>
      </c>
      <c r="B3174" t="inlineStr">
        <is>
          <t>铁矿石</t>
        </is>
      </c>
      <c r="C3174" t="inlineStr">
        <is>
          <t>多</t>
        </is>
      </c>
      <c r="D3174" t="n">
        <v>3</v>
      </c>
      <c r="E3174" t="n">
        <v>6</v>
      </c>
      <c r="F3174" t="inlineStr">
        <is>
          <t>开仓</t>
        </is>
      </c>
      <c r="G3174" t="n">
        <v>4</v>
      </c>
      <c r="H3174" t="n">
        <v>843</v>
      </c>
      <c r="I3174" t="n">
        <v>783.21</v>
      </c>
      <c r="J3174" t="n">
        <v>2.71</v>
      </c>
      <c r="K3174" t="inlineStr">
        <is>
          <t>¼凯利</t>
        </is>
      </c>
    </row>
    <row r="3175">
      <c r="A3175" t="inlineStr">
        <is>
          <t>2024-07-03</t>
        </is>
      </c>
      <c r="B3175" t="inlineStr">
        <is>
          <t>玻璃</t>
        </is>
      </c>
      <c r="C3175" t="inlineStr">
        <is>
          <t>空</t>
        </is>
      </c>
      <c r="D3175" t="n">
        <v>2</v>
      </c>
      <c r="E3175" t="n">
        <v>5</v>
      </c>
      <c r="F3175" t="inlineStr">
        <is>
          <t>观望</t>
        </is>
      </c>
      <c r="G3175" t="n">
        <v>4</v>
      </c>
      <c r="H3175" t="n">
        <v>1583</v>
      </c>
      <c r="I3175" t="n">
        <v>1702.57</v>
      </c>
      <c r="J3175" t="n">
        <v>1</v>
      </c>
      <c r="K3175" t="inlineStr">
        <is>
          <t>逆5日线（收盘在5日线上，不追空）</t>
        </is>
      </c>
    </row>
    <row r="3176">
      <c r="A3176" t="inlineStr">
        <is>
          <t>2024-07-03</t>
        </is>
      </c>
      <c r="B3176" t="inlineStr">
        <is>
          <t>工业硅</t>
        </is>
      </c>
      <c r="C3176" t="inlineStr">
        <is>
          <t>空</t>
        </is>
      </c>
      <c r="D3176" t="n">
        <v>2</v>
      </c>
      <c r="E3176" t="n">
        <v>4</v>
      </c>
      <c r="F3176" t="inlineStr">
        <is>
          <t>观望</t>
        </is>
      </c>
      <c r="G3176" t="n">
        <v>2</v>
      </c>
      <c r="H3176" t="n">
        <v>11490</v>
      </c>
      <c r="I3176" t="n">
        <v>12230.36</v>
      </c>
      <c r="J3176" t="n">
        <v>1</v>
      </c>
      <c r="K3176" t="inlineStr">
        <is>
          <t>逆5日线（收盘在5日线上，不追空）</t>
        </is>
      </c>
    </row>
    <row r="3177">
      <c r="A3177" t="inlineStr">
        <is>
          <t>2024-07-03</t>
        </is>
      </c>
      <c r="B3177" t="inlineStr">
        <is>
          <t>纯碱</t>
        </is>
      </c>
      <c r="C3177" t="inlineStr">
        <is>
          <t>多</t>
        </is>
      </c>
      <c r="D3177" t="n">
        <v>2</v>
      </c>
      <c r="E3177" t="n">
        <v>4</v>
      </c>
      <c r="F3177" t="inlineStr">
        <is>
          <t>影子仓</t>
        </is>
      </c>
      <c r="G3177" t="n">
        <v>2</v>
      </c>
      <c r="H3177" t="n">
        <v>2224</v>
      </c>
      <c r="I3177" t="n">
        <v>2033.29</v>
      </c>
      <c r="J3177" t="n">
        <v>1</v>
      </c>
      <c r="K3177" t="inlineStr">
        <is>
          <t>凯利≤0，开1%影子仓（只统计，不计入组合）</t>
        </is>
      </c>
    </row>
    <row r="3178">
      <c r="A3178" t="inlineStr">
        <is>
          <t>2024-07-03</t>
        </is>
      </c>
      <c r="B3178" t="inlineStr">
        <is>
          <t>沪锌</t>
        </is>
      </c>
      <c r="C3178" t="inlineStr">
        <is>
          <t>多</t>
        </is>
      </c>
      <c r="D3178" t="n">
        <v>2</v>
      </c>
      <c r="E3178" t="n">
        <v>4</v>
      </c>
      <c r="F3178" t="inlineStr">
        <is>
          <t>影子仓</t>
        </is>
      </c>
      <c r="G3178" t="n">
        <v>1</v>
      </c>
      <c r="H3178" t="n">
        <v>24555</v>
      </c>
      <c r="I3178" t="n">
        <v>23359.29</v>
      </c>
      <c r="J3178" t="n">
        <v>1</v>
      </c>
      <c r="K3178" t="inlineStr">
        <is>
          <t>凯利≤0，开1%影子仓（只统计，不计入组合）</t>
        </is>
      </c>
    </row>
    <row r="3179">
      <c r="A3179" t="inlineStr">
        <is>
          <t>2024-07-04</t>
        </is>
      </c>
      <c r="B3179" t="inlineStr">
        <is>
          <t>玻璃</t>
        </is>
      </c>
      <c r="C3179" t="inlineStr">
        <is>
          <t>空</t>
        </is>
      </c>
      <c r="D3179" t="n">
        <v>3</v>
      </c>
      <c r="E3179" t="n">
        <v>6</v>
      </c>
      <c r="F3179" t="inlineStr">
        <is>
          <t>观望</t>
        </is>
      </c>
      <c r="G3179" t="n">
        <v>11</v>
      </c>
      <c r="H3179" t="n">
        <v>1574</v>
      </c>
      <c r="I3179" t="n">
        <v>1692.5</v>
      </c>
      <c r="J3179" t="n">
        <v>2.75</v>
      </c>
      <c r="K3179" t="inlineStr">
        <is>
          <t>逆5日线（收盘在5日线上，不追空）</t>
        </is>
      </c>
    </row>
    <row r="3180">
      <c r="A3180" t="inlineStr">
        <is>
          <t>2024-07-04</t>
        </is>
      </c>
      <c r="B3180" t="inlineStr">
        <is>
          <t>短纤</t>
        </is>
      </c>
      <c r="C3180" t="inlineStr">
        <is>
          <t>多</t>
        </is>
      </c>
      <c r="D3180" t="n">
        <v>3</v>
      </c>
      <c r="E3180" t="n">
        <v>6</v>
      </c>
      <c r="F3180" t="inlineStr">
        <is>
          <t>观望</t>
        </is>
      </c>
      <c r="G3180" t="n">
        <v>17</v>
      </c>
      <c r="H3180" t="n">
        <v>7698</v>
      </c>
      <c r="I3180" t="n">
        <v>7389.86</v>
      </c>
      <c r="J3180" t="n">
        <v>2.75</v>
      </c>
      <c r="K3180" t="inlineStr">
        <is>
          <t>逆5日线（收盘在5日线下，不追多）</t>
        </is>
      </c>
    </row>
    <row r="3181">
      <c r="A3181" t="inlineStr">
        <is>
          <t>2024-07-04</t>
        </is>
      </c>
      <c r="B3181" t="inlineStr">
        <is>
          <t>工业硅</t>
        </is>
      </c>
      <c r="C3181" t="inlineStr">
        <is>
          <t>空</t>
        </is>
      </c>
      <c r="D3181" t="n">
        <v>2</v>
      </c>
      <c r="E3181" t="n">
        <v>5</v>
      </c>
      <c r="F3181" t="inlineStr">
        <is>
          <t>影子仓</t>
        </is>
      </c>
      <c r="G3181" t="n">
        <v>2</v>
      </c>
      <c r="H3181" t="n">
        <v>11380</v>
      </c>
      <c r="I3181" t="n">
        <v>12135.36</v>
      </c>
      <c r="J3181" t="n">
        <v>1</v>
      </c>
      <c r="K3181" t="inlineStr">
        <is>
          <t>凯利≤0，开1%影子仓（只统计，不计入组合）</t>
        </is>
      </c>
    </row>
    <row r="3182">
      <c r="A3182" t="inlineStr">
        <is>
          <t>2024-07-04</t>
        </is>
      </c>
      <c r="B3182" t="inlineStr">
        <is>
          <t>沪锌</t>
        </is>
      </c>
      <c r="C3182" t="inlineStr">
        <is>
          <t>多</t>
        </is>
      </c>
      <c r="D3182" t="n">
        <v>2</v>
      </c>
      <c r="E3182" t="n">
        <v>4</v>
      </c>
      <c r="F3182" t="inlineStr">
        <is>
          <t>续持</t>
        </is>
      </c>
      <c r="G3182" t="n">
        <v>1</v>
      </c>
      <c r="H3182" t="n">
        <v>24670</v>
      </c>
      <c r="I3182" t="n">
        <v>23643.57</v>
      </c>
      <c r="J3182" t="n">
        <v>1</v>
      </c>
      <c r="K3182" t="inlineStr">
        <is>
          <t>续持原仓（2024-07-03开）</t>
        </is>
      </c>
    </row>
    <row r="3183">
      <c r="A3183" t="inlineStr">
        <is>
          <t>2024-07-05</t>
        </is>
      </c>
      <c r="B3183" t="inlineStr">
        <is>
          <t>工业硅</t>
        </is>
      </c>
      <c r="C3183" t="inlineStr">
        <is>
          <t>空</t>
        </is>
      </c>
      <c r="D3183" t="n">
        <v>3</v>
      </c>
      <c r="E3183" t="n">
        <v>7</v>
      </c>
      <c r="F3183" t="inlineStr">
        <is>
          <t>续持</t>
        </is>
      </c>
      <c r="G3183" t="n">
        <v>2</v>
      </c>
      <c r="H3183" t="n">
        <v>11260</v>
      </c>
      <c r="I3183" t="n">
        <v>11976.79</v>
      </c>
      <c r="J3183" t="n">
        <v>1</v>
      </c>
      <c r="K3183" t="inlineStr">
        <is>
          <t>续持原仓（2024-07-04开）</t>
        </is>
      </c>
    </row>
    <row r="3184">
      <c r="A3184" t="inlineStr">
        <is>
          <t>2024-07-05</t>
        </is>
      </c>
      <c r="B3184" t="inlineStr">
        <is>
          <t>沪金</t>
        </is>
      </c>
      <c r="C3184" t="inlineStr">
        <is>
          <t>多</t>
        </is>
      </c>
      <c r="D3184" t="n">
        <v>3</v>
      </c>
      <c r="E3184" t="n">
        <v>6</v>
      </c>
      <c r="F3184" t="inlineStr">
        <is>
          <t>续持</t>
        </is>
      </c>
      <c r="G3184" t="n">
        <v>1</v>
      </c>
      <c r="H3184" t="n">
        <v>561.9</v>
      </c>
      <c r="I3184" t="n">
        <v>548.45</v>
      </c>
      <c r="J3184" t="n">
        <v>2.78</v>
      </c>
      <c r="K3184" t="inlineStr">
        <is>
          <t>续持原仓（2024-06-21开）</t>
        </is>
      </c>
    </row>
    <row r="3185">
      <c r="A3185" t="inlineStr">
        <is>
          <t>2024-07-05</t>
        </is>
      </c>
      <c r="B3185" t="inlineStr">
        <is>
          <t>玻璃</t>
        </is>
      </c>
      <c r="C3185" t="inlineStr">
        <is>
          <t>空</t>
        </is>
      </c>
      <c r="D3185" t="n">
        <v>3</v>
      </c>
      <c r="E3185" t="n">
        <v>6</v>
      </c>
      <c r="F3185" t="inlineStr">
        <is>
          <t>开仓</t>
        </is>
      </c>
      <c r="G3185" t="n">
        <v>11</v>
      </c>
      <c r="H3185" t="n">
        <v>1524</v>
      </c>
      <c r="I3185" t="n">
        <v>1641.86</v>
      </c>
      <c r="J3185" t="n">
        <v>2.75</v>
      </c>
      <c r="K3185" t="inlineStr">
        <is>
          <t>¼凯利</t>
        </is>
      </c>
    </row>
    <row r="3186">
      <c r="A3186" t="inlineStr">
        <is>
          <t>2024-07-05</t>
        </is>
      </c>
      <c r="B3186" t="inlineStr">
        <is>
          <t>燃料油</t>
        </is>
      </c>
      <c r="C3186" t="inlineStr">
        <is>
          <t>多</t>
        </is>
      </c>
      <c r="D3186" t="n">
        <v>3</v>
      </c>
      <c r="E3186" t="n">
        <v>6</v>
      </c>
      <c r="F3186" t="inlineStr">
        <is>
          <t>开仓</t>
        </is>
      </c>
      <c r="G3186" t="n">
        <v>15</v>
      </c>
      <c r="H3186" t="n">
        <v>3623</v>
      </c>
      <c r="I3186" t="n">
        <v>3448.57</v>
      </c>
      <c r="J3186" t="n">
        <v>2.75</v>
      </c>
      <c r="K3186" t="inlineStr">
        <is>
          <t>¼凯利</t>
        </is>
      </c>
    </row>
    <row r="3187">
      <c r="A3187" t="inlineStr">
        <is>
          <t>2024-07-05</t>
        </is>
      </c>
      <c r="B3187" t="inlineStr">
        <is>
          <t>短纤</t>
        </is>
      </c>
      <c r="C3187" t="inlineStr">
        <is>
          <t>多</t>
        </is>
      </c>
      <c r="D3187" t="n">
        <v>2</v>
      </c>
      <c r="E3187" t="n">
        <v>4</v>
      </c>
      <c r="F3187" t="inlineStr">
        <is>
          <t>观望</t>
        </is>
      </c>
      <c r="G3187" t="n">
        <v>6</v>
      </c>
      <c r="H3187" t="n">
        <v>7654</v>
      </c>
      <c r="I3187" t="n">
        <v>7344.14</v>
      </c>
      <c r="J3187" t="n">
        <v>1</v>
      </c>
      <c r="K3187" t="inlineStr">
        <is>
          <t>逆5日线（收盘在5日线下，不追多）</t>
        </is>
      </c>
    </row>
    <row r="3188">
      <c r="A3188" t="inlineStr">
        <is>
          <t>2024-07-05</t>
        </is>
      </c>
      <c r="B3188" t="inlineStr">
        <is>
          <t>菜粕</t>
        </is>
      </c>
      <c r="C3188" t="inlineStr">
        <is>
          <t>多</t>
        </is>
      </c>
      <c r="D3188" t="n">
        <v>2</v>
      </c>
      <c r="E3188" t="n">
        <v>4</v>
      </c>
      <c r="F3188" t="inlineStr">
        <is>
          <t>观望</t>
        </is>
      </c>
      <c r="G3188" t="n">
        <v>7</v>
      </c>
      <c r="H3188" t="n">
        <v>2628</v>
      </c>
      <c r="I3188" t="n">
        <v>2490</v>
      </c>
      <c r="J3188" t="n">
        <v>1</v>
      </c>
      <c r="K3188" t="inlineStr">
        <is>
          <t>逆5日线（收盘在5日线下，不追多）</t>
        </is>
      </c>
    </row>
    <row r="3189">
      <c r="A3189" t="inlineStr">
        <is>
          <t>2024-07-08</t>
        </is>
      </c>
      <c r="B3189" t="inlineStr">
        <is>
          <t>PVC</t>
        </is>
      </c>
      <c r="C3189" t="inlineStr">
        <is>
          <t>空</t>
        </is>
      </c>
      <c r="D3189" t="n">
        <v>3</v>
      </c>
      <c r="E3189" t="n">
        <v>7</v>
      </c>
      <c r="F3189" t="inlineStr">
        <is>
          <t>开仓</t>
        </is>
      </c>
      <c r="G3189" t="n">
        <v>16</v>
      </c>
      <c r="H3189" t="n">
        <v>5952</v>
      </c>
      <c r="I3189" t="n">
        <v>6155.14</v>
      </c>
      <c r="J3189" t="n">
        <v>1.72</v>
      </c>
      <c r="K3189" t="inlineStr">
        <is>
          <t>组合风险已近10%，预算缩小</t>
        </is>
      </c>
    </row>
    <row r="3190">
      <c r="A3190" t="inlineStr">
        <is>
          <t>2024-07-08</t>
        </is>
      </c>
      <c r="B3190" t="inlineStr">
        <is>
          <t>玉米</t>
        </is>
      </c>
      <c r="C3190" t="inlineStr">
        <is>
          <t>空</t>
        </is>
      </c>
      <c r="D3190" t="n">
        <v>3</v>
      </c>
      <c r="E3190" t="n">
        <v>7</v>
      </c>
      <c r="F3190" t="inlineStr">
        <is>
          <t>不做</t>
        </is>
      </c>
      <c r="H3190" t="n">
        <v>2459</v>
      </c>
      <c r="J3190" t="n">
        <v>0</v>
      </c>
      <c r="K3190" t="inlineStr">
        <is>
          <t>组合风险已近10%，预算缩小</t>
        </is>
      </c>
    </row>
    <row r="3191">
      <c r="A3191" t="inlineStr">
        <is>
          <t>2024-07-08</t>
        </is>
      </c>
      <c r="B3191" t="inlineStr">
        <is>
          <t>沪银</t>
        </is>
      </c>
      <c r="C3191" t="inlineStr">
        <is>
          <t>多</t>
        </is>
      </c>
      <c r="D3191" t="n">
        <v>3</v>
      </c>
      <c r="E3191" t="n">
        <v>7</v>
      </c>
      <c r="F3191" t="inlineStr">
        <is>
          <t>不做</t>
        </is>
      </c>
      <c r="H3191" t="n">
        <v>8187</v>
      </c>
      <c r="J3191" t="n">
        <v>0</v>
      </c>
      <c r="K3191" t="inlineStr">
        <is>
          <t>组合风险已近10%，预算缩小</t>
        </is>
      </c>
    </row>
    <row r="3192">
      <c r="A3192" t="inlineStr">
        <is>
          <t>2024-07-08</t>
        </is>
      </c>
      <c r="B3192" t="inlineStr">
        <is>
          <t>玻璃</t>
        </is>
      </c>
      <c r="C3192" t="inlineStr">
        <is>
          <t>空</t>
        </is>
      </c>
      <c r="D3192" t="n">
        <v>3</v>
      </c>
      <c r="E3192" t="n">
        <v>6</v>
      </c>
      <c r="F3192" t="inlineStr">
        <is>
          <t>续持</t>
        </is>
      </c>
      <c r="G3192" t="n">
        <v>11</v>
      </c>
      <c r="H3192" t="n">
        <v>1494</v>
      </c>
      <c r="I3192" t="n">
        <v>1603.21</v>
      </c>
      <c r="J3192" t="n">
        <v>2.75</v>
      </c>
      <c r="K3192" t="inlineStr">
        <is>
          <t>续持原仓（2024-07-05开）</t>
        </is>
      </c>
    </row>
    <row r="3193">
      <c r="A3193" t="inlineStr">
        <is>
          <t>2024-07-08</t>
        </is>
      </c>
      <c r="B3193" t="inlineStr">
        <is>
          <t>沪金</t>
        </is>
      </c>
      <c r="C3193" t="inlineStr">
        <is>
          <t>多</t>
        </is>
      </c>
      <c r="D3193" t="n">
        <v>2</v>
      </c>
      <c r="E3193" t="n">
        <v>5</v>
      </c>
      <c r="F3193" t="inlineStr">
        <is>
          <t>续持</t>
        </is>
      </c>
      <c r="G3193" t="n">
        <v>1</v>
      </c>
      <c r="H3193" t="n">
        <v>562.9400000000001</v>
      </c>
      <c r="I3193" t="n">
        <v>551.98</v>
      </c>
      <c r="J3193" t="n">
        <v>2.78</v>
      </c>
      <c r="K3193" t="inlineStr">
        <is>
          <t>续持原仓（2024-06-21开）</t>
        </is>
      </c>
    </row>
    <row r="3194">
      <c r="A3194" t="inlineStr">
        <is>
          <t>2024-07-08</t>
        </is>
      </c>
      <c r="B3194" t="inlineStr">
        <is>
          <t>乙二醇</t>
        </is>
      </c>
      <c r="C3194" t="inlineStr">
        <is>
          <t>多</t>
        </is>
      </c>
      <c r="D3194" t="n">
        <v>2</v>
      </c>
      <c r="E3194" t="n">
        <v>4</v>
      </c>
      <c r="F3194" t="inlineStr">
        <is>
          <t>影子仓</t>
        </is>
      </c>
      <c r="G3194" t="n">
        <v>7</v>
      </c>
      <c r="H3194" t="n">
        <v>4712</v>
      </c>
      <c r="I3194" t="n">
        <v>4572.07</v>
      </c>
      <c r="J3194" t="n">
        <v>1</v>
      </c>
      <c r="K3194" t="inlineStr">
        <is>
          <t>凯利≤0，开1%影子仓（只统计，不计入组合）</t>
        </is>
      </c>
    </row>
    <row r="3195">
      <c r="A3195" t="inlineStr">
        <is>
          <t>2024-07-09</t>
        </is>
      </c>
      <c r="B3195" t="inlineStr">
        <is>
          <t>玉米</t>
        </is>
      </c>
      <c r="C3195" t="inlineStr">
        <is>
          <t>空</t>
        </is>
      </c>
      <c r="D3195" t="n">
        <v>3</v>
      </c>
      <c r="E3195" t="n">
        <v>6</v>
      </c>
      <c r="F3195" t="inlineStr">
        <is>
          <t>不做</t>
        </is>
      </c>
      <c r="H3195" t="n">
        <v>2436</v>
      </c>
      <c r="J3195" t="n">
        <v>0</v>
      </c>
      <c r="K3195" t="inlineStr">
        <is>
          <t>组合风险已近10%，预算缩小</t>
        </is>
      </c>
    </row>
    <row r="3196">
      <c r="A3196" t="inlineStr">
        <is>
          <t>2024-07-09</t>
        </is>
      </c>
      <c r="B3196" t="inlineStr">
        <is>
          <t>沪银</t>
        </is>
      </c>
      <c r="C3196" t="inlineStr">
        <is>
          <t>多</t>
        </is>
      </c>
      <c r="D3196" t="n">
        <v>3</v>
      </c>
      <c r="E3196" t="n">
        <v>6</v>
      </c>
      <c r="F3196" t="inlineStr">
        <is>
          <t>不做</t>
        </is>
      </c>
      <c r="H3196" t="n">
        <v>8224</v>
      </c>
      <c r="J3196" t="n">
        <v>0</v>
      </c>
      <c r="K3196" t="inlineStr">
        <is>
          <t>组合风险已近10%，预算缩小</t>
        </is>
      </c>
    </row>
    <row r="3197">
      <c r="A3197" t="inlineStr">
        <is>
          <t>2024-07-09</t>
        </is>
      </c>
      <c r="B3197" t="inlineStr">
        <is>
          <t>豆油</t>
        </is>
      </c>
      <c r="C3197" t="inlineStr">
        <is>
          <t>空</t>
        </is>
      </c>
      <c r="D3197" t="n">
        <v>2</v>
      </c>
      <c r="E3197" t="n">
        <v>4</v>
      </c>
      <c r="F3197" t="inlineStr">
        <is>
          <t>影子仓</t>
        </is>
      </c>
      <c r="G3197" t="n">
        <v>2</v>
      </c>
      <c r="H3197" t="n">
        <v>7776</v>
      </c>
      <c r="I3197" t="n">
        <v>8120.57</v>
      </c>
      <c r="J3197" t="n">
        <v>1</v>
      </c>
      <c r="K3197" t="inlineStr">
        <is>
          <t>凯利≤0，开1%影子仓（只统计，不计入组合）</t>
        </is>
      </c>
    </row>
    <row r="3198">
      <c r="A3198" t="inlineStr">
        <is>
          <t>2024-07-10</t>
        </is>
      </c>
      <c r="B3198" t="inlineStr">
        <is>
          <t>工业硅</t>
        </is>
      </c>
      <c r="C3198" t="inlineStr">
        <is>
          <t>空</t>
        </is>
      </c>
      <c r="D3198" t="n">
        <v>3</v>
      </c>
      <c r="E3198" t="n">
        <v>7</v>
      </c>
      <c r="F3198" t="inlineStr">
        <is>
          <t>开仓</t>
        </is>
      </c>
      <c r="G3198" t="n">
        <v>7</v>
      </c>
      <c r="H3198" t="n">
        <v>11110</v>
      </c>
      <c r="I3198" t="n">
        <v>11839.64</v>
      </c>
      <c r="J3198" t="n">
        <v>2.71</v>
      </c>
      <c r="K3198" t="inlineStr">
        <is>
          <t>¼凯利</t>
        </is>
      </c>
    </row>
    <row r="3199">
      <c r="A3199" t="inlineStr">
        <is>
          <t>2024-07-10</t>
        </is>
      </c>
      <c r="B3199" t="inlineStr">
        <is>
          <t>螺纹钢</t>
        </is>
      </c>
      <c r="C3199" t="inlineStr">
        <is>
          <t>空</t>
        </is>
      </c>
      <c r="D3199" t="n">
        <v>3</v>
      </c>
      <c r="E3199" t="n">
        <v>7</v>
      </c>
      <c r="F3199" t="inlineStr">
        <is>
          <t>续持</t>
        </is>
      </c>
      <c r="G3199" t="n">
        <v>7</v>
      </c>
      <c r="H3199" t="n">
        <v>3478</v>
      </c>
      <c r="I3199" t="n">
        <v>3596.36</v>
      </c>
      <c r="J3199" t="n">
        <v>1</v>
      </c>
      <c r="K3199" t="inlineStr">
        <is>
          <t>续持原仓（2024-06-18开）</t>
        </is>
      </c>
    </row>
    <row r="3200">
      <c r="A3200" t="inlineStr">
        <is>
          <t>2024-07-10</t>
        </is>
      </c>
      <c r="B3200" t="inlineStr">
        <is>
          <t>乙二醇</t>
        </is>
      </c>
      <c r="C3200" t="inlineStr">
        <is>
          <t>多</t>
        </is>
      </c>
      <c r="D3200" t="n">
        <v>3</v>
      </c>
      <c r="E3200" t="n">
        <v>6</v>
      </c>
      <c r="F3200" t="inlineStr">
        <is>
          <t>开仓</t>
        </is>
      </c>
      <c r="G3200" t="n">
        <v>18</v>
      </c>
      <c r="H3200" t="n">
        <v>4723</v>
      </c>
      <c r="I3200" t="n">
        <v>4575.57</v>
      </c>
      <c r="J3200" t="n">
        <v>2.71</v>
      </c>
      <c r="K3200" t="inlineStr">
        <is>
          <t>¼凯利</t>
        </is>
      </c>
    </row>
    <row r="3201">
      <c r="A3201" t="inlineStr">
        <is>
          <t>2024-07-10</t>
        </is>
      </c>
      <c r="B3201" t="inlineStr">
        <is>
          <t>苯乙烯</t>
        </is>
      </c>
      <c r="C3201" t="inlineStr">
        <is>
          <t>空</t>
        </is>
      </c>
      <c r="D3201" t="n">
        <v>3</v>
      </c>
      <c r="E3201" t="n">
        <v>6</v>
      </c>
      <c r="F3201" t="inlineStr">
        <is>
          <t>不做</t>
        </is>
      </c>
      <c r="H3201" t="n">
        <v>9282</v>
      </c>
      <c r="J3201" t="n">
        <v>0.08</v>
      </c>
      <c r="K3201" t="inlineStr">
        <is>
          <t>组合风险已近10%，预算缩小</t>
        </is>
      </c>
    </row>
    <row r="3202">
      <c r="A3202" t="inlineStr">
        <is>
          <t>2024-07-10</t>
        </is>
      </c>
      <c r="B3202" t="inlineStr">
        <is>
          <t>聚丙烯</t>
        </is>
      </c>
      <c r="C3202" t="inlineStr">
        <is>
          <t>空</t>
        </is>
      </c>
      <c r="D3202" t="n">
        <v>2</v>
      </c>
      <c r="E3202" t="n">
        <v>4</v>
      </c>
      <c r="F3202" t="inlineStr">
        <is>
          <t>影子仓</t>
        </is>
      </c>
      <c r="G3202" t="n">
        <v>11</v>
      </c>
      <c r="H3202" t="n">
        <v>7669</v>
      </c>
      <c r="I3202" t="n">
        <v>7842.36</v>
      </c>
      <c r="J3202" t="n">
        <v>1</v>
      </c>
      <c r="K3202" t="inlineStr">
        <is>
          <t>凯利≤0，开1%影子仓（只统计，不计入组合）</t>
        </is>
      </c>
    </row>
    <row r="3203">
      <c r="A3203" t="inlineStr">
        <is>
          <t>2024-07-10</t>
        </is>
      </c>
      <c r="B3203" t="inlineStr">
        <is>
          <t>沪银</t>
        </is>
      </c>
      <c r="C3203" t="inlineStr">
        <is>
          <t>多</t>
        </is>
      </c>
      <c r="D3203" t="n">
        <v>2</v>
      </c>
      <c r="E3203" t="n">
        <v>4</v>
      </c>
      <c r="F3203" t="inlineStr">
        <is>
          <t>影子仓</t>
        </is>
      </c>
      <c r="G3203" t="n">
        <v>1</v>
      </c>
      <c r="H3203" t="n">
        <v>8185</v>
      </c>
      <c r="I3203" t="n">
        <v>7683.14</v>
      </c>
      <c r="J3203" t="n">
        <v>1</v>
      </c>
      <c r="K3203" t="inlineStr">
        <is>
          <t>凯利≤0，开1%影子仓（只统计，不计入组合）</t>
        </is>
      </c>
    </row>
    <row r="3204">
      <c r="A3204" t="inlineStr">
        <is>
          <t>2024-07-11</t>
        </is>
      </c>
      <c r="B3204" t="inlineStr">
        <is>
          <t>燃料油</t>
        </is>
      </c>
      <c r="C3204" t="inlineStr">
        <is>
          <t>多</t>
        </is>
      </c>
      <c r="D3204" t="n">
        <v>3</v>
      </c>
      <c r="E3204" t="n">
        <v>7</v>
      </c>
      <c r="F3204" t="inlineStr">
        <is>
          <t>观望</t>
        </is>
      </c>
      <c r="G3204" t="n">
        <v>16</v>
      </c>
      <c r="H3204" t="n">
        <v>3560</v>
      </c>
      <c r="I3204" t="n">
        <v>3389</v>
      </c>
      <c r="J3204" t="n">
        <v>2.8</v>
      </c>
      <c r="K3204" t="inlineStr">
        <is>
          <t>逆5日线（收盘在5日线下，不追多）</t>
        </is>
      </c>
    </row>
    <row r="3205">
      <c r="A3205" t="inlineStr">
        <is>
          <t>2024-07-11</t>
        </is>
      </c>
      <c r="B3205" t="inlineStr">
        <is>
          <t>沪金</t>
        </is>
      </c>
      <c r="C3205" t="inlineStr">
        <is>
          <t>多</t>
        </is>
      </c>
      <c r="D3205" t="n">
        <v>3</v>
      </c>
      <c r="E3205" t="n">
        <v>6</v>
      </c>
      <c r="F3205" t="inlineStr">
        <is>
          <t>续持</t>
        </is>
      </c>
      <c r="G3205" t="n">
        <v>1</v>
      </c>
      <c r="H3205" t="n">
        <v>565.46</v>
      </c>
      <c r="I3205" t="n">
        <v>552.27</v>
      </c>
      <c r="J3205" t="n">
        <v>2.78</v>
      </c>
      <c r="K3205" t="inlineStr">
        <is>
          <t>续持原仓（2024-06-21开）</t>
        </is>
      </c>
    </row>
    <row r="3206">
      <c r="A3206" t="inlineStr">
        <is>
          <t>2024-07-11</t>
        </is>
      </c>
      <c r="B3206" t="inlineStr">
        <is>
          <t>豆粕</t>
        </is>
      </c>
      <c r="C3206" t="inlineStr">
        <is>
          <t>空</t>
        </is>
      </c>
      <c r="D3206" t="n">
        <v>2</v>
      </c>
      <c r="E3206" t="n">
        <v>4</v>
      </c>
      <c r="F3206" t="inlineStr">
        <is>
          <t>影子仓</t>
        </is>
      </c>
      <c r="G3206" t="n">
        <v>5</v>
      </c>
      <c r="H3206" t="n">
        <v>3185</v>
      </c>
      <c r="I3206" t="n">
        <v>3355.79</v>
      </c>
      <c r="J3206" t="n">
        <v>1</v>
      </c>
      <c r="K3206" t="inlineStr">
        <is>
          <t>凯利≤0，开1%影子仓（只统计，不计入组合）</t>
        </is>
      </c>
    </row>
    <row r="3207">
      <c r="A3207" t="inlineStr">
        <is>
          <t>2024-07-12</t>
        </is>
      </c>
      <c r="B3207" t="inlineStr">
        <is>
          <t>沪金</t>
        </is>
      </c>
      <c r="C3207" t="inlineStr">
        <is>
          <t>多</t>
        </is>
      </c>
      <c r="D3207" t="n">
        <v>3</v>
      </c>
      <c r="E3207" t="n">
        <v>7</v>
      </c>
      <c r="F3207" t="inlineStr">
        <is>
          <t>续持</t>
        </is>
      </c>
      <c r="G3207" t="n">
        <v>1</v>
      </c>
      <c r="H3207" t="n">
        <v>568.54</v>
      </c>
      <c r="I3207" t="n">
        <v>558.01</v>
      </c>
      <c r="J3207" t="n">
        <v>2.78</v>
      </c>
      <c r="K3207" t="inlineStr">
        <is>
          <t>续持原仓（2024-06-21开）</t>
        </is>
      </c>
    </row>
    <row r="3208">
      <c r="A3208" t="inlineStr">
        <is>
          <t>2024-07-12</t>
        </is>
      </c>
      <c r="B3208" t="inlineStr">
        <is>
          <t>工业硅</t>
        </is>
      </c>
      <c r="C3208" t="inlineStr">
        <is>
          <t>空</t>
        </is>
      </c>
      <c r="D3208" t="n">
        <v>3</v>
      </c>
      <c r="E3208" t="n">
        <v>6</v>
      </c>
      <c r="F3208" t="inlineStr">
        <is>
          <t>开仓</t>
        </is>
      </c>
      <c r="G3208" t="n">
        <v>8</v>
      </c>
      <c r="H3208" t="n">
        <v>10765</v>
      </c>
      <c r="I3208" t="n">
        <v>11414.29</v>
      </c>
      <c r="J3208" t="n">
        <v>2.82</v>
      </c>
      <c r="K3208" t="inlineStr">
        <is>
          <t>¼凯利</t>
        </is>
      </c>
    </row>
    <row r="3209">
      <c r="A3209" t="inlineStr">
        <is>
          <t>2024-07-12</t>
        </is>
      </c>
      <c r="B3209" t="inlineStr">
        <is>
          <t>沪镍</t>
        </is>
      </c>
      <c r="C3209" t="inlineStr">
        <is>
          <t>多</t>
        </is>
      </c>
      <c r="D3209" t="n">
        <v>3</v>
      </c>
      <c r="E3209" t="n">
        <v>6</v>
      </c>
      <c r="F3209" t="inlineStr">
        <is>
          <t>观望</t>
        </is>
      </c>
      <c r="G3209" t="n">
        <v>3</v>
      </c>
      <c r="H3209" t="n">
        <v>135010</v>
      </c>
      <c r="I3209" t="n">
        <v>127559.29</v>
      </c>
      <c r="J3209" t="n">
        <v>2.82</v>
      </c>
      <c r="K3209" t="inlineStr">
        <is>
          <t>逆5日线（收盘在5日线下，不追多）</t>
        </is>
      </c>
    </row>
    <row r="3210">
      <c r="A3210" t="inlineStr">
        <is>
          <t>2024-07-12</t>
        </is>
      </c>
      <c r="B3210" t="inlineStr">
        <is>
          <t>豆粕</t>
        </is>
      </c>
      <c r="C3210" t="inlineStr">
        <is>
          <t>空</t>
        </is>
      </c>
      <c r="D3210" t="n">
        <v>2</v>
      </c>
      <c r="E3210" t="n">
        <v>5</v>
      </c>
      <c r="F3210" t="inlineStr">
        <is>
          <t>续持</t>
        </is>
      </c>
      <c r="G3210" t="n">
        <v>5</v>
      </c>
      <c r="H3210" t="n">
        <v>3166</v>
      </c>
      <c r="I3210" t="n">
        <v>3332.43</v>
      </c>
      <c r="J3210" t="n">
        <v>1</v>
      </c>
      <c r="K3210" t="inlineStr">
        <is>
          <t>续持原仓（2024-07-11开）</t>
        </is>
      </c>
    </row>
    <row r="3211">
      <c r="A3211" t="inlineStr">
        <is>
          <t>2024-07-12</t>
        </is>
      </c>
      <c r="B3211" t="inlineStr">
        <is>
          <t>碳酸锂</t>
        </is>
      </c>
      <c r="C3211" t="inlineStr">
        <is>
          <t>空</t>
        </is>
      </c>
      <c r="D3211" t="n">
        <v>2</v>
      </c>
      <c r="E3211" t="n">
        <v>4</v>
      </c>
      <c r="F3211" t="inlineStr">
        <is>
          <t>影子仓</t>
        </is>
      </c>
      <c r="G3211" t="n">
        <v>1</v>
      </c>
      <c r="H3211" t="n">
        <v>91350</v>
      </c>
      <c r="I3211" t="n">
        <v>100039.29</v>
      </c>
      <c r="J3211" t="n">
        <v>1</v>
      </c>
      <c r="K3211" t="inlineStr">
        <is>
          <t>凯利≤0，开1%影子仓（只统计，不计入组合）</t>
        </is>
      </c>
    </row>
    <row r="3212">
      <c r="A3212" t="inlineStr">
        <is>
          <t>2024-07-15</t>
        </is>
      </c>
      <c r="B3212" t="inlineStr">
        <is>
          <t>PVC</t>
        </is>
      </c>
      <c r="C3212" t="inlineStr">
        <is>
          <t>空</t>
        </is>
      </c>
      <c r="D3212" t="n">
        <v>3</v>
      </c>
      <c r="E3212" t="n">
        <v>7</v>
      </c>
      <c r="F3212" t="inlineStr">
        <is>
          <t>开仓</t>
        </is>
      </c>
      <c r="G3212" t="n">
        <v>28</v>
      </c>
      <c r="H3212" t="n">
        <v>5821</v>
      </c>
      <c r="I3212" t="n">
        <v>6024.79</v>
      </c>
      <c r="J3212" t="n">
        <v>2.86</v>
      </c>
      <c r="K3212" t="inlineStr">
        <is>
          <t>¼凯利</t>
        </is>
      </c>
    </row>
    <row r="3213">
      <c r="A3213" t="inlineStr">
        <is>
          <t>2024-07-15</t>
        </is>
      </c>
      <c r="B3213" t="inlineStr">
        <is>
          <t>沪金</t>
        </is>
      </c>
      <c r="C3213" t="inlineStr">
        <is>
          <t>多</t>
        </is>
      </c>
      <c r="D3213" t="n">
        <v>3</v>
      </c>
      <c r="E3213" t="n">
        <v>6</v>
      </c>
      <c r="F3213" t="inlineStr">
        <is>
          <t>续持</t>
        </is>
      </c>
      <c r="G3213" t="n">
        <v>1</v>
      </c>
      <c r="H3213" t="n">
        <v>568.34</v>
      </c>
      <c r="I3213" t="n">
        <v>558.01</v>
      </c>
      <c r="J3213" t="n">
        <v>2.78</v>
      </c>
      <c r="K3213" t="inlineStr">
        <is>
          <t>续持原仓（2024-06-21开）</t>
        </is>
      </c>
    </row>
    <row r="3214">
      <c r="A3214" t="inlineStr">
        <is>
          <t>2024-07-15</t>
        </is>
      </c>
      <c r="B3214" t="inlineStr">
        <is>
          <t>豆油</t>
        </is>
      </c>
      <c r="C3214" t="inlineStr">
        <is>
          <t>空</t>
        </is>
      </c>
      <c r="D3214" t="n">
        <v>3</v>
      </c>
      <c r="E3214" t="n">
        <v>6</v>
      </c>
      <c r="F3214" t="inlineStr">
        <is>
          <t>开仓</t>
        </is>
      </c>
      <c r="G3214" t="n">
        <v>7</v>
      </c>
      <c r="H3214" t="n">
        <v>7592</v>
      </c>
      <c r="I3214" t="n">
        <v>7960.57</v>
      </c>
      <c r="J3214" t="n">
        <v>2.86</v>
      </c>
      <c r="K3214" t="inlineStr">
        <is>
          <t>¼凯利</t>
        </is>
      </c>
    </row>
    <row r="3215">
      <c r="A3215" t="inlineStr">
        <is>
          <t>2024-07-15</t>
        </is>
      </c>
      <c r="B3215" t="inlineStr">
        <is>
          <t>玉米</t>
        </is>
      </c>
      <c r="C3215" t="inlineStr">
        <is>
          <t>空</t>
        </is>
      </c>
      <c r="D3215" t="n">
        <v>3</v>
      </c>
      <c r="E3215" t="n">
        <v>6</v>
      </c>
      <c r="F3215" t="inlineStr">
        <is>
          <t>开仓</t>
        </is>
      </c>
      <c r="G3215" t="n">
        <v>26</v>
      </c>
      <c r="H3215" t="n">
        <v>2384</v>
      </c>
      <c r="I3215" t="n">
        <v>2440.57</v>
      </c>
      <c r="J3215" t="n">
        <v>1.5</v>
      </c>
      <c r="K3215" t="inlineStr">
        <is>
          <t>组合风险已近10%，预算缩小</t>
        </is>
      </c>
    </row>
    <row r="3216">
      <c r="A3216" t="inlineStr">
        <is>
          <t>2024-07-15</t>
        </is>
      </c>
      <c r="B3216" t="inlineStr">
        <is>
          <t>豆粕</t>
        </is>
      </c>
      <c r="C3216" t="inlineStr">
        <is>
          <t>空</t>
        </is>
      </c>
      <c r="D3216" t="n">
        <v>2</v>
      </c>
      <c r="E3216" t="n">
        <v>5</v>
      </c>
      <c r="F3216" t="inlineStr">
        <is>
          <t>续持</t>
        </is>
      </c>
      <c r="G3216" t="n">
        <v>5</v>
      </c>
      <c r="H3216" t="n">
        <v>3105</v>
      </c>
      <c r="I3216" t="n">
        <v>3267.57</v>
      </c>
      <c r="J3216" t="n">
        <v>1</v>
      </c>
      <c r="K3216" t="inlineStr">
        <is>
          <t>续持原仓（2024-07-11开）</t>
        </is>
      </c>
    </row>
    <row r="3217">
      <c r="A3217" t="inlineStr">
        <is>
          <t>2024-07-15</t>
        </is>
      </c>
      <c r="B3217" t="inlineStr">
        <is>
          <t>甲醇</t>
        </is>
      </c>
      <c r="C3217" t="inlineStr">
        <is>
          <t>空</t>
        </is>
      </c>
      <c r="D3217" t="n">
        <v>2</v>
      </c>
      <c r="E3217" t="n">
        <v>4</v>
      </c>
      <c r="F3217" t="inlineStr">
        <is>
          <t>观望</t>
        </is>
      </c>
      <c r="G3217" t="n">
        <v>10</v>
      </c>
      <c r="H3217" t="n">
        <v>2571</v>
      </c>
      <c r="I3217" t="n">
        <v>2669.36</v>
      </c>
      <c r="J3217" t="n">
        <v>1</v>
      </c>
      <c r="K3217" t="inlineStr">
        <is>
          <t>逆5日线（收盘在5日线上，不追空）</t>
        </is>
      </c>
    </row>
    <row r="3218">
      <c r="A3218" t="inlineStr">
        <is>
          <t>2024-07-16</t>
        </is>
      </c>
      <c r="B3218" t="inlineStr">
        <is>
          <t>豆粕</t>
        </is>
      </c>
      <c r="C3218" t="inlineStr">
        <is>
          <t>空</t>
        </is>
      </c>
      <c r="D3218" t="n">
        <v>3</v>
      </c>
      <c r="E3218" t="n">
        <v>7</v>
      </c>
      <c r="F3218" t="inlineStr">
        <is>
          <t>续持</t>
        </is>
      </c>
      <c r="G3218" t="n">
        <v>5</v>
      </c>
      <c r="H3218" t="n">
        <v>3084</v>
      </c>
      <c r="I3218" t="n">
        <v>3248.21</v>
      </c>
      <c r="J3218" t="n">
        <v>1</v>
      </c>
      <c r="K3218" t="inlineStr">
        <is>
          <t>续持原仓（2024-07-11开）</t>
        </is>
      </c>
    </row>
    <row r="3219">
      <c r="A3219" t="inlineStr">
        <is>
          <t>2024-07-16</t>
        </is>
      </c>
      <c r="B3219" t="inlineStr">
        <is>
          <t>沪金</t>
        </is>
      </c>
      <c r="C3219" t="inlineStr">
        <is>
          <t>多</t>
        </is>
      </c>
      <c r="D3219" t="n">
        <v>3</v>
      </c>
      <c r="E3219" t="n">
        <v>7</v>
      </c>
      <c r="F3219" t="inlineStr">
        <is>
          <t>续持</t>
        </is>
      </c>
      <c r="G3219" t="n">
        <v>1</v>
      </c>
      <c r="H3219" t="n">
        <v>574.9400000000001</v>
      </c>
      <c r="I3219" t="n">
        <v>559.72</v>
      </c>
      <c r="J3219" t="n">
        <v>2.78</v>
      </c>
      <c r="K3219" t="inlineStr">
        <is>
          <t>续持原仓（2024-06-21开）</t>
        </is>
      </c>
    </row>
    <row r="3220">
      <c r="A3220" t="inlineStr">
        <is>
          <t>2024-07-16</t>
        </is>
      </c>
      <c r="B3220" t="inlineStr">
        <is>
          <t>玉米</t>
        </is>
      </c>
      <c r="C3220" t="inlineStr">
        <is>
          <t>空</t>
        </is>
      </c>
      <c r="D3220" t="n">
        <v>3</v>
      </c>
      <c r="E3220" t="n">
        <v>6</v>
      </c>
      <c r="F3220" t="inlineStr">
        <is>
          <t>续持</t>
        </is>
      </c>
      <c r="G3220" t="n">
        <v>26</v>
      </c>
      <c r="H3220" t="n">
        <v>2381</v>
      </c>
      <c r="I3220" t="n">
        <v>2423.86</v>
      </c>
      <c r="J3220" t="n">
        <v>1.5</v>
      </c>
      <c r="K3220" t="inlineStr">
        <is>
          <t>续持原仓（2024-07-15开）</t>
        </is>
      </c>
    </row>
    <row r="3221">
      <c r="A3221" t="inlineStr">
        <is>
          <t>2024-07-16</t>
        </is>
      </c>
      <c r="B3221" t="inlineStr">
        <is>
          <t>锰硅</t>
        </is>
      </c>
      <c r="C3221" t="inlineStr">
        <is>
          <t>空</t>
        </is>
      </c>
      <c r="D3221" t="n">
        <v>2</v>
      </c>
      <c r="E3221" t="n">
        <v>5</v>
      </c>
      <c r="F3221" t="inlineStr">
        <is>
          <t>影子仓</t>
        </is>
      </c>
      <c r="G3221" t="n">
        <v>3</v>
      </c>
      <c r="H3221" t="n">
        <v>7276</v>
      </c>
      <c r="I3221" t="n">
        <v>7902.14</v>
      </c>
      <c r="J3221" t="n">
        <v>1</v>
      </c>
      <c r="K3221" t="inlineStr">
        <is>
          <t>凯利≤0，开1%影子仓（只统计，不计入组合）</t>
        </is>
      </c>
    </row>
    <row r="3222">
      <c r="A3222" t="inlineStr">
        <is>
          <t>2024-07-16</t>
        </is>
      </c>
      <c r="B3222" t="inlineStr">
        <is>
          <t>沪铝</t>
        </is>
      </c>
      <c r="C3222" t="inlineStr">
        <is>
          <t>空</t>
        </is>
      </c>
      <c r="D3222" t="n">
        <v>2</v>
      </c>
      <c r="E3222" t="n">
        <v>4</v>
      </c>
      <c r="F3222" t="inlineStr">
        <is>
          <t>影子仓</t>
        </is>
      </c>
      <c r="G3222" t="n">
        <v>2</v>
      </c>
      <c r="H3222" t="n">
        <v>19860</v>
      </c>
      <c r="I3222" t="n">
        <v>20537.14</v>
      </c>
      <c r="J3222" t="n">
        <v>1</v>
      </c>
      <c r="K3222" t="inlineStr">
        <is>
          <t>凯利≤0，开1%影子仓（只统计，不计入组合）</t>
        </is>
      </c>
    </row>
    <row r="3223">
      <c r="A3223" t="inlineStr">
        <is>
          <t>2024-07-17</t>
        </is>
      </c>
      <c r="B3223" t="inlineStr">
        <is>
          <t>沪金</t>
        </is>
      </c>
      <c r="C3223" t="inlineStr">
        <is>
          <t>多</t>
        </is>
      </c>
      <c r="D3223" t="n">
        <v>3</v>
      </c>
      <c r="E3223" t="n">
        <v>6</v>
      </c>
      <c r="F3223" t="inlineStr">
        <is>
          <t>续持</t>
        </is>
      </c>
      <c r="G3223" t="n">
        <v>1</v>
      </c>
      <c r="H3223" t="n">
        <v>581.5599999999999</v>
      </c>
      <c r="I3223" t="n">
        <v>569.13</v>
      </c>
      <c r="J3223" t="n">
        <v>2.78</v>
      </c>
      <c r="K3223" t="inlineStr">
        <is>
          <t>续持原仓（2024-06-21开）</t>
        </is>
      </c>
    </row>
    <row r="3224">
      <c r="A3224" t="inlineStr">
        <is>
          <t>2024-07-17</t>
        </is>
      </c>
      <c r="B3224" t="inlineStr">
        <is>
          <t>玉米</t>
        </is>
      </c>
      <c r="C3224" t="inlineStr">
        <is>
          <t>空</t>
        </is>
      </c>
      <c r="D3224" t="n">
        <v>3</v>
      </c>
      <c r="E3224" t="n">
        <v>6</v>
      </c>
      <c r="F3224" t="inlineStr">
        <is>
          <t>续持</t>
        </is>
      </c>
      <c r="G3224" t="n">
        <v>26</v>
      </c>
      <c r="H3224" t="n">
        <v>2388</v>
      </c>
      <c r="I3224" t="n">
        <v>2423.86</v>
      </c>
      <c r="J3224" t="n">
        <v>1.5</v>
      </c>
      <c r="K3224" t="inlineStr">
        <is>
          <t>续持原仓（2024-07-15开）</t>
        </is>
      </c>
    </row>
    <row r="3225">
      <c r="A3225" t="inlineStr">
        <is>
          <t>2024-07-17</t>
        </is>
      </c>
      <c r="B3225" t="inlineStr">
        <is>
          <t>锰硅</t>
        </is>
      </c>
      <c r="C3225" t="inlineStr">
        <is>
          <t>空</t>
        </is>
      </c>
      <c r="D3225" t="n">
        <v>3</v>
      </c>
      <c r="E3225" t="n">
        <v>6</v>
      </c>
      <c r="F3225" t="inlineStr">
        <is>
          <t>续持</t>
        </is>
      </c>
      <c r="G3225" t="n">
        <v>3</v>
      </c>
      <c r="H3225" t="n">
        <v>7126</v>
      </c>
      <c r="I3225" t="n">
        <v>7668.86</v>
      </c>
      <c r="J3225" t="n">
        <v>1</v>
      </c>
      <c r="K3225" t="inlineStr">
        <is>
          <t>续持原仓（2024-07-16开）</t>
        </is>
      </c>
    </row>
    <row r="3226">
      <c r="A3226" t="inlineStr">
        <is>
          <t>2024-07-17</t>
        </is>
      </c>
      <c r="B3226" t="inlineStr">
        <is>
          <t>豆粕</t>
        </is>
      </c>
      <c r="C3226" t="inlineStr">
        <is>
          <t>空</t>
        </is>
      </c>
      <c r="D3226" t="n">
        <v>3</v>
      </c>
      <c r="E3226" t="n">
        <v>6</v>
      </c>
      <c r="F3226" t="inlineStr">
        <is>
          <t>续持</t>
        </is>
      </c>
      <c r="G3226" t="n">
        <v>5</v>
      </c>
      <c r="H3226" t="n">
        <v>3111</v>
      </c>
      <c r="I3226" t="n">
        <v>3248.21</v>
      </c>
      <c r="J3226" t="n">
        <v>1</v>
      </c>
      <c r="K3226" t="inlineStr">
        <is>
          <t>续持原仓（2024-07-11开）</t>
        </is>
      </c>
    </row>
    <row r="3227">
      <c r="A3227" t="inlineStr">
        <is>
          <t>2024-07-17</t>
        </is>
      </c>
      <c r="B3227" t="inlineStr">
        <is>
          <t>苯乙烯</t>
        </is>
      </c>
      <c r="C3227" t="inlineStr">
        <is>
          <t>空</t>
        </is>
      </c>
      <c r="D3227" t="n">
        <v>2</v>
      </c>
      <c r="E3227" t="n">
        <v>4</v>
      </c>
      <c r="F3227" t="inlineStr">
        <is>
          <t>影子仓</t>
        </is>
      </c>
      <c r="G3227" t="n">
        <v>4</v>
      </c>
      <c r="H3227" t="n">
        <v>9229</v>
      </c>
      <c r="I3227" t="n">
        <v>9641.709999999999</v>
      </c>
      <c r="J3227" t="n">
        <v>1</v>
      </c>
      <c r="K3227" t="inlineStr">
        <is>
          <t>凯利≤0，开1%影子仓（只统计，不计入组合）</t>
        </is>
      </c>
    </row>
    <row r="3228">
      <c r="A3228" t="inlineStr">
        <is>
          <t>2024-07-18</t>
        </is>
      </c>
      <c r="B3228" t="inlineStr">
        <is>
          <t>豆粕</t>
        </is>
      </c>
      <c r="C3228" t="inlineStr">
        <is>
          <t>空</t>
        </is>
      </c>
      <c r="D3228" t="n">
        <v>3</v>
      </c>
      <c r="E3228" t="n">
        <v>6</v>
      </c>
      <c r="F3228" t="inlineStr">
        <is>
          <t>续持</t>
        </is>
      </c>
      <c r="G3228" t="n">
        <v>5</v>
      </c>
      <c r="H3228" t="n">
        <v>3112</v>
      </c>
      <c r="I3228" t="n">
        <v>3248.21</v>
      </c>
      <c r="J3228" t="n">
        <v>1</v>
      </c>
      <c r="K3228" t="inlineStr">
        <is>
          <t>续持原仓（2024-07-11开）</t>
        </is>
      </c>
    </row>
    <row r="3229">
      <c r="A3229" t="inlineStr">
        <is>
          <t>2024-07-18</t>
        </is>
      </c>
      <c r="B3229" t="inlineStr">
        <is>
          <t>锰硅</t>
        </is>
      </c>
      <c r="C3229" t="inlineStr">
        <is>
          <t>空</t>
        </is>
      </c>
      <c r="D3229" t="n">
        <v>3</v>
      </c>
      <c r="E3229" t="n">
        <v>6</v>
      </c>
      <c r="F3229" t="inlineStr">
        <is>
          <t>续持</t>
        </is>
      </c>
      <c r="G3229" t="n">
        <v>3</v>
      </c>
      <c r="H3229" t="n">
        <v>7168</v>
      </c>
      <c r="I3229" t="n">
        <v>7641.43</v>
      </c>
      <c r="J3229" t="n">
        <v>1</v>
      </c>
      <c r="K3229" t="inlineStr">
        <is>
          <t>续持原仓（2024-07-16开）</t>
        </is>
      </c>
    </row>
    <row r="3230">
      <c r="A3230" t="inlineStr">
        <is>
          <t>2024-07-18</t>
        </is>
      </c>
      <c r="B3230" t="inlineStr">
        <is>
          <t>沪金</t>
        </is>
      </c>
      <c r="C3230" t="inlineStr">
        <is>
          <t>多</t>
        </is>
      </c>
      <c r="D3230" t="n">
        <v>2</v>
      </c>
      <c r="E3230" t="n">
        <v>5</v>
      </c>
      <c r="F3230" t="inlineStr">
        <is>
          <t>续持</t>
        </is>
      </c>
      <c r="G3230" t="n">
        <v>1</v>
      </c>
      <c r="H3230" t="n">
        <v>581.48</v>
      </c>
      <c r="I3230" t="n">
        <v>569.13</v>
      </c>
      <c r="J3230" t="n">
        <v>2.78</v>
      </c>
      <c r="K3230" t="inlineStr">
        <is>
          <t>续持原仓（2024-06-21开）</t>
        </is>
      </c>
    </row>
    <row r="3231">
      <c r="A3231" t="inlineStr">
        <is>
          <t>2024-07-18</t>
        </is>
      </c>
      <c r="B3231" t="inlineStr">
        <is>
          <t>玉米</t>
        </is>
      </c>
      <c r="C3231" t="inlineStr">
        <is>
          <t>空</t>
        </is>
      </c>
      <c r="D3231" t="n">
        <v>2</v>
      </c>
      <c r="E3231" t="n">
        <v>5</v>
      </c>
      <c r="F3231" t="inlineStr">
        <is>
          <t>观望</t>
        </is>
      </c>
      <c r="G3231" t="n">
        <v>16</v>
      </c>
      <c r="H3231" t="n">
        <v>2394</v>
      </c>
      <c r="I3231" t="n">
        <v>2453.36</v>
      </c>
      <c r="J3231" t="n">
        <v>1</v>
      </c>
      <c r="K3231" t="inlineStr">
        <is>
          <t>逆5日线（收盘在5日线上，不追空）</t>
        </is>
      </c>
    </row>
    <row r="3232">
      <c r="A3232" t="inlineStr">
        <is>
          <t>2024-07-18</t>
        </is>
      </c>
      <c r="B3232" t="inlineStr">
        <is>
          <t>沪铝</t>
        </is>
      </c>
      <c r="C3232" t="inlineStr">
        <is>
          <t>空</t>
        </is>
      </c>
      <c r="D3232" t="n">
        <v>2</v>
      </c>
      <c r="E3232" t="n">
        <v>4</v>
      </c>
      <c r="F3232" t="inlineStr">
        <is>
          <t>影子仓</t>
        </is>
      </c>
      <c r="G3232" t="n">
        <v>2</v>
      </c>
      <c r="H3232" t="n">
        <v>19765</v>
      </c>
      <c r="I3232" t="n">
        <v>20445.36</v>
      </c>
      <c r="J3232" t="n">
        <v>1</v>
      </c>
      <c r="K3232" t="inlineStr">
        <is>
          <t>凯利≤0，开1%影子仓（只统计，不计入组合）</t>
        </is>
      </c>
    </row>
    <row r="3233">
      <c r="A3233" t="inlineStr">
        <is>
          <t>2024-07-18</t>
        </is>
      </c>
      <c r="B3233" t="inlineStr">
        <is>
          <t>聚丙烯</t>
        </is>
      </c>
      <c r="C3233" t="inlineStr">
        <is>
          <t>多</t>
        </is>
      </c>
      <c r="D3233" t="n">
        <v>2</v>
      </c>
      <c r="E3233" t="n">
        <v>4</v>
      </c>
      <c r="F3233" t="inlineStr">
        <is>
          <t>影子仓</t>
        </is>
      </c>
      <c r="G3233" t="n">
        <v>12</v>
      </c>
      <c r="H3233" t="n">
        <v>7681</v>
      </c>
      <c r="I3233" t="n">
        <v>7523.93</v>
      </c>
      <c r="J3233" t="n">
        <v>1</v>
      </c>
      <c r="K3233" t="inlineStr">
        <is>
          <t>凯利≤0，开1%影子仓（只统计，不计入组合）</t>
        </is>
      </c>
    </row>
    <row r="3234">
      <c r="A3234" t="inlineStr">
        <is>
          <t>2024-07-18</t>
        </is>
      </c>
      <c r="B3234" t="inlineStr">
        <is>
          <t>燃料油</t>
        </is>
      </c>
      <c r="C3234" t="inlineStr">
        <is>
          <t>多</t>
        </is>
      </c>
      <c r="D3234" t="n">
        <v>2</v>
      </c>
      <c r="E3234" t="n">
        <v>4</v>
      </c>
      <c r="F3234" t="inlineStr">
        <is>
          <t>影子仓</t>
        </is>
      </c>
      <c r="G3234" t="n">
        <v>5</v>
      </c>
      <c r="H3234" t="n">
        <v>3572</v>
      </c>
      <c r="I3234" t="n">
        <v>3385.79</v>
      </c>
      <c r="J3234" t="n">
        <v>1</v>
      </c>
      <c r="K3234" t="inlineStr">
        <is>
          <t>凯利≤0，开1%影子仓（只统计，不计入组合）</t>
        </is>
      </c>
    </row>
    <row r="3235">
      <c r="A3235" t="inlineStr">
        <is>
          <t>2024-07-19</t>
        </is>
      </c>
      <c r="B3235" t="inlineStr">
        <is>
          <t>工业硅</t>
        </is>
      </c>
      <c r="C3235" t="inlineStr">
        <is>
          <t>空</t>
        </is>
      </c>
      <c r="D3235" t="n">
        <v>2</v>
      </c>
      <c r="E3235" t="n">
        <v>5</v>
      </c>
      <c r="F3235" t="inlineStr">
        <is>
          <t>影子仓</t>
        </is>
      </c>
      <c r="G3235" t="n">
        <v>2</v>
      </c>
      <c r="H3235" t="n">
        <v>10575</v>
      </c>
      <c r="I3235" t="n">
        <v>11254.29</v>
      </c>
      <c r="J3235" t="n">
        <v>1</v>
      </c>
      <c r="K3235" t="inlineStr">
        <is>
          <t>凯利≤0，开1%影子仓（只统计，不计入组合）</t>
        </is>
      </c>
    </row>
    <row r="3236">
      <c r="A3236" t="inlineStr">
        <is>
          <t>2024-07-19</t>
        </is>
      </c>
      <c r="B3236" t="inlineStr">
        <is>
          <t>玉米</t>
        </is>
      </c>
      <c r="C3236" t="inlineStr">
        <is>
          <t>空</t>
        </is>
      </c>
      <c r="D3236" t="n">
        <v>2</v>
      </c>
      <c r="E3236" t="n">
        <v>5</v>
      </c>
      <c r="F3236" t="inlineStr">
        <is>
          <t>观望</t>
        </is>
      </c>
      <c r="G3236" t="n">
        <v>17</v>
      </c>
      <c r="H3236" t="n">
        <v>2395</v>
      </c>
      <c r="I3236" t="n">
        <v>2451.57</v>
      </c>
      <c r="J3236" t="n">
        <v>1</v>
      </c>
      <c r="K3236" t="inlineStr">
        <is>
          <t>逆5日线（收盘在5日线上，不追空）</t>
        </is>
      </c>
    </row>
    <row r="3237">
      <c r="A3237" t="inlineStr">
        <is>
          <t>2024-07-19</t>
        </is>
      </c>
      <c r="B3237" t="inlineStr">
        <is>
          <t>苯乙烯</t>
        </is>
      </c>
      <c r="C3237" t="inlineStr">
        <is>
          <t>空</t>
        </is>
      </c>
      <c r="D3237" t="n">
        <v>2</v>
      </c>
      <c r="E3237" t="n">
        <v>5</v>
      </c>
      <c r="F3237" t="inlineStr">
        <is>
          <t>续持</t>
        </is>
      </c>
      <c r="G3237" t="n">
        <v>4</v>
      </c>
      <c r="H3237" t="n">
        <v>9114</v>
      </c>
      <c r="I3237" t="n">
        <v>9462.5</v>
      </c>
      <c r="J3237" t="n">
        <v>1</v>
      </c>
      <c r="K3237" t="inlineStr">
        <is>
          <t>续持原仓（2024-07-17开）</t>
        </is>
      </c>
    </row>
    <row r="3238">
      <c r="A3238" t="inlineStr">
        <is>
          <t>2024-07-22</t>
        </is>
      </c>
      <c r="B3238" t="inlineStr">
        <is>
          <t>玻璃</t>
        </is>
      </c>
      <c r="C3238" t="inlineStr">
        <is>
          <t>空</t>
        </is>
      </c>
      <c r="D3238" t="n">
        <v>3</v>
      </c>
      <c r="E3238" t="n">
        <v>7</v>
      </c>
      <c r="F3238" t="inlineStr">
        <is>
          <t>开仓</t>
        </is>
      </c>
      <c r="G3238" t="n">
        <v>13</v>
      </c>
      <c r="H3238" t="n">
        <v>1428</v>
      </c>
      <c r="I3238" t="n">
        <v>1533.21</v>
      </c>
      <c r="J3238" t="n">
        <v>2.78</v>
      </c>
      <c r="K3238" t="inlineStr">
        <is>
          <t>组合风险已近10%，预算缩小</t>
        </is>
      </c>
    </row>
    <row r="3239">
      <c r="A3239" t="inlineStr">
        <is>
          <t>2024-07-22</t>
        </is>
      </c>
      <c r="B3239" t="inlineStr">
        <is>
          <t>沪铝</t>
        </is>
      </c>
      <c r="C3239" t="inlineStr">
        <is>
          <t>空</t>
        </is>
      </c>
      <c r="D3239" t="n">
        <v>3</v>
      </c>
      <c r="E3239" t="n">
        <v>7</v>
      </c>
      <c r="F3239" t="inlineStr">
        <is>
          <t>不做</t>
        </is>
      </c>
      <c r="H3239" t="n">
        <v>19450</v>
      </c>
      <c r="J3239" t="n">
        <v>0</v>
      </c>
      <c r="K3239" t="inlineStr">
        <is>
          <t>组合风险已近10%，预算缩小</t>
        </is>
      </c>
    </row>
    <row r="3240">
      <c r="A3240" t="inlineStr">
        <is>
          <t>2024-07-22</t>
        </is>
      </c>
      <c r="B3240" t="inlineStr">
        <is>
          <t>工业硅</t>
        </is>
      </c>
      <c r="C3240" t="inlineStr">
        <is>
          <t>空</t>
        </is>
      </c>
      <c r="D3240" t="n">
        <v>3</v>
      </c>
      <c r="E3240" t="n">
        <v>6</v>
      </c>
      <c r="F3240" t="inlineStr">
        <is>
          <t>续持</t>
        </is>
      </c>
      <c r="G3240" t="n">
        <v>2</v>
      </c>
      <c r="H3240" t="n">
        <v>10275</v>
      </c>
      <c r="I3240" t="n">
        <v>10991.43</v>
      </c>
      <c r="J3240" t="n">
        <v>1</v>
      </c>
      <c r="K3240" t="inlineStr">
        <is>
          <t>续持原仓（2024-07-19开）</t>
        </is>
      </c>
    </row>
    <row r="3241">
      <c r="A3241" t="inlineStr">
        <is>
          <t>2024-07-22</t>
        </is>
      </c>
      <c r="B3241" t="inlineStr">
        <is>
          <t>沪金</t>
        </is>
      </c>
      <c r="C3241" t="inlineStr">
        <is>
          <t>多</t>
        </is>
      </c>
      <c r="D3241" t="n">
        <v>3</v>
      </c>
      <c r="E3241" t="n">
        <v>6</v>
      </c>
      <c r="F3241" t="inlineStr">
        <is>
          <t>观望</t>
        </is>
      </c>
      <c r="H3241" t="n">
        <v>565.4</v>
      </c>
      <c r="J3241" t="n">
        <v>0</v>
      </c>
      <c r="K3241" t="inlineStr">
        <is>
          <t>逆5日线（收盘在5日线下，不追多）</t>
        </is>
      </c>
    </row>
    <row r="3242">
      <c r="A3242" t="inlineStr">
        <is>
          <t>2024-07-22</t>
        </is>
      </c>
      <c r="B3242" t="inlineStr">
        <is>
          <t>玉米</t>
        </is>
      </c>
      <c r="C3242" t="inlineStr">
        <is>
          <t>空</t>
        </is>
      </c>
      <c r="D3242" t="n">
        <v>2</v>
      </c>
      <c r="E3242" t="n">
        <v>5</v>
      </c>
      <c r="F3242" t="inlineStr">
        <is>
          <t>观望</t>
        </is>
      </c>
      <c r="G3242" t="n">
        <v>17</v>
      </c>
      <c r="H3242" t="n">
        <v>2406</v>
      </c>
      <c r="I3242" t="n">
        <v>2463.64</v>
      </c>
      <c r="J3242" t="n">
        <v>1</v>
      </c>
      <c r="K3242" t="inlineStr">
        <is>
          <t>逆5日线（收盘在5日线上，不追空）</t>
        </is>
      </c>
    </row>
    <row r="3243">
      <c r="A3243" t="inlineStr">
        <is>
          <t>2024-07-22</t>
        </is>
      </c>
      <c r="B3243" t="inlineStr">
        <is>
          <t>甲醇</t>
        </is>
      </c>
      <c r="C3243" t="inlineStr">
        <is>
          <t>多</t>
        </is>
      </c>
      <c r="D3243" t="n">
        <v>2</v>
      </c>
      <c r="E3243" t="n">
        <v>5</v>
      </c>
      <c r="F3243" t="inlineStr">
        <is>
          <t>观望</t>
        </is>
      </c>
      <c r="G3243" t="n">
        <v>10</v>
      </c>
      <c r="H3243" t="n">
        <v>2488</v>
      </c>
      <c r="I3243" t="n">
        <v>2391.79</v>
      </c>
      <c r="J3243" t="n">
        <v>1</v>
      </c>
      <c r="K3243" t="inlineStr">
        <is>
          <t>逆5日线（收盘在5日线下，不追多）</t>
        </is>
      </c>
    </row>
    <row r="3244">
      <c r="A3244" t="inlineStr">
        <is>
          <t>2024-07-22</t>
        </is>
      </c>
      <c r="B3244" t="inlineStr">
        <is>
          <t>纯碱</t>
        </is>
      </c>
      <c r="C3244" t="inlineStr">
        <is>
          <t>空</t>
        </is>
      </c>
      <c r="D3244" t="n">
        <v>2</v>
      </c>
      <c r="E3244" t="n">
        <v>5</v>
      </c>
      <c r="F3244" t="inlineStr">
        <is>
          <t>影子仓</t>
        </is>
      </c>
      <c r="G3244" t="n">
        <v>2</v>
      </c>
      <c r="H3244" t="n">
        <v>1894</v>
      </c>
      <c r="I3244" t="n">
        <v>2089.21</v>
      </c>
      <c r="J3244" t="n">
        <v>1</v>
      </c>
      <c r="K3244" t="inlineStr">
        <is>
          <t>凯利≤0，开1%影子仓（只统计，不计入组合）</t>
        </is>
      </c>
    </row>
    <row r="3245">
      <c r="A3245" t="inlineStr">
        <is>
          <t>2024-07-22</t>
        </is>
      </c>
      <c r="B3245" t="inlineStr">
        <is>
          <t>菜油</t>
        </is>
      </c>
      <c r="C3245" t="inlineStr">
        <is>
          <t>多</t>
        </is>
      </c>
      <c r="D3245" t="n">
        <v>2</v>
      </c>
      <c r="E3245" t="n">
        <v>4</v>
      </c>
      <c r="F3245" t="inlineStr">
        <is>
          <t>影子仓</t>
        </is>
      </c>
      <c r="G3245" t="n">
        <v>2</v>
      </c>
      <c r="H3245" t="n">
        <v>8684</v>
      </c>
      <c r="I3245" t="n">
        <v>8184.29</v>
      </c>
      <c r="J3245" t="n">
        <v>1</v>
      </c>
      <c r="K3245" t="inlineStr">
        <is>
          <t>凯利≤0，开1%影子仓（只统计，不计入组合）</t>
        </is>
      </c>
    </row>
    <row r="3246">
      <c r="A3246" t="inlineStr">
        <is>
          <t>2024-07-23</t>
        </is>
      </c>
      <c r="B3246" t="inlineStr">
        <is>
          <t>塑料</t>
        </is>
      </c>
      <c r="C3246" t="inlineStr">
        <is>
          <t>空</t>
        </is>
      </c>
      <c r="D3246" t="n">
        <v>3</v>
      </c>
      <c r="E3246" t="n">
        <v>6</v>
      </c>
      <c r="F3246" t="inlineStr">
        <is>
          <t>开仓</t>
        </is>
      </c>
      <c r="G3246" t="n">
        <v>31</v>
      </c>
      <c r="H3246" t="n">
        <v>8310</v>
      </c>
      <c r="I3246" t="n">
        <v>8486.57</v>
      </c>
      <c r="J3246" t="n">
        <v>2.78</v>
      </c>
      <c r="K3246" t="inlineStr">
        <is>
          <t>组合风险已近10%，预算缩小</t>
        </is>
      </c>
    </row>
    <row r="3247">
      <c r="A3247" t="inlineStr">
        <is>
          <t>2024-07-23</t>
        </is>
      </c>
      <c r="B3247" t="inlineStr">
        <is>
          <t>玉米</t>
        </is>
      </c>
      <c r="C3247" t="inlineStr">
        <is>
          <t>空</t>
        </is>
      </c>
      <c r="D3247" t="n">
        <v>3</v>
      </c>
      <c r="E3247" t="n">
        <v>6</v>
      </c>
      <c r="F3247" t="inlineStr">
        <is>
          <t>续持</t>
        </is>
      </c>
      <c r="G3247" t="n">
        <v>26</v>
      </c>
      <c r="H3247" t="n">
        <v>2393</v>
      </c>
      <c r="I3247" t="n">
        <v>2422.57</v>
      </c>
      <c r="J3247" t="n">
        <v>1.5</v>
      </c>
      <c r="K3247" t="inlineStr">
        <is>
          <t>续持原仓（2024-07-15开）</t>
        </is>
      </c>
    </row>
    <row r="3248">
      <c r="A3248" t="inlineStr">
        <is>
          <t>2024-07-23</t>
        </is>
      </c>
      <c r="B3248" t="inlineStr">
        <is>
          <t>沪铝</t>
        </is>
      </c>
      <c r="C3248" t="inlineStr">
        <is>
          <t>空</t>
        </is>
      </c>
      <c r="D3248" t="n">
        <v>3</v>
      </c>
      <c r="E3248" t="n">
        <v>6</v>
      </c>
      <c r="F3248" t="inlineStr">
        <is>
          <t>不做</t>
        </is>
      </c>
      <c r="H3248" t="n">
        <v>19290</v>
      </c>
      <c r="J3248" t="n">
        <v>0</v>
      </c>
      <c r="K3248" t="inlineStr">
        <is>
          <t>组合风险已近10%，预算缩小</t>
        </is>
      </c>
    </row>
    <row r="3249">
      <c r="A3249" t="inlineStr">
        <is>
          <t>2024-07-23</t>
        </is>
      </c>
      <c r="B3249" t="inlineStr">
        <is>
          <t>纯碱</t>
        </is>
      </c>
      <c r="C3249" t="inlineStr">
        <is>
          <t>空</t>
        </is>
      </c>
      <c r="D3249" t="n">
        <v>3</v>
      </c>
      <c r="E3249" t="n">
        <v>6</v>
      </c>
      <c r="F3249" t="inlineStr">
        <is>
          <t>续持</t>
        </is>
      </c>
      <c r="G3249" t="n">
        <v>2</v>
      </c>
      <c r="H3249" t="n">
        <v>1854</v>
      </c>
      <c r="I3249" t="n">
        <v>2044.79</v>
      </c>
      <c r="J3249" t="n">
        <v>1</v>
      </c>
      <c r="K3249" t="inlineStr">
        <is>
          <t>续持原仓（2024-07-22开）</t>
        </is>
      </c>
    </row>
    <row r="3250">
      <c r="A3250" t="inlineStr">
        <is>
          <t>2024-07-23</t>
        </is>
      </c>
      <c r="B3250" t="inlineStr">
        <is>
          <t>沪金</t>
        </is>
      </c>
      <c r="C3250" t="inlineStr">
        <is>
          <t>多</t>
        </is>
      </c>
      <c r="D3250" t="n">
        <v>2</v>
      </c>
      <c r="E3250" t="n">
        <v>5</v>
      </c>
      <c r="F3250" t="inlineStr">
        <is>
          <t>观望</t>
        </is>
      </c>
      <c r="H3250" t="n">
        <v>562.6</v>
      </c>
      <c r="J3250" t="n">
        <v>1</v>
      </c>
      <c r="K3250" t="inlineStr">
        <is>
          <t>逆5日线（收盘在5日线下，不追多）</t>
        </is>
      </c>
    </row>
    <row r="3251">
      <c r="A3251" t="inlineStr">
        <is>
          <t>2024-07-23</t>
        </is>
      </c>
      <c r="B3251" t="inlineStr">
        <is>
          <t>沪镍</t>
        </is>
      </c>
      <c r="C3251" t="inlineStr">
        <is>
          <t>空</t>
        </is>
      </c>
      <c r="D3251" t="n">
        <v>2</v>
      </c>
      <c r="E3251" t="n">
        <v>5</v>
      </c>
      <c r="F3251" t="inlineStr">
        <is>
          <t>影子仓</t>
        </is>
      </c>
      <c r="G3251" t="n">
        <v>1</v>
      </c>
      <c r="H3251" t="n">
        <v>127980</v>
      </c>
      <c r="I3251" t="n">
        <v>134567.14</v>
      </c>
      <c r="J3251" t="n">
        <v>1</v>
      </c>
      <c r="K3251" t="inlineStr">
        <is>
          <t>凯利≤0，开1%影子仓（只统计，不计入组合）</t>
        </is>
      </c>
    </row>
    <row r="3252">
      <c r="A3252" t="inlineStr">
        <is>
          <t>2024-07-24</t>
        </is>
      </c>
      <c r="B3252" t="inlineStr">
        <is>
          <t>工业硅</t>
        </is>
      </c>
      <c r="C3252" t="inlineStr">
        <is>
          <t>空</t>
        </is>
      </c>
      <c r="D3252" t="n">
        <v>3</v>
      </c>
      <c r="E3252" t="n">
        <v>7</v>
      </c>
      <c r="F3252" t="inlineStr">
        <is>
          <t>续持</t>
        </is>
      </c>
      <c r="G3252" t="n">
        <v>2</v>
      </c>
      <c r="H3252" t="n">
        <v>10235</v>
      </c>
      <c r="I3252" t="n">
        <v>10908.57</v>
      </c>
      <c r="J3252" t="n">
        <v>1</v>
      </c>
      <c r="K3252" t="inlineStr">
        <is>
          <t>续持原仓（2024-07-19开）</t>
        </is>
      </c>
    </row>
    <row r="3253">
      <c r="A3253" t="inlineStr">
        <is>
          <t>2024-07-24</t>
        </is>
      </c>
      <c r="B3253" t="inlineStr">
        <is>
          <t>沪金</t>
        </is>
      </c>
      <c r="C3253" t="inlineStr">
        <is>
          <t>多</t>
        </is>
      </c>
      <c r="D3253" t="n">
        <v>3</v>
      </c>
      <c r="E3253" t="n">
        <v>7</v>
      </c>
      <c r="F3253" t="inlineStr">
        <is>
          <t>不做</t>
        </is>
      </c>
      <c r="H3253" t="n">
        <v>569.64</v>
      </c>
      <c r="J3253" t="n">
        <v>0</v>
      </c>
      <c r="K3253" t="inlineStr">
        <is>
          <t>组合风险已近10%，预算缩小</t>
        </is>
      </c>
    </row>
    <row r="3254">
      <c r="A3254" t="inlineStr">
        <is>
          <t>2024-07-24</t>
        </is>
      </c>
      <c r="B3254" t="inlineStr">
        <is>
          <t>塑料</t>
        </is>
      </c>
      <c r="C3254" t="inlineStr">
        <is>
          <t>空</t>
        </is>
      </c>
      <c r="D3254" t="n">
        <v>3</v>
      </c>
      <c r="E3254" t="n">
        <v>6</v>
      </c>
      <c r="F3254" t="inlineStr">
        <is>
          <t>续持</t>
        </is>
      </c>
      <c r="G3254" t="n">
        <v>31</v>
      </c>
      <c r="H3254" t="n">
        <v>8313</v>
      </c>
      <c r="I3254" t="n">
        <v>8429.639999999999</v>
      </c>
      <c r="J3254" t="n">
        <v>2.78</v>
      </c>
      <c r="K3254" t="inlineStr">
        <is>
          <t>续持原仓（2024-07-23开）</t>
        </is>
      </c>
    </row>
    <row r="3255">
      <c r="A3255" t="inlineStr">
        <is>
          <t>2024-07-24</t>
        </is>
      </c>
      <c r="B3255" t="inlineStr">
        <is>
          <t>燃料油</t>
        </is>
      </c>
      <c r="C3255" t="inlineStr">
        <is>
          <t>空</t>
        </is>
      </c>
      <c r="D3255" t="n">
        <v>3</v>
      </c>
      <c r="E3255" t="n">
        <v>6</v>
      </c>
      <c r="F3255" t="inlineStr">
        <is>
          <t>不做</t>
        </is>
      </c>
      <c r="H3255" t="n">
        <v>3407</v>
      </c>
      <c r="J3255" t="n">
        <v>0</v>
      </c>
      <c r="K3255" t="inlineStr">
        <is>
          <t>组合风险已近10%，预算缩小</t>
        </is>
      </c>
    </row>
    <row r="3256">
      <c r="A3256" t="inlineStr">
        <is>
          <t>2024-07-24</t>
        </is>
      </c>
      <c r="B3256" t="inlineStr">
        <is>
          <t>苯乙烯</t>
        </is>
      </c>
      <c r="C3256" t="inlineStr">
        <is>
          <t>空</t>
        </is>
      </c>
      <c r="D3256" t="n">
        <v>3</v>
      </c>
      <c r="E3256" t="n">
        <v>6</v>
      </c>
      <c r="F3256" t="inlineStr">
        <is>
          <t>不做</t>
        </is>
      </c>
      <c r="H3256" t="n">
        <v>8947</v>
      </c>
      <c r="J3256" t="n">
        <v>0</v>
      </c>
      <c r="K3256" t="inlineStr">
        <is>
          <t>组合风险已近10%，预算缩小</t>
        </is>
      </c>
    </row>
    <row r="3257">
      <c r="A3257" t="inlineStr">
        <is>
          <t>2024-07-24</t>
        </is>
      </c>
      <c r="B3257" t="inlineStr">
        <is>
          <t>玉米</t>
        </is>
      </c>
      <c r="C3257" t="inlineStr">
        <is>
          <t>空</t>
        </is>
      </c>
      <c r="D3257" t="n">
        <v>3</v>
      </c>
      <c r="E3257" t="n">
        <v>6</v>
      </c>
      <c r="F3257" t="inlineStr">
        <is>
          <t>续持</t>
        </is>
      </c>
      <c r="G3257" t="n">
        <v>26</v>
      </c>
      <c r="H3257" t="n">
        <v>2371</v>
      </c>
      <c r="I3257" t="n">
        <v>2422.57</v>
      </c>
      <c r="J3257" t="n">
        <v>1.5</v>
      </c>
      <c r="K3257" t="inlineStr">
        <is>
          <t>续持原仓（2024-07-15开）</t>
        </is>
      </c>
    </row>
    <row r="3258">
      <c r="A3258" t="inlineStr">
        <is>
          <t>2024-07-24</t>
        </is>
      </c>
      <c r="B3258" t="inlineStr">
        <is>
          <t>甲醇</t>
        </is>
      </c>
      <c r="C3258" t="inlineStr">
        <is>
          <t>多</t>
        </is>
      </c>
      <c r="D3258" t="n">
        <v>2</v>
      </c>
      <c r="E3258" t="n">
        <v>4</v>
      </c>
      <c r="F3258" t="inlineStr">
        <is>
          <t>影子仓</t>
        </is>
      </c>
      <c r="G3258" t="n">
        <v>9</v>
      </c>
      <c r="H3258" t="n">
        <v>2512</v>
      </c>
      <c r="I3258" t="n">
        <v>2411.93</v>
      </c>
      <c r="J3258" t="n">
        <v>1</v>
      </c>
      <c r="K3258" t="inlineStr">
        <is>
          <t>凯利≤0，开1%影子仓（只统计，不计入组合）</t>
        </is>
      </c>
    </row>
    <row r="3259">
      <c r="A3259" t="inlineStr">
        <is>
          <t>2024-07-25</t>
        </is>
      </c>
      <c r="B3259" t="inlineStr">
        <is>
          <t>玻璃</t>
        </is>
      </c>
      <c r="C3259" t="inlineStr">
        <is>
          <t>空</t>
        </is>
      </c>
      <c r="D3259" t="n">
        <v>3</v>
      </c>
      <c r="E3259" t="n">
        <v>7</v>
      </c>
      <c r="F3259" t="inlineStr">
        <is>
          <t>不做</t>
        </is>
      </c>
      <c r="H3259" t="n">
        <v>1412</v>
      </c>
      <c r="J3259" t="n">
        <v>0</v>
      </c>
      <c r="K3259" t="inlineStr">
        <is>
          <t>组合风险已近10%，预算缩小</t>
        </is>
      </c>
    </row>
    <row r="3260">
      <c r="A3260" t="inlineStr">
        <is>
          <t>2024-07-25</t>
        </is>
      </c>
      <c r="B3260" t="inlineStr">
        <is>
          <t>塑料</t>
        </is>
      </c>
      <c r="C3260" t="inlineStr">
        <is>
          <t>空</t>
        </is>
      </c>
      <c r="D3260" t="n">
        <v>3</v>
      </c>
      <c r="E3260" t="n">
        <v>7</v>
      </c>
      <c r="F3260" t="inlineStr">
        <is>
          <t>续持</t>
        </is>
      </c>
      <c r="G3260" t="n">
        <v>31</v>
      </c>
      <c r="H3260" t="n">
        <v>8280</v>
      </c>
      <c r="I3260" t="n">
        <v>8421.07</v>
      </c>
      <c r="J3260" t="n">
        <v>2.78</v>
      </c>
      <c r="K3260" t="inlineStr">
        <is>
          <t>续持原仓（2024-07-23开）</t>
        </is>
      </c>
    </row>
    <row r="3261">
      <c r="A3261" t="inlineStr">
        <is>
          <t>2024-07-25</t>
        </is>
      </c>
      <c r="B3261" t="inlineStr">
        <is>
          <t>玉米</t>
        </is>
      </c>
      <c r="C3261" t="inlineStr">
        <is>
          <t>空</t>
        </is>
      </c>
      <c r="D3261" t="n">
        <v>3</v>
      </c>
      <c r="E3261" t="n">
        <v>7</v>
      </c>
      <c r="F3261" t="inlineStr">
        <is>
          <t>续持</t>
        </is>
      </c>
      <c r="G3261" t="n">
        <v>26</v>
      </c>
      <c r="H3261" t="n">
        <v>2350</v>
      </c>
      <c r="I3261" t="n">
        <v>2403.86</v>
      </c>
      <c r="J3261" t="n">
        <v>1.5</v>
      </c>
      <c r="K3261" t="inlineStr">
        <is>
          <t>续持原仓（2024-07-15开）</t>
        </is>
      </c>
    </row>
    <row r="3262">
      <c r="A3262" t="inlineStr">
        <is>
          <t>2024-07-25</t>
        </is>
      </c>
      <c r="B3262" t="inlineStr">
        <is>
          <t>燃料油</t>
        </is>
      </c>
      <c r="C3262" t="inlineStr">
        <is>
          <t>空</t>
        </is>
      </c>
      <c r="D3262" t="n">
        <v>3</v>
      </c>
      <c r="E3262" t="n">
        <v>7</v>
      </c>
      <c r="F3262" t="inlineStr">
        <is>
          <t>不做</t>
        </is>
      </c>
      <c r="H3262" t="n">
        <v>3351</v>
      </c>
      <c r="J3262" t="n">
        <v>0</v>
      </c>
      <c r="K3262" t="inlineStr">
        <is>
          <t>组合风险已近10%，预算缩小</t>
        </is>
      </c>
    </row>
    <row r="3263">
      <c r="A3263" t="inlineStr">
        <is>
          <t>2024-07-25</t>
        </is>
      </c>
      <c r="B3263" t="inlineStr">
        <is>
          <t>苯乙烯</t>
        </is>
      </c>
      <c r="C3263" t="inlineStr">
        <is>
          <t>空</t>
        </is>
      </c>
      <c r="D3263" t="n">
        <v>3</v>
      </c>
      <c r="E3263" t="n">
        <v>7</v>
      </c>
      <c r="F3263" t="inlineStr">
        <is>
          <t>不做</t>
        </is>
      </c>
      <c r="H3263" t="n">
        <v>8852</v>
      </c>
      <c r="J3263" t="n">
        <v>0</v>
      </c>
      <c r="K3263" t="inlineStr">
        <is>
          <t>组合风险已近10%，预算缩小</t>
        </is>
      </c>
    </row>
    <row r="3264">
      <c r="A3264" t="inlineStr">
        <is>
          <t>2024-07-25</t>
        </is>
      </c>
      <c r="B3264" t="inlineStr">
        <is>
          <t>沪金</t>
        </is>
      </c>
      <c r="C3264" t="inlineStr">
        <is>
          <t>多</t>
        </is>
      </c>
      <c r="D3264" t="n">
        <v>2</v>
      </c>
      <c r="E3264" t="n">
        <v>4</v>
      </c>
      <c r="F3264" t="inlineStr">
        <is>
          <t>观望</t>
        </is>
      </c>
      <c r="H3264" t="n">
        <v>555.6799999999999</v>
      </c>
      <c r="J3264" t="n">
        <v>1</v>
      </c>
      <c r="K3264" t="inlineStr">
        <is>
          <t>逆5日线（收盘在5日线下，不追多）</t>
        </is>
      </c>
    </row>
    <row r="3265">
      <c r="A3265" t="inlineStr">
        <is>
          <t>2024-07-26</t>
        </is>
      </c>
      <c r="B3265" t="inlineStr">
        <is>
          <t>玻璃</t>
        </is>
      </c>
      <c r="C3265" t="inlineStr">
        <is>
          <t>空</t>
        </is>
      </c>
      <c r="D3265" t="n">
        <v>3</v>
      </c>
      <c r="E3265" t="n">
        <v>7</v>
      </c>
      <c r="F3265" t="inlineStr">
        <is>
          <t>开仓</t>
        </is>
      </c>
      <c r="G3265" t="n">
        <v>14</v>
      </c>
      <c r="H3265" t="n">
        <v>1390</v>
      </c>
      <c r="I3265" t="n">
        <v>1488.57</v>
      </c>
      <c r="J3265" t="n">
        <v>2.86</v>
      </c>
      <c r="K3265" t="inlineStr">
        <is>
          <t>组合风险已近10%，预算缩小</t>
        </is>
      </c>
    </row>
    <row r="3266">
      <c r="A3266" t="inlineStr">
        <is>
          <t>2024-07-26</t>
        </is>
      </c>
      <c r="B3266" t="inlineStr">
        <is>
          <t>锰硅</t>
        </is>
      </c>
      <c r="C3266" t="inlineStr">
        <is>
          <t>空</t>
        </is>
      </c>
      <c r="D3266" t="n">
        <v>3</v>
      </c>
      <c r="E3266" t="n">
        <v>7</v>
      </c>
      <c r="F3266" t="inlineStr">
        <is>
          <t>不做</t>
        </is>
      </c>
      <c r="H3266" t="n">
        <v>7122</v>
      </c>
      <c r="J3266" t="n">
        <v>0</v>
      </c>
      <c r="K3266" t="inlineStr">
        <is>
          <t>组合风险已近10%，预算缩小</t>
        </is>
      </c>
    </row>
    <row r="3267">
      <c r="A3267" t="inlineStr">
        <is>
          <t>2024-07-26</t>
        </is>
      </c>
      <c r="B3267" t="inlineStr">
        <is>
          <t>豆粕</t>
        </is>
      </c>
      <c r="C3267" t="inlineStr">
        <is>
          <t>空</t>
        </is>
      </c>
      <c r="D3267" t="n">
        <v>3</v>
      </c>
      <c r="E3267" t="n">
        <v>6</v>
      </c>
      <c r="F3267" t="inlineStr">
        <is>
          <t>观望</t>
        </is>
      </c>
      <c r="H3267" t="n">
        <v>3161</v>
      </c>
      <c r="J3267" t="n">
        <v>0</v>
      </c>
      <c r="K3267" t="inlineStr">
        <is>
          <t>逆5日线（收盘在5日线上，不追空）</t>
        </is>
      </c>
    </row>
    <row r="3268">
      <c r="A3268" t="inlineStr">
        <is>
          <t>2024-07-26</t>
        </is>
      </c>
      <c r="B3268" t="inlineStr">
        <is>
          <t>玉米</t>
        </is>
      </c>
      <c r="C3268" t="inlineStr">
        <is>
          <t>空</t>
        </is>
      </c>
      <c r="D3268" t="n">
        <v>3</v>
      </c>
      <c r="E3268" t="n">
        <v>6</v>
      </c>
      <c r="F3268" t="inlineStr">
        <is>
          <t>续持</t>
        </is>
      </c>
      <c r="G3268" t="n">
        <v>26</v>
      </c>
      <c r="H3268" t="n">
        <v>2357</v>
      </c>
      <c r="I3268" t="n">
        <v>2403.86</v>
      </c>
      <c r="J3268" t="n">
        <v>1.5</v>
      </c>
      <c r="K3268" t="inlineStr">
        <is>
          <t>续持原仓（2024-07-15开）</t>
        </is>
      </c>
    </row>
    <row r="3269">
      <c r="A3269" t="inlineStr">
        <is>
          <t>2024-07-26</t>
        </is>
      </c>
      <c r="B3269" t="inlineStr">
        <is>
          <t>棉花</t>
        </is>
      </c>
      <c r="C3269" t="inlineStr">
        <is>
          <t>空</t>
        </is>
      </c>
      <c r="D3269" t="n">
        <v>3</v>
      </c>
      <c r="E3269" t="n">
        <v>6</v>
      </c>
      <c r="F3269" t="inlineStr">
        <is>
          <t>不做</t>
        </is>
      </c>
      <c r="H3269" t="n">
        <v>14155</v>
      </c>
      <c r="J3269" t="n">
        <v>0</v>
      </c>
      <c r="K3269" t="inlineStr">
        <is>
          <t>组合风险已近10%，预算缩小</t>
        </is>
      </c>
    </row>
    <row r="3270">
      <c r="A3270" t="inlineStr">
        <is>
          <t>2024-07-26</t>
        </is>
      </c>
      <c r="B3270" t="inlineStr">
        <is>
          <t>沪金</t>
        </is>
      </c>
      <c r="C3270" t="inlineStr">
        <is>
          <t>多</t>
        </is>
      </c>
      <c r="D3270" t="n">
        <v>2</v>
      </c>
      <c r="E3270" t="n">
        <v>5</v>
      </c>
      <c r="F3270" t="inlineStr">
        <is>
          <t>观望</t>
        </is>
      </c>
      <c r="H3270" t="n">
        <v>557.38</v>
      </c>
      <c r="J3270" t="n">
        <v>1</v>
      </c>
      <c r="K3270" t="inlineStr">
        <is>
          <t>逆5日线（收盘在5日线下，不追多）</t>
        </is>
      </c>
    </row>
    <row r="3271">
      <c r="A3271" t="inlineStr">
        <is>
          <t>2024-07-29</t>
        </is>
      </c>
      <c r="B3271" t="inlineStr">
        <is>
          <t>纯碱</t>
        </is>
      </c>
      <c r="C3271" t="inlineStr">
        <is>
          <t>空</t>
        </is>
      </c>
      <c r="D3271" t="n">
        <v>3</v>
      </c>
      <c r="E3271" t="n">
        <v>7</v>
      </c>
      <c r="F3271" t="inlineStr">
        <is>
          <t>不做</t>
        </is>
      </c>
      <c r="H3271" t="n">
        <v>1772</v>
      </c>
      <c r="J3271" t="n">
        <v>0.14</v>
      </c>
      <c r="K3271" t="inlineStr">
        <is>
          <t>与玻璃高度相关（同组≤3%），预算缩小</t>
        </is>
      </c>
    </row>
    <row r="3272">
      <c r="A3272" t="inlineStr">
        <is>
          <t>2024-07-29</t>
        </is>
      </c>
      <c r="B3272" t="inlineStr">
        <is>
          <t>铁矿石</t>
        </is>
      </c>
      <c r="C3272" t="inlineStr">
        <is>
          <t>空</t>
        </is>
      </c>
      <c r="D3272" t="n">
        <v>3</v>
      </c>
      <c r="E3272" t="n">
        <v>7</v>
      </c>
      <c r="F3272" t="inlineStr">
        <is>
          <t>观望</t>
        </is>
      </c>
      <c r="G3272" t="n">
        <v>2</v>
      </c>
      <c r="H3272" t="n">
        <v>763</v>
      </c>
      <c r="I3272" t="n">
        <v>823.86</v>
      </c>
      <c r="J3272" t="n">
        <v>1.5</v>
      </c>
      <c r="K3272" t="inlineStr">
        <is>
          <t>逆5日线（收盘在5日线上，不追空）</t>
        </is>
      </c>
    </row>
    <row r="3273">
      <c r="A3273" t="inlineStr">
        <is>
          <t>2024-07-29</t>
        </is>
      </c>
      <c r="B3273" t="inlineStr">
        <is>
          <t>PVC</t>
        </is>
      </c>
      <c r="C3273" t="inlineStr">
        <is>
          <t>空</t>
        </is>
      </c>
      <c r="D3273" t="n">
        <v>3</v>
      </c>
      <c r="E3273" t="n">
        <v>6</v>
      </c>
      <c r="F3273" t="inlineStr">
        <is>
          <t>开仓</t>
        </is>
      </c>
      <c r="G3273" t="n">
        <v>13</v>
      </c>
      <c r="H3273" t="n">
        <v>5691</v>
      </c>
      <c r="I3273" t="n">
        <v>5913.43</v>
      </c>
      <c r="J3273" t="n">
        <v>1.5</v>
      </c>
      <c r="K3273" t="inlineStr">
        <is>
          <t>组合风险已近10%，预算缩小</t>
        </is>
      </c>
    </row>
    <row r="3274">
      <c r="A3274" t="inlineStr">
        <is>
          <t>2024-07-29</t>
        </is>
      </c>
      <c r="B3274" t="inlineStr">
        <is>
          <t>豆粕</t>
        </is>
      </c>
      <c r="C3274" t="inlineStr">
        <is>
          <t>空</t>
        </is>
      </c>
      <c r="D3274" t="n">
        <v>3</v>
      </c>
      <c r="E3274" t="n">
        <v>6</v>
      </c>
      <c r="F3274" t="inlineStr">
        <is>
          <t>不做</t>
        </is>
      </c>
      <c r="H3274" t="n">
        <v>3101</v>
      </c>
      <c r="J3274" t="n">
        <v>0</v>
      </c>
      <c r="K3274" t="inlineStr">
        <is>
          <t>组合风险已近10%，预算缩小</t>
        </is>
      </c>
    </row>
    <row r="3275">
      <c r="A3275" t="inlineStr">
        <is>
          <t>2024-07-29</t>
        </is>
      </c>
      <c r="B3275" t="inlineStr">
        <is>
          <t>玻璃</t>
        </is>
      </c>
      <c r="C3275" t="inlineStr">
        <is>
          <t>空</t>
        </is>
      </c>
      <c r="D3275" t="n">
        <v>3</v>
      </c>
      <c r="E3275" t="n">
        <v>6</v>
      </c>
      <c r="F3275" t="inlineStr">
        <is>
          <t>续持</t>
        </is>
      </c>
      <c r="G3275" t="n">
        <v>14</v>
      </c>
      <c r="H3275" t="n">
        <v>1341</v>
      </c>
      <c r="I3275" t="n">
        <v>1439.57</v>
      </c>
      <c r="J3275" t="n">
        <v>2.86</v>
      </c>
      <c r="K3275" t="inlineStr">
        <is>
          <t>续持原仓（2024-07-26开）</t>
        </is>
      </c>
    </row>
    <row r="3276">
      <c r="A3276" t="inlineStr">
        <is>
          <t>2024-07-29</t>
        </is>
      </c>
      <c r="B3276" t="inlineStr">
        <is>
          <t>沪金</t>
        </is>
      </c>
      <c r="C3276" t="inlineStr">
        <is>
          <t>多</t>
        </is>
      </c>
      <c r="D3276" t="n">
        <v>3</v>
      </c>
      <c r="E3276" t="n">
        <v>6</v>
      </c>
      <c r="F3276" t="inlineStr">
        <is>
          <t>观望</t>
        </is>
      </c>
      <c r="H3276" t="n">
        <v>561.24</v>
      </c>
      <c r="J3276" t="n">
        <v>0</v>
      </c>
      <c r="K3276" t="inlineStr">
        <is>
          <t>逆5日线（收盘在5日线下，不追多）</t>
        </is>
      </c>
    </row>
    <row r="3277">
      <c r="A3277" t="inlineStr">
        <is>
          <t>2024-07-29</t>
        </is>
      </c>
      <c r="B3277" t="inlineStr">
        <is>
          <t>甲醇</t>
        </is>
      </c>
      <c r="C3277" t="inlineStr">
        <is>
          <t>多</t>
        </is>
      </c>
      <c r="D3277" t="n">
        <v>2</v>
      </c>
      <c r="E3277" t="n">
        <v>4</v>
      </c>
      <c r="F3277" t="inlineStr">
        <is>
          <t>观望</t>
        </is>
      </c>
      <c r="G3277" t="n">
        <v>9</v>
      </c>
      <c r="H3277" t="n">
        <v>2486</v>
      </c>
      <c r="I3277" t="n">
        <v>2380.79</v>
      </c>
      <c r="J3277" t="n">
        <v>1</v>
      </c>
      <c r="K3277" t="inlineStr">
        <is>
          <t>逆5日线（收盘在5日线下，不追多）</t>
        </is>
      </c>
    </row>
    <row r="3278">
      <c r="A3278" t="inlineStr">
        <is>
          <t>2024-07-30</t>
        </is>
      </c>
      <c r="B3278" t="inlineStr">
        <is>
          <t>塑料</t>
        </is>
      </c>
      <c r="C3278" t="inlineStr">
        <is>
          <t>空</t>
        </is>
      </c>
      <c r="D3278" t="n">
        <v>3</v>
      </c>
      <c r="E3278" t="n">
        <v>7</v>
      </c>
      <c r="F3278" t="inlineStr">
        <is>
          <t>续持</t>
        </is>
      </c>
      <c r="G3278" t="n">
        <v>31</v>
      </c>
      <c r="H3278" t="n">
        <v>8172</v>
      </c>
      <c r="I3278" t="n">
        <v>8328.790000000001</v>
      </c>
      <c r="J3278" t="n">
        <v>2.78</v>
      </c>
      <c r="K3278" t="inlineStr">
        <is>
          <t>续持原仓（2024-07-23开）</t>
        </is>
      </c>
    </row>
    <row r="3279">
      <c r="A3279" t="inlineStr">
        <is>
          <t>2024-07-30</t>
        </is>
      </c>
      <c r="B3279" t="inlineStr">
        <is>
          <t>热卷</t>
        </is>
      </c>
      <c r="C3279" t="inlineStr">
        <is>
          <t>空</t>
        </is>
      </c>
      <c r="D3279" t="n">
        <v>3</v>
      </c>
      <c r="E3279" t="n">
        <v>7</v>
      </c>
      <c r="F3279" t="inlineStr">
        <is>
          <t>不做</t>
        </is>
      </c>
      <c r="H3279" t="n">
        <v>3448</v>
      </c>
      <c r="J3279" t="n">
        <v>0</v>
      </c>
      <c r="K3279" t="inlineStr">
        <is>
          <t>组合风险已近10%，预算缩小</t>
        </is>
      </c>
    </row>
    <row r="3280">
      <c r="A3280" t="inlineStr">
        <is>
          <t>2024-07-30</t>
        </is>
      </c>
      <c r="B3280" t="inlineStr">
        <is>
          <t>PVC</t>
        </is>
      </c>
      <c r="C3280" t="inlineStr">
        <is>
          <t>空</t>
        </is>
      </c>
      <c r="D3280" t="n">
        <v>3</v>
      </c>
      <c r="E3280" t="n">
        <v>6</v>
      </c>
      <c r="F3280" t="inlineStr">
        <is>
          <t>续持</t>
        </is>
      </c>
      <c r="G3280" t="n">
        <v>13</v>
      </c>
      <c r="H3280" t="n">
        <v>5614</v>
      </c>
      <c r="I3280" t="n">
        <v>5826.93</v>
      </c>
      <c r="J3280" t="n">
        <v>1.5</v>
      </c>
      <c r="K3280" t="inlineStr">
        <is>
          <t>续持原仓（2024-07-29开）</t>
        </is>
      </c>
    </row>
    <row r="3281">
      <c r="A3281" t="inlineStr">
        <is>
          <t>2024-07-30</t>
        </is>
      </c>
      <c r="B3281" t="inlineStr">
        <is>
          <t>锰硅</t>
        </is>
      </c>
      <c r="C3281" t="inlineStr">
        <is>
          <t>空</t>
        </is>
      </c>
      <c r="D3281" t="n">
        <v>3</v>
      </c>
      <c r="E3281" t="n">
        <v>6</v>
      </c>
      <c r="F3281" t="inlineStr">
        <is>
          <t>不做</t>
        </is>
      </c>
      <c r="H3281" t="n">
        <v>6772</v>
      </c>
      <c r="J3281" t="n">
        <v>0</v>
      </c>
      <c r="K3281" t="inlineStr">
        <is>
          <t>组合风险已近10%，预算缩小</t>
        </is>
      </c>
    </row>
    <row r="3282">
      <c r="A3282" t="inlineStr">
        <is>
          <t>2024-07-30</t>
        </is>
      </c>
      <c r="B3282" t="inlineStr">
        <is>
          <t>沪锌</t>
        </is>
      </c>
      <c r="C3282" t="inlineStr">
        <is>
          <t>空</t>
        </is>
      </c>
      <c r="D3282" t="n">
        <v>3</v>
      </c>
      <c r="E3282" t="n">
        <v>6</v>
      </c>
      <c r="F3282" t="inlineStr">
        <is>
          <t>不做</t>
        </is>
      </c>
      <c r="H3282" t="n">
        <v>22495</v>
      </c>
      <c r="J3282" t="n">
        <v>0</v>
      </c>
      <c r="K3282" t="inlineStr">
        <is>
          <t>组合风险已近10%，预算缩小</t>
        </is>
      </c>
    </row>
    <row r="3283">
      <c r="A3283" t="inlineStr">
        <is>
          <t>2024-07-31</t>
        </is>
      </c>
      <c r="B3283" t="inlineStr">
        <is>
          <t>豆粕</t>
        </is>
      </c>
      <c r="C3283" t="inlineStr">
        <is>
          <t>空</t>
        </is>
      </c>
      <c r="D3283" t="n">
        <v>3</v>
      </c>
      <c r="E3283" t="n">
        <v>6</v>
      </c>
      <c r="F3283" t="inlineStr">
        <is>
          <t>开仓</t>
        </is>
      </c>
      <c r="G3283" t="n">
        <v>17</v>
      </c>
      <c r="H3283" t="n">
        <v>3093</v>
      </c>
      <c r="I3283" t="n">
        <v>3265.5</v>
      </c>
      <c r="J3283" t="n">
        <v>3</v>
      </c>
      <c r="K3283" t="inlineStr">
        <is>
          <t>¼凯利超上限，取3%</t>
        </is>
      </c>
    </row>
    <row r="3284">
      <c r="A3284" t="inlineStr">
        <is>
          <t>2024-07-31</t>
        </is>
      </c>
      <c r="B3284" t="inlineStr">
        <is>
          <t>沪铝</t>
        </is>
      </c>
      <c r="C3284" t="inlineStr">
        <is>
          <t>空</t>
        </is>
      </c>
      <c r="D3284" t="n">
        <v>3</v>
      </c>
      <c r="E3284" t="n">
        <v>6</v>
      </c>
      <c r="F3284" t="inlineStr">
        <is>
          <t>开仓</t>
        </is>
      </c>
      <c r="G3284" t="n">
        <v>6</v>
      </c>
      <c r="H3284" t="n">
        <v>19135</v>
      </c>
      <c r="I3284" t="n">
        <v>19902.14</v>
      </c>
      <c r="J3284" t="n">
        <v>2.64</v>
      </c>
      <c r="K3284" t="inlineStr">
        <is>
          <t>组合风险已近10%，预算缩小</t>
        </is>
      </c>
    </row>
    <row r="3285">
      <c r="A3285" t="inlineStr">
        <is>
          <t>2024-07-31</t>
        </is>
      </c>
      <c r="B3285" t="inlineStr">
        <is>
          <t>棉花</t>
        </is>
      </c>
      <c r="C3285" t="inlineStr">
        <is>
          <t>空</t>
        </is>
      </c>
      <c r="D3285" t="n">
        <v>2</v>
      </c>
      <c r="E3285" t="n">
        <v>5</v>
      </c>
      <c r="F3285" t="inlineStr">
        <is>
          <t>观望</t>
        </is>
      </c>
      <c r="G3285" t="n">
        <v>3</v>
      </c>
      <c r="H3285" t="n">
        <v>14150</v>
      </c>
      <c r="I3285" t="n">
        <v>14691.07</v>
      </c>
      <c r="J3285" t="n">
        <v>1</v>
      </c>
      <c r="K3285" t="inlineStr">
        <is>
          <t>逆5日线（收盘在5日线上，不追空）</t>
        </is>
      </c>
    </row>
    <row r="3286">
      <c r="A3286" t="inlineStr">
        <is>
          <t>2024-07-31</t>
        </is>
      </c>
      <c r="B3286" t="inlineStr">
        <is>
          <t>纯碱</t>
        </is>
      </c>
      <c r="C3286" t="inlineStr">
        <is>
          <t>空</t>
        </is>
      </c>
      <c r="D3286" t="n">
        <v>2</v>
      </c>
      <c r="E3286" t="n">
        <v>5</v>
      </c>
      <c r="F3286" t="inlineStr">
        <is>
          <t>影子仓</t>
        </is>
      </c>
      <c r="G3286" t="n">
        <v>3</v>
      </c>
      <c r="H3286" t="n">
        <v>1769</v>
      </c>
      <c r="I3286" t="n">
        <v>1934</v>
      </c>
      <c r="J3286" t="n">
        <v>1</v>
      </c>
      <c r="K3286" t="inlineStr">
        <is>
          <t>凯利≤0，开1%影子仓（只统计，不计入组合）</t>
        </is>
      </c>
    </row>
    <row r="3287">
      <c r="A3287" t="inlineStr">
        <is>
          <t>2024-07-31</t>
        </is>
      </c>
      <c r="B3287" t="inlineStr">
        <is>
          <t>沪锌</t>
        </is>
      </c>
      <c r="C3287" t="inlineStr">
        <is>
          <t>空</t>
        </is>
      </c>
      <c r="D3287" t="n">
        <v>2</v>
      </c>
      <c r="E3287" t="n">
        <v>4</v>
      </c>
      <c r="F3287" t="inlineStr">
        <is>
          <t>观望</t>
        </is>
      </c>
      <c r="G3287" t="n">
        <v>1</v>
      </c>
      <c r="H3287" t="n">
        <v>22840</v>
      </c>
      <c r="I3287" t="n">
        <v>24050.71</v>
      </c>
      <c r="J3287" t="n">
        <v>1</v>
      </c>
      <c r="K3287" t="inlineStr">
        <is>
          <t>逆5日线（收盘在5日线上，不追空）</t>
        </is>
      </c>
    </row>
    <row r="3288">
      <c r="A3288" t="inlineStr">
        <is>
          <t>2024-08-01</t>
        </is>
      </c>
      <c r="B3288" t="inlineStr">
        <is>
          <t>纯碱</t>
        </is>
      </c>
      <c r="C3288" t="inlineStr">
        <is>
          <t>空</t>
        </is>
      </c>
      <c r="D3288" t="n">
        <v>3</v>
      </c>
      <c r="E3288" t="n">
        <v>7</v>
      </c>
      <c r="F3288" t="inlineStr">
        <is>
          <t>续持</t>
        </is>
      </c>
      <c r="G3288" t="n">
        <v>3</v>
      </c>
      <c r="H3288" t="n">
        <v>1749</v>
      </c>
      <c r="I3288" t="n">
        <v>1901.93</v>
      </c>
      <c r="J3288" t="n">
        <v>1</v>
      </c>
      <c r="K3288" t="inlineStr">
        <is>
          <t>续持原仓（2024-07-31开）</t>
        </is>
      </c>
    </row>
    <row r="3289">
      <c r="A3289" t="inlineStr">
        <is>
          <t>2024-08-01</t>
        </is>
      </c>
      <c r="B3289" t="inlineStr">
        <is>
          <t>玉米</t>
        </is>
      </c>
      <c r="C3289" t="inlineStr">
        <is>
          <t>空</t>
        </is>
      </c>
      <c r="D3289" t="n">
        <v>3</v>
      </c>
      <c r="E3289" t="n">
        <v>6</v>
      </c>
      <c r="F3289" t="inlineStr">
        <is>
          <t>开仓</t>
        </is>
      </c>
      <c r="G3289" t="n">
        <v>40</v>
      </c>
      <c r="H3289" t="n">
        <v>2337</v>
      </c>
      <c r="I3289" t="n">
        <v>2410.29</v>
      </c>
      <c r="J3289" t="n">
        <v>3</v>
      </c>
      <c r="K3289" t="inlineStr">
        <is>
          <t>¼凯利超上限，取3%</t>
        </is>
      </c>
    </row>
    <row r="3290">
      <c r="A3290" t="inlineStr">
        <is>
          <t>2024-08-01</t>
        </is>
      </c>
      <c r="B3290" t="inlineStr">
        <is>
          <t>锰硅</t>
        </is>
      </c>
      <c r="C3290" t="inlineStr">
        <is>
          <t>空</t>
        </is>
      </c>
      <c r="D3290" t="n">
        <v>3</v>
      </c>
      <c r="E3290" t="n">
        <v>6</v>
      </c>
      <c r="F3290" t="inlineStr">
        <is>
          <t>开仓</t>
        </is>
      </c>
      <c r="G3290" t="n">
        <v>5</v>
      </c>
      <c r="H3290" t="n">
        <v>6744</v>
      </c>
      <c r="I3290" t="n">
        <v>7332.43</v>
      </c>
      <c r="J3290" t="n">
        <v>1.5</v>
      </c>
      <c r="K3290" t="inlineStr">
        <is>
          <t>组合风险已近10%，预算缩小</t>
        </is>
      </c>
    </row>
    <row r="3291">
      <c r="A3291" t="inlineStr">
        <is>
          <t>2024-08-01</t>
        </is>
      </c>
      <c r="B3291" t="inlineStr">
        <is>
          <t>沪铝</t>
        </is>
      </c>
      <c r="C3291" t="inlineStr">
        <is>
          <t>空</t>
        </is>
      </c>
      <c r="D3291" t="n">
        <v>2</v>
      </c>
      <c r="E3291" t="n">
        <v>5</v>
      </c>
      <c r="F3291" t="inlineStr">
        <is>
          <t>观望</t>
        </is>
      </c>
      <c r="G3291" t="n">
        <v>2</v>
      </c>
      <c r="H3291" t="n">
        <v>19235</v>
      </c>
      <c r="I3291" t="n">
        <v>19961.43</v>
      </c>
      <c r="J3291" t="n">
        <v>1</v>
      </c>
      <c r="K3291" t="inlineStr">
        <is>
          <t>逆5日线（收盘在5日线上，不追空）</t>
        </is>
      </c>
    </row>
    <row r="3292">
      <c r="A3292" t="inlineStr">
        <is>
          <t>2024-08-02</t>
        </is>
      </c>
      <c r="B3292" t="inlineStr">
        <is>
          <t>沪金</t>
        </is>
      </c>
      <c r="C3292" t="inlineStr">
        <is>
          <t>多</t>
        </is>
      </c>
      <c r="D3292" t="n">
        <v>3</v>
      </c>
      <c r="E3292" t="n">
        <v>7</v>
      </c>
      <c r="F3292" t="inlineStr">
        <is>
          <t>不做</t>
        </is>
      </c>
      <c r="H3292" t="n">
        <v>574.04</v>
      </c>
      <c r="J3292" t="n">
        <v>1.5</v>
      </c>
      <c r="K3292" t="inlineStr">
        <is>
          <t>1手风险27227元超过预算15000元</t>
        </is>
      </c>
    </row>
    <row r="3293">
      <c r="A3293" t="inlineStr">
        <is>
          <t>2024-08-02</t>
        </is>
      </c>
      <c r="B3293" t="inlineStr">
        <is>
          <t>玉米</t>
        </is>
      </c>
      <c r="C3293" t="inlineStr">
        <is>
          <t>空</t>
        </is>
      </c>
      <c r="D3293" t="n">
        <v>3</v>
      </c>
      <c r="E3293" t="n">
        <v>7</v>
      </c>
      <c r="F3293" t="inlineStr">
        <is>
          <t>续持</t>
        </is>
      </c>
      <c r="G3293" t="n">
        <v>40</v>
      </c>
      <c r="H3293" t="n">
        <v>2321</v>
      </c>
      <c r="I3293" t="n">
        <v>2378.57</v>
      </c>
      <c r="J3293" t="n">
        <v>3</v>
      </c>
      <c r="K3293" t="inlineStr">
        <is>
          <t>续持原仓（2024-08-01开）</t>
        </is>
      </c>
    </row>
    <row r="3294">
      <c r="A3294" t="inlineStr">
        <is>
          <t>2024-08-02</t>
        </is>
      </c>
      <c r="B3294" t="inlineStr">
        <is>
          <t>沪铝</t>
        </is>
      </c>
      <c r="C3294" t="inlineStr">
        <is>
          <t>空</t>
        </is>
      </c>
      <c r="D3294" t="n">
        <v>2</v>
      </c>
      <c r="E3294" t="n">
        <v>5</v>
      </c>
      <c r="F3294" t="inlineStr">
        <is>
          <t>观望</t>
        </is>
      </c>
      <c r="G3294" t="n">
        <v>2</v>
      </c>
      <c r="H3294" t="n">
        <v>19220</v>
      </c>
      <c r="I3294" t="n">
        <v>19956.07</v>
      </c>
      <c r="J3294" t="n">
        <v>1</v>
      </c>
      <c r="K3294" t="inlineStr">
        <is>
          <t>逆5日线（收盘在5日线上，不追空）</t>
        </is>
      </c>
    </row>
    <row r="3295">
      <c r="A3295" t="inlineStr">
        <is>
          <t>2024-08-02</t>
        </is>
      </c>
      <c r="B3295" t="inlineStr">
        <is>
          <t>苯乙烯</t>
        </is>
      </c>
      <c r="C3295" t="inlineStr">
        <is>
          <t>空</t>
        </is>
      </c>
      <c r="D3295" t="n">
        <v>2</v>
      </c>
      <c r="E3295" t="n">
        <v>5</v>
      </c>
      <c r="F3295" t="inlineStr">
        <is>
          <t>观望</t>
        </is>
      </c>
      <c r="G3295" t="n">
        <v>5</v>
      </c>
      <c r="H3295" t="n">
        <v>9299</v>
      </c>
      <c r="I3295" t="n">
        <v>9689.209999999999</v>
      </c>
      <c r="J3295" t="n">
        <v>1</v>
      </c>
      <c r="K3295" t="inlineStr">
        <is>
          <t>逆5日线（收盘在5日线上，不追空）</t>
        </is>
      </c>
    </row>
    <row r="3296">
      <c r="A3296" t="inlineStr">
        <is>
          <t>2024-08-05</t>
        </is>
      </c>
      <c r="B3296" t="inlineStr">
        <is>
          <t>玻璃</t>
        </is>
      </c>
      <c r="C3296" t="inlineStr">
        <is>
          <t>空</t>
        </is>
      </c>
      <c r="D3296" t="n">
        <v>3</v>
      </c>
      <c r="E3296" t="n">
        <v>7</v>
      </c>
      <c r="F3296" t="inlineStr">
        <is>
          <t>开仓</t>
        </is>
      </c>
      <c r="G3296" t="n">
        <v>6</v>
      </c>
      <c r="H3296" t="n">
        <v>1353</v>
      </c>
      <c r="I3296" t="n">
        <v>1465.5</v>
      </c>
      <c r="J3296" t="n">
        <v>1.5</v>
      </c>
      <c r="K3296" t="inlineStr">
        <is>
          <t>组合风险已近10%，预算缩小</t>
        </is>
      </c>
    </row>
    <row r="3297">
      <c r="A3297" t="inlineStr">
        <is>
          <t>2024-08-05</t>
        </is>
      </c>
      <c r="B3297" t="inlineStr">
        <is>
          <t>沪铝</t>
        </is>
      </c>
      <c r="C3297" t="inlineStr">
        <is>
          <t>空</t>
        </is>
      </c>
      <c r="D3297" t="n">
        <v>3</v>
      </c>
      <c r="E3297" t="n">
        <v>6</v>
      </c>
      <c r="F3297" t="inlineStr">
        <is>
          <t>续持</t>
        </is>
      </c>
      <c r="G3297" t="n">
        <v>6</v>
      </c>
      <c r="H3297" t="n">
        <v>18895</v>
      </c>
      <c r="I3297" t="n">
        <v>19617.5</v>
      </c>
      <c r="J3297" t="n">
        <v>2.64</v>
      </c>
      <c r="K3297" t="inlineStr">
        <is>
          <t>续持原仓（2024-07-31开）</t>
        </is>
      </c>
    </row>
    <row r="3298">
      <c r="A3298" t="inlineStr">
        <is>
          <t>2024-08-05</t>
        </is>
      </c>
      <c r="B3298" t="inlineStr">
        <is>
          <t>燃料油</t>
        </is>
      </c>
      <c r="C3298" t="inlineStr">
        <is>
          <t>空</t>
        </is>
      </c>
      <c r="D3298" t="n">
        <v>3</v>
      </c>
      <c r="E3298" t="n">
        <v>6</v>
      </c>
      <c r="F3298" t="inlineStr">
        <is>
          <t>不做</t>
        </is>
      </c>
      <c r="H3298" t="n">
        <v>3009</v>
      </c>
      <c r="J3298" t="n">
        <v>0</v>
      </c>
      <c r="K3298" t="inlineStr">
        <is>
          <t>组合风险已近10%，预算缩小</t>
        </is>
      </c>
    </row>
    <row r="3299">
      <c r="A3299" t="inlineStr">
        <is>
          <t>2024-08-05</t>
        </is>
      </c>
      <c r="B3299" t="inlineStr">
        <is>
          <t>棉花</t>
        </is>
      </c>
      <c r="C3299" t="inlineStr">
        <is>
          <t>空</t>
        </is>
      </c>
      <c r="D3299" t="n">
        <v>3</v>
      </c>
      <c r="E3299" t="n">
        <v>6</v>
      </c>
      <c r="F3299" t="inlineStr">
        <is>
          <t>不做</t>
        </is>
      </c>
      <c r="H3299" t="n">
        <v>13955</v>
      </c>
      <c r="J3299" t="n">
        <v>0</v>
      </c>
      <c r="K3299" t="inlineStr">
        <is>
          <t>组合风险已近10%，预算缩小</t>
        </is>
      </c>
    </row>
    <row r="3300">
      <c r="A3300" t="inlineStr">
        <is>
          <t>2024-08-05</t>
        </is>
      </c>
      <c r="B3300" t="inlineStr">
        <is>
          <t>玉米</t>
        </is>
      </c>
      <c r="C3300" t="inlineStr">
        <is>
          <t>空</t>
        </is>
      </c>
      <c r="D3300" t="n">
        <v>2</v>
      </c>
      <c r="E3300" t="n">
        <v>5</v>
      </c>
      <c r="F3300" t="inlineStr">
        <is>
          <t>续持</t>
        </is>
      </c>
      <c r="G3300" t="n">
        <v>40</v>
      </c>
      <c r="H3300" t="n">
        <v>2281</v>
      </c>
      <c r="I3300" t="n">
        <v>2352</v>
      </c>
      <c r="J3300" t="n">
        <v>3</v>
      </c>
      <c r="K3300" t="inlineStr">
        <is>
          <t>续持原仓（2024-08-01开）</t>
        </is>
      </c>
    </row>
    <row r="3301">
      <c r="A3301" t="inlineStr">
        <is>
          <t>2024-08-05</t>
        </is>
      </c>
      <c r="B3301" t="inlineStr">
        <is>
          <t>沪金</t>
        </is>
      </c>
      <c r="C3301" t="inlineStr">
        <is>
          <t>多</t>
        </is>
      </c>
      <c r="D3301" t="n">
        <v>2</v>
      </c>
      <c r="E3301" t="n">
        <v>4</v>
      </c>
      <c r="F3301" t="inlineStr">
        <is>
          <t>观望</t>
        </is>
      </c>
      <c r="H3301" t="n">
        <v>559.9400000000001</v>
      </c>
      <c r="J3301" t="n">
        <v>1</v>
      </c>
      <c r="K3301" t="inlineStr">
        <is>
          <t>逆5日线（收盘在5日线下，不追多）</t>
        </is>
      </c>
    </row>
    <row r="3302">
      <c r="A3302" t="inlineStr">
        <is>
          <t>2024-08-06</t>
        </is>
      </c>
      <c r="B3302" t="inlineStr">
        <is>
          <t>锰硅</t>
        </is>
      </c>
      <c r="C3302" t="inlineStr">
        <is>
          <t>空</t>
        </is>
      </c>
      <c r="D3302" t="n">
        <v>3</v>
      </c>
      <c r="E3302" t="n">
        <v>7</v>
      </c>
      <c r="F3302" t="inlineStr">
        <is>
          <t>开仓</t>
        </is>
      </c>
      <c r="G3302" t="n">
        <v>10</v>
      </c>
      <c r="H3302" t="n">
        <v>6626</v>
      </c>
      <c r="I3302" t="n">
        <v>7191.29</v>
      </c>
      <c r="J3302" t="n">
        <v>3</v>
      </c>
      <c r="K3302" t="inlineStr">
        <is>
          <t>¼凯利超上限，取3%</t>
        </is>
      </c>
    </row>
    <row r="3303">
      <c r="A3303" t="inlineStr">
        <is>
          <t>2024-08-06</t>
        </is>
      </c>
      <c r="B3303" t="inlineStr">
        <is>
          <t>纯碱</t>
        </is>
      </c>
      <c r="C3303" t="inlineStr">
        <is>
          <t>空</t>
        </is>
      </c>
      <c r="D3303" t="n">
        <v>3</v>
      </c>
      <c r="E3303" t="n">
        <v>7</v>
      </c>
      <c r="F3303" t="inlineStr">
        <is>
          <t>开仓</t>
        </is>
      </c>
      <c r="G3303" t="n">
        <v>4</v>
      </c>
      <c r="H3303" t="n">
        <v>1743</v>
      </c>
      <c r="I3303" t="n">
        <v>1915.29</v>
      </c>
      <c r="J3303" t="n">
        <v>1.5</v>
      </c>
      <c r="K3303" t="inlineStr">
        <is>
          <t>与玻璃高度相关（同组≤3%），预算缩小</t>
        </is>
      </c>
    </row>
    <row r="3304">
      <c r="A3304" t="inlineStr">
        <is>
          <t>2024-08-06</t>
        </is>
      </c>
      <c r="B3304" t="inlineStr">
        <is>
          <t>PTA</t>
        </is>
      </c>
      <c r="C3304" t="inlineStr">
        <is>
          <t>空</t>
        </is>
      </c>
      <c r="D3304" t="n">
        <v>3</v>
      </c>
      <c r="E3304" t="n">
        <v>7</v>
      </c>
      <c r="F3304" t="inlineStr">
        <is>
          <t>开仓</t>
        </is>
      </c>
      <c r="G3304" t="n">
        <v>13</v>
      </c>
      <c r="H3304" t="n">
        <v>5592</v>
      </c>
      <c r="I3304" t="n">
        <v>5793.43</v>
      </c>
      <c r="J3304" t="n">
        <v>1.36</v>
      </c>
      <c r="K3304" t="inlineStr">
        <is>
          <t>组合风险已近10%，预算缩小</t>
        </is>
      </c>
    </row>
    <row r="3305">
      <c r="A3305" t="inlineStr">
        <is>
          <t>2024-08-06</t>
        </is>
      </c>
      <c r="B3305" t="inlineStr">
        <is>
          <t>PVC</t>
        </is>
      </c>
      <c r="C3305" t="inlineStr">
        <is>
          <t>空</t>
        </is>
      </c>
      <c r="D3305" t="n">
        <v>3</v>
      </c>
      <c r="E3305" t="n">
        <v>6</v>
      </c>
      <c r="F3305" t="inlineStr">
        <is>
          <t>不做</t>
        </is>
      </c>
      <c r="H3305" t="n">
        <v>5609</v>
      </c>
      <c r="J3305" t="n">
        <v>0</v>
      </c>
      <c r="K3305" t="inlineStr">
        <is>
          <t>组合风险已近10%，预算缩小</t>
        </is>
      </c>
    </row>
    <row r="3306">
      <c r="A3306" t="inlineStr">
        <is>
          <t>2024-08-06</t>
        </is>
      </c>
      <c r="B3306" t="inlineStr">
        <is>
          <t>玻璃</t>
        </is>
      </c>
      <c r="C3306" t="inlineStr">
        <is>
          <t>空</t>
        </is>
      </c>
      <c r="D3306" t="n">
        <v>3</v>
      </c>
      <c r="E3306" t="n">
        <v>6</v>
      </c>
      <c r="F3306" t="inlineStr">
        <is>
          <t>续持</t>
        </is>
      </c>
      <c r="G3306" t="n">
        <v>6</v>
      </c>
      <c r="H3306" t="n">
        <v>1335</v>
      </c>
      <c r="I3306" t="n">
        <v>1435.79</v>
      </c>
      <c r="J3306" t="n">
        <v>1.5</v>
      </c>
      <c r="K3306" t="inlineStr">
        <is>
          <t>续持原仓（2024-08-05开）</t>
        </is>
      </c>
    </row>
    <row r="3307">
      <c r="A3307" t="inlineStr">
        <is>
          <t>2024-08-07</t>
        </is>
      </c>
      <c r="B3307" t="inlineStr">
        <is>
          <t>菜粕</t>
        </is>
      </c>
      <c r="C3307" t="inlineStr">
        <is>
          <t>空</t>
        </is>
      </c>
      <c r="D3307" t="n">
        <v>3</v>
      </c>
      <c r="E3307" t="n">
        <v>7</v>
      </c>
      <c r="F3307" t="inlineStr">
        <is>
          <t>开仓</t>
        </is>
      </c>
      <c r="G3307" t="n">
        <v>6</v>
      </c>
      <c r="H3307" t="n">
        <v>2257</v>
      </c>
      <c r="I3307" t="n">
        <v>2451.36</v>
      </c>
      <c r="J3307" t="n">
        <v>1.36</v>
      </c>
      <c r="K3307" t="inlineStr">
        <is>
          <t>组合风险已近10%，预算缩小</t>
        </is>
      </c>
    </row>
    <row r="3308">
      <c r="A3308" t="inlineStr">
        <is>
          <t>2024-08-07</t>
        </is>
      </c>
      <c r="B3308" t="inlineStr">
        <is>
          <t>玻璃</t>
        </is>
      </c>
      <c r="C3308" t="inlineStr">
        <is>
          <t>空</t>
        </is>
      </c>
      <c r="D3308" t="n">
        <v>3</v>
      </c>
      <c r="E3308" t="n">
        <v>7</v>
      </c>
      <c r="F3308" t="inlineStr">
        <is>
          <t>续持</t>
        </is>
      </c>
      <c r="G3308" t="n">
        <v>6</v>
      </c>
      <c r="H3308" t="n">
        <v>1312</v>
      </c>
      <c r="I3308" t="n">
        <v>1423.21</v>
      </c>
      <c r="J3308" t="n">
        <v>1.5</v>
      </c>
      <c r="K3308" t="inlineStr">
        <is>
          <t>续持原仓（2024-08-05开）</t>
        </is>
      </c>
    </row>
    <row r="3309">
      <c r="A3309" t="inlineStr">
        <is>
          <t>2024-08-07</t>
        </is>
      </c>
      <c r="B3309" t="inlineStr">
        <is>
          <t>锰硅</t>
        </is>
      </c>
      <c r="C3309" t="inlineStr">
        <is>
          <t>空</t>
        </is>
      </c>
      <c r="D3309" t="n">
        <v>3</v>
      </c>
      <c r="E3309" t="n">
        <v>7</v>
      </c>
      <c r="F3309" t="inlineStr">
        <is>
          <t>续持</t>
        </is>
      </c>
      <c r="G3309" t="n">
        <v>10</v>
      </c>
      <c r="H3309" t="n">
        <v>6580</v>
      </c>
      <c r="I3309" t="n">
        <v>7119.29</v>
      </c>
      <c r="J3309" t="n">
        <v>3</v>
      </c>
      <c r="K3309" t="inlineStr">
        <is>
          <t>续持原仓（2024-08-06开）</t>
        </is>
      </c>
    </row>
    <row r="3310">
      <c r="A3310" t="inlineStr">
        <is>
          <t>2024-08-07</t>
        </is>
      </c>
      <c r="B3310" t="inlineStr">
        <is>
          <t>纯碱</t>
        </is>
      </c>
      <c r="C3310" t="inlineStr">
        <is>
          <t>空</t>
        </is>
      </c>
      <c r="D3310" t="n">
        <v>3</v>
      </c>
      <c r="E3310" t="n">
        <v>6</v>
      </c>
      <c r="F3310" t="inlineStr">
        <is>
          <t>续持</t>
        </is>
      </c>
      <c r="G3310" t="n">
        <v>4</v>
      </c>
      <c r="H3310" t="n">
        <v>1717</v>
      </c>
      <c r="I3310" t="n">
        <v>1882.71</v>
      </c>
      <c r="J3310" t="n">
        <v>1.5</v>
      </c>
      <c r="K3310" t="inlineStr">
        <is>
          <t>续持原仓（2024-08-06开）</t>
        </is>
      </c>
    </row>
    <row r="3311">
      <c r="A3311" t="inlineStr">
        <is>
          <t>2024-08-07</t>
        </is>
      </c>
      <c r="B3311" t="inlineStr">
        <is>
          <t>沪镍</t>
        </is>
      </c>
      <c r="C3311" t="inlineStr">
        <is>
          <t>空</t>
        </is>
      </c>
      <c r="D3311" t="n">
        <v>3</v>
      </c>
      <c r="E3311" t="n">
        <v>6</v>
      </c>
      <c r="F3311" t="inlineStr">
        <is>
          <t>不做</t>
        </is>
      </c>
      <c r="H3311" t="n">
        <v>129200</v>
      </c>
      <c r="J3311" t="n">
        <v>0</v>
      </c>
      <c r="K3311" t="inlineStr">
        <is>
          <t>组合风险已近10%，预算缩小</t>
        </is>
      </c>
    </row>
    <row r="3312">
      <c r="A3312" t="inlineStr">
        <is>
          <t>2024-08-08</t>
        </is>
      </c>
      <c r="B3312" t="inlineStr">
        <is>
          <t>沪银</t>
        </is>
      </c>
      <c r="C3312" t="inlineStr">
        <is>
          <t>空</t>
        </is>
      </c>
      <c r="D3312" t="n">
        <v>3</v>
      </c>
      <c r="E3312" t="n">
        <v>7</v>
      </c>
      <c r="F3312" t="inlineStr">
        <is>
          <t>开仓</t>
        </is>
      </c>
      <c r="G3312" t="n">
        <v>2</v>
      </c>
      <c r="H3312" t="n">
        <v>6929</v>
      </c>
      <c r="I3312" t="n">
        <v>7622</v>
      </c>
      <c r="J3312" t="n">
        <v>3</v>
      </c>
      <c r="K3312" t="inlineStr">
        <is>
          <t>¼凯利超上限，取3%</t>
        </is>
      </c>
    </row>
    <row r="3313">
      <c r="A3313" t="inlineStr">
        <is>
          <t>2024-08-08</t>
        </is>
      </c>
      <c r="B3313" t="inlineStr">
        <is>
          <t>PTA</t>
        </is>
      </c>
      <c r="C3313" t="inlineStr">
        <is>
          <t>空</t>
        </is>
      </c>
      <c r="D3313" t="n">
        <v>3</v>
      </c>
      <c r="E3313" t="n">
        <v>6</v>
      </c>
      <c r="F3313" t="inlineStr">
        <is>
          <t>开仓</t>
        </is>
      </c>
      <c r="G3313" t="n">
        <v>26</v>
      </c>
      <c r="H3313" t="n">
        <v>5566</v>
      </c>
      <c r="I3313" t="n">
        <v>5785</v>
      </c>
      <c r="J3313" t="n">
        <v>2.86</v>
      </c>
      <c r="K3313" t="inlineStr">
        <is>
          <t>组合风险已近10%，预算缩小</t>
        </is>
      </c>
    </row>
    <row r="3314">
      <c r="A3314" t="inlineStr">
        <is>
          <t>2024-08-08</t>
        </is>
      </c>
      <c r="B3314" t="inlineStr">
        <is>
          <t>沪镍</t>
        </is>
      </c>
      <c r="C3314" t="inlineStr">
        <is>
          <t>空</t>
        </is>
      </c>
      <c r="D3314" t="n">
        <v>3</v>
      </c>
      <c r="E3314" t="n">
        <v>6</v>
      </c>
      <c r="F3314" t="inlineStr">
        <is>
          <t>不做</t>
        </is>
      </c>
      <c r="H3314" t="n">
        <v>127180</v>
      </c>
      <c r="J3314" t="n">
        <v>0</v>
      </c>
      <c r="K3314" t="inlineStr">
        <is>
          <t>组合风险已近10%，预算缩小</t>
        </is>
      </c>
    </row>
    <row r="3315">
      <c r="A3315" t="inlineStr">
        <is>
          <t>2024-08-08</t>
        </is>
      </c>
      <c r="B3315" t="inlineStr">
        <is>
          <t>纯碱</t>
        </is>
      </c>
      <c r="C3315" t="inlineStr">
        <is>
          <t>空</t>
        </is>
      </c>
      <c r="D3315" t="n">
        <v>3</v>
      </c>
      <c r="E3315" t="n">
        <v>6</v>
      </c>
      <c r="F3315" t="inlineStr">
        <is>
          <t>续持</t>
        </is>
      </c>
      <c r="G3315" t="n">
        <v>4</v>
      </c>
      <c r="H3315" t="n">
        <v>1707</v>
      </c>
      <c r="I3315" t="n">
        <v>1862.07</v>
      </c>
      <c r="J3315" t="n">
        <v>1.5</v>
      </c>
      <c r="K3315" t="inlineStr">
        <is>
          <t>续持原仓（2024-08-06开）</t>
        </is>
      </c>
    </row>
    <row r="3316">
      <c r="A3316" t="inlineStr">
        <is>
          <t>2024-08-08</t>
        </is>
      </c>
      <c r="B3316" t="inlineStr">
        <is>
          <t>螺纹钢</t>
        </is>
      </c>
      <c r="C3316" t="inlineStr">
        <is>
          <t>空</t>
        </is>
      </c>
      <c r="D3316" t="n">
        <v>3</v>
      </c>
      <c r="E3316" t="n">
        <v>6</v>
      </c>
      <c r="F3316" t="inlineStr">
        <is>
          <t>不做</t>
        </is>
      </c>
      <c r="H3316" t="n">
        <v>3254</v>
      </c>
      <c r="J3316" t="n">
        <v>0</v>
      </c>
      <c r="K3316" t="inlineStr">
        <is>
          <t>组合风险已近10%，预算缩小</t>
        </is>
      </c>
    </row>
    <row r="3317">
      <c r="A3317" t="inlineStr">
        <is>
          <t>2024-08-09</t>
        </is>
      </c>
      <c r="B3317" t="inlineStr">
        <is>
          <t>PTA</t>
        </is>
      </c>
      <c r="C3317" t="inlineStr">
        <is>
          <t>空</t>
        </is>
      </c>
      <c r="D3317" t="n">
        <v>3</v>
      </c>
      <c r="E3317" t="n">
        <v>6</v>
      </c>
      <c r="F3317" t="inlineStr">
        <is>
          <t>续持</t>
        </is>
      </c>
      <c r="G3317" t="n">
        <v>26</v>
      </c>
      <c r="H3317" t="n">
        <v>5532</v>
      </c>
      <c r="I3317" t="n">
        <v>5699</v>
      </c>
      <c r="J3317" t="n">
        <v>2.86</v>
      </c>
      <c r="K3317" t="inlineStr">
        <is>
          <t>续持原仓（2024-08-08开）</t>
        </is>
      </c>
    </row>
    <row r="3318">
      <c r="A3318" t="inlineStr">
        <is>
          <t>2024-08-09</t>
        </is>
      </c>
      <c r="B3318" t="inlineStr">
        <is>
          <t>纯碱</t>
        </is>
      </c>
      <c r="C3318" t="inlineStr">
        <is>
          <t>空</t>
        </is>
      </c>
      <c r="D3318" t="n">
        <v>3</v>
      </c>
      <c r="E3318" t="n">
        <v>6</v>
      </c>
      <c r="F3318" t="inlineStr">
        <is>
          <t>续持</t>
        </is>
      </c>
      <c r="G3318" t="n">
        <v>4</v>
      </c>
      <c r="H3318" t="n">
        <v>1709</v>
      </c>
      <c r="I3318" t="n">
        <v>1861</v>
      </c>
      <c r="J3318" t="n">
        <v>1.5</v>
      </c>
      <c r="K3318" t="inlineStr">
        <is>
          <t>续持原仓（2024-08-06开）</t>
        </is>
      </c>
    </row>
    <row r="3319">
      <c r="A3319" t="inlineStr">
        <is>
          <t>2024-08-09</t>
        </is>
      </c>
      <c r="B3319" t="inlineStr">
        <is>
          <t>白糖</t>
        </is>
      </c>
      <c r="C3319" t="inlineStr">
        <is>
          <t>多</t>
        </is>
      </c>
      <c r="D3319" t="n">
        <v>2</v>
      </c>
      <c r="E3319" t="n">
        <v>5</v>
      </c>
      <c r="F3319" t="inlineStr">
        <is>
          <t>观望</t>
        </is>
      </c>
      <c r="G3319" t="n">
        <v>5</v>
      </c>
      <c r="H3319" t="n">
        <v>6061</v>
      </c>
      <c r="I3319" t="n">
        <v>5876.71</v>
      </c>
      <c r="J3319" t="n">
        <v>1</v>
      </c>
      <c r="K3319" t="inlineStr">
        <is>
          <t>逆5日线（收盘在5日线下，不追多）</t>
        </is>
      </c>
    </row>
    <row r="3320">
      <c r="A3320" t="inlineStr">
        <is>
          <t>2024-08-09</t>
        </is>
      </c>
      <c r="B3320" t="inlineStr">
        <is>
          <t>聚丙烯</t>
        </is>
      </c>
      <c r="C3320" t="inlineStr">
        <is>
          <t>空</t>
        </is>
      </c>
      <c r="D3320" t="n">
        <v>2</v>
      </c>
      <c r="E3320" t="n">
        <v>4</v>
      </c>
      <c r="F3320" t="inlineStr">
        <is>
          <t>影子仓</t>
        </is>
      </c>
      <c r="G3320" t="n">
        <v>10</v>
      </c>
      <c r="H3320" t="n">
        <v>7534</v>
      </c>
      <c r="I3320" t="n">
        <v>7721.07</v>
      </c>
      <c r="J3320" t="n">
        <v>1</v>
      </c>
      <c r="K3320" t="inlineStr">
        <is>
          <t>凯利≤0，开1%影子仓（只统计，不计入组合）</t>
        </is>
      </c>
    </row>
    <row r="3321">
      <c r="A3321" t="inlineStr">
        <is>
          <t>2024-08-09</t>
        </is>
      </c>
      <c r="B3321" t="inlineStr">
        <is>
          <t>沪银</t>
        </is>
      </c>
      <c r="C3321" t="inlineStr">
        <is>
          <t>空</t>
        </is>
      </c>
      <c r="D3321" t="n">
        <v>2</v>
      </c>
      <c r="E3321" t="n">
        <v>4</v>
      </c>
      <c r="F3321" t="inlineStr">
        <is>
          <t>观望</t>
        </is>
      </c>
      <c r="H3321" t="n">
        <v>7079</v>
      </c>
      <c r="J3321" t="n">
        <v>1</v>
      </c>
      <c r="K3321" t="inlineStr">
        <is>
          <t>逆5日线（收盘在5日线上，不追空）</t>
        </is>
      </c>
    </row>
    <row r="3322">
      <c r="A3322" t="inlineStr">
        <is>
          <t>2024-08-12</t>
        </is>
      </c>
      <c r="B3322" t="inlineStr">
        <is>
          <t>PTA</t>
        </is>
      </c>
      <c r="C3322" t="inlineStr">
        <is>
          <t>空</t>
        </is>
      </c>
      <c r="D3322" t="n">
        <v>3</v>
      </c>
      <c r="E3322" t="n">
        <v>6</v>
      </c>
      <c r="F3322" t="inlineStr">
        <is>
          <t>续持</t>
        </is>
      </c>
      <c r="G3322" t="n">
        <v>26</v>
      </c>
      <c r="H3322" t="n">
        <v>5592</v>
      </c>
      <c r="I3322" t="n">
        <v>5731</v>
      </c>
      <c r="J3322" t="n">
        <v>2.86</v>
      </c>
      <c r="K3322" t="inlineStr">
        <is>
          <t>续持原仓（2024-08-08开）</t>
        </is>
      </c>
    </row>
    <row r="3323">
      <c r="A3323" t="inlineStr">
        <is>
          <t>2024-08-12</t>
        </is>
      </c>
      <c r="B3323" t="inlineStr">
        <is>
          <t>豆粕</t>
        </is>
      </c>
      <c r="C3323" t="inlineStr">
        <is>
          <t>空</t>
        </is>
      </c>
      <c r="D3323" t="n">
        <v>3</v>
      </c>
      <c r="E3323" t="n">
        <v>6</v>
      </c>
      <c r="F3323" t="inlineStr">
        <is>
          <t>不做</t>
        </is>
      </c>
      <c r="H3323" t="n">
        <v>3038</v>
      </c>
      <c r="J3323" t="n">
        <v>0</v>
      </c>
      <c r="K3323" t="inlineStr">
        <is>
          <t>组合风险已近10%，预算缩小</t>
        </is>
      </c>
    </row>
    <row r="3324">
      <c r="A3324" t="inlineStr">
        <is>
          <t>2024-08-12</t>
        </is>
      </c>
      <c r="B3324" t="inlineStr">
        <is>
          <t>纯碱</t>
        </is>
      </c>
      <c r="C3324" t="inlineStr">
        <is>
          <t>空</t>
        </is>
      </c>
      <c r="D3324" t="n">
        <v>3</v>
      </c>
      <c r="E3324" t="n">
        <v>6</v>
      </c>
      <c r="F3324" t="inlineStr">
        <is>
          <t>续持</t>
        </is>
      </c>
      <c r="G3324" t="n">
        <v>4</v>
      </c>
      <c r="H3324" t="n">
        <v>1689</v>
      </c>
      <c r="I3324" t="n">
        <v>1844.93</v>
      </c>
      <c r="J3324" t="n">
        <v>1.5</v>
      </c>
      <c r="K3324" t="inlineStr">
        <is>
          <t>续持原仓（2024-08-06开）</t>
        </is>
      </c>
    </row>
    <row r="3325">
      <c r="A3325" t="inlineStr">
        <is>
          <t>2024-08-12</t>
        </is>
      </c>
      <c r="B3325" t="inlineStr">
        <is>
          <t>沪镍</t>
        </is>
      </c>
      <c r="C3325" t="inlineStr">
        <is>
          <t>空</t>
        </is>
      </c>
      <c r="D3325" t="n">
        <v>2</v>
      </c>
      <c r="E3325" t="n">
        <v>4</v>
      </c>
      <c r="F3325" t="inlineStr">
        <is>
          <t>影子仓</t>
        </is>
      </c>
      <c r="G3325" t="n">
        <v>1</v>
      </c>
      <c r="H3325" t="n">
        <v>128310</v>
      </c>
      <c r="I3325" t="n">
        <v>137262.86</v>
      </c>
      <c r="J3325" t="n">
        <v>1</v>
      </c>
      <c r="K3325" t="inlineStr">
        <is>
          <t>凯利≤0，开1%影子仓（只统计，不计入组合）</t>
        </is>
      </c>
    </row>
    <row r="3326">
      <c r="A3326" t="inlineStr">
        <is>
          <t>2024-08-13</t>
        </is>
      </c>
      <c r="B3326" t="inlineStr">
        <is>
          <t>纯碱</t>
        </is>
      </c>
      <c r="C3326" t="inlineStr">
        <is>
          <t>空</t>
        </is>
      </c>
      <c r="D3326" t="n">
        <v>3</v>
      </c>
      <c r="E3326" t="n">
        <v>7</v>
      </c>
      <c r="F3326" t="inlineStr">
        <is>
          <t>续持</t>
        </is>
      </c>
      <c r="G3326" t="n">
        <v>4</v>
      </c>
      <c r="H3326" t="n">
        <v>1663</v>
      </c>
      <c r="I3326" t="n">
        <v>1830</v>
      </c>
      <c r="J3326" t="n">
        <v>1.5</v>
      </c>
      <c r="K3326" t="inlineStr">
        <is>
          <t>续持原仓（2024-08-06开）</t>
        </is>
      </c>
    </row>
    <row r="3327">
      <c r="A3327" t="inlineStr">
        <is>
          <t>2024-08-13</t>
        </is>
      </c>
      <c r="B3327" t="inlineStr">
        <is>
          <t>玉米</t>
        </is>
      </c>
      <c r="C3327" t="inlineStr">
        <is>
          <t>空</t>
        </is>
      </c>
      <c r="D3327" t="n">
        <v>3</v>
      </c>
      <c r="E3327" t="n">
        <v>6</v>
      </c>
      <c r="F3327" t="inlineStr">
        <is>
          <t>不做</t>
        </is>
      </c>
      <c r="H3327" t="n">
        <v>2266</v>
      </c>
      <c r="J3327" t="n">
        <v>0</v>
      </c>
      <c r="K3327" t="inlineStr">
        <is>
          <t>组合风险已近10%，预算缩小</t>
        </is>
      </c>
    </row>
    <row r="3328">
      <c r="A3328" t="inlineStr">
        <is>
          <t>2024-08-13</t>
        </is>
      </c>
      <c r="B3328" t="inlineStr">
        <is>
          <t>PTA</t>
        </is>
      </c>
      <c r="C3328" t="inlineStr">
        <is>
          <t>空</t>
        </is>
      </c>
      <c r="D3328" t="n">
        <v>2</v>
      </c>
      <c r="E3328" t="n">
        <v>5</v>
      </c>
      <c r="F3328" t="inlineStr">
        <is>
          <t>观望</t>
        </is>
      </c>
      <c r="G3328" t="n">
        <v>8</v>
      </c>
      <c r="H3328" t="n">
        <v>5624</v>
      </c>
      <c r="I3328" t="n">
        <v>5863.57</v>
      </c>
      <c r="J3328" t="n">
        <v>1</v>
      </c>
      <c r="K3328" t="inlineStr">
        <is>
          <t>逆5日线（收盘在5日线上，不追空）</t>
        </is>
      </c>
    </row>
    <row r="3329">
      <c r="A3329" t="inlineStr">
        <is>
          <t>2024-08-13</t>
        </is>
      </c>
      <c r="B3329" t="inlineStr">
        <is>
          <t>菜油</t>
        </is>
      </c>
      <c r="C3329" t="inlineStr">
        <is>
          <t>空</t>
        </is>
      </c>
      <c r="D3329" t="n">
        <v>2</v>
      </c>
      <c r="E3329" t="n">
        <v>5</v>
      </c>
      <c r="F3329" t="inlineStr">
        <is>
          <t>影子仓</t>
        </is>
      </c>
      <c r="G3329" t="n">
        <v>1</v>
      </c>
      <c r="H3329" t="n">
        <v>8097</v>
      </c>
      <c r="I3329" t="n">
        <v>8620.709999999999</v>
      </c>
      <c r="J3329" t="n">
        <v>1</v>
      </c>
      <c r="K3329" t="inlineStr">
        <is>
          <t>凯利≤0，开1%影子仓（只统计，不计入组合）</t>
        </is>
      </c>
    </row>
    <row r="3330">
      <c r="A3330" t="inlineStr">
        <is>
          <t>2024-08-13</t>
        </is>
      </c>
      <c r="B3330" t="inlineStr">
        <is>
          <t>白糖</t>
        </is>
      </c>
      <c r="C3330" t="inlineStr">
        <is>
          <t>多</t>
        </is>
      </c>
      <c r="D3330" t="n">
        <v>2</v>
      </c>
      <c r="E3330" t="n">
        <v>4</v>
      </c>
      <c r="F3330" t="inlineStr">
        <is>
          <t>影子仓</t>
        </is>
      </c>
      <c r="G3330" t="n">
        <v>5</v>
      </c>
      <c r="H3330" t="n">
        <v>5709</v>
      </c>
      <c r="I3330" t="n">
        <v>5527.93</v>
      </c>
      <c r="J3330" t="n">
        <v>1</v>
      </c>
      <c r="K3330" t="inlineStr">
        <is>
          <t>凯利≤0，开1%影子仓（只统计，不计入组合）</t>
        </is>
      </c>
    </row>
    <row r="3331">
      <c r="A3331" t="inlineStr">
        <is>
          <t>2024-08-14</t>
        </is>
      </c>
      <c r="B3331" t="inlineStr">
        <is>
          <t>菜粕</t>
        </is>
      </c>
      <c r="C3331" t="inlineStr">
        <is>
          <t>空</t>
        </is>
      </c>
      <c r="D3331" t="n">
        <v>3</v>
      </c>
      <c r="E3331" t="n">
        <v>7</v>
      </c>
      <c r="F3331" t="inlineStr">
        <is>
          <t>不做</t>
        </is>
      </c>
      <c r="H3331" t="n">
        <v>2148</v>
      </c>
      <c r="J3331" t="n">
        <v>0</v>
      </c>
      <c r="K3331" t="inlineStr">
        <is>
          <t>组合风险已近10%，预算缩小</t>
        </is>
      </c>
    </row>
    <row r="3332">
      <c r="A3332" t="inlineStr">
        <is>
          <t>2024-08-14</t>
        </is>
      </c>
      <c r="B3332" t="inlineStr">
        <is>
          <t>PTA</t>
        </is>
      </c>
      <c r="C3332" t="inlineStr">
        <is>
          <t>空</t>
        </is>
      </c>
      <c r="D3332" t="n">
        <v>3</v>
      </c>
      <c r="E3332" t="n">
        <v>7</v>
      </c>
      <c r="F3332" t="inlineStr">
        <is>
          <t>续持</t>
        </is>
      </c>
      <c r="G3332" t="n">
        <v>26</v>
      </c>
      <c r="H3332" t="n">
        <v>5580</v>
      </c>
      <c r="I3332" t="n">
        <v>5731</v>
      </c>
      <c r="J3332" t="n">
        <v>2.86</v>
      </c>
      <c r="K3332" t="inlineStr">
        <is>
          <t>续持原仓（2024-08-08开）</t>
        </is>
      </c>
    </row>
    <row r="3333">
      <c r="A3333" t="inlineStr">
        <is>
          <t>2024-08-14</t>
        </is>
      </c>
      <c r="B3333" t="inlineStr">
        <is>
          <t>棉花</t>
        </is>
      </c>
      <c r="C3333" t="inlineStr">
        <is>
          <t>空</t>
        </is>
      </c>
      <c r="D3333" t="n">
        <v>3</v>
      </c>
      <c r="E3333" t="n">
        <v>7</v>
      </c>
      <c r="F3333" t="inlineStr">
        <is>
          <t>不做</t>
        </is>
      </c>
      <c r="H3333" t="n">
        <v>13395</v>
      </c>
      <c r="J3333" t="n">
        <v>0</v>
      </c>
      <c r="K3333" t="inlineStr">
        <is>
          <t>组合风险已近10%，预算缩小</t>
        </is>
      </c>
    </row>
    <row r="3334">
      <c r="A3334" t="inlineStr">
        <is>
          <t>2024-08-14</t>
        </is>
      </c>
      <c r="B3334" t="inlineStr">
        <is>
          <t>纯碱</t>
        </is>
      </c>
      <c r="C3334" t="inlineStr">
        <is>
          <t>空</t>
        </is>
      </c>
      <c r="D3334" t="n">
        <v>3</v>
      </c>
      <c r="E3334" t="n">
        <v>6</v>
      </c>
      <c r="F3334" t="inlineStr">
        <is>
          <t>续持</t>
        </is>
      </c>
      <c r="G3334" t="n">
        <v>4</v>
      </c>
      <c r="H3334" t="n">
        <v>1583</v>
      </c>
      <c r="I3334" t="n">
        <v>1750.93</v>
      </c>
      <c r="J3334" t="n">
        <v>1.5</v>
      </c>
      <c r="K3334" t="inlineStr">
        <is>
          <t>续持原仓（2024-08-06开）</t>
        </is>
      </c>
    </row>
    <row r="3335">
      <c r="A3335" t="inlineStr">
        <is>
          <t>2024-08-14</t>
        </is>
      </c>
      <c r="B3335" t="inlineStr">
        <is>
          <t>玉米</t>
        </is>
      </c>
      <c r="C3335" t="inlineStr">
        <is>
          <t>空</t>
        </is>
      </c>
      <c r="D3335" t="n">
        <v>3</v>
      </c>
      <c r="E3335" t="n">
        <v>6</v>
      </c>
      <c r="F3335" t="inlineStr">
        <is>
          <t>不做</t>
        </is>
      </c>
      <c r="H3335" t="n">
        <v>2252</v>
      </c>
      <c r="J3335" t="n">
        <v>0</v>
      </c>
      <c r="K3335" t="inlineStr">
        <is>
          <t>组合风险已近10%，预算缩小</t>
        </is>
      </c>
    </row>
    <row r="3336">
      <c r="A3336" t="inlineStr">
        <is>
          <t>2024-08-14</t>
        </is>
      </c>
      <c r="B3336" t="inlineStr">
        <is>
          <t>沪金</t>
        </is>
      </c>
      <c r="C3336" t="inlineStr">
        <is>
          <t>多</t>
        </is>
      </c>
      <c r="D3336" t="n">
        <v>2</v>
      </c>
      <c r="E3336" t="n">
        <v>4</v>
      </c>
      <c r="F3336" t="inlineStr">
        <is>
          <t>不做</t>
        </is>
      </c>
      <c r="H3336" t="n">
        <v>568.22</v>
      </c>
      <c r="J3336" t="n">
        <v>1</v>
      </c>
      <c r="K3336" t="inlineStr">
        <is>
          <t>1手风险24934元超过预算10000元</t>
        </is>
      </c>
    </row>
    <row r="3337">
      <c r="A3337" t="inlineStr">
        <is>
          <t>2024-08-14</t>
        </is>
      </c>
      <c r="B3337" t="inlineStr">
        <is>
          <t>白糖</t>
        </is>
      </c>
      <c r="C3337" t="inlineStr">
        <is>
          <t>多</t>
        </is>
      </c>
      <c r="D3337" t="n">
        <v>2</v>
      </c>
      <c r="E3337" t="n">
        <v>4</v>
      </c>
      <c r="F3337" t="inlineStr">
        <is>
          <t>观望</t>
        </is>
      </c>
      <c r="G3337" t="n">
        <v>5</v>
      </c>
      <c r="H3337" t="n">
        <v>5676</v>
      </c>
      <c r="I3337" t="n">
        <v>5492.14</v>
      </c>
      <c r="J3337" t="n">
        <v>1</v>
      </c>
      <c r="K3337" t="inlineStr">
        <is>
          <t>逆5日线（收盘在5日线下，不追多）</t>
        </is>
      </c>
    </row>
    <row r="3338">
      <c r="A3338" t="inlineStr">
        <is>
          <t>2024-08-15</t>
        </is>
      </c>
      <c r="B3338" t="inlineStr">
        <is>
          <t>玻璃</t>
        </is>
      </c>
      <c r="C3338" t="inlineStr">
        <is>
          <t>空</t>
        </is>
      </c>
      <c r="D3338" t="n">
        <v>3</v>
      </c>
      <c r="E3338" t="n">
        <v>7</v>
      </c>
      <c r="F3338" t="inlineStr">
        <is>
          <t>不做</t>
        </is>
      </c>
      <c r="H3338" t="n">
        <v>1288</v>
      </c>
      <c r="J3338" t="n">
        <v>0</v>
      </c>
      <c r="K3338" t="inlineStr">
        <is>
          <t>组合风险已近10%，预算缩小</t>
        </is>
      </c>
    </row>
    <row r="3339">
      <c r="A3339" t="inlineStr">
        <is>
          <t>2024-08-15</t>
        </is>
      </c>
      <c r="B3339" t="inlineStr">
        <is>
          <t>PVC</t>
        </is>
      </c>
      <c r="C3339" t="inlineStr">
        <is>
          <t>空</t>
        </is>
      </c>
      <c r="D3339" t="n">
        <v>3</v>
      </c>
      <c r="E3339" t="n">
        <v>7</v>
      </c>
      <c r="F3339" t="inlineStr">
        <is>
          <t>不做</t>
        </is>
      </c>
      <c r="H3339" t="n">
        <v>5332</v>
      </c>
      <c r="J3339" t="n">
        <v>0</v>
      </c>
      <c r="K3339" t="inlineStr">
        <is>
          <t>组合风险已近10%，预算缩小</t>
        </is>
      </c>
    </row>
    <row r="3340">
      <c r="A3340" t="inlineStr">
        <is>
          <t>2024-08-15</t>
        </is>
      </c>
      <c r="B3340" t="inlineStr">
        <is>
          <t>PTA</t>
        </is>
      </c>
      <c r="C3340" t="inlineStr">
        <is>
          <t>空</t>
        </is>
      </c>
      <c r="D3340" t="n">
        <v>3</v>
      </c>
      <c r="E3340" t="n">
        <v>6</v>
      </c>
      <c r="F3340" t="inlineStr">
        <is>
          <t>续持</t>
        </is>
      </c>
      <c r="G3340" t="n">
        <v>26</v>
      </c>
      <c r="H3340" t="n">
        <v>5540</v>
      </c>
      <c r="I3340" t="n">
        <v>5678</v>
      </c>
      <c r="J3340" t="n">
        <v>2.86</v>
      </c>
      <c r="K3340" t="inlineStr">
        <is>
          <t>续持原仓（2024-08-08开）</t>
        </is>
      </c>
    </row>
    <row r="3341">
      <c r="A3341" t="inlineStr">
        <is>
          <t>2024-08-15</t>
        </is>
      </c>
      <c r="B3341" t="inlineStr">
        <is>
          <t>热卷</t>
        </is>
      </c>
      <c r="C3341" t="inlineStr">
        <is>
          <t>空</t>
        </is>
      </c>
      <c r="D3341" t="n">
        <v>3</v>
      </c>
      <c r="E3341" t="n">
        <v>6</v>
      </c>
      <c r="F3341" t="inlineStr">
        <is>
          <t>不做</t>
        </is>
      </c>
      <c r="H3341" t="n">
        <v>3222</v>
      </c>
      <c r="J3341" t="n">
        <v>0</v>
      </c>
      <c r="K3341" t="inlineStr">
        <is>
          <t>组合风险已近10%，预算缩小</t>
        </is>
      </c>
    </row>
    <row r="3342">
      <c r="A3342" t="inlineStr">
        <is>
          <t>2024-08-15</t>
        </is>
      </c>
      <c r="B3342" t="inlineStr">
        <is>
          <t>菜粕</t>
        </is>
      </c>
      <c r="C3342" t="inlineStr">
        <is>
          <t>空</t>
        </is>
      </c>
      <c r="D3342" t="n">
        <v>2</v>
      </c>
      <c r="E3342" t="n">
        <v>5</v>
      </c>
      <c r="F3342" t="inlineStr">
        <is>
          <t>影子仓</t>
        </is>
      </c>
      <c r="G3342" t="n">
        <v>5</v>
      </c>
      <c r="H3342" t="n">
        <v>2188</v>
      </c>
      <c r="I3342" t="n">
        <v>2372.71</v>
      </c>
      <c r="J3342" t="n">
        <v>1</v>
      </c>
      <c r="K3342" t="inlineStr">
        <is>
          <t>凯利≤0，开1%影子仓（只统计，不计入组合）</t>
        </is>
      </c>
    </row>
    <row r="3343">
      <c r="A3343" t="inlineStr">
        <is>
          <t>2024-08-15</t>
        </is>
      </c>
      <c r="B3343" t="inlineStr">
        <is>
          <t>沪金</t>
        </is>
      </c>
      <c r="C3343" t="inlineStr">
        <is>
          <t>多</t>
        </is>
      </c>
      <c r="D3343" t="n">
        <v>2</v>
      </c>
      <c r="E3343" t="n">
        <v>4</v>
      </c>
      <c r="F3343" t="inlineStr">
        <is>
          <t>不做</t>
        </is>
      </c>
      <c r="H3343" t="n">
        <v>566.98</v>
      </c>
      <c r="J3343" t="n">
        <v>1</v>
      </c>
      <c r="K3343" t="inlineStr">
        <is>
          <t>1手风险24686元超过预算10000元</t>
        </is>
      </c>
    </row>
    <row r="3344">
      <c r="A3344" t="inlineStr">
        <is>
          <t>2024-08-15</t>
        </is>
      </c>
      <c r="B3344" t="inlineStr">
        <is>
          <t>沪银</t>
        </is>
      </c>
      <c r="C3344" t="inlineStr">
        <is>
          <t>多</t>
        </is>
      </c>
      <c r="D3344" t="n">
        <v>2</v>
      </c>
      <c r="E3344" t="n">
        <v>4</v>
      </c>
      <c r="F3344" t="inlineStr">
        <is>
          <t>影子仓</t>
        </is>
      </c>
      <c r="G3344" t="n">
        <v>1</v>
      </c>
      <c r="H3344" t="n">
        <v>7194</v>
      </c>
      <c r="I3344" t="n">
        <v>6567.64</v>
      </c>
      <c r="J3344" t="n">
        <v>1</v>
      </c>
      <c r="K3344" t="inlineStr">
        <is>
          <t>凯利≤0，开1%影子仓（只统计，不计入组合）</t>
        </is>
      </c>
    </row>
    <row r="3345">
      <c r="A3345" t="inlineStr">
        <is>
          <t>2024-08-16</t>
        </is>
      </c>
      <c r="B3345" t="inlineStr">
        <is>
          <t>玻璃</t>
        </is>
      </c>
      <c r="C3345" t="inlineStr">
        <is>
          <t>空</t>
        </is>
      </c>
      <c r="D3345" t="n">
        <v>3</v>
      </c>
      <c r="E3345" t="n">
        <v>7</v>
      </c>
      <c r="F3345" t="inlineStr">
        <is>
          <t>开仓</t>
        </is>
      </c>
      <c r="G3345" t="n">
        <v>6</v>
      </c>
      <c r="H3345" t="n">
        <v>1275</v>
      </c>
      <c r="I3345" t="n">
        <v>1391.36</v>
      </c>
      <c r="J3345" t="n">
        <v>1.5</v>
      </c>
      <c r="K3345" t="inlineStr">
        <is>
          <t>与纯碱高度相关（同组≤3%），预算缩小</t>
        </is>
      </c>
    </row>
    <row r="3346">
      <c r="A3346" t="inlineStr">
        <is>
          <t>2024-08-16</t>
        </is>
      </c>
      <c r="B3346" t="inlineStr">
        <is>
          <t>塑料</t>
        </is>
      </c>
      <c r="C3346" t="inlineStr">
        <is>
          <t>空</t>
        </is>
      </c>
      <c r="D3346" t="n">
        <v>3</v>
      </c>
      <c r="E3346" t="n">
        <v>7</v>
      </c>
      <c r="F3346" t="inlineStr">
        <is>
          <t>开仓</t>
        </is>
      </c>
      <c r="G3346" t="n">
        <v>13</v>
      </c>
      <c r="H3346" t="n">
        <v>8028</v>
      </c>
      <c r="I3346" t="n">
        <v>8258.57</v>
      </c>
      <c r="J3346" t="n">
        <v>1.5</v>
      </c>
      <c r="K3346" t="inlineStr">
        <is>
          <t>组合风险已近10%，预算缩小</t>
        </is>
      </c>
    </row>
    <row r="3347">
      <c r="A3347" t="inlineStr">
        <is>
          <t>2024-08-16</t>
        </is>
      </c>
      <c r="B3347" t="inlineStr">
        <is>
          <t>菜粕</t>
        </is>
      </c>
      <c r="C3347" t="inlineStr">
        <is>
          <t>空</t>
        </is>
      </c>
      <c r="D3347" t="n">
        <v>3</v>
      </c>
      <c r="E3347" t="n">
        <v>6</v>
      </c>
      <c r="F3347" t="inlineStr">
        <is>
          <t>续持</t>
        </is>
      </c>
      <c r="G3347" t="n">
        <v>5</v>
      </c>
      <c r="H3347" t="n">
        <v>2166</v>
      </c>
      <c r="I3347" t="n">
        <v>2326.64</v>
      </c>
      <c r="J3347" t="n">
        <v>1</v>
      </c>
      <c r="K3347" t="inlineStr">
        <is>
          <t>续持原仓（2024-08-15开）</t>
        </is>
      </c>
    </row>
    <row r="3348">
      <c r="A3348" t="inlineStr">
        <is>
          <t>2024-08-16</t>
        </is>
      </c>
      <c r="B3348" t="inlineStr">
        <is>
          <t>PTA</t>
        </is>
      </c>
      <c r="C3348" t="inlineStr">
        <is>
          <t>空</t>
        </is>
      </c>
      <c r="D3348" t="n">
        <v>3</v>
      </c>
      <c r="E3348" t="n">
        <v>6</v>
      </c>
      <c r="F3348" t="inlineStr">
        <is>
          <t>续持</t>
        </is>
      </c>
      <c r="G3348" t="n">
        <v>26</v>
      </c>
      <c r="H3348" t="n">
        <v>5550</v>
      </c>
      <c r="I3348" t="n">
        <v>5678</v>
      </c>
      <c r="J3348" t="n">
        <v>2.86</v>
      </c>
      <c r="K3348" t="inlineStr">
        <is>
          <t>续持原仓（2024-08-08开）</t>
        </is>
      </c>
    </row>
    <row r="3349">
      <c r="A3349" t="inlineStr">
        <is>
          <t>2024-08-16</t>
        </is>
      </c>
      <c r="B3349" t="inlineStr">
        <is>
          <t>豆粕</t>
        </is>
      </c>
      <c r="C3349" t="inlineStr">
        <is>
          <t>空</t>
        </is>
      </c>
      <c r="D3349" t="n">
        <v>3</v>
      </c>
      <c r="E3349" t="n">
        <v>6</v>
      </c>
      <c r="F3349" t="inlineStr">
        <is>
          <t>不做</t>
        </is>
      </c>
      <c r="H3349" t="n">
        <v>2936</v>
      </c>
      <c r="J3349" t="n">
        <v>0</v>
      </c>
      <c r="K3349" t="inlineStr">
        <is>
          <t>组合风险已近10%，预算缩小</t>
        </is>
      </c>
    </row>
    <row r="3350">
      <c r="A3350" t="inlineStr">
        <is>
          <t>2024-08-16</t>
        </is>
      </c>
      <c r="B3350" t="inlineStr">
        <is>
          <t>沪金</t>
        </is>
      </c>
      <c r="C3350" t="inlineStr">
        <is>
          <t>多</t>
        </is>
      </c>
      <c r="D3350" t="n">
        <v>2</v>
      </c>
      <c r="E3350" t="n">
        <v>4</v>
      </c>
      <c r="F3350" t="inlineStr">
        <is>
          <t>不做</t>
        </is>
      </c>
      <c r="H3350" t="n">
        <v>567.74</v>
      </c>
      <c r="J3350" t="n">
        <v>1</v>
      </c>
      <c r="K3350" t="inlineStr">
        <is>
          <t>1手风险24544元超过预算10000元</t>
        </is>
      </c>
    </row>
    <row r="3351">
      <c r="A3351" t="inlineStr">
        <is>
          <t>2024-08-19</t>
        </is>
      </c>
      <c r="B3351" t="inlineStr">
        <is>
          <t>PTA</t>
        </is>
      </c>
      <c r="C3351" t="inlineStr">
        <is>
          <t>空</t>
        </is>
      </c>
      <c r="D3351" t="n">
        <v>3</v>
      </c>
      <c r="E3351" t="n">
        <v>7</v>
      </c>
      <c r="F3351" t="inlineStr">
        <is>
          <t>续持</t>
        </is>
      </c>
      <c r="G3351" t="n">
        <v>26</v>
      </c>
      <c r="H3351" t="n">
        <v>5378</v>
      </c>
      <c r="I3351" t="n">
        <v>5646.29</v>
      </c>
      <c r="J3351" t="n">
        <v>2.86</v>
      </c>
      <c r="K3351" t="inlineStr">
        <is>
          <t>续持原仓（2024-08-08开）</t>
        </is>
      </c>
    </row>
    <row r="3352">
      <c r="A3352" t="inlineStr">
        <is>
          <t>2024-08-19</t>
        </is>
      </c>
      <c r="B3352" t="inlineStr">
        <is>
          <t>锰硅</t>
        </is>
      </c>
      <c r="C3352" t="inlineStr">
        <is>
          <t>空</t>
        </is>
      </c>
      <c r="D3352" t="n">
        <v>3</v>
      </c>
      <c r="E3352" t="n">
        <v>7</v>
      </c>
      <c r="F3352" t="inlineStr">
        <is>
          <t>开仓</t>
        </is>
      </c>
      <c r="G3352" t="n">
        <v>10</v>
      </c>
      <c r="H3352" t="n">
        <v>6350</v>
      </c>
      <c r="I3352" t="n">
        <v>6899.86</v>
      </c>
      <c r="J3352" t="n">
        <v>3</v>
      </c>
      <c r="K3352" t="inlineStr">
        <is>
          <t>¼凯利超上限，取3%</t>
        </is>
      </c>
    </row>
    <row r="3353">
      <c r="A3353" t="inlineStr">
        <is>
          <t>2024-08-19</t>
        </is>
      </c>
      <c r="B3353" t="inlineStr">
        <is>
          <t>豆粕</t>
        </is>
      </c>
      <c r="C3353" t="inlineStr">
        <is>
          <t>空</t>
        </is>
      </c>
      <c r="D3353" t="n">
        <v>3</v>
      </c>
      <c r="E3353" t="n">
        <v>7</v>
      </c>
      <c r="F3353" t="inlineStr">
        <is>
          <t>开仓</t>
        </is>
      </c>
      <c r="G3353" t="n">
        <v>6</v>
      </c>
      <c r="H3353" t="n">
        <v>2917</v>
      </c>
      <c r="I3353" t="n">
        <v>3088.86</v>
      </c>
      <c r="J3353" t="n">
        <v>1.14</v>
      </c>
      <c r="K3353" t="inlineStr">
        <is>
          <t>组合风险已近10%，预算缩小</t>
        </is>
      </c>
    </row>
    <row r="3354">
      <c r="A3354" t="inlineStr">
        <is>
          <t>2024-08-19</t>
        </is>
      </c>
      <c r="B3354" t="inlineStr">
        <is>
          <t>菜粕</t>
        </is>
      </c>
      <c r="C3354" t="inlineStr">
        <is>
          <t>空</t>
        </is>
      </c>
      <c r="D3354" t="n">
        <v>3</v>
      </c>
      <c r="E3354" t="n">
        <v>6</v>
      </c>
      <c r="F3354" t="inlineStr">
        <is>
          <t>续持</t>
        </is>
      </c>
      <c r="G3354" t="n">
        <v>5</v>
      </c>
      <c r="H3354" t="n">
        <v>2165</v>
      </c>
      <c r="I3354" t="n">
        <v>2313.21</v>
      </c>
      <c r="J3354" t="n">
        <v>1</v>
      </c>
      <c r="K3354" t="inlineStr">
        <is>
          <t>续持原仓（2024-08-15开）</t>
        </is>
      </c>
    </row>
    <row r="3355">
      <c r="A3355" t="inlineStr">
        <is>
          <t>2024-08-19</t>
        </is>
      </c>
      <c r="B3355" t="inlineStr">
        <is>
          <t>玻璃</t>
        </is>
      </c>
      <c r="C3355" t="inlineStr">
        <is>
          <t>空</t>
        </is>
      </c>
      <c r="D3355" t="n">
        <v>3</v>
      </c>
      <c r="E3355" t="n">
        <v>6</v>
      </c>
      <c r="F3355" t="inlineStr">
        <is>
          <t>续持</t>
        </is>
      </c>
      <c r="G3355" t="n">
        <v>6</v>
      </c>
      <c r="H3355" t="n">
        <v>1275</v>
      </c>
      <c r="I3355" t="n">
        <v>1383.36</v>
      </c>
      <c r="J3355" t="n">
        <v>1.5</v>
      </c>
      <c r="K3355" t="inlineStr">
        <is>
          <t>续持原仓（2024-08-16开）</t>
        </is>
      </c>
    </row>
    <row r="3356">
      <c r="A3356" t="inlineStr">
        <is>
          <t>2024-08-19</t>
        </is>
      </c>
      <c r="B3356" t="inlineStr">
        <is>
          <t>沪金</t>
        </is>
      </c>
      <c r="C3356" t="inlineStr">
        <is>
          <t>多</t>
        </is>
      </c>
      <c r="D3356" t="n">
        <v>2</v>
      </c>
      <c r="E3356" t="n">
        <v>5</v>
      </c>
      <c r="F3356" t="inlineStr">
        <is>
          <t>不做</t>
        </is>
      </c>
      <c r="H3356" t="n">
        <v>573.7</v>
      </c>
      <c r="J3356" t="n">
        <v>1</v>
      </c>
      <c r="K3356" t="inlineStr">
        <is>
          <t>1手风险24896元超过预算10000元</t>
        </is>
      </c>
    </row>
    <row r="3357">
      <c r="A3357" t="inlineStr">
        <is>
          <t>2024-08-19</t>
        </is>
      </c>
      <c r="B3357" t="inlineStr">
        <is>
          <t>沪银</t>
        </is>
      </c>
      <c r="C3357" t="inlineStr">
        <is>
          <t>多</t>
        </is>
      </c>
      <c r="D3357" t="n">
        <v>2</v>
      </c>
      <c r="E3357" t="n">
        <v>4</v>
      </c>
      <c r="F3357" t="inlineStr">
        <is>
          <t>续持</t>
        </is>
      </c>
      <c r="G3357" t="n">
        <v>1</v>
      </c>
      <c r="H3357" t="n">
        <v>7449</v>
      </c>
      <c r="I3357" t="n">
        <v>6832.5</v>
      </c>
      <c r="J3357" t="n">
        <v>1</v>
      </c>
      <c r="K3357" t="inlineStr">
        <is>
          <t>续持原仓（2024-08-15开）</t>
        </is>
      </c>
    </row>
    <row r="3358">
      <c r="A3358" t="inlineStr">
        <is>
          <t>2024-08-20</t>
        </is>
      </c>
      <c r="B3358" t="inlineStr">
        <is>
          <t>菜粕</t>
        </is>
      </c>
      <c r="C3358" t="inlineStr">
        <is>
          <t>空</t>
        </is>
      </c>
      <c r="D3358" t="n">
        <v>3</v>
      </c>
      <c r="E3358" t="n">
        <v>6</v>
      </c>
      <c r="F3358" t="inlineStr">
        <is>
          <t>观望</t>
        </is>
      </c>
      <c r="G3358" t="n">
        <v>11</v>
      </c>
      <c r="H3358" t="n">
        <v>2183</v>
      </c>
      <c r="I3358" t="n">
        <v>2344.14</v>
      </c>
      <c r="J3358" t="n">
        <v>1.86</v>
      </c>
      <c r="K3358" t="inlineStr">
        <is>
          <t>逆5日线（收盘在5日线上，不追空）</t>
        </is>
      </c>
    </row>
    <row r="3359">
      <c r="A3359" t="inlineStr">
        <is>
          <t>2024-08-20</t>
        </is>
      </c>
      <c r="B3359" t="inlineStr">
        <is>
          <t>PVC</t>
        </is>
      </c>
      <c r="C3359" t="inlineStr">
        <is>
          <t>空</t>
        </is>
      </c>
      <c r="D3359" t="n">
        <v>2</v>
      </c>
      <c r="E3359" t="n">
        <v>5</v>
      </c>
      <c r="F3359" t="inlineStr">
        <is>
          <t>观望</t>
        </is>
      </c>
      <c r="G3359" t="n">
        <v>7</v>
      </c>
      <c r="H3359" t="n">
        <v>5601</v>
      </c>
      <c r="I3359" t="n">
        <v>5871.43</v>
      </c>
      <c r="J3359" t="n">
        <v>1</v>
      </c>
      <c r="K3359" t="inlineStr">
        <is>
          <t>逆5日线（收盘在5日线上，不追空）</t>
        </is>
      </c>
    </row>
    <row r="3360">
      <c r="A3360" t="inlineStr">
        <is>
          <t>2024-08-20</t>
        </is>
      </c>
      <c r="B3360" t="inlineStr">
        <is>
          <t>豆粕</t>
        </is>
      </c>
      <c r="C3360" t="inlineStr">
        <is>
          <t>空</t>
        </is>
      </c>
      <c r="D3360" t="n">
        <v>2</v>
      </c>
      <c r="E3360" t="n">
        <v>5</v>
      </c>
      <c r="F3360" t="inlineStr">
        <is>
          <t>观望</t>
        </is>
      </c>
      <c r="G3360" t="n">
        <v>5</v>
      </c>
      <c r="H3360" t="n">
        <v>2942</v>
      </c>
      <c r="I3360" t="n">
        <v>3116.43</v>
      </c>
      <c r="J3360" t="n">
        <v>1</v>
      </c>
      <c r="K3360" t="inlineStr">
        <is>
          <t>逆5日线（收盘在5日线上，不追空）</t>
        </is>
      </c>
    </row>
    <row r="3361">
      <c r="A3361" t="inlineStr">
        <is>
          <t>2024-08-20</t>
        </is>
      </c>
      <c r="B3361" t="inlineStr">
        <is>
          <t>沪金</t>
        </is>
      </c>
      <c r="C3361" t="inlineStr">
        <is>
          <t>多</t>
        </is>
      </c>
      <c r="D3361" t="n">
        <v>2</v>
      </c>
      <c r="E3361" t="n">
        <v>5</v>
      </c>
      <c r="F3361" t="inlineStr">
        <is>
          <t>不做</t>
        </is>
      </c>
      <c r="H3361" t="n">
        <v>574.24</v>
      </c>
      <c r="J3361" t="n">
        <v>1</v>
      </c>
      <c r="K3361" t="inlineStr">
        <is>
          <t>1手风险23931元超过预算10000元</t>
        </is>
      </c>
    </row>
    <row r="3362">
      <c r="A3362" t="inlineStr">
        <is>
          <t>2024-08-20</t>
        </is>
      </c>
      <c r="B3362" t="inlineStr">
        <is>
          <t>PTA</t>
        </is>
      </c>
      <c r="C3362" t="inlineStr">
        <is>
          <t>空</t>
        </is>
      </c>
      <c r="D3362" t="n">
        <v>2</v>
      </c>
      <c r="E3362" t="n">
        <v>5</v>
      </c>
      <c r="F3362" t="inlineStr">
        <is>
          <t>续持</t>
        </is>
      </c>
      <c r="G3362" t="n">
        <v>26</v>
      </c>
      <c r="H3362" t="n">
        <v>5390</v>
      </c>
      <c r="I3362" t="n">
        <v>5609.43</v>
      </c>
      <c r="J3362" t="n">
        <v>2.86</v>
      </c>
      <c r="K3362" t="inlineStr">
        <is>
          <t>续持原仓（2024-08-08开）</t>
        </is>
      </c>
    </row>
    <row r="3363">
      <c r="A3363" t="inlineStr">
        <is>
          <t>2024-08-20</t>
        </is>
      </c>
      <c r="B3363" t="inlineStr">
        <is>
          <t>玻璃</t>
        </is>
      </c>
      <c r="C3363" t="inlineStr">
        <is>
          <t>空</t>
        </is>
      </c>
      <c r="D3363" t="n">
        <v>2</v>
      </c>
      <c r="E3363" t="n">
        <v>4</v>
      </c>
      <c r="F3363" t="inlineStr">
        <is>
          <t>观望</t>
        </is>
      </c>
      <c r="G3363" t="n">
        <v>4</v>
      </c>
      <c r="H3363" t="n">
        <v>1295</v>
      </c>
      <c r="I3363" t="n">
        <v>1409.64</v>
      </c>
      <c r="J3363" t="n">
        <v>1</v>
      </c>
      <c r="K3363" t="inlineStr">
        <is>
          <t>逆5日线（收盘在5日线上，不追空）</t>
        </is>
      </c>
    </row>
    <row r="3364">
      <c r="A3364" t="inlineStr">
        <is>
          <t>2024-08-20</t>
        </is>
      </c>
      <c r="B3364" t="inlineStr">
        <is>
          <t>沪银</t>
        </is>
      </c>
      <c r="C3364" t="inlineStr">
        <is>
          <t>多</t>
        </is>
      </c>
      <c r="D3364" t="n">
        <v>2</v>
      </c>
      <c r="E3364" t="n">
        <v>4</v>
      </c>
      <c r="F3364" t="inlineStr">
        <is>
          <t>续持</t>
        </is>
      </c>
      <c r="G3364" t="n">
        <v>1</v>
      </c>
      <c r="H3364" t="n">
        <v>7554</v>
      </c>
      <c r="I3364" t="n">
        <v>6944.57</v>
      </c>
      <c r="J3364" t="n">
        <v>1</v>
      </c>
      <c r="K3364" t="inlineStr">
        <is>
          <t>续持原仓（2024-08-15开）</t>
        </is>
      </c>
    </row>
    <row r="3365">
      <c r="A3365" t="inlineStr">
        <is>
          <t>2024-08-21</t>
        </is>
      </c>
      <c r="B3365" t="inlineStr">
        <is>
          <t>沪金</t>
        </is>
      </c>
      <c r="C3365" t="inlineStr">
        <is>
          <t>多</t>
        </is>
      </c>
      <c r="D3365" t="n">
        <v>3</v>
      </c>
      <c r="E3365" t="n">
        <v>6</v>
      </c>
      <c r="F3365" t="inlineStr">
        <is>
          <t>开仓</t>
        </is>
      </c>
      <c r="G3365" t="n">
        <v>1</v>
      </c>
      <c r="H3365" t="n">
        <v>576.2</v>
      </c>
      <c r="I3365" t="n">
        <v>552.45</v>
      </c>
      <c r="J3365" t="n">
        <v>3</v>
      </c>
      <c r="K3365" t="inlineStr">
        <is>
          <t>¼凯利超上限，取3%</t>
        </is>
      </c>
    </row>
    <row r="3366">
      <c r="A3366" t="inlineStr">
        <is>
          <t>2024-08-21</t>
        </is>
      </c>
      <c r="B3366" t="inlineStr">
        <is>
          <t>豆粕</t>
        </is>
      </c>
      <c r="C3366" t="inlineStr">
        <is>
          <t>空</t>
        </is>
      </c>
      <c r="D3366" t="n">
        <v>2</v>
      </c>
      <c r="E3366" t="n">
        <v>5</v>
      </c>
      <c r="F3366" t="inlineStr">
        <is>
          <t>观望</t>
        </is>
      </c>
      <c r="G3366" t="n">
        <v>5</v>
      </c>
      <c r="H3366" t="n">
        <v>2960</v>
      </c>
      <c r="I3366" t="n">
        <v>3129.5</v>
      </c>
      <c r="J3366" t="n">
        <v>1</v>
      </c>
      <c r="K3366" t="inlineStr">
        <is>
          <t>逆5日线（收盘在5日线上，不追空）</t>
        </is>
      </c>
    </row>
    <row r="3367">
      <c r="A3367" t="inlineStr">
        <is>
          <t>2024-08-21</t>
        </is>
      </c>
      <c r="B3367" t="inlineStr">
        <is>
          <t>菜粕</t>
        </is>
      </c>
      <c r="C3367" t="inlineStr">
        <is>
          <t>空</t>
        </is>
      </c>
      <c r="D3367" t="n">
        <v>2</v>
      </c>
      <c r="E3367" t="n">
        <v>4</v>
      </c>
      <c r="F3367" t="inlineStr">
        <is>
          <t>观望</t>
        </is>
      </c>
      <c r="G3367" t="n">
        <v>6</v>
      </c>
      <c r="H3367" t="n">
        <v>2217</v>
      </c>
      <c r="I3367" t="n">
        <v>2373.86</v>
      </c>
      <c r="J3367" t="n">
        <v>1</v>
      </c>
      <c r="K3367" t="inlineStr">
        <is>
          <t>逆5日线（收盘在5日线上，不追空）</t>
        </is>
      </c>
    </row>
    <row r="3368">
      <c r="A3368" t="inlineStr">
        <is>
          <t>2024-08-22</t>
        </is>
      </c>
      <c r="B3368" t="inlineStr">
        <is>
          <t>PVC</t>
        </is>
      </c>
      <c r="C3368" t="inlineStr">
        <is>
          <t>空</t>
        </is>
      </c>
      <c r="D3368" t="n">
        <v>3</v>
      </c>
      <c r="E3368" t="n">
        <v>7</v>
      </c>
      <c r="F3368" t="inlineStr">
        <is>
          <t>观望</t>
        </is>
      </c>
      <c r="G3368" t="n">
        <v>20</v>
      </c>
      <c r="H3368" t="n">
        <v>5623</v>
      </c>
      <c r="I3368" t="n">
        <v>5921.29</v>
      </c>
      <c r="J3368" t="n">
        <v>3</v>
      </c>
      <c r="K3368" t="inlineStr">
        <is>
          <t>逆5日线（收盘在5日线上，不追空）</t>
        </is>
      </c>
    </row>
    <row r="3369">
      <c r="A3369" t="inlineStr">
        <is>
          <t>2024-08-22</t>
        </is>
      </c>
      <c r="B3369" t="inlineStr">
        <is>
          <t>菜粕</t>
        </is>
      </c>
      <c r="C3369" t="inlineStr">
        <is>
          <t>空</t>
        </is>
      </c>
      <c r="D3369" t="n">
        <v>3</v>
      </c>
      <c r="E3369" t="n">
        <v>7</v>
      </c>
      <c r="F3369" t="inlineStr">
        <is>
          <t>观望</t>
        </is>
      </c>
      <c r="G3369" t="n">
        <v>11</v>
      </c>
      <c r="H3369" t="n">
        <v>2185</v>
      </c>
      <c r="I3369" t="n">
        <v>2343.57</v>
      </c>
      <c r="J3369" t="n">
        <v>1.86</v>
      </c>
      <c r="K3369" t="inlineStr">
        <is>
          <t>逆5日线（收盘在5日线上，不追空）</t>
        </is>
      </c>
    </row>
    <row r="3370">
      <c r="A3370" t="inlineStr">
        <is>
          <t>2024-08-22</t>
        </is>
      </c>
      <c r="B3370" t="inlineStr">
        <is>
          <t>锰硅</t>
        </is>
      </c>
      <c r="C3370" t="inlineStr">
        <is>
          <t>空</t>
        </is>
      </c>
      <c r="D3370" t="n">
        <v>3</v>
      </c>
      <c r="E3370" t="n">
        <v>7</v>
      </c>
      <c r="F3370" t="inlineStr">
        <is>
          <t>开仓</t>
        </is>
      </c>
      <c r="G3370" t="n">
        <v>11</v>
      </c>
      <c r="H3370" t="n">
        <v>6302</v>
      </c>
      <c r="I3370" t="n">
        <v>6830.43</v>
      </c>
      <c r="J3370" t="n">
        <v>3</v>
      </c>
      <c r="K3370" t="inlineStr">
        <is>
          <t>¼凯利超上限，取3%</t>
        </is>
      </c>
    </row>
    <row r="3371">
      <c r="A3371" t="inlineStr">
        <is>
          <t>2024-08-22</t>
        </is>
      </c>
      <c r="B3371" t="inlineStr">
        <is>
          <t>玻璃</t>
        </is>
      </c>
      <c r="C3371" t="inlineStr">
        <is>
          <t>空</t>
        </is>
      </c>
      <c r="D3371" t="n">
        <v>3</v>
      </c>
      <c r="E3371" t="n">
        <v>7</v>
      </c>
      <c r="F3371" t="inlineStr">
        <is>
          <t>开仓</t>
        </is>
      </c>
      <c r="G3371" t="n">
        <v>5</v>
      </c>
      <c r="H3371" t="n">
        <v>1264</v>
      </c>
      <c r="I3371" t="n">
        <v>1381.64</v>
      </c>
      <c r="J3371" t="n">
        <v>1.36</v>
      </c>
      <c r="K3371" t="inlineStr">
        <is>
          <t>组合风险已近10%，预算缩小</t>
        </is>
      </c>
    </row>
    <row r="3372">
      <c r="A3372" t="inlineStr">
        <is>
          <t>2024-08-22</t>
        </is>
      </c>
      <c r="B3372" t="inlineStr">
        <is>
          <t>纯碱</t>
        </is>
      </c>
      <c r="C3372" t="inlineStr">
        <is>
          <t>空</t>
        </is>
      </c>
      <c r="D3372" t="n">
        <v>3</v>
      </c>
      <c r="E3372" t="n">
        <v>7</v>
      </c>
      <c r="F3372" t="inlineStr">
        <is>
          <t>不做</t>
        </is>
      </c>
      <c r="H3372" t="n">
        <v>1565</v>
      </c>
      <c r="J3372" t="n">
        <v>0</v>
      </c>
      <c r="K3372" t="inlineStr">
        <is>
          <t>组合风险已近10%，预算缩小</t>
        </is>
      </c>
    </row>
    <row r="3373">
      <c r="A3373" t="inlineStr">
        <is>
          <t>2024-08-22</t>
        </is>
      </c>
      <c r="B3373" t="inlineStr">
        <is>
          <t>沪金</t>
        </is>
      </c>
      <c r="C3373" t="inlineStr">
        <is>
          <t>多</t>
        </is>
      </c>
      <c r="D3373" t="n">
        <v>2</v>
      </c>
      <c r="E3373" t="n">
        <v>4</v>
      </c>
      <c r="F3373" t="inlineStr">
        <is>
          <t>续持</t>
        </is>
      </c>
      <c r="G3373" t="n">
        <v>1</v>
      </c>
      <c r="H3373" t="n">
        <v>574.46</v>
      </c>
      <c r="I3373" t="n">
        <v>553.33</v>
      </c>
      <c r="J3373" t="n">
        <v>3</v>
      </c>
      <c r="K3373" t="inlineStr">
        <is>
          <t>续持原仓（2024-08-21开）</t>
        </is>
      </c>
    </row>
    <row r="3374">
      <c r="A3374" t="inlineStr">
        <is>
          <t>2024-08-23</t>
        </is>
      </c>
      <c r="B3374" t="inlineStr">
        <is>
          <t>PVC</t>
        </is>
      </c>
      <c r="C3374" t="inlineStr">
        <is>
          <t>空</t>
        </is>
      </c>
      <c r="D3374" t="n">
        <v>3</v>
      </c>
      <c r="E3374" t="n">
        <v>7</v>
      </c>
      <c r="F3374" t="inlineStr">
        <is>
          <t>不做</t>
        </is>
      </c>
      <c r="H3374" t="n">
        <v>5542</v>
      </c>
      <c r="J3374" t="n">
        <v>0</v>
      </c>
      <c r="K3374" t="inlineStr">
        <is>
          <t>组合风险已近10%，预算缩小</t>
        </is>
      </c>
    </row>
    <row r="3375">
      <c r="A3375" t="inlineStr">
        <is>
          <t>2024-08-23</t>
        </is>
      </c>
      <c r="B3375" t="inlineStr">
        <is>
          <t>锰硅</t>
        </is>
      </c>
      <c r="C3375" t="inlineStr">
        <is>
          <t>空</t>
        </is>
      </c>
      <c r="D3375" t="n">
        <v>3</v>
      </c>
      <c r="E3375" t="n">
        <v>7</v>
      </c>
      <c r="F3375" t="inlineStr">
        <is>
          <t>续持</t>
        </is>
      </c>
      <c r="G3375" t="n">
        <v>11</v>
      </c>
      <c r="H3375" t="n">
        <v>6230</v>
      </c>
      <c r="I3375" t="n">
        <v>6742.57</v>
      </c>
      <c r="J3375" t="n">
        <v>3</v>
      </c>
      <c r="K3375" t="inlineStr">
        <is>
          <t>续持原仓（2024-08-22开）</t>
        </is>
      </c>
    </row>
    <row r="3376">
      <c r="A3376" t="inlineStr">
        <is>
          <t>2024-08-23</t>
        </is>
      </c>
      <c r="B3376" t="inlineStr">
        <is>
          <t>菜粕</t>
        </is>
      </c>
      <c r="C3376" t="inlineStr">
        <is>
          <t>空</t>
        </is>
      </c>
      <c r="D3376" t="n">
        <v>3</v>
      </c>
      <c r="E3376" t="n">
        <v>6</v>
      </c>
      <c r="F3376" t="inlineStr">
        <is>
          <t>续持</t>
        </is>
      </c>
      <c r="G3376" t="n">
        <v>5</v>
      </c>
      <c r="H3376" t="n">
        <v>2165</v>
      </c>
      <c r="I3376" t="n">
        <v>2307.21</v>
      </c>
      <c r="J3376" t="n">
        <v>1</v>
      </c>
      <c r="K3376" t="inlineStr">
        <is>
          <t>续持原仓（2024-08-15开）</t>
        </is>
      </c>
    </row>
    <row r="3377">
      <c r="A3377" t="inlineStr">
        <is>
          <t>2024-08-23</t>
        </is>
      </c>
      <c r="B3377" t="inlineStr">
        <is>
          <t>玻璃</t>
        </is>
      </c>
      <c r="C3377" t="inlineStr">
        <is>
          <t>空</t>
        </is>
      </c>
      <c r="D3377" t="n">
        <v>3</v>
      </c>
      <c r="E3377" t="n">
        <v>6</v>
      </c>
      <c r="F3377" t="inlineStr">
        <is>
          <t>续持</t>
        </is>
      </c>
      <c r="G3377" t="n">
        <v>5</v>
      </c>
      <c r="H3377" t="n">
        <v>1251</v>
      </c>
      <c r="I3377" t="n">
        <v>1359.64</v>
      </c>
      <c r="J3377" t="n">
        <v>1.36</v>
      </c>
      <c r="K3377" t="inlineStr">
        <is>
          <t>续持原仓（2024-08-22开）</t>
        </is>
      </c>
    </row>
    <row r="3378">
      <c r="A3378" t="inlineStr">
        <is>
          <t>2024-08-23</t>
        </is>
      </c>
      <c r="B3378" t="inlineStr">
        <is>
          <t>沥青</t>
        </is>
      </c>
      <c r="C3378" t="inlineStr">
        <is>
          <t>空</t>
        </is>
      </c>
      <c r="D3378" t="n">
        <v>3</v>
      </c>
      <c r="E3378" t="n">
        <v>6</v>
      </c>
      <c r="F3378" t="inlineStr">
        <is>
          <t>不做</t>
        </is>
      </c>
      <c r="H3378" t="n">
        <v>3371</v>
      </c>
      <c r="J3378" t="n">
        <v>0</v>
      </c>
      <c r="K3378" t="inlineStr">
        <is>
          <t>组合风险已近10%，预算缩小</t>
        </is>
      </c>
    </row>
    <row r="3379">
      <c r="A3379" t="inlineStr">
        <is>
          <t>2024-08-23</t>
        </is>
      </c>
      <c r="B3379" t="inlineStr">
        <is>
          <t>沪锌</t>
        </is>
      </c>
      <c r="C3379" t="inlineStr">
        <is>
          <t>多</t>
        </is>
      </c>
      <c r="D3379" t="n">
        <v>3</v>
      </c>
      <c r="E3379" t="n">
        <v>6</v>
      </c>
      <c r="F3379" t="inlineStr">
        <is>
          <t>不做</t>
        </is>
      </c>
      <c r="H3379" t="n">
        <v>24000</v>
      </c>
      <c r="J3379" t="n">
        <v>0</v>
      </c>
      <c r="K3379" t="inlineStr">
        <is>
          <t>组合风险已近10%，预算缩小</t>
        </is>
      </c>
    </row>
    <row r="3380">
      <c r="A3380" t="inlineStr">
        <is>
          <t>2024-08-23</t>
        </is>
      </c>
      <c r="B3380" t="inlineStr">
        <is>
          <t>沪金</t>
        </is>
      </c>
      <c r="C3380" t="inlineStr">
        <is>
          <t>多</t>
        </is>
      </c>
      <c r="D3380" t="n">
        <v>2</v>
      </c>
      <c r="E3380" t="n">
        <v>5</v>
      </c>
      <c r="F3380" t="inlineStr">
        <is>
          <t>观望</t>
        </is>
      </c>
      <c r="H3380" t="n">
        <v>572.58</v>
      </c>
      <c r="J3380" t="n">
        <v>1</v>
      </c>
      <c r="K3380" t="inlineStr">
        <is>
          <t>逆5日线（收盘在5日线下，不追多）</t>
        </is>
      </c>
    </row>
    <row r="3381">
      <c r="A3381" t="inlineStr">
        <is>
          <t>2024-08-23</t>
        </is>
      </c>
      <c r="B3381" t="inlineStr">
        <is>
          <t>沪铝</t>
        </is>
      </c>
      <c r="C3381" t="inlineStr">
        <is>
          <t>多</t>
        </is>
      </c>
      <c r="D3381" t="n">
        <v>2</v>
      </c>
      <c r="E3381" t="n">
        <v>5</v>
      </c>
      <c r="F3381" t="inlineStr">
        <is>
          <t>影子仓</t>
        </is>
      </c>
      <c r="G3381" t="n">
        <v>2</v>
      </c>
      <c r="H3381" t="n">
        <v>19795</v>
      </c>
      <c r="I3381" t="n">
        <v>19100.71</v>
      </c>
      <c r="J3381" t="n">
        <v>1</v>
      </c>
      <c r="K3381" t="inlineStr">
        <is>
          <t>凯利≤0，开1%影子仓（只统计，不计入组合）</t>
        </is>
      </c>
    </row>
    <row r="3382">
      <c r="A3382" t="inlineStr">
        <is>
          <t>2024-08-26</t>
        </is>
      </c>
      <c r="B3382" t="inlineStr">
        <is>
          <t>工业硅</t>
        </is>
      </c>
      <c r="C3382" t="inlineStr">
        <is>
          <t>空</t>
        </is>
      </c>
      <c r="D3382" t="n">
        <v>3</v>
      </c>
      <c r="E3382" t="n">
        <v>7</v>
      </c>
      <c r="F3382" t="inlineStr">
        <is>
          <t>开仓</t>
        </is>
      </c>
      <c r="G3382" t="n">
        <v>3</v>
      </c>
      <c r="H3382" t="n">
        <v>9500</v>
      </c>
      <c r="I3382" t="n">
        <v>10314.29</v>
      </c>
      <c r="J3382" t="n">
        <v>1.36</v>
      </c>
      <c r="K3382" t="inlineStr">
        <is>
          <t>组合风险已近10%，预算缩小</t>
        </is>
      </c>
    </row>
    <row r="3383">
      <c r="A3383" t="inlineStr">
        <is>
          <t>2024-08-26</t>
        </is>
      </c>
      <c r="B3383" t="inlineStr">
        <is>
          <t>沪铝</t>
        </is>
      </c>
      <c r="C3383" t="inlineStr">
        <is>
          <t>多</t>
        </is>
      </c>
      <c r="D3383" t="n">
        <v>3</v>
      </c>
      <c r="E3383" t="n">
        <v>7</v>
      </c>
      <c r="F3383" t="inlineStr">
        <is>
          <t>续持</t>
        </is>
      </c>
      <c r="G3383" t="n">
        <v>2</v>
      </c>
      <c r="H3383" t="n">
        <v>19925</v>
      </c>
      <c r="I3383" t="n">
        <v>19306.43</v>
      </c>
      <c r="J3383" t="n">
        <v>1</v>
      </c>
      <c r="K3383" t="inlineStr">
        <is>
          <t>续持原仓（2024-08-23开）</t>
        </is>
      </c>
    </row>
    <row r="3384">
      <c r="A3384" t="inlineStr">
        <is>
          <t>2024-08-26</t>
        </is>
      </c>
      <c r="B3384" t="inlineStr">
        <is>
          <t>沪金</t>
        </is>
      </c>
      <c r="C3384" t="inlineStr">
        <is>
          <t>多</t>
        </is>
      </c>
      <c r="D3384" t="n">
        <v>3</v>
      </c>
      <c r="E3384" t="n">
        <v>7</v>
      </c>
      <c r="F3384" t="inlineStr">
        <is>
          <t>续持</t>
        </is>
      </c>
      <c r="G3384" t="n">
        <v>1</v>
      </c>
      <c r="H3384" t="n">
        <v>577.98</v>
      </c>
      <c r="I3384" t="n">
        <v>560.39</v>
      </c>
      <c r="J3384" t="n">
        <v>3</v>
      </c>
      <c r="K3384" t="inlineStr">
        <is>
          <t>续持原仓（2024-08-21开）</t>
        </is>
      </c>
    </row>
    <row r="3385">
      <c r="A3385" t="inlineStr">
        <is>
          <t>2024-08-26</t>
        </is>
      </c>
      <c r="B3385" t="inlineStr">
        <is>
          <t>沪锌</t>
        </is>
      </c>
      <c r="C3385" t="inlineStr">
        <is>
          <t>多</t>
        </is>
      </c>
      <c r="D3385" t="n">
        <v>3</v>
      </c>
      <c r="E3385" t="n">
        <v>6</v>
      </c>
      <c r="F3385" t="inlineStr">
        <is>
          <t>不做</t>
        </is>
      </c>
      <c r="H3385" t="n">
        <v>24200</v>
      </c>
      <c r="J3385" t="n">
        <v>0</v>
      </c>
      <c r="K3385" t="inlineStr">
        <is>
          <t>组合风险已近10%，预算缩小</t>
        </is>
      </c>
    </row>
    <row r="3386">
      <c r="A3386" t="inlineStr">
        <is>
          <t>2024-08-26</t>
        </is>
      </c>
      <c r="B3386" t="inlineStr">
        <is>
          <t>豆粕</t>
        </is>
      </c>
      <c r="C3386" t="inlineStr">
        <is>
          <t>空</t>
        </is>
      </c>
      <c r="D3386" t="n">
        <v>3</v>
      </c>
      <c r="E3386" t="n">
        <v>6</v>
      </c>
      <c r="F3386" t="inlineStr">
        <is>
          <t>观望</t>
        </is>
      </c>
      <c r="H3386" t="n">
        <v>2955</v>
      </c>
      <c r="J3386" t="n">
        <v>0</v>
      </c>
      <c r="K3386" t="inlineStr">
        <is>
          <t>逆5日线（收盘在5日线上，不追空）</t>
        </is>
      </c>
    </row>
    <row r="3387">
      <c r="A3387" t="inlineStr">
        <is>
          <t>2024-08-26</t>
        </is>
      </c>
      <c r="B3387" t="inlineStr">
        <is>
          <t>菜粕</t>
        </is>
      </c>
      <c r="C3387" t="inlineStr">
        <is>
          <t>空</t>
        </is>
      </c>
      <c r="D3387" t="n">
        <v>2</v>
      </c>
      <c r="E3387" t="n">
        <v>5</v>
      </c>
      <c r="F3387" t="inlineStr">
        <is>
          <t>观望</t>
        </is>
      </c>
      <c r="G3387" t="n">
        <v>6</v>
      </c>
      <c r="H3387" t="n">
        <v>2205</v>
      </c>
      <c r="I3387" t="n">
        <v>2357.14</v>
      </c>
      <c r="J3387" t="n">
        <v>1</v>
      </c>
      <c r="K3387" t="inlineStr">
        <is>
          <t>逆5日线（收盘在5日线上，不追空）</t>
        </is>
      </c>
    </row>
    <row r="3388">
      <c r="A3388" t="inlineStr">
        <is>
          <t>2024-08-26</t>
        </is>
      </c>
      <c r="B3388" t="inlineStr">
        <is>
          <t>白糖</t>
        </is>
      </c>
      <c r="C3388" t="inlineStr">
        <is>
          <t>空</t>
        </is>
      </c>
      <c r="D3388" t="n">
        <v>2</v>
      </c>
      <c r="E3388" t="n">
        <v>4</v>
      </c>
      <c r="F3388" t="inlineStr">
        <is>
          <t>影子仓</t>
        </is>
      </c>
      <c r="G3388" t="n">
        <v>5</v>
      </c>
      <c r="H3388" t="n">
        <v>5573</v>
      </c>
      <c r="I3388" t="n">
        <v>5756.21</v>
      </c>
      <c r="J3388" t="n">
        <v>1</v>
      </c>
      <c r="K3388" t="inlineStr">
        <is>
          <t>凯利≤0，开1%影子仓（只统计，不计入组合）</t>
        </is>
      </c>
    </row>
    <row r="3389">
      <c r="A3389" t="inlineStr">
        <is>
          <t>2024-08-27</t>
        </is>
      </c>
      <c r="B3389" t="inlineStr">
        <is>
          <t>菜粕</t>
        </is>
      </c>
      <c r="C3389" t="inlineStr">
        <is>
          <t>空</t>
        </is>
      </c>
      <c r="D3389" t="n">
        <v>3</v>
      </c>
      <c r="E3389" t="n">
        <v>6</v>
      </c>
      <c r="F3389" t="inlineStr">
        <is>
          <t>观望</t>
        </is>
      </c>
      <c r="H3389" t="n">
        <v>2222</v>
      </c>
      <c r="J3389" t="n">
        <v>0</v>
      </c>
      <c r="K3389" t="inlineStr">
        <is>
          <t>逆5日线（收盘在5日线上，不追空）</t>
        </is>
      </c>
    </row>
    <row r="3390">
      <c r="A3390" t="inlineStr">
        <is>
          <t>2024-08-27</t>
        </is>
      </c>
      <c r="B3390" t="inlineStr">
        <is>
          <t>沪锌</t>
        </is>
      </c>
      <c r="C3390" t="inlineStr">
        <is>
          <t>多</t>
        </is>
      </c>
      <c r="D3390" t="n">
        <v>3</v>
      </c>
      <c r="E3390" t="n">
        <v>6</v>
      </c>
      <c r="F3390" t="inlineStr">
        <is>
          <t>不做</t>
        </is>
      </c>
      <c r="H3390" t="n">
        <v>23995</v>
      </c>
      <c r="J3390" t="n">
        <v>0</v>
      </c>
      <c r="K3390" t="inlineStr">
        <is>
          <t>组合风险已近10%，预算缩小</t>
        </is>
      </c>
    </row>
    <row r="3391">
      <c r="A3391" t="inlineStr">
        <is>
          <t>2024-08-27</t>
        </is>
      </c>
      <c r="B3391" t="inlineStr">
        <is>
          <t>豆粕</t>
        </is>
      </c>
      <c r="C3391" t="inlineStr">
        <is>
          <t>空</t>
        </is>
      </c>
      <c r="D3391" t="n">
        <v>2</v>
      </c>
      <c r="E3391" t="n">
        <v>5</v>
      </c>
      <c r="F3391" t="inlineStr">
        <is>
          <t>观望</t>
        </is>
      </c>
      <c r="G3391" t="n">
        <v>6</v>
      </c>
      <c r="H3391" t="n">
        <v>2978</v>
      </c>
      <c r="I3391" t="n">
        <v>3139.57</v>
      </c>
      <c r="J3391" t="n">
        <v>1</v>
      </c>
      <c r="K3391" t="inlineStr">
        <is>
          <t>逆5日线（收盘在5日线上，不追空）</t>
        </is>
      </c>
    </row>
    <row r="3392">
      <c r="A3392" t="inlineStr">
        <is>
          <t>2024-08-27</t>
        </is>
      </c>
      <c r="B3392" t="inlineStr">
        <is>
          <t>PVC</t>
        </is>
      </c>
      <c r="C3392" t="inlineStr">
        <is>
          <t>空</t>
        </is>
      </c>
      <c r="D3392" t="n">
        <v>2</v>
      </c>
      <c r="E3392" t="n">
        <v>5</v>
      </c>
      <c r="F3392" t="inlineStr">
        <is>
          <t>观望</t>
        </is>
      </c>
      <c r="G3392" t="n">
        <v>6</v>
      </c>
      <c r="H3392" t="n">
        <v>5669</v>
      </c>
      <c r="I3392" t="n">
        <v>5975.86</v>
      </c>
      <c r="J3392" t="n">
        <v>1</v>
      </c>
      <c r="K3392" t="inlineStr">
        <is>
          <t>逆5日线（收盘在5日线上，不追空）</t>
        </is>
      </c>
    </row>
    <row r="3393">
      <c r="A3393" t="inlineStr">
        <is>
          <t>2024-08-27</t>
        </is>
      </c>
      <c r="B3393" t="inlineStr">
        <is>
          <t>棕榈油</t>
        </is>
      </c>
      <c r="C3393" t="inlineStr">
        <is>
          <t>多</t>
        </is>
      </c>
      <c r="D3393" t="n">
        <v>2</v>
      </c>
      <c r="E3393" t="n">
        <v>5</v>
      </c>
      <c r="F3393" t="inlineStr">
        <is>
          <t>影子仓</t>
        </is>
      </c>
      <c r="G3393" t="n">
        <v>2</v>
      </c>
      <c r="H3393" t="n">
        <v>8062</v>
      </c>
      <c r="I3393" t="n">
        <v>7644.57</v>
      </c>
      <c r="J3393" t="n">
        <v>1</v>
      </c>
      <c r="K3393" t="inlineStr">
        <is>
          <t>凯利≤0，开1%影子仓（只统计，不计入组合）</t>
        </is>
      </c>
    </row>
    <row r="3394">
      <c r="A3394" t="inlineStr">
        <is>
          <t>2024-08-27</t>
        </is>
      </c>
      <c r="B3394" t="inlineStr">
        <is>
          <t>沪铝</t>
        </is>
      </c>
      <c r="C3394" t="inlineStr">
        <is>
          <t>多</t>
        </is>
      </c>
      <c r="D3394" t="n">
        <v>2</v>
      </c>
      <c r="E3394" t="n">
        <v>5</v>
      </c>
      <c r="F3394" t="inlineStr">
        <is>
          <t>续持</t>
        </is>
      </c>
      <c r="G3394" t="n">
        <v>2</v>
      </c>
      <c r="H3394" t="n">
        <v>19900</v>
      </c>
      <c r="I3394" t="n">
        <v>19328.93</v>
      </c>
      <c r="J3394" t="n">
        <v>1</v>
      </c>
      <c r="K3394" t="inlineStr">
        <is>
          <t>续持原仓（2024-08-23开）</t>
        </is>
      </c>
    </row>
    <row r="3395">
      <c r="A3395" t="inlineStr">
        <is>
          <t>2024-08-27</t>
        </is>
      </c>
      <c r="B3395" t="inlineStr">
        <is>
          <t>沪金</t>
        </is>
      </c>
      <c r="C3395" t="inlineStr">
        <is>
          <t>多</t>
        </is>
      </c>
      <c r="D3395" t="n">
        <v>2</v>
      </c>
      <c r="E3395" t="n">
        <v>5</v>
      </c>
      <c r="F3395" t="inlineStr">
        <is>
          <t>续持</t>
        </is>
      </c>
      <c r="G3395" t="n">
        <v>1</v>
      </c>
      <c r="H3395" t="n">
        <v>577.9</v>
      </c>
      <c r="I3395" t="n">
        <v>561.95</v>
      </c>
      <c r="J3395" t="n">
        <v>3</v>
      </c>
      <c r="K3395" t="inlineStr">
        <is>
          <t>续持原仓（2024-08-21开）</t>
        </is>
      </c>
    </row>
    <row r="3396">
      <c r="A3396" t="inlineStr">
        <is>
          <t>2024-08-27</t>
        </is>
      </c>
      <c r="B3396" t="inlineStr">
        <is>
          <t>白糖</t>
        </is>
      </c>
      <c r="C3396" t="inlineStr">
        <is>
          <t>空</t>
        </is>
      </c>
      <c r="D3396" t="n">
        <v>2</v>
      </c>
      <c r="E3396" t="n">
        <v>5</v>
      </c>
      <c r="F3396" t="inlineStr">
        <is>
          <t>观望</t>
        </is>
      </c>
      <c r="G3396" t="n">
        <v>5</v>
      </c>
      <c r="H3396" t="n">
        <v>5613</v>
      </c>
      <c r="I3396" t="n">
        <v>5783.79</v>
      </c>
      <c r="J3396" t="n">
        <v>1</v>
      </c>
      <c r="K3396" t="inlineStr">
        <is>
          <t>逆5日线（收盘在5日线上，不追空）</t>
        </is>
      </c>
    </row>
    <row r="3397">
      <c r="A3397" t="inlineStr">
        <is>
          <t>2024-08-27</t>
        </is>
      </c>
      <c r="B3397" t="inlineStr">
        <is>
          <t>玉米</t>
        </is>
      </c>
      <c r="C3397" t="inlineStr">
        <is>
          <t>多</t>
        </is>
      </c>
      <c r="D3397" t="n">
        <v>2</v>
      </c>
      <c r="E3397" t="n">
        <v>5</v>
      </c>
      <c r="F3397" t="inlineStr">
        <is>
          <t>影子仓</t>
        </is>
      </c>
      <c r="G3397" t="n">
        <v>12</v>
      </c>
      <c r="H3397" t="n">
        <v>2345</v>
      </c>
      <c r="I3397" t="n">
        <v>2265.29</v>
      </c>
      <c r="J3397" t="n">
        <v>1</v>
      </c>
      <c r="K3397" t="inlineStr">
        <is>
          <t>凯利≤0，开1%影子仓（只统计，不计入组合）</t>
        </is>
      </c>
    </row>
    <row r="3398">
      <c r="A3398" t="inlineStr">
        <is>
          <t>2024-08-27</t>
        </is>
      </c>
      <c r="B3398" t="inlineStr">
        <is>
          <t>螺纹钢</t>
        </is>
      </c>
      <c r="C3398" t="inlineStr">
        <is>
          <t>空</t>
        </is>
      </c>
      <c r="D3398" t="n">
        <v>2</v>
      </c>
      <c r="E3398" t="n">
        <v>4</v>
      </c>
      <c r="F3398" t="inlineStr">
        <is>
          <t>观望</t>
        </is>
      </c>
      <c r="G3398" t="n">
        <v>4</v>
      </c>
      <c r="H3398" t="n">
        <v>3249</v>
      </c>
      <c r="I3398" t="n">
        <v>3476.36</v>
      </c>
      <c r="J3398" t="n">
        <v>1</v>
      </c>
      <c r="K3398" t="inlineStr">
        <is>
          <t>逆5日线（收盘在5日线上，不追空）</t>
        </is>
      </c>
    </row>
    <row r="3399">
      <c r="A3399" t="inlineStr">
        <is>
          <t>2024-08-28</t>
        </is>
      </c>
      <c r="B3399" t="inlineStr">
        <is>
          <t>纯碱</t>
        </is>
      </c>
      <c r="C3399" t="inlineStr">
        <is>
          <t>空</t>
        </is>
      </c>
      <c r="D3399" t="n">
        <v>3</v>
      </c>
      <c r="E3399" t="n">
        <v>7</v>
      </c>
      <c r="F3399" t="inlineStr">
        <is>
          <t>不做</t>
        </is>
      </c>
      <c r="H3399" t="n">
        <v>1568</v>
      </c>
      <c r="J3399" t="n">
        <v>0</v>
      </c>
      <c r="K3399" t="inlineStr">
        <is>
          <t>组合风险已近10%，预算缩小</t>
        </is>
      </c>
    </row>
    <row r="3400">
      <c r="A3400" t="inlineStr">
        <is>
          <t>2024-08-28</t>
        </is>
      </c>
      <c r="B3400" t="inlineStr">
        <is>
          <t>玻璃</t>
        </is>
      </c>
      <c r="C3400" t="inlineStr">
        <is>
          <t>空</t>
        </is>
      </c>
      <c r="D3400" t="n">
        <v>3</v>
      </c>
      <c r="E3400" t="n">
        <v>7</v>
      </c>
      <c r="F3400" t="inlineStr">
        <is>
          <t>不做</t>
        </is>
      </c>
      <c r="H3400" t="n">
        <v>1252</v>
      </c>
      <c r="J3400" t="n">
        <v>0</v>
      </c>
      <c r="K3400" t="inlineStr">
        <is>
          <t>组合风险已近10%，预算缩小</t>
        </is>
      </c>
    </row>
    <row r="3401">
      <c r="A3401" t="inlineStr">
        <is>
          <t>2024-08-28</t>
        </is>
      </c>
      <c r="B3401" t="inlineStr">
        <is>
          <t>沪铝</t>
        </is>
      </c>
      <c r="C3401" t="inlineStr">
        <is>
          <t>多</t>
        </is>
      </c>
      <c r="D3401" t="n">
        <v>3</v>
      </c>
      <c r="E3401" t="n">
        <v>6</v>
      </c>
      <c r="F3401" t="inlineStr">
        <is>
          <t>续持</t>
        </is>
      </c>
      <c r="G3401" t="n">
        <v>2</v>
      </c>
      <c r="H3401" t="n">
        <v>19905</v>
      </c>
      <c r="I3401" t="n">
        <v>19395.71</v>
      </c>
      <c r="J3401" t="n">
        <v>1</v>
      </c>
      <c r="K3401" t="inlineStr">
        <is>
          <t>续持原仓（2024-08-23开）</t>
        </is>
      </c>
    </row>
    <row r="3402">
      <c r="A3402" t="inlineStr">
        <is>
          <t>2024-08-28</t>
        </is>
      </c>
      <c r="B3402" t="inlineStr">
        <is>
          <t>棕榈油</t>
        </is>
      </c>
      <c r="C3402" t="inlineStr">
        <is>
          <t>空</t>
        </is>
      </c>
      <c r="D3402" t="n">
        <v>3</v>
      </c>
      <c r="E3402" t="n">
        <v>6</v>
      </c>
      <c r="F3402" t="inlineStr">
        <is>
          <t>观望</t>
        </is>
      </c>
      <c r="H3402" t="n">
        <v>8014</v>
      </c>
      <c r="J3402" t="n">
        <v>0</v>
      </c>
      <c r="K3402" t="inlineStr">
        <is>
          <t>逆5日线（收盘在5日线上，不追空）</t>
        </is>
      </c>
    </row>
    <row r="3403">
      <c r="A3403" t="inlineStr">
        <is>
          <t>2024-08-28</t>
        </is>
      </c>
      <c r="B3403" t="inlineStr">
        <is>
          <t>豆粕</t>
        </is>
      </c>
      <c r="C3403" t="inlineStr">
        <is>
          <t>空</t>
        </is>
      </c>
      <c r="D3403" t="n">
        <v>2</v>
      </c>
      <c r="E3403" t="n">
        <v>5</v>
      </c>
      <c r="F3403" t="inlineStr">
        <is>
          <t>观望</t>
        </is>
      </c>
      <c r="G3403" t="n">
        <v>6</v>
      </c>
      <c r="H3403" t="n">
        <v>3002</v>
      </c>
      <c r="I3403" t="n">
        <v>3167.43</v>
      </c>
      <c r="J3403" t="n">
        <v>1</v>
      </c>
      <c r="K3403" t="inlineStr">
        <is>
          <t>逆5日线（收盘在5日线上，不追空）</t>
        </is>
      </c>
    </row>
    <row r="3404">
      <c r="A3404" t="inlineStr">
        <is>
          <t>2024-08-28</t>
        </is>
      </c>
      <c r="B3404" t="inlineStr">
        <is>
          <t>沪锌</t>
        </is>
      </c>
      <c r="C3404" t="inlineStr">
        <is>
          <t>多</t>
        </is>
      </c>
      <c r="D3404" t="n">
        <v>2</v>
      </c>
      <c r="E3404" t="n">
        <v>5</v>
      </c>
      <c r="F3404" t="inlineStr">
        <is>
          <t>影子仓</t>
        </is>
      </c>
      <c r="G3404" t="n">
        <v>1</v>
      </c>
      <c r="H3404" t="n">
        <v>24015</v>
      </c>
      <c r="I3404" t="n">
        <v>22778.57</v>
      </c>
      <c r="J3404" t="n">
        <v>1</v>
      </c>
      <c r="K3404" t="inlineStr">
        <is>
          <t>凯利≤0，开1%影子仓（只统计，不计入组合）</t>
        </is>
      </c>
    </row>
    <row r="3405">
      <c r="A3405" t="inlineStr">
        <is>
          <t>2024-08-28</t>
        </is>
      </c>
      <c r="B3405" t="inlineStr">
        <is>
          <t>铁矿石</t>
        </is>
      </c>
      <c r="C3405" t="inlineStr">
        <is>
          <t>空</t>
        </is>
      </c>
      <c r="D3405" t="n">
        <v>2</v>
      </c>
      <c r="E3405" t="n">
        <v>4</v>
      </c>
      <c r="F3405" t="inlineStr">
        <is>
          <t>观望</t>
        </is>
      </c>
      <c r="G3405" t="n">
        <v>1</v>
      </c>
      <c r="H3405" t="n">
        <v>754.5</v>
      </c>
      <c r="I3405" t="n">
        <v>824.36</v>
      </c>
      <c r="J3405" t="n">
        <v>1</v>
      </c>
      <c r="K3405" t="inlineStr">
        <is>
          <t>逆5日线（收盘在5日线上，不追空）</t>
        </is>
      </c>
    </row>
    <row r="3406">
      <c r="A3406" t="inlineStr">
        <is>
          <t>2024-08-29</t>
        </is>
      </c>
      <c r="B3406" t="inlineStr">
        <is>
          <t>玻璃</t>
        </is>
      </c>
      <c r="C3406" t="inlineStr">
        <is>
          <t>空</t>
        </is>
      </c>
      <c r="D3406" t="n">
        <v>3</v>
      </c>
      <c r="E3406" t="n">
        <v>6</v>
      </c>
      <c r="F3406" t="inlineStr">
        <is>
          <t>观望</t>
        </is>
      </c>
      <c r="G3406" t="n">
        <v>5</v>
      </c>
      <c r="H3406" t="n">
        <v>1261</v>
      </c>
      <c r="I3406" t="n">
        <v>1376.71</v>
      </c>
      <c r="J3406" t="n">
        <v>1.36</v>
      </c>
      <c r="K3406" t="inlineStr">
        <is>
          <t>逆5日线（收盘在5日线上，不追空）</t>
        </is>
      </c>
    </row>
    <row r="3407">
      <c r="A3407" t="inlineStr">
        <is>
          <t>2024-08-29</t>
        </is>
      </c>
      <c r="B3407" t="inlineStr">
        <is>
          <t>沪锌</t>
        </is>
      </c>
      <c r="C3407" t="inlineStr">
        <is>
          <t>多</t>
        </is>
      </c>
      <c r="D3407" t="n">
        <v>3</v>
      </c>
      <c r="E3407" t="n">
        <v>6</v>
      </c>
      <c r="F3407" t="inlineStr">
        <is>
          <t>续持</t>
        </is>
      </c>
      <c r="G3407" t="n">
        <v>1</v>
      </c>
      <c r="H3407" t="n">
        <v>24095</v>
      </c>
      <c r="I3407" t="n">
        <v>23051.07</v>
      </c>
      <c r="J3407" t="n">
        <v>1</v>
      </c>
      <c r="K3407" t="inlineStr">
        <is>
          <t>续持原仓（2024-08-28开）</t>
        </is>
      </c>
    </row>
    <row r="3408">
      <c r="A3408" t="inlineStr">
        <is>
          <t>2024-08-29</t>
        </is>
      </c>
      <c r="B3408" t="inlineStr">
        <is>
          <t>沪银</t>
        </is>
      </c>
      <c r="C3408" t="inlineStr">
        <is>
          <t>多</t>
        </is>
      </c>
      <c r="D3408" t="n">
        <v>3</v>
      </c>
      <c r="E3408" t="n">
        <v>6</v>
      </c>
      <c r="F3408" t="inlineStr">
        <is>
          <t>观望</t>
        </is>
      </c>
      <c r="H3408" t="n">
        <v>7537</v>
      </c>
      <c r="J3408" t="n">
        <v>0</v>
      </c>
      <c r="K3408" t="inlineStr">
        <is>
          <t>逆5日线（收盘在5日线下，不追多）</t>
        </is>
      </c>
    </row>
    <row r="3409">
      <c r="A3409" t="inlineStr">
        <is>
          <t>2024-08-29</t>
        </is>
      </c>
      <c r="B3409" t="inlineStr">
        <is>
          <t>PTA</t>
        </is>
      </c>
      <c r="C3409" t="inlineStr">
        <is>
          <t>空</t>
        </is>
      </c>
      <c r="D3409" t="n">
        <v>2</v>
      </c>
      <c r="E3409" t="n">
        <v>5</v>
      </c>
      <c r="F3409" t="inlineStr">
        <is>
          <t>影子仓</t>
        </is>
      </c>
      <c r="G3409" t="n">
        <v>7</v>
      </c>
      <c r="H3409" t="n">
        <v>5406</v>
      </c>
      <c r="I3409" t="n">
        <v>5682.86</v>
      </c>
      <c r="J3409" t="n">
        <v>1</v>
      </c>
      <c r="K3409" t="inlineStr">
        <is>
          <t>凯利≤0，开1%影子仓（只统计，不计入组合）</t>
        </is>
      </c>
    </row>
    <row r="3410">
      <c r="A3410" t="inlineStr">
        <is>
          <t>2024-08-29</t>
        </is>
      </c>
      <c r="B3410" t="inlineStr">
        <is>
          <t>沪金</t>
        </is>
      </c>
      <c r="C3410" t="inlineStr">
        <is>
          <t>多</t>
        </is>
      </c>
      <c r="D3410" t="n">
        <v>2</v>
      </c>
      <c r="E3410" t="n">
        <v>5</v>
      </c>
      <c r="F3410" t="inlineStr">
        <is>
          <t>续持</t>
        </is>
      </c>
      <c r="G3410" t="n">
        <v>1</v>
      </c>
      <c r="H3410" t="n">
        <v>576.9400000000001</v>
      </c>
      <c r="I3410" t="n">
        <v>562.85</v>
      </c>
      <c r="J3410" t="n">
        <v>3</v>
      </c>
      <c r="K3410" t="inlineStr">
        <is>
          <t>续持原仓（2024-08-21开）</t>
        </is>
      </c>
    </row>
    <row r="3411">
      <c r="A3411" t="inlineStr">
        <is>
          <t>2024-08-29</t>
        </is>
      </c>
      <c r="B3411" t="inlineStr">
        <is>
          <t>热卷</t>
        </is>
      </c>
      <c r="C3411" t="inlineStr">
        <is>
          <t>空</t>
        </is>
      </c>
      <c r="D3411" t="n">
        <v>2</v>
      </c>
      <c r="E3411" t="n">
        <v>5</v>
      </c>
      <c r="F3411" t="inlineStr">
        <is>
          <t>观望</t>
        </is>
      </c>
      <c r="G3411" t="n">
        <v>3</v>
      </c>
      <c r="H3411" t="n">
        <v>3340</v>
      </c>
      <c r="I3411" t="n">
        <v>3593.5</v>
      </c>
      <c r="J3411" t="n">
        <v>1</v>
      </c>
      <c r="K3411" t="inlineStr">
        <is>
          <t>逆5日线（收盘在5日线上，不追空）</t>
        </is>
      </c>
    </row>
    <row r="3412">
      <c r="A3412" t="inlineStr">
        <is>
          <t>2024-08-29</t>
        </is>
      </c>
      <c r="B3412" t="inlineStr">
        <is>
          <t>棕榈油</t>
        </is>
      </c>
      <c r="C3412" t="inlineStr">
        <is>
          <t>空</t>
        </is>
      </c>
      <c r="D3412" t="n">
        <v>2</v>
      </c>
      <c r="E3412" t="n">
        <v>5</v>
      </c>
      <c r="F3412" t="inlineStr">
        <is>
          <t>影子仓</t>
        </is>
      </c>
      <c r="G3412" t="n">
        <v>2</v>
      </c>
      <c r="H3412" t="n">
        <v>7988</v>
      </c>
      <c r="I3412" t="n">
        <v>8387.860000000001</v>
      </c>
      <c r="J3412" t="n">
        <v>1</v>
      </c>
      <c r="K3412" t="inlineStr">
        <is>
          <t>凯利≤0，开1%影子仓（只统计，不计入组合）</t>
        </is>
      </c>
    </row>
    <row r="3413">
      <c r="A3413" t="inlineStr">
        <is>
          <t>2024-08-29</t>
        </is>
      </c>
      <c r="B3413" t="inlineStr">
        <is>
          <t>沪铜</t>
        </is>
      </c>
      <c r="C3413" t="inlineStr">
        <is>
          <t>空</t>
        </is>
      </c>
      <c r="D3413" t="n">
        <v>2</v>
      </c>
      <c r="E3413" t="n">
        <v>4</v>
      </c>
      <c r="F3413" t="inlineStr">
        <is>
          <t>不做</t>
        </is>
      </c>
      <c r="H3413" t="n">
        <v>74200</v>
      </c>
      <c r="J3413" t="n">
        <v>1</v>
      </c>
      <c r="K3413" t="inlineStr">
        <is>
          <t>1手风险14625元超过预算10000元</t>
        </is>
      </c>
    </row>
    <row r="3414">
      <c r="A3414" t="inlineStr">
        <is>
          <t>2024-08-30</t>
        </is>
      </c>
      <c r="B3414" t="inlineStr">
        <is>
          <t>PVC</t>
        </is>
      </c>
      <c r="C3414" t="inlineStr">
        <is>
          <t>空</t>
        </is>
      </c>
      <c r="D3414" t="n">
        <v>3</v>
      </c>
      <c r="E3414" t="n">
        <v>7</v>
      </c>
      <c r="F3414" t="inlineStr">
        <is>
          <t>开仓</t>
        </is>
      </c>
      <c r="G3414" t="n">
        <v>9</v>
      </c>
      <c r="H3414" t="n">
        <v>5586</v>
      </c>
      <c r="I3414" t="n">
        <v>5883</v>
      </c>
      <c r="J3414" t="n">
        <v>1.36</v>
      </c>
      <c r="K3414" t="inlineStr">
        <is>
          <t>组合风险已近10%，预算缩小</t>
        </is>
      </c>
    </row>
    <row r="3415">
      <c r="A3415" t="inlineStr">
        <is>
          <t>2024-08-30</t>
        </is>
      </c>
      <c r="B3415" t="inlineStr">
        <is>
          <t>豆油</t>
        </is>
      </c>
      <c r="C3415" t="inlineStr">
        <is>
          <t>多</t>
        </is>
      </c>
      <c r="D3415" t="n">
        <v>3</v>
      </c>
      <c r="E3415" t="n">
        <v>6</v>
      </c>
      <c r="F3415" t="inlineStr">
        <is>
          <t>不做</t>
        </is>
      </c>
      <c r="H3415" t="n">
        <v>7784</v>
      </c>
      <c r="J3415" t="n">
        <v>0</v>
      </c>
      <c r="K3415" t="inlineStr">
        <is>
          <t>组合风险已近10%，预算缩小</t>
        </is>
      </c>
    </row>
    <row r="3416">
      <c r="A3416" t="inlineStr">
        <is>
          <t>2024-08-30</t>
        </is>
      </c>
      <c r="B3416" t="inlineStr">
        <is>
          <t>沪铝</t>
        </is>
      </c>
      <c r="C3416" t="inlineStr">
        <is>
          <t>多</t>
        </is>
      </c>
      <c r="D3416" t="n">
        <v>3</v>
      </c>
      <c r="E3416" t="n">
        <v>6</v>
      </c>
      <c r="F3416" t="inlineStr">
        <is>
          <t>观望</t>
        </is>
      </c>
      <c r="H3416" t="n">
        <v>19850</v>
      </c>
      <c r="J3416" t="n">
        <v>0</v>
      </c>
      <c r="K3416" t="inlineStr">
        <is>
          <t>逆5日线（收盘在5日线下，不追多）</t>
        </is>
      </c>
    </row>
    <row r="3417">
      <c r="A3417" t="inlineStr">
        <is>
          <t>2024-08-30</t>
        </is>
      </c>
      <c r="B3417" t="inlineStr">
        <is>
          <t>沪锌</t>
        </is>
      </c>
      <c r="C3417" t="inlineStr">
        <is>
          <t>多</t>
        </is>
      </c>
      <c r="D3417" t="n">
        <v>2</v>
      </c>
      <c r="E3417" t="n">
        <v>5</v>
      </c>
      <c r="F3417" t="inlineStr">
        <is>
          <t>观望</t>
        </is>
      </c>
      <c r="G3417" t="n">
        <v>1</v>
      </c>
      <c r="H3417" t="n">
        <v>24050</v>
      </c>
      <c r="I3417" t="n">
        <v>22994.64</v>
      </c>
      <c r="J3417" t="n">
        <v>1</v>
      </c>
      <c r="K3417" t="inlineStr">
        <is>
          <t>逆5日线（收盘在5日线下，不追多）</t>
        </is>
      </c>
    </row>
    <row r="3418">
      <c r="A3418" t="inlineStr">
        <is>
          <t>2024-08-30</t>
        </is>
      </c>
      <c r="B3418" t="inlineStr">
        <is>
          <t>沪金</t>
        </is>
      </c>
      <c r="C3418" t="inlineStr">
        <is>
          <t>多</t>
        </is>
      </c>
      <c r="D3418" t="n">
        <v>2</v>
      </c>
      <c r="E3418" t="n">
        <v>4</v>
      </c>
      <c r="F3418" t="inlineStr">
        <is>
          <t>观望</t>
        </is>
      </c>
      <c r="H3418" t="n">
        <v>575.9</v>
      </c>
      <c r="J3418" t="n">
        <v>1</v>
      </c>
      <c r="K3418" t="inlineStr">
        <is>
          <t>逆5日线（收盘在5日线下，不追多）</t>
        </is>
      </c>
    </row>
    <row r="3419">
      <c r="A3419" t="inlineStr">
        <is>
          <t>2024-08-30</t>
        </is>
      </c>
      <c r="B3419" t="inlineStr">
        <is>
          <t>甲醇</t>
        </is>
      </c>
      <c r="C3419" t="inlineStr">
        <is>
          <t>空</t>
        </is>
      </c>
      <c r="D3419" t="n">
        <v>2</v>
      </c>
      <c r="E3419" t="n">
        <v>4</v>
      </c>
      <c r="F3419" t="inlineStr">
        <is>
          <t>影子仓</t>
        </is>
      </c>
      <c r="G3419" t="n">
        <v>9</v>
      </c>
      <c r="H3419" t="n">
        <v>2528</v>
      </c>
      <c r="I3419" t="n">
        <v>2630.86</v>
      </c>
      <c r="J3419" t="n">
        <v>1</v>
      </c>
      <c r="K3419" t="inlineStr">
        <is>
          <t>凯利≤0，开1%影子仓（只统计，不计入组合）</t>
        </is>
      </c>
    </row>
    <row r="3420">
      <c r="A3420" t="inlineStr">
        <is>
          <t>2024-08-30</t>
        </is>
      </c>
      <c r="B3420" t="inlineStr">
        <is>
          <t>铁矿石</t>
        </is>
      </c>
      <c r="C3420" t="inlineStr">
        <is>
          <t>空</t>
        </is>
      </c>
      <c r="D3420" t="n">
        <v>2</v>
      </c>
      <c r="E3420" t="n">
        <v>4</v>
      </c>
      <c r="F3420" t="inlineStr">
        <is>
          <t>影子仓</t>
        </is>
      </c>
      <c r="G3420" t="n">
        <v>1</v>
      </c>
      <c r="H3420" t="n">
        <v>754</v>
      </c>
      <c r="I3420" t="n">
        <v>821.29</v>
      </c>
      <c r="J3420" t="n">
        <v>1</v>
      </c>
      <c r="K3420" t="inlineStr">
        <is>
          <t>凯利≤0，开1%影子仓（只统计，不计入组合）</t>
        </is>
      </c>
    </row>
    <row r="3421">
      <c r="A3421" t="inlineStr">
        <is>
          <t>2024-09-02</t>
        </is>
      </c>
      <c r="B3421" t="inlineStr">
        <is>
          <t>PTA</t>
        </is>
      </c>
      <c r="C3421" t="inlineStr">
        <is>
          <t>空</t>
        </is>
      </c>
      <c r="D3421" t="n">
        <v>3</v>
      </c>
      <c r="E3421" t="n">
        <v>7</v>
      </c>
      <c r="F3421" t="inlineStr">
        <is>
          <t>续持</t>
        </is>
      </c>
      <c r="G3421" t="n">
        <v>7</v>
      </c>
      <c r="H3421" t="n">
        <v>5140</v>
      </c>
      <c r="I3421" t="n">
        <v>5455.43</v>
      </c>
      <c r="J3421" t="n">
        <v>1</v>
      </c>
      <c r="K3421" t="inlineStr">
        <is>
          <t>续持原仓（2024-08-29开）</t>
        </is>
      </c>
    </row>
    <row r="3422">
      <c r="A3422" t="inlineStr">
        <is>
          <t>2024-09-02</t>
        </is>
      </c>
      <c r="B3422" t="inlineStr">
        <is>
          <t>热卷</t>
        </is>
      </c>
      <c r="C3422" t="inlineStr">
        <is>
          <t>空</t>
        </is>
      </c>
      <c r="D3422" t="n">
        <v>3</v>
      </c>
      <c r="E3422" t="n">
        <v>7</v>
      </c>
      <c r="F3422" t="inlineStr">
        <is>
          <t>开仓</t>
        </is>
      </c>
      <c r="G3422" t="n">
        <v>11</v>
      </c>
      <c r="H3422" t="n">
        <v>3285</v>
      </c>
      <c r="I3422" t="n">
        <v>3538.29</v>
      </c>
      <c r="J3422" t="n">
        <v>3</v>
      </c>
      <c r="K3422" t="inlineStr">
        <is>
          <t>¼凯利超上限，取3%</t>
        </is>
      </c>
    </row>
    <row r="3423">
      <c r="A3423" t="inlineStr">
        <is>
          <t>2024-09-02</t>
        </is>
      </c>
      <c r="B3423" t="inlineStr">
        <is>
          <t>沪铜</t>
        </is>
      </c>
      <c r="C3423" t="inlineStr">
        <is>
          <t>空</t>
        </is>
      </c>
      <c r="D3423" t="n">
        <v>2</v>
      </c>
      <c r="E3423" t="n">
        <v>5</v>
      </c>
      <c r="F3423" t="inlineStr">
        <is>
          <t>不做</t>
        </is>
      </c>
      <c r="H3423" t="n">
        <v>73610</v>
      </c>
      <c r="J3423" t="n">
        <v>1</v>
      </c>
      <c r="K3423" t="inlineStr">
        <is>
          <t>1手风险14154元超过预算10000元</t>
        </is>
      </c>
    </row>
    <row r="3424">
      <c r="A3424" t="inlineStr">
        <is>
          <t>2024-09-02</t>
        </is>
      </c>
      <c r="B3424" t="inlineStr">
        <is>
          <t>沪金</t>
        </is>
      </c>
      <c r="C3424" t="inlineStr">
        <is>
          <t>多</t>
        </is>
      </c>
      <c r="D3424" t="n">
        <v>2</v>
      </c>
      <c r="E3424" t="n">
        <v>4</v>
      </c>
      <c r="F3424" t="inlineStr">
        <is>
          <t>观望</t>
        </is>
      </c>
      <c r="H3424" t="n">
        <v>572.62</v>
      </c>
      <c r="J3424" t="n">
        <v>1</v>
      </c>
      <c r="K3424" t="inlineStr">
        <is>
          <t>逆5日线（收盘在5日线下，不追多）</t>
        </is>
      </c>
    </row>
    <row r="3425">
      <c r="A3425" t="inlineStr">
        <is>
          <t>2024-09-02</t>
        </is>
      </c>
      <c r="B3425" t="inlineStr">
        <is>
          <t>棕榈油</t>
        </is>
      </c>
      <c r="C3425" t="inlineStr">
        <is>
          <t>多</t>
        </is>
      </c>
      <c r="D3425" t="n">
        <v>2</v>
      </c>
      <c r="E3425" t="n">
        <v>4</v>
      </c>
      <c r="F3425" t="inlineStr">
        <is>
          <t>观望</t>
        </is>
      </c>
      <c r="G3425" t="n">
        <v>2</v>
      </c>
      <c r="H3425" t="n">
        <v>7906</v>
      </c>
      <c r="I3425" t="n">
        <v>7499.29</v>
      </c>
      <c r="J3425" t="n">
        <v>1</v>
      </c>
      <c r="K3425" t="inlineStr">
        <is>
          <t>逆5日线（收盘在5日线下，不追多）</t>
        </is>
      </c>
    </row>
    <row r="3426">
      <c r="A3426" t="inlineStr">
        <is>
          <t>2024-09-02</t>
        </is>
      </c>
      <c r="B3426" t="inlineStr">
        <is>
          <t>沪铝</t>
        </is>
      </c>
      <c r="C3426" t="inlineStr">
        <is>
          <t>多</t>
        </is>
      </c>
      <c r="D3426" t="n">
        <v>2</v>
      </c>
      <c r="E3426" t="n">
        <v>4</v>
      </c>
      <c r="F3426" t="inlineStr">
        <is>
          <t>观望</t>
        </is>
      </c>
      <c r="G3426" t="n">
        <v>3</v>
      </c>
      <c r="H3426" t="n">
        <v>19550</v>
      </c>
      <c r="I3426" t="n">
        <v>18886.79</v>
      </c>
      <c r="J3426" t="n">
        <v>1</v>
      </c>
      <c r="K3426" t="inlineStr">
        <is>
          <t>逆5日线（收盘在5日线下，不追多）</t>
        </is>
      </c>
    </row>
    <row r="3427">
      <c r="A3427" t="inlineStr">
        <is>
          <t>2024-09-02</t>
        </is>
      </c>
      <c r="B3427" t="inlineStr">
        <is>
          <t>铁矿石</t>
        </is>
      </c>
      <c r="C3427" t="inlineStr">
        <is>
          <t>空</t>
        </is>
      </c>
      <c r="D3427" t="n">
        <v>2</v>
      </c>
      <c r="E3427" t="n">
        <v>4</v>
      </c>
      <c r="F3427" t="inlineStr">
        <is>
          <t>续持</t>
        </is>
      </c>
      <c r="G3427" t="n">
        <v>1</v>
      </c>
      <c r="H3427" t="n">
        <v>723.5</v>
      </c>
      <c r="I3427" t="n">
        <v>790.9299999999999</v>
      </c>
      <c r="J3427" t="n">
        <v>1</v>
      </c>
      <c r="K3427" t="inlineStr">
        <is>
          <t>续持原仓（2024-08-30开）</t>
        </is>
      </c>
    </row>
    <row r="3428">
      <c r="A3428" t="inlineStr">
        <is>
          <t>2024-09-03</t>
        </is>
      </c>
      <c r="B3428" t="inlineStr">
        <is>
          <t>热卷</t>
        </is>
      </c>
      <c r="C3428" t="inlineStr">
        <is>
          <t>空</t>
        </is>
      </c>
      <c r="D3428" t="n">
        <v>3</v>
      </c>
      <c r="E3428" t="n">
        <v>7</v>
      </c>
      <c r="F3428" t="inlineStr">
        <is>
          <t>续持</t>
        </is>
      </c>
      <c r="G3428" t="n">
        <v>11</v>
      </c>
      <c r="H3428" t="n">
        <v>3214</v>
      </c>
      <c r="I3428" t="n">
        <v>3448.21</v>
      </c>
      <c r="J3428" t="n">
        <v>3</v>
      </c>
      <c r="K3428" t="inlineStr">
        <is>
          <t>续持原仓（2024-09-02开）</t>
        </is>
      </c>
    </row>
    <row r="3429">
      <c r="A3429" t="inlineStr">
        <is>
          <t>2024-09-03</t>
        </is>
      </c>
      <c r="B3429" t="inlineStr">
        <is>
          <t>沪金</t>
        </is>
      </c>
      <c r="C3429" t="inlineStr">
        <is>
          <t>多</t>
        </is>
      </c>
      <c r="D3429" t="n">
        <v>3</v>
      </c>
      <c r="E3429" t="n">
        <v>6</v>
      </c>
      <c r="F3429" t="inlineStr">
        <is>
          <t>观望</t>
        </is>
      </c>
      <c r="H3429" t="n">
        <v>573.8200000000001</v>
      </c>
      <c r="J3429" t="n">
        <v>0</v>
      </c>
      <c r="K3429" t="inlineStr">
        <is>
          <t>逆5日线（收盘在5日线下，不追多）</t>
        </is>
      </c>
    </row>
    <row r="3430">
      <c r="A3430" t="inlineStr">
        <is>
          <t>2024-09-03</t>
        </is>
      </c>
      <c r="B3430" t="inlineStr">
        <is>
          <t>菜粕</t>
        </is>
      </c>
      <c r="C3430" t="inlineStr">
        <is>
          <t>多</t>
        </is>
      </c>
      <c r="D3430" t="n">
        <v>2</v>
      </c>
      <c r="E3430" t="n">
        <v>4</v>
      </c>
      <c r="F3430" t="inlineStr">
        <is>
          <t>影子仓</t>
        </is>
      </c>
      <c r="G3430" t="n">
        <v>6</v>
      </c>
      <c r="H3430" t="n">
        <v>2375</v>
      </c>
      <c r="I3430" t="n">
        <v>2228</v>
      </c>
      <c r="J3430" t="n">
        <v>1</v>
      </c>
      <c r="K3430" t="inlineStr">
        <is>
          <t>凯利≤0，开1%影子仓（只统计，不计入组合）</t>
        </is>
      </c>
    </row>
    <row r="3431">
      <c r="A3431" t="inlineStr">
        <is>
          <t>2024-09-04</t>
        </is>
      </c>
      <c r="B3431" t="inlineStr">
        <is>
          <t>热卷</t>
        </is>
      </c>
      <c r="C3431" t="inlineStr">
        <is>
          <t>空</t>
        </is>
      </c>
      <c r="D3431" t="n">
        <v>3</v>
      </c>
      <c r="E3431" t="n">
        <v>7</v>
      </c>
      <c r="F3431" t="inlineStr">
        <is>
          <t>续持</t>
        </is>
      </c>
      <c r="G3431" t="n">
        <v>11</v>
      </c>
      <c r="H3431" t="n">
        <v>3171</v>
      </c>
      <c r="I3431" t="n">
        <v>3392.79</v>
      </c>
      <c r="J3431" t="n">
        <v>3</v>
      </c>
      <c r="K3431" t="inlineStr">
        <is>
          <t>续持原仓（2024-09-02开）</t>
        </is>
      </c>
    </row>
    <row r="3432">
      <c r="A3432" t="inlineStr">
        <is>
          <t>2024-09-04</t>
        </is>
      </c>
      <c r="B3432" t="inlineStr">
        <is>
          <t>锰硅</t>
        </is>
      </c>
      <c r="C3432" t="inlineStr">
        <is>
          <t>空</t>
        </is>
      </c>
      <c r="D3432" t="n">
        <v>3</v>
      </c>
      <c r="E3432" t="n">
        <v>6</v>
      </c>
      <c r="F3432" t="inlineStr">
        <is>
          <t>开仓</t>
        </is>
      </c>
      <c r="G3432" t="n">
        <v>12</v>
      </c>
      <c r="H3432" t="n">
        <v>6194</v>
      </c>
      <c r="I3432" t="n">
        <v>6581</v>
      </c>
      <c r="J3432" t="n">
        <v>2.5</v>
      </c>
      <c r="K3432" t="inlineStr">
        <is>
          <t>组合风险已近10%，预算缩小</t>
        </is>
      </c>
    </row>
    <row r="3433">
      <c r="A3433" t="inlineStr">
        <is>
          <t>2024-09-04</t>
        </is>
      </c>
      <c r="B3433" t="inlineStr">
        <is>
          <t>棕榈油</t>
        </is>
      </c>
      <c r="C3433" t="inlineStr">
        <is>
          <t>空</t>
        </is>
      </c>
      <c r="D3433" t="n">
        <v>2</v>
      </c>
      <c r="E3433" t="n">
        <v>5</v>
      </c>
      <c r="F3433" t="inlineStr">
        <is>
          <t>续持</t>
        </is>
      </c>
      <c r="G3433" t="n">
        <v>2</v>
      </c>
      <c r="H3433" t="n">
        <v>7874</v>
      </c>
      <c r="I3433" t="n">
        <v>8272.709999999999</v>
      </c>
      <c r="J3433" t="n">
        <v>1</v>
      </c>
      <c r="K3433" t="inlineStr">
        <is>
          <t>续持原仓（2024-08-29开）</t>
        </is>
      </c>
    </row>
    <row r="3434">
      <c r="A3434" t="inlineStr">
        <is>
          <t>2024-09-05</t>
        </is>
      </c>
      <c r="B3434" t="inlineStr">
        <is>
          <t>锰硅</t>
        </is>
      </c>
      <c r="C3434" t="inlineStr">
        <is>
          <t>空</t>
        </is>
      </c>
      <c r="D3434" t="n">
        <v>3</v>
      </c>
      <c r="E3434" t="n">
        <v>6</v>
      </c>
      <c r="F3434" t="inlineStr">
        <is>
          <t>续持</t>
        </is>
      </c>
      <c r="G3434" t="n">
        <v>12</v>
      </c>
      <c r="H3434" t="n">
        <v>6164</v>
      </c>
      <c r="I3434" t="n">
        <v>6485.43</v>
      </c>
      <c r="J3434" t="n">
        <v>2.5</v>
      </c>
      <c r="K3434" t="inlineStr">
        <is>
          <t>续持原仓（2024-09-04开）</t>
        </is>
      </c>
    </row>
    <row r="3435">
      <c r="A3435" t="inlineStr">
        <is>
          <t>2024-09-05</t>
        </is>
      </c>
      <c r="B3435" t="inlineStr">
        <is>
          <t>PVC</t>
        </is>
      </c>
      <c r="C3435" t="inlineStr">
        <is>
          <t>空</t>
        </is>
      </c>
      <c r="D3435" t="n">
        <v>3</v>
      </c>
      <c r="E3435" t="n">
        <v>6</v>
      </c>
      <c r="F3435" t="inlineStr">
        <is>
          <t>开仓</t>
        </is>
      </c>
      <c r="G3435" t="n">
        <v>20</v>
      </c>
      <c r="H3435" t="n">
        <v>5330</v>
      </c>
      <c r="I3435" t="n">
        <v>5623.79</v>
      </c>
      <c r="J3435" t="n">
        <v>3</v>
      </c>
      <c r="K3435" t="inlineStr">
        <is>
          <t>¼凯利超上限，取3%</t>
        </is>
      </c>
    </row>
    <row r="3436">
      <c r="A3436" t="inlineStr">
        <is>
          <t>2024-09-05</t>
        </is>
      </c>
      <c r="B3436" t="inlineStr">
        <is>
          <t>螺纹钢</t>
        </is>
      </c>
      <c r="C3436" t="inlineStr">
        <is>
          <t>空</t>
        </is>
      </c>
      <c r="D3436" t="n">
        <v>3</v>
      </c>
      <c r="E3436" t="n">
        <v>6</v>
      </c>
      <c r="F3436" t="inlineStr">
        <is>
          <t>不做</t>
        </is>
      </c>
      <c r="H3436" t="n">
        <v>3083</v>
      </c>
      <c r="J3436" t="n">
        <v>0</v>
      </c>
      <c r="K3436" t="inlineStr">
        <is>
          <t>与热卷高度相关（同组≤3%），预算缩小</t>
        </is>
      </c>
    </row>
    <row r="3437">
      <c r="A3437" t="inlineStr">
        <is>
          <t>2024-09-05</t>
        </is>
      </c>
      <c r="B3437" t="inlineStr">
        <is>
          <t>热卷</t>
        </is>
      </c>
      <c r="C3437" t="inlineStr">
        <is>
          <t>空</t>
        </is>
      </c>
      <c r="D3437" t="n">
        <v>3</v>
      </c>
      <c r="E3437" t="n">
        <v>6</v>
      </c>
      <c r="F3437" t="inlineStr">
        <is>
          <t>续持</t>
        </is>
      </c>
      <c r="G3437" t="n">
        <v>11</v>
      </c>
      <c r="H3437" t="n">
        <v>3126</v>
      </c>
      <c r="I3437" t="n">
        <v>3352.86</v>
      </c>
      <c r="J3437" t="n">
        <v>3</v>
      </c>
      <c r="K3437" t="inlineStr">
        <is>
          <t>续持原仓（2024-09-02开）</t>
        </is>
      </c>
    </row>
    <row r="3438">
      <c r="A3438" t="inlineStr">
        <is>
          <t>2024-09-05</t>
        </is>
      </c>
      <c r="B3438" t="inlineStr">
        <is>
          <t>沪铜</t>
        </is>
      </c>
      <c r="C3438" t="inlineStr">
        <is>
          <t>空</t>
        </is>
      </c>
      <c r="D3438" t="n">
        <v>2</v>
      </c>
      <c r="E3438" t="n">
        <v>5</v>
      </c>
      <c r="F3438" t="inlineStr">
        <is>
          <t>不做</t>
        </is>
      </c>
      <c r="H3438" t="n">
        <v>71520</v>
      </c>
      <c r="J3438" t="n">
        <v>1</v>
      </c>
      <c r="K3438" t="inlineStr">
        <is>
          <t>1手风险14079元超过预算10000元</t>
        </is>
      </c>
    </row>
    <row r="3439">
      <c r="A3439" t="inlineStr">
        <is>
          <t>2024-09-06</t>
        </is>
      </c>
      <c r="B3439" t="inlineStr">
        <is>
          <t>豆油</t>
        </is>
      </c>
      <c r="C3439" t="inlineStr">
        <is>
          <t>多</t>
        </is>
      </c>
      <c r="D3439" t="n">
        <v>3</v>
      </c>
      <c r="E3439" t="n">
        <v>7</v>
      </c>
      <c r="F3439" t="inlineStr">
        <is>
          <t>开仓</t>
        </is>
      </c>
      <c r="G3439" t="n">
        <v>8</v>
      </c>
      <c r="H3439" t="n">
        <v>7704</v>
      </c>
      <c r="I3439" t="n">
        <v>7340.57</v>
      </c>
      <c r="J3439" t="n">
        <v>3</v>
      </c>
      <c r="K3439" t="inlineStr">
        <is>
          <t>¼凯利超上限，取3%</t>
        </is>
      </c>
    </row>
    <row r="3440">
      <c r="A3440" t="inlineStr">
        <is>
          <t>2024-09-06</t>
        </is>
      </c>
      <c r="B3440" t="inlineStr">
        <is>
          <t>螺纹钢</t>
        </is>
      </c>
      <c r="C3440" t="inlineStr">
        <is>
          <t>空</t>
        </is>
      </c>
      <c r="D3440" t="n">
        <v>3</v>
      </c>
      <c r="E3440" t="n">
        <v>7</v>
      </c>
      <c r="F3440" t="inlineStr">
        <is>
          <t>开仓</t>
        </is>
      </c>
      <c r="G3440" t="n">
        <v>14</v>
      </c>
      <c r="H3440" t="n">
        <v>3051</v>
      </c>
      <c r="I3440" t="n">
        <v>3260.79</v>
      </c>
      <c r="J3440" t="n">
        <v>3</v>
      </c>
      <c r="K3440" t="inlineStr">
        <is>
          <t>¼凯利超上限，取3%</t>
        </is>
      </c>
    </row>
    <row r="3441">
      <c r="A3441" t="inlineStr">
        <is>
          <t>2024-09-06</t>
        </is>
      </c>
      <c r="B3441" t="inlineStr">
        <is>
          <t>甲醇</t>
        </is>
      </c>
      <c r="C3441" t="inlineStr">
        <is>
          <t>空</t>
        </is>
      </c>
      <c r="D3441" t="n">
        <v>3</v>
      </c>
      <c r="E3441" t="n">
        <v>7</v>
      </c>
      <c r="F3441" t="inlineStr">
        <is>
          <t>开仓</t>
        </is>
      </c>
      <c r="G3441" t="n">
        <v>14</v>
      </c>
      <c r="H3441" t="n">
        <v>2371</v>
      </c>
      <c r="I3441" t="n">
        <v>2475.14</v>
      </c>
      <c r="J3441" t="n">
        <v>1.5</v>
      </c>
      <c r="K3441" t="inlineStr">
        <is>
          <t>组合风险已近10%，预算缩小</t>
        </is>
      </c>
    </row>
    <row r="3442">
      <c r="A3442" t="inlineStr">
        <is>
          <t>2024-09-06</t>
        </is>
      </c>
      <c r="B3442" t="inlineStr">
        <is>
          <t>锰硅</t>
        </is>
      </c>
      <c r="C3442" t="inlineStr">
        <is>
          <t>空</t>
        </is>
      </c>
      <c r="D3442" t="n">
        <v>2</v>
      </c>
      <c r="E3442" t="n">
        <v>5</v>
      </c>
      <c r="F3442" t="inlineStr">
        <is>
          <t>续持</t>
        </is>
      </c>
      <c r="G3442" t="n">
        <v>12</v>
      </c>
      <c r="H3442" t="n">
        <v>6172</v>
      </c>
      <c r="I3442" t="n">
        <v>6449.86</v>
      </c>
      <c r="J3442" t="n">
        <v>2.5</v>
      </c>
      <c r="K3442" t="inlineStr">
        <is>
          <t>续持原仓（2024-09-04开）</t>
        </is>
      </c>
    </row>
    <row r="3443">
      <c r="A3443" t="inlineStr">
        <is>
          <t>2024-09-06</t>
        </is>
      </c>
      <c r="B3443" t="inlineStr">
        <is>
          <t>豆粕</t>
        </is>
      </c>
      <c r="C3443" t="inlineStr">
        <is>
          <t>多</t>
        </is>
      </c>
      <c r="D3443" t="n">
        <v>2</v>
      </c>
      <c r="E3443" t="n">
        <v>5</v>
      </c>
      <c r="F3443" t="inlineStr">
        <is>
          <t>影子仓</t>
        </is>
      </c>
      <c r="G3443" t="n">
        <v>6</v>
      </c>
      <c r="H3443" t="n">
        <v>3122</v>
      </c>
      <c r="I3443" t="n">
        <v>2961.07</v>
      </c>
      <c r="J3443" t="n">
        <v>1</v>
      </c>
      <c r="K3443" t="inlineStr">
        <is>
          <t>凯利≤0，开1%影子仓（只统计，不计入组合）</t>
        </is>
      </c>
    </row>
    <row r="3444">
      <c r="A3444" t="inlineStr">
        <is>
          <t>2024-09-06</t>
        </is>
      </c>
      <c r="B3444" t="inlineStr">
        <is>
          <t>菜粕</t>
        </is>
      </c>
      <c r="C3444" t="inlineStr">
        <is>
          <t>多</t>
        </is>
      </c>
      <c r="D3444" t="n">
        <v>2</v>
      </c>
      <c r="E3444" t="n">
        <v>4</v>
      </c>
      <c r="F3444" t="inlineStr">
        <is>
          <t>影子仓</t>
        </is>
      </c>
      <c r="G3444" t="n">
        <v>5</v>
      </c>
      <c r="H3444" t="n">
        <v>2549</v>
      </c>
      <c r="I3444" t="n">
        <v>2365.57</v>
      </c>
      <c r="J3444" t="n">
        <v>1</v>
      </c>
      <c r="K3444" t="inlineStr">
        <is>
          <t>凯利≤0，开1%影子仓（只统计，不计入组合）</t>
        </is>
      </c>
    </row>
    <row r="3445">
      <c r="A3445" t="inlineStr">
        <is>
          <t>2024-09-09</t>
        </is>
      </c>
      <c r="B3445" t="inlineStr">
        <is>
          <t>PTA</t>
        </is>
      </c>
      <c r="C3445" t="inlineStr">
        <is>
          <t>空</t>
        </is>
      </c>
      <c r="D3445" t="n">
        <v>3</v>
      </c>
      <c r="E3445" t="n">
        <v>7</v>
      </c>
      <c r="F3445" t="inlineStr">
        <is>
          <t>不做</t>
        </is>
      </c>
      <c r="H3445" t="n">
        <v>4926</v>
      </c>
      <c r="J3445" t="n">
        <v>0</v>
      </c>
      <c r="K3445" t="inlineStr">
        <is>
          <t>组合风险已近10%，预算缩小</t>
        </is>
      </c>
    </row>
    <row r="3446">
      <c r="A3446" t="inlineStr">
        <is>
          <t>2024-09-09</t>
        </is>
      </c>
      <c r="B3446" t="inlineStr">
        <is>
          <t>锰硅</t>
        </is>
      </c>
      <c r="C3446" t="inlineStr">
        <is>
          <t>空</t>
        </is>
      </c>
      <c r="D3446" t="n">
        <v>3</v>
      </c>
      <c r="E3446" t="n">
        <v>7</v>
      </c>
      <c r="F3446" t="inlineStr">
        <is>
          <t>续持</t>
        </is>
      </c>
      <c r="G3446" t="n">
        <v>12</v>
      </c>
      <c r="H3446" t="n">
        <v>6108</v>
      </c>
      <c r="I3446" t="n">
        <v>6365.14</v>
      </c>
      <c r="J3446" t="n">
        <v>2.5</v>
      </c>
      <c r="K3446" t="inlineStr">
        <is>
          <t>续持原仓（2024-09-04开）</t>
        </is>
      </c>
    </row>
    <row r="3447">
      <c r="A3447" t="inlineStr">
        <is>
          <t>2024-09-09</t>
        </is>
      </c>
      <c r="B3447" t="inlineStr">
        <is>
          <t>甲醇</t>
        </is>
      </c>
      <c r="C3447" t="inlineStr">
        <is>
          <t>空</t>
        </is>
      </c>
      <c r="D3447" t="n">
        <v>3</v>
      </c>
      <c r="E3447" t="n">
        <v>6</v>
      </c>
      <c r="F3447" t="inlineStr">
        <is>
          <t>续持</t>
        </is>
      </c>
      <c r="G3447" t="n">
        <v>14</v>
      </c>
      <c r="H3447" t="n">
        <v>2366</v>
      </c>
      <c r="I3447" t="n">
        <v>2437.29</v>
      </c>
      <c r="J3447" t="n">
        <v>1.5</v>
      </c>
      <c r="K3447" t="inlineStr">
        <is>
          <t>续持原仓（2024-09-06开）</t>
        </is>
      </c>
    </row>
    <row r="3448">
      <c r="A3448" t="inlineStr">
        <is>
          <t>2024-09-09</t>
        </is>
      </c>
      <c r="B3448" t="inlineStr">
        <is>
          <t>豆油</t>
        </is>
      </c>
      <c r="C3448" t="inlineStr">
        <is>
          <t>多</t>
        </is>
      </c>
      <c r="D3448" t="n">
        <v>3</v>
      </c>
      <c r="E3448" t="n">
        <v>6</v>
      </c>
      <c r="F3448" t="inlineStr">
        <is>
          <t>观望</t>
        </is>
      </c>
      <c r="H3448" t="n">
        <v>7706</v>
      </c>
      <c r="J3448" t="n">
        <v>0</v>
      </c>
      <c r="K3448" t="inlineStr">
        <is>
          <t>逆5日线（收盘在5日线下，不追多）</t>
        </is>
      </c>
    </row>
    <row r="3449">
      <c r="A3449" t="inlineStr">
        <is>
          <t>2024-09-09</t>
        </is>
      </c>
      <c r="B3449" t="inlineStr">
        <is>
          <t>菜粕</t>
        </is>
      </c>
      <c r="C3449" t="inlineStr">
        <is>
          <t>多</t>
        </is>
      </c>
      <c r="D3449" t="n">
        <v>2</v>
      </c>
      <c r="E3449" t="n">
        <v>5</v>
      </c>
      <c r="F3449" t="inlineStr">
        <is>
          <t>续持</t>
        </is>
      </c>
      <c r="G3449" t="n">
        <v>5</v>
      </c>
      <c r="H3449" t="n">
        <v>2532</v>
      </c>
      <c r="I3449" t="n">
        <v>2376.57</v>
      </c>
      <c r="J3449" t="n">
        <v>1</v>
      </c>
      <c r="K3449" t="inlineStr">
        <is>
          <t>续持原仓（2024-09-06开）</t>
        </is>
      </c>
    </row>
    <row r="3450">
      <c r="A3450" t="inlineStr">
        <is>
          <t>2024-09-09</t>
        </is>
      </c>
      <c r="B3450" t="inlineStr">
        <is>
          <t>热卷</t>
        </is>
      </c>
      <c r="C3450" t="inlineStr">
        <is>
          <t>空</t>
        </is>
      </c>
      <c r="D3450" t="n">
        <v>2</v>
      </c>
      <c r="E3450" t="n">
        <v>4</v>
      </c>
      <c r="F3450" t="inlineStr">
        <is>
          <t>影子仓</t>
        </is>
      </c>
      <c r="G3450" t="n">
        <v>3</v>
      </c>
      <c r="H3450" t="n">
        <v>3140</v>
      </c>
      <c r="I3450" t="n">
        <v>3392.64</v>
      </c>
      <c r="J3450" t="n">
        <v>1</v>
      </c>
      <c r="K3450" t="inlineStr">
        <is>
          <t>凯利≤0，开1%影子仓（只统计，不计入组合）</t>
        </is>
      </c>
    </row>
    <row r="3451">
      <c r="A3451" t="inlineStr">
        <is>
          <t>2024-09-10</t>
        </is>
      </c>
      <c r="B3451" t="inlineStr">
        <is>
          <t>甲醇</t>
        </is>
      </c>
      <c r="C3451" t="inlineStr">
        <is>
          <t>空</t>
        </is>
      </c>
      <c r="D3451" t="n">
        <v>3</v>
      </c>
      <c r="E3451" t="n">
        <v>7</v>
      </c>
      <c r="F3451" t="inlineStr">
        <is>
          <t>续持</t>
        </is>
      </c>
      <c r="G3451" t="n">
        <v>14</v>
      </c>
      <c r="H3451" t="n">
        <v>2325</v>
      </c>
      <c r="I3451" t="n">
        <v>2430.64</v>
      </c>
      <c r="J3451" t="n">
        <v>1.5</v>
      </c>
      <c r="K3451" t="inlineStr">
        <is>
          <t>续持原仓（2024-09-06开）</t>
        </is>
      </c>
    </row>
    <row r="3452">
      <c r="A3452" t="inlineStr">
        <is>
          <t>2024-09-10</t>
        </is>
      </c>
      <c r="B3452" t="inlineStr">
        <is>
          <t>聚丙烯</t>
        </is>
      </c>
      <c r="C3452" t="inlineStr">
        <is>
          <t>空</t>
        </is>
      </c>
      <c r="D3452" t="n">
        <v>3</v>
      </c>
      <c r="E3452" t="n">
        <v>7</v>
      </c>
      <c r="F3452" t="inlineStr">
        <is>
          <t>不做</t>
        </is>
      </c>
      <c r="H3452" t="n">
        <v>7275</v>
      </c>
      <c r="J3452" t="n">
        <v>0</v>
      </c>
      <c r="K3452" t="inlineStr">
        <is>
          <t>组合风险已近10%，预算缩小</t>
        </is>
      </c>
    </row>
    <row r="3453">
      <c r="A3453" t="inlineStr">
        <is>
          <t>2024-09-10</t>
        </is>
      </c>
      <c r="B3453" t="inlineStr">
        <is>
          <t>锰硅</t>
        </is>
      </c>
      <c r="C3453" t="inlineStr">
        <is>
          <t>空</t>
        </is>
      </c>
      <c r="D3453" t="n">
        <v>3</v>
      </c>
      <c r="E3453" t="n">
        <v>6</v>
      </c>
      <c r="F3453" t="inlineStr">
        <is>
          <t>续持</t>
        </is>
      </c>
      <c r="G3453" t="n">
        <v>12</v>
      </c>
      <c r="H3453" t="n">
        <v>6040</v>
      </c>
      <c r="I3453" t="n">
        <v>6359.86</v>
      </c>
      <c r="J3453" t="n">
        <v>2.5</v>
      </c>
      <c r="K3453" t="inlineStr">
        <is>
          <t>续持原仓（2024-09-04开）</t>
        </is>
      </c>
    </row>
    <row r="3454">
      <c r="A3454" t="inlineStr">
        <is>
          <t>2024-09-10</t>
        </is>
      </c>
      <c r="B3454" t="inlineStr">
        <is>
          <t>豆油</t>
        </is>
      </c>
      <c r="C3454" t="inlineStr">
        <is>
          <t>多</t>
        </is>
      </c>
      <c r="D3454" t="n">
        <v>2</v>
      </c>
      <c r="E3454" t="n">
        <v>5</v>
      </c>
      <c r="F3454" t="inlineStr">
        <is>
          <t>观望</t>
        </is>
      </c>
      <c r="G3454" t="n">
        <v>2</v>
      </c>
      <c r="H3454" t="n">
        <v>7670</v>
      </c>
      <c r="I3454" t="n">
        <v>7286</v>
      </c>
      <c r="J3454" t="n">
        <v>1</v>
      </c>
      <c r="K3454" t="inlineStr">
        <is>
          <t>逆5日线（收盘在5日线下，不追多）</t>
        </is>
      </c>
    </row>
    <row r="3455">
      <c r="A3455" t="inlineStr">
        <is>
          <t>2024-09-10</t>
        </is>
      </c>
      <c r="B3455" t="inlineStr">
        <is>
          <t>PVC</t>
        </is>
      </c>
      <c r="C3455" t="inlineStr">
        <is>
          <t>空</t>
        </is>
      </c>
      <c r="D3455" t="n">
        <v>2</v>
      </c>
      <c r="E3455" t="n">
        <v>4</v>
      </c>
      <c r="F3455" t="inlineStr">
        <is>
          <t>影子仓</t>
        </is>
      </c>
      <c r="G3455" t="n">
        <v>6</v>
      </c>
      <c r="H3455" t="n">
        <v>5339</v>
      </c>
      <c r="I3455" t="n">
        <v>5631.93</v>
      </c>
      <c r="J3455" t="n">
        <v>1</v>
      </c>
      <c r="K3455" t="inlineStr">
        <is>
          <t>凯利≤0，开1%影子仓（只统计，不计入组合）</t>
        </is>
      </c>
    </row>
    <row r="3456">
      <c r="A3456" t="inlineStr">
        <is>
          <t>2024-09-11</t>
        </is>
      </c>
      <c r="B3456" t="inlineStr">
        <is>
          <t>豆油</t>
        </is>
      </c>
      <c r="C3456" t="inlineStr">
        <is>
          <t>多</t>
        </is>
      </c>
      <c r="D3456" t="n">
        <v>3</v>
      </c>
      <c r="E3456" t="n">
        <v>6</v>
      </c>
      <c r="F3456" t="inlineStr">
        <is>
          <t>续持</t>
        </is>
      </c>
      <c r="G3456" t="n">
        <v>8</v>
      </c>
      <c r="H3456" t="n">
        <v>7708</v>
      </c>
      <c r="I3456" t="n">
        <v>7381</v>
      </c>
      <c r="J3456" t="n">
        <v>3</v>
      </c>
      <c r="K3456" t="inlineStr">
        <is>
          <t>续持原仓（2024-09-06开）</t>
        </is>
      </c>
    </row>
    <row r="3457">
      <c r="A3457" t="inlineStr">
        <is>
          <t>2024-09-11</t>
        </is>
      </c>
      <c r="B3457" t="inlineStr">
        <is>
          <t>菜粕</t>
        </is>
      </c>
      <c r="C3457" t="inlineStr">
        <is>
          <t>多</t>
        </is>
      </c>
      <c r="D3457" t="n">
        <v>3</v>
      </c>
      <c r="E3457" t="n">
        <v>6</v>
      </c>
      <c r="F3457" t="inlineStr">
        <is>
          <t>续持</t>
        </is>
      </c>
      <c r="G3457" t="n">
        <v>5</v>
      </c>
      <c r="H3457" t="n">
        <v>2522</v>
      </c>
      <c r="I3457" t="n">
        <v>2376.57</v>
      </c>
      <c r="J3457" t="n">
        <v>1</v>
      </c>
      <c r="K3457" t="inlineStr">
        <is>
          <t>续持原仓（2024-09-06开）</t>
        </is>
      </c>
    </row>
    <row r="3458">
      <c r="A3458" t="inlineStr">
        <is>
          <t>2024-09-11</t>
        </is>
      </c>
      <c r="B3458" t="inlineStr">
        <is>
          <t>锰硅</t>
        </is>
      </c>
      <c r="C3458" t="inlineStr">
        <is>
          <t>空</t>
        </is>
      </c>
      <c r="D3458" t="n">
        <v>2</v>
      </c>
      <c r="E3458" t="n">
        <v>5</v>
      </c>
      <c r="F3458" t="inlineStr">
        <is>
          <t>续持</t>
        </is>
      </c>
      <c r="G3458" t="n">
        <v>12</v>
      </c>
      <c r="H3458" t="n">
        <v>6092</v>
      </c>
      <c r="I3458" t="n">
        <v>6323.29</v>
      </c>
      <c r="J3458" t="n">
        <v>2.5</v>
      </c>
      <c r="K3458" t="inlineStr">
        <is>
          <t>续持原仓（2024-09-04开）</t>
        </is>
      </c>
    </row>
    <row r="3459">
      <c r="A3459" t="inlineStr">
        <is>
          <t>2024-09-11</t>
        </is>
      </c>
      <c r="B3459" t="inlineStr">
        <is>
          <t>沪铜</t>
        </is>
      </c>
      <c r="C3459" t="inlineStr">
        <is>
          <t>空</t>
        </is>
      </c>
      <c r="D3459" t="n">
        <v>2</v>
      </c>
      <c r="E3459" t="n">
        <v>5</v>
      </c>
      <c r="F3459" t="inlineStr">
        <is>
          <t>观望</t>
        </is>
      </c>
      <c r="H3459" t="n">
        <v>73270</v>
      </c>
      <c r="J3459" t="n">
        <v>1</v>
      </c>
      <c r="K3459" t="inlineStr">
        <is>
          <t>逆5日线（收盘在5日线上，不追空）</t>
        </is>
      </c>
    </row>
    <row r="3460">
      <c r="A3460" t="inlineStr">
        <is>
          <t>2024-09-11</t>
        </is>
      </c>
      <c r="B3460" t="inlineStr">
        <is>
          <t>聚丙烯</t>
        </is>
      </c>
      <c r="C3460" t="inlineStr">
        <is>
          <t>空</t>
        </is>
      </c>
      <c r="D3460" t="n">
        <v>2</v>
      </c>
      <c r="E3460" t="n">
        <v>5</v>
      </c>
      <c r="F3460" t="inlineStr">
        <is>
          <t>影子仓</t>
        </is>
      </c>
      <c r="G3460" t="n">
        <v>9</v>
      </c>
      <c r="H3460" t="n">
        <v>7292</v>
      </c>
      <c r="I3460" t="n">
        <v>7500.71</v>
      </c>
      <c r="J3460" t="n">
        <v>1</v>
      </c>
      <c r="K3460" t="inlineStr">
        <is>
          <t>凯利≤0，开1%影子仓（只统计，不计入组合）</t>
        </is>
      </c>
    </row>
    <row r="3461">
      <c r="A3461" t="inlineStr">
        <is>
          <t>2024-09-12</t>
        </is>
      </c>
      <c r="B3461" t="inlineStr">
        <is>
          <t>豆油</t>
        </is>
      </c>
      <c r="C3461" t="inlineStr">
        <is>
          <t>多</t>
        </is>
      </c>
      <c r="D3461" t="n">
        <v>3</v>
      </c>
      <c r="E3461" t="n">
        <v>6</v>
      </c>
      <c r="F3461" t="inlineStr">
        <is>
          <t>观望</t>
        </is>
      </c>
      <c r="H3461" t="n">
        <v>7660</v>
      </c>
      <c r="J3461" t="n">
        <v>0</v>
      </c>
      <c r="K3461" t="inlineStr">
        <is>
          <t>逆5日线（收盘在5日线下，不追多）</t>
        </is>
      </c>
    </row>
    <row r="3462">
      <c r="A3462" t="inlineStr">
        <is>
          <t>2024-09-12</t>
        </is>
      </c>
      <c r="B3462" t="inlineStr">
        <is>
          <t>铁矿石</t>
        </is>
      </c>
      <c r="C3462" t="inlineStr">
        <is>
          <t>多</t>
        </is>
      </c>
      <c r="D3462" t="n">
        <v>3</v>
      </c>
      <c r="E3462" t="n">
        <v>6</v>
      </c>
      <c r="F3462" t="inlineStr">
        <is>
          <t>开仓</t>
        </is>
      </c>
      <c r="G3462" t="n">
        <v>4</v>
      </c>
      <c r="H3462" t="n">
        <v>707</v>
      </c>
      <c r="I3462" t="n">
        <v>634.5700000000001</v>
      </c>
      <c r="J3462" t="n">
        <v>3</v>
      </c>
      <c r="K3462" t="inlineStr">
        <is>
          <t>¼凯利超上限，取3%</t>
        </is>
      </c>
    </row>
    <row r="3463">
      <c r="A3463" t="inlineStr">
        <is>
          <t>2024-09-12</t>
        </is>
      </c>
      <c r="B3463" t="inlineStr">
        <is>
          <t>纯碱</t>
        </is>
      </c>
      <c r="C3463" t="inlineStr">
        <is>
          <t>空</t>
        </is>
      </c>
      <c r="D3463" t="n">
        <v>2</v>
      </c>
      <c r="E3463" t="n">
        <v>5</v>
      </c>
      <c r="F3463" t="inlineStr">
        <is>
          <t>影子仓</t>
        </is>
      </c>
      <c r="G3463" t="n">
        <v>2</v>
      </c>
      <c r="H3463" t="n">
        <v>1387</v>
      </c>
      <c r="I3463" t="n">
        <v>1565.5</v>
      </c>
      <c r="J3463" t="n">
        <v>1</v>
      </c>
      <c r="K3463" t="inlineStr">
        <is>
          <t>凯利≤0，开1%影子仓（只统计，不计入组合）</t>
        </is>
      </c>
    </row>
    <row r="3464">
      <c r="A3464" t="inlineStr">
        <is>
          <t>2024-09-12</t>
        </is>
      </c>
      <c r="B3464" t="inlineStr">
        <is>
          <t>沪锌</t>
        </is>
      </c>
      <c r="C3464" t="inlineStr">
        <is>
          <t>多</t>
        </is>
      </c>
      <c r="D3464" t="n">
        <v>2</v>
      </c>
      <c r="E3464" t="n">
        <v>5</v>
      </c>
      <c r="F3464" t="inlineStr">
        <is>
          <t>影子仓</t>
        </is>
      </c>
      <c r="G3464" t="n">
        <v>1</v>
      </c>
      <c r="H3464" t="n">
        <v>23570</v>
      </c>
      <c r="I3464" t="n">
        <v>22349.64</v>
      </c>
      <c r="J3464" t="n">
        <v>1</v>
      </c>
      <c r="K3464" t="inlineStr">
        <is>
          <t>凯利≤0，开1%影子仓（只统计，不计入组合）</t>
        </is>
      </c>
    </row>
    <row r="3465">
      <c r="A3465" t="inlineStr">
        <is>
          <t>2024-09-12</t>
        </is>
      </c>
      <c r="B3465" t="inlineStr">
        <is>
          <t>白糖</t>
        </is>
      </c>
      <c r="C3465" t="inlineStr">
        <is>
          <t>多</t>
        </is>
      </c>
      <c r="D3465" t="n">
        <v>2</v>
      </c>
      <c r="E3465" t="n">
        <v>4</v>
      </c>
      <c r="F3465" t="inlineStr">
        <is>
          <t>影子仓</t>
        </is>
      </c>
      <c r="G3465" t="n">
        <v>5</v>
      </c>
      <c r="H3465" t="n">
        <v>5692</v>
      </c>
      <c r="I3465" t="n">
        <v>5505.36</v>
      </c>
      <c r="J3465" t="n">
        <v>1</v>
      </c>
      <c r="K3465" t="inlineStr">
        <is>
          <t>凯利≤0，开1%影子仓（只统计，不计入组合）</t>
        </is>
      </c>
    </row>
    <row r="3466">
      <c r="A3466" t="inlineStr">
        <is>
          <t>2024-09-12</t>
        </is>
      </c>
      <c r="B3466" t="inlineStr">
        <is>
          <t>玉米</t>
        </is>
      </c>
      <c r="C3466" t="inlineStr">
        <is>
          <t>空</t>
        </is>
      </c>
      <c r="D3466" t="n">
        <v>2</v>
      </c>
      <c r="E3466" t="n">
        <v>4</v>
      </c>
      <c r="F3466" t="inlineStr">
        <is>
          <t>影子仓</t>
        </is>
      </c>
      <c r="G3466" t="n">
        <v>11</v>
      </c>
      <c r="H3466" t="n">
        <v>2197</v>
      </c>
      <c r="I3466" t="n">
        <v>2284.86</v>
      </c>
      <c r="J3466" t="n">
        <v>1</v>
      </c>
      <c r="K3466" t="inlineStr">
        <is>
          <t>凯利≤0，开1%影子仓（只统计，不计入组合）</t>
        </is>
      </c>
    </row>
    <row r="3467">
      <c r="A3467" t="inlineStr">
        <is>
          <t>2024-09-13</t>
        </is>
      </c>
      <c r="B3467" t="inlineStr">
        <is>
          <t>玻璃</t>
        </is>
      </c>
      <c r="C3467" t="inlineStr">
        <is>
          <t>空</t>
        </is>
      </c>
      <c r="D3467" t="n">
        <v>3</v>
      </c>
      <c r="E3467" t="n">
        <v>7</v>
      </c>
      <c r="F3467" t="inlineStr">
        <is>
          <t>开仓</t>
        </is>
      </c>
      <c r="G3467" t="n">
        <v>11</v>
      </c>
      <c r="H3467" t="n">
        <v>1021</v>
      </c>
      <c r="I3467" t="n">
        <v>1153.21</v>
      </c>
      <c r="J3467" t="n">
        <v>3</v>
      </c>
      <c r="K3467" t="inlineStr">
        <is>
          <t>¼凯利超上限，取3%</t>
        </is>
      </c>
    </row>
    <row r="3468">
      <c r="A3468" t="inlineStr">
        <is>
          <t>2024-09-13</t>
        </is>
      </c>
      <c r="B3468" t="inlineStr">
        <is>
          <t>锰硅</t>
        </is>
      </c>
      <c r="C3468" t="inlineStr">
        <is>
          <t>空</t>
        </is>
      </c>
      <c r="D3468" t="n">
        <v>3</v>
      </c>
      <c r="E3468" t="n">
        <v>7</v>
      </c>
      <c r="F3468" t="inlineStr">
        <is>
          <t>开仓</t>
        </is>
      </c>
      <c r="G3468" t="n">
        <v>5</v>
      </c>
      <c r="H3468" t="n">
        <v>5994</v>
      </c>
      <c r="I3468" t="n">
        <v>6333.86</v>
      </c>
      <c r="J3468" t="n">
        <v>1</v>
      </c>
      <c r="K3468" t="inlineStr">
        <is>
          <t>组合风险已近10%，预算缩小</t>
        </is>
      </c>
    </row>
    <row r="3469">
      <c r="A3469" t="inlineStr">
        <is>
          <t>2024-09-13</t>
        </is>
      </c>
      <c r="B3469" t="inlineStr">
        <is>
          <t>纯碱</t>
        </is>
      </c>
      <c r="C3469" t="inlineStr">
        <is>
          <t>空</t>
        </is>
      </c>
      <c r="D3469" t="n">
        <v>3</v>
      </c>
      <c r="E3469" t="n">
        <v>7</v>
      </c>
      <c r="F3469" t="inlineStr">
        <is>
          <t>续持</t>
        </is>
      </c>
      <c r="G3469" t="n">
        <v>2</v>
      </c>
      <c r="H3469" t="n">
        <v>1351</v>
      </c>
      <c r="I3469" t="n">
        <v>1524.71</v>
      </c>
      <c r="J3469" t="n">
        <v>1</v>
      </c>
      <c r="K3469" t="inlineStr">
        <is>
          <t>续持原仓（2024-09-12开）</t>
        </is>
      </c>
    </row>
    <row r="3470">
      <c r="A3470" t="inlineStr">
        <is>
          <t>2024-09-13</t>
        </is>
      </c>
      <c r="B3470" t="inlineStr">
        <is>
          <t>PVC</t>
        </is>
      </c>
      <c r="C3470" t="inlineStr">
        <is>
          <t>空</t>
        </is>
      </c>
      <c r="D3470" t="n">
        <v>3</v>
      </c>
      <c r="E3470" t="n">
        <v>7</v>
      </c>
      <c r="F3470" t="inlineStr">
        <is>
          <t>不做</t>
        </is>
      </c>
      <c r="H3470" t="n">
        <v>5326</v>
      </c>
      <c r="J3470" t="n">
        <v>0</v>
      </c>
      <c r="K3470" t="inlineStr">
        <is>
          <t>组合风险已近10%，预算缩小</t>
        </is>
      </c>
    </row>
    <row r="3471">
      <c r="A3471" t="inlineStr">
        <is>
          <t>2024-09-13</t>
        </is>
      </c>
      <c r="B3471" t="inlineStr">
        <is>
          <t>聚丙烯</t>
        </is>
      </c>
      <c r="C3471" t="inlineStr">
        <is>
          <t>空</t>
        </is>
      </c>
      <c r="D3471" t="n">
        <v>3</v>
      </c>
      <c r="E3471" t="n">
        <v>7</v>
      </c>
      <c r="F3471" t="inlineStr">
        <is>
          <t>不做</t>
        </is>
      </c>
      <c r="H3471" t="n">
        <v>7264</v>
      </c>
      <c r="J3471" t="n">
        <v>0</v>
      </c>
      <c r="K3471" t="inlineStr">
        <is>
          <t>组合风险已近10%，预算缩小</t>
        </is>
      </c>
    </row>
    <row r="3472">
      <c r="A3472" t="inlineStr">
        <is>
          <t>2024-09-13</t>
        </is>
      </c>
      <c r="B3472" t="inlineStr">
        <is>
          <t>菜粕</t>
        </is>
      </c>
      <c r="C3472" t="inlineStr">
        <is>
          <t>多</t>
        </is>
      </c>
      <c r="D3472" t="n">
        <v>3</v>
      </c>
      <c r="E3472" t="n">
        <v>6</v>
      </c>
      <c r="F3472" t="inlineStr">
        <is>
          <t>不做</t>
        </is>
      </c>
      <c r="H3472" t="n">
        <v>2573</v>
      </c>
      <c r="J3472" t="n">
        <v>0</v>
      </c>
      <c r="K3472" t="inlineStr">
        <is>
          <t>组合风险已近10%，预算缩小</t>
        </is>
      </c>
    </row>
    <row r="3473">
      <c r="A3473" t="inlineStr">
        <is>
          <t>2024-09-18</t>
        </is>
      </c>
      <c r="B3473" t="inlineStr">
        <is>
          <t>锰硅</t>
        </is>
      </c>
      <c r="C3473" t="inlineStr">
        <is>
          <t>空</t>
        </is>
      </c>
      <c r="D3473" t="n">
        <v>3</v>
      </c>
      <c r="E3473" t="n">
        <v>6</v>
      </c>
      <c r="F3473" t="inlineStr">
        <is>
          <t>续持</t>
        </is>
      </c>
      <c r="G3473" t="n">
        <v>5</v>
      </c>
      <c r="H3473" t="n">
        <v>5924</v>
      </c>
      <c r="I3473" t="n">
        <v>6258.71</v>
      </c>
      <c r="J3473" t="n">
        <v>1</v>
      </c>
      <c r="K3473" t="inlineStr">
        <is>
          <t>续持原仓（2024-09-13开）</t>
        </is>
      </c>
    </row>
    <row r="3474">
      <c r="A3474" t="inlineStr">
        <is>
          <t>2024-09-18</t>
        </is>
      </c>
      <c r="B3474" t="inlineStr">
        <is>
          <t>聚丙烯</t>
        </is>
      </c>
      <c r="C3474" t="inlineStr">
        <is>
          <t>空</t>
        </is>
      </c>
      <c r="D3474" t="n">
        <v>3</v>
      </c>
      <c r="E3474" t="n">
        <v>6</v>
      </c>
      <c r="F3474" t="inlineStr">
        <is>
          <t>开仓</t>
        </is>
      </c>
      <c r="G3474" t="n">
        <v>27</v>
      </c>
      <c r="H3474" t="n">
        <v>7267</v>
      </c>
      <c r="I3474" t="n">
        <v>7483.21</v>
      </c>
      <c r="J3474" t="n">
        <v>3</v>
      </c>
      <c r="K3474" t="inlineStr">
        <is>
          <t>¼凯利超上限，取3%</t>
        </is>
      </c>
    </row>
    <row r="3475">
      <c r="A3475" t="inlineStr">
        <is>
          <t>2024-09-19</t>
        </is>
      </c>
      <c r="B3475" t="inlineStr">
        <is>
          <t>玉米</t>
        </is>
      </c>
      <c r="C3475" t="inlineStr">
        <is>
          <t>空</t>
        </is>
      </c>
      <c r="D3475" t="n">
        <v>3</v>
      </c>
      <c r="E3475" t="n">
        <v>7</v>
      </c>
      <c r="F3475" t="inlineStr">
        <is>
          <t>开仓</t>
        </is>
      </c>
      <c r="G3475" t="n">
        <v>31</v>
      </c>
      <c r="H3475" t="n">
        <v>2174</v>
      </c>
      <c r="I3475" t="n">
        <v>2268.29</v>
      </c>
      <c r="J3475" t="n">
        <v>3</v>
      </c>
      <c r="K3475" t="inlineStr">
        <is>
          <t>¼凯利超上限，取3%</t>
        </is>
      </c>
    </row>
    <row r="3476">
      <c r="A3476" t="inlineStr">
        <is>
          <t>2024-09-19</t>
        </is>
      </c>
      <c r="B3476" t="inlineStr">
        <is>
          <t>沪银</t>
        </is>
      </c>
      <c r="C3476" t="inlineStr">
        <is>
          <t>多</t>
        </is>
      </c>
      <c r="D3476" t="n">
        <v>3</v>
      </c>
      <c r="E3476" t="n">
        <v>6</v>
      </c>
      <c r="F3476" t="inlineStr">
        <is>
          <t>开仓</t>
        </is>
      </c>
      <c r="G3476" t="n">
        <v>3</v>
      </c>
      <c r="H3476" t="n">
        <v>7482</v>
      </c>
      <c r="I3476" t="n">
        <v>6920.14</v>
      </c>
      <c r="J3476" t="n">
        <v>3</v>
      </c>
      <c r="K3476" t="inlineStr">
        <is>
          <t>¼凯利超上限，取3%</t>
        </is>
      </c>
    </row>
    <row r="3477">
      <c r="A3477" t="inlineStr">
        <is>
          <t>2024-09-19</t>
        </is>
      </c>
      <c r="B3477" t="inlineStr">
        <is>
          <t>PVC</t>
        </is>
      </c>
      <c r="C3477" t="inlineStr">
        <is>
          <t>空</t>
        </is>
      </c>
      <c r="D3477" t="n">
        <v>2</v>
      </c>
      <c r="E3477" t="n">
        <v>5</v>
      </c>
      <c r="F3477" t="inlineStr">
        <is>
          <t>影子仓</t>
        </is>
      </c>
      <c r="G3477" t="n">
        <v>6</v>
      </c>
      <c r="H3477" t="n">
        <v>5289</v>
      </c>
      <c r="I3477" t="n">
        <v>5611.07</v>
      </c>
      <c r="J3477" t="n">
        <v>1</v>
      </c>
      <c r="K3477" t="inlineStr">
        <is>
          <t>凯利≤0，开1%影子仓（只统计，不计入组合）</t>
        </is>
      </c>
    </row>
    <row r="3478">
      <c r="A3478" t="inlineStr">
        <is>
          <t>2024-09-19</t>
        </is>
      </c>
      <c r="B3478" t="inlineStr">
        <is>
          <t>沪铜</t>
        </is>
      </c>
      <c r="C3478" t="inlineStr">
        <is>
          <t>多</t>
        </is>
      </c>
      <c r="D3478" t="n">
        <v>2</v>
      </c>
      <c r="E3478" t="n">
        <v>4</v>
      </c>
      <c r="F3478" t="inlineStr">
        <is>
          <t>不做</t>
        </is>
      </c>
      <c r="H3478" t="n">
        <v>75640</v>
      </c>
      <c r="J3478" t="n">
        <v>1</v>
      </c>
      <c r="K3478" t="inlineStr">
        <is>
          <t>1手风险15879元超过预算10000元</t>
        </is>
      </c>
    </row>
    <row r="3479">
      <c r="A3479" t="inlineStr">
        <is>
          <t>2024-09-20</t>
        </is>
      </c>
      <c r="B3479" t="inlineStr">
        <is>
          <t>沪金</t>
        </is>
      </c>
      <c r="C3479" t="inlineStr">
        <is>
          <t>多</t>
        </is>
      </c>
      <c r="D3479" t="n">
        <v>3</v>
      </c>
      <c r="E3479" t="n">
        <v>7</v>
      </c>
      <c r="F3479" t="inlineStr">
        <is>
          <t>开仓</t>
        </is>
      </c>
      <c r="G3479" t="n">
        <v>1</v>
      </c>
      <c r="H3479" t="n">
        <v>590.62</v>
      </c>
      <c r="I3479" t="n">
        <v>574.78</v>
      </c>
      <c r="J3479" t="n">
        <v>3</v>
      </c>
      <c r="K3479" t="inlineStr">
        <is>
          <t>¼凯利超上限，取3%</t>
        </is>
      </c>
    </row>
    <row r="3480">
      <c r="A3480" t="inlineStr">
        <is>
          <t>2024-09-20</t>
        </is>
      </c>
      <c r="B3480" t="inlineStr">
        <is>
          <t>甲醇</t>
        </is>
      </c>
      <c r="C3480" t="inlineStr">
        <is>
          <t>空</t>
        </is>
      </c>
      <c r="D3480" t="n">
        <v>3</v>
      </c>
      <c r="E3480" t="n">
        <v>7</v>
      </c>
      <c r="F3480" t="inlineStr">
        <is>
          <t>开仓</t>
        </is>
      </c>
      <c r="G3480" t="n">
        <v>21</v>
      </c>
      <c r="H3480" t="n">
        <v>2382</v>
      </c>
      <c r="I3480" t="n">
        <v>2520.21</v>
      </c>
      <c r="J3480" t="n">
        <v>3</v>
      </c>
      <c r="K3480" t="inlineStr">
        <is>
          <t>¼凯利超上限，取3%</t>
        </is>
      </c>
    </row>
    <row r="3481">
      <c r="A3481" t="inlineStr">
        <is>
          <t>2024-09-20</t>
        </is>
      </c>
      <c r="B3481" t="inlineStr">
        <is>
          <t>玉米</t>
        </is>
      </c>
      <c r="C3481" t="inlineStr">
        <is>
          <t>空</t>
        </is>
      </c>
      <c r="D3481" t="n">
        <v>3</v>
      </c>
      <c r="E3481" t="n">
        <v>6</v>
      </c>
      <c r="F3481" t="inlineStr">
        <is>
          <t>续持</t>
        </is>
      </c>
      <c r="G3481" t="n">
        <v>31</v>
      </c>
      <c r="H3481" t="n">
        <v>2164</v>
      </c>
      <c r="I3481" t="n">
        <v>2250.29</v>
      </c>
      <c r="J3481" t="n">
        <v>3</v>
      </c>
      <c r="K3481" t="inlineStr">
        <is>
          <t>续持原仓（2024-09-19开）</t>
        </is>
      </c>
    </row>
    <row r="3482">
      <c r="A3482" t="inlineStr">
        <is>
          <t>2024-09-20</t>
        </is>
      </c>
      <c r="B3482" t="inlineStr">
        <is>
          <t>聚丙烯</t>
        </is>
      </c>
      <c r="C3482" t="inlineStr">
        <is>
          <t>空</t>
        </is>
      </c>
      <c r="D3482" t="n">
        <v>3</v>
      </c>
      <c r="E3482" t="n">
        <v>6</v>
      </c>
      <c r="F3482" t="inlineStr">
        <is>
          <t>观望</t>
        </is>
      </c>
      <c r="H3482" t="n">
        <v>7303</v>
      </c>
      <c r="J3482" t="n">
        <v>0</v>
      </c>
      <c r="K3482" t="inlineStr">
        <is>
          <t>逆5日线（收盘在5日线上，不追空）</t>
        </is>
      </c>
    </row>
    <row r="3483">
      <c r="A3483" t="inlineStr">
        <is>
          <t>2024-09-20</t>
        </is>
      </c>
      <c r="B3483" t="inlineStr">
        <is>
          <t>塑料</t>
        </is>
      </c>
      <c r="C3483" t="inlineStr">
        <is>
          <t>空</t>
        </is>
      </c>
      <c r="D3483" t="n">
        <v>2</v>
      </c>
      <c r="E3483" t="n">
        <v>5</v>
      </c>
      <c r="F3483" t="inlineStr">
        <is>
          <t>观望</t>
        </is>
      </c>
      <c r="G3483" t="n">
        <v>7</v>
      </c>
      <c r="H3483" t="n">
        <v>7941</v>
      </c>
      <c r="I3483" t="n">
        <v>8203.5</v>
      </c>
      <c r="J3483" t="n">
        <v>1</v>
      </c>
      <c r="K3483" t="inlineStr">
        <is>
          <t>逆5日线（收盘在5日线上，不追空）</t>
        </is>
      </c>
    </row>
    <row r="3484">
      <c r="A3484" t="inlineStr">
        <is>
          <t>2024-09-20</t>
        </is>
      </c>
      <c r="B3484" t="inlineStr">
        <is>
          <t>螺纹钢</t>
        </is>
      </c>
      <c r="C3484" t="inlineStr">
        <is>
          <t>空</t>
        </is>
      </c>
      <c r="D3484" t="n">
        <v>2</v>
      </c>
      <c r="E3484" t="n">
        <v>4</v>
      </c>
      <c r="F3484" t="inlineStr">
        <is>
          <t>影子仓</t>
        </is>
      </c>
      <c r="G3484" t="n">
        <v>3</v>
      </c>
      <c r="H3484" t="n">
        <v>3165</v>
      </c>
      <c r="I3484" t="n">
        <v>3415.93</v>
      </c>
      <c r="J3484" t="n">
        <v>1</v>
      </c>
      <c r="K3484" t="inlineStr">
        <is>
          <t>凯利≤0，开1%影子仓（只统计，不计入组合）</t>
        </is>
      </c>
    </row>
    <row r="3485">
      <c r="A3485" t="inlineStr">
        <is>
          <t>2024-09-23</t>
        </is>
      </c>
      <c r="B3485" t="inlineStr">
        <is>
          <t>沪金</t>
        </is>
      </c>
      <c r="C3485" t="inlineStr">
        <is>
          <t>多</t>
        </is>
      </c>
      <c r="D3485" t="n">
        <v>3</v>
      </c>
      <c r="E3485" t="n">
        <v>7</v>
      </c>
      <c r="F3485" t="inlineStr">
        <is>
          <t>续持</t>
        </is>
      </c>
      <c r="G3485" t="n">
        <v>1</v>
      </c>
      <c r="H3485" t="n">
        <v>595.14</v>
      </c>
      <c r="I3485" t="n">
        <v>579.95</v>
      </c>
      <c r="J3485" t="n">
        <v>3</v>
      </c>
      <c r="K3485" t="inlineStr">
        <is>
          <t>续持原仓（2024-09-20开）</t>
        </is>
      </c>
    </row>
    <row r="3486">
      <c r="A3486" t="inlineStr">
        <is>
          <t>2024-09-23</t>
        </is>
      </c>
      <c r="B3486" t="inlineStr">
        <is>
          <t>热卷</t>
        </is>
      </c>
      <c r="C3486" t="inlineStr">
        <is>
          <t>空</t>
        </is>
      </c>
      <c r="D3486" t="n">
        <v>3</v>
      </c>
      <c r="E3486" t="n">
        <v>7</v>
      </c>
      <c r="F3486" t="inlineStr">
        <is>
          <t>开仓</t>
        </is>
      </c>
      <c r="G3486" t="n">
        <v>11</v>
      </c>
      <c r="H3486" t="n">
        <v>3167</v>
      </c>
      <c r="I3486" t="n">
        <v>3422.43</v>
      </c>
      <c r="J3486" t="n">
        <v>3</v>
      </c>
      <c r="K3486" t="inlineStr">
        <is>
          <t>¼凯利超上限，取3%</t>
        </is>
      </c>
    </row>
    <row r="3487">
      <c r="A3487" t="inlineStr">
        <is>
          <t>2024-09-23</t>
        </is>
      </c>
      <c r="B3487" t="inlineStr">
        <is>
          <t>聚丙烯</t>
        </is>
      </c>
      <c r="C3487" t="inlineStr">
        <is>
          <t>空</t>
        </is>
      </c>
      <c r="D3487" t="n">
        <v>3</v>
      </c>
      <c r="E3487" t="n">
        <v>7</v>
      </c>
      <c r="F3487" t="inlineStr">
        <is>
          <t>开仓</t>
        </is>
      </c>
      <c r="G3487" t="n">
        <v>24</v>
      </c>
      <c r="H3487" t="n">
        <v>7233</v>
      </c>
      <c r="I3487" t="n">
        <v>7479.64</v>
      </c>
      <c r="J3487" t="n">
        <v>3</v>
      </c>
      <c r="K3487" t="inlineStr">
        <is>
          <t>¼凯利超上限，取3%</t>
        </is>
      </c>
    </row>
    <row r="3488">
      <c r="A3488" t="inlineStr">
        <is>
          <t>2024-09-23</t>
        </is>
      </c>
      <c r="B3488" t="inlineStr">
        <is>
          <t>白糖</t>
        </is>
      </c>
      <c r="C3488" t="inlineStr">
        <is>
          <t>多</t>
        </is>
      </c>
      <c r="D3488" t="n">
        <v>2</v>
      </c>
      <c r="E3488" t="n">
        <v>5</v>
      </c>
      <c r="F3488" t="inlineStr">
        <is>
          <t>影子仓</t>
        </is>
      </c>
      <c r="G3488" t="n">
        <v>4</v>
      </c>
      <c r="H3488" t="n">
        <v>5849</v>
      </c>
      <c r="I3488" t="n">
        <v>5648.21</v>
      </c>
      <c r="J3488" t="n">
        <v>1</v>
      </c>
      <c r="K3488" t="inlineStr">
        <is>
          <t>凯利≤0，开1%影子仓（只统计，不计入组合）</t>
        </is>
      </c>
    </row>
    <row r="3489">
      <c r="A3489" t="inlineStr">
        <is>
          <t>2024-09-23</t>
        </is>
      </c>
      <c r="B3489" t="inlineStr">
        <is>
          <t>塑料</t>
        </is>
      </c>
      <c r="C3489" t="inlineStr">
        <is>
          <t>空</t>
        </is>
      </c>
      <c r="D3489" t="n">
        <v>2</v>
      </c>
      <c r="E3489" t="n">
        <v>5</v>
      </c>
      <c r="F3489" t="inlineStr">
        <is>
          <t>影子仓</t>
        </is>
      </c>
      <c r="G3489" t="n">
        <v>7</v>
      </c>
      <c r="H3489" t="n">
        <v>7844</v>
      </c>
      <c r="I3489" t="n">
        <v>8120.86</v>
      </c>
      <c r="J3489" t="n">
        <v>1</v>
      </c>
      <c r="K3489" t="inlineStr">
        <is>
          <t>凯利≤0，开1%影子仓（只统计，不计入组合）</t>
        </is>
      </c>
    </row>
    <row r="3490">
      <c r="A3490" t="inlineStr">
        <is>
          <t>2024-09-23</t>
        </is>
      </c>
      <c r="B3490" t="inlineStr">
        <is>
          <t>碳酸锂</t>
        </is>
      </c>
      <c r="C3490" t="inlineStr">
        <is>
          <t>空</t>
        </is>
      </c>
      <c r="D3490" t="n">
        <v>2</v>
      </c>
      <c r="E3490" t="n">
        <v>5</v>
      </c>
      <c r="F3490" t="inlineStr">
        <is>
          <t>影子仓</t>
        </is>
      </c>
      <c r="G3490" t="n">
        <v>1</v>
      </c>
      <c r="H3490" t="n">
        <v>74850</v>
      </c>
      <c r="I3490" t="n">
        <v>84471.42999999999</v>
      </c>
      <c r="J3490" t="n">
        <v>1</v>
      </c>
      <c r="K3490" t="inlineStr">
        <is>
          <t>凯利≤0，开1%影子仓（只统计，不计入组合）</t>
        </is>
      </c>
    </row>
    <row r="3491">
      <c r="A3491" t="inlineStr">
        <is>
          <t>2024-09-24</t>
        </is>
      </c>
      <c r="B3491" t="inlineStr">
        <is>
          <t>沪金</t>
        </is>
      </c>
      <c r="C3491" t="inlineStr">
        <is>
          <t>多</t>
        </is>
      </c>
      <c r="D3491" t="n">
        <v>3</v>
      </c>
      <c r="E3491" t="n">
        <v>6</v>
      </c>
      <c r="F3491" t="inlineStr">
        <is>
          <t>续持</t>
        </is>
      </c>
      <c r="G3491" t="n">
        <v>1</v>
      </c>
      <c r="H3491" t="n">
        <v>594.24</v>
      </c>
      <c r="I3491" t="n">
        <v>581.25</v>
      </c>
      <c r="J3491" t="n">
        <v>3</v>
      </c>
      <c r="K3491" t="inlineStr">
        <is>
          <t>续持原仓（2024-09-20开）</t>
        </is>
      </c>
    </row>
    <row r="3492">
      <c r="A3492" t="inlineStr">
        <is>
          <t>2024-09-24</t>
        </is>
      </c>
      <c r="B3492" t="inlineStr">
        <is>
          <t>菜粕</t>
        </is>
      </c>
      <c r="C3492" t="inlineStr">
        <is>
          <t>多</t>
        </is>
      </c>
      <c r="D3492" t="n">
        <v>3</v>
      </c>
      <c r="E3492" t="n">
        <v>6</v>
      </c>
      <c r="F3492" t="inlineStr">
        <is>
          <t>开仓</t>
        </is>
      </c>
      <c r="G3492" t="n">
        <v>11</v>
      </c>
      <c r="H3492" t="n">
        <v>2555</v>
      </c>
      <c r="I3492" t="n">
        <v>2289.5</v>
      </c>
      <c r="J3492" t="n">
        <v>3</v>
      </c>
      <c r="K3492" t="inlineStr">
        <is>
          <t>¼凯利超上限，取3%</t>
        </is>
      </c>
    </row>
    <row r="3493">
      <c r="A3493" t="inlineStr">
        <is>
          <t>2024-09-25</t>
        </is>
      </c>
      <c r="B3493" t="inlineStr">
        <is>
          <t>白糖</t>
        </is>
      </c>
      <c r="C3493" t="inlineStr">
        <is>
          <t>多</t>
        </is>
      </c>
      <c r="D3493" t="n">
        <v>3</v>
      </c>
      <c r="E3493" t="n">
        <v>7</v>
      </c>
      <c r="F3493" t="inlineStr">
        <is>
          <t>开仓</t>
        </is>
      </c>
      <c r="G3493" t="n">
        <v>14</v>
      </c>
      <c r="H3493" t="n">
        <v>5917</v>
      </c>
      <c r="I3493" t="n">
        <v>5711.29</v>
      </c>
      <c r="J3493" t="n">
        <v>3</v>
      </c>
      <c r="K3493" t="inlineStr">
        <is>
          <t>¼凯利超上限，取3%</t>
        </is>
      </c>
    </row>
    <row r="3494">
      <c r="A3494" t="inlineStr">
        <is>
          <t>2024-09-25</t>
        </is>
      </c>
      <c r="B3494" t="inlineStr">
        <is>
          <t>碳酸锂</t>
        </is>
      </c>
      <c r="C3494" t="inlineStr">
        <is>
          <t>空</t>
        </is>
      </c>
      <c r="D3494" t="n">
        <v>2</v>
      </c>
      <c r="E3494" t="n">
        <v>4</v>
      </c>
      <c r="F3494" t="inlineStr">
        <is>
          <t>观望</t>
        </is>
      </c>
      <c r="G3494" t="n">
        <v>1</v>
      </c>
      <c r="H3494" t="n">
        <v>76250</v>
      </c>
      <c r="I3494" t="n">
        <v>86171.42999999999</v>
      </c>
      <c r="J3494" t="n">
        <v>1</v>
      </c>
      <c r="K3494" t="inlineStr">
        <is>
          <t>逆5日线（收盘在5日线上，不追空）</t>
        </is>
      </c>
    </row>
    <row r="3495">
      <c r="A3495" t="inlineStr">
        <is>
          <t>2024-09-25</t>
        </is>
      </c>
      <c r="B3495" t="inlineStr">
        <is>
          <t>甲醇</t>
        </is>
      </c>
      <c r="C3495" t="inlineStr">
        <is>
          <t>多</t>
        </is>
      </c>
      <c r="D3495" t="n">
        <v>2</v>
      </c>
      <c r="E3495" t="n">
        <v>4</v>
      </c>
      <c r="F3495" t="inlineStr">
        <is>
          <t>影子仓</t>
        </is>
      </c>
      <c r="G3495" t="n">
        <v>6</v>
      </c>
      <c r="H3495" t="n">
        <v>2406</v>
      </c>
      <c r="I3495" t="n">
        <v>2254.5</v>
      </c>
      <c r="J3495" t="n">
        <v>1</v>
      </c>
      <c r="K3495" t="inlineStr">
        <is>
          <t>凯利≤0，开1%影子仓（只统计，不计入组合）</t>
        </is>
      </c>
    </row>
    <row r="3496">
      <c r="A3496" t="inlineStr">
        <is>
          <t>2024-09-25</t>
        </is>
      </c>
      <c r="B3496" t="inlineStr">
        <is>
          <t>沪铝</t>
        </is>
      </c>
      <c r="C3496" t="inlineStr">
        <is>
          <t>多</t>
        </is>
      </c>
      <c r="D3496" t="n">
        <v>2</v>
      </c>
      <c r="E3496" t="n">
        <v>4</v>
      </c>
      <c r="F3496" t="inlineStr">
        <is>
          <t>影子仓</t>
        </is>
      </c>
      <c r="G3496" t="n">
        <v>2</v>
      </c>
      <c r="H3496" t="n">
        <v>20065</v>
      </c>
      <c r="I3496" t="n">
        <v>19279.64</v>
      </c>
      <c r="J3496" t="n">
        <v>1</v>
      </c>
      <c r="K3496" t="inlineStr">
        <is>
          <t>凯利≤0，开1%影子仓（只统计，不计入组合）</t>
        </is>
      </c>
    </row>
    <row r="3497">
      <c r="A3497" t="inlineStr">
        <is>
          <t>2024-09-26</t>
        </is>
      </c>
      <c r="B3497" t="inlineStr">
        <is>
          <t>豆油</t>
        </is>
      </c>
      <c r="C3497" t="inlineStr">
        <is>
          <t>多</t>
        </is>
      </c>
      <c r="D3497" t="n">
        <v>3</v>
      </c>
      <c r="E3497" t="n">
        <v>6</v>
      </c>
      <c r="F3497" t="inlineStr">
        <is>
          <t>开仓</t>
        </is>
      </c>
      <c r="G3497" t="n">
        <v>7</v>
      </c>
      <c r="H3497" t="n">
        <v>8148</v>
      </c>
      <c r="I3497" t="n">
        <v>7744.71</v>
      </c>
      <c r="J3497" t="n">
        <v>3</v>
      </c>
      <c r="K3497" t="inlineStr">
        <is>
          <t>¼凯利超上限，取3%</t>
        </is>
      </c>
    </row>
    <row r="3498">
      <c r="A3498" t="inlineStr">
        <is>
          <t>2024-09-26</t>
        </is>
      </c>
      <c r="B3498" t="inlineStr">
        <is>
          <t>沪金</t>
        </is>
      </c>
      <c r="C3498" t="inlineStr">
        <is>
          <t>多</t>
        </is>
      </c>
      <c r="D3498" t="n">
        <v>2</v>
      </c>
      <c r="E3498" t="n">
        <v>5</v>
      </c>
      <c r="F3498" t="inlineStr">
        <is>
          <t>不做</t>
        </is>
      </c>
      <c r="H3498" t="n">
        <v>599.9</v>
      </c>
      <c r="J3498" t="n">
        <v>1</v>
      </c>
      <c r="K3498" t="inlineStr">
        <is>
          <t>1手风险16843元超过预算10000元</t>
        </is>
      </c>
    </row>
    <row r="3499">
      <c r="A3499" t="inlineStr">
        <is>
          <t>2024-09-26</t>
        </is>
      </c>
      <c r="B3499" t="inlineStr">
        <is>
          <t>白糖</t>
        </is>
      </c>
      <c r="C3499" t="inlineStr">
        <is>
          <t>多</t>
        </is>
      </c>
      <c r="D3499" t="n">
        <v>2</v>
      </c>
      <c r="E3499" t="n">
        <v>5</v>
      </c>
      <c r="F3499" t="inlineStr">
        <is>
          <t>续持</t>
        </is>
      </c>
      <c r="G3499" t="n">
        <v>14</v>
      </c>
      <c r="H3499" t="n">
        <v>5926</v>
      </c>
      <c r="I3499" t="n">
        <v>5761.57</v>
      </c>
      <c r="J3499" t="n">
        <v>3</v>
      </c>
      <c r="K3499" t="inlineStr">
        <is>
          <t>续持原仓（2024-09-25开）</t>
        </is>
      </c>
    </row>
    <row r="3500">
      <c r="A3500" t="inlineStr">
        <is>
          <t>2024-09-26</t>
        </is>
      </c>
      <c r="B3500" t="inlineStr">
        <is>
          <t>沪铜</t>
        </is>
      </c>
      <c r="C3500" t="inlineStr">
        <is>
          <t>多</t>
        </is>
      </c>
      <c r="D3500" t="n">
        <v>2</v>
      </c>
      <c r="E3500" t="n">
        <v>5</v>
      </c>
      <c r="F3500" t="inlineStr">
        <is>
          <t>不做</t>
        </is>
      </c>
      <c r="H3500" t="n">
        <v>77740</v>
      </c>
      <c r="J3500" t="n">
        <v>1</v>
      </c>
      <c r="K3500" t="inlineStr">
        <is>
          <t>1手风险16286元超过预算10000元</t>
        </is>
      </c>
    </row>
    <row r="3501">
      <c r="A3501" t="inlineStr">
        <is>
          <t>2024-09-26</t>
        </is>
      </c>
      <c r="B3501" t="inlineStr">
        <is>
          <t>玉米</t>
        </is>
      </c>
      <c r="C3501" t="inlineStr">
        <is>
          <t>空</t>
        </is>
      </c>
      <c r="D3501" t="n">
        <v>2</v>
      </c>
      <c r="E3501" t="n">
        <v>5</v>
      </c>
      <c r="F3501" t="inlineStr">
        <is>
          <t>观望</t>
        </is>
      </c>
      <c r="G3501" t="n">
        <v>10</v>
      </c>
      <c r="H3501" t="n">
        <v>2150</v>
      </c>
      <c r="I3501" t="n">
        <v>2249.86</v>
      </c>
      <c r="J3501" t="n">
        <v>1</v>
      </c>
      <c r="K3501" t="inlineStr">
        <is>
          <t>逆5日线（收盘在5日线上，不追空）</t>
        </is>
      </c>
    </row>
    <row r="3502">
      <c r="A3502" t="inlineStr">
        <is>
          <t>2024-09-26</t>
        </is>
      </c>
      <c r="B3502" t="inlineStr">
        <is>
          <t>菜粕</t>
        </is>
      </c>
      <c r="C3502" t="inlineStr">
        <is>
          <t>多</t>
        </is>
      </c>
      <c r="D3502" t="n">
        <v>2</v>
      </c>
      <c r="E3502" t="n">
        <v>5</v>
      </c>
      <c r="F3502" t="inlineStr">
        <is>
          <t>影子仓</t>
        </is>
      </c>
      <c r="G3502" t="n">
        <v>3</v>
      </c>
      <c r="H3502" t="n">
        <v>2588</v>
      </c>
      <c r="I3502" t="n">
        <v>2330</v>
      </c>
      <c r="J3502" t="n">
        <v>1</v>
      </c>
      <c r="K3502" t="inlineStr">
        <is>
          <t>凯利≤0，开1%影子仓（只统计，不计入组合）</t>
        </is>
      </c>
    </row>
    <row r="3503">
      <c r="A3503" t="inlineStr">
        <is>
          <t>2024-09-27</t>
        </is>
      </c>
      <c r="B3503" t="inlineStr">
        <is>
          <t>棉花</t>
        </is>
      </c>
      <c r="C3503" t="inlineStr">
        <is>
          <t>多</t>
        </is>
      </c>
      <c r="D3503" t="n">
        <v>3</v>
      </c>
      <c r="E3503" t="n">
        <v>7</v>
      </c>
      <c r="F3503" t="inlineStr">
        <is>
          <t>开仓</t>
        </is>
      </c>
      <c r="G3503" t="n">
        <v>8</v>
      </c>
      <c r="H3503" t="n">
        <v>14555</v>
      </c>
      <c r="I3503" t="n">
        <v>13866.07</v>
      </c>
      <c r="J3503" t="n">
        <v>3</v>
      </c>
      <c r="K3503" t="inlineStr">
        <is>
          <t>¼凯利超上限，取3%</t>
        </is>
      </c>
    </row>
    <row r="3504">
      <c r="A3504" t="inlineStr">
        <is>
          <t>2024-09-27</t>
        </is>
      </c>
      <c r="B3504" t="inlineStr">
        <is>
          <t>沪铜</t>
        </is>
      </c>
      <c r="C3504" t="inlineStr">
        <is>
          <t>多</t>
        </is>
      </c>
      <c r="D3504" t="n">
        <v>3</v>
      </c>
      <c r="E3504" t="n">
        <v>7</v>
      </c>
      <c r="F3504" t="inlineStr">
        <is>
          <t>不做</t>
        </is>
      </c>
      <c r="H3504" t="n">
        <v>78780</v>
      </c>
      <c r="J3504" t="n">
        <v>1</v>
      </c>
      <c r="K3504" t="inlineStr">
        <is>
          <t>1手风险16950元超过预算10000元</t>
        </is>
      </c>
    </row>
    <row r="3505">
      <c r="A3505" t="inlineStr">
        <is>
          <t>2024-09-27</t>
        </is>
      </c>
      <c r="B3505" t="inlineStr">
        <is>
          <t>白糖</t>
        </is>
      </c>
      <c r="C3505" t="inlineStr">
        <is>
          <t>多</t>
        </is>
      </c>
      <c r="D3505" t="n">
        <v>3</v>
      </c>
      <c r="E3505" t="n">
        <v>6</v>
      </c>
      <c r="F3505" t="inlineStr">
        <is>
          <t>续持</t>
        </is>
      </c>
      <c r="G3505" t="n">
        <v>14</v>
      </c>
      <c r="H3505" t="n">
        <v>5942</v>
      </c>
      <c r="I3505" t="n">
        <v>5779.43</v>
      </c>
      <c r="J3505" t="n">
        <v>3</v>
      </c>
      <c r="K3505" t="inlineStr">
        <is>
          <t>续持原仓（2024-09-25开）</t>
        </is>
      </c>
    </row>
    <row r="3506">
      <c r="A3506" t="inlineStr">
        <is>
          <t>2024-09-27</t>
        </is>
      </c>
      <c r="B3506" t="inlineStr">
        <is>
          <t>玉米</t>
        </is>
      </c>
      <c r="C3506" t="inlineStr">
        <is>
          <t>空</t>
        </is>
      </c>
      <c r="D3506" t="n">
        <v>2</v>
      </c>
      <c r="E3506" t="n">
        <v>4</v>
      </c>
      <c r="F3506" t="inlineStr">
        <is>
          <t>观望</t>
        </is>
      </c>
      <c r="G3506" t="n">
        <v>9</v>
      </c>
      <c r="H3506" t="n">
        <v>2198</v>
      </c>
      <c r="I3506" t="n">
        <v>2302.36</v>
      </c>
      <c r="J3506" t="n">
        <v>1</v>
      </c>
      <c r="K3506" t="inlineStr">
        <is>
          <t>逆5日线（收盘在5日线上，不追空）</t>
        </is>
      </c>
    </row>
    <row r="3507">
      <c r="A3507" t="inlineStr">
        <is>
          <t>2024-09-27</t>
        </is>
      </c>
      <c r="B3507" t="inlineStr">
        <is>
          <t>甲醇</t>
        </is>
      </c>
      <c r="C3507" t="inlineStr">
        <is>
          <t>多</t>
        </is>
      </c>
      <c r="D3507" t="n">
        <v>2</v>
      </c>
      <c r="E3507" t="n">
        <v>4</v>
      </c>
      <c r="F3507" t="inlineStr">
        <is>
          <t>续持</t>
        </is>
      </c>
      <c r="G3507" t="n">
        <v>6</v>
      </c>
      <c r="H3507" t="n">
        <v>2448</v>
      </c>
      <c r="I3507" t="n">
        <v>2307.14</v>
      </c>
      <c r="J3507" t="n">
        <v>1</v>
      </c>
      <c r="K3507" t="inlineStr">
        <is>
          <t>续持原仓（2024-09-25开）</t>
        </is>
      </c>
    </row>
    <row r="3508">
      <c r="A3508" t="inlineStr">
        <is>
          <t>2024-09-27</t>
        </is>
      </c>
      <c r="B3508" t="inlineStr">
        <is>
          <t>沪铝</t>
        </is>
      </c>
      <c r="C3508" t="inlineStr">
        <is>
          <t>多</t>
        </is>
      </c>
      <c r="D3508" t="n">
        <v>2</v>
      </c>
      <c r="E3508" t="n">
        <v>4</v>
      </c>
      <c r="F3508" t="inlineStr">
        <is>
          <t>续持</t>
        </is>
      </c>
      <c r="G3508" t="n">
        <v>2</v>
      </c>
      <c r="H3508" t="n">
        <v>20455</v>
      </c>
      <c r="I3508" t="n">
        <v>19675.71</v>
      </c>
      <c r="J3508" t="n">
        <v>1</v>
      </c>
      <c r="K3508" t="inlineStr">
        <is>
          <t>续持原仓（2024-09-25开）</t>
        </is>
      </c>
    </row>
    <row r="3509">
      <c r="A3509" t="inlineStr">
        <is>
          <t>2024-09-30</t>
        </is>
      </c>
      <c r="B3509" t="inlineStr">
        <is>
          <t>沪锌</t>
        </is>
      </c>
      <c r="C3509" t="inlineStr">
        <is>
          <t>多</t>
        </is>
      </c>
      <c r="D3509" t="n">
        <v>3</v>
      </c>
      <c r="E3509" t="n">
        <v>7</v>
      </c>
      <c r="F3509" t="inlineStr">
        <is>
          <t>开仓</t>
        </is>
      </c>
      <c r="G3509" t="n">
        <v>4</v>
      </c>
      <c r="H3509" t="n">
        <v>25120</v>
      </c>
      <c r="I3509" t="n">
        <v>23684.29</v>
      </c>
      <c r="J3509" t="n">
        <v>3</v>
      </c>
      <c r="K3509" t="inlineStr">
        <is>
          <t>¼凯利超上限，取3%</t>
        </is>
      </c>
    </row>
    <row r="3510">
      <c r="A3510" t="inlineStr">
        <is>
          <t>2024-09-30</t>
        </is>
      </c>
      <c r="B3510" t="inlineStr">
        <is>
          <t>豆油</t>
        </is>
      </c>
      <c r="C3510" t="inlineStr">
        <is>
          <t>多</t>
        </is>
      </c>
      <c r="D3510" t="n">
        <v>2</v>
      </c>
      <c r="E3510" t="n">
        <v>5</v>
      </c>
      <c r="F3510" t="inlineStr">
        <is>
          <t>续持</t>
        </is>
      </c>
      <c r="G3510" t="n">
        <v>7</v>
      </c>
      <c r="H3510" t="n">
        <v>8148</v>
      </c>
      <c r="I3510" t="n">
        <v>7828.86</v>
      </c>
      <c r="J3510" t="n">
        <v>3</v>
      </c>
      <c r="K3510" t="inlineStr">
        <is>
          <t>续持原仓（2024-09-26开）</t>
        </is>
      </c>
    </row>
    <row r="3511">
      <c r="A3511" t="inlineStr">
        <is>
          <t>2024-09-30</t>
        </is>
      </c>
      <c r="B3511" t="inlineStr">
        <is>
          <t>沪铜</t>
        </is>
      </c>
      <c r="C3511" t="inlineStr">
        <is>
          <t>多</t>
        </is>
      </c>
      <c r="D3511" t="n">
        <v>2</v>
      </c>
      <c r="E3511" t="n">
        <v>5</v>
      </c>
      <c r="F3511" t="inlineStr">
        <is>
          <t>不做</t>
        </is>
      </c>
      <c r="H3511" t="n">
        <v>78830</v>
      </c>
      <c r="J3511" t="n">
        <v>1</v>
      </c>
      <c r="K3511" t="inlineStr">
        <is>
          <t>1手风险16639元超过预算10000元</t>
        </is>
      </c>
    </row>
    <row r="3512">
      <c r="A3512" t="inlineStr">
        <is>
          <t>2024-09-30</t>
        </is>
      </c>
      <c r="B3512" t="inlineStr">
        <is>
          <t>棉花</t>
        </is>
      </c>
      <c r="C3512" t="inlineStr">
        <is>
          <t>多</t>
        </is>
      </c>
      <c r="D3512" t="n">
        <v>2</v>
      </c>
      <c r="E3512" t="n">
        <v>5</v>
      </c>
      <c r="F3512" t="inlineStr">
        <is>
          <t>续持</t>
        </is>
      </c>
      <c r="G3512" t="n">
        <v>8</v>
      </c>
      <c r="H3512" t="n">
        <v>14565</v>
      </c>
      <c r="I3512" t="n">
        <v>13974.29</v>
      </c>
      <c r="J3512" t="n">
        <v>3</v>
      </c>
      <c r="K3512" t="inlineStr">
        <is>
          <t>续持原仓（2024-09-27开）</t>
        </is>
      </c>
    </row>
    <row r="3513">
      <c r="A3513" t="inlineStr">
        <is>
          <t>2024-09-30</t>
        </is>
      </c>
      <c r="B3513" t="inlineStr">
        <is>
          <t>沪银</t>
        </is>
      </c>
      <c r="C3513" t="inlineStr">
        <is>
          <t>多</t>
        </is>
      </c>
      <c r="D3513" t="n">
        <v>2</v>
      </c>
      <c r="E3513" t="n">
        <v>4</v>
      </c>
      <c r="F3513" t="inlineStr">
        <is>
          <t>影子仓</t>
        </is>
      </c>
      <c r="G3513" t="n">
        <v>1</v>
      </c>
      <c r="H3513" t="n">
        <v>7793</v>
      </c>
      <c r="I3513" t="n">
        <v>7146.5</v>
      </c>
      <c r="J3513" t="n">
        <v>1</v>
      </c>
      <c r="K3513" t="inlineStr">
        <is>
          <t>凯利≤0，开1%影子仓（只统计，不计入组合）</t>
        </is>
      </c>
    </row>
    <row r="3514">
      <c r="A3514" t="inlineStr">
        <is>
          <t>2024-10-08</t>
        </is>
      </c>
      <c r="B3514" t="inlineStr">
        <is>
          <t>豆油</t>
        </is>
      </c>
      <c r="C3514" t="inlineStr">
        <is>
          <t>多</t>
        </is>
      </c>
      <c r="D3514" t="n">
        <v>3</v>
      </c>
      <c r="E3514" t="n">
        <v>7</v>
      </c>
      <c r="F3514" t="inlineStr">
        <is>
          <t>续持</t>
        </is>
      </c>
      <c r="G3514" t="n">
        <v>7</v>
      </c>
      <c r="H3514" t="n">
        <v>8180</v>
      </c>
      <c r="I3514" t="n">
        <v>7986.71</v>
      </c>
      <c r="J3514" t="n">
        <v>3</v>
      </c>
      <c r="K3514" t="inlineStr">
        <is>
          <t>续持原仓（2024-09-26开）</t>
        </is>
      </c>
    </row>
    <row r="3515">
      <c r="A3515" t="inlineStr">
        <is>
          <t>2024-10-08</t>
        </is>
      </c>
      <c r="B3515" t="inlineStr">
        <is>
          <t>沪铝</t>
        </is>
      </c>
      <c r="C3515" t="inlineStr">
        <is>
          <t>多</t>
        </is>
      </c>
      <c r="D3515" t="n">
        <v>3</v>
      </c>
      <c r="E3515" t="n">
        <v>7</v>
      </c>
      <c r="F3515" t="inlineStr">
        <is>
          <t>开仓</t>
        </is>
      </c>
      <c r="G3515" t="n">
        <v>7</v>
      </c>
      <c r="H3515" t="n">
        <v>20625</v>
      </c>
      <c r="I3515" t="n">
        <v>19767.86</v>
      </c>
      <c r="J3515" t="n">
        <v>3</v>
      </c>
      <c r="K3515" t="inlineStr">
        <is>
          <t>¼凯利超上限，取3%</t>
        </is>
      </c>
    </row>
    <row r="3516">
      <c r="A3516" t="inlineStr">
        <is>
          <t>2024-10-08</t>
        </is>
      </c>
      <c r="B3516" t="inlineStr">
        <is>
          <t>玉米</t>
        </is>
      </c>
      <c r="C3516" t="inlineStr">
        <is>
          <t>空</t>
        </is>
      </c>
      <c r="D3516" t="n">
        <v>3</v>
      </c>
      <c r="E3516" t="n">
        <v>7</v>
      </c>
      <c r="F3516" t="inlineStr">
        <is>
          <t>观望</t>
        </is>
      </c>
      <c r="G3516" t="n">
        <v>27</v>
      </c>
      <c r="H3516" t="n">
        <v>2208</v>
      </c>
      <c r="I3516" t="n">
        <v>2317.07</v>
      </c>
      <c r="J3516" t="n">
        <v>3</v>
      </c>
      <c r="K3516" t="inlineStr">
        <is>
          <t>逆5日线（收盘在5日线上，不追空）</t>
        </is>
      </c>
    </row>
    <row r="3517">
      <c r="A3517" t="inlineStr">
        <is>
          <t>2024-10-08</t>
        </is>
      </c>
      <c r="B3517" t="inlineStr">
        <is>
          <t>沪金</t>
        </is>
      </c>
      <c r="C3517" t="inlineStr">
        <is>
          <t>多</t>
        </is>
      </c>
      <c r="D3517" t="n">
        <v>3</v>
      </c>
      <c r="E3517" t="n">
        <v>6</v>
      </c>
      <c r="F3517" t="inlineStr">
        <is>
          <t>观望</t>
        </is>
      </c>
      <c r="G3517" t="n">
        <v>1</v>
      </c>
      <c r="H3517" t="n">
        <v>596.22</v>
      </c>
      <c r="I3517" t="n">
        <v>579.25</v>
      </c>
      <c r="J3517" t="n">
        <v>3</v>
      </c>
      <c r="K3517" t="inlineStr">
        <is>
          <t>逆5日线（收盘在5日线下，不追多）</t>
        </is>
      </c>
    </row>
    <row r="3518">
      <c r="A3518" t="inlineStr">
        <is>
          <t>2024-10-08</t>
        </is>
      </c>
      <c r="B3518" t="inlineStr">
        <is>
          <t>白糖</t>
        </is>
      </c>
      <c r="C3518" t="inlineStr">
        <is>
          <t>多</t>
        </is>
      </c>
      <c r="D3518" t="n">
        <v>3</v>
      </c>
      <c r="E3518" t="n">
        <v>6</v>
      </c>
      <c r="F3518" t="inlineStr">
        <is>
          <t>开仓</t>
        </is>
      </c>
      <c r="G3518" t="n">
        <v>15</v>
      </c>
      <c r="H3518" t="n">
        <v>5929</v>
      </c>
      <c r="I3518" t="n">
        <v>5731</v>
      </c>
      <c r="J3518" t="n">
        <v>3</v>
      </c>
      <c r="K3518" t="inlineStr">
        <is>
          <t>¼凯利超上限，取3%</t>
        </is>
      </c>
    </row>
    <row r="3519">
      <c r="A3519" t="inlineStr">
        <is>
          <t>2024-10-08</t>
        </is>
      </c>
      <c r="B3519" t="inlineStr">
        <is>
          <t>沪铜</t>
        </is>
      </c>
      <c r="C3519" t="inlineStr">
        <is>
          <t>多</t>
        </is>
      </c>
      <c r="D3519" t="n">
        <v>2</v>
      </c>
      <c r="E3519" t="n">
        <v>4</v>
      </c>
      <c r="F3519" t="inlineStr">
        <is>
          <t>观望</t>
        </is>
      </c>
      <c r="H3519" t="n">
        <v>77310</v>
      </c>
      <c r="J3519" t="n">
        <v>1</v>
      </c>
      <c r="K3519" t="inlineStr">
        <is>
          <t>逆5日线（收盘在5日线下，不追多）</t>
        </is>
      </c>
    </row>
    <row r="3520">
      <c r="A3520" t="inlineStr">
        <is>
          <t>2024-10-09</t>
        </is>
      </c>
      <c r="B3520" t="inlineStr">
        <is>
          <t>白糖</t>
        </is>
      </c>
      <c r="C3520" t="inlineStr">
        <is>
          <t>多</t>
        </is>
      </c>
      <c r="D3520" t="n">
        <v>3</v>
      </c>
      <c r="E3520" t="n">
        <v>7</v>
      </c>
      <c r="F3520" t="inlineStr">
        <is>
          <t>续持</t>
        </is>
      </c>
      <c r="G3520" t="n">
        <v>15</v>
      </c>
      <c r="H3520" t="n">
        <v>6020</v>
      </c>
      <c r="I3520" t="n">
        <v>5820.79</v>
      </c>
      <c r="J3520" t="n">
        <v>3</v>
      </c>
      <c r="K3520" t="inlineStr">
        <is>
          <t>续持原仓（2024-10-08开）</t>
        </is>
      </c>
    </row>
    <row r="3521">
      <c r="A3521" t="inlineStr">
        <is>
          <t>2024-10-09</t>
        </is>
      </c>
      <c r="B3521" t="inlineStr">
        <is>
          <t>沪铝</t>
        </is>
      </c>
      <c r="C3521" t="inlineStr">
        <is>
          <t>多</t>
        </is>
      </c>
      <c r="D3521" t="n">
        <v>3</v>
      </c>
      <c r="E3521" t="n">
        <v>6</v>
      </c>
      <c r="F3521" t="inlineStr">
        <is>
          <t>续持</t>
        </is>
      </c>
      <c r="G3521" t="n">
        <v>7</v>
      </c>
      <c r="H3521" t="n">
        <v>20500</v>
      </c>
      <c r="I3521" t="n">
        <v>19832.86</v>
      </c>
      <c r="J3521" t="n">
        <v>3</v>
      </c>
      <c r="K3521" t="inlineStr">
        <is>
          <t>续持原仓（2024-10-08开）</t>
        </is>
      </c>
    </row>
    <row r="3522">
      <c r="A3522" t="inlineStr">
        <is>
          <t>2024-10-09</t>
        </is>
      </c>
      <c r="B3522" t="inlineStr">
        <is>
          <t>沪镍</t>
        </is>
      </c>
      <c r="C3522" t="inlineStr">
        <is>
          <t>多</t>
        </is>
      </c>
      <c r="D3522" t="n">
        <v>3</v>
      </c>
      <c r="E3522" t="n">
        <v>6</v>
      </c>
      <c r="F3522" t="inlineStr">
        <is>
          <t>开仓</t>
        </is>
      </c>
      <c r="G3522" t="n">
        <v>3</v>
      </c>
      <c r="H3522" t="n">
        <v>135080</v>
      </c>
      <c r="I3522" t="n">
        <v>126896.43</v>
      </c>
      <c r="J3522" t="n">
        <v>3</v>
      </c>
      <c r="K3522" t="inlineStr">
        <is>
          <t>¼凯利超上限，取3%</t>
        </is>
      </c>
    </row>
    <row r="3523">
      <c r="A3523" t="inlineStr">
        <is>
          <t>2024-10-09</t>
        </is>
      </c>
      <c r="B3523" t="inlineStr">
        <is>
          <t>沪银</t>
        </is>
      </c>
      <c r="C3523" t="inlineStr">
        <is>
          <t>多</t>
        </is>
      </c>
      <c r="D3523" t="n">
        <v>2</v>
      </c>
      <c r="E3523" t="n">
        <v>5</v>
      </c>
      <c r="F3523" t="inlineStr">
        <is>
          <t>观望</t>
        </is>
      </c>
      <c r="G3523" t="n">
        <v>1</v>
      </c>
      <c r="H3523" t="n">
        <v>7496</v>
      </c>
      <c r="I3523" t="n">
        <v>6844.14</v>
      </c>
      <c r="J3523" t="n">
        <v>1</v>
      </c>
      <c r="K3523" t="inlineStr">
        <is>
          <t>逆5日线（收盘在5日线下，不追多）</t>
        </is>
      </c>
    </row>
    <row r="3524">
      <c r="A3524" t="inlineStr">
        <is>
          <t>2024-10-09</t>
        </is>
      </c>
      <c r="B3524" t="inlineStr">
        <is>
          <t>棉花</t>
        </is>
      </c>
      <c r="C3524" t="inlineStr">
        <is>
          <t>多</t>
        </is>
      </c>
      <c r="D3524" t="n">
        <v>2</v>
      </c>
      <c r="E3524" t="n">
        <v>5</v>
      </c>
      <c r="F3524" t="inlineStr">
        <is>
          <t>观望</t>
        </is>
      </c>
      <c r="G3524" t="n">
        <v>2</v>
      </c>
      <c r="H3524" t="n">
        <v>14225</v>
      </c>
      <c r="I3524" t="n">
        <v>13447.14</v>
      </c>
      <c r="J3524" t="n">
        <v>1</v>
      </c>
      <c r="K3524" t="inlineStr">
        <is>
          <t>逆5日线（收盘在5日线下，不追多）</t>
        </is>
      </c>
    </row>
    <row r="3525">
      <c r="A3525" t="inlineStr">
        <is>
          <t>2024-10-09</t>
        </is>
      </c>
      <c r="B3525" t="inlineStr">
        <is>
          <t>玉米</t>
        </is>
      </c>
      <c r="C3525" t="inlineStr">
        <is>
          <t>空</t>
        </is>
      </c>
      <c r="D3525" t="n">
        <v>2</v>
      </c>
      <c r="E3525" t="n">
        <v>5</v>
      </c>
      <c r="F3525" t="inlineStr">
        <is>
          <t>观望</t>
        </is>
      </c>
      <c r="G3525" t="n">
        <v>9</v>
      </c>
      <c r="H3525" t="n">
        <v>2206</v>
      </c>
      <c r="I3525" t="n">
        <v>2314.43</v>
      </c>
      <c r="J3525" t="n">
        <v>1</v>
      </c>
      <c r="K3525" t="inlineStr">
        <is>
          <t>逆5日线（收盘在5日线上，不追空）</t>
        </is>
      </c>
    </row>
    <row r="3526">
      <c r="A3526" t="inlineStr">
        <is>
          <t>2024-10-10</t>
        </is>
      </c>
      <c r="B3526" t="inlineStr">
        <is>
          <t>沪银</t>
        </is>
      </c>
      <c r="C3526" t="inlineStr">
        <is>
          <t>多</t>
        </is>
      </c>
      <c r="D3526" t="n">
        <v>2</v>
      </c>
      <c r="E3526" t="n">
        <v>5</v>
      </c>
      <c r="F3526" t="inlineStr">
        <is>
          <t>观望</t>
        </is>
      </c>
      <c r="G3526" t="n">
        <v>1</v>
      </c>
      <c r="H3526" t="n">
        <v>7527</v>
      </c>
      <c r="I3526" t="n">
        <v>6892.5</v>
      </c>
      <c r="J3526" t="n">
        <v>1</v>
      </c>
      <c r="K3526" t="inlineStr">
        <is>
          <t>逆5日线（收盘在5日线下，不追多）</t>
        </is>
      </c>
    </row>
    <row r="3527">
      <c r="A3527" t="inlineStr">
        <is>
          <t>2024-10-10</t>
        </is>
      </c>
      <c r="B3527" t="inlineStr">
        <is>
          <t>沪铜</t>
        </is>
      </c>
      <c r="C3527" t="inlineStr">
        <is>
          <t>多</t>
        </is>
      </c>
      <c r="D3527" t="n">
        <v>2</v>
      </c>
      <c r="E3527" t="n">
        <v>5</v>
      </c>
      <c r="F3527" t="inlineStr">
        <is>
          <t>观望</t>
        </is>
      </c>
      <c r="H3527" t="n">
        <v>76870</v>
      </c>
      <c r="J3527" t="n">
        <v>1</v>
      </c>
      <c r="K3527" t="inlineStr">
        <is>
          <t>逆5日线（收盘在5日线下，不追多）</t>
        </is>
      </c>
    </row>
    <row r="3528">
      <c r="A3528" t="inlineStr">
        <is>
          <t>2024-10-10</t>
        </is>
      </c>
      <c r="B3528" t="inlineStr">
        <is>
          <t>沪镍</t>
        </is>
      </c>
      <c r="C3528" t="inlineStr">
        <is>
          <t>多</t>
        </is>
      </c>
      <c r="D3528" t="n">
        <v>2</v>
      </c>
      <c r="E3528" t="n">
        <v>5</v>
      </c>
      <c r="F3528" t="inlineStr">
        <is>
          <t>观望</t>
        </is>
      </c>
      <c r="G3528" t="n">
        <v>1</v>
      </c>
      <c r="H3528" t="n">
        <v>132330</v>
      </c>
      <c r="I3528" t="n">
        <v>124189.29</v>
      </c>
      <c r="J3528" t="n">
        <v>1</v>
      </c>
      <c r="K3528" t="inlineStr">
        <is>
          <t>逆5日线（收盘在5日线下，不追多）</t>
        </is>
      </c>
    </row>
    <row r="3529">
      <c r="A3529" t="inlineStr">
        <is>
          <t>2024-10-11</t>
        </is>
      </c>
      <c r="B3529" t="inlineStr">
        <is>
          <t>豆油</t>
        </is>
      </c>
      <c r="C3529" t="inlineStr">
        <is>
          <t>多</t>
        </is>
      </c>
      <c r="D3529" t="n">
        <v>3</v>
      </c>
      <c r="E3529" t="n">
        <v>7</v>
      </c>
      <c r="F3529" t="inlineStr">
        <is>
          <t>开仓</t>
        </is>
      </c>
      <c r="G3529" t="n">
        <v>6</v>
      </c>
      <c r="H3529" t="n">
        <v>8266</v>
      </c>
      <c r="I3529" t="n">
        <v>7791.14</v>
      </c>
      <c r="J3529" t="n">
        <v>3</v>
      </c>
      <c r="K3529" t="inlineStr">
        <is>
          <t>¼凯利超上限，取3%</t>
        </is>
      </c>
    </row>
    <row r="3530">
      <c r="A3530" t="inlineStr">
        <is>
          <t>2024-10-11</t>
        </is>
      </c>
      <c r="B3530" t="inlineStr">
        <is>
          <t>沪锌</t>
        </is>
      </c>
      <c r="C3530" t="inlineStr">
        <is>
          <t>多</t>
        </is>
      </c>
      <c r="D3530" t="n">
        <v>3</v>
      </c>
      <c r="E3530" t="n">
        <v>7</v>
      </c>
      <c r="F3530" t="inlineStr">
        <is>
          <t>开仓</t>
        </is>
      </c>
      <c r="G3530" t="n">
        <v>3</v>
      </c>
      <c r="H3530" t="n">
        <v>25350</v>
      </c>
      <c r="I3530" t="n">
        <v>23821.07</v>
      </c>
      <c r="J3530" t="n">
        <v>3</v>
      </c>
      <c r="K3530" t="inlineStr">
        <is>
          <t>¼凯利超上限，取3%</t>
        </is>
      </c>
    </row>
    <row r="3531">
      <c r="A3531" t="inlineStr">
        <is>
          <t>2024-10-11</t>
        </is>
      </c>
      <c r="B3531" t="inlineStr">
        <is>
          <t>沪金</t>
        </is>
      </c>
      <c r="C3531" t="inlineStr">
        <is>
          <t>多</t>
        </is>
      </c>
      <c r="D3531" t="n">
        <v>3</v>
      </c>
      <c r="E3531" t="n">
        <v>7</v>
      </c>
      <c r="F3531" t="inlineStr">
        <is>
          <t>不做</t>
        </is>
      </c>
      <c r="H3531" t="n">
        <v>597.38</v>
      </c>
      <c r="J3531" t="n">
        <v>1</v>
      </c>
      <c r="K3531" t="inlineStr">
        <is>
          <t>1手风险19033元超过预算10000元</t>
        </is>
      </c>
    </row>
    <row r="3532">
      <c r="A3532" t="inlineStr">
        <is>
          <t>2024-10-11</t>
        </is>
      </c>
      <c r="B3532" t="inlineStr">
        <is>
          <t>塑料</t>
        </is>
      </c>
      <c r="C3532" t="inlineStr">
        <is>
          <t>多</t>
        </is>
      </c>
      <c r="D3532" t="n">
        <v>3</v>
      </c>
      <c r="E3532" t="n">
        <v>7</v>
      </c>
      <c r="F3532" t="inlineStr">
        <is>
          <t>开仓</t>
        </is>
      </c>
      <c r="G3532" t="n">
        <v>6</v>
      </c>
      <c r="H3532" t="n">
        <v>8303</v>
      </c>
      <c r="I3532" t="n">
        <v>7973.43</v>
      </c>
      <c r="J3532" t="n">
        <v>1</v>
      </c>
      <c r="K3532" t="inlineStr">
        <is>
          <t>组合风险已近10%，预算缩小</t>
        </is>
      </c>
    </row>
    <row r="3533">
      <c r="A3533" t="inlineStr">
        <is>
          <t>2024-10-11</t>
        </is>
      </c>
      <c r="B3533" t="inlineStr">
        <is>
          <t>白糖</t>
        </is>
      </c>
      <c r="C3533" t="inlineStr">
        <is>
          <t>多</t>
        </is>
      </c>
      <c r="D3533" t="n">
        <v>3</v>
      </c>
      <c r="E3533" t="n">
        <v>7</v>
      </c>
      <c r="F3533" t="inlineStr">
        <is>
          <t>观望</t>
        </is>
      </c>
      <c r="H3533" t="n">
        <v>5917</v>
      </c>
      <c r="J3533" t="n">
        <v>0</v>
      </c>
      <c r="K3533" t="inlineStr">
        <is>
          <t>逆5日线（收盘在5日线下，不追多）</t>
        </is>
      </c>
    </row>
    <row r="3534">
      <c r="A3534" t="inlineStr">
        <is>
          <t>2024-10-14</t>
        </is>
      </c>
      <c r="B3534" t="inlineStr">
        <is>
          <t>沪金</t>
        </is>
      </c>
      <c r="C3534" t="inlineStr">
        <is>
          <t>多</t>
        </is>
      </c>
      <c r="D3534" t="n">
        <v>3</v>
      </c>
      <c r="E3534" t="n">
        <v>7</v>
      </c>
      <c r="F3534" t="inlineStr">
        <is>
          <t>开仓</t>
        </is>
      </c>
      <c r="G3534" t="n">
        <v>1</v>
      </c>
      <c r="H3534" t="n">
        <v>603.3</v>
      </c>
      <c r="I3534" t="n">
        <v>584.84</v>
      </c>
      <c r="J3534" t="n">
        <v>3</v>
      </c>
      <c r="K3534" t="inlineStr">
        <is>
          <t>¼凯利超上限，取3%</t>
        </is>
      </c>
    </row>
    <row r="3535">
      <c r="A3535" t="inlineStr">
        <is>
          <t>2024-10-14</t>
        </is>
      </c>
      <c r="B3535" t="inlineStr">
        <is>
          <t>沪银</t>
        </is>
      </c>
      <c r="C3535" t="inlineStr">
        <is>
          <t>多</t>
        </is>
      </c>
      <c r="D3535" t="n">
        <v>3</v>
      </c>
      <c r="E3535" t="n">
        <v>6</v>
      </c>
      <c r="F3535" t="inlineStr">
        <is>
          <t>开仓</t>
        </is>
      </c>
      <c r="G3535" t="n">
        <v>3</v>
      </c>
      <c r="H3535" t="n">
        <v>7784</v>
      </c>
      <c r="I3535" t="n">
        <v>7156.57</v>
      </c>
      <c r="J3535" t="n">
        <v>3</v>
      </c>
      <c r="K3535" t="inlineStr">
        <is>
          <t>¼凯利超上限，取3%</t>
        </is>
      </c>
    </row>
    <row r="3536">
      <c r="A3536" t="inlineStr">
        <is>
          <t>2024-10-14</t>
        </is>
      </c>
      <c r="B3536" t="inlineStr">
        <is>
          <t>白糖</t>
        </is>
      </c>
      <c r="C3536" t="inlineStr">
        <is>
          <t>多</t>
        </is>
      </c>
      <c r="D3536" t="n">
        <v>3</v>
      </c>
      <c r="E3536" t="n">
        <v>6</v>
      </c>
      <c r="F3536" t="inlineStr">
        <is>
          <t>开仓</t>
        </is>
      </c>
      <c r="G3536" t="n">
        <v>4</v>
      </c>
      <c r="H3536" t="n">
        <v>5939</v>
      </c>
      <c r="I3536" t="n">
        <v>5703.71</v>
      </c>
      <c r="J3536" t="n">
        <v>1</v>
      </c>
      <c r="K3536" t="inlineStr">
        <is>
          <t>组合风险已近10%，预算缩小</t>
        </is>
      </c>
    </row>
    <row r="3537">
      <c r="A3537" t="inlineStr">
        <is>
          <t>2024-10-14</t>
        </is>
      </c>
      <c r="B3537" t="inlineStr">
        <is>
          <t>沪锌</t>
        </is>
      </c>
      <c r="C3537" t="inlineStr">
        <is>
          <t>多</t>
        </is>
      </c>
      <c r="D3537" t="n">
        <v>2</v>
      </c>
      <c r="E3537" t="n">
        <v>5</v>
      </c>
      <c r="F3537" t="inlineStr">
        <is>
          <t>续持</t>
        </is>
      </c>
      <c r="G3537" t="n">
        <v>3</v>
      </c>
      <c r="H3537" t="n">
        <v>25335</v>
      </c>
      <c r="I3537" t="n">
        <v>24198.57</v>
      </c>
      <c r="J3537" t="n">
        <v>3</v>
      </c>
      <c r="K3537" t="inlineStr">
        <is>
          <t>续持原仓（2024-10-11开）</t>
        </is>
      </c>
    </row>
    <row r="3538">
      <c r="A3538" t="inlineStr">
        <is>
          <t>2024-10-14</t>
        </is>
      </c>
      <c r="B3538" t="inlineStr">
        <is>
          <t>碳酸锂</t>
        </is>
      </c>
      <c r="C3538" t="inlineStr">
        <is>
          <t>空</t>
        </is>
      </c>
      <c r="D3538" t="n">
        <v>2</v>
      </c>
      <c r="E3538" t="n">
        <v>4</v>
      </c>
      <c r="F3538" t="inlineStr">
        <is>
          <t>不做</t>
        </is>
      </c>
      <c r="H3538" t="n">
        <v>73100</v>
      </c>
      <c r="J3538" t="n">
        <v>1</v>
      </c>
      <c r="K3538" t="inlineStr">
        <is>
          <t>1手风险10221元超过预算10000元</t>
        </is>
      </c>
    </row>
    <row r="3539">
      <c r="A3539" t="inlineStr">
        <is>
          <t>2024-10-15</t>
        </is>
      </c>
      <c r="B3539" t="inlineStr">
        <is>
          <t>沪金</t>
        </is>
      </c>
      <c r="C3539" t="inlineStr">
        <is>
          <t>多</t>
        </is>
      </c>
      <c r="D3539" t="n">
        <v>3</v>
      </c>
      <c r="E3539" t="n">
        <v>6</v>
      </c>
      <c r="F3539" t="inlineStr">
        <is>
          <t>续持</t>
        </is>
      </c>
      <c r="G3539" t="n">
        <v>1</v>
      </c>
      <c r="H3539" t="n">
        <v>603.64</v>
      </c>
      <c r="I3539" t="n">
        <v>585.17</v>
      </c>
      <c r="J3539" t="n">
        <v>3</v>
      </c>
      <c r="K3539" t="inlineStr">
        <is>
          <t>续持原仓（2024-10-14开）</t>
        </is>
      </c>
    </row>
    <row r="3540">
      <c r="A3540" t="inlineStr">
        <is>
          <t>2024-10-15</t>
        </is>
      </c>
      <c r="B3540" t="inlineStr">
        <is>
          <t>沪银</t>
        </is>
      </c>
      <c r="C3540" t="inlineStr">
        <is>
          <t>多</t>
        </is>
      </c>
      <c r="D3540" t="n">
        <v>2</v>
      </c>
      <c r="E3540" t="n">
        <v>5</v>
      </c>
      <c r="F3540" t="inlineStr">
        <is>
          <t>续持</t>
        </is>
      </c>
      <c r="G3540" t="n">
        <v>3</v>
      </c>
      <c r="H3540" t="n">
        <v>7711</v>
      </c>
      <c r="I3540" t="n">
        <v>7145.07</v>
      </c>
      <c r="J3540" t="n">
        <v>3</v>
      </c>
      <c r="K3540" t="inlineStr">
        <is>
          <t>续持原仓（2024-10-14开）</t>
        </is>
      </c>
    </row>
    <row r="3541">
      <c r="A3541" t="inlineStr">
        <is>
          <t>2024-10-15</t>
        </is>
      </c>
      <c r="B3541" t="inlineStr">
        <is>
          <t>塑料</t>
        </is>
      </c>
      <c r="C3541" t="inlineStr">
        <is>
          <t>多</t>
        </is>
      </c>
      <c r="D3541" t="n">
        <v>2</v>
      </c>
      <c r="E3541" t="n">
        <v>5</v>
      </c>
      <c r="F3541" t="inlineStr">
        <is>
          <t>观望</t>
        </is>
      </c>
      <c r="G3541" t="n">
        <v>6</v>
      </c>
      <c r="H3541" t="n">
        <v>8197</v>
      </c>
      <c r="I3541" t="n">
        <v>7870.21</v>
      </c>
      <c r="J3541" t="n">
        <v>1</v>
      </c>
      <c r="K3541" t="inlineStr">
        <is>
          <t>逆5日线（收盘在5日线下，不追多）</t>
        </is>
      </c>
    </row>
    <row r="3542">
      <c r="A3542" t="inlineStr">
        <is>
          <t>2024-10-15</t>
        </is>
      </c>
      <c r="B3542" t="inlineStr">
        <is>
          <t>甲醇</t>
        </is>
      </c>
      <c r="C3542" t="inlineStr">
        <is>
          <t>多</t>
        </is>
      </c>
      <c r="D3542" t="n">
        <v>2</v>
      </c>
      <c r="E3542" t="n">
        <v>5</v>
      </c>
      <c r="F3542" t="inlineStr">
        <is>
          <t>观望</t>
        </is>
      </c>
      <c r="G3542" t="n">
        <v>6</v>
      </c>
      <c r="H3542" t="n">
        <v>2457</v>
      </c>
      <c r="I3542" t="n">
        <v>2292.43</v>
      </c>
      <c r="J3542" t="n">
        <v>1</v>
      </c>
      <c r="K3542" t="inlineStr">
        <is>
          <t>逆5日线（收盘在5日线下，不追多）</t>
        </is>
      </c>
    </row>
    <row r="3543">
      <c r="A3543" t="inlineStr">
        <is>
          <t>2024-10-15</t>
        </is>
      </c>
      <c r="B3543" t="inlineStr">
        <is>
          <t>白糖</t>
        </is>
      </c>
      <c r="C3543" t="inlineStr">
        <is>
          <t>多</t>
        </is>
      </c>
      <c r="D3543" t="n">
        <v>2</v>
      </c>
      <c r="E3543" t="n">
        <v>5</v>
      </c>
      <c r="F3543" t="inlineStr">
        <is>
          <t>观望</t>
        </is>
      </c>
      <c r="G3543" t="n">
        <v>4</v>
      </c>
      <c r="H3543" t="n">
        <v>5913</v>
      </c>
      <c r="I3543" t="n">
        <v>5688.21</v>
      </c>
      <c r="J3543" t="n">
        <v>1</v>
      </c>
      <c r="K3543" t="inlineStr">
        <is>
          <t>逆5日线（收盘在5日线下，不追多）</t>
        </is>
      </c>
    </row>
    <row r="3544">
      <c r="A3544" t="inlineStr">
        <is>
          <t>2024-10-15</t>
        </is>
      </c>
      <c r="B3544" t="inlineStr">
        <is>
          <t>铁矿石</t>
        </is>
      </c>
      <c r="C3544" t="inlineStr">
        <is>
          <t>空</t>
        </is>
      </c>
      <c r="D3544" t="n">
        <v>2</v>
      </c>
      <c r="E3544" t="n">
        <v>4</v>
      </c>
      <c r="F3544" t="inlineStr">
        <is>
          <t>观望</t>
        </is>
      </c>
      <c r="H3544" t="n">
        <v>791.5</v>
      </c>
      <c r="J3544" t="n">
        <v>1</v>
      </c>
      <c r="K3544" t="inlineStr">
        <is>
          <t>逆5日线（收盘在5日线上，不追空）</t>
        </is>
      </c>
    </row>
    <row r="3545">
      <c r="A3545" t="inlineStr">
        <is>
          <t>2024-10-16</t>
        </is>
      </c>
      <c r="B3545" t="inlineStr">
        <is>
          <t>豆油</t>
        </is>
      </c>
      <c r="C3545" t="inlineStr">
        <is>
          <t>多</t>
        </is>
      </c>
      <c r="D3545" t="n">
        <v>3</v>
      </c>
      <c r="E3545" t="n">
        <v>7</v>
      </c>
      <c r="F3545" t="inlineStr">
        <is>
          <t>开仓</t>
        </is>
      </c>
      <c r="G3545" t="n">
        <v>6</v>
      </c>
      <c r="H3545" t="n">
        <v>8272</v>
      </c>
      <c r="I3545" t="n">
        <v>7800.57</v>
      </c>
      <c r="J3545" t="n">
        <v>3</v>
      </c>
      <c r="K3545" t="inlineStr">
        <is>
          <t>¼凯利超上限，取3%</t>
        </is>
      </c>
    </row>
    <row r="3546">
      <c r="A3546" t="inlineStr">
        <is>
          <t>2024-10-16</t>
        </is>
      </c>
      <c r="B3546" t="inlineStr">
        <is>
          <t>沪锌</t>
        </is>
      </c>
      <c r="C3546" t="inlineStr">
        <is>
          <t>多</t>
        </is>
      </c>
      <c r="D3546" t="n">
        <v>3</v>
      </c>
      <c r="E3546" t="n">
        <v>7</v>
      </c>
      <c r="F3546" t="inlineStr">
        <is>
          <t>不做</t>
        </is>
      </c>
      <c r="H3546" t="n">
        <v>25300</v>
      </c>
      <c r="J3546" t="n">
        <v>0</v>
      </c>
      <c r="K3546" t="inlineStr">
        <is>
          <t>组合风险已近10%，预算缩小</t>
        </is>
      </c>
    </row>
    <row r="3547">
      <c r="A3547" t="inlineStr">
        <is>
          <t>2024-10-16</t>
        </is>
      </c>
      <c r="B3547" t="inlineStr">
        <is>
          <t>沪金</t>
        </is>
      </c>
      <c r="C3547" t="inlineStr">
        <is>
          <t>多</t>
        </is>
      </c>
      <c r="D3547" t="n">
        <v>3</v>
      </c>
      <c r="E3547" t="n">
        <v>7</v>
      </c>
      <c r="F3547" t="inlineStr">
        <is>
          <t>续持</t>
        </is>
      </c>
      <c r="G3547" t="n">
        <v>1</v>
      </c>
      <c r="H3547" t="n">
        <v>611.98</v>
      </c>
      <c r="I3547" t="n">
        <v>593.01</v>
      </c>
      <c r="J3547" t="n">
        <v>3</v>
      </c>
      <c r="K3547" t="inlineStr">
        <is>
          <t>续持原仓（2024-10-14开）</t>
        </is>
      </c>
    </row>
    <row r="3548">
      <c r="A3548" t="inlineStr">
        <is>
          <t>2024-10-16</t>
        </is>
      </c>
      <c r="B3548" t="inlineStr">
        <is>
          <t>沪银</t>
        </is>
      </c>
      <c r="C3548" t="inlineStr">
        <is>
          <t>多</t>
        </is>
      </c>
      <c r="D3548" t="n">
        <v>3</v>
      </c>
      <c r="E3548" t="n">
        <v>7</v>
      </c>
      <c r="F3548" t="inlineStr">
        <is>
          <t>续持</t>
        </is>
      </c>
      <c r="G3548" t="n">
        <v>3</v>
      </c>
      <c r="H3548" t="n">
        <v>7889</v>
      </c>
      <c r="I3548" t="n">
        <v>7272.21</v>
      </c>
      <c r="J3548" t="n">
        <v>3</v>
      </c>
      <c r="K3548" t="inlineStr">
        <is>
          <t>续持原仓（2024-10-14开）</t>
        </is>
      </c>
    </row>
    <row r="3549">
      <c r="A3549" t="inlineStr">
        <is>
          <t>2024-10-16</t>
        </is>
      </c>
      <c r="B3549" t="inlineStr">
        <is>
          <t>沪铝</t>
        </is>
      </c>
      <c r="C3549" t="inlineStr">
        <is>
          <t>多</t>
        </is>
      </c>
      <c r="D3549" t="n">
        <v>3</v>
      </c>
      <c r="E3549" t="n">
        <v>6</v>
      </c>
      <c r="F3549" t="inlineStr">
        <is>
          <t>观望</t>
        </is>
      </c>
      <c r="H3549" t="n">
        <v>20740</v>
      </c>
      <c r="J3549" t="n">
        <v>0</v>
      </c>
      <c r="K3549" t="inlineStr">
        <is>
          <t>逆5日线（收盘在5日线下，不追多）</t>
        </is>
      </c>
    </row>
    <row r="3550">
      <c r="A3550" t="inlineStr">
        <is>
          <t>2024-10-16</t>
        </is>
      </c>
      <c r="B3550" t="inlineStr">
        <is>
          <t>锰硅</t>
        </is>
      </c>
      <c r="C3550" t="inlineStr">
        <is>
          <t>空</t>
        </is>
      </c>
      <c r="D3550" t="n">
        <v>2</v>
      </c>
      <c r="E3550" t="n">
        <v>4</v>
      </c>
      <c r="F3550" t="inlineStr">
        <is>
          <t>影子仓</t>
        </is>
      </c>
      <c r="G3550" t="n">
        <v>3</v>
      </c>
      <c r="H3550" t="n">
        <v>6284</v>
      </c>
      <c r="I3550" t="n">
        <v>6796.57</v>
      </c>
      <c r="J3550" t="n">
        <v>1</v>
      </c>
      <c r="K3550" t="inlineStr">
        <is>
          <t>凯利≤0，开1%影子仓（只统计，不计入组合）</t>
        </is>
      </c>
    </row>
    <row r="3551">
      <c r="A3551" t="inlineStr">
        <is>
          <t>2024-10-17</t>
        </is>
      </c>
      <c r="B3551" t="inlineStr">
        <is>
          <t>豆油</t>
        </is>
      </c>
      <c r="C3551" t="inlineStr">
        <is>
          <t>多</t>
        </is>
      </c>
      <c r="D3551" t="n">
        <v>3</v>
      </c>
      <c r="E3551" t="n">
        <v>6</v>
      </c>
      <c r="F3551" t="inlineStr">
        <is>
          <t>观望</t>
        </is>
      </c>
      <c r="H3551" t="n">
        <v>8206</v>
      </c>
      <c r="J3551" t="n">
        <v>0</v>
      </c>
      <c r="K3551" t="inlineStr">
        <is>
          <t>逆5日线（收盘在5日线下，不追多）</t>
        </is>
      </c>
    </row>
    <row r="3552">
      <c r="A3552" t="inlineStr">
        <is>
          <t>2024-10-17</t>
        </is>
      </c>
      <c r="B3552" t="inlineStr">
        <is>
          <t>玻璃</t>
        </is>
      </c>
      <c r="C3552" t="inlineStr">
        <is>
          <t>多</t>
        </is>
      </c>
      <c r="D3552" t="n">
        <v>2</v>
      </c>
      <c r="E3552" t="n">
        <v>5</v>
      </c>
      <c r="F3552" t="inlineStr">
        <is>
          <t>观望</t>
        </is>
      </c>
      <c r="G3552" t="n">
        <v>2</v>
      </c>
      <c r="H3552" t="n">
        <v>1184</v>
      </c>
      <c r="I3552" t="n">
        <v>942.5</v>
      </c>
      <c r="J3552" t="n">
        <v>1</v>
      </c>
      <c r="K3552" t="inlineStr">
        <is>
          <t>逆5日线（收盘在5日线下，不追多）</t>
        </is>
      </c>
    </row>
    <row r="3553">
      <c r="A3553" t="inlineStr">
        <is>
          <t>2024-10-17</t>
        </is>
      </c>
      <c r="B3553" t="inlineStr">
        <is>
          <t>白糖</t>
        </is>
      </c>
      <c r="C3553" t="inlineStr">
        <is>
          <t>多</t>
        </is>
      </c>
      <c r="D3553" t="n">
        <v>2</v>
      </c>
      <c r="E3553" t="n">
        <v>5</v>
      </c>
      <c r="F3553" t="inlineStr">
        <is>
          <t>观望</t>
        </is>
      </c>
      <c r="G3553" t="n">
        <v>4</v>
      </c>
      <c r="H3553" t="n">
        <v>5878</v>
      </c>
      <c r="I3553" t="n">
        <v>5656.21</v>
      </c>
      <c r="J3553" t="n">
        <v>1</v>
      </c>
      <c r="K3553" t="inlineStr">
        <is>
          <t>逆5日线（收盘在5日线下，不追多）</t>
        </is>
      </c>
    </row>
    <row r="3554">
      <c r="A3554" t="inlineStr">
        <is>
          <t>2024-10-17</t>
        </is>
      </c>
      <c r="B3554" t="inlineStr">
        <is>
          <t>铁矿石</t>
        </is>
      </c>
      <c r="C3554" t="inlineStr">
        <is>
          <t>空</t>
        </is>
      </c>
      <c r="D3554" t="n">
        <v>2</v>
      </c>
      <c r="E3554" t="n">
        <v>5</v>
      </c>
      <c r="F3554" t="inlineStr">
        <is>
          <t>不做</t>
        </is>
      </c>
      <c r="H3554" t="n">
        <v>746</v>
      </c>
      <c r="J3554" t="n">
        <v>1</v>
      </c>
      <c r="K3554" t="inlineStr">
        <is>
          <t>1手风险11111元超过预算10000元</t>
        </is>
      </c>
    </row>
    <row r="3555">
      <c r="A3555" t="inlineStr">
        <is>
          <t>2024-10-17</t>
        </is>
      </c>
      <c r="B3555" t="inlineStr">
        <is>
          <t>沪锌</t>
        </is>
      </c>
      <c r="C3555" t="inlineStr">
        <is>
          <t>多</t>
        </is>
      </c>
      <c r="D3555" t="n">
        <v>2</v>
      </c>
      <c r="E3555" t="n">
        <v>4</v>
      </c>
      <c r="F3555" t="inlineStr">
        <is>
          <t>观望</t>
        </is>
      </c>
      <c r="G3555" t="n">
        <v>1</v>
      </c>
      <c r="H3555" t="n">
        <v>24545</v>
      </c>
      <c r="I3555" t="n">
        <v>22800.71</v>
      </c>
      <c r="J3555" t="n">
        <v>1</v>
      </c>
      <c r="K3555" t="inlineStr">
        <is>
          <t>逆5日线（收盘在5日线下，不追多）</t>
        </is>
      </c>
    </row>
    <row r="3556">
      <c r="A3556" t="inlineStr">
        <is>
          <t>2024-10-17</t>
        </is>
      </c>
      <c r="B3556" t="inlineStr">
        <is>
          <t>热卷</t>
        </is>
      </c>
      <c r="C3556" t="inlineStr">
        <is>
          <t>空</t>
        </is>
      </c>
      <c r="D3556" t="n">
        <v>2</v>
      </c>
      <c r="E3556" t="n">
        <v>4</v>
      </c>
      <c r="F3556" t="inlineStr">
        <is>
          <t>影子仓</t>
        </is>
      </c>
      <c r="G3556" t="n">
        <v>2</v>
      </c>
      <c r="H3556" t="n">
        <v>3436</v>
      </c>
      <c r="I3556" t="n">
        <v>3790.86</v>
      </c>
      <c r="J3556" t="n">
        <v>1</v>
      </c>
      <c r="K3556" t="inlineStr">
        <is>
          <t>凯利≤0，开1%影子仓（只统计，不计入组合）</t>
        </is>
      </c>
    </row>
    <row r="3557">
      <c r="A3557" t="inlineStr">
        <is>
          <t>2024-10-17</t>
        </is>
      </c>
      <c r="B3557" t="inlineStr">
        <is>
          <t>聚丙烯</t>
        </is>
      </c>
      <c r="C3557" t="inlineStr">
        <is>
          <t>空</t>
        </is>
      </c>
      <c r="D3557" t="n">
        <v>2</v>
      </c>
      <c r="E3557" t="n">
        <v>4</v>
      </c>
      <c r="F3557" t="inlineStr">
        <is>
          <t>影子仓</t>
        </is>
      </c>
      <c r="G3557" t="n">
        <v>6</v>
      </c>
      <c r="H3557" t="n">
        <v>7460</v>
      </c>
      <c r="I3557" t="n">
        <v>7766.43</v>
      </c>
      <c r="J3557" t="n">
        <v>1</v>
      </c>
      <c r="K3557" t="inlineStr">
        <is>
          <t>凯利≤0，开1%影子仓（只统计，不计入组合）</t>
        </is>
      </c>
    </row>
    <row r="3558">
      <c r="A3558" t="inlineStr">
        <is>
          <t>2024-10-18</t>
        </is>
      </c>
      <c r="B3558" t="inlineStr">
        <is>
          <t>沪银</t>
        </is>
      </c>
      <c r="C3558" t="inlineStr">
        <is>
          <t>多</t>
        </is>
      </c>
      <c r="D3558" t="n">
        <v>3</v>
      </c>
      <c r="E3558" t="n">
        <v>7</v>
      </c>
      <c r="F3558" t="inlineStr">
        <is>
          <t>开仓</t>
        </is>
      </c>
      <c r="G3558" t="n">
        <v>3</v>
      </c>
      <c r="H3558" t="n">
        <v>7896</v>
      </c>
      <c r="I3558" t="n">
        <v>7230</v>
      </c>
      <c r="J3558" t="n">
        <v>3</v>
      </c>
      <c r="K3558" t="inlineStr">
        <is>
          <t>¼凯利超上限，取3%</t>
        </is>
      </c>
    </row>
    <row r="3559">
      <c r="A3559" t="inlineStr">
        <is>
          <t>2024-10-18</t>
        </is>
      </c>
      <c r="B3559" t="inlineStr">
        <is>
          <t>豆油</t>
        </is>
      </c>
      <c r="C3559" t="inlineStr">
        <is>
          <t>多</t>
        </is>
      </c>
      <c r="D3559" t="n">
        <v>3</v>
      </c>
      <c r="E3559" t="n">
        <v>6</v>
      </c>
      <c r="F3559" t="inlineStr">
        <is>
          <t>续持</t>
        </is>
      </c>
      <c r="G3559" t="n">
        <v>6</v>
      </c>
      <c r="H3559" t="n">
        <v>8244</v>
      </c>
      <c r="I3559" t="n">
        <v>7887.43</v>
      </c>
      <c r="J3559" t="n">
        <v>3</v>
      </c>
      <c r="K3559" t="inlineStr">
        <is>
          <t>续持原仓（2024-10-16开）</t>
        </is>
      </c>
    </row>
    <row r="3560">
      <c r="A3560" t="inlineStr">
        <is>
          <t>2024-10-18</t>
        </is>
      </c>
      <c r="B3560" t="inlineStr">
        <is>
          <t>甲醇</t>
        </is>
      </c>
      <c r="C3560" t="inlineStr">
        <is>
          <t>多</t>
        </is>
      </c>
      <c r="D3560" t="n">
        <v>2</v>
      </c>
      <c r="E3560" t="n">
        <v>4</v>
      </c>
      <c r="F3560" t="inlineStr">
        <is>
          <t>观望</t>
        </is>
      </c>
      <c r="G3560" t="n">
        <v>6</v>
      </c>
      <c r="H3560" t="n">
        <v>2434</v>
      </c>
      <c r="I3560" t="n">
        <v>2276.5</v>
      </c>
      <c r="J3560" t="n">
        <v>1</v>
      </c>
      <c r="K3560" t="inlineStr">
        <is>
          <t>逆5日线（收盘在5日线下，不追多）</t>
        </is>
      </c>
    </row>
    <row r="3561">
      <c r="A3561" t="inlineStr">
        <is>
          <t>2024-10-21</t>
        </is>
      </c>
      <c r="B3561" t="inlineStr">
        <is>
          <t>沪锌</t>
        </is>
      </c>
      <c r="C3561" t="inlineStr">
        <is>
          <t>多</t>
        </is>
      </c>
      <c r="D3561" t="n">
        <v>3</v>
      </c>
      <c r="E3561" t="n">
        <v>7</v>
      </c>
      <c r="F3561" t="inlineStr">
        <is>
          <t>开仓</t>
        </is>
      </c>
      <c r="G3561" t="n">
        <v>3</v>
      </c>
      <c r="H3561" t="n">
        <v>25230</v>
      </c>
      <c r="I3561" t="n">
        <v>23481.43</v>
      </c>
      <c r="J3561" t="n">
        <v>3</v>
      </c>
      <c r="K3561" t="inlineStr">
        <is>
          <t>¼凯利超上限，取3%</t>
        </is>
      </c>
    </row>
    <row r="3562">
      <c r="A3562" t="inlineStr">
        <is>
          <t>2024-10-21</t>
        </is>
      </c>
      <c r="B3562" t="inlineStr">
        <is>
          <t>玉米</t>
        </is>
      </c>
      <c r="C3562" t="inlineStr">
        <is>
          <t>空</t>
        </is>
      </c>
      <c r="D3562" t="n">
        <v>3</v>
      </c>
      <c r="E3562" t="n">
        <v>7</v>
      </c>
      <c r="F3562" t="inlineStr">
        <is>
          <t>开仓</t>
        </is>
      </c>
      <c r="G3562" t="n">
        <v>33</v>
      </c>
      <c r="H3562" t="n">
        <v>2170</v>
      </c>
      <c r="I3562" t="n">
        <v>2259.57</v>
      </c>
      <c r="J3562" t="n">
        <v>3</v>
      </c>
      <c r="K3562" t="inlineStr">
        <is>
          <t>¼凯利超上限，取3%</t>
        </is>
      </c>
    </row>
    <row r="3563">
      <c r="A3563" t="inlineStr">
        <is>
          <t>2024-10-21</t>
        </is>
      </c>
      <c r="B3563" t="inlineStr">
        <is>
          <t>沪铜</t>
        </is>
      </c>
      <c r="C3563" t="inlineStr">
        <is>
          <t>多</t>
        </is>
      </c>
      <c r="D3563" t="n">
        <v>3</v>
      </c>
      <c r="E3563" t="n">
        <v>6</v>
      </c>
      <c r="F3563" t="inlineStr">
        <is>
          <t>不做</t>
        </is>
      </c>
      <c r="H3563" t="n">
        <v>77730</v>
      </c>
      <c r="J3563" t="n">
        <v>1</v>
      </c>
      <c r="K3563" t="inlineStr">
        <is>
          <t>1手风险16768元超过预算10000元</t>
        </is>
      </c>
    </row>
    <row r="3564">
      <c r="A3564" t="inlineStr">
        <is>
          <t>2024-10-21</t>
        </is>
      </c>
      <c r="B3564" t="inlineStr">
        <is>
          <t>玻璃</t>
        </is>
      </c>
      <c r="C3564" t="inlineStr">
        <is>
          <t>多</t>
        </is>
      </c>
      <c r="D3564" t="n">
        <v>3</v>
      </c>
      <c r="E3564" t="n">
        <v>6</v>
      </c>
      <c r="F3564" t="inlineStr">
        <is>
          <t>观望</t>
        </is>
      </c>
      <c r="G3564" t="n">
        <v>2</v>
      </c>
      <c r="H3564" t="n">
        <v>1246</v>
      </c>
      <c r="I3564" t="n">
        <v>1007.93</v>
      </c>
      <c r="J3564" t="n">
        <v>1</v>
      </c>
      <c r="K3564" t="inlineStr">
        <is>
          <t>逆5日线（收盘在5日线下，不追多）</t>
        </is>
      </c>
    </row>
    <row r="3565">
      <c r="A3565" t="inlineStr">
        <is>
          <t>2024-10-21</t>
        </is>
      </c>
      <c r="B3565" t="inlineStr">
        <is>
          <t>棕榈油</t>
        </is>
      </c>
      <c r="C3565" t="inlineStr">
        <is>
          <t>多</t>
        </is>
      </c>
      <c r="D3565" t="n">
        <v>3</v>
      </c>
      <c r="E3565" t="n">
        <v>6</v>
      </c>
      <c r="F3565" t="inlineStr">
        <is>
          <t>开仓</t>
        </is>
      </c>
      <c r="G3565" t="n">
        <v>1</v>
      </c>
      <c r="H3565" t="n">
        <v>8860</v>
      </c>
      <c r="I3565" t="n">
        <v>8188</v>
      </c>
      <c r="J3565" t="n">
        <v>1</v>
      </c>
      <c r="K3565" t="inlineStr">
        <is>
          <t>组合风险已近10%，预算缩小</t>
        </is>
      </c>
    </row>
    <row r="3566">
      <c r="A3566" t="inlineStr">
        <is>
          <t>2024-10-21</t>
        </is>
      </c>
      <c r="B3566" t="inlineStr">
        <is>
          <t>豆油</t>
        </is>
      </c>
      <c r="C3566" t="inlineStr">
        <is>
          <t>多</t>
        </is>
      </c>
      <c r="D3566" t="n">
        <v>2</v>
      </c>
      <c r="E3566" t="n">
        <v>5</v>
      </c>
      <c r="F3566" t="inlineStr">
        <is>
          <t>观望</t>
        </is>
      </c>
      <c r="G3566" t="n">
        <v>2</v>
      </c>
      <c r="H3566" t="n">
        <v>8206</v>
      </c>
      <c r="I3566" t="n">
        <v>7710.14</v>
      </c>
      <c r="J3566" t="n">
        <v>1</v>
      </c>
      <c r="K3566" t="inlineStr">
        <is>
          <t>逆5日线（收盘在5日线下，不追多）</t>
        </is>
      </c>
    </row>
    <row r="3567">
      <c r="A3567" t="inlineStr">
        <is>
          <t>2024-10-21</t>
        </is>
      </c>
      <c r="B3567" t="inlineStr">
        <is>
          <t>PTA</t>
        </is>
      </c>
      <c r="C3567" t="inlineStr">
        <is>
          <t>空</t>
        </is>
      </c>
      <c r="D3567" t="n">
        <v>2</v>
      </c>
      <c r="E3567" t="n">
        <v>4</v>
      </c>
      <c r="F3567" t="inlineStr">
        <is>
          <t>影子仓</t>
        </is>
      </c>
      <c r="G3567" t="n">
        <v>4</v>
      </c>
      <c r="H3567" t="n">
        <v>4962</v>
      </c>
      <c r="I3567" t="n">
        <v>5377.71</v>
      </c>
      <c r="J3567" t="n">
        <v>1</v>
      </c>
      <c r="K3567" t="inlineStr">
        <is>
          <t>凯利≤0，开1%影子仓（只统计，不计入组合）</t>
        </is>
      </c>
    </row>
    <row r="3568">
      <c r="A3568" t="inlineStr">
        <is>
          <t>2024-10-21</t>
        </is>
      </c>
      <c r="B3568" t="inlineStr">
        <is>
          <t>甲醇</t>
        </is>
      </c>
      <c r="C3568" t="inlineStr">
        <is>
          <t>空</t>
        </is>
      </c>
      <c r="D3568" t="n">
        <v>2</v>
      </c>
      <c r="E3568" t="n">
        <v>4</v>
      </c>
      <c r="F3568" t="inlineStr">
        <is>
          <t>影子仓</t>
        </is>
      </c>
      <c r="G3568" t="n">
        <v>6</v>
      </c>
      <c r="H3568" t="n">
        <v>2386</v>
      </c>
      <c r="I3568" t="n">
        <v>2540.71</v>
      </c>
      <c r="J3568" t="n">
        <v>1</v>
      </c>
      <c r="K3568" t="inlineStr">
        <is>
          <t>凯利≤0，开1%影子仓（只统计，不计入组合）</t>
        </is>
      </c>
    </row>
    <row r="3569">
      <c r="A3569" t="inlineStr">
        <is>
          <t>2024-10-22</t>
        </is>
      </c>
      <c r="B3569" t="inlineStr">
        <is>
          <t>豆油</t>
        </is>
      </c>
      <c r="C3569" t="inlineStr">
        <is>
          <t>多</t>
        </is>
      </c>
      <c r="D3569" t="n">
        <v>3</v>
      </c>
      <c r="E3569" t="n">
        <v>6</v>
      </c>
      <c r="F3569" t="inlineStr">
        <is>
          <t>续持</t>
        </is>
      </c>
      <c r="G3569" t="n">
        <v>6</v>
      </c>
      <c r="H3569" t="n">
        <v>8290</v>
      </c>
      <c r="I3569" t="n">
        <v>7901.57</v>
      </c>
      <c r="J3569" t="n">
        <v>3</v>
      </c>
      <c r="K3569" t="inlineStr">
        <is>
          <t>续持原仓（2024-10-16开）</t>
        </is>
      </c>
    </row>
    <row r="3570">
      <c r="A3570" t="inlineStr">
        <is>
          <t>2024-10-22</t>
        </is>
      </c>
      <c r="B3570" t="inlineStr">
        <is>
          <t>塑料</t>
        </is>
      </c>
      <c r="C3570" t="inlineStr">
        <is>
          <t>多</t>
        </is>
      </c>
      <c r="D3570" t="n">
        <v>3</v>
      </c>
      <c r="E3570" t="n">
        <v>6</v>
      </c>
      <c r="F3570" t="inlineStr">
        <is>
          <t>观望</t>
        </is>
      </c>
      <c r="G3570" t="n">
        <v>6</v>
      </c>
      <c r="H3570" t="n">
        <v>8096</v>
      </c>
      <c r="I3570" t="n">
        <v>7803.07</v>
      </c>
      <c r="J3570" t="n">
        <v>1</v>
      </c>
      <c r="K3570" t="inlineStr">
        <is>
          <t>逆5日线（收盘在5日线下，不追多）</t>
        </is>
      </c>
    </row>
    <row r="3571">
      <c r="A3571" t="inlineStr">
        <is>
          <t>2024-10-22</t>
        </is>
      </c>
      <c r="B3571" t="inlineStr">
        <is>
          <t>铁矿石</t>
        </is>
      </c>
      <c r="C3571" t="inlineStr">
        <is>
          <t>空</t>
        </is>
      </c>
      <c r="D3571" t="n">
        <v>3</v>
      </c>
      <c r="E3571" t="n">
        <v>6</v>
      </c>
      <c r="F3571" t="inlineStr">
        <is>
          <t>不做</t>
        </is>
      </c>
      <c r="H3571" t="n">
        <v>762</v>
      </c>
      <c r="J3571" t="n">
        <v>1</v>
      </c>
      <c r="K3571" t="inlineStr">
        <is>
          <t>1手风险10425元超过预算10000元</t>
        </is>
      </c>
    </row>
    <row r="3572">
      <c r="A3572" t="inlineStr">
        <is>
          <t>2024-10-22</t>
        </is>
      </c>
      <c r="B3572" t="inlineStr">
        <is>
          <t>锰硅</t>
        </is>
      </c>
      <c r="C3572" t="inlineStr">
        <is>
          <t>空</t>
        </is>
      </c>
      <c r="D3572" t="n">
        <v>2</v>
      </c>
      <c r="E3572" t="n">
        <v>4</v>
      </c>
      <c r="F3572" t="inlineStr">
        <is>
          <t>影子仓</t>
        </is>
      </c>
      <c r="G3572" t="n">
        <v>4</v>
      </c>
      <c r="H3572" t="n">
        <v>6110</v>
      </c>
      <c r="I3572" t="n">
        <v>6590.43</v>
      </c>
      <c r="J3572" t="n">
        <v>1</v>
      </c>
      <c r="K3572" t="inlineStr">
        <is>
          <t>凯利≤0，开1%影子仓（只统计，不计入组合）</t>
        </is>
      </c>
    </row>
    <row r="3573">
      <c r="A3573" t="inlineStr">
        <is>
          <t>2024-10-22</t>
        </is>
      </c>
      <c r="B3573" t="inlineStr">
        <is>
          <t>沪铝</t>
        </is>
      </c>
      <c r="C3573" t="inlineStr">
        <is>
          <t>多</t>
        </is>
      </c>
      <c r="D3573" t="n">
        <v>2</v>
      </c>
      <c r="E3573" t="n">
        <v>4</v>
      </c>
      <c r="F3573" t="inlineStr">
        <is>
          <t>影子仓</t>
        </is>
      </c>
      <c r="G3573" t="n">
        <v>2</v>
      </c>
      <c r="H3573" t="n">
        <v>20840</v>
      </c>
      <c r="I3573" t="n">
        <v>19988.21</v>
      </c>
      <c r="J3573" t="n">
        <v>1</v>
      </c>
      <c r="K3573" t="inlineStr">
        <is>
          <t>凯利≤0，开1%影子仓（只统计，不计入组合）</t>
        </is>
      </c>
    </row>
    <row r="3574">
      <c r="A3574" t="inlineStr">
        <is>
          <t>2024-10-22</t>
        </is>
      </c>
      <c r="B3574" t="inlineStr">
        <is>
          <t>白糖</t>
        </is>
      </c>
      <c r="C3574" t="inlineStr">
        <is>
          <t>空</t>
        </is>
      </c>
      <c r="D3574" t="n">
        <v>2</v>
      </c>
      <c r="E3574" t="n">
        <v>4</v>
      </c>
      <c r="F3574" t="inlineStr">
        <is>
          <t>影子仓</t>
        </is>
      </c>
      <c r="G3574" t="n">
        <v>4</v>
      </c>
      <c r="H3574" t="n">
        <v>5844</v>
      </c>
      <c r="I3574" t="n">
        <v>6066</v>
      </c>
      <c r="J3574" t="n">
        <v>1</v>
      </c>
      <c r="K3574" t="inlineStr">
        <is>
          <t>凯利≤0，开1%影子仓（只统计，不计入组合）</t>
        </is>
      </c>
    </row>
    <row r="3575">
      <c r="A3575" t="inlineStr">
        <is>
          <t>2024-10-23</t>
        </is>
      </c>
      <c r="B3575" t="inlineStr">
        <is>
          <t>豆油</t>
        </is>
      </c>
      <c r="C3575" t="inlineStr">
        <is>
          <t>多</t>
        </is>
      </c>
      <c r="D3575" t="n">
        <v>3</v>
      </c>
      <c r="E3575" t="n">
        <v>7</v>
      </c>
      <c r="F3575" t="inlineStr">
        <is>
          <t>续持</t>
        </is>
      </c>
      <c r="G3575" t="n">
        <v>6</v>
      </c>
      <c r="H3575" t="n">
        <v>8466</v>
      </c>
      <c r="I3575" t="n">
        <v>7994.43</v>
      </c>
      <c r="J3575" t="n">
        <v>3</v>
      </c>
      <c r="K3575" t="inlineStr">
        <is>
          <t>续持原仓（2024-10-16开）</t>
        </is>
      </c>
    </row>
    <row r="3576">
      <c r="A3576" t="inlineStr">
        <is>
          <t>2024-10-23</t>
        </is>
      </c>
      <c r="B3576" t="inlineStr">
        <is>
          <t>沪金</t>
        </is>
      </c>
      <c r="C3576" t="inlineStr">
        <is>
          <t>多</t>
        </is>
      </c>
      <c r="D3576" t="n">
        <v>3</v>
      </c>
      <c r="E3576" t="n">
        <v>6</v>
      </c>
      <c r="F3576" t="inlineStr">
        <is>
          <t>不做</t>
        </is>
      </c>
      <c r="H3576" t="n">
        <v>629.96</v>
      </c>
      <c r="J3576" t="n">
        <v>1</v>
      </c>
      <c r="K3576" t="inlineStr">
        <is>
          <t>1手风险20233元超过预算10000元</t>
        </is>
      </c>
    </row>
    <row r="3577">
      <c r="A3577" t="inlineStr">
        <is>
          <t>2024-10-23</t>
        </is>
      </c>
      <c r="B3577" t="inlineStr">
        <is>
          <t>沪铝</t>
        </is>
      </c>
      <c r="C3577" t="inlineStr">
        <is>
          <t>多</t>
        </is>
      </c>
      <c r="D3577" t="n">
        <v>2</v>
      </c>
      <c r="E3577" t="n">
        <v>5</v>
      </c>
      <c r="F3577" t="inlineStr">
        <is>
          <t>续持</t>
        </is>
      </c>
      <c r="G3577" t="n">
        <v>2</v>
      </c>
      <c r="H3577" t="n">
        <v>20875</v>
      </c>
      <c r="I3577" t="n">
        <v>20160</v>
      </c>
      <c r="J3577" t="n">
        <v>1</v>
      </c>
      <c r="K3577" t="inlineStr">
        <is>
          <t>续持原仓（2024-10-22开）</t>
        </is>
      </c>
    </row>
    <row r="3578">
      <c r="A3578" t="inlineStr">
        <is>
          <t>2024-10-23</t>
        </is>
      </c>
      <c r="B3578" t="inlineStr">
        <is>
          <t>铁矿石</t>
        </is>
      </c>
      <c r="C3578" t="inlineStr">
        <is>
          <t>空</t>
        </is>
      </c>
      <c r="D3578" t="n">
        <v>2</v>
      </c>
      <c r="E3578" t="n">
        <v>5</v>
      </c>
      <c r="F3578" t="inlineStr">
        <is>
          <t>不做</t>
        </is>
      </c>
      <c r="H3578" t="n">
        <v>746</v>
      </c>
      <c r="J3578" t="n">
        <v>1</v>
      </c>
      <c r="K3578" t="inlineStr">
        <is>
          <t>1手风险10479元超过预算10000元</t>
        </is>
      </c>
    </row>
    <row r="3579">
      <c r="A3579" t="inlineStr">
        <is>
          <t>2024-10-23</t>
        </is>
      </c>
      <c r="B3579" t="inlineStr">
        <is>
          <t>锰硅</t>
        </is>
      </c>
      <c r="C3579" t="inlineStr">
        <is>
          <t>空</t>
        </is>
      </c>
      <c r="D3579" t="n">
        <v>2</v>
      </c>
      <c r="E3579" t="n">
        <v>5</v>
      </c>
      <c r="F3579" t="inlineStr">
        <is>
          <t>续持</t>
        </is>
      </c>
      <c r="G3579" t="n">
        <v>4</v>
      </c>
      <c r="H3579" t="n">
        <v>6112</v>
      </c>
      <c r="I3579" t="n">
        <v>6573.71</v>
      </c>
      <c r="J3579" t="n">
        <v>1</v>
      </c>
      <c r="K3579" t="inlineStr">
        <is>
          <t>续持原仓（2024-10-22开）</t>
        </is>
      </c>
    </row>
    <row r="3580">
      <c r="A3580" t="inlineStr">
        <is>
          <t>2024-10-23</t>
        </is>
      </c>
      <c r="B3580" t="inlineStr">
        <is>
          <t>热卷</t>
        </is>
      </c>
      <c r="C3580" t="inlineStr">
        <is>
          <t>空</t>
        </is>
      </c>
      <c r="D3580" t="n">
        <v>2</v>
      </c>
      <c r="E3580" t="n">
        <v>4</v>
      </c>
      <c r="F3580" t="inlineStr">
        <is>
          <t>续持</t>
        </is>
      </c>
      <c r="G3580" t="n">
        <v>2</v>
      </c>
      <c r="H3580" t="n">
        <v>3476</v>
      </c>
      <c r="I3580" t="n">
        <v>3779.29</v>
      </c>
      <c r="J3580" t="n">
        <v>1</v>
      </c>
      <c r="K3580" t="inlineStr">
        <is>
          <t>续持原仓（2024-10-17开）</t>
        </is>
      </c>
    </row>
    <row r="3581">
      <c r="A3581" t="inlineStr">
        <is>
          <t>2024-10-24</t>
        </is>
      </c>
      <c r="B3581" t="inlineStr">
        <is>
          <t>沪铝</t>
        </is>
      </c>
      <c r="C3581" t="inlineStr">
        <is>
          <t>多</t>
        </is>
      </c>
      <c r="D3581" t="n">
        <v>3</v>
      </c>
      <c r="E3581" t="n">
        <v>6</v>
      </c>
      <c r="F3581" t="inlineStr">
        <is>
          <t>续持</t>
        </is>
      </c>
      <c r="G3581" t="n">
        <v>2</v>
      </c>
      <c r="H3581" t="n">
        <v>21105</v>
      </c>
      <c r="I3581" t="n">
        <v>20321.43</v>
      </c>
      <c r="J3581" t="n">
        <v>1</v>
      </c>
      <c r="K3581" t="inlineStr">
        <is>
          <t>续持原仓（2024-10-22开）</t>
        </is>
      </c>
    </row>
    <row r="3582">
      <c r="A3582" t="inlineStr">
        <is>
          <t>2024-10-24</t>
        </is>
      </c>
      <c r="B3582" t="inlineStr">
        <is>
          <t>纯碱</t>
        </is>
      </c>
      <c r="C3582" t="inlineStr">
        <is>
          <t>多</t>
        </is>
      </c>
      <c r="D3582" t="n">
        <v>3</v>
      </c>
      <c r="E3582" t="n">
        <v>6</v>
      </c>
      <c r="F3582" t="inlineStr">
        <is>
          <t>开仓</t>
        </is>
      </c>
      <c r="G3582" t="n">
        <v>5</v>
      </c>
      <c r="H3582" t="n">
        <v>1558</v>
      </c>
      <c r="I3582" t="n">
        <v>1272.57</v>
      </c>
      <c r="J3582" t="n">
        <v>3</v>
      </c>
      <c r="K3582" t="inlineStr">
        <is>
          <t>¼凯利超上限，取3%</t>
        </is>
      </c>
    </row>
    <row r="3583">
      <c r="A3583" t="inlineStr">
        <is>
          <t>2024-10-24</t>
        </is>
      </c>
      <c r="B3583" t="inlineStr">
        <is>
          <t>沪铜</t>
        </is>
      </c>
      <c r="C3583" t="inlineStr">
        <is>
          <t>多</t>
        </is>
      </c>
      <c r="D3583" t="n">
        <v>3</v>
      </c>
      <c r="E3583" t="n">
        <v>6</v>
      </c>
      <c r="F3583" t="inlineStr">
        <is>
          <t>观望</t>
        </is>
      </c>
      <c r="G3583" t="n">
        <v>1</v>
      </c>
      <c r="H3583" t="n">
        <v>77000</v>
      </c>
      <c r="I3583" t="n">
        <v>73869.28999999999</v>
      </c>
      <c r="J3583" t="n">
        <v>3</v>
      </c>
      <c r="K3583" t="inlineStr">
        <is>
          <t>逆5日线（收盘在5日线下，不追多）</t>
        </is>
      </c>
    </row>
    <row r="3584">
      <c r="A3584" t="inlineStr">
        <is>
          <t>2024-10-24</t>
        </is>
      </c>
      <c r="B3584" t="inlineStr">
        <is>
          <t>塑料</t>
        </is>
      </c>
      <c r="C3584" t="inlineStr">
        <is>
          <t>多</t>
        </is>
      </c>
      <c r="D3584" t="n">
        <v>2</v>
      </c>
      <c r="E3584" t="n">
        <v>5</v>
      </c>
      <c r="F3584" t="inlineStr">
        <is>
          <t>影子仓</t>
        </is>
      </c>
      <c r="G3584" t="n">
        <v>7</v>
      </c>
      <c r="H3584" t="n">
        <v>8140</v>
      </c>
      <c r="I3584" t="n">
        <v>7862.93</v>
      </c>
      <c r="J3584" t="n">
        <v>1</v>
      </c>
      <c r="K3584" t="inlineStr">
        <is>
          <t>凯利≤0，开1%影子仓（只统计，不计入组合）</t>
        </is>
      </c>
    </row>
    <row r="3585">
      <c r="A3585" t="inlineStr">
        <is>
          <t>2024-10-24</t>
        </is>
      </c>
      <c r="B3585" t="inlineStr">
        <is>
          <t>锰硅</t>
        </is>
      </c>
      <c r="C3585" t="inlineStr">
        <is>
          <t>空</t>
        </is>
      </c>
      <c r="D3585" t="n">
        <v>2</v>
      </c>
      <c r="E3585" t="n">
        <v>5</v>
      </c>
      <c r="F3585" t="inlineStr">
        <is>
          <t>续持</t>
        </is>
      </c>
      <c r="G3585" t="n">
        <v>4</v>
      </c>
      <c r="H3585" t="n">
        <v>6118</v>
      </c>
      <c r="I3585" t="n">
        <v>6540.71</v>
      </c>
      <c r="J3585" t="n">
        <v>1</v>
      </c>
      <c r="K3585" t="inlineStr">
        <is>
          <t>续持原仓（2024-10-22开）</t>
        </is>
      </c>
    </row>
    <row r="3586">
      <c r="A3586" t="inlineStr">
        <is>
          <t>2024-10-24</t>
        </is>
      </c>
      <c r="B3586" t="inlineStr">
        <is>
          <t>热卷</t>
        </is>
      </c>
      <c r="C3586" t="inlineStr">
        <is>
          <t>空</t>
        </is>
      </c>
      <c r="D3586" t="n">
        <v>2</v>
      </c>
      <c r="E3586" t="n">
        <v>4</v>
      </c>
      <c r="F3586" t="inlineStr">
        <is>
          <t>续持</t>
        </is>
      </c>
      <c r="G3586" t="n">
        <v>2</v>
      </c>
      <c r="H3586" t="n">
        <v>3483</v>
      </c>
      <c r="I3586" t="n">
        <v>3772</v>
      </c>
      <c r="J3586" t="n">
        <v>1</v>
      </c>
      <c r="K3586" t="inlineStr">
        <is>
          <t>续持原仓（2024-10-17开）</t>
        </is>
      </c>
    </row>
    <row r="3587">
      <c r="A3587" t="inlineStr">
        <is>
          <t>2024-10-25</t>
        </is>
      </c>
      <c r="B3587" t="inlineStr">
        <is>
          <t>沪铝</t>
        </is>
      </c>
      <c r="C3587" t="inlineStr">
        <is>
          <t>多</t>
        </is>
      </c>
      <c r="D3587" t="n">
        <v>2</v>
      </c>
      <c r="E3587" t="n">
        <v>5</v>
      </c>
      <c r="F3587" t="inlineStr">
        <is>
          <t>观望</t>
        </is>
      </c>
      <c r="G3587" t="n">
        <v>2</v>
      </c>
      <c r="H3587" t="n">
        <v>20760</v>
      </c>
      <c r="I3587" t="n">
        <v>19855.71</v>
      </c>
      <c r="J3587" t="n">
        <v>1</v>
      </c>
      <c r="K3587" t="inlineStr">
        <is>
          <t>逆5日线（收盘在5日线下，不追多）</t>
        </is>
      </c>
    </row>
    <row r="3588">
      <c r="A3588" t="inlineStr">
        <is>
          <t>2024-10-25</t>
        </is>
      </c>
      <c r="B3588" t="inlineStr">
        <is>
          <t>塑料</t>
        </is>
      </c>
      <c r="C3588" t="inlineStr">
        <is>
          <t>多</t>
        </is>
      </c>
      <c r="D3588" t="n">
        <v>2</v>
      </c>
      <c r="E3588" t="n">
        <v>5</v>
      </c>
      <c r="F3588" t="inlineStr">
        <is>
          <t>续持</t>
        </is>
      </c>
      <c r="G3588" t="n">
        <v>7</v>
      </c>
      <c r="H3588" t="n">
        <v>8148</v>
      </c>
      <c r="I3588" t="n">
        <v>7948.5</v>
      </c>
      <c r="J3588" t="n">
        <v>1</v>
      </c>
      <c r="K3588" t="inlineStr">
        <is>
          <t>续持原仓（2024-10-24开）</t>
        </is>
      </c>
    </row>
    <row r="3589">
      <c r="A3589" t="inlineStr">
        <is>
          <t>2024-10-25</t>
        </is>
      </c>
      <c r="B3589" t="inlineStr">
        <is>
          <t>棉花</t>
        </is>
      </c>
      <c r="C3589" t="inlineStr">
        <is>
          <t>空</t>
        </is>
      </c>
      <c r="D3589" t="n">
        <v>2</v>
      </c>
      <c r="E3589" t="n">
        <v>4</v>
      </c>
      <c r="F3589" t="inlineStr">
        <is>
          <t>影子仓</t>
        </is>
      </c>
      <c r="G3589" t="n">
        <v>3</v>
      </c>
      <c r="H3589" t="n">
        <v>14105</v>
      </c>
      <c r="I3589" t="n">
        <v>14740.36</v>
      </c>
      <c r="J3589" t="n">
        <v>1</v>
      </c>
      <c r="K3589" t="inlineStr">
        <is>
          <t>凯利≤0，开1%影子仓（只统计，不计入组合）</t>
        </is>
      </c>
    </row>
    <row r="3590">
      <c r="A3590" t="inlineStr">
        <is>
          <t>2024-10-25</t>
        </is>
      </c>
      <c r="B3590" t="inlineStr">
        <is>
          <t>沪铜</t>
        </is>
      </c>
      <c r="C3590" t="inlineStr">
        <is>
          <t>空</t>
        </is>
      </c>
      <c r="D3590" t="n">
        <v>2</v>
      </c>
      <c r="E3590" t="n">
        <v>4</v>
      </c>
      <c r="F3590" t="inlineStr">
        <is>
          <t>不做</t>
        </is>
      </c>
      <c r="H3590" t="n">
        <v>76390</v>
      </c>
      <c r="J3590" t="n">
        <v>1</v>
      </c>
      <c r="K3590" t="inlineStr">
        <is>
          <t>1手风险15225元超过预算10000元</t>
        </is>
      </c>
    </row>
    <row r="3591">
      <c r="A3591" t="inlineStr">
        <is>
          <t>2024-10-25</t>
        </is>
      </c>
      <c r="B3591" t="inlineStr">
        <is>
          <t>沪镍</t>
        </is>
      </c>
      <c r="C3591" t="inlineStr">
        <is>
          <t>空</t>
        </is>
      </c>
      <c r="D3591" t="n">
        <v>2</v>
      </c>
      <c r="E3591" t="n">
        <v>4</v>
      </c>
      <c r="F3591" t="inlineStr">
        <is>
          <t>不做</t>
        </is>
      </c>
      <c r="H3591" t="n">
        <v>126120</v>
      </c>
      <c r="J3591" t="n">
        <v>1</v>
      </c>
      <c r="K3591" t="inlineStr">
        <is>
          <t>1手风险10926元超过预算10000元</t>
        </is>
      </c>
    </row>
    <row r="3592">
      <c r="A3592" t="inlineStr">
        <is>
          <t>2024-10-28</t>
        </is>
      </c>
      <c r="B3592" t="inlineStr">
        <is>
          <t>沪金</t>
        </is>
      </c>
      <c r="C3592" t="inlineStr">
        <is>
          <t>多</t>
        </is>
      </c>
      <c r="D3592" t="n">
        <v>3</v>
      </c>
      <c r="E3592" t="n">
        <v>6</v>
      </c>
      <c r="F3592" t="inlineStr">
        <is>
          <t>开仓</t>
        </is>
      </c>
      <c r="G3592" t="n">
        <v>1</v>
      </c>
      <c r="H3592" t="n">
        <v>626.58</v>
      </c>
      <c r="I3592" t="n">
        <v>604.59</v>
      </c>
      <c r="J3592" t="n">
        <v>3</v>
      </c>
      <c r="K3592" t="inlineStr">
        <is>
          <t>¼凯利超上限，取3%</t>
        </is>
      </c>
    </row>
    <row r="3593">
      <c r="A3593" t="inlineStr">
        <is>
          <t>2024-10-28</t>
        </is>
      </c>
      <c r="B3593" t="inlineStr">
        <is>
          <t>塑料</t>
        </is>
      </c>
      <c r="C3593" t="inlineStr">
        <is>
          <t>多</t>
        </is>
      </c>
      <c r="D3593" t="n">
        <v>3</v>
      </c>
      <c r="E3593" t="n">
        <v>6</v>
      </c>
      <c r="F3593" t="inlineStr">
        <is>
          <t>续持</t>
        </is>
      </c>
      <c r="G3593" t="n">
        <v>7</v>
      </c>
      <c r="H3593" t="n">
        <v>8180</v>
      </c>
      <c r="I3593" t="n">
        <v>7967.79</v>
      </c>
      <c r="J3593" t="n">
        <v>1</v>
      </c>
      <c r="K3593" t="inlineStr">
        <is>
          <t>续持原仓（2024-10-24开）</t>
        </is>
      </c>
    </row>
    <row r="3594">
      <c r="A3594" t="inlineStr">
        <is>
          <t>2024-10-28</t>
        </is>
      </c>
      <c r="B3594" t="inlineStr">
        <is>
          <t>菜油</t>
        </is>
      </c>
      <c r="C3594" t="inlineStr">
        <is>
          <t>多</t>
        </is>
      </c>
      <c r="D3594" t="n">
        <v>2</v>
      </c>
      <c r="E3594" t="n">
        <v>5</v>
      </c>
      <c r="F3594" t="inlineStr">
        <is>
          <t>影子仓</t>
        </is>
      </c>
      <c r="G3594" t="n">
        <v>1</v>
      </c>
      <c r="H3594" t="n">
        <v>9658</v>
      </c>
      <c r="I3594" t="n">
        <v>8978.5</v>
      </c>
      <c r="J3594" t="n">
        <v>1</v>
      </c>
      <c r="K3594" t="inlineStr">
        <is>
          <t>凯利≤0，开1%影子仓（只统计，不计入组合）</t>
        </is>
      </c>
    </row>
    <row r="3595">
      <c r="A3595" t="inlineStr">
        <is>
          <t>2024-10-28</t>
        </is>
      </c>
      <c r="B3595" t="inlineStr">
        <is>
          <t>玉米</t>
        </is>
      </c>
      <c r="C3595" t="inlineStr">
        <is>
          <t>空</t>
        </is>
      </c>
      <c r="D3595" t="n">
        <v>2</v>
      </c>
      <c r="E3595" t="n">
        <v>4</v>
      </c>
      <c r="F3595" t="inlineStr">
        <is>
          <t>观望</t>
        </is>
      </c>
      <c r="G3595" t="n">
        <v>13</v>
      </c>
      <c r="H3595" t="n">
        <v>2227</v>
      </c>
      <c r="I3595" t="n">
        <v>2299</v>
      </c>
      <c r="J3595" t="n">
        <v>1</v>
      </c>
      <c r="K3595" t="inlineStr">
        <is>
          <t>逆5日线（收盘在5日线上，不追空）</t>
        </is>
      </c>
    </row>
    <row r="3596">
      <c r="A3596" t="inlineStr">
        <is>
          <t>2024-10-28</t>
        </is>
      </c>
      <c r="B3596" t="inlineStr">
        <is>
          <t>棉花</t>
        </is>
      </c>
      <c r="C3596" t="inlineStr">
        <is>
          <t>空</t>
        </is>
      </c>
      <c r="D3596" t="n">
        <v>2</v>
      </c>
      <c r="E3596" t="n">
        <v>4</v>
      </c>
      <c r="F3596" t="inlineStr">
        <is>
          <t>续持</t>
        </is>
      </c>
      <c r="G3596" t="n">
        <v>3</v>
      </c>
      <c r="H3596" t="n">
        <v>14135</v>
      </c>
      <c r="I3596" t="n">
        <v>14595.71</v>
      </c>
      <c r="J3596" t="n">
        <v>1</v>
      </c>
      <c r="K3596" t="inlineStr">
        <is>
          <t>续持原仓（2024-10-25开）</t>
        </is>
      </c>
    </row>
    <row r="3597">
      <c r="A3597" t="inlineStr">
        <is>
          <t>2024-10-29</t>
        </is>
      </c>
      <c r="B3597" t="inlineStr">
        <is>
          <t>沪金</t>
        </is>
      </c>
      <c r="C3597" t="inlineStr">
        <is>
          <t>多</t>
        </is>
      </c>
      <c r="D3597" t="n">
        <v>3</v>
      </c>
      <c r="E3597" t="n">
        <v>7</v>
      </c>
      <c r="F3597" t="inlineStr">
        <is>
          <t>续持</t>
        </is>
      </c>
      <c r="G3597" t="n">
        <v>1</v>
      </c>
      <c r="H3597" t="n">
        <v>631.8</v>
      </c>
      <c r="I3597" t="n">
        <v>610.53</v>
      </c>
      <c r="J3597" t="n">
        <v>3</v>
      </c>
      <c r="K3597" t="inlineStr">
        <is>
          <t>续持原仓（2024-10-28开）</t>
        </is>
      </c>
    </row>
    <row r="3598">
      <c r="A3598" t="inlineStr">
        <is>
          <t>2024-10-29</t>
        </is>
      </c>
      <c r="B3598" t="inlineStr">
        <is>
          <t>热卷</t>
        </is>
      </c>
      <c r="C3598" t="inlineStr">
        <is>
          <t>空</t>
        </is>
      </c>
      <c r="D3598" t="n">
        <v>2</v>
      </c>
      <c r="E3598" t="n">
        <v>5</v>
      </c>
      <c r="F3598" t="inlineStr">
        <is>
          <t>观望</t>
        </is>
      </c>
      <c r="G3598" t="n">
        <v>4</v>
      </c>
      <c r="H3598" t="n">
        <v>3569</v>
      </c>
      <c r="I3598" t="n">
        <v>3811.57</v>
      </c>
      <c r="J3598" t="n">
        <v>1</v>
      </c>
      <c r="K3598" t="inlineStr">
        <is>
          <t>逆5日线（收盘在5日线上，不追空）</t>
        </is>
      </c>
    </row>
    <row r="3599">
      <c r="A3599" t="inlineStr">
        <is>
          <t>2024-10-30</t>
        </is>
      </c>
      <c r="B3599" t="inlineStr">
        <is>
          <t>沪金</t>
        </is>
      </c>
      <c r="C3599" t="inlineStr">
        <is>
          <t>多</t>
        </is>
      </c>
      <c r="D3599" t="n">
        <v>3</v>
      </c>
      <c r="E3599" t="n">
        <v>7</v>
      </c>
      <c r="F3599" t="inlineStr">
        <is>
          <t>续持</t>
        </is>
      </c>
      <c r="G3599" t="n">
        <v>1</v>
      </c>
      <c r="H3599" t="n">
        <v>638.62</v>
      </c>
      <c r="I3599" t="n">
        <v>616.9400000000001</v>
      </c>
      <c r="J3599" t="n">
        <v>3</v>
      </c>
      <c r="K3599" t="inlineStr">
        <is>
          <t>续持原仓（2024-10-28开）</t>
        </is>
      </c>
    </row>
    <row r="3600">
      <c r="A3600" t="inlineStr">
        <is>
          <t>2024-10-30</t>
        </is>
      </c>
      <c r="B3600" t="inlineStr">
        <is>
          <t>棉花</t>
        </is>
      </c>
      <c r="C3600" t="inlineStr">
        <is>
          <t>空</t>
        </is>
      </c>
      <c r="D3600" t="n">
        <v>3</v>
      </c>
      <c r="E3600" t="n">
        <v>6</v>
      </c>
      <c r="F3600" t="inlineStr">
        <is>
          <t>开仓</t>
        </is>
      </c>
      <c r="G3600" t="n">
        <v>12</v>
      </c>
      <c r="H3600" t="n">
        <v>14055</v>
      </c>
      <c r="I3600" t="n">
        <v>14539.29</v>
      </c>
      <c r="J3600" t="n">
        <v>3</v>
      </c>
      <c r="K3600" t="inlineStr">
        <is>
          <t>¼凯利超上限，取3%</t>
        </is>
      </c>
    </row>
    <row r="3601">
      <c r="A3601" t="inlineStr">
        <is>
          <t>2024-10-31</t>
        </is>
      </c>
      <c r="B3601" t="inlineStr">
        <is>
          <t>棕榈油</t>
        </is>
      </c>
      <c r="C3601" t="inlineStr">
        <is>
          <t>多</t>
        </is>
      </c>
      <c r="D3601" t="n">
        <v>3</v>
      </c>
      <c r="E3601" t="n">
        <v>7</v>
      </c>
      <c r="F3601" t="inlineStr">
        <is>
          <t>开仓</t>
        </is>
      </c>
      <c r="G3601" t="n">
        <v>5</v>
      </c>
      <c r="H3601" t="n">
        <v>9478</v>
      </c>
      <c r="I3601" t="n">
        <v>8916.57</v>
      </c>
      <c r="J3601" t="n">
        <v>3</v>
      </c>
      <c r="K3601" t="inlineStr">
        <is>
          <t>¼凯利超上限，取3%</t>
        </is>
      </c>
    </row>
    <row r="3602">
      <c r="A3602" t="inlineStr">
        <is>
          <t>2024-10-31</t>
        </is>
      </c>
      <c r="B3602" t="inlineStr">
        <is>
          <t>沪金</t>
        </is>
      </c>
      <c r="C3602" t="inlineStr">
        <is>
          <t>多</t>
        </is>
      </c>
      <c r="D3602" t="n">
        <v>2</v>
      </c>
      <c r="E3602" t="n">
        <v>5</v>
      </c>
      <c r="F3602" t="inlineStr">
        <is>
          <t>续持</t>
        </is>
      </c>
      <c r="G3602" t="n">
        <v>1</v>
      </c>
      <c r="H3602" t="n">
        <v>635.66</v>
      </c>
      <c r="I3602" t="n">
        <v>617.62</v>
      </c>
      <c r="J3602" t="n">
        <v>3</v>
      </c>
      <c r="K3602" t="inlineStr">
        <is>
          <t>续持原仓（2024-10-28开）</t>
        </is>
      </c>
    </row>
    <row r="3603">
      <c r="A3603" t="inlineStr">
        <is>
          <t>2024-10-31</t>
        </is>
      </c>
      <c r="B3603" t="inlineStr">
        <is>
          <t>沪镍</t>
        </is>
      </c>
      <c r="C3603" t="inlineStr">
        <is>
          <t>空</t>
        </is>
      </c>
      <c r="D3603" t="n">
        <v>2</v>
      </c>
      <c r="E3603" t="n">
        <v>5</v>
      </c>
      <c r="F3603" t="inlineStr">
        <is>
          <t>影子仓</t>
        </is>
      </c>
      <c r="G3603" t="n">
        <v>1</v>
      </c>
      <c r="H3603" t="n">
        <v>123840</v>
      </c>
      <c r="I3603" t="n">
        <v>133047.86</v>
      </c>
      <c r="J3603" t="n">
        <v>1</v>
      </c>
      <c r="K3603" t="inlineStr">
        <is>
          <t>凯利≤0，开1%影子仓（只统计，不计入组合）</t>
        </is>
      </c>
    </row>
    <row r="3604">
      <c r="A3604" t="inlineStr">
        <is>
          <t>2024-10-31</t>
        </is>
      </c>
      <c r="B3604" t="inlineStr">
        <is>
          <t>铁矿石</t>
        </is>
      </c>
      <c r="C3604" t="inlineStr">
        <is>
          <t>空</t>
        </is>
      </c>
      <c r="D3604" t="n">
        <v>2</v>
      </c>
      <c r="E3604" t="n">
        <v>5</v>
      </c>
      <c r="F3604" t="inlineStr">
        <is>
          <t>观望</t>
        </is>
      </c>
      <c r="G3604" t="n">
        <v>1</v>
      </c>
      <c r="H3604" t="n">
        <v>781.5</v>
      </c>
      <c r="I3604" t="n">
        <v>855.75</v>
      </c>
      <c r="J3604" t="n">
        <v>1</v>
      </c>
      <c r="K3604" t="inlineStr">
        <is>
          <t>逆5日线（收盘在5日线上，不追空）</t>
        </is>
      </c>
    </row>
    <row r="3605">
      <c r="A3605" t="inlineStr">
        <is>
          <t>2024-11-01</t>
        </is>
      </c>
      <c r="B3605" t="inlineStr">
        <is>
          <t>棕榈油</t>
        </is>
      </c>
      <c r="C3605" t="inlineStr">
        <is>
          <t>多</t>
        </is>
      </c>
      <c r="D3605" t="n">
        <v>3</v>
      </c>
      <c r="E3605" t="n">
        <v>7</v>
      </c>
      <c r="F3605" t="inlineStr">
        <is>
          <t>续持</t>
        </is>
      </c>
      <c r="G3605" t="n">
        <v>5</v>
      </c>
      <c r="H3605" t="n">
        <v>9668</v>
      </c>
      <c r="I3605" t="n">
        <v>9124.57</v>
      </c>
      <c r="J3605" t="n">
        <v>3</v>
      </c>
      <c r="K3605" t="inlineStr">
        <is>
          <t>续持原仓（2024-10-31开）</t>
        </is>
      </c>
    </row>
    <row r="3606">
      <c r="A3606" t="inlineStr">
        <is>
          <t>2024-11-01</t>
        </is>
      </c>
      <c r="B3606" t="inlineStr">
        <is>
          <t>玻璃</t>
        </is>
      </c>
      <c r="C3606" t="inlineStr">
        <is>
          <t>多</t>
        </is>
      </c>
      <c r="D3606" t="n">
        <v>2</v>
      </c>
      <c r="E3606" t="n">
        <v>5</v>
      </c>
      <c r="F3606" t="inlineStr">
        <is>
          <t>观望</t>
        </is>
      </c>
      <c r="G3606" t="n">
        <v>2</v>
      </c>
      <c r="H3606" t="n">
        <v>1365</v>
      </c>
      <c r="I3606" t="n">
        <v>1150.07</v>
      </c>
      <c r="J3606" t="n">
        <v>1</v>
      </c>
      <c r="K3606" t="inlineStr">
        <is>
          <t>逆5日线（收盘在5日线下，不追多）</t>
        </is>
      </c>
    </row>
    <row r="3607">
      <c r="A3607" t="inlineStr">
        <is>
          <t>2024-11-01</t>
        </is>
      </c>
      <c r="B3607" t="inlineStr">
        <is>
          <t>沪镍</t>
        </is>
      </c>
      <c r="C3607" t="inlineStr">
        <is>
          <t>空</t>
        </is>
      </c>
      <c r="D3607" t="n">
        <v>2</v>
      </c>
      <c r="E3607" t="n">
        <v>4</v>
      </c>
      <c r="F3607" t="inlineStr">
        <is>
          <t>续持</t>
        </is>
      </c>
      <c r="G3607" t="n">
        <v>1</v>
      </c>
      <c r="H3607" t="n">
        <v>124050</v>
      </c>
      <c r="I3607" t="n">
        <v>131417.86</v>
      </c>
      <c r="J3607" t="n">
        <v>1</v>
      </c>
      <c r="K3607" t="inlineStr">
        <is>
          <t>续持原仓（2024-10-31开）</t>
        </is>
      </c>
    </row>
    <row r="3608">
      <c r="A3608" t="inlineStr">
        <is>
          <t>2024-11-01</t>
        </is>
      </c>
      <c r="B3608" t="inlineStr">
        <is>
          <t>铁矿石</t>
        </is>
      </c>
      <c r="C3608" t="inlineStr">
        <is>
          <t>空</t>
        </is>
      </c>
      <c r="D3608" t="n">
        <v>2</v>
      </c>
      <c r="E3608" t="n">
        <v>4</v>
      </c>
      <c r="F3608" t="inlineStr">
        <is>
          <t>影子仓</t>
        </is>
      </c>
      <c r="G3608" t="n">
        <v>1</v>
      </c>
      <c r="H3608" t="n">
        <v>770.5</v>
      </c>
      <c r="I3608" t="n">
        <v>840.36</v>
      </c>
      <c r="J3608" t="n">
        <v>1</v>
      </c>
      <c r="K3608" t="inlineStr">
        <is>
          <t>凯利≤0，开1%影子仓（只统计，不计入组合）</t>
        </is>
      </c>
    </row>
    <row r="3609">
      <c r="A3609" t="inlineStr">
        <is>
          <t>2024-11-04</t>
        </is>
      </c>
      <c r="B3609" t="inlineStr">
        <is>
          <t>碳酸锂</t>
        </is>
      </c>
      <c r="C3609" t="inlineStr">
        <is>
          <t>多</t>
        </is>
      </c>
      <c r="D3609" t="n">
        <v>2</v>
      </c>
      <c r="E3609" t="n">
        <v>5</v>
      </c>
      <c r="F3609" t="inlineStr">
        <is>
          <t>影子仓</t>
        </is>
      </c>
      <c r="G3609" t="n">
        <v>1</v>
      </c>
      <c r="H3609" t="n">
        <v>77250</v>
      </c>
      <c r="I3609" t="n">
        <v>69696.42999999999</v>
      </c>
      <c r="J3609" t="n">
        <v>1</v>
      </c>
      <c r="K3609" t="inlineStr">
        <is>
          <t>凯利≤0，开1%影子仓（只统计，不计入组合）</t>
        </is>
      </c>
    </row>
    <row r="3610">
      <c r="A3610" t="inlineStr">
        <is>
          <t>2024-11-04</t>
        </is>
      </c>
      <c r="B3610" t="inlineStr">
        <is>
          <t>锰硅</t>
        </is>
      </c>
      <c r="C3610" t="inlineStr">
        <is>
          <t>多</t>
        </is>
      </c>
      <c r="D3610" t="n">
        <v>2</v>
      </c>
      <c r="E3610" t="n">
        <v>4</v>
      </c>
      <c r="F3610" t="inlineStr">
        <is>
          <t>影子仓</t>
        </is>
      </c>
      <c r="G3610" t="n">
        <v>5</v>
      </c>
      <c r="H3610" t="n">
        <v>6424</v>
      </c>
      <c r="I3610" t="n">
        <v>6043.86</v>
      </c>
      <c r="J3610" t="n">
        <v>1</v>
      </c>
      <c r="K3610" t="inlineStr">
        <is>
          <t>凯利≤0，开1%影子仓（只统计，不计入组合）</t>
        </is>
      </c>
    </row>
    <row r="3611">
      <c r="A3611" t="inlineStr">
        <is>
          <t>2024-11-05</t>
        </is>
      </c>
      <c r="B3611" t="inlineStr">
        <is>
          <t>棕榈油</t>
        </is>
      </c>
      <c r="C3611" t="inlineStr">
        <is>
          <t>多</t>
        </is>
      </c>
      <c r="D3611" t="n">
        <v>2</v>
      </c>
      <c r="E3611" t="n">
        <v>5</v>
      </c>
      <c r="F3611" t="inlineStr">
        <is>
          <t>影子仓</t>
        </is>
      </c>
      <c r="G3611" t="n">
        <v>1</v>
      </c>
      <c r="H3611" t="n">
        <v>9610</v>
      </c>
      <c r="I3611" t="n">
        <v>9077.709999999999</v>
      </c>
      <c r="J3611" t="n">
        <v>1</v>
      </c>
      <c r="K3611" t="inlineStr">
        <is>
          <t>凯利≤0，开1%影子仓（只统计，不计入组合）</t>
        </is>
      </c>
    </row>
    <row r="3612">
      <c r="A3612" t="inlineStr">
        <is>
          <t>2024-11-06</t>
        </is>
      </c>
      <c r="B3612" t="inlineStr">
        <is>
          <t>棕榈油</t>
        </is>
      </c>
      <c r="C3612" t="inlineStr">
        <is>
          <t>多</t>
        </is>
      </c>
      <c r="D3612" t="n">
        <v>3</v>
      </c>
      <c r="E3612" t="n">
        <v>7</v>
      </c>
      <c r="F3612" t="inlineStr">
        <is>
          <t>续持</t>
        </is>
      </c>
      <c r="G3612" t="n">
        <v>1</v>
      </c>
      <c r="H3612" t="n">
        <v>9712</v>
      </c>
      <c r="I3612" t="n">
        <v>9228.860000000001</v>
      </c>
      <c r="J3612" t="n">
        <v>1</v>
      </c>
      <c r="K3612" t="inlineStr">
        <is>
          <t>续持原仓（2024-11-05开）</t>
        </is>
      </c>
    </row>
    <row r="3613">
      <c r="A3613" t="inlineStr">
        <is>
          <t>2024-11-06</t>
        </is>
      </c>
      <c r="B3613" t="inlineStr">
        <is>
          <t>沪金</t>
        </is>
      </c>
      <c r="C3613" t="inlineStr">
        <is>
          <t>多</t>
        </is>
      </c>
      <c r="D3613" t="n">
        <v>3</v>
      </c>
      <c r="E3613" t="n">
        <v>6</v>
      </c>
      <c r="F3613" t="inlineStr">
        <is>
          <t>观望</t>
        </is>
      </c>
      <c r="G3613" t="n">
        <v>1</v>
      </c>
      <c r="H3613" t="n">
        <v>626.1799999999999</v>
      </c>
      <c r="I3613" t="n">
        <v>602.25</v>
      </c>
      <c r="J3613" t="n">
        <v>3</v>
      </c>
      <c r="K3613" t="inlineStr">
        <is>
          <t>逆5日线（收盘在5日线下，不追多）</t>
        </is>
      </c>
    </row>
    <row r="3614">
      <c r="A3614" t="inlineStr">
        <is>
          <t>2024-11-06</t>
        </is>
      </c>
      <c r="B3614" t="inlineStr">
        <is>
          <t>甲醇</t>
        </is>
      </c>
      <c r="C3614" t="inlineStr">
        <is>
          <t>空</t>
        </is>
      </c>
      <c r="D3614" t="n">
        <v>3</v>
      </c>
      <c r="E3614" t="n">
        <v>6</v>
      </c>
      <c r="F3614" t="inlineStr">
        <is>
          <t>开仓</t>
        </is>
      </c>
      <c r="G3614" t="n">
        <v>25</v>
      </c>
      <c r="H3614" t="n">
        <v>2479</v>
      </c>
      <c r="I3614" t="n">
        <v>2598.36</v>
      </c>
      <c r="J3614" t="n">
        <v>3</v>
      </c>
      <c r="K3614" t="inlineStr">
        <is>
          <t>¼凯利超上限，取3%</t>
        </is>
      </c>
    </row>
    <row r="3615">
      <c r="A3615" t="inlineStr">
        <is>
          <t>2024-11-07</t>
        </is>
      </c>
      <c r="B3615" t="inlineStr">
        <is>
          <t>棕榈油</t>
        </is>
      </c>
      <c r="C3615" t="inlineStr">
        <is>
          <t>多</t>
        </is>
      </c>
      <c r="D3615" t="n">
        <v>3</v>
      </c>
      <c r="E3615" t="n">
        <v>6</v>
      </c>
      <c r="F3615" t="inlineStr">
        <is>
          <t>续持</t>
        </is>
      </c>
      <c r="G3615" t="n">
        <v>1</v>
      </c>
      <c r="H3615" t="n">
        <v>9914</v>
      </c>
      <c r="I3615" t="n">
        <v>9447.290000000001</v>
      </c>
      <c r="J3615" t="n">
        <v>1</v>
      </c>
      <c r="K3615" t="inlineStr">
        <is>
          <t>续持原仓（2024-11-05开）</t>
        </is>
      </c>
    </row>
    <row r="3616">
      <c r="A3616" t="inlineStr">
        <is>
          <t>2024-11-07</t>
        </is>
      </c>
      <c r="B3616" t="inlineStr">
        <is>
          <t>豆油</t>
        </is>
      </c>
      <c r="C3616" t="inlineStr">
        <is>
          <t>多</t>
        </is>
      </c>
      <c r="D3616" t="n">
        <v>3</v>
      </c>
      <c r="E3616" t="n">
        <v>6</v>
      </c>
      <c r="F3616" t="inlineStr">
        <is>
          <t>开仓</t>
        </is>
      </c>
      <c r="G3616" t="n">
        <v>7</v>
      </c>
      <c r="H3616" t="n">
        <v>8816</v>
      </c>
      <c r="I3616" t="n">
        <v>8392.139999999999</v>
      </c>
      <c r="J3616" t="n">
        <v>3</v>
      </c>
      <c r="K3616" t="inlineStr">
        <is>
          <t>¼凯利超上限，取3%</t>
        </is>
      </c>
    </row>
    <row r="3617">
      <c r="A3617" t="inlineStr">
        <is>
          <t>2024-11-07</t>
        </is>
      </c>
      <c r="B3617" t="inlineStr">
        <is>
          <t>玻璃</t>
        </is>
      </c>
      <c r="C3617" t="inlineStr">
        <is>
          <t>多</t>
        </is>
      </c>
      <c r="D3617" t="n">
        <v>2</v>
      </c>
      <c r="E3617" t="n">
        <v>5</v>
      </c>
      <c r="F3617" t="inlineStr">
        <is>
          <t>影子仓</t>
        </is>
      </c>
      <c r="G3617" t="n">
        <v>2</v>
      </c>
      <c r="H3617" t="n">
        <v>1385</v>
      </c>
      <c r="I3617" t="n">
        <v>1200.07</v>
      </c>
      <c r="J3617" t="n">
        <v>1</v>
      </c>
      <c r="K3617" t="inlineStr">
        <is>
          <t>凯利≤0，开1%影子仓（只统计，不计入组合）</t>
        </is>
      </c>
    </row>
    <row r="3618">
      <c r="A3618" t="inlineStr">
        <is>
          <t>2024-11-07</t>
        </is>
      </c>
      <c r="B3618" t="inlineStr">
        <is>
          <t>塑料</t>
        </is>
      </c>
      <c r="C3618" t="inlineStr">
        <is>
          <t>多</t>
        </is>
      </c>
      <c r="D3618" t="n">
        <v>2</v>
      </c>
      <c r="E3618" t="n">
        <v>4</v>
      </c>
      <c r="F3618" t="inlineStr">
        <is>
          <t>续持</t>
        </is>
      </c>
      <c r="G3618" t="n">
        <v>7</v>
      </c>
      <c r="H3618" t="n">
        <v>8270</v>
      </c>
      <c r="I3618" t="n">
        <v>8049.71</v>
      </c>
      <c r="J3618" t="n">
        <v>1</v>
      </c>
      <c r="K3618" t="inlineStr">
        <is>
          <t>续持原仓（2024-10-24开）</t>
        </is>
      </c>
    </row>
    <row r="3619">
      <c r="A3619" t="inlineStr">
        <is>
          <t>2024-11-08</t>
        </is>
      </c>
      <c r="B3619" t="inlineStr">
        <is>
          <t>棕榈油</t>
        </is>
      </c>
      <c r="C3619" t="inlineStr">
        <is>
          <t>多</t>
        </is>
      </c>
      <c r="D3619" t="n">
        <v>3</v>
      </c>
      <c r="E3619" t="n">
        <v>6</v>
      </c>
      <c r="F3619" t="inlineStr">
        <is>
          <t>续持</t>
        </is>
      </c>
      <c r="G3619" t="n">
        <v>1</v>
      </c>
      <c r="H3619" t="n">
        <v>10088</v>
      </c>
      <c r="I3619" t="n">
        <v>9561.709999999999</v>
      </c>
      <c r="J3619" t="n">
        <v>1</v>
      </c>
      <c r="K3619" t="inlineStr">
        <is>
          <t>续持原仓（2024-11-05开）</t>
        </is>
      </c>
    </row>
    <row r="3620">
      <c r="A3620" t="inlineStr">
        <is>
          <t>2024-11-08</t>
        </is>
      </c>
      <c r="B3620" t="inlineStr">
        <is>
          <t>沪铝</t>
        </is>
      </c>
      <c r="C3620" t="inlineStr">
        <is>
          <t>多</t>
        </is>
      </c>
      <c r="D3620" t="n">
        <v>3</v>
      </c>
      <c r="E3620" t="n">
        <v>6</v>
      </c>
      <c r="F3620" t="inlineStr">
        <is>
          <t>开仓</t>
        </is>
      </c>
      <c r="G3620" t="n">
        <v>6</v>
      </c>
      <c r="H3620" t="n">
        <v>21690</v>
      </c>
      <c r="I3620" t="n">
        <v>20767.5</v>
      </c>
      <c r="J3620" t="n">
        <v>3</v>
      </c>
      <c r="K3620" t="inlineStr">
        <is>
          <t>¼凯利超上限，取3%</t>
        </is>
      </c>
    </row>
    <row r="3621">
      <c r="A3621" t="inlineStr">
        <is>
          <t>2024-11-11</t>
        </is>
      </c>
      <c r="B3621" t="inlineStr">
        <is>
          <t>棕榈油</t>
        </is>
      </c>
      <c r="C3621" t="inlineStr">
        <is>
          <t>多</t>
        </is>
      </c>
      <c r="D3621" t="n">
        <v>3</v>
      </c>
      <c r="E3621" t="n">
        <v>7</v>
      </c>
      <c r="F3621" t="inlineStr">
        <is>
          <t>续持</t>
        </is>
      </c>
      <c r="G3621" t="n">
        <v>1</v>
      </c>
      <c r="H3621" t="n">
        <v>10212</v>
      </c>
      <c r="I3621" t="n">
        <v>9743.43</v>
      </c>
      <c r="J3621" t="n">
        <v>1</v>
      </c>
      <c r="K3621" t="inlineStr">
        <is>
          <t>续持原仓（2024-11-05开）</t>
        </is>
      </c>
    </row>
    <row r="3622">
      <c r="A3622" t="inlineStr">
        <is>
          <t>2024-11-11</t>
        </is>
      </c>
      <c r="B3622" t="inlineStr">
        <is>
          <t>甲醇</t>
        </is>
      </c>
      <c r="C3622" t="inlineStr">
        <is>
          <t>空</t>
        </is>
      </c>
      <c r="D3622" t="n">
        <v>3</v>
      </c>
      <c r="E3622" t="n">
        <v>6</v>
      </c>
      <c r="F3622" t="inlineStr">
        <is>
          <t>续持</t>
        </is>
      </c>
      <c r="G3622" t="n">
        <v>25</v>
      </c>
      <c r="H3622" t="n">
        <v>2487</v>
      </c>
      <c r="I3622" t="n">
        <v>2584.43</v>
      </c>
      <c r="J3622" t="n">
        <v>3</v>
      </c>
      <c r="K3622" t="inlineStr">
        <is>
          <t>续持原仓（2024-11-06开）</t>
        </is>
      </c>
    </row>
    <row r="3623">
      <c r="A3623" t="inlineStr">
        <is>
          <t>2024-11-11</t>
        </is>
      </c>
      <c r="B3623" t="inlineStr">
        <is>
          <t>PTA</t>
        </is>
      </c>
      <c r="C3623" t="inlineStr">
        <is>
          <t>多</t>
        </is>
      </c>
      <c r="D3623" t="n">
        <v>2</v>
      </c>
      <c r="E3623" t="n">
        <v>4</v>
      </c>
      <c r="F3623" t="inlineStr">
        <is>
          <t>观望</t>
        </is>
      </c>
      <c r="G3623" t="n">
        <v>6</v>
      </c>
      <c r="H3623" t="n">
        <v>4926</v>
      </c>
      <c r="I3623" t="n">
        <v>4620.86</v>
      </c>
      <c r="J3623" t="n">
        <v>1</v>
      </c>
      <c r="K3623" t="inlineStr">
        <is>
          <t>逆5日线（收盘在5日线下，不追多）</t>
        </is>
      </c>
    </row>
    <row r="3624">
      <c r="A3624" t="inlineStr">
        <is>
          <t>2024-11-12</t>
        </is>
      </c>
      <c r="B3624" t="inlineStr">
        <is>
          <t>棕榈油</t>
        </is>
      </c>
      <c r="C3624" t="inlineStr">
        <is>
          <t>多</t>
        </is>
      </c>
      <c r="D3624" t="n">
        <v>2</v>
      </c>
      <c r="E3624" t="n">
        <v>5</v>
      </c>
      <c r="F3624" t="inlineStr">
        <is>
          <t>续持</t>
        </is>
      </c>
      <c r="G3624" t="n">
        <v>1</v>
      </c>
      <c r="H3624" t="n">
        <v>10146</v>
      </c>
      <c r="I3624" t="n">
        <v>9751.709999999999</v>
      </c>
      <c r="J3624" t="n">
        <v>1</v>
      </c>
      <c r="K3624" t="inlineStr">
        <is>
          <t>续持原仓（2024-11-05开）</t>
        </is>
      </c>
    </row>
    <row r="3625">
      <c r="A3625" t="inlineStr">
        <is>
          <t>2024-11-12</t>
        </is>
      </c>
      <c r="B3625" t="inlineStr">
        <is>
          <t>甲醇</t>
        </is>
      </c>
      <c r="C3625" t="inlineStr">
        <is>
          <t>空</t>
        </is>
      </c>
      <c r="D3625" t="n">
        <v>2</v>
      </c>
      <c r="E3625" t="n">
        <v>5</v>
      </c>
      <c r="F3625" t="inlineStr">
        <is>
          <t>续持</t>
        </is>
      </c>
      <c r="G3625" t="n">
        <v>25</v>
      </c>
      <c r="H3625" t="n">
        <v>2479</v>
      </c>
      <c r="I3625" t="n">
        <v>2584.43</v>
      </c>
      <c r="J3625" t="n">
        <v>3</v>
      </c>
      <c r="K3625" t="inlineStr">
        <is>
          <t>续持原仓（2024-11-06开）</t>
        </is>
      </c>
    </row>
    <row r="3626">
      <c r="A3626" t="inlineStr">
        <is>
          <t>2024-11-13</t>
        </is>
      </c>
      <c r="B3626" t="inlineStr">
        <is>
          <t>甲醇</t>
        </is>
      </c>
      <c r="C3626" t="inlineStr">
        <is>
          <t>空</t>
        </is>
      </c>
      <c r="D3626" t="n">
        <v>2</v>
      </c>
      <c r="E3626" t="n">
        <v>4</v>
      </c>
      <c r="F3626" t="inlineStr">
        <is>
          <t>续持</t>
        </is>
      </c>
      <c r="G3626" t="n">
        <v>25</v>
      </c>
      <c r="H3626" t="n">
        <v>2492</v>
      </c>
      <c r="I3626" t="n">
        <v>2583.36</v>
      </c>
      <c r="J3626" t="n">
        <v>3</v>
      </c>
      <c r="K3626" t="inlineStr">
        <is>
          <t>续持原仓（2024-11-06开）</t>
        </is>
      </c>
    </row>
    <row r="3627">
      <c r="A3627" t="inlineStr">
        <is>
          <t>2024-11-13</t>
        </is>
      </c>
      <c r="B3627" t="inlineStr">
        <is>
          <t>PTA</t>
        </is>
      </c>
      <c r="C3627" t="inlineStr">
        <is>
          <t>多</t>
        </is>
      </c>
      <c r="D3627" t="n">
        <v>2</v>
      </c>
      <c r="E3627" t="n">
        <v>4</v>
      </c>
      <c r="F3627" t="inlineStr">
        <is>
          <t>观望</t>
        </is>
      </c>
      <c r="G3627" t="n">
        <v>6</v>
      </c>
      <c r="H3627" t="n">
        <v>4906</v>
      </c>
      <c r="I3627" t="n">
        <v>4605.57</v>
      </c>
      <c r="J3627" t="n">
        <v>1</v>
      </c>
      <c r="K3627" t="inlineStr">
        <is>
          <t>逆5日线（收盘在5日线下，不追多）</t>
        </is>
      </c>
    </row>
    <row r="3628">
      <c r="A3628" t="inlineStr">
        <is>
          <t>2024-11-14</t>
        </is>
      </c>
      <c r="B3628" t="inlineStr">
        <is>
          <t>豆油</t>
        </is>
      </c>
      <c r="C3628" t="inlineStr">
        <is>
          <t>多</t>
        </is>
      </c>
      <c r="D3628" t="n">
        <v>3</v>
      </c>
      <c r="E3628" t="n">
        <v>6</v>
      </c>
      <c r="F3628" t="inlineStr">
        <is>
          <t>观望</t>
        </is>
      </c>
      <c r="G3628" t="n">
        <v>5</v>
      </c>
      <c r="H3628" t="n">
        <v>8320</v>
      </c>
      <c r="I3628" t="n">
        <v>7794.14</v>
      </c>
      <c r="J3628" t="n">
        <v>3</v>
      </c>
      <c r="K3628" t="inlineStr">
        <is>
          <t>逆5日线（收盘在5日线下，不追多）</t>
        </is>
      </c>
    </row>
    <row r="3629">
      <c r="A3629" t="inlineStr">
        <is>
          <t>2024-11-14</t>
        </is>
      </c>
      <c r="B3629" t="inlineStr">
        <is>
          <t>沪镍</t>
        </is>
      </c>
      <c r="C3629" t="inlineStr">
        <is>
          <t>空</t>
        </is>
      </c>
      <c r="D3629" t="n">
        <v>2</v>
      </c>
      <c r="E3629" t="n">
        <v>4</v>
      </c>
      <c r="F3629" t="inlineStr">
        <is>
          <t>续持</t>
        </is>
      </c>
      <c r="G3629" t="n">
        <v>1</v>
      </c>
      <c r="H3629" t="n">
        <v>124880</v>
      </c>
      <c r="I3629" t="n">
        <v>128621.43</v>
      </c>
      <c r="J3629" t="n">
        <v>1</v>
      </c>
      <c r="K3629" t="inlineStr">
        <is>
          <t>续持原仓（2024-10-31开）</t>
        </is>
      </c>
    </row>
    <row r="3630">
      <c r="A3630" t="inlineStr">
        <is>
          <t>2024-11-15</t>
        </is>
      </c>
      <c r="B3630" t="inlineStr">
        <is>
          <t>沪镍</t>
        </is>
      </c>
      <c r="C3630" t="inlineStr">
        <is>
          <t>空</t>
        </is>
      </c>
      <c r="D3630" t="n">
        <v>2</v>
      </c>
      <c r="E3630" t="n">
        <v>5</v>
      </c>
      <c r="F3630" t="inlineStr">
        <is>
          <t>续持</t>
        </is>
      </c>
      <c r="G3630" t="n">
        <v>1</v>
      </c>
      <c r="H3630" t="n">
        <v>123140</v>
      </c>
      <c r="I3630" t="n">
        <v>128621.43</v>
      </c>
      <c r="J3630" t="n">
        <v>1</v>
      </c>
      <c r="K3630" t="inlineStr">
        <is>
          <t>续持原仓（2024-10-31开）</t>
        </is>
      </c>
    </row>
    <row r="3631">
      <c r="A3631" t="inlineStr">
        <is>
          <t>2024-11-15</t>
        </is>
      </c>
      <c r="B3631" t="inlineStr">
        <is>
          <t>玻璃</t>
        </is>
      </c>
      <c r="C3631" t="inlineStr">
        <is>
          <t>空</t>
        </is>
      </c>
      <c r="D3631" t="n">
        <v>2</v>
      </c>
      <c r="E3631" t="n">
        <v>5</v>
      </c>
      <c r="F3631" t="inlineStr">
        <is>
          <t>影子仓</t>
        </is>
      </c>
      <c r="G3631" t="n">
        <v>2</v>
      </c>
      <c r="H3631" t="n">
        <v>1258</v>
      </c>
      <c r="I3631" t="n">
        <v>1436.07</v>
      </c>
      <c r="J3631" t="n">
        <v>1</v>
      </c>
      <c r="K3631" t="inlineStr">
        <is>
          <t>凯利≤0，开1%影子仓（只统计，不计入组合）</t>
        </is>
      </c>
    </row>
    <row r="3632">
      <c r="A3632" t="inlineStr">
        <is>
          <t>2024-11-15</t>
        </is>
      </c>
      <c r="B3632" t="inlineStr">
        <is>
          <t>PVC</t>
        </is>
      </c>
      <c r="C3632" t="inlineStr">
        <is>
          <t>空</t>
        </is>
      </c>
      <c r="D3632" t="n">
        <v>2</v>
      </c>
      <c r="E3632" t="n">
        <v>4</v>
      </c>
      <c r="F3632" t="inlineStr">
        <is>
          <t>影子仓</t>
        </is>
      </c>
      <c r="G3632" t="n">
        <v>7</v>
      </c>
      <c r="H3632" t="n">
        <v>5282</v>
      </c>
      <c r="I3632" t="n">
        <v>5540.43</v>
      </c>
      <c r="J3632" t="n">
        <v>1</v>
      </c>
      <c r="K3632" t="inlineStr">
        <is>
          <t>凯利≤0，开1%影子仓（只统计，不计入组合）</t>
        </is>
      </c>
    </row>
    <row r="3633">
      <c r="A3633" t="inlineStr">
        <is>
          <t>2024-11-15</t>
        </is>
      </c>
      <c r="B3633" t="inlineStr">
        <is>
          <t>聚丙烯</t>
        </is>
      </c>
      <c r="C3633" t="inlineStr">
        <is>
          <t>空</t>
        </is>
      </c>
      <c r="D3633" t="n">
        <v>2</v>
      </c>
      <c r="E3633" t="n">
        <v>4</v>
      </c>
      <c r="F3633" t="inlineStr">
        <is>
          <t>影子仓</t>
        </is>
      </c>
      <c r="G3633" t="n">
        <v>9</v>
      </c>
      <c r="H3633" t="n">
        <v>7413</v>
      </c>
      <c r="I3633" t="n">
        <v>7625.14</v>
      </c>
      <c r="J3633" t="n">
        <v>1</v>
      </c>
      <c r="K3633" t="inlineStr">
        <is>
          <t>凯利≤0，开1%影子仓（只统计，不计入组合）</t>
        </is>
      </c>
    </row>
    <row r="3634">
      <c r="A3634" t="inlineStr">
        <is>
          <t>2024-11-15</t>
        </is>
      </c>
      <c r="B3634" t="inlineStr">
        <is>
          <t>甲醇</t>
        </is>
      </c>
      <c r="C3634" t="inlineStr">
        <is>
          <t>空</t>
        </is>
      </c>
      <c r="D3634" t="n">
        <v>2</v>
      </c>
      <c r="E3634" t="n">
        <v>4</v>
      </c>
      <c r="F3634" t="inlineStr">
        <is>
          <t>观望</t>
        </is>
      </c>
      <c r="G3634" t="n">
        <v>8</v>
      </c>
      <c r="H3634" t="n">
        <v>2490</v>
      </c>
      <c r="I3634" t="n">
        <v>2607.21</v>
      </c>
      <c r="J3634" t="n">
        <v>1</v>
      </c>
      <c r="K3634" t="inlineStr">
        <is>
          <t>逆5日线（收盘在5日线上，不追空）</t>
        </is>
      </c>
    </row>
    <row r="3635">
      <c r="A3635" t="inlineStr">
        <is>
          <t>2024-11-18</t>
        </is>
      </c>
      <c r="B3635" t="inlineStr">
        <is>
          <t>玻璃</t>
        </is>
      </c>
      <c r="C3635" t="inlineStr">
        <is>
          <t>空</t>
        </is>
      </c>
      <c r="D3635" t="n">
        <v>3</v>
      </c>
      <c r="E3635" t="n">
        <v>7</v>
      </c>
      <c r="F3635" t="inlineStr">
        <is>
          <t>续持</t>
        </is>
      </c>
      <c r="G3635" t="n">
        <v>2</v>
      </c>
      <c r="H3635" t="n">
        <v>1239</v>
      </c>
      <c r="I3635" t="n">
        <v>1395.07</v>
      </c>
      <c r="J3635" t="n">
        <v>1</v>
      </c>
      <c r="K3635" t="inlineStr">
        <is>
          <t>续持原仓（2024-11-15开）</t>
        </is>
      </c>
    </row>
    <row r="3636">
      <c r="A3636" t="inlineStr">
        <is>
          <t>2024-11-18</t>
        </is>
      </c>
      <c r="B3636" t="inlineStr">
        <is>
          <t>工业硅</t>
        </is>
      </c>
      <c r="C3636" t="inlineStr">
        <is>
          <t>空</t>
        </is>
      </c>
      <c r="D3636" t="n">
        <v>3</v>
      </c>
      <c r="E3636" t="n">
        <v>6</v>
      </c>
      <c r="F3636" t="inlineStr">
        <is>
          <t>开仓</t>
        </is>
      </c>
      <c r="G3636" t="n">
        <v>8</v>
      </c>
      <c r="H3636" t="n">
        <v>12380</v>
      </c>
      <c r="I3636" t="n">
        <v>13103.21</v>
      </c>
      <c r="J3636" t="n">
        <v>3</v>
      </c>
      <c r="K3636" t="inlineStr">
        <is>
          <t>¼凯利超上限，取3%</t>
        </is>
      </c>
    </row>
    <row r="3637">
      <c r="A3637" t="inlineStr">
        <is>
          <t>2024-11-18</t>
        </is>
      </c>
      <c r="B3637" t="inlineStr">
        <is>
          <t>棕榈油</t>
        </is>
      </c>
      <c r="C3637" t="inlineStr">
        <is>
          <t>多</t>
        </is>
      </c>
      <c r="D3637" t="n">
        <v>2</v>
      </c>
      <c r="E3637" t="n">
        <v>4</v>
      </c>
      <c r="F3637" t="inlineStr">
        <is>
          <t>观望</t>
        </is>
      </c>
      <c r="G3637" t="n">
        <v>1</v>
      </c>
      <c r="H3637" t="n">
        <v>9878</v>
      </c>
      <c r="I3637" t="n">
        <v>9190.57</v>
      </c>
      <c r="J3637" t="n">
        <v>1</v>
      </c>
      <c r="K3637" t="inlineStr">
        <is>
          <t>逆5日线（收盘在5日线下，不追多）</t>
        </is>
      </c>
    </row>
    <row r="3638">
      <c r="A3638" t="inlineStr">
        <is>
          <t>2024-11-19</t>
        </is>
      </c>
      <c r="B3638" t="inlineStr">
        <is>
          <t>工业硅</t>
        </is>
      </c>
      <c r="C3638" t="inlineStr">
        <is>
          <t>空</t>
        </is>
      </c>
      <c r="D3638" t="n">
        <v>3</v>
      </c>
      <c r="E3638" t="n">
        <v>7</v>
      </c>
      <c r="F3638" t="inlineStr">
        <is>
          <t>续持</t>
        </is>
      </c>
      <c r="G3638" t="n">
        <v>8</v>
      </c>
      <c r="H3638" t="n">
        <v>12310</v>
      </c>
      <c r="I3638" t="n">
        <v>12923.93</v>
      </c>
      <c r="J3638" t="n">
        <v>3</v>
      </c>
      <c r="K3638" t="inlineStr">
        <is>
          <t>续持原仓（2024-11-18开）</t>
        </is>
      </c>
    </row>
    <row r="3639">
      <c r="A3639" t="inlineStr">
        <is>
          <t>2024-11-19</t>
        </is>
      </c>
      <c r="B3639" t="inlineStr">
        <is>
          <t>棕榈油</t>
        </is>
      </c>
      <c r="C3639" t="inlineStr">
        <is>
          <t>多</t>
        </is>
      </c>
      <c r="D3639" t="n">
        <v>3</v>
      </c>
      <c r="E3639" t="n">
        <v>7</v>
      </c>
      <c r="F3639" t="inlineStr">
        <is>
          <t>开仓</t>
        </is>
      </c>
      <c r="G3639" t="n">
        <v>4</v>
      </c>
      <c r="H3639" t="n">
        <v>9966</v>
      </c>
      <c r="I3639" t="n">
        <v>9227.57</v>
      </c>
      <c r="J3639" t="n">
        <v>3</v>
      </c>
      <c r="K3639" t="inlineStr">
        <is>
          <t>¼凯利超上限，取3%</t>
        </is>
      </c>
    </row>
    <row r="3640">
      <c r="A3640" t="inlineStr">
        <is>
          <t>2024-11-19</t>
        </is>
      </c>
      <c r="B3640" t="inlineStr">
        <is>
          <t>PTA</t>
        </is>
      </c>
      <c r="C3640" t="inlineStr">
        <is>
          <t>多</t>
        </is>
      </c>
      <c r="D3640" t="n">
        <v>2</v>
      </c>
      <c r="E3640" t="n">
        <v>4</v>
      </c>
      <c r="F3640" t="inlineStr">
        <is>
          <t>影子仓</t>
        </is>
      </c>
      <c r="G3640" t="n">
        <v>7</v>
      </c>
      <c r="H3640" t="n">
        <v>4848</v>
      </c>
      <c r="I3640" t="n">
        <v>4566.43</v>
      </c>
      <c r="J3640" t="n">
        <v>1</v>
      </c>
      <c r="K3640" t="inlineStr">
        <is>
          <t>凯利≤0，开1%影子仓（只统计，不计入组合）</t>
        </is>
      </c>
    </row>
    <row r="3641">
      <c r="A3641" t="inlineStr">
        <is>
          <t>2024-11-20</t>
        </is>
      </c>
      <c r="B3641" t="inlineStr">
        <is>
          <t>沥青</t>
        </is>
      </c>
      <c r="C3641" t="inlineStr">
        <is>
          <t>多</t>
        </is>
      </c>
      <c r="D3641" t="n">
        <v>3</v>
      </c>
      <c r="E3641" t="n">
        <v>6</v>
      </c>
      <c r="F3641" t="inlineStr">
        <is>
          <t>开仓</t>
        </is>
      </c>
      <c r="G3641" t="n">
        <v>16</v>
      </c>
      <c r="H3641" t="n">
        <v>3360</v>
      </c>
      <c r="I3641" t="n">
        <v>3173.79</v>
      </c>
      <c r="J3641" t="n">
        <v>3</v>
      </c>
      <c r="K3641" t="inlineStr">
        <is>
          <t>¼凯利超上限，取3%</t>
        </is>
      </c>
    </row>
    <row r="3642">
      <c r="A3642" t="inlineStr">
        <is>
          <t>2024-11-20</t>
        </is>
      </c>
      <c r="B3642" t="inlineStr">
        <is>
          <t>棉花</t>
        </is>
      </c>
      <c r="C3642" t="inlineStr">
        <is>
          <t>空</t>
        </is>
      </c>
      <c r="D3642" t="n">
        <v>3</v>
      </c>
      <c r="E3642" t="n">
        <v>6</v>
      </c>
      <c r="F3642" t="inlineStr">
        <is>
          <t>开仓</t>
        </is>
      </c>
      <c r="G3642" t="n">
        <v>13</v>
      </c>
      <c r="H3642" t="n">
        <v>13930</v>
      </c>
      <c r="I3642" t="n">
        <v>14367.14</v>
      </c>
      <c r="J3642" t="n">
        <v>3</v>
      </c>
      <c r="K3642" t="inlineStr">
        <is>
          <t>¼凯利超上限，取3%</t>
        </is>
      </c>
    </row>
    <row r="3643">
      <c r="A3643" t="inlineStr">
        <is>
          <t>2024-11-20</t>
        </is>
      </c>
      <c r="B3643" t="inlineStr">
        <is>
          <t>工业硅</t>
        </is>
      </c>
      <c r="C3643" t="inlineStr">
        <is>
          <t>空</t>
        </is>
      </c>
      <c r="D3643" t="n">
        <v>2</v>
      </c>
      <c r="E3643" t="n">
        <v>5</v>
      </c>
      <c r="F3643" t="inlineStr">
        <is>
          <t>观望</t>
        </is>
      </c>
      <c r="G3643" t="n">
        <v>2</v>
      </c>
      <c r="H3643" t="n">
        <v>12420</v>
      </c>
      <c r="I3643" t="n">
        <v>13114.29</v>
      </c>
      <c r="J3643" t="n">
        <v>1</v>
      </c>
      <c r="K3643" t="inlineStr">
        <is>
          <t>逆5日线（收盘在5日线上，不追空）</t>
        </is>
      </c>
    </row>
    <row r="3644">
      <c r="A3644" t="inlineStr">
        <is>
          <t>2024-11-20</t>
        </is>
      </c>
      <c r="B3644" t="inlineStr">
        <is>
          <t>沪铜</t>
        </is>
      </c>
      <c r="C3644" t="inlineStr">
        <is>
          <t>多</t>
        </is>
      </c>
      <c r="D3644" t="n">
        <v>2</v>
      </c>
      <c r="E3644" t="n">
        <v>4</v>
      </c>
      <c r="F3644" t="inlineStr">
        <is>
          <t>不做</t>
        </is>
      </c>
      <c r="H3644" t="n">
        <v>74620</v>
      </c>
      <c r="J3644" t="n">
        <v>1</v>
      </c>
      <c r="K3644" t="inlineStr">
        <is>
          <t>1手风险16886元超过预算10000元</t>
        </is>
      </c>
    </row>
    <row r="3645">
      <c r="A3645" t="inlineStr">
        <is>
          <t>2024-11-21</t>
        </is>
      </c>
      <c r="B3645" t="inlineStr">
        <is>
          <t>菜粕</t>
        </is>
      </c>
      <c r="C3645" t="inlineStr">
        <is>
          <t>空</t>
        </is>
      </c>
      <c r="D3645" t="n">
        <v>3</v>
      </c>
      <c r="E3645" t="n">
        <v>7</v>
      </c>
      <c r="F3645" t="inlineStr">
        <is>
          <t>开仓</t>
        </is>
      </c>
      <c r="G3645" t="n">
        <v>4</v>
      </c>
      <c r="H3645" t="n">
        <v>2315</v>
      </c>
      <c r="I3645" t="n">
        <v>2518.36</v>
      </c>
      <c r="J3645" t="n">
        <v>1</v>
      </c>
      <c r="K3645" t="inlineStr">
        <is>
          <t>组合风险已近10%，预算缩小</t>
        </is>
      </c>
    </row>
    <row r="3646">
      <c r="A3646" t="inlineStr">
        <is>
          <t>2024-11-21</t>
        </is>
      </c>
      <c r="B3646" t="inlineStr">
        <is>
          <t>工业硅</t>
        </is>
      </c>
      <c r="C3646" t="inlineStr">
        <is>
          <t>空</t>
        </is>
      </c>
      <c r="D3646" t="n">
        <v>3</v>
      </c>
      <c r="E3646" t="n">
        <v>6</v>
      </c>
      <c r="F3646" t="inlineStr">
        <is>
          <t>观望</t>
        </is>
      </c>
      <c r="H3646" t="n">
        <v>12430</v>
      </c>
      <c r="J3646" t="n">
        <v>0</v>
      </c>
      <c r="K3646" t="inlineStr">
        <is>
          <t>逆5日线（收盘在5日线上，不追空）</t>
        </is>
      </c>
    </row>
    <row r="3647">
      <c r="A3647" t="inlineStr">
        <is>
          <t>2024-11-21</t>
        </is>
      </c>
      <c r="B3647" t="inlineStr">
        <is>
          <t>沥青</t>
        </is>
      </c>
      <c r="C3647" t="inlineStr">
        <is>
          <t>多</t>
        </is>
      </c>
      <c r="D3647" t="n">
        <v>3</v>
      </c>
      <c r="E3647" t="n">
        <v>6</v>
      </c>
      <c r="F3647" t="inlineStr">
        <is>
          <t>续持</t>
        </is>
      </c>
      <c r="G3647" t="n">
        <v>16</v>
      </c>
      <c r="H3647" t="n">
        <v>3367</v>
      </c>
      <c r="I3647" t="n">
        <v>3208.93</v>
      </c>
      <c r="J3647" t="n">
        <v>3</v>
      </c>
      <c r="K3647" t="inlineStr">
        <is>
          <t>续持原仓（2024-11-20开）</t>
        </is>
      </c>
    </row>
    <row r="3648">
      <c r="A3648" t="inlineStr">
        <is>
          <t>2024-11-21</t>
        </is>
      </c>
      <c r="B3648" t="inlineStr">
        <is>
          <t>螺纹钢</t>
        </is>
      </c>
      <c r="C3648" t="inlineStr">
        <is>
          <t>多</t>
        </is>
      </c>
      <c r="D3648" t="n">
        <v>2</v>
      </c>
      <c r="E3648" t="n">
        <v>5</v>
      </c>
      <c r="F3648" t="inlineStr">
        <is>
          <t>影子仓</t>
        </is>
      </c>
      <c r="G3648" t="n">
        <v>4</v>
      </c>
      <c r="H3648" t="n">
        <v>3332</v>
      </c>
      <c r="I3648" t="n">
        <v>3122.43</v>
      </c>
      <c r="J3648" t="n">
        <v>1</v>
      </c>
      <c r="K3648" t="inlineStr">
        <is>
          <t>凯利≤0，开1%影子仓（只统计，不计入组合）</t>
        </is>
      </c>
    </row>
    <row r="3649">
      <c r="A3649" t="inlineStr">
        <is>
          <t>2024-11-22</t>
        </is>
      </c>
      <c r="B3649" t="inlineStr">
        <is>
          <t>工业硅</t>
        </is>
      </c>
      <c r="C3649" t="inlineStr">
        <is>
          <t>空</t>
        </is>
      </c>
      <c r="D3649" t="n">
        <v>3</v>
      </c>
      <c r="E3649" t="n">
        <v>7</v>
      </c>
      <c r="F3649" t="inlineStr">
        <is>
          <t>续持</t>
        </is>
      </c>
      <c r="G3649" t="n">
        <v>8</v>
      </c>
      <c r="H3649" t="n">
        <v>12270</v>
      </c>
      <c r="I3649" t="n">
        <v>12828.57</v>
      </c>
      <c r="J3649" t="n">
        <v>3</v>
      </c>
      <c r="K3649" t="inlineStr">
        <is>
          <t>续持原仓（2024-11-18开）</t>
        </is>
      </c>
    </row>
    <row r="3650">
      <c r="A3650" t="inlineStr">
        <is>
          <t>2024-11-22</t>
        </is>
      </c>
      <c r="B3650" t="inlineStr">
        <is>
          <t>PVC</t>
        </is>
      </c>
      <c r="C3650" t="inlineStr">
        <is>
          <t>空</t>
        </is>
      </c>
      <c r="D3650" t="n">
        <v>3</v>
      </c>
      <c r="E3650" t="n">
        <v>7</v>
      </c>
      <c r="F3650" t="inlineStr">
        <is>
          <t>开仓</t>
        </is>
      </c>
      <c r="G3650" t="n">
        <v>8</v>
      </c>
      <c r="H3650" t="n">
        <v>5236</v>
      </c>
      <c r="I3650" t="n">
        <v>5470.64</v>
      </c>
      <c r="J3650" t="n">
        <v>1</v>
      </c>
      <c r="K3650" t="inlineStr">
        <is>
          <t>组合风险已近10%，预算缩小</t>
        </is>
      </c>
    </row>
    <row r="3651">
      <c r="A3651" t="inlineStr">
        <is>
          <t>2024-11-22</t>
        </is>
      </c>
      <c r="B3651" t="inlineStr">
        <is>
          <t>沥青</t>
        </is>
      </c>
      <c r="C3651" t="inlineStr">
        <is>
          <t>多</t>
        </is>
      </c>
      <c r="D3651" t="n">
        <v>3</v>
      </c>
      <c r="E3651" t="n">
        <v>6</v>
      </c>
      <c r="F3651" t="inlineStr">
        <is>
          <t>续持</t>
        </is>
      </c>
      <c r="G3651" t="n">
        <v>16</v>
      </c>
      <c r="H3651" t="n">
        <v>3393</v>
      </c>
      <c r="I3651" t="n">
        <v>3217.64</v>
      </c>
      <c r="J3651" t="n">
        <v>3</v>
      </c>
      <c r="K3651" t="inlineStr">
        <is>
          <t>续持原仓（2024-11-20开）</t>
        </is>
      </c>
    </row>
    <row r="3652">
      <c r="A3652" t="inlineStr">
        <is>
          <t>2024-11-22</t>
        </is>
      </c>
      <c r="B3652" t="inlineStr">
        <is>
          <t>燃料油</t>
        </is>
      </c>
      <c r="C3652" t="inlineStr">
        <is>
          <t>多</t>
        </is>
      </c>
      <c r="D3652" t="n">
        <v>3</v>
      </c>
      <c r="E3652" t="n">
        <v>6</v>
      </c>
      <c r="F3652" t="inlineStr">
        <is>
          <t>不做</t>
        </is>
      </c>
      <c r="H3652" t="n">
        <v>3111</v>
      </c>
      <c r="J3652" t="n">
        <v>0</v>
      </c>
      <c r="K3652" t="inlineStr">
        <is>
          <t>组合风险已近10%，预算缩小</t>
        </is>
      </c>
    </row>
    <row r="3653">
      <c r="A3653" t="inlineStr">
        <is>
          <t>2024-11-22</t>
        </is>
      </c>
      <c r="B3653" t="inlineStr">
        <is>
          <t>碳酸锂</t>
        </is>
      </c>
      <c r="C3653" t="inlineStr">
        <is>
          <t>空</t>
        </is>
      </c>
      <c r="D3653" t="n">
        <v>2</v>
      </c>
      <c r="E3653" t="n">
        <v>5</v>
      </c>
      <c r="F3653" t="inlineStr">
        <is>
          <t>不做</t>
        </is>
      </c>
      <c r="H3653" t="n">
        <v>79500</v>
      </c>
      <c r="J3653" t="n">
        <v>1</v>
      </c>
      <c r="K3653" t="inlineStr">
        <is>
          <t>1手风险10264元超过预算10000元</t>
        </is>
      </c>
    </row>
    <row r="3654">
      <c r="A3654" t="inlineStr">
        <is>
          <t>2024-11-22</t>
        </is>
      </c>
      <c r="B3654" t="inlineStr">
        <is>
          <t>锰硅</t>
        </is>
      </c>
      <c r="C3654" t="inlineStr">
        <is>
          <t>多</t>
        </is>
      </c>
      <c r="D3654" t="n">
        <v>2</v>
      </c>
      <c r="E3654" t="n">
        <v>4</v>
      </c>
      <c r="F3654" t="inlineStr">
        <is>
          <t>影子仓</t>
        </is>
      </c>
      <c r="G3654" t="n">
        <v>6</v>
      </c>
      <c r="H3654" t="n">
        <v>6320</v>
      </c>
      <c r="I3654" t="n">
        <v>5994.71</v>
      </c>
      <c r="J3654" t="n">
        <v>1</v>
      </c>
      <c r="K3654" t="inlineStr">
        <is>
          <t>凯利≤0，开1%影子仓（只统计，不计入组合）</t>
        </is>
      </c>
    </row>
    <row r="3655">
      <c r="A3655" t="inlineStr">
        <is>
          <t>2024-11-22</t>
        </is>
      </c>
      <c r="B3655" t="inlineStr">
        <is>
          <t>PTA</t>
        </is>
      </c>
      <c r="C3655" t="inlineStr">
        <is>
          <t>多</t>
        </is>
      </c>
      <c r="D3655" t="n">
        <v>2</v>
      </c>
      <c r="E3655" t="n">
        <v>4</v>
      </c>
      <c r="F3655" t="inlineStr">
        <is>
          <t>影子仓</t>
        </is>
      </c>
      <c r="G3655" t="n">
        <v>7</v>
      </c>
      <c r="H3655" t="n">
        <v>4868</v>
      </c>
      <c r="I3655" t="n">
        <v>4590.29</v>
      </c>
      <c r="J3655" t="n">
        <v>1</v>
      </c>
      <c r="K3655" t="inlineStr">
        <is>
          <t>凯利≤0，开1%影子仓（只统计，不计入组合）</t>
        </is>
      </c>
    </row>
    <row r="3656">
      <c r="A3656" t="inlineStr">
        <is>
          <t>2024-11-22</t>
        </is>
      </c>
      <c r="B3656" t="inlineStr">
        <is>
          <t>豆油</t>
        </is>
      </c>
      <c r="C3656" t="inlineStr">
        <is>
          <t>空</t>
        </is>
      </c>
      <c r="D3656" t="n">
        <v>2</v>
      </c>
      <c r="E3656" t="n">
        <v>4</v>
      </c>
      <c r="F3656" t="inlineStr">
        <is>
          <t>影子仓</t>
        </is>
      </c>
      <c r="G3656" t="n">
        <v>1</v>
      </c>
      <c r="H3656" t="n">
        <v>7774</v>
      </c>
      <c r="I3656" t="n">
        <v>8325.57</v>
      </c>
      <c r="J3656" t="n">
        <v>1</v>
      </c>
      <c r="K3656" t="inlineStr">
        <is>
          <t>凯利≤0，开1%影子仓（只统计，不计入组合）</t>
        </is>
      </c>
    </row>
    <row r="3657">
      <c r="A3657" t="inlineStr">
        <is>
          <t>2024-11-25</t>
        </is>
      </c>
      <c r="B3657" t="inlineStr">
        <is>
          <t>工业硅</t>
        </is>
      </c>
      <c r="C3657" t="inlineStr">
        <is>
          <t>空</t>
        </is>
      </c>
      <c r="D3657" t="n">
        <v>3</v>
      </c>
      <c r="E3657" t="n">
        <v>7</v>
      </c>
      <c r="F3657" t="inlineStr">
        <is>
          <t>续持</t>
        </is>
      </c>
      <c r="G3657" t="n">
        <v>8</v>
      </c>
      <c r="H3657" t="n">
        <v>12200</v>
      </c>
      <c r="I3657" t="n">
        <v>12811.43</v>
      </c>
      <c r="J3657" t="n">
        <v>3</v>
      </c>
      <c r="K3657" t="inlineStr">
        <is>
          <t>续持原仓（2024-11-18开）</t>
        </is>
      </c>
    </row>
    <row r="3658">
      <c r="A3658" t="inlineStr">
        <is>
          <t>2024-11-25</t>
        </is>
      </c>
      <c r="B3658" t="inlineStr">
        <is>
          <t>玻璃</t>
        </is>
      </c>
      <c r="C3658" t="inlineStr">
        <is>
          <t>空</t>
        </is>
      </c>
      <c r="D3658" t="n">
        <v>3</v>
      </c>
      <c r="E3658" t="n">
        <v>6</v>
      </c>
      <c r="F3658" t="inlineStr">
        <is>
          <t>开仓</t>
        </is>
      </c>
      <c r="G3658" t="n">
        <v>3</v>
      </c>
      <c r="H3658" t="n">
        <v>1243</v>
      </c>
      <c r="I3658" t="n">
        <v>1384</v>
      </c>
      <c r="J3658" t="n">
        <v>1</v>
      </c>
      <c r="K3658" t="inlineStr">
        <is>
          <t>组合风险已近10%，预算缩小</t>
        </is>
      </c>
    </row>
    <row r="3659">
      <c r="A3659" t="inlineStr">
        <is>
          <t>2024-11-25</t>
        </is>
      </c>
      <c r="B3659" t="inlineStr">
        <is>
          <t>沥青</t>
        </is>
      </c>
      <c r="C3659" t="inlineStr">
        <is>
          <t>多</t>
        </is>
      </c>
      <c r="D3659" t="n">
        <v>3</v>
      </c>
      <c r="E3659" t="n">
        <v>6</v>
      </c>
      <c r="F3659" t="inlineStr">
        <is>
          <t>续持</t>
        </is>
      </c>
      <c r="G3659" t="n">
        <v>16</v>
      </c>
      <c r="H3659" t="n">
        <v>3397</v>
      </c>
      <c r="I3659" t="n">
        <v>3220.64</v>
      </c>
      <c r="J3659" t="n">
        <v>3</v>
      </c>
      <c r="K3659" t="inlineStr">
        <is>
          <t>续持原仓（2024-11-20开）</t>
        </is>
      </c>
    </row>
    <row r="3660">
      <c r="A3660" t="inlineStr">
        <is>
          <t>2024-11-26</t>
        </is>
      </c>
      <c r="B3660" t="inlineStr">
        <is>
          <t>棕榈油</t>
        </is>
      </c>
      <c r="C3660" t="inlineStr">
        <is>
          <t>多</t>
        </is>
      </c>
      <c r="D3660" t="n">
        <v>3</v>
      </c>
      <c r="E3660" t="n">
        <v>7</v>
      </c>
      <c r="F3660" t="inlineStr">
        <is>
          <t>开仓</t>
        </is>
      </c>
      <c r="G3660" t="n">
        <v>3</v>
      </c>
      <c r="H3660" t="n">
        <v>9740</v>
      </c>
      <c r="I3660" t="n">
        <v>8918</v>
      </c>
      <c r="J3660" t="n">
        <v>3</v>
      </c>
      <c r="K3660" t="inlineStr">
        <is>
          <t>¼凯利超上限，取3%</t>
        </is>
      </c>
    </row>
    <row r="3661">
      <c r="A3661" t="inlineStr">
        <is>
          <t>2024-11-26</t>
        </is>
      </c>
      <c r="B3661" t="inlineStr">
        <is>
          <t>PVC</t>
        </is>
      </c>
      <c r="C3661" t="inlineStr">
        <is>
          <t>空</t>
        </is>
      </c>
      <c r="D3661" t="n">
        <v>3</v>
      </c>
      <c r="E3661" t="n">
        <v>6</v>
      </c>
      <c r="F3661" t="inlineStr">
        <is>
          <t>开仓</t>
        </is>
      </c>
      <c r="G3661" t="n">
        <v>8</v>
      </c>
      <c r="H3661" t="n">
        <v>5246</v>
      </c>
      <c r="I3661" t="n">
        <v>5468.86</v>
      </c>
      <c r="J3661" t="n">
        <v>1</v>
      </c>
      <c r="K3661" t="inlineStr">
        <is>
          <t>组合风险已近10%，预算缩小</t>
        </is>
      </c>
    </row>
    <row r="3662">
      <c r="A3662" t="inlineStr">
        <is>
          <t>2024-11-26</t>
        </is>
      </c>
      <c r="B3662" t="inlineStr">
        <is>
          <t>沥青</t>
        </is>
      </c>
      <c r="C3662" t="inlineStr">
        <is>
          <t>多</t>
        </is>
      </c>
      <c r="D3662" t="n">
        <v>3</v>
      </c>
      <c r="E3662" t="n">
        <v>6</v>
      </c>
      <c r="F3662" t="inlineStr">
        <is>
          <t>续持</t>
        </is>
      </c>
      <c r="G3662" t="n">
        <v>16</v>
      </c>
      <c r="H3662" t="n">
        <v>3392</v>
      </c>
      <c r="I3662" t="n">
        <v>3226.14</v>
      </c>
      <c r="J3662" t="n">
        <v>3</v>
      </c>
      <c r="K3662" t="inlineStr">
        <is>
          <t>续持原仓（2024-11-20开）</t>
        </is>
      </c>
    </row>
    <row r="3663">
      <c r="A3663" t="inlineStr">
        <is>
          <t>2024-11-26</t>
        </is>
      </c>
      <c r="B3663" t="inlineStr">
        <is>
          <t>菜粕</t>
        </is>
      </c>
      <c r="C3663" t="inlineStr">
        <is>
          <t>空</t>
        </is>
      </c>
      <c r="D3663" t="n">
        <v>2</v>
      </c>
      <c r="E3663" t="n">
        <v>5</v>
      </c>
      <c r="F3663" t="inlineStr">
        <is>
          <t>影子仓</t>
        </is>
      </c>
      <c r="G3663" t="n">
        <v>4</v>
      </c>
      <c r="H3663" t="n">
        <v>2257</v>
      </c>
      <c r="I3663" t="n">
        <v>2470.21</v>
      </c>
      <c r="J3663" t="n">
        <v>1</v>
      </c>
      <c r="K3663" t="inlineStr">
        <is>
          <t>凯利≤0，开1%影子仓（只统计，不计入组合）</t>
        </is>
      </c>
    </row>
    <row r="3664">
      <c r="A3664" t="inlineStr">
        <is>
          <t>2024-11-26</t>
        </is>
      </c>
      <c r="B3664" t="inlineStr">
        <is>
          <t>沪铜</t>
        </is>
      </c>
      <c r="C3664" t="inlineStr">
        <is>
          <t>空</t>
        </is>
      </c>
      <c r="D3664" t="n">
        <v>2</v>
      </c>
      <c r="E3664" t="n">
        <v>4</v>
      </c>
      <c r="F3664" t="inlineStr">
        <is>
          <t>不做</t>
        </is>
      </c>
      <c r="H3664" t="n">
        <v>73740</v>
      </c>
      <c r="J3664" t="n">
        <v>1</v>
      </c>
      <c r="K3664" t="inlineStr">
        <is>
          <t>1手风险15450元超过预算10000元</t>
        </is>
      </c>
    </row>
    <row r="3665">
      <c r="A3665" t="inlineStr">
        <is>
          <t>2024-11-27</t>
        </is>
      </c>
      <c r="B3665" t="inlineStr">
        <is>
          <t>PVC</t>
        </is>
      </c>
      <c r="C3665" t="inlineStr">
        <is>
          <t>空</t>
        </is>
      </c>
      <c r="D3665" t="n">
        <v>3</v>
      </c>
      <c r="E3665" t="n">
        <v>6</v>
      </c>
      <c r="F3665" t="inlineStr">
        <is>
          <t>续持</t>
        </is>
      </c>
      <c r="G3665" t="n">
        <v>8</v>
      </c>
      <c r="H3665" t="n">
        <v>5237</v>
      </c>
      <c r="I3665" t="n">
        <v>5405.21</v>
      </c>
      <c r="J3665" t="n">
        <v>1</v>
      </c>
      <c r="K3665" t="inlineStr">
        <is>
          <t>续持原仓（2024-11-26开）</t>
        </is>
      </c>
    </row>
    <row r="3666">
      <c r="A3666" t="inlineStr">
        <is>
          <t>2024-11-27</t>
        </is>
      </c>
      <c r="B3666" t="inlineStr">
        <is>
          <t>沥青</t>
        </is>
      </c>
      <c r="C3666" t="inlineStr">
        <is>
          <t>多</t>
        </is>
      </c>
      <c r="D3666" t="n">
        <v>3</v>
      </c>
      <c r="E3666" t="n">
        <v>6</v>
      </c>
      <c r="F3666" t="inlineStr">
        <is>
          <t>续持</t>
        </is>
      </c>
      <c r="G3666" t="n">
        <v>16</v>
      </c>
      <c r="H3666" t="n">
        <v>3402</v>
      </c>
      <c r="I3666" t="n">
        <v>3260.36</v>
      </c>
      <c r="J3666" t="n">
        <v>3</v>
      </c>
      <c r="K3666" t="inlineStr">
        <is>
          <t>续持原仓（2024-11-20开）</t>
        </is>
      </c>
    </row>
    <row r="3667">
      <c r="A3667" t="inlineStr">
        <is>
          <t>2024-11-27</t>
        </is>
      </c>
      <c r="B3667" t="inlineStr">
        <is>
          <t>棉花</t>
        </is>
      </c>
      <c r="C3667" t="inlineStr">
        <is>
          <t>空</t>
        </is>
      </c>
      <c r="D3667" t="n">
        <v>3</v>
      </c>
      <c r="E3667" t="n">
        <v>6</v>
      </c>
      <c r="F3667" t="inlineStr">
        <is>
          <t>观望</t>
        </is>
      </c>
      <c r="H3667" t="n">
        <v>13950</v>
      </c>
      <c r="J3667" t="n">
        <v>0</v>
      </c>
      <c r="K3667" t="inlineStr">
        <is>
          <t>逆5日线（收盘在5日线上，不追空）</t>
        </is>
      </c>
    </row>
    <row r="3668">
      <c r="A3668" t="inlineStr">
        <is>
          <t>2024-11-27</t>
        </is>
      </c>
      <c r="B3668" t="inlineStr">
        <is>
          <t>棕榈油</t>
        </is>
      </c>
      <c r="C3668" t="inlineStr">
        <is>
          <t>多</t>
        </is>
      </c>
      <c r="D3668" t="n">
        <v>3</v>
      </c>
      <c r="E3668" t="n">
        <v>6</v>
      </c>
      <c r="F3668" t="inlineStr">
        <is>
          <t>续持</t>
        </is>
      </c>
      <c r="G3668" t="n">
        <v>3</v>
      </c>
      <c r="H3668" t="n">
        <v>9874</v>
      </c>
      <c r="I3668" t="n">
        <v>9077.290000000001</v>
      </c>
      <c r="J3668" t="n">
        <v>3</v>
      </c>
      <c r="K3668" t="inlineStr">
        <is>
          <t>续持原仓（2024-11-26开）</t>
        </is>
      </c>
    </row>
    <row r="3669">
      <c r="A3669" t="inlineStr">
        <is>
          <t>2024-11-27</t>
        </is>
      </c>
      <c r="B3669" t="inlineStr">
        <is>
          <t>锰硅</t>
        </is>
      </c>
      <c r="C3669" t="inlineStr">
        <is>
          <t>多</t>
        </is>
      </c>
      <c r="D3669" t="n">
        <v>3</v>
      </c>
      <c r="E3669" t="n">
        <v>6</v>
      </c>
      <c r="F3669" t="inlineStr">
        <is>
          <t>续持</t>
        </is>
      </c>
      <c r="G3669" t="n">
        <v>6</v>
      </c>
      <c r="H3669" t="n">
        <v>6394</v>
      </c>
      <c r="I3669" t="n">
        <v>6121.71</v>
      </c>
      <c r="J3669" t="n">
        <v>1</v>
      </c>
      <c r="K3669" t="inlineStr">
        <is>
          <t>续持原仓（2024-11-22开）</t>
        </is>
      </c>
    </row>
    <row r="3670">
      <c r="A3670" t="inlineStr">
        <is>
          <t>2024-11-27</t>
        </is>
      </c>
      <c r="B3670" t="inlineStr">
        <is>
          <t>沪锌</t>
        </is>
      </c>
      <c r="C3670" t="inlineStr">
        <is>
          <t>多</t>
        </is>
      </c>
      <c r="D3670" t="n">
        <v>2</v>
      </c>
      <c r="E3670" t="n">
        <v>4</v>
      </c>
      <c r="F3670" t="inlineStr">
        <is>
          <t>影子仓</t>
        </is>
      </c>
      <c r="G3670" t="n">
        <v>1</v>
      </c>
      <c r="H3670" t="n">
        <v>25830</v>
      </c>
      <c r="I3670" t="n">
        <v>24506.79</v>
      </c>
      <c r="J3670" t="n">
        <v>1</v>
      </c>
      <c r="K3670" t="inlineStr">
        <is>
          <t>凯利≤0，开1%影子仓（只统计，不计入组合）</t>
        </is>
      </c>
    </row>
    <row r="3671">
      <c r="A3671" t="inlineStr">
        <is>
          <t>2024-11-27</t>
        </is>
      </c>
      <c r="B3671" t="inlineStr">
        <is>
          <t>菜粕</t>
        </is>
      </c>
      <c r="C3671" t="inlineStr">
        <is>
          <t>空</t>
        </is>
      </c>
      <c r="D3671" t="n">
        <v>2</v>
      </c>
      <c r="E3671" t="n">
        <v>4</v>
      </c>
      <c r="F3671" t="inlineStr">
        <is>
          <t>续持</t>
        </is>
      </c>
      <c r="G3671" t="n">
        <v>4</v>
      </c>
      <c r="H3671" t="n">
        <v>2262</v>
      </c>
      <c r="I3671" t="n">
        <v>2442.71</v>
      </c>
      <c r="J3671" t="n">
        <v>1</v>
      </c>
      <c r="K3671" t="inlineStr">
        <is>
          <t>续持原仓（2024-11-26开）</t>
        </is>
      </c>
    </row>
    <row r="3672">
      <c r="A3672" t="inlineStr">
        <is>
          <t>2024-11-27</t>
        </is>
      </c>
      <c r="B3672" t="inlineStr">
        <is>
          <t>沪铜</t>
        </is>
      </c>
      <c r="C3672" t="inlineStr">
        <is>
          <t>多</t>
        </is>
      </c>
      <c r="D3672" t="n">
        <v>2</v>
      </c>
      <c r="E3672" t="n">
        <v>4</v>
      </c>
      <c r="F3672" t="inlineStr">
        <is>
          <t>不做</t>
        </is>
      </c>
      <c r="H3672" t="n">
        <v>74130</v>
      </c>
      <c r="J3672" t="n">
        <v>1</v>
      </c>
      <c r="K3672" t="inlineStr">
        <is>
          <t>1手风险14850元超过预算10000元</t>
        </is>
      </c>
    </row>
    <row r="3673">
      <c r="A3673" t="inlineStr">
        <is>
          <t>2024-11-28</t>
        </is>
      </c>
      <c r="B3673" t="inlineStr">
        <is>
          <t>PVC</t>
        </is>
      </c>
      <c r="C3673" t="inlineStr">
        <is>
          <t>空</t>
        </is>
      </c>
      <c r="D3673" t="n">
        <v>3</v>
      </c>
      <c r="E3673" t="n">
        <v>6</v>
      </c>
      <c r="F3673" t="inlineStr">
        <is>
          <t>续持</t>
        </is>
      </c>
      <c r="G3673" t="n">
        <v>8</v>
      </c>
      <c r="H3673" t="n">
        <v>5207</v>
      </c>
      <c r="I3673" t="n">
        <v>5388.21</v>
      </c>
      <c r="J3673" t="n">
        <v>1</v>
      </c>
      <c r="K3673" t="inlineStr">
        <is>
          <t>续持原仓（2024-11-26开）</t>
        </is>
      </c>
    </row>
    <row r="3674">
      <c r="A3674" t="inlineStr">
        <is>
          <t>2024-11-28</t>
        </is>
      </c>
      <c r="B3674" t="inlineStr">
        <is>
          <t>沥青</t>
        </is>
      </c>
      <c r="C3674" t="inlineStr">
        <is>
          <t>多</t>
        </is>
      </c>
      <c r="D3674" t="n">
        <v>3</v>
      </c>
      <c r="E3674" t="n">
        <v>6</v>
      </c>
      <c r="F3674" t="inlineStr">
        <is>
          <t>续持</t>
        </is>
      </c>
      <c r="G3674" t="n">
        <v>16</v>
      </c>
      <c r="H3674" t="n">
        <v>3437</v>
      </c>
      <c r="I3674" t="n">
        <v>3274.14</v>
      </c>
      <c r="J3674" t="n">
        <v>3</v>
      </c>
      <c r="K3674" t="inlineStr">
        <is>
          <t>续持原仓（2024-11-20开）</t>
        </is>
      </c>
    </row>
    <row r="3675">
      <c r="A3675" t="inlineStr">
        <is>
          <t>2024-11-28</t>
        </is>
      </c>
      <c r="B3675" t="inlineStr">
        <is>
          <t>棕榈油</t>
        </is>
      </c>
      <c r="C3675" t="inlineStr">
        <is>
          <t>多</t>
        </is>
      </c>
      <c r="D3675" t="n">
        <v>3</v>
      </c>
      <c r="E3675" t="n">
        <v>6</v>
      </c>
      <c r="F3675" t="inlineStr">
        <is>
          <t>续持</t>
        </is>
      </c>
      <c r="G3675" t="n">
        <v>3</v>
      </c>
      <c r="H3675" t="n">
        <v>9908</v>
      </c>
      <c r="I3675" t="n">
        <v>9177</v>
      </c>
      <c r="J3675" t="n">
        <v>3</v>
      </c>
      <c r="K3675" t="inlineStr">
        <is>
          <t>续持原仓（2024-11-26开）</t>
        </is>
      </c>
    </row>
    <row r="3676">
      <c r="A3676" t="inlineStr">
        <is>
          <t>2024-11-28</t>
        </is>
      </c>
      <c r="B3676" t="inlineStr">
        <is>
          <t>棉花</t>
        </is>
      </c>
      <c r="C3676" t="inlineStr">
        <is>
          <t>空</t>
        </is>
      </c>
      <c r="D3676" t="n">
        <v>3</v>
      </c>
      <c r="E3676" t="n">
        <v>6</v>
      </c>
      <c r="F3676" t="inlineStr">
        <is>
          <t>观望</t>
        </is>
      </c>
      <c r="H3676" t="n">
        <v>13965</v>
      </c>
      <c r="J3676" t="n">
        <v>0</v>
      </c>
      <c r="K3676" t="inlineStr">
        <is>
          <t>逆5日线（收盘在5日线上，不追空）</t>
        </is>
      </c>
    </row>
    <row r="3677">
      <c r="A3677" t="inlineStr">
        <is>
          <t>2024-11-28</t>
        </is>
      </c>
      <c r="B3677" t="inlineStr">
        <is>
          <t>燃料油</t>
        </is>
      </c>
      <c r="C3677" t="inlineStr">
        <is>
          <t>多</t>
        </is>
      </c>
      <c r="D3677" t="n">
        <v>3</v>
      </c>
      <c r="E3677" t="n">
        <v>6</v>
      </c>
      <c r="F3677" t="inlineStr">
        <is>
          <t>不做</t>
        </is>
      </c>
      <c r="H3677" t="n">
        <v>3147</v>
      </c>
      <c r="J3677" t="n">
        <v>0</v>
      </c>
      <c r="K3677" t="inlineStr">
        <is>
          <t>与沥青高度相关（同组≤3%），预算缩小</t>
        </is>
      </c>
    </row>
    <row r="3678">
      <c r="A3678" t="inlineStr">
        <is>
          <t>2024-11-28</t>
        </is>
      </c>
      <c r="B3678" t="inlineStr">
        <is>
          <t>工业硅</t>
        </is>
      </c>
      <c r="C3678" t="inlineStr">
        <is>
          <t>空</t>
        </is>
      </c>
      <c r="D3678" t="n">
        <v>2</v>
      </c>
      <c r="E3678" t="n">
        <v>5</v>
      </c>
      <c r="F3678" t="inlineStr">
        <is>
          <t>影子仓</t>
        </is>
      </c>
      <c r="G3678" t="n">
        <v>2</v>
      </c>
      <c r="H3678" t="n">
        <v>11915</v>
      </c>
      <c r="I3678" t="n">
        <v>12668.21</v>
      </c>
      <c r="J3678" t="n">
        <v>1</v>
      </c>
      <c r="K3678" t="inlineStr">
        <is>
          <t>凯利≤0，开1%影子仓（只统计，不计入组合）</t>
        </is>
      </c>
    </row>
    <row r="3679">
      <c r="A3679" t="inlineStr">
        <is>
          <t>2024-11-28</t>
        </is>
      </c>
      <c r="B3679" t="inlineStr">
        <is>
          <t>豆油</t>
        </is>
      </c>
      <c r="C3679" t="inlineStr">
        <is>
          <t>空</t>
        </is>
      </c>
      <c r="D3679" t="n">
        <v>2</v>
      </c>
      <c r="E3679" t="n">
        <v>4</v>
      </c>
      <c r="F3679" t="inlineStr">
        <is>
          <t>观望</t>
        </is>
      </c>
      <c r="G3679" t="n">
        <v>1</v>
      </c>
      <c r="H3679" t="n">
        <v>7912</v>
      </c>
      <c r="I3679" t="n">
        <v>8420.290000000001</v>
      </c>
      <c r="J3679" t="n">
        <v>1</v>
      </c>
      <c r="K3679" t="inlineStr">
        <is>
          <t>逆5日线（收盘在5日线上，不追空）</t>
        </is>
      </c>
    </row>
    <row r="3680">
      <c r="A3680" t="inlineStr">
        <is>
          <t>2024-11-29</t>
        </is>
      </c>
      <c r="B3680" t="inlineStr">
        <is>
          <t>棕榈油</t>
        </is>
      </c>
      <c r="C3680" t="inlineStr">
        <is>
          <t>多</t>
        </is>
      </c>
      <c r="D3680" t="n">
        <v>3</v>
      </c>
      <c r="E3680" t="n">
        <v>7</v>
      </c>
      <c r="F3680" t="inlineStr">
        <is>
          <t>续持</t>
        </is>
      </c>
      <c r="G3680" t="n">
        <v>3</v>
      </c>
      <c r="H3680" t="n">
        <v>10194</v>
      </c>
      <c r="I3680" t="n">
        <v>9423.139999999999</v>
      </c>
      <c r="J3680" t="n">
        <v>3</v>
      </c>
      <c r="K3680" t="inlineStr">
        <is>
          <t>续持原仓（2024-11-26开）</t>
        </is>
      </c>
    </row>
    <row r="3681">
      <c r="A3681" t="inlineStr">
        <is>
          <t>2024-11-29</t>
        </is>
      </c>
      <c r="B3681" t="inlineStr">
        <is>
          <t>PVC</t>
        </is>
      </c>
      <c r="C3681" t="inlineStr">
        <is>
          <t>空</t>
        </is>
      </c>
      <c r="D3681" t="n">
        <v>2</v>
      </c>
      <c r="E3681" t="n">
        <v>5</v>
      </c>
      <c r="F3681" t="inlineStr">
        <is>
          <t>续持</t>
        </is>
      </c>
      <c r="G3681" t="n">
        <v>8</v>
      </c>
      <c r="H3681" t="n">
        <v>5208</v>
      </c>
      <c r="I3681" t="n">
        <v>5345.29</v>
      </c>
      <c r="J3681" t="n">
        <v>1</v>
      </c>
      <c r="K3681" t="inlineStr">
        <is>
          <t>续持原仓（2024-11-26开）</t>
        </is>
      </c>
    </row>
    <row r="3682">
      <c r="A3682" t="inlineStr">
        <is>
          <t>2024-11-29</t>
        </is>
      </c>
      <c r="B3682" t="inlineStr">
        <is>
          <t>白糖</t>
        </is>
      </c>
      <c r="C3682" t="inlineStr">
        <is>
          <t>多</t>
        </is>
      </c>
      <c r="D3682" t="n">
        <v>2</v>
      </c>
      <c r="E3682" t="n">
        <v>5</v>
      </c>
      <c r="F3682" t="inlineStr">
        <is>
          <t>影子仓</t>
        </is>
      </c>
      <c r="G3682" t="n">
        <v>4</v>
      </c>
      <c r="H3682" t="n">
        <v>6135</v>
      </c>
      <c r="I3682" t="n">
        <v>5922.43</v>
      </c>
      <c r="J3682" t="n">
        <v>1</v>
      </c>
      <c r="K3682" t="inlineStr">
        <is>
          <t>凯利≤0，开1%影子仓（只统计，不计入组合）</t>
        </is>
      </c>
    </row>
    <row r="3683">
      <c r="A3683" t="inlineStr">
        <is>
          <t>2024-11-29</t>
        </is>
      </c>
      <c r="B3683" t="inlineStr">
        <is>
          <t>锰硅</t>
        </is>
      </c>
      <c r="C3683" t="inlineStr">
        <is>
          <t>多</t>
        </is>
      </c>
      <c r="D3683" t="n">
        <v>2</v>
      </c>
      <c r="E3683" t="n">
        <v>4</v>
      </c>
      <c r="F3683" t="inlineStr">
        <is>
          <t>观望</t>
        </is>
      </c>
      <c r="G3683" t="n">
        <v>7</v>
      </c>
      <c r="H3683" t="n">
        <v>6366</v>
      </c>
      <c r="I3683" t="n">
        <v>6108.43</v>
      </c>
      <c r="J3683" t="n">
        <v>1</v>
      </c>
      <c r="K3683" t="inlineStr">
        <is>
          <t>逆5日线（收盘在5日线下，不追多）</t>
        </is>
      </c>
    </row>
    <row r="3684">
      <c r="A3684" t="inlineStr">
        <is>
          <t>2024-12-02</t>
        </is>
      </c>
      <c r="B3684" t="inlineStr">
        <is>
          <t>玉米</t>
        </is>
      </c>
      <c r="C3684" t="inlineStr">
        <is>
          <t>空</t>
        </is>
      </c>
      <c r="D3684" t="n">
        <v>3</v>
      </c>
      <c r="E3684" t="n">
        <v>7</v>
      </c>
      <c r="F3684" t="inlineStr">
        <is>
          <t>开仓</t>
        </is>
      </c>
      <c r="G3684" t="n">
        <v>46</v>
      </c>
      <c r="H3684" t="n">
        <v>2138</v>
      </c>
      <c r="I3684" t="n">
        <v>2201.86</v>
      </c>
      <c r="J3684" t="n">
        <v>3</v>
      </c>
      <c r="K3684" t="inlineStr">
        <is>
          <t>¼凯利超上限，取3%</t>
        </is>
      </c>
    </row>
    <row r="3685">
      <c r="A3685" t="inlineStr">
        <is>
          <t>2024-12-02</t>
        </is>
      </c>
      <c r="B3685" t="inlineStr">
        <is>
          <t>工业硅</t>
        </is>
      </c>
      <c r="C3685" t="inlineStr">
        <is>
          <t>空</t>
        </is>
      </c>
      <c r="D3685" t="n">
        <v>3</v>
      </c>
      <c r="E3685" t="n">
        <v>7</v>
      </c>
      <c r="F3685" t="inlineStr">
        <is>
          <t>观望</t>
        </is>
      </c>
      <c r="G3685" t="n">
        <v>2</v>
      </c>
      <c r="H3685" t="n">
        <v>12305</v>
      </c>
      <c r="I3685" t="n">
        <v>13181.43</v>
      </c>
      <c r="J3685" t="n">
        <v>1</v>
      </c>
      <c r="K3685" t="inlineStr">
        <is>
          <t>逆5日线（收盘在5日线上，不追空）</t>
        </is>
      </c>
    </row>
    <row r="3686">
      <c r="A3686" t="inlineStr">
        <is>
          <t>2024-12-02</t>
        </is>
      </c>
      <c r="B3686" t="inlineStr">
        <is>
          <t>沥青</t>
        </is>
      </c>
      <c r="C3686" t="inlineStr">
        <is>
          <t>多</t>
        </is>
      </c>
      <c r="D3686" t="n">
        <v>3</v>
      </c>
      <c r="E3686" t="n">
        <v>6</v>
      </c>
      <c r="F3686" t="inlineStr">
        <is>
          <t>开仓</t>
        </is>
      </c>
      <c r="G3686" t="n">
        <v>5</v>
      </c>
      <c r="H3686" t="n">
        <v>3534</v>
      </c>
      <c r="I3686" t="n">
        <v>3343.93</v>
      </c>
      <c r="J3686" t="n">
        <v>1</v>
      </c>
      <c r="K3686" t="inlineStr">
        <is>
          <t>组合风险已近10%，预算缩小</t>
        </is>
      </c>
    </row>
    <row r="3687">
      <c r="A3687" t="inlineStr">
        <is>
          <t>2024-12-02</t>
        </is>
      </c>
      <c r="B3687" t="inlineStr">
        <is>
          <t>燃料油</t>
        </is>
      </c>
      <c r="C3687" t="inlineStr">
        <is>
          <t>多</t>
        </is>
      </c>
      <c r="D3687" t="n">
        <v>3</v>
      </c>
      <c r="E3687" t="n">
        <v>6</v>
      </c>
      <c r="F3687" t="inlineStr">
        <is>
          <t>不做</t>
        </is>
      </c>
      <c r="H3687" t="n">
        <v>3174</v>
      </c>
      <c r="J3687" t="n">
        <v>0</v>
      </c>
      <c r="K3687" t="inlineStr">
        <is>
          <t>组合风险已近10%，预算缩小</t>
        </is>
      </c>
    </row>
    <row r="3688">
      <c r="A3688" t="inlineStr">
        <is>
          <t>2024-12-02</t>
        </is>
      </c>
      <c r="B3688" t="inlineStr">
        <is>
          <t>棕榈油</t>
        </is>
      </c>
      <c r="C3688" t="inlineStr">
        <is>
          <t>多</t>
        </is>
      </c>
      <c r="D3688" t="n">
        <v>2</v>
      </c>
      <c r="E3688" t="n">
        <v>5</v>
      </c>
      <c r="F3688" t="inlineStr">
        <is>
          <t>续持</t>
        </is>
      </c>
      <c r="G3688" t="n">
        <v>3</v>
      </c>
      <c r="H3688" t="n">
        <v>10210</v>
      </c>
      <c r="I3688" t="n">
        <v>9524.709999999999</v>
      </c>
      <c r="J3688" t="n">
        <v>3</v>
      </c>
      <c r="K3688" t="inlineStr">
        <is>
          <t>续持原仓（2024-11-26开）</t>
        </is>
      </c>
    </row>
    <row r="3689">
      <c r="A3689" t="inlineStr">
        <is>
          <t>2024-12-02</t>
        </is>
      </c>
      <c r="B3689" t="inlineStr">
        <is>
          <t>锰硅</t>
        </is>
      </c>
      <c r="C3689" t="inlineStr">
        <is>
          <t>多</t>
        </is>
      </c>
      <c r="D3689" t="n">
        <v>2</v>
      </c>
      <c r="E3689" t="n">
        <v>5</v>
      </c>
      <c r="F3689" t="inlineStr">
        <is>
          <t>续持</t>
        </is>
      </c>
      <c r="G3689" t="n">
        <v>6</v>
      </c>
      <c r="H3689" t="n">
        <v>6400</v>
      </c>
      <c r="I3689" t="n">
        <v>6172.43</v>
      </c>
      <c r="J3689" t="n">
        <v>1</v>
      </c>
      <c r="K3689" t="inlineStr">
        <is>
          <t>续持原仓（2024-11-22开）</t>
        </is>
      </c>
    </row>
    <row r="3690">
      <c r="A3690" t="inlineStr">
        <is>
          <t>2024-12-03</t>
        </is>
      </c>
      <c r="B3690" t="inlineStr">
        <is>
          <t>玉米</t>
        </is>
      </c>
      <c r="C3690" t="inlineStr">
        <is>
          <t>空</t>
        </is>
      </c>
      <c r="D3690" t="n">
        <v>3</v>
      </c>
      <c r="E3690" t="n">
        <v>7</v>
      </c>
      <c r="F3690" t="inlineStr">
        <is>
          <t>续持</t>
        </is>
      </c>
      <c r="G3690" t="n">
        <v>46</v>
      </c>
      <c r="H3690" t="n">
        <v>2127</v>
      </c>
      <c r="I3690" t="n">
        <v>2178.36</v>
      </c>
      <c r="J3690" t="n">
        <v>3</v>
      </c>
      <c r="K3690" t="inlineStr">
        <is>
          <t>续持原仓（2024-12-02开）</t>
        </is>
      </c>
    </row>
    <row r="3691">
      <c r="A3691" t="inlineStr">
        <is>
          <t>2024-12-03</t>
        </is>
      </c>
      <c r="B3691" t="inlineStr">
        <is>
          <t>PVC</t>
        </is>
      </c>
      <c r="C3691" t="inlineStr">
        <is>
          <t>空</t>
        </is>
      </c>
      <c r="D3691" t="n">
        <v>3</v>
      </c>
      <c r="E3691" t="n">
        <v>7</v>
      </c>
      <c r="F3691" t="inlineStr">
        <is>
          <t>开仓</t>
        </is>
      </c>
      <c r="G3691" t="n">
        <v>33</v>
      </c>
      <c r="H3691" t="n">
        <v>5099</v>
      </c>
      <c r="I3691" t="n">
        <v>5279.86</v>
      </c>
      <c r="J3691" t="n">
        <v>3</v>
      </c>
      <c r="K3691" t="inlineStr">
        <is>
          <t>¼凯利超上限，取3%</t>
        </is>
      </c>
    </row>
    <row r="3692">
      <c r="A3692" t="inlineStr">
        <is>
          <t>2024-12-03</t>
        </is>
      </c>
      <c r="B3692" t="inlineStr">
        <is>
          <t>沥青</t>
        </is>
      </c>
      <c r="C3692" t="inlineStr">
        <is>
          <t>多</t>
        </is>
      </c>
      <c r="D3692" t="n">
        <v>3</v>
      </c>
      <c r="E3692" t="n">
        <v>7</v>
      </c>
      <c r="F3692" t="inlineStr">
        <is>
          <t>续持</t>
        </is>
      </c>
      <c r="G3692" t="n">
        <v>5</v>
      </c>
      <c r="H3692" t="n">
        <v>3578</v>
      </c>
      <c r="I3692" t="n">
        <v>3391.64</v>
      </c>
      <c r="J3692" t="n">
        <v>1</v>
      </c>
      <c r="K3692" t="inlineStr">
        <is>
          <t>续持原仓（2024-12-02开）</t>
        </is>
      </c>
    </row>
    <row r="3693">
      <c r="A3693" t="inlineStr">
        <is>
          <t>2024-12-03</t>
        </is>
      </c>
      <c r="B3693" t="inlineStr">
        <is>
          <t>菜粕</t>
        </is>
      </c>
      <c r="C3693" t="inlineStr">
        <is>
          <t>空</t>
        </is>
      </c>
      <c r="D3693" t="n">
        <v>3</v>
      </c>
      <c r="E3693" t="n">
        <v>6</v>
      </c>
      <c r="F3693" t="inlineStr">
        <is>
          <t>开仓</t>
        </is>
      </c>
      <c r="G3693" t="n">
        <v>18</v>
      </c>
      <c r="H3693" t="n">
        <v>2332</v>
      </c>
      <c r="I3693" t="n">
        <v>2489.93</v>
      </c>
      <c r="J3693" t="n">
        <v>3</v>
      </c>
      <c r="K3693" t="inlineStr">
        <is>
          <t>¼凯利超上限，取3%</t>
        </is>
      </c>
    </row>
    <row r="3694">
      <c r="A3694" t="inlineStr">
        <is>
          <t>2024-12-03</t>
        </is>
      </c>
      <c r="B3694" t="inlineStr">
        <is>
          <t>豆油</t>
        </is>
      </c>
      <c r="C3694" t="inlineStr">
        <is>
          <t>空</t>
        </is>
      </c>
      <c r="D3694" t="n">
        <v>3</v>
      </c>
      <c r="E3694" t="n">
        <v>6</v>
      </c>
      <c r="F3694" t="inlineStr">
        <is>
          <t>不做</t>
        </is>
      </c>
      <c r="H3694" t="n">
        <v>7888</v>
      </c>
      <c r="J3694" t="n">
        <v>0</v>
      </c>
      <c r="K3694" t="inlineStr">
        <is>
          <t>农产品板块同方向已近6%，预算缩小</t>
        </is>
      </c>
    </row>
    <row r="3695">
      <c r="A3695" t="inlineStr">
        <is>
          <t>2024-12-03</t>
        </is>
      </c>
      <c r="B3695" t="inlineStr">
        <is>
          <t>锰硅</t>
        </is>
      </c>
      <c r="C3695" t="inlineStr">
        <is>
          <t>多</t>
        </is>
      </c>
      <c r="D3695" t="n">
        <v>2</v>
      </c>
      <c r="E3695" t="n">
        <v>4</v>
      </c>
      <c r="F3695" t="inlineStr">
        <is>
          <t>观望</t>
        </is>
      </c>
      <c r="G3695" t="n">
        <v>7</v>
      </c>
      <c r="H3695" t="n">
        <v>6340</v>
      </c>
      <c r="I3695" t="n">
        <v>6069.14</v>
      </c>
      <c r="J3695" t="n">
        <v>1</v>
      </c>
      <c r="K3695" t="inlineStr">
        <is>
          <t>逆5日线（收盘在5日线下，不追多）</t>
        </is>
      </c>
    </row>
    <row r="3696">
      <c r="A3696" t="inlineStr">
        <is>
          <t>2024-12-03</t>
        </is>
      </c>
      <c r="B3696" t="inlineStr">
        <is>
          <t>碳酸锂</t>
        </is>
      </c>
      <c r="C3696" t="inlineStr">
        <is>
          <t>空</t>
        </is>
      </c>
      <c r="D3696" t="n">
        <v>2</v>
      </c>
      <c r="E3696" t="n">
        <v>4</v>
      </c>
      <c r="F3696" t="inlineStr">
        <is>
          <t>影子仓</t>
        </is>
      </c>
      <c r="G3696" t="n">
        <v>1</v>
      </c>
      <c r="H3696" t="n">
        <v>78000</v>
      </c>
      <c r="I3696" t="n">
        <v>86217.86</v>
      </c>
      <c r="J3696" t="n">
        <v>1</v>
      </c>
      <c r="K3696" t="inlineStr">
        <is>
          <t>凯利≤0，开1%影子仓（只统计，不计入组合）</t>
        </is>
      </c>
    </row>
    <row r="3697">
      <c r="A3697" t="inlineStr">
        <is>
          <t>2024-12-03</t>
        </is>
      </c>
      <c r="B3697" t="inlineStr">
        <is>
          <t>沪铜</t>
        </is>
      </c>
      <c r="C3697" t="inlineStr">
        <is>
          <t>多</t>
        </is>
      </c>
      <c r="D3697" t="n">
        <v>2</v>
      </c>
      <c r="E3697" t="n">
        <v>4</v>
      </c>
      <c r="F3697" t="inlineStr">
        <is>
          <t>不做</t>
        </is>
      </c>
      <c r="H3697" t="n">
        <v>74340</v>
      </c>
      <c r="J3697" t="n">
        <v>1</v>
      </c>
      <c r="K3697" t="inlineStr">
        <is>
          <t>1手风险12300元超过预算10000元</t>
        </is>
      </c>
    </row>
    <row r="3698">
      <c r="A3698" t="inlineStr">
        <is>
          <t>2024-12-03</t>
        </is>
      </c>
      <c r="B3698" t="inlineStr">
        <is>
          <t>螺纹钢</t>
        </is>
      </c>
      <c r="C3698" t="inlineStr">
        <is>
          <t>多</t>
        </is>
      </c>
      <c r="D3698" t="n">
        <v>2</v>
      </c>
      <c r="E3698" t="n">
        <v>4</v>
      </c>
      <c r="F3698" t="inlineStr">
        <is>
          <t>续持</t>
        </is>
      </c>
      <c r="G3698" t="n">
        <v>4</v>
      </c>
      <c r="H3698" t="n">
        <v>3352</v>
      </c>
      <c r="I3698" t="n">
        <v>3202.14</v>
      </c>
      <c r="J3698" t="n">
        <v>1</v>
      </c>
      <c r="K3698" t="inlineStr">
        <is>
          <t>续持原仓（2024-11-21开）</t>
        </is>
      </c>
    </row>
    <row r="3699">
      <c r="A3699" t="inlineStr">
        <is>
          <t>2024-12-04</t>
        </is>
      </c>
      <c r="B3699" t="inlineStr">
        <is>
          <t>棉花</t>
        </is>
      </c>
      <c r="C3699" t="inlineStr">
        <is>
          <t>空</t>
        </is>
      </c>
      <c r="D3699" t="n">
        <v>3</v>
      </c>
      <c r="E3699" t="n">
        <v>7</v>
      </c>
      <c r="F3699" t="inlineStr">
        <is>
          <t>开仓</t>
        </is>
      </c>
      <c r="G3699" t="n">
        <v>17</v>
      </c>
      <c r="H3699" t="n">
        <v>13915</v>
      </c>
      <c r="I3699" t="n">
        <v>14251.43</v>
      </c>
      <c r="J3699" t="n">
        <v>3</v>
      </c>
      <c r="K3699" t="inlineStr">
        <is>
          <t>¼凯利超上限，取3%</t>
        </is>
      </c>
    </row>
    <row r="3700">
      <c r="A3700" t="inlineStr">
        <is>
          <t>2024-12-04</t>
        </is>
      </c>
      <c r="B3700" t="inlineStr">
        <is>
          <t>沥青</t>
        </is>
      </c>
      <c r="C3700" t="inlineStr">
        <is>
          <t>多</t>
        </is>
      </c>
      <c r="D3700" t="n">
        <v>3</v>
      </c>
      <c r="E3700" t="n">
        <v>7</v>
      </c>
      <c r="F3700" t="inlineStr">
        <is>
          <t>续持</t>
        </is>
      </c>
      <c r="G3700" t="n">
        <v>5</v>
      </c>
      <c r="H3700" t="n">
        <v>3600</v>
      </c>
      <c r="I3700" t="n">
        <v>3435.57</v>
      </c>
      <c r="J3700" t="n">
        <v>1</v>
      </c>
      <c r="K3700" t="inlineStr">
        <is>
          <t>续持原仓（2024-12-02开）</t>
        </is>
      </c>
    </row>
    <row r="3701">
      <c r="A3701" t="inlineStr">
        <is>
          <t>2024-12-04</t>
        </is>
      </c>
      <c r="B3701" t="inlineStr">
        <is>
          <t>PVC</t>
        </is>
      </c>
      <c r="C3701" t="inlineStr">
        <is>
          <t>空</t>
        </is>
      </c>
      <c r="D3701" t="n">
        <v>3</v>
      </c>
      <c r="E3701" t="n">
        <v>6</v>
      </c>
      <c r="F3701" t="inlineStr">
        <is>
          <t>续持</t>
        </is>
      </c>
      <c r="G3701" t="n">
        <v>33</v>
      </c>
      <c r="H3701" t="n">
        <v>5035</v>
      </c>
      <c r="I3701" t="n">
        <v>5179.79</v>
      </c>
      <c r="J3701" t="n">
        <v>3</v>
      </c>
      <c r="K3701" t="inlineStr">
        <is>
          <t>续持原仓（2024-12-03开）</t>
        </is>
      </c>
    </row>
    <row r="3702">
      <c r="A3702" t="inlineStr">
        <is>
          <t>2024-12-04</t>
        </is>
      </c>
      <c r="B3702" t="inlineStr">
        <is>
          <t>豆油</t>
        </is>
      </c>
      <c r="C3702" t="inlineStr">
        <is>
          <t>空</t>
        </is>
      </c>
      <c r="D3702" t="n">
        <v>3</v>
      </c>
      <c r="E3702" t="n">
        <v>6</v>
      </c>
      <c r="F3702" t="inlineStr">
        <is>
          <t>开仓</t>
        </is>
      </c>
      <c r="G3702" t="n">
        <v>6</v>
      </c>
      <c r="H3702" t="n">
        <v>7900</v>
      </c>
      <c r="I3702" t="n">
        <v>8366.290000000001</v>
      </c>
      <c r="J3702" t="n">
        <v>3</v>
      </c>
      <c r="K3702" t="inlineStr">
        <is>
          <t>¼凯利超上限，取3%</t>
        </is>
      </c>
    </row>
    <row r="3703">
      <c r="A3703" t="inlineStr">
        <is>
          <t>2024-12-04</t>
        </is>
      </c>
      <c r="B3703" t="inlineStr">
        <is>
          <t>燃料油</t>
        </is>
      </c>
      <c r="C3703" t="inlineStr">
        <is>
          <t>多</t>
        </is>
      </c>
      <c r="D3703" t="n">
        <v>3</v>
      </c>
      <c r="E3703" t="n">
        <v>6</v>
      </c>
      <c r="F3703" t="inlineStr">
        <is>
          <t>不做</t>
        </is>
      </c>
      <c r="H3703" t="n">
        <v>3153</v>
      </c>
      <c r="J3703" t="n">
        <v>0</v>
      </c>
      <c r="K3703" t="inlineStr">
        <is>
          <t>组合风险已近10%，预算缩小</t>
        </is>
      </c>
    </row>
    <row r="3704">
      <c r="A3704" t="inlineStr">
        <is>
          <t>2024-12-04</t>
        </is>
      </c>
      <c r="B3704" t="inlineStr">
        <is>
          <t>沪铜</t>
        </is>
      </c>
      <c r="C3704" t="inlineStr">
        <is>
          <t>多</t>
        </is>
      </c>
      <c r="D3704" t="n">
        <v>2</v>
      </c>
      <c r="E3704" t="n">
        <v>4</v>
      </c>
      <c r="F3704" t="inlineStr">
        <is>
          <t>不做</t>
        </is>
      </c>
      <c r="H3704" t="n">
        <v>74750</v>
      </c>
      <c r="J3704" t="n">
        <v>1</v>
      </c>
      <c r="K3704" t="inlineStr">
        <is>
          <t>1手风险11754元超过预算10000元</t>
        </is>
      </c>
    </row>
    <row r="3705">
      <c r="A3705" t="inlineStr">
        <is>
          <t>2024-12-05</t>
        </is>
      </c>
      <c r="B3705" t="inlineStr">
        <is>
          <t>豆粕</t>
        </is>
      </c>
      <c r="C3705" t="inlineStr">
        <is>
          <t>空</t>
        </is>
      </c>
      <c r="D3705" t="n">
        <v>3</v>
      </c>
      <c r="E3705" t="n">
        <v>6</v>
      </c>
      <c r="F3705" t="inlineStr">
        <is>
          <t>开仓</t>
        </is>
      </c>
      <c r="G3705" t="n">
        <v>26</v>
      </c>
      <c r="H3705" t="n">
        <v>2660</v>
      </c>
      <c r="I3705" t="n">
        <v>2772.07</v>
      </c>
      <c r="J3705" t="n">
        <v>3</v>
      </c>
      <c r="K3705" t="inlineStr">
        <is>
          <t>¼凯利超上限，取3%</t>
        </is>
      </c>
    </row>
    <row r="3706">
      <c r="A3706" t="inlineStr">
        <is>
          <t>2024-12-05</t>
        </is>
      </c>
      <c r="B3706" t="inlineStr">
        <is>
          <t>棉花</t>
        </is>
      </c>
      <c r="C3706" t="inlineStr">
        <is>
          <t>空</t>
        </is>
      </c>
      <c r="D3706" t="n">
        <v>2</v>
      </c>
      <c r="E3706" t="n">
        <v>5</v>
      </c>
      <c r="F3706" t="inlineStr">
        <is>
          <t>续持</t>
        </is>
      </c>
      <c r="G3706" t="n">
        <v>17</v>
      </c>
      <c r="H3706" t="n">
        <v>13935</v>
      </c>
      <c r="I3706" t="n">
        <v>14199.29</v>
      </c>
      <c r="J3706" t="n">
        <v>3</v>
      </c>
      <c r="K3706" t="inlineStr">
        <is>
          <t>续持原仓（2024-12-04开）</t>
        </is>
      </c>
    </row>
    <row r="3707">
      <c r="A3707" t="inlineStr">
        <is>
          <t>2024-12-05</t>
        </is>
      </c>
      <c r="B3707" t="inlineStr">
        <is>
          <t>沥青</t>
        </is>
      </c>
      <c r="C3707" t="inlineStr">
        <is>
          <t>多</t>
        </is>
      </c>
      <c r="D3707" t="n">
        <v>2</v>
      </c>
      <c r="E3707" t="n">
        <v>5</v>
      </c>
      <c r="F3707" t="inlineStr">
        <is>
          <t>观望</t>
        </is>
      </c>
      <c r="G3707" t="n">
        <v>5</v>
      </c>
      <c r="H3707" t="n">
        <v>3547</v>
      </c>
      <c r="I3707" t="n">
        <v>3359.29</v>
      </c>
      <c r="J3707" t="n">
        <v>1</v>
      </c>
      <c r="K3707" t="inlineStr">
        <is>
          <t>逆5日线（收盘在5日线下，不追多）</t>
        </is>
      </c>
    </row>
    <row r="3708">
      <c r="A3708" t="inlineStr">
        <is>
          <t>2024-12-05</t>
        </is>
      </c>
      <c r="B3708" t="inlineStr">
        <is>
          <t>豆油</t>
        </is>
      </c>
      <c r="C3708" t="inlineStr">
        <is>
          <t>空</t>
        </is>
      </c>
      <c r="D3708" t="n">
        <v>2</v>
      </c>
      <c r="E3708" t="n">
        <v>5</v>
      </c>
      <c r="F3708" t="inlineStr">
        <is>
          <t>续持</t>
        </is>
      </c>
      <c r="G3708" t="n">
        <v>6</v>
      </c>
      <c r="H3708" t="n">
        <v>7914</v>
      </c>
      <c r="I3708" t="n">
        <v>8238.57</v>
      </c>
      <c r="J3708" t="n">
        <v>3</v>
      </c>
      <c r="K3708" t="inlineStr">
        <is>
          <t>续持原仓（2024-12-04开）</t>
        </is>
      </c>
    </row>
    <row r="3709">
      <c r="A3709" t="inlineStr">
        <is>
          <t>2024-12-05</t>
        </is>
      </c>
      <c r="B3709" t="inlineStr">
        <is>
          <t>碳酸锂</t>
        </is>
      </c>
      <c r="C3709" t="inlineStr">
        <is>
          <t>空</t>
        </is>
      </c>
      <c r="D3709" t="n">
        <v>2</v>
      </c>
      <c r="E3709" t="n">
        <v>5</v>
      </c>
      <c r="F3709" t="inlineStr">
        <is>
          <t>影子仓</t>
        </is>
      </c>
      <c r="G3709" t="n">
        <v>1</v>
      </c>
      <c r="H3709" t="n">
        <v>76500</v>
      </c>
      <c r="I3709" t="n">
        <v>83250</v>
      </c>
      <c r="J3709" t="n">
        <v>1</v>
      </c>
      <c r="K3709" t="inlineStr">
        <is>
          <t>凯利≤0，开1%影子仓（只统计，不计入组合）</t>
        </is>
      </c>
    </row>
    <row r="3710">
      <c r="A3710" t="inlineStr">
        <is>
          <t>2024-12-06</t>
        </is>
      </c>
      <c r="B3710" t="inlineStr">
        <is>
          <t>菜粕</t>
        </is>
      </c>
      <c r="C3710" t="inlineStr">
        <is>
          <t>空</t>
        </is>
      </c>
      <c r="D3710" t="n">
        <v>3</v>
      </c>
      <c r="E3710" t="n">
        <v>7</v>
      </c>
      <c r="F3710" t="inlineStr">
        <is>
          <t>不做</t>
        </is>
      </c>
      <c r="H3710" t="n">
        <v>2226</v>
      </c>
      <c r="J3710" t="n">
        <v>0</v>
      </c>
      <c r="K3710" t="inlineStr">
        <is>
          <t>农产品板块同方向已近6%，预算缩小</t>
        </is>
      </c>
    </row>
    <row r="3711">
      <c r="A3711" t="inlineStr">
        <is>
          <t>2024-12-06</t>
        </is>
      </c>
      <c r="B3711" t="inlineStr">
        <is>
          <t>PVC</t>
        </is>
      </c>
      <c r="C3711" t="inlineStr">
        <is>
          <t>空</t>
        </is>
      </c>
      <c r="D3711" t="n">
        <v>3</v>
      </c>
      <c r="E3711" t="n">
        <v>7</v>
      </c>
      <c r="F3711" t="inlineStr">
        <is>
          <t>不做</t>
        </is>
      </c>
      <c r="H3711" t="n">
        <v>4973</v>
      </c>
      <c r="J3711" t="n">
        <v>0</v>
      </c>
      <c r="K3711" t="inlineStr">
        <is>
          <t>组合风险已近10%，预算缩小</t>
        </is>
      </c>
    </row>
    <row r="3712">
      <c r="A3712" t="inlineStr">
        <is>
          <t>2024-12-06</t>
        </is>
      </c>
      <c r="B3712" t="inlineStr">
        <is>
          <t>沥青</t>
        </is>
      </c>
      <c r="C3712" t="inlineStr">
        <is>
          <t>多</t>
        </is>
      </c>
      <c r="D3712" t="n">
        <v>3</v>
      </c>
      <c r="E3712" t="n">
        <v>6</v>
      </c>
      <c r="F3712" t="inlineStr">
        <is>
          <t>观望</t>
        </is>
      </c>
      <c r="H3712" t="n">
        <v>3538</v>
      </c>
      <c r="J3712" t="n">
        <v>0</v>
      </c>
      <c r="K3712" t="inlineStr">
        <is>
          <t>逆5日线（收盘在5日线下，不追多）</t>
        </is>
      </c>
    </row>
    <row r="3713">
      <c r="A3713" t="inlineStr">
        <is>
          <t>2024-12-06</t>
        </is>
      </c>
      <c r="B3713" t="inlineStr">
        <is>
          <t>豆油</t>
        </is>
      </c>
      <c r="C3713" t="inlineStr">
        <is>
          <t>空</t>
        </is>
      </c>
      <c r="D3713" t="n">
        <v>3</v>
      </c>
      <c r="E3713" t="n">
        <v>6</v>
      </c>
      <c r="F3713" t="inlineStr">
        <is>
          <t>续持</t>
        </is>
      </c>
      <c r="G3713" t="n">
        <v>6</v>
      </c>
      <c r="H3713" t="n">
        <v>7896</v>
      </c>
      <c r="I3713" t="n">
        <v>8206.860000000001</v>
      </c>
      <c r="J3713" t="n">
        <v>3</v>
      </c>
      <c r="K3713" t="inlineStr">
        <is>
          <t>续持原仓（2024-12-04开）</t>
        </is>
      </c>
    </row>
    <row r="3714">
      <c r="A3714" t="inlineStr">
        <is>
          <t>2024-12-06</t>
        </is>
      </c>
      <c r="B3714" t="inlineStr">
        <is>
          <t>棉花</t>
        </is>
      </c>
      <c r="C3714" t="inlineStr">
        <is>
          <t>空</t>
        </is>
      </c>
      <c r="D3714" t="n">
        <v>2</v>
      </c>
      <c r="E3714" t="n">
        <v>5</v>
      </c>
      <c r="F3714" t="inlineStr">
        <is>
          <t>续持</t>
        </is>
      </c>
      <c r="G3714" t="n">
        <v>17</v>
      </c>
      <c r="H3714" t="n">
        <v>13895</v>
      </c>
      <c r="I3714" t="n">
        <v>14187.5</v>
      </c>
      <c r="J3714" t="n">
        <v>3</v>
      </c>
      <c r="K3714" t="inlineStr">
        <is>
          <t>续持原仓（2024-12-04开）</t>
        </is>
      </c>
    </row>
    <row r="3715">
      <c r="A3715" t="inlineStr">
        <is>
          <t>2024-12-06</t>
        </is>
      </c>
      <c r="B3715" t="inlineStr">
        <is>
          <t>豆粕</t>
        </is>
      </c>
      <c r="C3715" t="inlineStr">
        <is>
          <t>空</t>
        </is>
      </c>
      <c r="D3715" t="n">
        <v>2</v>
      </c>
      <c r="E3715" t="n">
        <v>5</v>
      </c>
      <c r="F3715" t="inlineStr">
        <is>
          <t>续持</t>
        </is>
      </c>
      <c r="G3715" t="n">
        <v>26</v>
      </c>
      <c r="H3715" t="n">
        <v>2656</v>
      </c>
      <c r="I3715" t="n">
        <v>2759.29</v>
      </c>
      <c r="J3715" t="n">
        <v>3</v>
      </c>
      <c r="K3715" t="inlineStr">
        <is>
          <t>续持原仓（2024-12-05开）</t>
        </is>
      </c>
    </row>
    <row r="3716">
      <c r="A3716" t="inlineStr">
        <is>
          <t>2024-12-06</t>
        </is>
      </c>
      <c r="B3716" t="inlineStr">
        <is>
          <t>燃料油</t>
        </is>
      </c>
      <c r="C3716" t="inlineStr">
        <is>
          <t>多</t>
        </is>
      </c>
      <c r="D3716" t="n">
        <v>2</v>
      </c>
      <c r="E3716" t="n">
        <v>5</v>
      </c>
      <c r="F3716" t="inlineStr">
        <is>
          <t>观望</t>
        </is>
      </c>
      <c r="G3716" t="n">
        <v>4</v>
      </c>
      <c r="H3716" t="n">
        <v>3053</v>
      </c>
      <c r="I3716" t="n">
        <v>2841.93</v>
      </c>
      <c r="J3716" t="n">
        <v>1</v>
      </c>
      <c r="K3716" t="inlineStr">
        <is>
          <t>逆5日线（收盘在5日线下，不追多）</t>
        </is>
      </c>
    </row>
    <row r="3717">
      <c r="A3717" t="inlineStr">
        <is>
          <t>2024-12-09</t>
        </is>
      </c>
      <c r="B3717" t="inlineStr">
        <is>
          <t>沪锌</t>
        </is>
      </c>
      <c r="C3717" t="inlineStr">
        <is>
          <t>多</t>
        </is>
      </c>
      <c r="D3717" t="n">
        <v>3</v>
      </c>
      <c r="E3717" t="n">
        <v>7</v>
      </c>
      <c r="F3717" t="inlineStr">
        <is>
          <t>不做</t>
        </is>
      </c>
      <c r="H3717" t="n">
        <v>25590</v>
      </c>
      <c r="J3717" t="n">
        <v>0</v>
      </c>
      <c r="K3717" t="inlineStr">
        <is>
          <t>组合风险已近10%，预算缩小</t>
        </is>
      </c>
    </row>
    <row r="3718">
      <c r="A3718" t="inlineStr">
        <is>
          <t>2024-12-09</t>
        </is>
      </c>
      <c r="B3718" t="inlineStr">
        <is>
          <t>豆油</t>
        </is>
      </c>
      <c r="C3718" t="inlineStr">
        <is>
          <t>空</t>
        </is>
      </c>
      <c r="D3718" t="n">
        <v>3</v>
      </c>
      <c r="E3718" t="n">
        <v>7</v>
      </c>
      <c r="F3718" t="inlineStr">
        <is>
          <t>续持</t>
        </is>
      </c>
      <c r="G3718" t="n">
        <v>6</v>
      </c>
      <c r="H3718" t="n">
        <v>7834</v>
      </c>
      <c r="I3718" t="n">
        <v>8182.43</v>
      </c>
      <c r="J3718" t="n">
        <v>3</v>
      </c>
      <c r="K3718" t="inlineStr">
        <is>
          <t>续持原仓（2024-12-04开）</t>
        </is>
      </c>
    </row>
    <row r="3719">
      <c r="A3719" t="inlineStr">
        <is>
          <t>2024-12-09</t>
        </is>
      </c>
      <c r="B3719" t="inlineStr">
        <is>
          <t>棉花</t>
        </is>
      </c>
      <c r="C3719" t="inlineStr">
        <is>
          <t>空</t>
        </is>
      </c>
      <c r="D3719" t="n">
        <v>3</v>
      </c>
      <c r="E3719" t="n">
        <v>6</v>
      </c>
      <c r="F3719" t="inlineStr">
        <is>
          <t>续持</t>
        </is>
      </c>
      <c r="G3719" t="n">
        <v>17</v>
      </c>
      <c r="H3719" t="n">
        <v>13760</v>
      </c>
      <c r="I3719" t="n">
        <v>14028.57</v>
      </c>
      <c r="J3719" t="n">
        <v>3</v>
      </c>
      <c r="K3719" t="inlineStr">
        <is>
          <t>续持原仓（2024-12-04开）</t>
        </is>
      </c>
    </row>
    <row r="3720">
      <c r="A3720" t="inlineStr">
        <is>
          <t>2024-12-09</t>
        </is>
      </c>
      <c r="B3720" t="inlineStr">
        <is>
          <t>豆粕</t>
        </is>
      </c>
      <c r="C3720" t="inlineStr">
        <is>
          <t>空</t>
        </is>
      </c>
      <c r="D3720" t="n">
        <v>2</v>
      </c>
      <c r="E3720" t="n">
        <v>5</v>
      </c>
      <c r="F3720" t="inlineStr">
        <is>
          <t>续持</t>
        </is>
      </c>
      <c r="G3720" t="n">
        <v>26</v>
      </c>
      <c r="H3720" t="n">
        <v>2681</v>
      </c>
      <c r="I3720" t="n">
        <v>2759.29</v>
      </c>
      <c r="J3720" t="n">
        <v>3</v>
      </c>
      <c r="K3720" t="inlineStr">
        <is>
          <t>续持原仓（2024-12-05开）</t>
        </is>
      </c>
    </row>
    <row r="3721">
      <c r="A3721" t="inlineStr">
        <is>
          <t>2024-12-09</t>
        </is>
      </c>
      <c r="B3721" t="inlineStr">
        <is>
          <t>沥青</t>
        </is>
      </c>
      <c r="C3721" t="inlineStr">
        <is>
          <t>多</t>
        </is>
      </c>
      <c r="D3721" t="n">
        <v>2</v>
      </c>
      <c r="E3721" t="n">
        <v>5</v>
      </c>
      <c r="F3721" t="inlineStr">
        <is>
          <t>观望</t>
        </is>
      </c>
      <c r="G3721" t="n">
        <v>5</v>
      </c>
      <c r="H3721" t="n">
        <v>3523</v>
      </c>
      <c r="I3721" t="n">
        <v>3349.86</v>
      </c>
      <c r="J3721" t="n">
        <v>1</v>
      </c>
      <c r="K3721" t="inlineStr">
        <is>
          <t>逆5日线（收盘在5日线下，不追多）</t>
        </is>
      </c>
    </row>
    <row r="3722">
      <c r="A3722" t="inlineStr">
        <is>
          <t>2024-12-09</t>
        </is>
      </c>
      <c r="B3722" t="inlineStr">
        <is>
          <t>菜粕</t>
        </is>
      </c>
      <c r="C3722" t="inlineStr">
        <is>
          <t>空</t>
        </is>
      </c>
      <c r="D3722" t="n">
        <v>2</v>
      </c>
      <c r="E3722" t="n">
        <v>4</v>
      </c>
      <c r="F3722" t="inlineStr">
        <is>
          <t>影子仓</t>
        </is>
      </c>
      <c r="G3722" t="n">
        <v>6</v>
      </c>
      <c r="H3722" t="n">
        <v>2263</v>
      </c>
      <c r="I3722" t="n">
        <v>2406.36</v>
      </c>
      <c r="J3722" t="n">
        <v>1</v>
      </c>
      <c r="K3722" t="inlineStr">
        <is>
          <t>凯利≤0，开1%影子仓（只统计，不计入组合）</t>
        </is>
      </c>
    </row>
    <row r="3723">
      <c r="A3723" t="inlineStr">
        <is>
          <t>2024-12-09</t>
        </is>
      </c>
      <c r="B3723" t="inlineStr">
        <is>
          <t>沪镍</t>
        </is>
      </c>
      <c r="C3723" t="inlineStr">
        <is>
          <t>多</t>
        </is>
      </c>
      <c r="D3723" t="n">
        <v>2</v>
      </c>
      <c r="E3723" t="n">
        <v>4</v>
      </c>
      <c r="F3723" t="inlineStr">
        <is>
          <t>影子仓</t>
        </is>
      </c>
      <c r="G3723" t="n">
        <v>1</v>
      </c>
      <c r="H3723" t="n">
        <v>127000</v>
      </c>
      <c r="I3723" t="n">
        <v>120198.57</v>
      </c>
      <c r="J3723" t="n">
        <v>1</v>
      </c>
      <c r="K3723" t="inlineStr">
        <is>
          <t>凯利≤0，开1%影子仓（只统计，不计入组合）</t>
        </is>
      </c>
    </row>
    <row r="3724">
      <c r="A3724" t="inlineStr">
        <is>
          <t>2024-12-09</t>
        </is>
      </c>
      <c r="B3724" t="inlineStr">
        <is>
          <t>沪银</t>
        </is>
      </c>
      <c r="C3724" t="inlineStr">
        <is>
          <t>空</t>
        </is>
      </c>
      <c r="D3724" t="n">
        <v>2</v>
      </c>
      <c r="E3724" t="n">
        <v>4</v>
      </c>
      <c r="F3724" t="inlineStr">
        <is>
          <t>影子仓</t>
        </is>
      </c>
      <c r="G3724" t="n">
        <v>1</v>
      </c>
      <c r="H3724" t="n">
        <v>7795</v>
      </c>
      <c r="I3724" t="n">
        <v>8264.290000000001</v>
      </c>
      <c r="J3724" t="n">
        <v>1</v>
      </c>
      <c r="K3724" t="inlineStr">
        <is>
          <t>凯利≤0，开1%影子仓（只统计，不计入组合）</t>
        </is>
      </c>
    </row>
    <row r="3725">
      <c r="A3725" t="inlineStr">
        <is>
          <t>2024-12-10</t>
        </is>
      </c>
      <c r="B3725" t="inlineStr">
        <is>
          <t>沪锌</t>
        </is>
      </c>
      <c r="C3725" t="inlineStr">
        <is>
          <t>多</t>
        </is>
      </c>
      <c r="D3725" t="n">
        <v>3</v>
      </c>
      <c r="E3725" t="n">
        <v>7</v>
      </c>
      <c r="F3725" t="inlineStr">
        <is>
          <t>开仓</t>
        </is>
      </c>
      <c r="G3725" t="n">
        <v>1</v>
      </c>
      <c r="H3725" t="n">
        <v>25775</v>
      </c>
      <c r="I3725" t="n">
        <v>24510.71</v>
      </c>
      <c r="J3725" t="n">
        <v>1</v>
      </c>
      <c r="K3725" t="inlineStr">
        <is>
          <t>组合风险已近10%，预算缩小</t>
        </is>
      </c>
    </row>
    <row r="3726">
      <c r="A3726" t="inlineStr">
        <is>
          <t>2024-12-10</t>
        </is>
      </c>
      <c r="B3726" t="inlineStr">
        <is>
          <t>碳酸锂</t>
        </is>
      </c>
      <c r="C3726" t="inlineStr">
        <is>
          <t>空</t>
        </is>
      </c>
      <c r="D3726" t="n">
        <v>3</v>
      </c>
      <c r="E3726" t="n">
        <v>6</v>
      </c>
      <c r="F3726" t="inlineStr">
        <is>
          <t>观望</t>
        </is>
      </c>
      <c r="H3726" t="n">
        <v>76600</v>
      </c>
      <c r="J3726" t="n">
        <v>0</v>
      </c>
      <c r="K3726" t="inlineStr">
        <is>
          <t>逆5日线（收盘在5日线上，不追空）</t>
        </is>
      </c>
    </row>
    <row r="3727">
      <c r="A3727" t="inlineStr">
        <is>
          <t>2024-12-10</t>
        </is>
      </c>
      <c r="B3727" t="inlineStr">
        <is>
          <t>棉花</t>
        </is>
      </c>
      <c r="C3727" t="inlineStr">
        <is>
          <t>空</t>
        </is>
      </c>
      <c r="D3727" t="n">
        <v>3</v>
      </c>
      <c r="E3727" t="n">
        <v>6</v>
      </c>
      <c r="F3727" t="inlineStr">
        <is>
          <t>续持</t>
        </is>
      </c>
      <c r="G3727" t="n">
        <v>17</v>
      </c>
      <c r="H3727" t="n">
        <v>13780</v>
      </c>
      <c r="I3727" t="n">
        <v>14028.57</v>
      </c>
      <c r="J3727" t="n">
        <v>3</v>
      </c>
      <c r="K3727" t="inlineStr">
        <is>
          <t>续持原仓（2024-12-04开）</t>
        </is>
      </c>
    </row>
    <row r="3728">
      <c r="A3728" t="inlineStr">
        <is>
          <t>2024-12-10</t>
        </is>
      </c>
      <c r="B3728" t="inlineStr">
        <is>
          <t>沪铜</t>
        </is>
      </c>
      <c r="C3728" t="inlineStr">
        <is>
          <t>多</t>
        </is>
      </c>
      <c r="D3728" t="n">
        <v>3</v>
      </c>
      <c r="E3728" t="n">
        <v>6</v>
      </c>
      <c r="F3728" t="inlineStr">
        <is>
          <t>不做</t>
        </is>
      </c>
      <c r="H3728" t="n">
        <v>75130</v>
      </c>
      <c r="J3728" t="n">
        <v>0</v>
      </c>
      <c r="K3728" t="inlineStr">
        <is>
          <t>组合风险已近10%，预算缩小</t>
        </is>
      </c>
    </row>
    <row r="3729">
      <c r="A3729" t="inlineStr">
        <is>
          <t>2024-12-10</t>
        </is>
      </c>
      <c r="B3729" t="inlineStr">
        <is>
          <t>菜粕</t>
        </is>
      </c>
      <c r="C3729" t="inlineStr">
        <is>
          <t>空</t>
        </is>
      </c>
      <c r="D3729" t="n">
        <v>2</v>
      </c>
      <c r="E3729" t="n">
        <v>5</v>
      </c>
      <c r="F3729" t="inlineStr">
        <is>
          <t>观望</t>
        </is>
      </c>
      <c r="G3729" t="n">
        <v>7</v>
      </c>
      <c r="H3729" t="n">
        <v>2276</v>
      </c>
      <c r="I3729" t="n">
        <v>2417</v>
      </c>
      <c r="J3729" t="n">
        <v>1</v>
      </c>
      <c r="K3729" t="inlineStr">
        <is>
          <t>逆5日线（收盘在5日线上，不追空）</t>
        </is>
      </c>
    </row>
    <row r="3730">
      <c r="A3730" t="inlineStr">
        <is>
          <t>2024-12-10</t>
        </is>
      </c>
      <c r="B3730" t="inlineStr">
        <is>
          <t>玉米</t>
        </is>
      </c>
      <c r="C3730" t="inlineStr">
        <is>
          <t>空</t>
        </is>
      </c>
      <c r="D3730" t="n">
        <v>2</v>
      </c>
      <c r="E3730" t="n">
        <v>5</v>
      </c>
      <c r="F3730" t="inlineStr">
        <is>
          <t>观望</t>
        </is>
      </c>
      <c r="G3730" t="n">
        <v>11</v>
      </c>
      <c r="H3730" t="n">
        <v>2113</v>
      </c>
      <c r="I3730" t="n">
        <v>2200.21</v>
      </c>
      <c r="J3730" t="n">
        <v>1</v>
      </c>
      <c r="K3730" t="inlineStr">
        <is>
          <t>逆5日线（收盘在5日线上，不追空）</t>
        </is>
      </c>
    </row>
    <row r="3731">
      <c r="A3731" t="inlineStr">
        <is>
          <t>2024-12-10</t>
        </is>
      </c>
      <c r="B3731" t="inlineStr">
        <is>
          <t>豆油</t>
        </is>
      </c>
      <c r="C3731" t="inlineStr">
        <is>
          <t>空</t>
        </is>
      </c>
      <c r="D3731" t="n">
        <v>2</v>
      </c>
      <c r="E3731" t="n">
        <v>5</v>
      </c>
      <c r="F3731" t="inlineStr">
        <is>
          <t>续持</t>
        </is>
      </c>
      <c r="G3731" t="n">
        <v>6</v>
      </c>
      <c r="H3731" t="n">
        <v>7872</v>
      </c>
      <c r="I3731" t="n">
        <v>8182.43</v>
      </c>
      <c r="J3731" t="n">
        <v>3</v>
      </c>
      <c r="K3731" t="inlineStr">
        <is>
          <t>续持原仓（2024-12-04开）</t>
        </is>
      </c>
    </row>
    <row r="3732">
      <c r="A3732" t="inlineStr">
        <is>
          <t>2024-12-11</t>
        </is>
      </c>
      <c r="B3732" t="inlineStr">
        <is>
          <t>沪锌</t>
        </is>
      </c>
      <c r="C3732" t="inlineStr">
        <is>
          <t>多</t>
        </is>
      </c>
      <c r="D3732" t="n">
        <v>3</v>
      </c>
      <c r="E3732" t="n">
        <v>7</v>
      </c>
      <c r="F3732" t="inlineStr">
        <is>
          <t>续持</t>
        </is>
      </c>
      <c r="G3732" t="n">
        <v>1</v>
      </c>
      <c r="H3732" t="n">
        <v>25870</v>
      </c>
      <c r="I3732" t="n">
        <v>24796.43</v>
      </c>
      <c r="J3732" t="n">
        <v>1</v>
      </c>
      <c r="K3732" t="inlineStr">
        <is>
          <t>续持原仓（2024-12-10开）</t>
        </is>
      </c>
    </row>
    <row r="3733">
      <c r="A3733" t="inlineStr">
        <is>
          <t>2024-12-11</t>
        </is>
      </c>
      <c r="B3733" t="inlineStr">
        <is>
          <t>甲醇</t>
        </is>
      </c>
      <c r="C3733" t="inlineStr">
        <is>
          <t>多</t>
        </is>
      </c>
      <c r="D3733" t="n">
        <v>3</v>
      </c>
      <c r="E3733" t="n">
        <v>7</v>
      </c>
      <c r="F3733" t="inlineStr">
        <is>
          <t>不做</t>
        </is>
      </c>
      <c r="H3733" t="n">
        <v>2608</v>
      </c>
      <c r="J3733" t="n">
        <v>0</v>
      </c>
      <c r="K3733" t="inlineStr">
        <is>
          <t>组合风险已近10%，预算缩小</t>
        </is>
      </c>
    </row>
    <row r="3734">
      <c r="A3734" t="inlineStr">
        <is>
          <t>2024-12-11</t>
        </is>
      </c>
      <c r="B3734" t="inlineStr">
        <is>
          <t>工业硅</t>
        </is>
      </c>
      <c r="C3734" t="inlineStr">
        <is>
          <t>空</t>
        </is>
      </c>
      <c r="D3734" t="n">
        <v>3</v>
      </c>
      <c r="E3734" t="n">
        <v>6</v>
      </c>
      <c r="F3734" t="inlineStr">
        <is>
          <t>不做</t>
        </is>
      </c>
      <c r="H3734" t="n">
        <v>11785</v>
      </c>
      <c r="J3734" t="n">
        <v>0</v>
      </c>
      <c r="K3734" t="inlineStr">
        <is>
          <t>组合风险已近10%，预算缩小</t>
        </is>
      </c>
    </row>
    <row r="3735">
      <c r="A3735" t="inlineStr">
        <is>
          <t>2024-12-11</t>
        </is>
      </c>
      <c r="B3735" t="inlineStr">
        <is>
          <t>燃料油</t>
        </is>
      </c>
      <c r="C3735" t="inlineStr">
        <is>
          <t>多</t>
        </is>
      </c>
      <c r="D3735" t="n">
        <v>3</v>
      </c>
      <c r="E3735" t="n">
        <v>6</v>
      </c>
      <c r="F3735" t="inlineStr">
        <is>
          <t>不做</t>
        </is>
      </c>
      <c r="H3735" t="n">
        <v>3069</v>
      </c>
      <c r="J3735" t="n">
        <v>0</v>
      </c>
      <c r="K3735" t="inlineStr">
        <is>
          <t>组合风险已近10%，预算缩小</t>
        </is>
      </c>
    </row>
    <row r="3736">
      <c r="A3736" t="inlineStr">
        <is>
          <t>2024-12-11</t>
        </is>
      </c>
      <c r="B3736" t="inlineStr">
        <is>
          <t>热卷</t>
        </is>
      </c>
      <c r="C3736" t="inlineStr">
        <is>
          <t>多</t>
        </is>
      </c>
      <c r="D3736" t="n">
        <v>2</v>
      </c>
      <c r="E3736" t="n">
        <v>5</v>
      </c>
      <c r="F3736" t="inlineStr">
        <is>
          <t>影子仓</t>
        </is>
      </c>
      <c r="G3736" t="n">
        <v>6</v>
      </c>
      <c r="H3736" t="n">
        <v>3561</v>
      </c>
      <c r="I3736" t="n">
        <v>3400.29</v>
      </c>
      <c r="J3736" t="n">
        <v>1</v>
      </c>
      <c r="K3736" t="inlineStr">
        <is>
          <t>凯利≤0，开1%影子仓（只统计，不计入组合）</t>
        </is>
      </c>
    </row>
    <row r="3737">
      <c r="A3737" t="inlineStr">
        <is>
          <t>2024-12-11</t>
        </is>
      </c>
      <c r="B3737" t="inlineStr">
        <is>
          <t>棉花</t>
        </is>
      </c>
      <c r="C3737" t="inlineStr">
        <is>
          <t>空</t>
        </is>
      </c>
      <c r="D3737" t="n">
        <v>2</v>
      </c>
      <c r="E3737" t="n">
        <v>4</v>
      </c>
      <c r="F3737" t="inlineStr">
        <is>
          <t>续持</t>
        </is>
      </c>
      <c r="G3737" t="n">
        <v>17</v>
      </c>
      <c r="H3737" t="n">
        <v>13765</v>
      </c>
      <c r="I3737" t="n">
        <v>14028.57</v>
      </c>
      <c r="J3737" t="n">
        <v>3</v>
      </c>
      <c r="K3737" t="inlineStr">
        <is>
          <t>续持原仓（2024-12-04开）</t>
        </is>
      </c>
    </row>
    <row r="3738">
      <c r="A3738" t="inlineStr">
        <is>
          <t>2024-12-12</t>
        </is>
      </c>
      <c r="B3738" t="inlineStr">
        <is>
          <t>铁矿石</t>
        </is>
      </c>
      <c r="C3738" t="inlineStr">
        <is>
          <t>多</t>
        </is>
      </c>
      <c r="D3738" t="n">
        <v>3</v>
      </c>
      <c r="E3738" t="n">
        <v>7</v>
      </c>
      <c r="F3738" t="inlineStr">
        <is>
          <t>不做</t>
        </is>
      </c>
      <c r="H3738" t="n">
        <v>812.5</v>
      </c>
      <c r="J3738" t="n">
        <v>0</v>
      </c>
      <c r="K3738" t="inlineStr">
        <is>
          <t>组合风险已近10%，预算缩小</t>
        </is>
      </c>
    </row>
    <row r="3739">
      <c r="A3739" t="inlineStr">
        <is>
          <t>2024-12-12</t>
        </is>
      </c>
      <c r="B3739" t="inlineStr">
        <is>
          <t>甲醇</t>
        </is>
      </c>
      <c r="C3739" t="inlineStr">
        <is>
          <t>多</t>
        </is>
      </c>
      <c r="D3739" t="n">
        <v>3</v>
      </c>
      <c r="E3739" t="n">
        <v>7</v>
      </c>
      <c r="F3739" t="inlineStr">
        <is>
          <t>不做</t>
        </is>
      </c>
      <c r="H3739" t="n">
        <v>2631</v>
      </c>
      <c r="J3739" t="n">
        <v>0</v>
      </c>
      <c r="K3739" t="inlineStr">
        <is>
          <t>组合风险已近10%，预算缩小</t>
        </is>
      </c>
    </row>
    <row r="3740">
      <c r="A3740" t="inlineStr">
        <is>
          <t>2024-12-12</t>
        </is>
      </c>
      <c r="B3740" t="inlineStr">
        <is>
          <t>沪锌</t>
        </is>
      </c>
      <c r="C3740" t="inlineStr">
        <is>
          <t>多</t>
        </is>
      </c>
      <c r="D3740" t="n">
        <v>3</v>
      </c>
      <c r="E3740" t="n">
        <v>6</v>
      </c>
      <c r="F3740" t="inlineStr">
        <is>
          <t>续持</t>
        </is>
      </c>
      <c r="G3740" t="n">
        <v>1</v>
      </c>
      <c r="H3740" t="n">
        <v>25965</v>
      </c>
      <c r="I3740" t="n">
        <v>24796.43</v>
      </c>
      <c r="J3740" t="n">
        <v>1</v>
      </c>
      <c r="K3740" t="inlineStr">
        <is>
          <t>续持原仓（2024-12-10开）</t>
        </is>
      </c>
    </row>
    <row r="3741">
      <c r="A3741" t="inlineStr">
        <is>
          <t>2024-12-12</t>
        </is>
      </c>
      <c r="B3741" t="inlineStr">
        <is>
          <t>菜粕</t>
        </is>
      </c>
      <c r="C3741" t="inlineStr">
        <is>
          <t>空</t>
        </is>
      </c>
      <c r="D3741" t="n">
        <v>2</v>
      </c>
      <c r="E3741" t="n">
        <v>5</v>
      </c>
      <c r="F3741" t="inlineStr">
        <is>
          <t>观望</t>
        </is>
      </c>
      <c r="G3741" t="n">
        <v>8</v>
      </c>
      <c r="H3741" t="n">
        <v>2272</v>
      </c>
      <c r="I3741" t="n">
        <v>2395.64</v>
      </c>
      <c r="J3741" t="n">
        <v>1</v>
      </c>
      <c r="K3741" t="inlineStr">
        <is>
          <t>逆5日线（收盘在5日线上，不追空）</t>
        </is>
      </c>
    </row>
    <row r="3742">
      <c r="A3742" t="inlineStr">
        <is>
          <t>2024-12-12</t>
        </is>
      </c>
      <c r="B3742" t="inlineStr">
        <is>
          <t>工业硅</t>
        </is>
      </c>
      <c r="C3742" t="inlineStr">
        <is>
          <t>空</t>
        </is>
      </c>
      <c r="D3742" t="n">
        <v>2</v>
      </c>
      <c r="E3742" t="n">
        <v>5</v>
      </c>
      <c r="F3742" t="inlineStr">
        <is>
          <t>影子仓</t>
        </is>
      </c>
      <c r="G3742" t="n">
        <v>2</v>
      </c>
      <c r="H3742" t="n">
        <v>11760</v>
      </c>
      <c r="I3742" t="n">
        <v>12641.79</v>
      </c>
      <c r="J3742" t="n">
        <v>1</v>
      </c>
      <c r="K3742" t="inlineStr">
        <is>
          <t>凯利≤0，开1%影子仓（只统计，不计入组合）</t>
        </is>
      </c>
    </row>
    <row r="3743">
      <c r="A3743" t="inlineStr">
        <is>
          <t>2024-12-12</t>
        </is>
      </c>
      <c r="B3743" t="inlineStr">
        <is>
          <t>棕榈油</t>
        </is>
      </c>
      <c r="C3743" t="inlineStr">
        <is>
          <t>空</t>
        </is>
      </c>
      <c r="D3743" t="n">
        <v>2</v>
      </c>
      <c r="E3743" t="n">
        <v>5</v>
      </c>
      <c r="F3743" t="inlineStr">
        <is>
          <t>影子仓</t>
        </is>
      </c>
      <c r="G3743" t="n">
        <v>1</v>
      </c>
      <c r="H3743" t="n">
        <v>9216</v>
      </c>
      <c r="I3743" t="n">
        <v>9914.139999999999</v>
      </c>
      <c r="J3743" t="n">
        <v>1</v>
      </c>
      <c r="K3743" t="inlineStr">
        <is>
          <t>凯利≤0，开1%影子仓（只统计，不计入组合）</t>
        </is>
      </c>
    </row>
    <row r="3744">
      <c r="A3744" t="inlineStr">
        <is>
          <t>2024-12-12</t>
        </is>
      </c>
      <c r="B3744" t="inlineStr">
        <is>
          <t>棉花</t>
        </is>
      </c>
      <c r="C3744" t="inlineStr">
        <is>
          <t>空</t>
        </is>
      </c>
      <c r="D3744" t="n">
        <v>2</v>
      </c>
      <c r="E3744" t="n">
        <v>4</v>
      </c>
      <c r="F3744" t="inlineStr">
        <is>
          <t>续持</t>
        </is>
      </c>
      <c r="G3744" t="n">
        <v>17</v>
      </c>
      <c r="H3744" t="n">
        <v>13760</v>
      </c>
      <c r="I3744" t="n">
        <v>14021.07</v>
      </c>
      <c r="J3744" t="n">
        <v>3</v>
      </c>
      <c r="K3744" t="inlineStr">
        <is>
          <t>续持原仓（2024-12-04开）</t>
        </is>
      </c>
    </row>
    <row r="3745">
      <c r="A3745" t="inlineStr">
        <is>
          <t>2024-12-13</t>
        </is>
      </c>
      <c r="B3745" t="inlineStr">
        <is>
          <t>碳酸锂</t>
        </is>
      </c>
      <c r="C3745" t="inlineStr">
        <is>
          <t>空</t>
        </is>
      </c>
      <c r="D3745" t="n">
        <v>3</v>
      </c>
      <c r="E3745" t="n">
        <v>7</v>
      </c>
      <c r="F3745" t="inlineStr">
        <is>
          <t>开仓</t>
        </is>
      </c>
      <c r="G3745" t="n">
        <v>5</v>
      </c>
      <c r="H3745" t="n">
        <v>75800</v>
      </c>
      <c r="I3745" t="n">
        <v>81028.57000000001</v>
      </c>
      <c r="J3745" t="n">
        <v>3</v>
      </c>
      <c r="K3745" t="inlineStr">
        <is>
          <t>¼凯利超上限，取3%</t>
        </is>
      </c>
    </row>
    <row r="3746">
      <c r="A3746" t="inlineStr">
        <is>
          <t>2024-12-13</t>
        </is>
      </c>
      <c r="B3746" t="inlineStr">
        <is>
          <t>菜粕</t>
        </is>
      </c>
      <c r="C3746" t="inlineStr">
        <is>
          <t>空</t>
        </is>
      </c>
      <c r="D3746" t="n">
        <v>3</v>
      </c>
      <c r="E3746" t="n">
        <v>7</v>
      </c>
      <c r="F3746" t="inlineStr">
        <is>
          <t>续持</t>
        </is>
      </c>
      <c r="G3746" t="n">
        <v>6</v>
      </c>
      <c r="H3746" t="n">
        <v>2257</v>
      </c>
      <c r="I3746" t="n">
        <v>2359.5</v>
      </c>
      <c r="J3746" t="n">
        <v>1</v>
      </c>
      <c r="K3746" t="inlineStr">
        <is>
          <t>续持原仓（2024-12-09开）</t>
        </is>
      </c>
    </row>
    <row r="3747">
      <c r="A3747" t="inlineStr">
        <is>
          <t>2024-12-13</t>
        </is>
      </c>
      <c r="B3747" t="inlineStr">
        <is>
          <t>豆粕</t>
        </is>
      </c>
      <c r="C3747" t="inlineStr">
        <is>
          <t>空</t>
        </is>
      </c>
      <c r="D3747" t="n">
        <v>3</v>
      </c>
      <c r="E3747" t="n">
        <v>6</v>
      </c>
      <c r="F3747" t="inlineStr">
        <is>
          <t>续持</t>
        </is>
      </c>
      <c r="G3747" t="n">
        <v>26</v>
      </c>
      <c r="H3747" t="n">
        <v>2642</v>
      </c>
      <c r="I3747" t="n">
        <v>2729.57</v>
      </c>
      <c r="J3747" t="n">
        <v>3</v>
      </c>
      <c r="K3747" t="inlineStr">
        <is>
          <t>续持原仓（2024-12-05开）</t>
        </is>
      </c>
    </row>
    <row r="3748">
      <c r="A3748" t="inlineStr">
        <is>
          <t>2024-12-13</t>
        </is>
      </c>
      <c r="B3748" t="inlineStr">
        <is>
          <t>棉花</t>
        </is>
      </c>
      <c r="C3748" t="inlineStr">
        <is>
          <t>空</t>
        </is>
      </c>
      <c r="D3748" t="n">
        <v>3</v>
      </c>
      <c r="E3748" t="n">
        <v>6</v>
      </c>
      <c r="F3748" t="inlineStr">
        <is>
          <t>续持</t>
        </is>
      </c>
      <c r="G3748" t="n">
        <v>17</v>
      </c>
      <c r="H3748" t="n">
        <v>13650</v>
      </c>
      <c r="I3748" t="n">
        <v>13970.36</v>
      </c>
      <c r="J3748" t="n">
        <v>3</v>
      </c>
      <c r="K3748" t="inlineStr">
        <is>
          <t>续持原仓（2024-12-04开）</t>
        </is>
      </c>
    </row>
    <row r="3749">
      <c r="A3749" t="inlineStr">
        <is>
          <t>2024-12-13</t>
        </is>
      </c>
      <c r="B3749" t="inlineStr">
        <is>
          <t>沪镍</t>
        </is>
      </c>
      <c r="C3749" t="inlineStr">
        <is>
          <t>空</t>
        </is>
      </c>
      <c r="D3749" t="n">
        <v>3</v>
      </c>
      <c r="E3749" t="n">
        <v>6</v>
      </c>
      <c r="F3749" t="inlineStr">
        <is>
          <t>观望</t>
        </is>
      </c>
      <c r="H3749" t="n">
        <v>129110</v>
      </c>
      <c r="J3749" t="n">
        <v>0</v>
      </c>
      <c r="K3749" t="inlineStr">
        <is>
          <t>逆5日线（收盘在5日线上，不追空）</t>
        </is>
      </c>
    </row>
    <row r="3750">
      <c r="A3750" t="inlineStr">
        <is>
          <t>2024-12-13</t>
        </is>
      </c>
      <c r="B3750" t="inlineStr">
        <is>
          <t>沪锌</t>
        </is>
      </c>
      <c r="C3750" t="inlineStr">
        <is>
          <t>多</t>
        </is>
      </c>
      <c r="D3750" t="n">
        <v>2</v>
      </c>
      <c r="E3750" t="n">
        <v>5</v>
      </c>
      <c r="F3750" t="inlineStr">
        <is>
          <t>续持</t>
        </is>
      </c>
      <c r="G3750" t="n">
        <v>1</v>
      </c>
      <c r="H3750" t="n">
        <v>25850</v>
      </c>
      <c r="I3750" t="n">
        <v>24796.43</v>
      </c>
      <c r="J3750" t="n">
        <v>1</v>
      </c>
      <c r="K3750" t="inlineStr">
        <is>
          <t>续持原仓（2024-12-10开）</t>
        </is>
      </c>
    </row>
    <row r="3751">
      <c r="A3751" t="inlineStr">
        <is>
          <t>2024-12-13</t>
        </is>
      </c>
      <c r="B3751" t="inlineStr">
        <is>
          <t>沥青</t>
        </is>
      </c>
      <c r="C3751" t="inlineStr">
        <is>
          <t>多</t>
        </is>
      </c>
      <c r="D3751" t="n">
        <v>2</v>
      </c>
      <c r="E3751" t="n">
        <v>4</v>
      </c>
      <c r="F3751" t="inlineStr">
        <is>
          <t>影子仓</t>
        </is>
      </c>
      <c r="G3751" t="n">
        <v>5</v>
      </c>
      <c r="H3751" t="n">
        <v>3512</v>
      </c>
      <c r="I3751" t="n">
        <v>3326.21</v>
      </c>
      <c r="J3751" t="n">
        <v>1</v>
      </c>
      <c r="K3751" t="inlineStr">
        <is>
          <t>凯利≤0，开1%影子仓（只统计，不计入组合）</t>
        </is>
      </c>
    </row>
    <row r="3752">
      <c r="A3752" t="inlineStr">
        <is>
          <t>2024-12-16</t>
        </is>
      </c>
      <c r="B3752" t="inlineStr">
        <is>
          <t>沪锌</t>
        </is>
      </c>
      <c r="C3752" t="inlineStr">
        <is>
          <t>多</t>
        </is>
      </c>
      <c r="D3752" t="n">
        <v>3</v>
      </c>
      <c r="E3752" t="n">
        <v>6</v>
      </c>
      <c r="F3752" t="inlineStr">
        <is>
          <t>观望</t>
        </is>
      </c>
      <c r="G3752" t="n">
        <v>3</v>
      </c>
      <c r="H3752" t="n">
        <v>25770</v>
      </c>
      <c r="I3752" t="n">
        <v>24466.07</v>
      </c>
      <c r="J3752" t="n">
        <v>2</v>
      </c>
      <c r="K3752" t="inlineStr">
        <is>
          <t>逆5日线（收盘在5日线下，不追多）</t>
        </is>
      </c>
    </row>
    <row r="3753">
      <c r="A3753" t="inlineStr">
        <is>
          <t>2024-12-16</t>
        </is>
      </c>
      <c r="B3753" t="inlineStr">
        <is>
          <t>棉花</t>
        </is>
      </c>
      <c r="C3753" t="inlineStr">
        <is>
          <t>空</t>
        </is>
      </c>
      <c r="D3753" t="n">
        <v>3</v>
      </c>
      <c r="E3753" t="n">
        <v>6</v>
      </c>
      <c r="F3753" t="inlineStr">
        <is>
          <t>续持</t>
        </is>
      </c>
      <c r="G3753" t="n">
        <v>17</v>
      </c>
      <c r="H3753" t="n">
        <v>13570</v>
      </c>
      <c r="I3753" t="n">
        <v>13869.64</v>
      </c>
      <c r="J3753" t="n">
        <v>3</v>
      </c>
      <c r="K3753" t="inlineStr">
        <is>
          <t>续持原仓（2024-12-04开）</t>
        </is>
      </c>
    </row>
    <row r="3754">
      <c r="A3754" t="inlineStr">
        <is>
          <t>2024-12-16</t>
        </is>
      </c>
      <c r="B3754" t="inlineStr">
        <is>
          <t>聚丙烯</t>
        </is>
      </c>
      <c r="C3754" t="inlineStr">
        <is>
          <t>空</t>
        </is>
      </c>
      <c r="D3754" t="n">
        <v>2</v>
      </c>
      <c r="E3754" t="n">
        <v>5</v>
      </c>
      <c r="F3754" t="inlineStr">
        <is>
          <t>观望</t>
        </is>
      </c>
      <c r="G3754" t="n">
        <v>13</v>
      </c>
      <c r="H3754" t="n">
        <v>7467</v>
      </c>
      <c r="I3754" t="n">
        <v>7614.43</v>
      </c>
      <c r="J3754" t="n">
        <v>1</v>
      </c>
      <c r="K3754" t="inlineStr">
        <is>
          <t>逆5日线（收盘在5日线上，不追空）</t>
        </is>
      </c>
    </row>
    <row r="3755">
      <c r="A3755" t="inlineStr">
        <is>
          <t>2024-12-16</t>
        </is>
      </c>
      <c r="B3755" t="inlineStr">
        <is>
          <t>沪银</t>
        </is>
      </c>
      <c r="C3755" t="inlineStr">
        <is>
          <t>空</t>
        </is>
      </c>
      <c r="D3755" t="n">
        <v>2</v>
      </c>
      <c r="E3755" t="n">
        <v>4</v>
      </c>
      <c r="F3755" t="inlineStr">
        <is>
          <t>影子仓</t>
        </is>
      </c>
      <c r="G3755" t="n">
        <v>1</v>
      </c>
      <c r="H3755" t="n">
        <v>7736</v>
      </c>
      <c r="I3755" t="n">
        <v>8219</v>
      </c>
      <c r="J3755" t="n">
        <v>1</v>
      </c>
      <c r="K3755" t="inlineStr">
        <is>
          <t>凯利≤0，开1%影子仓（只统计，不计入组合）</t>
        </is>
      </c>
    </row>
    <row r="3756">
      <c r="A3756" t="inlineStr">
        <is>
          <t>2024-12-17</t>
        </is>
      </c>
      <c r="B3756" t="inlineStr">
        <is>
          <t>棉花</t>
        </is>
      </c>
      <c r="C3756" t="inlineStr">
        <is>
          <t>空</t>
        </is>
      </c>
      <c r="D3756" t="n">
        <v>3</v>
      </c>
      <c r="E3756" t="n">
        <v>6</v>
      </c>
      <c r="F3756" t="inlineStr">
        <is>
          <t>续持</t>
        </is>
      </c>
      <c r="G3756" t="n">
        <v>17</v>
      </c>
      <c r="H3756" t="n">
        <v>13535</v>
      </c>
      <c r="I3756" t="n">
        <v>13857.14</v>
      </c>
      <c r="J3756" t="n">
        <v>3</v>
      </c>
      <c r="K3756" t="inlineStr">
        <is>
          <t>续持原仓（2024-12-04开）</t>
        </is>
      </c>
    </row>
    <row r="3757">
      <c r="A3757" t="inlineStr">
        <is>
          <t>2024-12-17</t>
        </is>
      </c>
      <c r="B3757" t="inlineStr">
        <is>
          <t>燃料油</t>
        </is>
      </c>
      <c r="C3757" t="inlineStr">
        <is>
          <t>多</t>
        </is>
      </c>
      <c r="D3757" t="n">
        <v>3</v>
      </c>
      <c r="E3757" t="n">
        <v>6</v>
      </c>
      <c r="F3757" t="inlineStr">
        <is>
          <t>开仓</t>
        </is>
      </c>
      <c r="G3757" t="n">
        <v>15</v>
      </c>
      <c r="H3757" t="n">
        <v>3227</v>
      </c>
      <c r="I3757" t="n">
        <v>3032.64</v>
      </c>
      <c r="J3757" t="n">
        <v>3</v>
      </c>
      <c r="K3757" t="inlineStr">
        <is>
          <t>¼凯利超上限，取3%</t>
        </is>
      </c>
    </row>
    <row r="3758">
      <c r="A3758" t="inlineStr">
        <is>
          <t>2024-12-17</t>
        </is>
      </c>
      <c r="B3758" t="inlineStr">
        <is>
          <t>沥青</t>
        </is>
      </c>
      <c r="C3758" t="inlineStr">
        <is>
          <t>多</t>
        </is>
      </c>
      <c r="D3758" t="n">
        <v>2</v>
      </c>
      <c r="E3758" t="n">
        <v>5</v>
      </c>
      <c r="F3758" t="inlineStr">
        <is>
          <t>影子仓</t>
        </is>
      </c>
      <c r="G3758" t="n">
        <v>5</v>
      </c>
      <c r="H3758" t="n">
        <v>3522</v>
      </c>
      <c r="I3758" t="n">
        <v>3339.64</v>
      </c>
      <c r="J3758" t="n">
        <v>1</v>
      </c>
      <c r="K3758" t="inlineStr">
        <is>
          <t>凯利≤0，开1%影子仓（只统计，不计入组合）</t>
        </is>
      </c>
    </row>
    <row r="3759">
      <c r="A3759" t="inlineStr">
        <is>
          <t>2024-12-17</t>
        </is>
      </c>
      <c r="B3759" t="inlineStr">
        <is>
          <t>豆油</t>
        </is>
      </c>
      <c r="C3759" t="inlineStr">
        <is>
          <t>空</t>
        </is>
      </c>
      <c r="D3759" t="n">
        <v>2</v>
      </c>
      <c r="E3759" t="n">
        <v>4</v>
      </c>
      <c r="F3759" t="inlineStr">
        <is>
          <t>影子仓</t>
        </is>
      </c>
      <c r="G3759" t="n">
        <v>2</v>
      </c>
      <c r="H3759" t="n">
        <v>7894</v>
      </c>
      <c r="I3759" t="n">
        <v>8312.290000000001</v>
      </c>
      <c r="J3759" t="n">
        <v>1</v>
      </c>
      <c r="K3759" t="inlineStr">
        <is>
          <t>凯利≤0，开1%影子仓（只统计，不计入组合）</t>
        </is>
      </c>
    </row>
    <row r="3760">
      <c r="A3760" t="inlineStr">
        <is>
          <t>2024-12-17</t>
        </is>
      </c>
      <c r="B3760" t="inlineStr">
        <is>
          <t>沪锌</t>
        </is>
      </c>
      <c r="C3760" t="inlineStr">
        <is>
          <t>多</t>
        </is>
      </c>
      <c r="D3760" t="n">
        <v>2</v>
      </c>
      <c r="E3760" t="n">
        <v>4</v>
      </c>
      <c r="F3760" t="inlineStr">
        <is>
          <t>观望</t>
        </is>
      </c>
      <c r="G3760" t="n">
        <v>1</v>
      </c>
      <c r="H3760" t="n">
        <v>25395</v>
      </c>
      <c r="I3760" t="n">
        <v>24180</v>
      </c>
      <c r="J3760" t="n">
        <v>1</v>
      </c>
      <c r="K3760" t="inlineStr">
        <is>
          <t>逆5日线（收盘在5日线下，不追多）</t>
        </is>
      </c>
    </row>
    <row r="3761">
      <c r="A3761" t="inlineStr">
        <is>
          <t>2024-12-18</t>
        </is>
      </c>
      <c r="B3761" t="inlineStr">
        <is>
          <t>碳酸锂</t>
        </is>
      </c>
      <c r="C3761" t="inlineStr">
        <is>
          <t>空</t>
        </is>
      </c>
      <c r="D3761" t="n">
        <v>3</v>
      </c>
      <c r="E3761" t="n">
        <v>6</v>
      </c>
      <c r="F3761" t="inlineStr">
        <is>
          <t>开仓</t>
        </is>
      </c>
      <c r="G3761" t="n">
        <v>6</v>
      </c>
      <c r="H3761" t="n">
        <v>77140</v>
      </c>
      <c r="I3761" t="n">
        <v>81920.71000000001</v>
      </c>
      <c r="J3761" t="n">
        <v>3</v>
      </c>
      <c r="K3761" t="inlineStr">
        <is>
          <t>¼凯利超上限，取3%</t>
        </is>
      </c>
    </row>
    <row r="3762">
      <c r="A3762" t="inlineStr">
        <is>
          <t>2024-12-18</t>
        </is>
      </c>
      <c r="B3762" t="inlineStr">
        <is>
          <t>棉花</t>
        </is>
      </c>
      <c r="C3762" t="inlineStr">
        <is>
          <t>空</t>
        </is>
      </c>
      <c r="D3762" t="n">
        <v>3</v>
      </c>
      <c r="E3762" t="n">
        <v>6</v>
      </c>
      <c r="F3762" t="inlineStr">
        <is>
          <t>续持</t>
        </is>
      </c>
      <c r="G3762" t="n">
        <v>17</v>
      </c>
      <c r="H3762" t="n">
        <v>13390</v>
      </c>
      <c r="I3762" t="n">
        <v>13715</v>
      </c>
      <c r="J3762" t="n">
        <v>3</v>
      </c>
      <c r="K3762" t="inlineStr">
        <is>
          <t>续持原仓（2024-12-04开）</t>
        </is>
      </c>
    </row>
    <row r="3763">
      <c r="A3763" t="inlineStr">
        <is>
          <t>2024-12-18</t>
        </is>
      </c>
      <c r="B3763" t="inlineStr">
        <is>
          <t>工业硅</t>
        </is>
      </c>
      <c r="C3763" t="inlineStr">
        <is>
          <t>空</t>
        </is>
      </c>
      <c r="D3763" t="n">
        <v>3</v>
      </c>
      <c r="E3763" t="n">
        <v>6</v>
      </c>
      <c r="F3763" t="inlineStr">
        <is>
          <t>不做</t>
        </is>
      </c>
      <c r="H3763" t="n">
        <v>11485</v>
      </c>
      <c r="J3763" t="n">
        <v>0</v>
      </c>
      <c r="K3763" t="inlineStr">
        <is>
          <t>组合风险已近10%，预算缩小</t>
        </is>
      </c>
    </row>
    <row r="3764">
      <c r="A3764" t="inlineStr">
        <is>
          <t>2024-12-18</t>
        </is>
      </c>
      <c r="B3764" t="inlineStr">
        <is>
          <t>玉米</t>
        </is>
      </c>
      <c r="C3764" t="inlineStr">
        <is>
          <t>空</t>
        </is>
      </c>
      <c r="D3764" t="n">
        <v>3</v>
      </c>
      <c r="E3764" t="n">
        <v>6</v>
      </c>
      <c r="F3764" t="inlineStr">
        <is>
          <t>不做</t>
        </is>
      </c>
      <c r="H3764" t="n">
        <v>2174</v>
      </c>
      <c r="J3764" t="n">
        <v>0</v>
      </c>
      <c r="K3764" t="inlineStr">
        <is>
          <t>组合风险已近10%，预算缩小</t>
        </is>
      </c>
    </row>
    <row r="3765">
      <c r="A3765" t="inlineStr">
        <is>
          <t>2024-12-18</t>
        </is>
      </c>
      <c r="B3765" t="inlineStr">
        <is>
          <t>聚丙烯</t>
        </is>
      </c>
      <c r="C3765" t="inlineStr">
        <is>
          <t>空</t>
        </is>
      </c>
      <c r="D3765" t="n">
        <v>3</v>
      </c>
      <c r="E3765" t="n">
        <v>6</v>
      </c>
      <c r="F3765" t="inlineStr">
        <is>
          <t>不做</t>
        </is>
      </c>
      <c r="H3765" t="n">
        <v>7417</v>
      </c>
      <c r="J3765" t="n">
        <v>0</v>
      </c>
      <c r="K3765" t="inlineStr">
        <is>
          <t>组合风险已近10%，预算缩小</t>
        </is>
      </c>
    </row>
    <row r="3766">
      <c r="A3766" t="inlineStr">
        <is>
          <t>2024-12-19</t>
        </is>
      </c>
      <c r="B3766" t="inlineStr">
        <is>
          <t>PVC</t>
        </is>
      </c>
      <c r="C3766" t="inlineStr">
        <is>
          <t>空</t>
        </is>
      </c>
      <c r="D3766" t="n">
        <v>3</v>
      </c>
      <c r="E3766" t="n">
        <v>7</v>
      </c>
      <c r="F3766" t="inlineStr">
        <is>
          <t>开仓</t>
        </is>
      </c>
      <c r="G3766" t="n">
        <v>27</v>
      </c>
      <c r="H3766" t="n">
        <v>5292</v>
      </c>
      <c r="I3766" t="n">
        <v>5514</v>
      </c>
      <c r="J3766" t="n">
        <v>3</v>
      </c>
      <c r="K3766" t="inlineStr">
        <is>
          <t>¼凯利超上限，取3%</t>
        </is>
      </c>
    </row>
    <row r="3767">
      <c r="A3767" t="inlineStr">
        <is>
          <t>2024-12-19</t>
        </is>
      </c>
      <c r="B3767" t="inlineStr">
        <is>
          <t>豆粕</t>
        </is>
      </c>
      <c r="C3767" t="inlineStr">
        <is>
          <t>空</t>
        </is>
      </c>
      <c r="D3767" t="n">
        <v>3</v>
      </c>
      <c r="E3767" t="n">
        <v>6</v>
      </c>
      <c r="F3767" t="inlineStr">
        <is>
          <t>续持</t>
        </is>
      </c>
      <c r="G3767" t="n">
        <v>26</v>
      </c>
      <c r="H3767" t="n">
        <v>2572</v>
      </c>
      <c r="I3767" t="n">
        <v>2675</v>
      </c>
      <c r="J3767" t="n">
        <v>3</v>
      </c>
      <c r="K3767" t="inlineStr">
        <is>
          <t>续持原仓（2024-12-05开）</t>
        </is>
      </c>
    </row>
    <row r="3768">
      <c r="A3768" t="inlineStr">
        <is>
          <t>2024-12-19</t>
        </is>
      </c>
      <c r="B3768" t="inlineStr">
        <is>
          <t>工业硅</t>
        </is>
      </c>
      <c r="C3768" t="inlineStr">
        <is>
          <t>空</t>
        </is>
      </c>
      <c r="D3768" t="n">
        <v>3</v>
      </c>
      <c r="E3768" t="n">
        <v>6</v>
      </c>
      <c r="F3768" t="inlineStr">
        <is>
          <t>开仓</t>
        </is>
      </c>
      <c r="G3768" t="n">
        <v>3</v>
      </c>
      <c r="H3768" t="n">
        <v>11315</v>
      </c>
      <c r="I3768" t="n">
        <v>11947.14</v>
      </c>
      <c r="J3768" t="n">
        <v>1</v>
      </c>
      <c r="K3768" t="inlineStr">
        <is>
          <t>组合风险已近10%，预算缩小</t>
        </is>
      </c>
    </row>
    <row r="3769">
      <c r="A3769" t="inlineStr">
        <is>
          <t>2024-12-19</t>
        </is>
      </c>
      <c r="B3769" t="inlineStr">
        <is>
          <t>棉花</t>
        </is>
      </c>
      <c r="C3769" t="inlineStr">
        <is>
          <t>空</t>
        </is>
      </c>
      <c r="D3769" t="n">
        <v>2</v>
      </c>
      <c r="E3769" t="n">
        <v>5</v>
      </c>
      <c r="F3769" t="inlineStr">
        <is>
          <t>续持</t>
        </is>
      </c>
      <c r="G3769" t="n">
        <v>17</v>
      </c>
      <c r="H3769" t="n">
        <v>13350</v>
      </c>
      <c r="I3769" t="n">
        <v>13671.79</v>
      </c>
      <c r="J3769" t="n">
        <v>3</v>
      </c>
      <c r="K3769" t="inlineStr">
        <is>
          <t>续持原仓（2024-12-04开）</t>
        </is>
      </c>
    </row>
    <row r="3770">
      <c r="A3770" t="inlineStr">
        <is>
          <t>2024-12-19</t>
        </is>
      </c>
      <c r="B3770" t="inlineStr">
        <is>
          <t>玉米</t>
        </is>
      </c>
      <c r="C3770" t="inlineStr">
        <is>
          <t>空</t>
        </is>
      </c>
      <c r="D3770" t="n">
        <v>2</v>
      </c>
      <c r="E3770" t="n">
        <v>5</v>
      </c>
      <c r="F3770" t="inlineStr">
        <is>
          <t>影子仓</t>
        </is>
      </c>
      <c r="G3770" t="n">
        <v>11</v>
      </c>
      <c r="H3770" t="n">
        <v>2177</v>
      </c>
      <c r="I3770" t="n">
        <v>2265.93</v>
      </c>
      <c r="J3770" t="n">
        <v>1</v>
      </c>
      <c r="K3770" t="inlineStr">
        <is>
          <t>凯利≤0，开1%影子仓（只统计，不计入组合）</t>
        </is>
      </c>
    </row>
    <row r="3771">
      <c r="A3771" t="inlineStr">
        <is>
          <t>2024-12-20</t>
        </is>
      </c>
      <c r="B3771" t="inlineStr">
        <is>
          <t>棉花</t>
        </is>
      </c>
      <c r="C3771" t="inlineStr">
        <is>
          <t>空</t>
        </is>
      </c>
      <c r="D3771" t="n">
        <v>3</v>
      </c>
      <c r="E3771" t="n">
        <v>6</v>
      </c>
      <c r="F3771" t="inlineStr">
        <is>
          <t>续持</t>
        </is>
      </c>
      <c r="G3771" t="n">
        <v>17</v>
      </c>
      <c r="H3771" t="n">
        <v>13395</v>
      </c>
      <c r="I3771" t="n">
        <v>13671.79</v>
      </c>
      <c r="J3771" t="n">
        <v>3</v>
      </c>
      <c r="K3771" t="inlineStr">
        <is>
          <t>续持原仓（2024-12-04开）</t>
        </is>
      </c>
    </row>
    <row r="3772">
      <c r="A3772" t="inlineStr">
        <is>
          <t>2024-12-20</t>
        </is>
      </c>
      <c r="B3772" t="inlineStr">
        <is>
          <t>工业硅</t>
        </is>
      </c>
      <c r="C3772" t="inlineStr">
        <is>
          <t>空</t>
        </is>
      </c>
      <c r="D3772" t="n">
        <v>3</v>
      </c>
      <c r="E3772" t="n">
        <v>6</v>
      </c>
      <c r="F3772" t="inlineStr">
        <is>
          <t>续持</t>
        </is>
      </c>
      <c r="G3772" t="n">
        <v>3</v>
      </c>
      <c r="H3772" t="n">
        <v>11295</v>
      </c>
      <c r="I3772" t="n">
        <v>11813.57</v>
      </c>
      <c r="J3772" t="n">
        <v>1</v>
      </c>
      <c r="K3772" t="inlineStr">
        <is>
          <t>续持原仓（2024-12-19开）</t>
        </is>
      </c>
    </row>
    <row r="3773">
      <c r="A3773" t="inlineStr">
        <is>
          <t>2024-12-20</t>
        </is>
      </c>
      <c r="B3773" t="inlineStr">
        <is>
          <t>PTA</t>
        </is>
      </c>
      <c r="C3773" t="inlineStr">
        <is>
          <t>空</t>
        </is>
      </c>
      <c r="D3773" t="n">
        <v>2</v>
      </c>
      <c r="E3773" t="n">
        <v>4</v>
      </c>
      <c r="F3773" t="inlineStr">
        <is>
          <t>影子仓</t>
        </is>
      </c>
      <c r="G3773" t="n">
        <v>9</v>
      </c>
      <c r="H3773" t="n">
        <v>4940</v>
      </c>
      <c r="I3773" t="n">
        <v>5159.86</v>
      </c>
      <c r="J3773" t="n">
        <v>1</v>
      </c>
      <c r="K3773" t="inlineStr">
        <is>
          <t>凯利≤0，开1%影子仓（只统计，不计入组合）</t>
        </is>
      </c>
    </row>
    <row r="3774">
      <c r="A3774" t="inlineStr">
        <is>
          <t>2024-12-20</t>
        </is>
      </c>
      <c r="B3774" t="inlineStr">
        <is>
          <t>甲醇</t>
        </is>
      </c>
      <c r="C3774" t="inlineStr">
        <is>
          <t>空</t>
        </is>
      </c>
      <c r="D3774" t="n">
        <v>2</v>
      </c>
      <c r="E3774" t="n">
        <v>4</v>
      </c>
      <c r="F3774" t="inlineStr">
        <is>
          <t>影子仓</t>
        </is>
      </c>
      <c r="G3774" t="n">
        <v>9</v>
      </c>
      <c r="H3774" t="n">
        <v>2593</v>
      </c>
      <c r="I3774" t="n">
        <v>2700.57</v>
      </c>
      <c r="J3774" t="n">
        <v>1</v>
      </c>
      <c r="K3774" t="inlineStr">
        <is>
          <t>凯利≤0，开1%影子仓（只统计，不计入组合）</t>
        </is>
      </c>
    </row>
    <row r="3775">
      <c r="A3775" t="inlineStr">
        <is>
          <t>2024-12-20</t>
        </is>
      </c>
      <c r="B3775" t="inlineStr">
        <is>
          <t>铁矿石</t>
        </is>
      </c>
      <c r="C3775" t="inlineStr">
        <is>
          <t>空</t>
        </is>
      </c>
      <c r="D3775" t="n">
        <v>2</v>
      </c>
      <c r="E3775" t="n">
        <v>4</v>
      </c>
      <c r="F3775" t="inlineStr">
        <is>
          <t>影子仓</t>
        </is>
      </c>
      <c r="G3775" t="n">
        <v>1</v>
      </c>
      <c r="H3775" t="n">
        <v>769</v>
      </c>
      <c r="I3775" t="n">
        <v>819.5700000000001</v>
      </c>
      <c r="J3775" t="n">
        <v>1</v>
      </c>
      <c r="K3775" t="inlineStr">
        <is>
          <t>凯利≤0，开1%影子仓（只统计，不计入组合）</t>
        </is>
      </c>
    </row>
    <row r="3776">
      <c r="A3776" t="inlineStr">
        <is>
          <t>2024-12-23</t>
        </is>
      </c>
      <c r="B3776" t="inlineStr">
        <is>
          <t>豆粕</t>
        </is>
      </c>
      <c r="C3776" t="inlineStr">
        <is>
          <t>空</t>
        </is>
      </c>
      <c r="D3776" t="n">
        <v>3</v>
      </c>
      <c r="E3776" t="n">
        <v>7</v>
      </c>
      <c r="F3776" t="inlineStr">
        <is>
          <t>观望</t>
        </is>
      </c>
      <c r="G3776" t="n">
        <v>22</v>
      </c>
      <c r="H3776" t="n">
        <v>2616</v>
      </c>
      <c r="I3776" t="n">
        <v>2750.57</v>
      </c>
      <c r="J3776" t="n">
        <v>3</v>
      </c>
      <c r="K3776" t="inlineStr">
        <is>
          <t>逆5日线（收盘在5日线上，不追空）</t>
        </is>
      </c>
    </row>
    <row r="3777">
      <c r="A3777" t="inlineStr">
        <is>
          <t>2024-12-23</t>
        </is>
      </c>
      <c r="B3777" t="inlineStr">
        <is>
          <t>豆油</t>
        </is>
      </c>
      <c r="C3777" t="inlineStr">
        <is>
          <t>空</t>
        </is>
      </c>
      <c r="D3777" t="n">
        <v>3</v>
      </c>
      <c r="E3777" t="n">
        <v>6</v>
      </c>
      <c r="F3777" t="inlineStr">
        <is>
          <t>开仓</t>
        </is>
      </c>
      <c r="G3777" t="n">
        <v>6</v>
      </c>
      <c r="H3777" t="n">
        <v>7578</v>
      </c>
      <c r="I3777" t="n">
        <v>8007.86</v>
      </c>
      <c r="J3777" t="n">
        <v>3</v>
      </c>
      <c r="K3777" t="inlineStr">
        <is>
          <t>¼凯利超上限，取3%</t>
        </is>
      </c>
    </row>
    <row r="3778">
      <c r="A3778" t="inlineStr">
        <is>
          <t>2024-12-23</t>
        </is>
      </c>
      <c r="B3778" t="inlineStr">
        <is>
          <t>棉花</t>
        </is>
      </c>
      <c r="C3778" t="inlineStr">
        <is>
          <t>空</t>
        </is>
      </c>
      <c r="D3778" t="n">
        <v>3</v>
      </c>
      <c r="E3778" t="n">
        <v>6</v>
      </c>
      <c r="F3778" t="inlineStr">
        <is>
          <t>观望</t>
        </is>
      </c>
      <c r="H3778" t="n">
        <v>13455</v>
      </c>
      <c r="J3778" t="n">
        <v>0</v>
      </c>
      <c r="K3778" t="inlineStr">
        <is>
          <t>逆5日线（收盘在5日线上，不追空）</t>
        </is>
      </c>
    </row>
    <row r="3779">
      <c r="A3779" t="inlineStr">
        <is>
          <t>2024-12-23</t>
        </is>
      </c>
      <c r="B3779" t="inlineStr">
        <is>
          <t>玉米</t>
        </is>
      </c>
      <c r="C3779" t="inlineStr">
        <is>
          <t>空</t>
        </is>
      </c>
      <c r="D3779" t="n">
        <v>3</v>
      </c>
      <c r="E3779" t="n">
        <v>6</v>
      </c>
      <c r="F3779" t="inlineStr">
        <is>
          <t>观望</t>
        </is>
      </c>
      <c r="G3779" t="n">
        <v>11</v>
      </c>
      <c r="H3779" t="n">
        <v>2182</v>
      </c>
      <c r="I3779" t="n">
        <v>2267.5</v>
      </c>
      <c r="J3779" t="n">
        <v>1</v>
      </c>
      <c r="K3779" t="inlineStr">
        <is>
          <t>逆5日线（收盘在5日线上，不追空）</t>
        </is>
      </c>
    </row>
    <row r="3780">
      <c r="A3780" t="inlineStr">
        <is>
          <t>2024-12-23</t>
        </is>
      </c>
      <c r="B3780" t="inlineStr">
        <is>
          <t>锰硅</t>
        </is>
      </c>
      <c r="C3780" t="inlineStr">
        <is>
          <t>空</t>
        </is>
      </c>
      <c r="D3780" t="n">
        <v>2</v>
      </c>
      <c r="E3780" t="n">
        <v>5</v>
      </c>
      <c r="F3780" t="inlineStr">
        <is>
          <t>影子仓</t>
        </is>
      </c>
      <c r="G3780" t="n">
        <v>8</v>
      </c>
      <c r="H3780" t="n">
        <v>6170</v>
      </c>
      <c r="I3780" t="n">
        <v>6412.57</v>
      </c>
      <c r="J3780" t="n">
        <v>1</v>
      </c>
      <c r="K3780" t="inlineStr">
        <is>
          <t>凯利≤0，开1%影子仓（只统计，不计入组合）</t>
        </is>
      </c>
    </row>
    <row r="3781">
      <c r="A3781" t="inlineStr">
        <is>
          <t>2024-12-23</t>
        </is>
      </c>
      <c r="B3781" t="inlineStr">
        <is>
          <t>燃料油</t>
        </is>
      </c>
      <c r="C3781" t="inlineStr">
        <is>
          <t>多</t>
        </is>
      </c>
      <c r="D3781" t="n">
        <v>2</v>
      </c>
      <c r="E3781" t="n">
        <v>4</v>
      </c>
      <c r="F3781" t="inlineStr">
        <is>
          <t>影子仓</t>
        </is>
      </c>
      <c r="G3781" t="n">
        <v>5</v>
      </c>
      <c r="H3781" t="n">
        <v>3238</v>
      </c>
      <c r="I3781" t="n">
        <v>3043.64</v>
      </c>
      <c r="J3781" t="n">
        <v>1</v>
      </c>
      <c r="K3781" t="inlineStr">
        <is>
          <t>凯利≤0，开1%影子仓（只统计，不计入组合）</t>
        </is>
      </c>
    </row>
    <row r="3782">
      <c r="A3782" t="inlineStr">
        <is>
          <t>2024-12-23</t>
        </is>
      </c>
      <c r="B3782" t="inlineStr">
        <is>
          <t>沪铜</t>
        </is>
      </c>
      <c r="C3782" t="inlineStr">
        <is>
          <t>多</t>
        </is>
      </c>
      <c r="D3782" t="n">
        <v>2</v>
      </c>
      <c r="E3782" t="n">
        <v>4</v>
      </c>
      <c r="F3782" t="inlineStr">
        <is>
          <t>影子仓</t>
        </is>
      </c>
      <c r="G3782" t="n">
        <v>1</v>
      </c>
      <c r="H3782" t="n">
        <v>74160</v>
      </c>
      <c r="I3782" t="n">
        <v>72203.57000000001</v>
      </c>
      <c r="J3782" t="n">
        <v>1</v>
      </c>
      <c r="K3782" t="inlineStr">
        <is>
          <t>凯利≤0，开1%影子仓（只统计，不计入组合）</t>
        </is>
      </c>
    </row>
    <row r="3783">
      <c r="A3783" t="inlineStr">
        <is>
          <t>2024-12-24</t>
        </is>
      </c>
      <c r="B3783" t="inlineStr">
        <is>
          <t>锰硅</t>
        </is>
      </c>
      <c r="C3783" t="inlineStr">
        <is>
          <t>空</t>
        </is>
      </c>
      <c r="D3783" t="n">
        <v>3</v>
      </c>
      <c r="E3783" t="n">
        <v>6</v>
      </c>
      <c r="F3783" t="inlineStr">
        <is>
          <t>续持</t>
        </is>
      </c>
      <c r="G3783" t="n">
        <v>8</v>
      </c>
      <c r="H3783" t="n">
        <v>6182</v>
      </c>
      <c r="I3783" t="n">
        <v>6367.57</v>
      </c>
      <c r="J3783" t="n">
        <v>1</v>
      </c>
      <c r="K3783" t="inlineStr">
        <is>
          <t>续持原仓（2024-12-23开）</t>
        </is>
      </c>
    </row>
    <row r="3784">
      <c r="A3784" t="inlineStr">
        <is>
          <t>2024-12-24</t>
        </is>
      </c>
      <c r="B3784" t="inlineStr">
        <is>
          <t>玉米</t>
        </is>
      </c>
      <c r="C3784" t="inlineStr">
        <is>
          <t>多</t>
        </is>
      </c>
      <c r="D3784" t="n">
        <v>3</v>
      </c>
      <c r="E3784" t="n">
        <v>6</v>
      </c>
      <c r="F3784" t="inlineStr">
        <is>
          <t>开仓</t>
        </is>
      </c>
      <c r="G3784" t="n">
        <v>37</v>
      </c>
      <c r="H3784" t="n">
        <v>2189</v>
      </c>
      <c r="I3784" t="n">
        <v>2109.07</v>
      </c>
      <c r="J3784" t="n">
        <v>3</v>
      </c>
      <c r="K3784" t="inlineStr">
        <is>
          <t>¼凯利超上限，取3%</t>
        </is>
      </c>
    </row>
    <row r="3785">
      <c r="A3785" t="inlineStr">
        <is>
          <t>2024-12-24</t>
        </is>
      </c>
      <c r="B3785" t="inlineStr">
        <is>
          <t>豆粕</t>
        </is>
      </c>
      <c r="C3785" t="inlineStr">
        <is>
          <t>空</t>
        </is>
      </c>
      <c r="D3785" t="n">
        <v>2</v>
      </c>
      <c r="E3785" t="n">
        <v>5</v>
      </c>
      <c r="F3785" t="inlineStr">
        <is>
          <t>观望</t>
        </is>
      </c>
      <c r="G3785" t="n">
        <v>8</v>
      </c>
      <c r="H3785" t="n">
        <v>2628</v>
      </c>
      <c r="I3785" t="n">
        <v>2752.07</v>
      </c>
      <c r="J3785" t="n">
        <v>1</v>
      </c>
      <c r="K3785" t="inlineStr">
        <is>
          <t>逆5日线（收盘在5日线上，不追空）</t>
        </is>
      </c>
    </row>
    <row r="3786">
      <c r="A3786" t="inlineStr">
        <is>
          <t>2024-12-24</t>
        </is>
      </c>
      <c r="B3786" t="inlineStr">
        <is>
          <t>聚丙烯</t>
        </is>
      </c>
      <c r="C3786" t="inlineStr">
        <is>
          <t>空</t>
        </is>
      </c>
      <c r="D3786" t="n">
        <v>2</v>
      </c>
      <c r="E3786" t="n">
        <v>5</v>
      </c>
      <c r="F3786" t="inlineStr">
        <is>
          <t>观望</t>
        </is>
      </c>
      <c r="G3786" t="n">
        <v>13</v>
      </c>
      <c r="H3786" t="n">
        <v>7428</v>
      </c>
      <c r="I3786" t="n">
        <v>7579.07</v>
      </c>
      <c r="J3786" t="n">
        <v>1</v>
      </c>
      <c r="K3786" t="inlineStr">
        <is>
          <t>逆5日线（收盘在5日线上，不追空）</t>
        </is>
      </c>
    </row>
    <row r="3787">
      <c r="A3787" t="inlineStr">
        <is>
          <t>2024-12-25</t>
        </is>
      </c>
      <c r="B3787" t="inlineStr">
        <is>
          <t>碳酸锂</t>
        </is>
      </c>
      <c r="C3787" t="inlineStr">
        <is>
          <t>空</t>
        </is>
      </c>
      <c r="D3787" t="n">
        <v>3</v>
      </c>
      <c r="E3787" t="n">
        <v>7</v>
      </c>
      <c r="F3787" t="inlineStr">
        <is>
          <t>观望</t>
        </is>
      </c>
      <c r="G3787" t="n">
        <v>7</v>
      </c>
      <c r="H3787" t="n">
        <v>77500</v>
      </c>
      <c r="I3787" t="n">
        <v>81672.14</v>
      </c>
      <c r="J3787" t="n">
        <v>3</v>
      </c>
      <c r="K3787" t="inlineStr">
        <is>
          <t>逆5日线（收盘在5日线上，不追空）</t>
        </is>
      </c>
    </row>
    <row r="3788">
      <c r="A3788" t="inlineStr">
        <is>
          <t>2024-12-25</t>
        </is>
      </c>
      <c r="B3788" t="inlineStr">
        <is>
          <t>棕榈油</t>
        </is>
      </c>
      <c r="C3788" t="inlineStr">
        <is>
          <t>空</t>
        </is>
      </c>
      <c r="D3788" t="n">
        <v>3</v>
      </c>
      <c r="E3788" t="n">
        <v>7</v>
      </c>
      <c r="F3788" t="inlineStr">
        <is>
          <t>开仓</t>
        </is>
      </c>
      <c r="G3788" t="n">
        <v>4</v>
      </c>
      <c r="H3788" t="n">
        <v>8706</v>
      </c>
      <c r="I3788" t="n">
        <v>9318.860000000001</v>
      </c>
      <c r="J3788" t="n">
        <v>3</v>
      </c>
      <c r="K3788" t="inlineStr">
        <is>
          <t>¼凯利超上限，取3%</t>
        </is>
      </c>
    </row>
    <row r="3789">
      <c r="A3789" t="inlineStr">
        <is>
          <t>2024-12-25</t>
        </is>
      </c>
      <c r="B3789" t="inlineStr">
        <is>
          <t>聚丙烯</t>
        </is>
      </c>
      <c r="C3789" t="inlineStr">
        <is>
          <t>空</t>
        </is>
      </c>
      <c r="D3789" t="n">
        <v>3</v>
      </c>
      <c r="E3789" t="n">
        <v>7</v>
      </c>
      <c r="F3789" t="inlineStr">
        <is>
          <t>开仓</t>
        </is>
      </c>
      <c r="G3789" t="n">
        <v>13</v>
      </c>
      <c r="H3789" t="n">
        <v>7402</v>
      </c>
      <c r="I3789" t="n">
        <v>7549.43</v>
      </c>
      <c r="J3789" t="n">
        <v>1</v>
      </c>
      <c r="K3789" t="inlineStr">
        <is>
          <t>组合风险已近10%，预算缩小</t>
        </is>
      </c>
    </row>
    <row r="3790">
      <c r="A3790" t="inlineStr">
        <is>
          <t>2024-12-25</t>
        </is>
      </c>
      <c r="B3790" t="inlineStr">
        <is>
          <t>锰硅</t>
        </is>
      </c>
      <c r="C3790" t="inlineStr">
        <is>
          <t>空</t>
        </is>
      </c>
      <c r="D3790" t="n">
        <v>3</v>
      </c>
      <c r="E3790" t="n">
        <v>6</v>
      </c>
      <c r="F3790" t="inlineStr">
        <is>
          <t>续持</t>
        </is>
      </c>
      <c r="G3790" t="n">
        <v>8</v>
      </c>
      <c r="H3790" t="n">
        <v>6160</v>
      </c>
      <c r="I3790" t="n">
        <v>6361.57</v>
      </c>
      <c r="J3790" t="n">
        <v>1</v>
      </c>
      <c r="K3790" t="inlineStr">
        <is>
          <t>续持原仓（2024-12-23开）</t>
        </is>
      </c>
    </row>
    <row r="3791">
      <c r="A3791" t="inlineStr">
        <is>
          <t>2024-12-25</t>
        </is>
      </c>
      <c r="B3791" t="inlineStr">
        <is>
          <t>棉花</t>
        </is>
      </c>
      <c r="C3791" t="inlineStr">
        <is>
          <t>空</t>
        </is>
      </c>
      <c r="D3791" t="n">
        <v>2</v>
      </c>
      <c r="E3791" t="n">
        <v>5</v>
      </c>
      <c r="F3791" t="inlineStr">
        <is>
          <t>观望</t>
        </is>
      </c>
      <c r="G3791" t="n">
        <v>5</v>
      </c>
      <c r="H3791" t="n">
        <v>13465</v>
      </c>
      <c r="I3791" t="n">
        <v>13805.71</v>
      </c>
      <c r="J3791" t="n">
        <v>1</v>
      </c>
      <c r="K3791" t="inlineStr">
        <is>
          <t>逆5日线（收盘在5日线上，不追空）</t>
        </is>
      </c>
    </row>
    <row r="3792">
      <c r="A3792" t="inlineStr">
        <is>
          <t>2024-12-25</t>
        </is>
      </c>
      <c r="B3792" t="inlineStr">
        <is>
          <t>沪锌</t>
        </is>
      </c>
      <c r="C3792" t="inlineStr">
        <is>
          <t>多</t>
        </is>
      </c>
      <c r="D3792" t="n">
        <v>2</v>
      </c>
      <c r="E3792" t="n">
        <v>4</v>
      </c>
      <c r="F3792" t="inlineStr">
        <is>
          <t>影子仓</t>
        </is>
      </c>
      <c r="G3792" t="n">
        <v>1</v>
      </c>
      <c r="H3792" t="n">
        <v>25425</v>
      </c>
      <c r="I3792" t="n">
        <v>24416.79</v>
      </c>
      <c r="J3792" t="n">
        <v>1</v>
      </c>
      <c r="K3792" t="inlineStr">
        <is>
          <t>凯利≤0，开1%影子仓（只统计，不计入组合）</t>
        </is>
      </c>
    </row>
    <row r="3793">
      <c r="A3793" t="inlineStr">
        <is>
          <t>2024-12-26</t>
        </is>
      </c>
      <c r="B3793" t="inlineStr">
        <is>
          <t>锰硅</t>
        </is>
      </c>
      <c r="C3793" t="inlineStr">
        <is>
          <t>空</t>
        </is>
      </c>
      <c r="D3793" t="n">
        <v>3</v>
      </c>
      <c r="E3793" t="n">
        <v>6</v>
      </c>
      <c r="F3793" t="inlineStr">
        <is>
          <t>续持</t>
        </is>
      </c>
      <c r="G3793" t="n">
        <v>8</v>
      </c>
      <c r="H3793" t="n">
        <v>6110</v>
      </c>
      <c r="I3793" t="n">
        <v>6327.14</v>
      </c>
      <c r="J3793" t="n">
        <v>1</v>
      </c>
      <c r="K3793" t="inlineStr">
        <is>
          <t>续持原仓（2024-12-23开）</t>
        </is>
      </c>
    </row>
    <row r="3794">
      <c r="A3794" t="inlineStr">
        <is>
          <t>2024-12-26</t>
        </is>
      </c>
      <c r="B3794" t="inlineStr">
        <is>
          <t>聚丙烯</t>
        </is>
      </c>
      <c r="C3794" t="inlineStr">
        <is>
          <t>空</t>
        </is>
      </c>
      <c r="D3794" t="n">
        <v>3</v>
      </c>
      <c r="E3794" t="n">
        <v>6</v>
      </c>
      <c r="F3794" t="inlineStr">
        <is>
          <t>观望</t>
        </is>
      </c>
      <c r="H3794" t="n">
        <v>7407</v>
      </c>
      <c r="J3794" t="n">
        <v>0</v>
      </c>
      <c r="K3794" t="inlineStr">
        <is>
          <t>逆5日线（收盘在5日线上，不追空）</t>
        </is>
      </c>
    </row>
    <row r="3795">
      <c r="A3795" t="inlineStr">
        <is>
          <t>2024-12-26</t>
        </is>
      </c>
      <c r="B3795" t="inlineStr">
        <is>
          <t>棉花</t>
        </is>
      </c>
      <c r="C3795" t="inlineStr">
        <is>
          <t>空</t>
        </is>
      </c>
      <c r="D3795" t="n">
        <v>2</v>
      </c>
      <c r="E3795" t="n">
        <v>5</v>
      </c>
      <c r="F3795" t="inlineStr">
        <is>
          <t>观望</t>
        </is>
      </c>
      <c r="G3795" t="n">
        <v>5</v>
      </c>
      <c r="H3795" t="n">
        <v>13445</v>
      </c>
      <c r="I3795" t="n">
        <v>13783.57</v>
      </c>
      <c r="J3795" t="n">
        <v>1</v>
      </c>
      <c r="K3795" t="inlineStr">
        <is>
          <t>逆5日线（收盘在5日线上，不追空）</t>
        </is>
      </c>
    </row>
    <row r="3796">
      <c r="A3796" t="inlineStr">
        <is>
          <t>2024-12-26</t>
        </is>
      </c>
      <c r="B3796" t="inlineStr">
        <is>
          <t>工业硅</t>
        </is>
      </c>
      <c r="C3796" t="inlineStr">
        <is>
          <t>空</t>
        </is>
      </c>
      <c r="D3796" t="n">
        <v>2</v>
      </c>
      <c r="E3796" t="n">
        <v>5</v>
      </c>
      <c r="F3796" t="inlineStr">
        <is>
          <t>影子仓</t>
        </is>
      </c>
      <c r="G3796" t="n">
        <v>3</v>
      </c>
      <c r="H3796" t="n">
        <v>11190</v>
      </c>
      <c r="I3796" t="n">
        <v>11802.86</v>
      </c>
      <c r="J3796" t="n">
        <v>1</v>
      </c>
      <c r="K3796" t="inlineStr">
        <is>
          <t>凯利≤0，开1%影子仓（只统计，不计入组合）</t>
        </is>
      </c>
    </row>
    <row r="3797">
      <c r="A3797" t="inlineStr">
        <is>
          <t>2024-12-26</t>
        </is>
      </c>
      <c r="B3797" t="inlineStr">
        <is>
          <t>玻璃</t>
        </is>
      </c>
      <c r="C3797" t="inlineStr">
        <is>
          <t>空</t>
        </is>
      </c>
      <c r="D3797" t="n">
        <v>2</v>
      </c>
      <c r="E3797" t="n">
        <v>4</v>
      </c>
      <c r="F3797" t="inlineStr">
        <is>
          <t>影子仓</t>
        </is>
      </c>
      <c r="G3797" t="n">
        <v>4</v>
      </c>
      <c r="H3797" t="n">
        <v>1346</v>
      </c>
      <c r="I3797" t="n">
        <v>1453.14</v>
      </c>
      <c r="J3797" t="n">
        <v>1</v>
      </c>
      <c r="K3797" t="inlineStr">
        <is>
          <t>凯利≤0，开1%影子仓（只统计，不计入组合）</t>
        </is>
      </c>
    </row>
    <row r="3798">
      <c r="A3798" t="inlineStr">
        <is>
          <t>2024-12-26</t>
        </is>
      </c>
      <c r="B3798" t="inlineStr">
        <is>
          <t>玉米</t>
        </is>
      </c>
      <c r="C3798" t="inlineStr">
        <is>
          <t>多</t>
        </is>
      </c>
      <c r="D3798" t="n">
        <v>2</v>
      </c>
      <c r="E3798" t="n">
        <v>4</v>
      </c>
      <c r="F3798" t="inlineStr">
        <is>
          <t>影子仓</t>
        </is>
      </c>
      <c r="G3798" t="n">
        <v>15</v>
      </c>
      <c r="H3798" t="n">
        <v>2204</v>
      </c>
      <c r="I3798" t="n">
        <v>2138.64</v>
      </c>
      <c r="J3798" t="n">
        <v>1</v>
      </c>
      <c r="K3798" t="inlineStr">
        <is>
          <t>凯利≤0，开1%影子仓（只统计，不计入组合）</t>
        </is>
      </c>
    </row>
    <row r="3799">
      <c r="A3799" t="inlineStr">
        <is>
          <t>2024-12-27</t>
        </is>
      </c>
      <c r="B3799" t="inlineStr">
        <is>
          <t>热卷</t>
        </is>
      </c>
      <c r="C3799" t="inlineStr">
        <is>
          <t>空</t>
        </is>
      </c>
      <c r="D3799" t="n">
        <v>3</v>
      </c>
      <c r="E3799" t="n">
        <v>7</v>
      </c>
      <c r="F3799" t="inlineStr">
        <is>
          <t>开仓</t>
        </is>
      </c>
      <c r="G3799" t="n">
        <v>7</v>
      </c>
      <c r="H3799" t="n">
        <v>3400</v>
      </c>
      <c r="I3799" t="n">
        <v>3536.29</v>
      </c>
      <c r="J3799" t="n">
        <v>1</v>
      </c>
      <c r="K3799" t="inlineStr">
        <is>
          <t>组合风险已近10%，预算缩小</t>
        </is>
      </c>
    </row>
    <row r="3800">
      <c r="A3800" t="inlineStr">
        <is>
          <t>2024-12-27</t>
        </is>
      </c>
      <c r="B3800" t="inlineStr">
        <is>
          <t>工业硅</t>
        </is>
      </c>
      <c r="C3800" t="inlineStr">
        <is>
          <t>空</t>
        </is>
      </c>
      <c r="D3800" t="n">
        <v>3</v>
      </c>
      <c r="E3800" t="n">
        <v>6</v>
      </c>
      <c r="F3800" t="inlineStr">
        <is>
          <t>续持</t>
        </is>
      </c>
      <c r="G3800" t="n">
        <v>3</v>
      </c>
      <c r="H3800" t="n">
        <v>11110</v>
      </c>
      <c r="I3800" t="n">
        <v>11695.36</v>
      </c>
      <c r="J3800" t="n">
        <v>1</v>
      </c>
      <c r="K3800" t="inlineStr">
        <is>
          <t>续持原仓（2024-12-26开）</t>
        </is>
      </c>
    </row>
    <row r="3801">
      <c r="A3801" t="inlineStr">
        <is>
          <t>2024-12-27</t>
        </is>
      </c>
      <c r="B3801" t="inlineStr">
        <is>
          <t>锰硅</t>
        </is>
      </c>
      <c r="C3801" t="inlineStr">
        <is>
          <t>空</t>
        </is>
      </c>
      <c r="D3801" t="n">
        <v>3</v>
      </c>
      <c r="E3801" t="n">
        <v>6</v>
      </c>
      <c r="F3801" t="inlineStr">
        <is>
          <t>续持</t>
        </is>
      </c>
      <c r="G3801" t="n">
        <v>8</v>
      </c>
      <c r="H3801" t="n">
        <v>6088</v>
      </c>
      <c r="I3801" t="n">
        <v>6290.71</v>
      </c>
      <c r="J3801" t="n">
        <v>1</v>
      </c>
      <c r="K3801" t="inlineStr">
        <is>
          <t>续持原仓（2024-12-23开）</t>
        </is>
      </c>
    </row>
    <row r="3802">
      <c r="A3802" t="inlineStr">
        <is>
          <t>2024-12-27</t>
        </is>
      </c>
      <c r="B3802" t="inlineStr">
        <is>
          <t>沪铝</t>
        </is>
      </c>
      <c r="C3802" t="inlineStr">
        <is>
          <t>空</t>
        </is>
      </c>
      <c r="D3802" t="n">
        <v>2</v>
      </c>
      <c r="E3802" t="n">
        <v>5</v>
      </c>
      <c r="F3802" t="inlineStr">
        <is>
          <t>影子仓</t>
        </is>
      </c>
      <c r="G3802" t="n">
        <v>3</v>
      </c>
      <c r="H3802" t="n">
        <v>19795</v>
      </c>
      <c r="I3802" t="n">
        <v>20449.64</v>
      </c>
      <c r="J3802" t="n">
        <v>1</v>
      </c>
      <c r="K3802" t="inlineStr">
        <is>
          <t>凯利≤0，开1%影子仓（只统计，不计入组合）</t>
        </is>
      </c>
    </row>
    <row r="3803">
      <c r="A3803" t="inlineStr">
        <is>
          <t>2024-12-27</t>
        </is>
      </c>
      <c r="B3803" t="inlineStr">
        <is>
          <t>塑料</t>
        </is>
      </c>
      <c r="C3803" t="inlineStr">
        <is>
          <t>空</t>
        </is>
      </c>
      <c r="D3803" t="n">
        <v>2</v>
      </c>
      <c r="E3803" t="n">
        <v>5</v>
      </c>
      <c r="F3803" t="inlineStr">
        <is>
          <t>影子仓</t>
        </is>
      </c>
      <c r="G3803" t="n">
        <v>10</v>
      </c>
      <c r="H3803" t="n">
        <v>8079</v>
      </c>
      <c r="I3803" t="n">
        <v>8265.43</v>
      </c>
      <c r="J3803" t="n">
        <v>1</v>
      </c>
      <c r="K3803" t="inlineStr">
        <is>
          <t>凯利≤0，开1%影子仓（只统计，不计入组合）</t>
        </is>
      </c>
    </row>
    <row r="3804">
      <c r="A3804" t="inlineStr">
        <is>
          <t>2024-12-30</t>
        </is>
      </c>
      <c r="B3804" t="inlineStr">
        <is>
          <t>甲醇</t>
        </is>
      </c>
      <c r="C3804" t="inlineStr">
        <is>
          <t>多</t>
        </is>
      </c>
      <c r="D3804" t="n">
        <v>3</v>
      </c>
      <c r="E3804" t="n">
        <v>7</v>
      </c>
      <c r="F3804" t="inlineStr">
        <is>
          <t>开仓</t>
        </is>
      </c>
      <c r="G3804" t="n">
        <v>26</v>
      </c>
      <c r="H3804" t="n">
        <v>2674</v>
      </c>
      <c r="I3804" t="n">
        <v>2558.93</v>
      </c>
      <c r="J3804" t="n">
        <v>3</v>
      </c>
      <c r="K3804" t="inlineStr">
        <is>
          <t>¼凯利超上限，取3%</t>
        </is>
      </c>
    </row>
    <row r="3805">
      <c r="A3805" t="inlineStr">
        <is>
          <t>2024-12-30</t>
        </is>
      </c>
      <c r="B3805" t="inlineStr">
        <is>
          <t>沪铝</t>
        </is>
      </c>
      <c r="C3805" t="inlineStr">
        <is>
          <t>空</t>
        </is>
      </c>
      <c r="D3805" t="n">
        <v>2</v>
      </c>
      <c r="E3805" t="n">
        <v>5</v>
      </c>
      <c r="F3805" t="inlineStr">
        <is>
          <t>续持</t>
        </is>
      </c>
      <c r="G3805" t="n">
        <v>3</v>
      </c>
      <c r="H3805" t="n">
        <v>19805</v>
      </c>
      <c r="I3805" t="n">
        <v>20335.71</v>
      </c>
      <c r="J3805" t="n">
        <v>1</v>
      </c>
      <c r="K3805" t="inlineStr">
        <is>
          <t>续持原仓（2024-12-27开）</t>
        </is>
      </c>
    </row>
    <row r="3806">
      <c r="A3806" t="inlineStr">
        <is>
          <t>2024-12-30</t>
        </is>
      </c>
      <c r="B3806" t="inlineStr">
        <is>
          <t>沪银</t>
        </is>
      </c>
      <c r="C3806" t="inlineStr">
        <is>
          <t>空</t>
        </is>
      </c>
      <c r="D3806" t="n">
        <v>2</v>
      </c>
      <c r="E3806" t="n">
        <v>4</v>
      </c>
      <c r="F3806" t="inlineStr">
        <is>
          <t>影子仓</t>
        </is>
      </c>
      <c r="G3806" t="n">
        <v>1</v>
      </c>
      <c r="H3806" t="n">
        <v>7560</v>
      </c>
      <c r="I3806" t="n">
        <v>7948.29</v>
      </c>
      <c r="J3806" t="n">
        <v>1</v>
      </c>
      <c r="K3806" t="inlineStr">
        <is>
          <t>凯利≤0，开1%影子仓（只统计，不计入组合）</t>
        </is>
      </c>
    </row>
    <row r="3807">
      <c r="A3807" t="inlineStr">
        <is>
          <t>2024-12-31</t>
        </is>
      </c>
      <c r="B3807" t="inlineStr">
        <is>
          <t>甲醇</t>
        </is>
      </c>
      <c r="C3807" t="inlineStr">
        <is>
          <t>多</t>
        </is>
      </c>
      <c r="D3807" t="n">
        <v>3</v>
      </c>
      <c r="E3807" t="n">
        <v>7</v>
      </c>
      <c r="F3807" t="inlineStr">
        <is>
          <t>续持</t>
        </is>
      </c>
      <c r="G3807" t="n">
        <v>26</v>
      </c>
      <c r="H3807" t="n">
        <v>2703</v>
      </c>
      <c r="I3807" t="n">
        <v>2592.5</v>
      </c>
      <c r="J3807" t="n">
        <v>3</v>
      </c>
      <c r="K3807" t="inlineStr">
        <is>
          <t>续持原仓（2024-12-30开）</t>
        </is>
      </c>
    </row>
    <row r="3808">
      <c r="A3808" t="inlineStr">
        <is>
          <t>2024-12-31</t>
        </is>
      </c>
      <c r="B3808" t="inlineStr">
        <is>
          <t>沪银</t>
        </is>
      </c>
      <c r="C3808" t="inlineStr">
        <is>
          <t>空</t>
        </is>
      </c>
      <c r="D3808" t="n">
        <v>3</v>
      </c>
      <c r="E3808" t="n">
        <v>6</v>
      </c>
      <c r="F3808" t="inlineStr">
        <is>
          <t>续持</t>
        </is>
      </c>
      <c r="G3808" t="n">
        <v>1</v>
      </c>
      <c r="H3808" t="n">
        <v>7470</v>
      </c>
      <c r="I3808" t="n">
        <v>7843.93</v>
      </c>
      <c r="J3808" t="n">
        <v>1</v>
      </c>
      <c r="K3808" t="inlineStr">
        <is>
          <t>续持原仓（2024-12-30开）</t>
        </is>
      </c>
    </row>
    <row r="3809">
      <c r="A3809" t="inlineStr">
        <is>
          <t>2024-12-31</t>
        </is>
      </c>
      <c r="B3809" t="inlineStr">
        <is>
          <t>豆粕</t>
        </is>
      </c>
      <c r="C3809" t="inlineStr">
        <is>
          <t>多</t>
        </is>
      </c>
      <c r="D3809" t="n">
        <v>2</v>
      </c>
      <c r="E3809" t="n">
        <v>5</v>
      </c>
      <c r="F3809" t="inlineStr">
        <is>
          <t>影子仓</t>
        </is>
      </c>
      <c r="G3809" t="n">
        <v>8</v>
      </c>
      <c r="H3809" t="n">
        <v>2696</v>
      </c>
      <c r="I3809" t="n">
        <v>2578.14</v>
      </c>
      <c r="J3809" t="n">
        <v>1</v>
      </c>
      <c r="K3809" t="inlineStr">
        <is>
          <t>凯利≤0，开1%影子仓（只统计，不计入组合）</t>
        </is>
      </c>
    </row>
    <row r="3810">
      <c r="A3810" t="inlineStr">
        <is>
          <t>2024-12-31</t>
        </is>
      </c>
      <c r="B3810" t="inlineStr">
        <is>
          <t>棕榈油</t>
        </is>
      </c>
      <c r="C3810" t="inlineStr">
        <is>
          <t>空</t>
        </is>
      </c>
      <c r="D3810" t="n">
        <v>2</v>
      </c>
      <c r="E3810" t="n">
        <v>4</v>
      </c>
      <c r="F3810" t="inlineStr">
        <is>
          <t>影子仓</t>
        </is>
      </c>
      <c r="G3810" t="n">
        <v>1</v>
      </c>
      <c r="H3810" t="n">
        <v>8668</v>
      </c>
      <c r="I3810" t="n">
        <v>9217.860000000001</v>
      </c>
      <c r="J3810" t="n">
        <v>1</v>
      </c>
      <c r="K3810" t="inlineStr">
        <is>
          <t>凯利≤0，开1%影子仓（只统计，不计入组合）</t>
        </is>
      </c>
    </row>
    <row r="3811">
      <c r="A3811" t="inlineStr">
        <is>
          <t>2024-12-31</t>
        </is>
      </c>
      <c r="B3811" t="inlineStr">
        <is>
          <t>工业硅</t>
        </is>
      </c>
      <c r="C3811" t="inlineStr">
        <is>
          <t>空</t>
        </is>
      </c>
      <c r="D3811" t="n">
        <v>2</v>
      </c>
      <c r="E3811" t="n">
        <v>4</v>
      </c>
      <c r="F3811" t="inlineStr">
        <is>
          <t>影子仓</t>
        </is>
      </c>
      <c r="G3811" t="n">
        <v>3</v>
      </c>
      <c r="H3811" t="n">
        <v>10985</v>
      </c>
      <c r="I3811" t="n">
        <v>11562.5</v>
      </c>
      <c r="J3811" t="n">
        <v>1</v>
      </c>
      <c r="K3811" t="inlineStr">
        <is>
          <t>凯利≤0，开1%影子仓（只统计，不计入组合）</t>
        </is>
      </c>
    </row>
    <row r="3812">
      <c r="A3812" t="inlineStr">
        <is>
          <t>2025-01-02</t>
        </is>
      </c>
      <c r="B3812" t="inlineStr">
        <is>
          <t>菜粕</t>
        </is>
      </c>
      <c r="C3812" t="inlineStr">
        <is>
          <t>多</t>
        </is>
      </c>
      <c r="D3812" t="n">
        <v>3</v>
      </c>
      <c r="E3812" t="n">
        <v>6</v>
      </c>
      <c r="F3812" t="inlineStr">
        <is>
          <t>不做</t>
        </is>
      </c>
      <c r="H3812" t="n">
        <v>2409</v>
      </c>
      <c r="J3812" t="n">
        <v>0</v>
      </c>
      <c r="K3812" t="inlineStr">
        <is>
          <t>组合风险已近10%，预算缩小</t>
        </is>
      </c>
    </row>
    <row r="3813">
      <c r="A3813" t="inlineStr">
        <is>
          <t>2025-01-02</t>
        </is>
      </c>
      <c r="B3813" t="inlineStr">
        <is>
          <t>沪镍</t>
        </is>
      </c>
      <c r="C3813" t="inlineStr">
        <is>
          <t>空</t>
        </is>
      </c>
      <c r="D3813" t="n">
        <v>3</v>
      </c>
      <c r="E3813" t="n">
        <v>6</v>
      </c>
      <c r="F3813" t="inlineStr">
        <is>
          <t>不做</t>
        </is>
      </c>
      <c r="H3813" t="n">
        <v>123820</v>
      </c>
      <c r="J3813" t="n">
        <v>0</v>
      </c>
      <c r="K3813" t="inlineStr">
        <is>
          <t>组合风险已近10%，预算缩小</t>
        </is>
      </c>
    </row>
    <row r="3814">
      <c r="A3814" t="inlineStr">
        <is>
          <t>2025-01-02</t>
        </is>
      </c>
      <c r="B3814" t="inlineStr">
        <is>
          <t>锰硅</t>
        </is>
      </c>
      <c r="C3814" t="inlineStr">
        <is>
          <t>空</t>
        </is>
      </c>
      <c r="D3814" t="n">
        <v>2</v>
      </c>
      <c r="E3814" t="n">
        <v>5</v>
      </c>
      <c r="F3814" t="inlineStr">
        <is>
          <t>观望</t>
        </is>
      </c>
      <c r="G3814" t="n">
        <v>10</v>
      </c>
      <c r="H3814" t="n">
        <v>6118</v>
      </c>
      <c r="I3814" t="n">
        <v>6307.43</v>
      </c>
      <c r="J3814" t="n">
        <v>1</v>
      </c>
      <c r="K3814" t="inlineStr">
        <is>
          <t>逆5日线（收盘在5日线上，不追空）</t>
        </is>
      </c>
    </row>
    <row r="3815">
      <c r="A3815" t="inlineStr">
        <is>
          <t>2025-01-02</t>
        </is>
      </c>
      <c r="B3815" t="inlineStr">
        <is>
          <t>甲醇</t>
        </is>
      </c>
      <c r="C3815" t="inlineStr">
        <is>
          <t>多</t>
        </is>
      </c>
      <c r="D3815" t="n">
        <v>2</v>
      </c>
      <c r="E3815" t="n">
        <v>5</v>
      </c>
      <c r="F3815" t="inlineStr">
        <is>
          <t>续持</t>
        </is>
      </c>
      <c r="G3815" t="n">
        <v>26</v>
      </c>
      <c r="H3815" t="n">
        <v>2707</v>
      </c>
      <c r="I3815" t="n">
        <v>2609.29</v>
      </c>
      <c r="J3815" t="n">
        <v>3</v>
      </c>
      <c r="K3815" t="inlineStr">
        <is>
          <t>续持原仓（2024-12-30开）</t>
        </is>
      </c>
    </row>
    <row r="3816">
      <c r="A3816" t="inlineStr">
        <is>
          <t>2025-01-02</t>
        </is>
      </c>
      <c r="B3816" t="inlineStr">
        <is>
          <t>碳酸锂</t>
        </is>
      </c>
      <c r="C3816" t="inlineStr">
        <is>
          <t>空</t>
        </is>
      </c>
      <c r="D3816" t="n">
        <v>2</v>
      </c>
      <c r="E3816" t="n">
        <v>5</v>
      </c>
      <c r="F3816" t="inlineStr">
        <is>
          <t>观望</t>
        </is>
      </c>
      <c r="G3816" t="n">
        <v>2</v>
      </c>
      <c r="H3816" t="n">
        <v>77800</v>
      </c>
      <c r="I3816" t="n">
        <v>81978.57000000001</v>
      </c>
      <c r="J3816" t="n">
        <v>1</v>
      </c>
      <c r="K3816" t="inlineStr">
        <is>
          <t>逆5日线（收盘在5日线上，不追空）</t>
        </is>
      </c>
    </row>
    <row r="3817">
      <c r="A3817" t="inlineStr">
        <is>
          <t>2025-01-03</t>
        </is>
      </c>
      <c r="B3817" t="inlineStr">
        <is>
          <t>锰硅</t>
        </is>
      </c>
      <c r="C3817" t="inlineStr">
        <is>
          <t>空</t>
        </is>
      </c>
      <c r="D3817" t="n">
        <v>3</v>
      </c>
      <c r="E3817" t="n">
        <v>7</v>
      </c>
      <c r="F3817" t="inlineStr">
        <is>
          <t>不做</t>
        </is>
      </c>
      <c r="H3817" t="n">
        <v>6090</v>
      </c>
      <c r="J3817" t="n">
        <v>0</v>
      </c>
      <c r="K3817" t="inlineStr">
        <is>
          <t>组合风险已近10%，预算缩小</t>
        </is>
      </c>
    </row>
    <row r="3818">
      <c r="A3818" t="inlineStr">
        <is>
          <t>2025-01-03</t>
        </is>
      </c>
      <c r="B3818" t="inlineStr">
        <is>
          <t>燃料油</t>
        </is>
      </c>
      <c r="C3818" t="inlineStr">
        <is>
          <t>多</t>
        </is>
      </c>
      <c r="D3818" t="n">
        <v>3</v>
      </c>
      <c r="E3818" t="n">
        <v>7</v>
      </c>
      <c r="F3818" t="inlineStr">
        <is>
          <t>不做</t>
        </is>
      </c>
      <c r="H3818" t="n">
        <v>3329</v>
      </c>
      <c r="J3818" t="n">
        <v>0</v>
      </c>
      <c r="K3818" t="inlineStr">
        <is>
          <t>组合风险已近10%，预算缩小</t>
        </is>
      </c>
    </row>
    <row r="3819">
      <c r="A3819" t="inlineStr">
        <is>
          <t>2025-01-03</t>
        </is>
      </c>
      <c r="B3819" t="inlineStr">
        <is>
          <t>沪镍</t>
        </is>
      </c>
      <c r="C3819" t="inlineStr">
        <is>
          <t>空</t>
        </is>
      </c>
      <c r="D3819" t="n">
        <v>3</v>
      </c>
      <c r="E3819" t="n">
        <v>6</v>
      </c>
      <c r="F3819" t="inlineStr">
        <is>
          <t>不做</t>
        </is>
      </c>
      <c r="H3819" t="n">
        <v>122640</v>
      </c>
      <c r="J3819" t="n">
        <v>0</v>
      </c>
      <c r="K3819" t="inlineStr">
        <is>
          <t>组合风险已近10%，预算缩小</t>
        </is>
      </c>
    </row>
    <row r="3820">
      <c r="A3820" t="inlineStr">
        <is>
          <t>2025-01-03</t>
        </is>
      </c>
      <c r="B3820" t="inlineStr">
        <is>
          <t>纯碱</t>
        </is>
      </c>
      <c r="C3820" t="inlineStr">
        <is>
          <t>空</t>
        </is>
      </c>
      <c r="D3820" t="n">
        <v>3</v>
      </c>
      <c r="E3820" t="n">
        <v>6</v>
      </c>
      <c r="F3820" t="inlineStr">
        <is>
          <t>不做</t>
        </is>
      </c>
      <c r="H3820" t="n">
        <v>1416</v>
      </c>
      <c r="J3820" t="n">
        <v>0</v>
      </c>
      <c r="K3820" t="inlineStr">
        <is>
          <t>组合风险已近10%，预算缩小</t>
        </is>
      </c>
    </row>
    <row r="3821">
      <c r="A3821" t="inlineStr">
        <is>
          <t>2025-01-06</t>
        </is>
      </c>
      <c r="B3821" t="inlineStr">
        <is>
          <t>锰硅</t>
        </is>
      </c>
      <c r="C3821" t="inlineStr">
        <is>
          <t>空</t>
        </is>
      </c>
      <c r="D3821" t="n">
        <v>3</v>
      </c>
      <c r="E3821" t="n">
        <v>7</v>
      </c>
      <c r="F3821" t="inlineStr">
        <is>
          <t>开仓</t>
        </is>
      </c>
      <c r="G3821" t="n">
        <v>32</v>
      </c>
      <c r="H3821" t="n">
        <v>6068</v>
      </c>
      <c r="I3821" t="n">
        <v>6251.86</v>
      </c>
      <c r="J3821" t="n">
        <v>3</v>
      </c>
      <c r="K3821" t="inlineStr">
        <is>
          <t>¼凯利超上限，取3%</t>
        </is>
      </c>
    </row>
    <row r="3822">
      <c r="A3822" t="inlineStr">
        <is>
          <t>2025-01-06</t>
        </is>
      </c>
      <c r="B3822" t="inlineStr">
        <is>
          <t>燃料油</t>
        </is>
      </c>
      <c r="C3822" t="inlineStr">
        <is>
          <t>多</t>
        </is>
      </c>
      <c r="D3822" t="n">
        <v>3</v>
      </c>
      <c r="E3822" t="n">
        <v>7</v>
      </c>
      <c r="F3822" t="inlineStr">
        <is>
          <t>不做</t>
        </is>
      </c>
      <c r="H3822" t="n">
        <v>3346</v>
      </c>
      <c r="J3822" t="n">
        <v>0</v>
      </c>
      <c r="K3822" t="inlineStr">
        <is>
          <t>组合风险已近10%，预算缩小</t>
        </is>
      </c>
    </row>
    <row r="3823">
      <c r="A3823" t="inlineStr">
        <is>
          <t>2025-01-06</t>
        </is>
      </c>
      <c r="B3823" t="inlineStr">
        <is>
          <t>热卷</t>
        </is>
      </c>
      <c r="C3823" t="inlineStr">
        <is>
          <t>空</t>
        </is>
      </c>
      <c r="D3823" t="n">
        <v>3</v>
      </c>
      <c r="E3823" t="n">
        <v>6</v>
      </c>
      <c r="F3823" t="inlineStr">
        <is>
          <t>续持</t>
        </is>
      </c>
      <c r="G3823" t="n">
        <v>7</v>
      </c>
      <c r="H3823" t="n">
        <v>3358</v>
      </c>
      <c r="I3823" t="n">
        <v>3475.29</v>
      </c>
      <c r="J3823" t="n">
        <v>1</v>
      </c>
      <c r="K3823" t="inlineStr">
        <is>
          <t>续持原仓（2024-12-27开）</t>
        </is>
      </c>
    </row>
    <row r="3824">
      <c r="A3824" t="inlineStr">
        <is>
          <t>2025-01-06</t>
        </is>
      </c>
      <c r="B3824" t="inlineStr">
        <is>
          <t>沪镍</t>
        </is>
      </c>
      <c r="C3824" t="inlineStr">
        <is>
          <t>空</t>
        </is>
      </c>
      <c r="D3824" t="n">
        <v>2</v>
      </c>
      <c r="E3824" t="n">
        <v>5</v>
      </c>
      <c r="F3824" t="inlineStr">
        <is>
          <t>影子仓</t>
        </is>
      </c>
      <c r="G3824" t="n">
        <v>1</v>
      </c>
      <c r="H3824" t="n">
        <v>122260</v>
      </c>
      <c r="I3824" t="n">
        <v>128345.71</v>
      </c>
      <c r="J3824" t="n">
        <v>1</v>
      </c>
      <c r="K3824" t="inlineStr">
        <is>
          <t>凯利≤0，开1%影子仓（只统计，不计入组合）</t>
        </is>
      </c>
    </row>
    <row r="3825">
      <c r="A3825" t="inlineStr">
        <is>
          <t>2025-01-06</t>
        </is>
      </c>
      <c r="B3825" t="inlineStr">
        <is>
          <t>沪铜</t>
        </is>
      </c>
      <c r="C3825" t="inlineStr">
        <is>
          <t>空</t>
        </is>
      </c>
      <c r="D3825" t="n">
        <v>2</v>
      </c>
      <c r="E3825" t="n">
        <v>5</v>
      </c>
      <c r="F3825" t="inlineStr">
        <is>
          <t>观望</t>
        </is>
      </c>
      <c r="G3825" t="n">
        <v>1</v>
      </c>
      <c r="H3825" t="n">
        <v>73600</v>
      </c>
      <c r="I3825" t="n">
        <v>75410.71000000001</v>
      </c>
      <c r="J3825" t="n">
        <v>1</v>
      </c>
      <c r="K3825" t="inlineStr">
        <is>
          <t>逆5日线（收盘在5日线上，不追空）</t>
        </is>
      </c>
    </row>
    <row r="3826">
      <c r="A3826" t="inlineStr">
        <is>
          <t>2025-01-06</t>
        </is>
      </c>
      <c r="B3826" t="inlineStr">
        <is>
          <t>玉米</t>
        </is>
      </c>
      <c r="C3826" t="inlineStr">
        <is>
          <t>多</t>
        </is>
      </c>
      <c r="D3826" t="n">
        <v>2</v>
      </c>
      <c r="E3826" t="n">
        <v>4</v>
      </c>
      <c r="F3826" t="inlineStr">
        <is>
          <t>观望</t>
        </is>
      </c>
      <c r="G3826" t="n">
        <v>15</v>
      </c>
      <c r="H3826" t="n">
        <v>2228</v>
      </c>
      <c r="I3826" t="n">
        <v>2163.5</v>
      </c>
      <c r="J3826" t="n">
        <v>1</v>
      </c>
      <c r="K3826" t="inlineStr">
        <is>
          <t>逆5日线（收盘在5日线下，不追多）</t>
        </is>
      </c>
    </row>
    <row r="3827">
      <c r="A3827" t="inlineStr">
        <is>
          <t>2025-01-07</t>
        </is>
      </c>
      <c r="B3827" t="inlineStr">
        <is>
          <t>纯碱</t>
        </is>
      </c>
      <c r="C3827" t="inlineStr">
        <is>
          <t>空</t>
        </is>
      </c>
      <c r="D3827" t="n">
        <v>3</v>
      </c>
      <c r="E3827" t="n">
        <v>7</v>
      </c>
      <c r="F3827" t="inlineStr">
        <is>
          <t>开仓</t>
        </is>
      </c>
      <c r="G3827" t="n">
        <v>16</v>
      </c>
      <c r="H3827" t="n">
        <v>1404</v>
      </c>
      <c r="I3827" t="n">
        <v>1495.29</v>
      </c>
      <c r="J3827" t="n">
        <v>3</v>
      </c>
      <c r="K3827" t="inlineStr">
        <is>
          <t>¼凯利超上限，取3%</t>
        </is>
      </c>
    </row>
    <row r="3828">
      <c r="A3828" t="inlineStr">
        <is>
          <t>2025-01-07</t>
        </is>
      </c>
      <c r="B3828" t="inlineStr">
        <is>
          <t>热卷</t>
        </is>
      </c>
      <c r="C3828" t="inlineStr">
        <is>
          <t>空</t>
        </is>
      </c>
      <c r="D3828" t="n">
        <v>3</v>
      </c>
      <c r="E3828" t="n">
        <v>6</v>
      </c>
      <c r="F3828" t="inlineStr">
        <is>
          <t>续持</t>
        </is>
      </c>
      <c r="G3828" t="n">
        <v>7</v>
      </c>
      <c r="H3828" t="n">
        <v>3343</v>
      </c>
      <c r="I3828" t="n">
        <v>3461.36</v>
      </c>
      <c r="J3828" t="n">
        <v>1</v>
      </c>
      <c r="K3828" t="inlineStr">
        <is>
          <t>续持原仓（2024-12-27开）</t>
        </is>
      </c>
    </row>
    <row r="3829">
      <c r="A3829" t="inlineStr">
        <is>
          <t>2025-01-07</t>
        </is>
      </c>
      <c r="B3829" t="inlineStr">
        <is>
          <t>锰硅</t>
        </is>
      </c>
      <c r="C3829" t="inlineStr">
        <is>
          <t>空</t>
        </is>
      </c>
      <c r="D3829" t="n">
        <v>3</v>
      </c>
      <c r="E3829" t="n">
        <v>6</v>
      </c>
      <c r="F3829" t="inlineStr">
        <is>
          <t>续持</t>
        </is>
      </c>
      <c r="G3829" t="n">
        <v>32</v>
      </c>
      <c r="H3829" t="n">
        <v>6030</v>
      </c>
      <c r="I3829" t="n">
        <v>6207.43</v>
      </c>
      <c r="J3829" t="n">
        <v>3</v>
      </c>
      <c r="K3829" t="inlineStr">
        <is>
          <t>续持原仓（2025-01-06开）</t>
        </is>
      </c>
    </row>
    <row r="3830">
      <c r="A3830" t="inlineStr">
        <is>
          <t>2025-01-07</t>
        </is>
      </c>
      <c r="B3830" t="inlineStr">
        <is>
          <t>燃料油</t>
        </is>
      </c>
      <c r="C3830" t="inlineStr">
        <is>
          <t>多</t>
        </is>
      </c>
      <c r="D3830" t="n">
        <v>2</v>
      </c>
      <c r="E3830" t="n">
        <v>5</v>
      </c>
      <c r="F3830" t="inlineStr">
        <is>
          <t>观望</t>
        </is>
      </c>
      <c r="G3830" t="n">
        <v>5</v>
      </c>
      <c r="H3830" t="n">
        <v>3324</v>
      </c>
      <c r="I3830" t="n">
        <v>3155.14</v>
      </c>
      <c r="J3830" t="n">
        <v>1</v>
      </c>
      <c r="K3830" t="inlineStr">
        <is>
          <t>逆5日线（收盘在5日线下，不追多）</t>
        </is>
      </c>
    </row>
    <row r="3831">
      <c r="A3831" t="inlineStr">
        <is>
          <t>2025-01-07</t>
        </is>
      </c>
      <c r="B3831" t="inlineStr">
        <is>
          <t>工业硅</t>
        </is>
      </c>
      <c r="C3831" t="inlineStr">
        <is>
          <t>空</t>
        </is>
      </c>
      <c r="D3831" t="n">
        <v>2</v>
      </c>
      <c r="E3831" t="n">
        <v>5</v>
      </c>
      <c r="F3831" t="inlineStr">
        <is>
          <t>影子仓</t>
        </is>
      </c>
      <c r="G3831" t="n">
        <v>3</v>
      </c>
      <c r="H3831" t="n">
        <v>10580</v>
      </c>
      <c r="I3831" t="n">
        <v>11228.21</v>
      </c>
      <c r="J3831" t="n">
        <v>1</v>
      </c>
      <c r="K3831" t="inlineStr">
        <is>
          <t>凯利≤0，开1%影子仓（只统计，不计入组合）</t>
        </is>
      </c>
    </row>
    <row r="3832">
      <c r="A3832" t="inlineStr">
        <is>
          <t>2025-01-07</t>
        </is>
      </c>
      <c r="B3832" t="inlineStr">
        <is>
          <t>沪铜</t>
        </is>
      </c>
      <c r="C3832" t="inlineStr">
        <is>
          <t>空</t>
        </is>
      </c>
      <c r="D3832" t="n">
        <v>2</v>
      </c>
      <c r="E3832" t="n">
        <v>4</v>
      </c>
      <c r="F3832" t="inlineStr">
        <is>
          <t>观望</t>
        </is>
      </c>
      <c r="G3832" t="n">
        <v>1</v>
      </c>
      <c r="H3832" t="n">
        <v>74470</v>
      </c>
      <c r="I3832" t="n">
        <v>76387.86</v>
      </c>
      <c r="J3832" t="n">
        <v>1</v>
      </c>
      <c r="K3832" t="inlineStr">
        <is>
          <t>逆5日线（收盘在5日线上，不追空）</t>
        </is>
      </c>
    </row>
    <row r="3833">
      <c r="A3833" t="inlineStr">
        <is>
          <t>2025-01-07</t>
        </is>
      </c>
      <c r="B3833" t="inlineStr">
        <is>
          <t>玉米</t>
        </is>
      </c>
      <c r="C3833" t="inlineStr">
        <is>
          <t>多</t>
        </is>
      </c>
      <c r="D3833" t="n">
        <v>2</v>
      </c>
      <c r="E3833" t="n">
        <v>4</v>
      </c>
      <c r="F3833" t="inlineStr">
        <is>
          <t>观望</t>
        </is>
      </c>
      <c r="G3833" t="n">
        <v>15</v>
      </c>
      <c r="H3833" t="n">
        <v>2225</v>
      </c>
      <c r="I3833" t="n">
        <v>2161.57</v>
      </c>
      <c r="J3833" t="n">
        <v>1</v>
      </c>
      <c r="K3833" t="inlineStr">
        <is>
          <t>逆5日线（收盘在5日线下，不追多）</t>
        </is>
      </c>
    </row>
    <row r="3834">
      <c r="A3834" t="inlineStr">
        <is>
          <t>2025-01-08</t>
        </is>
      </c>
      <c r="B3834" t="inlineStr">
        <is>
          <t>PVC</t>
        </is>
      </c>
      <c r="C3834" t="inlineStr">
        <is>
          <t>空</t>
        </is>
      </c>
      <c r="D3834" t="n">
        <v>3</v>
      </c>
      <c r="E3834" t="n">
        <v>7</v>
      </c>
      <c r="F3834" t="inlineStr">
        <is>
          <t>续持</t>
        </is>
      </c>
      <c r="G3834" t="n">
        <v>27</v>
      </c>
      <c r="H3834" t="n">
        <v>5067</v>
      </c>
      <c r="I3834" t="n">
        <v>5249.57</v>
      </c>
      <c r="J3834" t="n">
        <v>3</v>
      </c>
      <c r="K3834" t="inlineStr">
        <is>
          <t>续持原仓（2024-12-19开）</t>
        </is>
      </c>
    </row>
    <row r="3835">
      <c r="A3835" t="inlineStr">
        <is>
          <t>2025-01-08</t>
        </is>
      </c>
      <c r="B3835" t="inlineStr">
        <is>
          <t>螺纹钢</t>
        </is>
      </c>
      <c r="C3835" t="inlineStr">
        <is>
          <t>空</t>
        </is>
      </c>
      <c r="D3835" t="n">
        <v>3</v>
      </c>
      <c r="E3835" t="n">
        <v>7</v>
      </c>
      <c r="F3835" t="inlineStr">
        <is>
          <t>不做</t>
        </is>
      </c>
      <c r="H3835" t="n">
        <v>3211</v>
      </c>
      <c r="J3835" t="n">
        <v>0</v>
      </c>
      <c r="K3835" t="inlineStr">
        <is>
          <t>组合风险已近10%，预算缩小</t>
        </is>
      </c>
    </row>
    <row r="3836">
      <c r="A3836" t="inlineStr">
        <is>
          <t>2025-01-08</t>
        </is>
      </c>
      <c r="B3836" t="inlineStr">
        <is>
          <t>纯碱</t>
        </is>
      </c>
      <c r="C3836" t="inlineStr">
        <is>
          <t>空</t>
        </is>
      </c>
      <c r="D3836" t="n">
        <v>3</v>
      </c>
      <c r="E3836" t="n">
        <v>6</v>
      </c>
      <c r="F3836" t="inlineStr">
        <is>
          <t>续持</t>
        </is>
      </c>
      <c r="G3836" t="n">
        <v>16</v>
      </c>
      <c r="H3836" t="n">
        <v>1386</v>
      </c>
      <c r="I3836" t="n">
        <v>1470.86</v>
      </c>
      <c r="J3836" t="n">
        <v>3</v>
      </c>
      <c r="K3836" t="inlineStr">
        <is>
          <t>续持原仓（2025-01-07开）</t>
        </is>
      </c>
    </row>
    <row r="3837">
      <c r="A3837" t="inlineStr">
        <is>
          <t>2025-01-08</t>
        </is>
      </c>
      <c r="B3837" t="inlineStr">
        <is>
          <t>锰硅</t>
        </is>
      </c>
      <c r="C3837" t="inlineStr">
        <is>
          <t>空</t>
        </is>
      </c>
      <c r="D3837" t="n">
        <v>3</v>
      </c>
      <c r="E3837" t="n">
        <v>6</v>
      </c>
      <c r="F3837" t="inlineStr">
        <is>
          <t>续持</t>
        </is>
      </c>
      <c r="G3837" t="n">
        <v>32</v>
      </c>
      <c r="H3837" t="n">
        <v>6028</v>
      </c>
      <c r="I3837" t="n">
        <v>6190.86</v>
      </c>
      <c r="J3837" t="n">
        <v>3</v>
      </c>
      <c r="K3837" t="inlineStr">
        <is>
          <t>续持原仓（2025-01-06开）</t>
        </is>
      </c>
    </row>
    <row r="3838">
      <c r="A3838" t="inlineStr">
        <is>
          <t>2025-01-08</t>
        </is>
      </c>
      <c r="B3838" t="inlineStr">
        <is>
          <t>燃料油</t>
        </is>
      </c>
      <c r="C3838" t="inlineStr">
        <is>
          <t>多</t>
        </is>
      </c>
      <c r="D3838" t="n">
        <v>3</v>
      </c>
      <c r="E3838" t="n">
        <v>6</v>
      </c>
      <c r="F3838" t="inlineStr">
        <is>
          <t>不做</t>
        </is>
      </c>
      <c r="H3838" t="n">
        <v>3353</v>
      </c>
      <c r="J3838" t="n">
        <v>0</v>
      </c>
      <c r="K3838" t="inlineStr">
        <is>
          <t>组合风险已近10%，预算缩小</t>
        </is>
      </c>
    </row>
    <row r="3839">
      <c r="A3839" t="inlineStr">
        <is>
          <t>2025-01-08</t>
        </is>
      </c>
      <c r="B3839" t="inlineStr">
        <is>
          <t>沪铜</t>
        </is>
      </c>
      <c r="C3839" t="inlineStr">
        <is>
          <t>空</t>
        </is>
      </c>
      <c r="D3839" t="n">
        <v>3</v>
      </c>
      <c r="E3839" t="n">
        <v>6</v>
      </c>
      <c r="F3839" t="inlineStr">
        <is>
          <t>观望</t>
        </is>
      </c>
      <c r="H3839" t="n">
        <v>74480</v>
      </c>
      <c r="J3839" t="n">
        <v>0</v>
      </c>
      <c r="K3839" t="inlineStr">
        <is>
          <t>逆5日线（收盘在5日线上，不追空）</t>
        </is>
      </c>
    </row>
    <row r="3840">
      <c r="A3840" t="inlineStr">
        <is>
          <t>2025-01-09</t>
        </is>
      </c>
      <c r="B3840" t="inlineStr">
        <is>
          <t>沥青</t>
        </is>
      </c>
      <c r="C3840" t="inlineStr">
        <is>
          <t>多</t>
        </is>
      </c>
      <c r="D3840" t="n">
        <v>3</v>
      </c>
      <c r="E3840" t="n">
        <v>7</v>
      </c>
      <c r="F3840" t="inlineStr">
        <is>
          <t>开仓</t>
        </is>
      </c>
      <c r="G3840" t="n">
        <v>17</v>
      </c>
      <c r="H3840" t="n">
        <v>3649</v>
      </c>
      <c r="I3840" t="n">
        <v>3482.29</v>
      </c>
      <c r="J3840" t="n">
        <v>3</v>
      </c>
      <c r="K3840" t="inlineStr">
        <is>
          <t>¼凯利超上限，取3%</t>
        </is>
      </c>
    </row>
    <row r="3841">
      <c r="A3841" t="inlineStr">
        <is>
          <t>2025-01-09</t>
        </is>
      </c>
      <c r="B3841" t="inlineStr">
        <is>
          <t>燃料油</t>
        </is>
      </c>
      <c r="C3841" t="inlineStr">
        <is>
          <t>多</t>
        </is>
      </c>
      <c r="D3841" t="n">
        <v>3</v>
      </c>
      <c r="E3841" t="n">
        <v>6</v>
      </c>
      <c r="F3841" t="inlineStr">
        <is>
          <t>不做</t>
        </is>
      </c>
      <c r="H3841" t="n">
        <v>3339</v>
      </c>
      <c r="J3841" t="n">
        <v>0</v>
      </c>
      <c r="K3841" t="inlineStr">
        <is>
          <t>组合风险已近10%，预算缩小</t>
        </is>
      </c>
    </row>
    <row r="3842">
      <c r="A3842" t="inlineStr">
        <is>
          <t>2025-01-09</t>
        </is>
      </c>
      <c r="B3842" t="inlineStr">
        <is>
          <t>纯碱</t>
        </is>
      </c>
      <c r="C3842" t="inlineStr">
        <is>
          <t>空</t>
        </is>
      </c>
      <c r="D3842" t="n">
        <v>2</v>
      </c>
      <c r="E3842" t="n">
        <v>4</v>
      </c>
      <c r="F3842" t="inlineStr">
        <is>
          <t>观望</t>
        </is>
      </c>
      <c r="G3842" t="n">
        <v>5</v>
      </c>
      <c r="H3842" t="n">
        <v>1408</v>
      </c>
      <c r="I3842" t="n">
        <v>1494.57</v>
      </c>
      <c r="J3842" t="n">
        <v>1</v>
      </c>
      <c r="K3842" t="inlineStr">
        <is>
          <t>逆5日线（收盘在5日线上，不追空）</t>
        </is>
      </c>
    </row>
    <row r="3843">
      <c r="A3843" t="inlineStr">
        <is>
          <t>2025-01-09</t>
        </is>
      </c>
      <c r="B3843" t="inlineStr">
        <is>
          <t>热卷</t>
        </is>
      </c>
      <c r="C3843" t="inlineStr">
        <is>
          <t>空</t>
        </is>
      </c>
      <c r="D3843" t="n">
        <v>2</v>
      </c>
      <c r="E3843" t="n">
        <v>4</v>
      </c>
      <c r="F3843" t="inlineStr">
        <is>
          <t>续持</t>
        </is>
      </c>
      <c r="G3843" t="n">
        <v>7</v>
      </c>
      <c r="H3843" t="n">
        <v>3313</v>
      </c>
      <c r="I3843" t="n">
        <v>3411.14</v>
      </c>
      <c r="J3843" t="n">
        <v>1</v>
      </c>
      <c r="K3843" t="inlineStr">
        <is>
          <t>续持原仓（2024-12-27开）</t>
        </is>
      </c>
    </row>
    <row r="3844">
      <c r="A3844" t="inlineStr">
        <is>
          <t>2025-01-10</t>
        </is>
      </c>
      <c r="B3844" t="inlineStr">
        <is>
          <t>PVC</t>
        </is>
      </c>
      <c r="C3844" t="inlineStr">
        <is>
          <t>空</t>
        </is>
      </c>
      <c r="D3844" t="n">
        <v>3</v>
      </c>
      <c r="E3844" t="n">
        <v>6</v>
      </c>
      <c r="F3844" t="inlineStr">
        <is>
          <t>观望</t>
        </is>
      </c>
      <c r="H3844" t="n">
        <v>5130</v>
      </c>
      <c r="J3844" t="n">
        <v>0</v>
      </c>
      <c r="K3844" t="inlineStr">
        <is>
          <t>逆5日线（收盘在5日线上，不追空）</t>
        </is>
      </c>
    </row>
    <row r="3845">
      <c r="A3845" t="inlineStr">
        <is>
          <t>2025-01-10</t>
        </is>
      </c>
      <c r="B3845" t="inlineStr">
        <is>
          <t>纯碱</t>
        </is>
      </c>
      <c r="C3845" t="inlineStr">
        <is>
          <t>空</t>
        </is>
      </c>
      <c r="D3845" t="n">
        <v>3</v>
      </c>
      <c r="E3845" t="n">
        <v>6</v>
      </c>
      <c r="F3845" t="inlineStr">
        <is>
          <t>观望</t>
        </is>
      </c>
      <c r="H3845" t="n">
        <v>1404</v>
      </c>
      <c r="J3845" t="n">
        <v>0</v>
      </c>
      <c r="K3845" t="inlineStr">
        <is>
          <t>逆5日线（收盘在5日线上，不追空）</t>
        </is>
      </c>
    </row>
    <row r="3846">
      <c r="A3846" t="inlineStr">
        <is>
          <t>2025-01-10</t>
        </is>
      </c>
      <c r="B3846" t="inlineStr">
        <is>
          <t>玉米</t>
        </is>
      </c>
      <c r="C3846" t="inlineStr">
        <is>
          <t>多</t>
        </is>
      </c>
      <c r="D3846" t="n">
        <v>3</v>
      </c>
      <c r="E3846" t="n">
        <v>6</v>
      </c>
      <c r="F3846" t="inlineStr">
        <is>
          <t>开仓</t>
        </is>
      </c>
      <c r="G3846" t="n">
        <v>47</v>
      </c>
      <c r="H3846" t="n">
        <v>2250</v>
      </c>
      <c r="I3846" t="n">
        <v>2187</v>
      </c>
      <c r="J3846" t="n">
        <v>3</v>
      </c>
      <c r="K3846" t="inlineStr">
        <is>
          <t>¼凯利超上限，取3%</t>
        </is>
      </c>
    </row>
    <row r="3847">
      <c r="A3847" t="inlineStr">
        <is>
          <t>2025-01-10</t>
        </is>
      </c>
      <c r="B3847" t="inlineStr">
        <is>
          <t>热卷</t>
        </is>
      </c>
      <c r="C3847" t="inlineStr">
        <is>
          <t>空</t>
        </is>
      </c>
      <c r="D3847" t="n">
        <v>2</v>
      </c>
      <c r="E3847" t="n">
        <v>5</v>
      </c>
      <c r="F3847" t="inlineStr">
        <is>
          <t>续持</t>
        </is>
      </c>
      <c r="G3847" t="n">
        <v>7</v>
      </c>
      <c r="H3847" t="n">
        <v>3312</v>
      </c>
      <c r="I3847" t="n">
        <v>3410.57</v>
      </c>
      <c r="J3847" t="n">
        <v>1</v>
      </c>
      <c r="K3847" t="inlineStr">
        <is>
          <t>续持原仓（2024-12-27开）</t>
        </is>
      </c>
    </row>
    <row r="3848">
      <c r="A3848" t="inlineStr">
        <is>
          <t>2025-01-10</t>
        </is>
      </c>
      <c r="B3848" t="inlineStr">
        <is>
          <t>PTA</t>
        </is>
      </c>
      <c r="C3848" t="inlineStr">
        <is>
          <t>空</t>
        </is>
      </c>
      <c r="D3848" t="n">
        <v>2</v>
      </c>
      <c r="E3848" t="n">
        <v>5</v>
      </c>
      <c r="F3848" t="inlineStr">
        <is>
          <t>观望</t>
        </is>
      </c>
      <c r="G3848" t="n">
        <v>7</v>
      </c>
      <c r="H3848" t="n">
        <v>5042</v>
      </c>
      <c r="I3848" t="n">
        <v>5293.57</v>
      </c>
      <c r="J3848" t="n">
        <v>1</v>
      </c>
      <c r="K3848" t="inlineStr">
        <is>
          <t>逆5日线（收盘在5日线上，不追空）</t>
        </is>
      </c>
    </row>
    <row r="3849">
      <c r="A3849" t="inlineStr">
        <is>
          <t>2025-01-10</t>
        </is>
      </c>
      <c r="B3849" t="inlineStr">
        <is>
          <t>螺纹钢</t>
        </is>
      </c>
      <c r="C3849" t="inlineStr">
        <is>
          <t>空</t>
        </is>
      </c>
      <c r="D3849" t="n">
        <v>2</v>
      </c>
      <c r="E3849" t="n">
        <v>4</v>
      </c>
      <c r="F3849" t="inlineStr">
        <is>
          <t>影子仓</t>
        </is>
      </c>
      <c r="G3849" t="n">
        <v>8</v>
      </c>
      <c r="H3849" t="n">
        <v>3202</v>
      </c>
      <c r="I3849" t="n">
        <v>3325.43</v>
      </c>
      <c r="J3849" t="n">
        <v>1</v>
      </c>
      <c r="K3849" t="inlineStr">
        <is>
          <t>凯利≤0，开1%影子仓（只统计，不计入组合）</t>
        </is>
      </c>
    </row>
    <row r="3850">
      <c r="A3850" t="inlineStr">
        <is>
          <t>2025-01-13</t>
        </is>
      </c>
      <c r="B3850" t="inlineStr">
        <is>
          <t>燃料油</t>
        </is>
      </c>
      <c r="C3850" t="inlineStr">
        <is>
          <t>多</t>
        </is>
      </c>
      <c r="D3850" t="n">
        <v>3</v>
      </c>
      <c r="E3850" t="n">
        <v>7</v>
      </c>
      <c r="F3850" t="inlineStr">
        <is>
          <t>不做</t>
        </is>
      </c>
      <c r="H3850" t="n">
        <v>3625</v>
      </c>
      <c r="J3850" t="n">
        <v>0</v>
      </c>
      <c r="K3850" t="inlineStr">
        <is>
          <t>组合风险已近10%，预算缩小</t>
        </is>
      </c>
    </row>
    <row r="3851">
      <c r="A3851" t="inlineStr">
        <is>
          <t>2025-01-13</t>
        </is>
      </c>
      <c r="B3851" t="inlineStr">
        <is>
          <t>玉米</t>
        </is>
      </c>
      <c r="C3851" t="inlineStr">
        <is>
          <t>多</t>
        </is>
      </c>
      <c r="D3851" t="n">
        <v>3</v>
      </c>
      <c r="E3851" t="n">
        <v>6</v>
      </c>
      <c r="F3851" t="inlineStr">
        <is>
          <t>续持</t>
        </is>
      </c>
      <c r="G3851" t="n">
        <v>47</v>
      </c>
      <c r="H3851" t="n">
        <v>2267</v>
      </c>
      <c r="I3851" t="n">
        <v>2211.43</v>
      </c>
      <c r="J3851" t="n">
        <v>3</v>
      </c>
      <c r="K3851" t="inlineStr">
        <is>
          <t>续持原仓（2025-01-10开）</t>
        </is>
      </c>
    </row>
    <row r="3852">
      <c r="A3852" t="inlineStr">
        <is>
          <t>2025-01-13</t>
        </is>
      </c>
      <c r="B3852" t="inlineStr">
        <is>
          <t>热卷</t>
        </is>
      </c>
      <c r="C3852" t="inlineStr">
        <is>
          <t>空</t>
        </is>
      </c>
      <c r="D3852" t="n">
        <v>2</v>
      </c>
      <c r="E3852" t="n">
        <v>5</v>
      </c>
      <c r="F3852" t="inlineStr">
        <is>
          <t>观望</t>
        </is>
      </c>
      <c r="G3852" t="n">
        <v>8</v>
      </c>
      <c r="H3852" t="n">
        <v>3357</v>
      </c>
      <c r="I3852" t="n">
        <v>3480</v>
      </c>
      <c r="J3852" t="n">
        <v>1</v>
      </c>
      <c r="K3852" t="inlineStr">
        <is>
          <t>逆5日线（收盘在5日线上，不追空）</t>
        </is>
      </c>
    </row>
    <row r="3853">
      <c r="A3853" t="inlineStr">
        <is>
          <t>2025-01-13</t>
        </is>
      </c>
      <c r="B3853" t="inlineStr">
        <is>
          <t>菜粕</t>
        </is>
      </c>
      <c r="C3853" t="inlineStr">
        <is>
          <t>多</t>
        </is>
      </c>
      <c r="D3853" t="n">
        <v>2</v>
      </c>
      <c r="E3853" t="n">
        <v>4</v>
      </c>
      <c r="F3853" t="inlineStr">
        <is>
          <t>影子仓</t>
        </is>
      </c>
      <c r="G3853" t="n">
        <v>7</v>
      </c>
      <c r="H3853" t="n">
        <v>2359</v>
      </c>
      <c r="I3853" t="n">
        <v>2218.21</v>
      </c>
      <c r="J3853" t="n">
        <v>1</v>
      </c>
      <c r="K3853" t="inlineStr">
        <is>
          <t>凯利≤0，开1%影子仓（只统计，不计入组合）</t>
        </is>
      </c>
    </row>
    <row r="3854">
      <c r="A3854" t="inlineStr">
        <is>
          <t>2025-01-14</t>
        </is>
      </c>
      <c r="B3854" t="inlineStr">
        <is>
          <t>豆粕</t>
        </is>
      </c>
      <c r="C3854" t="inlineStr">
        <is>
          <t>多</t>
        </is>
      </c>
      <c r="D3854" t="n">
        <v>3</v>
      </c>
      <c r="E3854" t="n">
        <v>6</v>
      </c>
      <c r="F3854" t="inlineStr">
        <is>
          <t>开仓</t>
        </is>
      </c>
      <c r="G3854" t="n">
        <v>21</v>
      </c>
      <c r="H3854" t="n">
        <v>2753</v>
      </c>
      <c r="I3854" t="n">
        <v>2613.29</v>
      </c>
      <c r="J3854" t="n">
        <v>3</v>
      </c>
      <c r="K3854" t="inlineStr">
        <is>
          <t>¼凯利超上限，取3%</t>
        </is>
      </c>
    </row>
    <row r="3855">
      <c r="A3855" t="inlineStr">
        <is>
          <t>2025-01-14</t>
        </is>
      </c>
      <c r="B3855" t="inlineStr">
        <is>
          <t>玉米</t>
        </is>
      </c>
      <c r="C3855" t="inlineStr">
        <is>
          <t>多</t>
        </is>
      </c>
      <c r="D3855" t="n">
        <v>3</v>
      </c>
      <c r="E3855" t="n">
        <v>6</v>
      </c>
      <c r="F3855" t="inlineStr">
        <is>
          <t>续持</t>
        </is>
      </c>
      <c r="G3855" t="n">
        <v>47</v>
      </c>
      <c r="H3855" t="n">
        <v>2277</v>
      </c>
      <c r="I3855" t="n">
        <v>2214.5</v>
      </c>
      <c r="J3855" t="n">
        <v>3</v>
      </c>
      <c r="K3855" t="inlineStr">
        <is>
          <t>续持原仓（2025-01-10开）</t>
        </is>
      </c>
    </row>
    <row r="3856">
      <c r="A3856" t="inlineStr">
        <is>
          <t>2025-01-14</t>
        </is>
      </c>
      <c r="B3856" t="inlineStr">
        <is>
          <t>沪锌</t>
        </is>
      </c>
      <c r="C3856" t="inlineStr">
        <is>
          <t>空</t>
        </is>
      </c>
      <c r="D3856" t="n">
        <v>2</v>
      </c>
      <c r="E3856" t="n">
        <v>4</v>
      </c>
      <c r="F3856" t="inlineStr">
        <is>
          <t>影子仓</t>
        </is>
      </c>
      <c r="G3856" t="n">
        <v>1</v>
      </c>
      <c r="H3856" t="n">
        <v>24045</v>
      </c>
      <c r="I3856" t="n">
        <v>25087.5</v>
      </c>
      <c r="J3856" t="n">
        <v>1</v>
      </c>
      <c r="K3856" t="inlineStr">
        <is>
          <t>凯利≤0，开1%影子仓（只统计，不计入组合）</t>
        </is>
      </c>
    </row>
    <row r="3857">
      <c r="A3857" t="inlineStr">
        <is>
          <t>2025-01-15</t>
        </is>
      </c>
      <c r="B3857" t="inlineStr">
        <is>
          <t>沥青</t>
        </is>
      </c>
      <c r="C3857" t="inlineStr">
        <is>
          <t>多</t>
        </is>
      </c>
      <c r="D3857" t="n">
        <v>3</v>
      </c>
      <c r="E3857" t="n">
        <v>7</v>
      </c>
      <c r="F3857" t="inlineStr">
        <is>
          <t>开仓</t>
        </is>
      </c>
      <c r="G3857" t="n">
        <v>13</v>
      </c>
      <c r="H3857" t="n">
        <v>3795</v>
      </c>
      <c r="I3857" t="n">
        <v>3577.5</v>
      </c>
      <c r="J3857" t="n">
        <v>3</v>
      </c>
      <c r="K3857" t="inlineStr">
        <is>
          <t>¼凯利超上限，取3%</t>
        </is>
      </c>
    </row>
    <row r="3858">
      <c r="A3858" t="inlineStr">
        <is>
          <t>2025-01-15</t>
        </is>
      </c>
      <c r="B3858" t="inlineStr">
        <is>
          <t>豆粕</t>
        </is>
      </c>
      <c r="C3858" t="inlineStr">
        <is>
          <t>多</t>
        </is>
      </c>
      <c r="D3858" t="n">
        <v>3</v>
      </c>
      <c r="E3858" t="n">
        <v>6</v>
      </c>
      <c r="F3858" t="inlineStr">
        <is>
          <t>续持</t>
        </is>
      </c>
      <c r="G3858" t="n">
        <v>21</v>
      </c>
      <c r="H3858" t="n">
        <v>2772</v>
      </c>
      <c r="I3858" t="n">
        <v>2634.29</v>
      </c>
      <c r="J3858" t="n">
        <v>3</v>
      </c>
      <c r="K3858" t="inlineStr">
        <is>
          <t>续持原仓（2025-01-14开）</t>
        </is>
      </c>
    </row>
    <row r="3859">
      <c r="A3859" t="inlineStr">
        <is>
          <t>2025-01-16</t>
        </is>
      </c>
      <c r="B3859" t="inlineStr">
        <is>
          <t>玉米</t>
        </is>
      </c>
      <c r="C3859" t="inlineStr">
        <is>
          <t>多</t>
        </is>
      </c>
      <c r="D3859" t="n">
        <v>3</v>
      </c>
      <c r="E3859" t="n">
        <v>7</v>
      </c>
      <c r="F3859" t="inlineStr">
        <is>
          <t>开仓</t>
        </is>
      </c>
      <c r="G3859" t="n">
        <v>46</v>
      </c>
      <c r="H3859" t="n">
        <v>2288</v>
      </c>
      <c r="I3859" t="n">
        <v>2223.5</v>
      </c>
      <c r="J3859" t="n">
        <v>3</v>
      </c>
      <c r="K3859" t="inlineStr">
        <is>
          <t>¼凯利超上限，取3%</t>
        </is>
      </c>
    </row>
    <row r="3860">
      <c r="A3860" t="inlineStr">
        <is>
          <t>2025-01-16</t>
        </is>
      </c>
      <c r="B3860" t="inlineStr">
        <is>
          <t>沥青</t>
        </is>
      </c>
      <c r="C3860" t="inlineStr">
        <is>
          <t>多</t>
        </is>
      </c>
      <c r="D3860" t="n">
        <v>3</v>
      </c>
      <c r="E3860" t="n">
        <v>6</v>
      </c>
      <c r="F3860" t="inlineStr">
        <is>
          <t>续持</t>
        </is>
      </c>
      <c r="G3860" t="n">
        <v>13</v>
      </c>
      <c r="H3860" t="n">
        <v>3847</v>
      </c>
      <c r="I3860" t="n">
        <v>3629.64</v>
      </c>
      <c r="J3860" t="n">
        <v>3</v>
      </c>
      <c r="K3860" t="inlineStr">
        <is>
          <t>续持原仓（2025-01-15开）</t>
        </is>
      </c>
    </row>
    <row r="3861">
      <c r="A3861" t="inlineStr">
        <is>
          <t>2025-01-16</t>
        </is>
      </c>
      <c r="B3861" t="inlineStr">
        <is>
          <t>沪铜</t>
        </is>
      </c>
      <c r="C3861" t="inlineStr">
        <is>
          <t>多</t>
        </is>
      </c>
      <c r="D3861" t="n">
        <v>3</v>
      </c>
      <c r="E3861" t="n">
        <v>6</v>
      </c>
      <c r="F3861" t="inlineStr">
        <is>
          <t>开仓</t>
        </is>
      </c>
      <c r="G3861" t="n">
        <v>2</v>
      </c>
      <c r="H3861" t="n">
        <v>76260</v>
      </c>
      <c r="I3861" t="n">
        <v>74147.14</v>
      </c>
      <c r="J3861" t="n">
        <v>3</v>
      </c>
      <c r="K3861" t="inlineStr">
        <is>
          <t>¼凯利超上限，取3%</t>
        </is>
      </c>
    </row>
    <row r="3862">
      <c r="A3862" t="inlineStr">
        <is>
          <t>2025-01-16</t>
        </is>
      </c>
      <c r="B3862" t="inlineStr">
        <is>
          <t>棉花</t>
        </is>
      </c>
      <c r="C3862" t="inlineStr">
        <is>
          <t>多</t>
        </is>
      </c>
      <c r="D3862" t="n">
        <v>2</v>
      </c>
      <c r="E3862" t="n">
        <v>4</v>
      </c>
      <c r="F3862" t="inlineStr">
        <is>
          <t>影子仓</t>
        </is>
      </c>
      <c r="G3862" t="n">
        <v>5</v>
      </c>
      <c r="H3862" t="n">
        <v>13600</v>
      </c>
      <c r="I3862" t="n">
        <v>13217.5</v>
      </c>
      <c r="J3862" t="n">
        <v>1</v>
      </c>
      <c r="K3862" t="inlineStr">
        <is>
          <t>凯利≤0，开1%影子仓（只统计，不计入组合）</t>
        </is>
      </c>
    </row>
    <row r="3863">
      <c r="A3863" t="inlineStr">
        <is>
          <t>2025-01-16</t>
        </is>
      </c>
      <c r="B3863" t="inlineStr">
        <is>
          <t>工业硅</t>
        </is>
      </c>
      <c r="C3863" t="inlineStr">
        <is>
          <t>空</t>
        </is>
      </c>
      <c r="D3863" t="n">
        <v>2</v>
      </c>
      <c r="E3863" t="n">
        <v>4</v>
      </c>
      <c r="F3863" t="inlineStr">
        <is>
          <t>影子仓</t>
        </is>
      </c>
      <c r="G3863" t="n">
        <v>3</v>
      </c>
      <c r="H3863" t="n">
        <v>10750</v>
      </c>
      <c r="I3863" t="n">
        <v>11368.21</v>
      </c>
      <c r="J3863" t="n">
        <v>1</v>
      </c>
      <c r="K3863" t="inlineStr">
        <is>
          <t>凯利≤0，开1%影子仓（只统计，不计入组合）</t>
        </is>
      </c>
    </row>
    <row r="3864">
      <c r="A3864" t="inlineStr">
        <is>
          <t>2025-01-16</t>
        </is>
      </c>
      <c r="B3864" t="inlineStr">
        <is>
          <t>纯碱</t>
        </is>
      </c>
      <c r="C3864" t="inlineStr">
        <is>
          <t>多</t>
        </is>
      </c>
      <c r="D3864" t="n">
        <v>2</v>
      </c>
      <c r="E3864" t="n">
        <v>4</v>
      </c>
      <c r="F3864" t="inlineStr">
        <is>
          <t>影子仓</t>
        </is>
      </c>
      <c r="G3864" t="n">
        <v>5</v>
      </c>
      <c r="H3864" t="n">
        <v>1479</v>
      </c>
      <c r="I3864" t="n">
        <v>1389.21</v>
      </c>
      <c r="J3864" t="n">
        <v>1</v>
      </c>
      <c r="K3864" t="inlineStr">
        <is>
          <t>凯利≤0，开1%影子仓（只统计，不计入组合）</t>
        </is>
      </c>
    </row>
    <row r="3865">
      <c r="A3865" t="inlineStr">
        <is>
          <t>2025-01-17</t>
        </is>
      </c>
      <c r="B3865" t="inlineStr">
        <is>
          <t>玉米</t>
        </is>
      </c>
      <c r="C3865" t="inlineStr">
        <is>
          <t>多</t>
        </is>
      </c>
      <c r="D3865" t="n">
        <v>2</v>
      </c>
      <c r="E3865" t="n">
        <v>5</v>
      </c>
      <c r="F3865" t="inlineStr">
        <is>
          <t>续持</t>
        </is>
      </c>
      <c r="G3865" t="n">
        <v>46</v>
      </c>
      <c r="H3865" t="n">
        <v>2291</v>
      </c>
      <c r="I3865" t="n">
        <v>2237.14</v>
      </c>
      <c r="J3865" t="n">
        <v>3</v>
      </c>
      <c r="K3865" t="inlineStr">
        <is>
          <t>续持原仓（2025-01-16开）</t>
        </is>
      </c>
    </row>
    <row r="3866">
      <c r="A3866" t="inlineStr">
        <is>
          <t>2025-01-17</t>
        </is>
      </c>
      <c r="B3866" t="inlineStr">
        <is>
          <t>沥青</t>
        </is>
      </c>
      <c r="C3866" t="inlineStr">
        <is>
          <t>多</t>
        </is>
      </c>
      <c r="D3866" t="n">
        <v>2</v>
      </c>
      <c r="E3866" t="n">
        <v>4</v>
      </c>
      <c r="F3866" t="inlineStr">
        <is>
          <t>观望</t>
        </is>
      </c>
      <c r="G3866" t="n">
        <v>4</v>
      </c>
      <c r="H3866" t="n">
        <v>3795</v>
      </c>
      <c r="I3866" t="n">
        <v>3564.86</v>
      </c>
      <c r="J3866" t="n">
        <v>1</v>
      </c>
      <c r="K3866" t="inlineStr">
        <is>
          <t>逆5日线（收盘在5日线下，不追多）</t>
        </is>
      </c>
    </row>
    <row r="3867">
      <c r="A3867" t="inlineStr">
        <is>
          <t>2025-01-17</t>
        </is>
      </c>
      <c r="B3867" t="inlineStr">
        <is>
          <t>沪铜</t>
        </is>
      </c>
      <c r="C3867" t="inlineStr">
        <is>
          <t>多</t>
        </is>
      </c>
      <c r="D3867" t="n">
        <v>2</v>
      </c>
      <c r="E3867" t="n">
        <v>4</v>
      </c>
      <c r="F3867" t="inlineStr">
        <is>
          <t>续持</t>
        </is>
      </c>
      <c r="G3867" t="n">
        <v>2</v>
      </c>
      <c r="H3867" t="n">
        <v>76540</v>
      </c>
      <c r="I3867" t="n">
        <v>74552.14</v>
      </c>
      <c r="J3867" t="n">
        <v>3</v>
      </c>
      <c r="K3867" t="inlineStr">
        <is>
          <t>续持原仓（2025-01-16开）</t>
        </is>
      </c>
    </row>
    <row r="3868">
      <c r="A3868" t="inlineStr">
        <is>
          <t>2025-01-17</t>
        </is>
      </c>
      <c r="B3868" t="inlineStr">
        <is>
          <t>玻璃</t>
        </is>
      </c>
      <c r="C3868" t="inlineStr">
        <is>
          <t>多</t>
        </is>
      </c>
      <c r="D3868" t="n">
        <v>2</v>
      </c>
      <c r="E3868" t="n">
        <v>4</v>
      </c>
      <c r="F3868" t="inlineStr">
        <is>
          <t>影子仓</t>
        </is>
      </c>
      <c r="G3868" t="n">
        <v>4</v>
      </c>
      <c r="H3868" t="n">
        <v>1454</v>
      </c>
      <c r="I3868" t="n">
        <v>1348.36</v>
      </c>
      <c r="J3868" t="n">
        <v>1</v>
      </c>
      <c r="K3868" t="inlineStr">
        <is>
          <t>凯利≤0，开1%影子仓（只统计，不计入组合）</t>
        </is>
      </c>
    </row>
    <row r="3869">
      <c r="A3869" t="inlineStr">
        <is>
          <t>2025-01-17</t>
        </is>
      </c>
      <c r="B3869" t="inlineStr">
        <is>
          <t>铁矿石</t>
        </is>
      </c>
      <c r="C3869" t="inlineStr">
        <is>
          <t>多</t>
        </is>
      </c>
      <c r="D3869" t="n">
        <v>2</v>
      </c>
      <c r="E3869" t="n">
        <v>4</v>
      </c>
      <c r="F3869" t="inlineStr">
        <is>
          <t>影子仓</t>
        </is>
      </c>
      <c r="G3869" t="n">
        <v>2</v>
      </c>
      <c r="H3869" t="n">
        <v>803.5</v>
      </c>
      <c r="I3869" t="n">
        <v>755.71</v>
      </c>
      <c r="J3869" t="n">
        <v>1</v>
      </c>
      <c r="K3869" t="inlineStr">
        <is>
          <t>凯利≤0，开1%影子仓（只统计，不计入组合）</t>
        </is>
      </c>
    </row>
    <row r="3870">
      <c r="A3870" t="inlineStr">
        <is>
          <t>2025-01-20</t>
        </is>
      </c>
      <c r="B3870" t="inlineStr">
        <is>
          <t>菜粕</t>
        </is>
      </c>
      <c r="C3870" t="inlineStr">
        <is>
          <t>多</t>
        </is>
      </c>
      <c r="D3870" t="n">
        <v>3</v>
      </c>
      <c r="E3870" t="n">
        <v>7</v>
      </c>
      <c r="F3870" t="inlineStr">
        <is>
          <t>开仓</t>
        </is>
      </c>
      <c r="G3870" t="n">
        <v>18</v>
      </c>
      <c r="H3870" t="n">
        <v>2467</v>
      </c>
      <c r="I3870" t="n">
        <v>2301.57</v>
      </c>
      <c r="J3870" t="n">
        <v>3</v>
      </c>
      <c r="K3870" t="inlineStr">
        <is>
          <t>¼凯利超上限，取3%</t>
        </is>
      </c>
    </row>
    <row r="3871">
      <c r="A3871" t="inlineStr">
        <is>
          <t>2025-01-20</t>
        </is>
      </c>
      <c r="B3871" t="inlineStr">
        <is>
          <t>玉米</t>
        </is>
      </c>
      <c r="C3871" t="inlineStr">
        <is>
          <t>多</t>
        </is>
      </c>
      <c r="D3871" t="n">
        <v>3</v>
      </c>
      <c r="E3871" t="n">
        <v>6</v>
      </c>
      <c r="F3871" t="inlineStr">
        <is>
          <t>续持</t>
        </is>
      </c>
      <c r="G3871" t="n">
        <v>46</v>
      </c>
      <c r="H3871" t="n">
        <v>2286</v>
      </c>
      <c r="I3871" t="n">
        <v>2237.79</v>
      </c>
      <c r="J3871" t="n">
        <v>3</v>
      </c>
      <c r="K3871" t="inlineStr">
        <is>
          <t>续持原仓（2025-01-16开）</t>
        </is>
      </c>
    </row>
    <row r="3872">
      <c r="A3872" t="inlineStr">
        <is>
          <t>2025-01-20</t>
        </is>
      </c>
      <c r="B3872" t="inlineStr">
        <is>
          <t>塑料</t>
        </is>
      </c>
      <c r="C3872" t="inlineStr">
        <is>
          <t>空</t>
        </is>
      </c>
      <c r="D3872" t="n">
        <v>3</v>
      </c>
      <c r="E3872" t="n">
        <v>6</v>
      </c>
      <c r="F3872" t="inlineStr">
        <is>
          <t>开仓</t>
        </is>
      </c>
      <c r="G3872" t="n">
        <v>22</v>
      </c>
      <c r="H3872" t="n">
        <v>7831</v>
      </c>
      <c r="I3872" t="n">
        <v>8100.36</v>
      </c>
      <c r="J3872" t="n">
        <v>3</v>
      </c>
      <c r="K3872" t="inlineStr">
        <is>
          <t>¼凯利超上限，取3%</t>
        </is>
      </c>
    </row>
    <row r="3873">
      <c r="A3873" t="inlineStr">
        <is>
          <t>2025-01-20</t>
        </is>
      </c>
      <c r="B3873" t="inlineStr">
        <is>
          <t>沪金</t>
        </is>
      </c>
      <c r="C3873" t="inlineStr">
        <is>
          <t>多</t>
        </is>
      </c>
      <c r="D3873" t="n">
        <v>2</v>
      </c>
      <c r="E3873" t="n">
        <v>5</v>
      </c>
      <c r="F3873" t="inlineStr">
        <is>
          <t>不做</t>
        </is>
      </c>
      <c r="H3873" t="n">
        <v>639.8</v>
      </c>
      <c r="J3873" t="n">
        <v>1</v>
      </c>
      <c r="K3873" t="inlineStr">
        <is>
          <t>1手风险17327元超过预算10000元</t>
        </is>
      </c>
    </row>
    <row r="3874">
      <c r="A3874" t="inlineStr">
        <is>
          <t>2025-01-20</t>
        </is>
      </c>
      <c r="B3874" t="inlineStr">
        <is>
          <t>棉花</t>
        </is>
      </c>
      <c r="C3874" t="inlineStr">
        <is>
          <t>多</t>
        </is>
      </c>
      <c r="D3874" t="n">
        <v>2</v>
      </c>
      <c r="E3874" t="n">
        <v>5</v>
      </c>
      <c r="F3874" t="inlineStr">
        <is>
          <t>影子仓</t>
        </is>
      </c>
      <c r="G3874" t="n">
        <v>5</v>
      </c>
      <c r="H3874" t="n">
        <v>13680</v>
      </c>
      <c r="I3874" t="n">
        <v>13303.93</v>
      </c>
      <c r="J3874" t="n">
        <v>1</v>
      </c>
      <c r="K3874" t="inlineStr">
        <is>
          <t>凯利≤0，开1%影子仓（只统计，不计入组合）</t>
        </is>
      </c>
    </row>
    <row r="3875">
      <c r="A3875" t="inlineStr">
        <is>
          <t>2025-01-20</t>
        </is>
      </c>
      <c r="B3875" t="inlineStr">
        <is>
          <t>工业硅</t>
        </is>
      </c>
      <c r="C3875" t="inlineStr">
        <is>
          <t>空</t>
        </is>
      </c>
      <c r="D3875" t="n">
        <v>2</v>
      </c>
      <c r="E3875" t="n">
        <v>5</v>
      </c>
      <c r="F3875" t="inlineStr">
        <is>
          <t>观望</t>
        </is>
      </c>
      <c r="G3875" t="n">
        <v>3</v>
      </c>
      <c r="H3875" t="n">
        <v>10860</v>
      </c>
      <c r="I3875" t="n">
        <v>11502.86</v>
      </c>
      <c r="J3875" t="n">
        <v>1</v>
      </c>
      <c r="K3875" t="inlineStr">
        <is>
          <t>逆5日线（收盘在5日线上，不追空）</t>
        </is>
      </c>
    </row>
    <row r="3876">
      <c r="A3876" t="inlineStr">
        <is>
          <t>2025-01-20</t>
        </is>
      </c>
      <c r="B3876" t="inlineStr">
        <is>
          <t>锰硅</t>
        </is>
      </c>
      <c r="C3876" t="inlineStr">
        <is>
          <t>多</t>
        </is>
      </c>
      <c r="D3876" t="n">
        <v>2</v>
      </c>
      <c r="E3876" t="n">
        <v>4</v>
      </c>
      <c r="F3876" t="inlineStr">
        <is>
          <t>影子仓</t>
        </is>
      </c>
      <c r="G3876" t="n">
        <v>4</v>
      </c>
      <c r="H3876" t="n">
        <v>6764</v>
      </c>
      <c r="I3876" t="n">
        <v>6332.86</v>
      </c>
      <c r="J3876" t="n">
        <v>1</v>
      </c>
      <c r="K3876" t="inlineStr">
        <is>
          <t>凯利≤0，开1%影子仓（只统计，不计入组合）</t>
        </is>
      </c>
    </row>
    <row r="3877">
      <c r="A3877" t="inlineStr">
        <is>
          <t>2025-01-21</t>
        </is>
      </c>
      <c r="B3877" t="inlineStr">
        <is>
          <t>沪金</t>
        </is>
      </c>
      <c r="C3877" t="inlineStr">
        <is>
          <t>多</t>
        </is>
      </c>
      <c r="D3877" t="n">
        <v>2</v>
      </c>
      <c r="E3877" t="n">
        <v>5</v>
      </c>
      <c r="F3877" t="inlineStr">
        <is>
          <t>不做</t>
        </is>
      </c>
      <c r="H3877" t="n">
        <v>639.78</v>
      </c>
      <c r="J3877" t="n">
        <v>1</v>
      </c>
      <c r="K3877" t="inlineStr">
        <is>
          <t>1手风险17846元超过预算10000元</t>
        </is>
      </c>
    </row>
    <row r="3878">
      <c r="A3878" t="inlineStr">
        <is>
          <t>2025-01-21</t>
        </is>
      </c>
      <c r="B3878" t="inlineStr">
        <is>
          <t>玉米</t>
        </is>
      </c>
      <c r="C3878" t="inlineStr">
        <is>
          <t>多</t>
        </is>
      </c>
      <c r="D3878" t="n">
        <v>2</v>
      </c>
      <c r="E3878" t="n">
        <v>5</v>
      </c>
      <c r="F3878" t="inlineStr">
        <is>
          <t>观望</t>
        </is>
      </c>
      <c r="G3878" t="n">
        <v>16</v>
      </c>
      <c r="H3878" t="n">
        <v>2277</v>
      </c>
      <c r="I3878" t="n">
        <v>2215.07</v>
      </c>
      <c r="J3878" t="n">
        <v>1</v>
      </c>
      <c r="K3878" t="inlineStr">
        <is>
          <t>逆5日线（收盘在5日线下，不追多）</t>
        </is>
      </c>
    </row>
    <row r="3879">
      <c r="A3879" t="inlineStr">
        <is>
          <t>2025-01-21</t>
        </is>
      </c>
      <c r="B3879" t="inlineStr">
        <is>
          <t>沥青</t>
        </is>
      </c>
      <c r="C3879" t="inlineStr">
        <is>
          <t>多</t>
        </is>
      </c>
      <c r="D3879" t="n">
        <v>2</v>
      </c>
      <c r="E3879" t="n">
        <v>5</v>
      </c>
      <c r="F3879" t="inlineStr">
        <is>
          <t>观望</t>
        </is>
      </c>
      <c r="G3879" t="n">
        <v>4</v>
      </c>
      <c r="H3879" t="n">
        <v>3736</v>
      </c>
      <c r="I3879" t="n">
        <v>3509.5</v>
      </c>
      <c r="J3879" t="n">
        <v>1</v>
      </c>
      <c r="K3879" t="inlineStr">
        <is>
          <t>逆5日线（收盘在5日线下，不追多）</t>
        </is>
      </c>
    </row>
    <row r="3880">
      <c r="A3880" t="inlineStr">
        <is>
          <t>2025-01-21</t>
        </is>
      </c>
      <c r="B3880" t="inlineStr">
        <is>
          <t>棉花</t>
        </is>
      </c>
      <c r="C3880" t="inlineStr">
        <is>
          <t>多</t>
        </is>
      </c>
      <c r="D3880" t="n">
        <v>2</v>
      </c>
      <c r="E3880" t="n">
        <v>5</v>
      </c>
      <c r="F3880" t="inlineStr">
        <is>
          <t>续持</t>
        </is>
      </c>
      <c r="G3880" t="n">
        <v>5</v>
      </c>
      <c r="H3880" t="n">
        <v>13670</v>
      </c>
      <c r="I3880" t="n">
        <v>13320</v>
      </c>
      <c r="J3880" t="n">
        <v>1</v>
      </c>
      <c r="K3880" t="inlineStr">
        <is>
          <t>续持原仓（2025-01-20开）</t>
        </is>
      </c>
    </row>
    <row r="3881">
      <c r="A3881" t="inlineStr">
        <is>
          <t>2025-01-21</t>
        </is>
      </c>
      <c r="B3881" t="inlineStr">
        <is>
          <t>沪铜</t>
        </is>
      </c>
      <c r="C3881" t="inlineStr">
        <is>
          <t>多</t>
        </is>
      </c>
      <c r="D3881" t="n">
        <v>2</v>
      </c>
      <c r="E3881" t="n">
        <v>4</v>
      </c>
      <c r="F3881" t="inlineStr">
        <is>
          <t>观望</t>
        </is>
      </c>
      <c r="H3881" t="n">
        <v>75630</v>
      </c>
      <c r="J3881" t="n">
        <v>1</v>
      </c>
      <c r="K3881" t="inlineStr">
        <is>
          <t>逆5日线（收盘在5日线下，不追多）</t>
        </is>
      </c>
    </row>
    <row r="3882">
      <c r="A3882" t="inlineStr">
        <is>
          <t>2025-01-22</t>
        </is>
      </c>
      <c r="B3882" t="inlineStr">
        <is>
          <t>沪金</t>
        </is>
      </c>
      <c r="C3882" t="inlineStr">
        <is>
          <t>多</t>
        </is>
      </c>
      <c r="D3882" t="n">
        <v>3</v>
      </c>
      <c r="E3882" t="n">
        <v>7</v>
      </c>
      <c r="F3882" t="inlineStr">
        <is>
          <t>开仓</t>
        </is>
      </c>
      <c r="G3882" t="n">
        <v>1</v>
      </c>
      <c r="H3882" t="n">
        <v>645.46</v>
      </c>
      <c r="I3882" t="n">
        <v>626.9299999999999</v>
      </c>
      <c r="J3882" t="n">
        <v>3</v>
      </c>
      <c r="K3882" t="inlineStr">
        <is>
          <t>¼凯利超上限，取3%</t>
        </is>
      </c>
    </row>
    <row r="3883">
      <c r="A3883" t="inlineStr">
        <is>
          <t>2025-01-22</t>
        </is>
      </c>
      <c r="B3883" t="inlineStr">
        <is>
          <t>沥青</t>
        </is>
      </c>
      <c r="C3883" t="inlineStr">
        <is>
          <t>多</t>
        </is>
      </c>
      <c r="D3883" t="n">
        <v>3</v>
      </c>
      <c r="E3883" t="n">
        <v>7</v>
      </c>
      <c r="F3883" t="inlineStr">
        <is>
          <t>观望</t>
        </is>
      </c>
      <c r="G3883" t="n">
        <v>13</v>
      </c>
      <c r="H3883" t="n">
        <v>3749</v>
      </c>
      <c r="I3883" t="n">
        <v>3521.43</v>
      </c>
      <c r="J3883" t="n">
        <v>3</v>
      </c>
      <c r="K3883" t="inlineStr">
        <is>
          <t>逆5日线（收盘在5日线下，不追多）</t>
        </is>
      </c>
    </row>
    <row r="3884">
      <c r="A3884" t="inlineStr">
        <is>
          <t>2025-01-22</t>
        </is>
      </c>
      <c r="B3884" t="inlineStr">
        <is>
          <t>玉米</t>
        </is>
      </c>
      <c r="C3884" t="inlineStr">
        <is>
          <t>多</t>
        </is>
      </c>
      <c r="D3884" t="n">
        <v>2</v>
      </c>
      <c r="E3884" t="n">
        <v>5</v>
      </c>
      <c r="F3884" t="inlineStr">
        <is>
          <t>观望</t>
        </is>
      </c>
      <c r="G3884" t="n">
        <v>16</v>
      </c>
      <c r="H3884" t="n">
        <v>2272</v>
      </c>
      <c r="I3884" t="n">
        <v>2211.36</v>
      </c>
      <c r="J3884" t="n">
        <v>1</v>
      </c>
      <c r="K3884" t="inlineStr">
        <is>
          <t>逆5日线（收盘在5日线下，不追多）</t>
        </is>
      </c>
    </row>
    <row r="3885">
      <c r="A3885" t="inlineStr">
        <is>
          <t>2025-01-22</t>
        </is>
      </c>
      <c r="B3885" t="inlineStr">
        <is>
          <t>塑料</t>
        </is>
      </c>
      <c r="C3885" t="inlineStr">
        <is>
          <t>空</t>
        </is>
      </c>
      <c r="D3885" t="n">
        <v>2</v>
      </c>
      <c r="E3885" t="n">
        <v>5</v>
      </c>
      <c r="F3885" t="inlineStr">
        <is>
          <t>影子仓</t>
        </is>
      </c>
      <c r="G3885" t="n">
        <v>7</v>
      </c>
      <c r="H3885" t="n">
        <v>7777</v>
      </c>
      <c r="I3885" t="n">
        <v>8039.07</v>
      </c>
      <c r="J3885" t="n">
        <v>1</v>
      </c>
      <c r="K3885" t="inlineStr">
        <is>
          <t>凯利≤0，开1%影子仓（只统计，不计入组合）</t>
        </is>
      </c>
    </row>
    <row r="3886">
      <c r="A3886" t="inlineStr">
        <is>
          <t>2025-01-22</t>
        </is>
      </c>
      <c r="B3886" t="inlineStr">
        <is>
          <t>沪锌</t>
        </is>
      </c>
      <c r="C3886" t="inlineStr">
        <is>
          <t>空</t>
        </is>
      </c>
      <c r="D3886" t="n">
        <v>2</v>
      </c>
      <c r="E3886" t="n">
        <v>5</v>
      </c>
      <c r="F3886" t="inlineStr">
        <is>
          <t>观望</t>
        </is>
      </c>
      <c r="G3886" t="n">
        <v>1</v>
      </c>
      <c r="H3886" t="n">
        <v>24115</v>
      </c>
      <c r="I3886" t="n">
        <v>25315</v>
      </c>
      <c r="J3886" t="n">
        <v>1</v>
      </c>
      <c r="K3886" t="inlineStr">
        <is>
          <t>逆5日线（收盘在5日线上，不追空）</t>
        </is>
      </c>
    </row>
    <row r="3887">
      <c r="A3887" t="inlineStr">
        <is>
          <t>2025-01-22</t>
        </is>
      </c>
      <c r="B3887" t="inlineStr">
        <is>
          <t>豆粕</t>
        </is>
      </c>
      <c r="C3887" t="inlineStr">
        <is>
          <t>多</t>
        </is>
      </c>
      <c r="D3887" t="n">
        <v>2</v>
      </c>
      <c r="E3887" t="n">
        <v>4</v>
      </c>
      <c r="F3887" t="inlineStr">
        <is>
          <t>影子仓</t>
        </is>
      </c>
      <c r="G3887" t="n">
        <v>6</v>
      </c>
      <c r="H3887" t="n">
        <v>2844</v>
      </c>
      <c r="I3887" t="n">
        <v>2687.36</v>
      </c>
      <c r="J3887" t="n">
        <v>1</v>
      </c>
      <c r="K3887" t="inlineStr">
        <is>
          <t>凯利≤0，开1%影子仓（只统计，不计入组合）</t>
        </is>
      </c>
    </row>
    <row r="3888">
      <c r="A3888" t="inlineStr">
        <is>
          <t>2025-01-22</t>
        </is>
      </c>
      <c r="B3888" t="inlineStr">
        <is>
          <t>沪铝</t>
        </is>
      </c>
      <c r="C3888" t="inlineStr">
        <is>
          <t>空</t>
        </is>
      </c>
      <c r="D3888" t="n">
        <v>2</v>
      </c>
      <c r="E3888" t="n">
        <v>4</v>
      </c>
      <c r="F3888" t="inlineStr">
        <is>
          <t>影子仓</t>
        </is>
      </c>
      <c r="G3888" t="n">
        <v>3</v>
      </c>
      <c r="H3888" t="n">
        <v>20315</v>
      </c>
      <c r="I3888" t="n">
        <v>20958.93</v>
      </c>
      <c r="J3888" t="n">
        <v>1</v>
      </c>
      <c r="K3888" t="inlineStr">
        <is>
          <t>凯利≤0，开1%影子仓（只统计，不计入组合）</t>
        </is>
      </c>
    </row>
    <row r="3889">
      <c r="A3889" t="inlineStr">
        <is>
          <t>2025-01-23</t>
        </is>
      </c>
      <c r="B3889" t="inlineStr">
        <is>
          <t>玉米</t>
        </is>
      </c>
      <c r="C3889" t="inlineStr">
        <is>
          <t>多</t>
        </is>
      </c>
      <c r="D3889" t="n">
        <v>3</v>
      </c>
      <c r="E3889" t="n">
        <v>6</v>
      </c>
      <c r="F3889" t="inlineStr">
        <is>
          <t>观望</t>
        </is>
      </c>
      <c r="H3889" t="n">
        <v>2280</v>
      </c>
      <c r="J3889" t="n">
        <v>0</v>
      </c>
      <c r="K3889" t="inlineStr">
        <is>
          <t>逆5日线（收盘在5日线下，不追多）</t>
        </is>
      </c>
    </row>
    <row r="3890">
      <c r="A3890" t="inlineStr">
        <is>
          <t>2025-01-23</t>
        </is>
      </c>
      <c r="B3890" t="inlineStr">
        <is>
          <t>塑料</t>
        </is>
      </c>
      <c r="C3890" t="inlineStr">
        <is>
          <t>空</t>
        </is>
      </c>
      <c r="D3890" t="n">
        <v>3</v>
      </c>
      <c r="E3890" t="n">
        <v>6</v>
      </c>
      <c r="F3890" t="inlineStr">
        <is>
          <t>续持</t>
        </is>
      </c>
      <c r="G3890" t="n">
        <v>7</v>
      </c>
      <c r="H3890" t="n">
        <v>7740</v>
      </c>
      <c r="I3890" t="n">
        <v>7976.79</v>
      </c>
      <c r="J3890" t="n">
        <v>1</v>
      </c>
      <c r="K3890" t="inlineStr">
        <is>
          <t>续持原仓（2025-01-22开）</t>
        </is>
      </c>
    </row>
    <row r="3891">
      <c r="A3891" t="inlineStr">
        <is>
          <t>2025-01-23</t>
        </is>
      </c>
      <c r="B3891" t="inlineStr">
        <is>
          <t>沪金</t>
        </is>
      </c>
      <c r="C3891" t="inlineStr">
        <is>
          <t>多</t>
        </is>
      </c>
      <c r="D3891" t="n">
        <v>2</v>
      </c>
      <c r="E3891" t="n">
        <v>5</v>
      </c>
      <c r="F3891" t="inlineStr">
        <is>
          <t>续持</t>
        </is>
      </c>
      <c r="G3891" t="n">
        <v>1</v>
      </c>
      <c r="H3891" t="n">
        <v>646.2</v>
      </c>
      <c r="I3891" t="n">
        <v>629.84</v>
      </c>
      <c r="J3891" t="n">
        <v>3</v>
      </c>
      <c r="K3891" t="inlineStr">
        <is>
          <t>续持原仓（2025-01-22开）</t>
        </is>
      </c>
    </row>
    <row r="3892">
      <c r="A3892" t="inlineStr">
        <is>
          <t>2025-01-23</t>
        </is>
      </c>
      <c r="B3892" t="inlineStr">
        <is>
          <t>棕榈油</t>
        </is>
      </c>
      <c r="C3892" t="inlineStr">
        <is>
          <t>空</t>
        </is>
      </c>
      <c r="D3892" t="n">
        <v>2</v>
      </c>
      <c r="E3892" t="n">
        <v>5</v>
      </c>
      <c r="F3892" t="inlineStr">
        <is>
          <t>影子仓</t>
        </is>
      </c>
      <c r="G3892" t="n">
        <v>1</v>
      </c>
      <c r="H3892" t="n">
        <v>8242</v>
      </c>
      <c r="I3892" t="n">
        <v>8825.709999999999</v>
      </c>
      <c r="J3892" t="n">
        <v>1</v>
      </c>
      <c r="K3892" t="inlineStr">
        <is>
          <t>凯利≤0，开1%影子仓（只统计，不计入组合）</t>
        </is>
      </c>
    </row>
    <row r="3893">
      <c r="A3893" t="inlineStr">
        <is>
          <t>2025-01-23</t>
        </is>
      </c>
      <c r="B3893" t="inlineStr">
        <is>
          <t>碳酸锂</t>
        </is>
      </c>
      <c r="C3893" t="inlineStr">
        <is>
          <t>多</t>
        </is>
      </c>
      <c r="D3893" t="n">
        <v>2</v>
      </c>
      <c r="E3893" t="n">
        <v>5</v>
      </c>
      <c r="F3893" t="inlineStr">
        <is>
          <t>观望</t>
        </is>
      </c>
      <c r="G3893" t="n">
        <v>1</v>
      </c>
      <c r="H3893" t="n">
        <v>79580</v>
      </c>
      <c r="I3893" t="n">
        <v>73922.86</v>
      </c>
      <c r="J3893" t="n">
        <v>1</v>
      </c>
      <c r="K3893" t="inlineStr">
        <is>
          <t>逆5日线（收盘在5日线下，不追多）</t>
        </is>
      </c>
    </row>
    <row r="3894">
      <c r="A3894" t="inlineStr">
        <is>
          <t>2025-01-24</t>
        </is>
      </c>
      <c r="B3894" t="inlineStr">
        <is>
          <t>豆粕</t>
        </is>
      </c>
      <c r="C3894" t="inlineStr">
        <is>
          <t>多</t>
        </is>
      </c>
      <c r="D3894" t="n">
        <v>3</v>
      </c>
      <c r="E3894" t="n">
        <v>6</v>
      </c>
      <c r="F3894" t="inlineStr">
        <is>
          <t>开仓</t>
        </is>
      </c>
      <c r="G3894" t="n">
        <v>20</v>
      </c>
      <c r="H3894" t="n">
        <v>2840</v>
      </c>
      <c r="I3894" t="n">
        <v>2690.64</v>
      </c>
      <c r="J3894" t="n">
        <v>3</v>
      </c>
      <c r="K3894" t="inlineStr">
        <is>
          <t>¼凯利超上限，取3%</t>
        </is>
      </c>
    </row>
    <row r="3895">
      <c r="A3895" t="inlineStr">
        <is>
          <t>2025-01-24</t>
        </is>
      </c>
      <c r="B3895" t="inlineStr">
        <is>
          <t>玉米</t>
        </is>
      </c>
      <c r="C3895" t="inlineStr">
        <is>
          <t>多</t>
        </is>
      </c>
      <c r="D3895" t="n">
        <v>2</v>
      </c>
      <c r="E3895" t="n">
        <v>5</v>
      </c>
      <c r="F3895" t="inlineStr">
        <is>
          <t>观望</t>
        </is>
      </c>
      <c r="G3895" t="n">
        <v>17</v>
      </c>
      <c r="H3895" t="n">
        <v>2267</v>
      </c>
      <c r="I3895" t="n">
        <v>2208.93</v>
      </c>
      <c r="J3895" t="n">
        <v>1</v>
      </c>
      <c r="K3895" t="inlineStr">
        <is>
          <t>逆5日线（收盘在5日线下，不追多）</t>
        </is>
      </c>
    </row>
    <row r="3896">
      <c r="A3896" t="inlineStr">
        <is>
          <t>2025-01-24</t>
        </is>
      </c>
      <c r="B3896" t="inlineStr">
        <is>
          <t>沪镍</t>
        </is>
      </c>
      <c r="C3896" t="inlineStr">
        <is>
          <t>空</t>
        </is>
      </c>
      <c r="D3896" t="n">
        <v>2</v>
      </c>
      <c r="E3896" t="n">
        <v>4</v>
      </c>
      <c r="F3896" t="inlineStr">
        <is>
          <t>影子仓</t>
        </is>
      </c>
      <c r="G3896" t="n">
        <v>1</v>
      </c>
      <c r="H3896" t="n">
        <v>123710</v>
      </c>
      <c r="I3896" t="n">
        <v>129673.57</v>
      </c>
      <c r="J3896" t="n">
        <v>1</v>
      </c>
      <c r="K3896" t="inlineStr">
        <is>
          <t>凯利≤0，开1%影子仓（只统计，不计入组合）</t>
        </is>
      </c>
    </row>
    <row r="3897">
      <c r="A3897" t="inlineStr">
        <is>
          <t>2025-01-24</t>
        </is>
      </c>
      <c r="B3897" t="inlineStr">
        <is>
          <t>塑料</t>
        </is>
      </c>
      <c r="C3897" t="inlineStr">
        <is>
          <t>空</t>
        </is>
      </c>
      <c r="D3897" t="n">
        <v>2</v>
      </c>
      <c r="E3897" t="n">
        <v>4</v>
      </c>
      <c r="F3897" t="inlineStr">
        <is>
          <t>续持</t>
        </is>
      </c>
      <c r="G3897" t="n">
        <v>7</v>
      </c>
      <c r="H3897" t="n">
        <v>7739</v>
      </c>
      <c r="I3897" t="n">
        <v>7952.36</v>
      </c>
      <c r="J3897" t="n">
        <v>1</v>
      </c>
      <c r="K3897" t="inlineStr">
        <is>
          <t>续持原仓（2025-01-22开）</t>
        </is>
      </c>
    </row>
    <row r="3898">
      <c r="A3898" t="inlineStr">
        <is>
          <t>2025-01-24</t>
        </is>
      </c>
      <c r="B3898" t="inlineStr">
        <is>
          <t>沥青</t>
        </is>
      </c>
      <c r="C3898" t="inlineStr">
        <is>
          <t>多</t>
        </is>
      </c>
      <c r="D3898" t="n">
        <v>2</v>
      </c>
      <c r="E3898" t="n">
        <v>4</v>
      </c>
      <c r="F3898" t="inlineStr">
        <is>
          <t>影子仓</t>
        </is>
      </c>
      <c r="G3898" t="n">
        <v>4</v>
      </c>
      <c r="H3898" t="n">
        <v>3750</v>
      </c>
      <c r="I3898" t="n">
        <v>3525</v>
      </c>
      <c r="J3898" t="n">
        <v>1</v>
      </c>
      <c r="K3898" t="inlineStr">
        <is>
          <t>凯利≤0，开1%影子仓（只统计，不计入组合）</t>
        </is>
      </c>
    </row>
    <row r="3899">
      <c r="A3899" t="inlineStr">
        <is>
          <t>2025-01-24</t>
        </is>
      </c>
      <c r="B3899" t="inlineStr">
        <is>
          <t>热卷</t>
        </is>
      </c>
      <c r="C3899" t="inlineStr">
        <is>
          <t>多</t>
        </is>
      </c>
      <c r="D3899" t="n">
        <v>2</v>
      </c>
      <c r="E3899" t="n">
        <v>4</v>
      </c>
      <c r="F3899" t="inlineStr">
        <is>
          <t>影子仓</t>
        </is>
      </c>
      <c r="G3899" t="n">
        <v>7</v>
      </c>
      <c r="H3899" t="n">
        <v>3473</v>
      </c>
      <c r="I3899" t="n">
        <v>3341</v>
      </c>
      <c r="J3899" t="n">
        <v>1</v>
      </c>
      <c r="K3899" t="inlineStr">
        <is>
          <t>凯利≤0，开1%影子仓（只统计，不计入组合）</t>
        </is>
      </c>
    </row>
    <row r="3900">
      <c r="A3900" t="inlineStr">
        <is>
          <t>2025-01-24</t>
        </is>
      </c>
      <c r="B3900" t="inlineStr">
        <is>
          <t>纯碱</t>
        </is>
      </c>
      <c r="C3900" t="inlineStr">
        <is>
          <t>多</t>
        </is>
      </c>
      <c r="D3900" t="n">
        <v>2</v>
      </c>
      <c r="E3900" t="n">
        <v>4</v>
      </c>
      <c r="F3900" t="inlineStr">
        <is>
          <t>影子仓</t>
        </is>
      </c>
      <c r="G3900" t="n">
        <v>4</v>
      </c>
      <c r="H3900" t="n">
        <v>1508</v>
      </c>
      <c r="I3900" t="n">
        <v>1400.86</v>
      </c>
      <c r="J3900" t="n">
        <v>1</v>
      </c>
      <c r="K3900" t="inlineStr">
        <is>
          <t>凯利≤0，开1%影子仓（只统计，不计入组合）</t>
        </is>
      </c>
    </row>
    <row r="3901">
      <c r="A3901" t="inlineStr">
        <is>
          <t>2025-01-27</t>
        </is>
      </c>
      <c r="B3901" t="inlineStr">
        <is>
          <t>玉米</t>
        </is>
      </c>
      <c r="C3901" t="inlineStr">
        <is>
          <t>多</t>
        </is>
      </c>
      <c r="D3901" t="n">
        <v>3</v>
      </c>
      <c r="E3901" t="n">
        <v>7</v>
      </c>
      <c r="F3901" t="inlineStr">
        <is>
          <t>续持</t>
        </is>
      </c>
      <c r="G3901" t="n">
        <v>46</v>
      </c>
      <c r="H3901" t="n">
        <v>2283</v>
      </c>
      <c r="I3901" t="n">
        <v>2239.93</v>
      </c>
      <c r="J3901" t="n">
        <v>3</v>
      </c>
      <c r="K3901" t="inlineStr">
        <is>
          <t>续持原仓（2025-01-16开）</t>
        </is>
      </c>
    </row>
    <row r="3902">
      <c r="A3902" t="inlineStr">
        <is>
          <t>2025-01-27</t>
        </is>
      </c>
      <c r="B3902" t="inlineStr">
        <is>
          <t>碳酸锂</t>
        </is>
      </c>
      <c r="C3902" t="inlineStr">
        <is>
          <t>多</t>
        </is>
      </c>
      <c r="D3902" t="n">
        <v>2</v>
      </c>
      <c r="E3902" t="n">
        <v>5</v>
      </c>
      <c r="F3902" t="inlineStr">
        <is>
          <t>影子仓</t>
        </is>
      </c>
      <c r="G3902" t="n">
        <v>2</v>
      </c>
      <c r="H3902" t="n">
        <v>79620</v>
      </c>
      <c r="I3902" t="n">
        <v>74648.57000000001</v>
      </c>
      <c r="J3902" t="n">
        <v>1</v>
      </c>
      <c r="K3902" t="inlineStr">
        <is>
          <t>凯利≤0，开1%影子仓（只统计，不计入组合）</t>
        </is>
      </c>
    </row>
    <row r="3903">
      <c r="A3903" t="inlineStr">
        <is>
          <t>2025-01-27</t>
        </is>
      </c>
      <c r="B3903" t="inlineStr">
        <is>
          <t>热卷</t>
        </is>
      </c>
      <c r="C3903" t="inlineStr">
        <is>
          <t>多</t>
        </is>
      </c>
      <c r="D3903" t="n">
        <v>2</v>
      </c>
      <c r="E3903" t="n">
        <v>5</v>
      </c>
      <c r="F3903" t="inlineStr">
        <is>
          <t>续持</t>
        </is>
      </c>
      <c r="G3903" t="n">
        <v>7</v>
      </c>
      <c r="H3903" t="n">
        <v>3485</v>
      </c>
      <c r="I3903" t="n">
        <v>3360.71</v>
      </c>
      <c r="J3903" t="n">
        <v>1</v>
      </c>
      <c r="K3903" t="inlineStr">
        <is>
          <t>续持原仓（2025-01-24开）</t>
        </is>
      </c>
    </row>
    <row r="3904">
      <c r="A3904" t="inlineStr">
        <is>
          <t>2025-02-05</t>
        </is>
      </c>
      <c r="B3904" t="inlineStr">
        <is>
          <t>沪金</t>
        </is>
      </c>
      <c r="C3904" t="inlineStr">
        <is>
          <t>多</t>
        </is>
      </c>
      <c r="D3904" t="n">
        <v>3</v>
      </c>
      <c r="E3904" t="n">
        <v>7</v>
      </c>
      <c r="F3904" t="inlineStr">
        <is>
          <t>开仓</t>
        </is>
      </c>
      <c r="G3904" t="n">
        <v>1</v>
      </c>
      <c r="H3904" t="n">
        <v>670.64</v>
      </c>
      <c r="I3904" t="n">
        <v>648.2</v>
      </c>
      <c r="J3904" t="n">
        <v>3</v>
      </c>
      <c r="K3904" t="inlineStr">
        <is>
          <t>¼凯利超上限，取3%</t>
        </is>
      </c>
    </row>
    <row r="3905">
      <c r="A3905" t="inlineStr">
        <is>
          <t>2025-02-05</t>
        </is>
      </c>
      <c r="B3905" t="inlineStr">
        <is>
          <t>工业硅</t>
        </is>
      </c>
      <c r="C3905" t="inlineStr">
        <is>
          <t>空</t>
        </is>
      </c>
      <c r="D3905" t="n">
        <v>3</v>
      </c>
      <c r="E3905" t="n">
        <v>6</v>
      </c>
      <c r="F3905" t="inlineStr">
        <is>
          <t>开仓</t>
        </is>
      </c>
      <c r="G3905" t="n">
        <v>2</v>
      </c>
      <c r="H3905" t="n">
        <v>10760</v>
      </c>
      <c r="I3905" t="n">
        <v>11459.64</v>
      </c>
      <c r="J3905" t="n">
        <v>1</v>
      </c>
      <c r="K3905" t="inlineStr">
        <is>
          <t>组合风险已近10%，预算缩小</t>
        </is>
      </c>
    </row>
    <row r="3906">
      <c r="A3906" t="inlineStr">
        <is>
          <t>2025-02-05</t>
        </is>
      </c>
      <c r="B3906" t="inlineStr">
        <is>
          <t>玻璃</t>
        </is>
      </c>
      <c r="C3906" t="inlineStr">
        <is>
          <t>空</t>
        </is>
      </c>
      <c r="D3906" t="n">
        <v>3</v>
      </c>
      <c r="E3906" t="n">
        <v>6</v>
      </c>
      <c r="F3906" t="inlineStr">
        <is>
          <t>不做</t>
        </is>
      </c>
      <c r="H3906" t="n">
        <v>1328</v>
      </c>
      <c r="J3906" t="n">
        <v>0</v>
      </c>
      <c r="K3906" t="inlineStr">
        <is>
          <t>组合风险已近10%，预算缩小</t>
        </is>
      </c>
    </row>
    <row r="3907">
      <c r="A3907" t="inlineStr">
        <is>
          <t>2025-02-05</t>
        </is>
      </c>
      <c r="B3907" t="inlineStr">
        <is>
          <t>甲醇</t>
        </is>
      </c>
      <c r="C3907" t="inlineStr">
        <is>
          <t>多</t>
        </is>
      </c>
      <c r="D3907" t="n">
        <v>3</v>
      </c>
      <c r="E3907" t="n">
        <v>6</v>
      </c>
      <c r="F3907" t="inlineStr">
        <is>
          <t>不做</t>
        </is>
      </c>
      <c r="H3907" t="n">
        <v>2569</v>
      </c>
      <c r="J3907" t="n">
        <v>0</v>
      </c>
      <c r="K3907" t="inlineStr">
        <is>
          <t>组合风险已近10%，预算缩小</t>
        </is>
      </c>
    </row>
    <row r="3908">
      <c r="A3908" t="inlineStr">
        <is>
          <t>2025-02-05</t>
        </is>
      </c>
      <c r="B3908" t="inlineStr">
        <is>
          <t>玉米</t>
        </is>
      </c>
      <c r="C3908" t="inlineStr">
        <is>
          <t>多</t>
        </is>
      </c>
      <c r="D3908" t="n">
        <v>2</v>
      </c>
      <c r="E3908" t="n">
        <v>5</v>
      </c>
      <c r="F3908" t="inlineStr">
        <is>
          <t>续持</t>
        </is>
      </c>
      <c r="G3908" t="n">
        <v>46</v>
      </c>
      <c r="H3908" t="n">
        <v>2287</v>
      </c>
      <c r="I3908" t="n">
        <v>2246.43</v>
      </c>
      <c r="J3908" t="n">
        <v>3</v>
      </c>
      <c r="K3908" t="inlineStr">
        <is>
          <t>续持原仓（2025-01-16开）</t>
        </is>
      </c>
    </row>
    <row r="3909">
      <c r="A3909" t="inlineStr">
        <is>
          <t>2025-02-06</t>
        </is>
      </c>
      <c r="B3909" t="inlineStr">
        <is>
          <t>沪铜</t>
        </is>
      </c>
      <c r="C3909" t="inlineStr">
        <is>
          <t>多</t>
        </is>
      </c>
      <c r="D3909" t="n">
        <v>3</v>
      </c>
      <c r="E3909" t="n">
        <v>6</v>
      </c>
      <c r="F3909" t="inlineStr">
        <is>
          <t>开仓</t>
        </is>
      </c>
      <c r="G3909" t="n">
        <v>2</v>
      </c>
      <c r="H3909" t="n">
        <v>76480</v>
      </c>
      <c r="I3909" t="n">
        <v>74099.28999999999</v>
      </c>
      <c r="J3909" t="n">
        <v>3</v>
      </c>
      <c r="K3909" t="inlineStr">
        <is>
          <t>¼凯利超上限，取3%</t>
        </is>
      </c>
    </row>
    <row r="3910">
      <c r="A3910" t="inlineStr">
        <is>
          <t>2025-02-06</t>
        </is>
      </c>
      <c r="B3910" t="inlineStr">
        <is>
          <t>玻璃</t>
        </is>
      </c>
      <c r="C3910" t="inlineStr">
        <is>
          <t>空</t>
        </is>
      </c>
      <c r="D3910" t="n">
        <v>3</v>
      </c>
      <c r="E3910" t="n">
        <v>6</v>
      </c>
      <c r="F3910" t="inlineStr">
        <is>
          <t>不做</t>
        </is>
      </c>
      <c r="H3910" t="n">
        <v>1337</v>
      </c>
      <c r="J3910" t="n">
        <v>0</v>
      </c>
      <c r="K3910" t="inlineStr">
        <is>
          <t>组合风险已近10%，预算缩小</t>
        </is>
      </c>
    </row>
    <row r="3911">
      <c r="A3911" t="inlineStr">
        <is>
          <t>2025-02-06</t>
        </is>
      </c>
      <c r="B3911" t="inlineStr">
        <is>
          <t>沪金</t>
        </is>
      </c>
      <c r="C3911" t="inlineStr">
        <is>
          <t>多</t>
        </is>
      </c>
      <c r="D3911" t="n">
        <v>2</v>
      </c>
      <c r="E3911" t="n">
        <v>5</v>
      </c>
      <c r="F3911" t="inlineStr">
        <is>
          <t>续持</t>
        </is>
      </c>
      <c r="G3911" t="n">
        <v>1</v>
      </c>
      <c r="H3911" t="n">
        <v>668.46</v>
      </c>
      <c r="I3911" t="n">
        <v>651.5700000000001</v>
      </c>
      <c r="J3911" t="n">
        <v>3</v>
      </c>
      <c r="K3911" t="inlineStr">
        <is>
          <t>续持原仓（2025-02-05开）</t>
        </is>
      </c>
    </row>
    <row r="3912">
      <c r="A3912" t="inlineStr">
        <is>
          <t>2025-02-06</t>
        </is>
      </c>
      <c r="B3912" t="inlineStr">
        <is>
          <t>热卷</t>
        </is>
      </c>
      <c r="C3912" t="inlineStr">
        <is>
          <t>多</t>
        </is>
      </c>
      <c r="D3912" t="n">
        <v>2</v>
      </c>
      <c r="E3912" t="n">
        <v>4</v>
      </c>
      <c r="F3912" t="inlineStr">
        <is>
          <t>观望</t>
        </is>
      </c>
      <c r="G3912" t="n">
        <v>6</v>
      </c>
      <c r="H3912" t="n">
        <v>3452</v>
      </c>
      <c r="I3912" t="n">
        <v>3308.21</v>
      </c>
      <c r="J3912" t="n">
        <v>1</v>
      </c>
      <c r="K3912" t="inlineStr">
        <is>
          <t>逆5日线（收盘在5日线下，不追多）</t>
        </is>
      </c>
    </row>
    <row r="3913">
      <c r="A3913" t="inlineStr">
        <is>
          <t>2025-02-07</t>
        </is>
      </c>
      <c r="B3913" t="inlineStr">
        <is>
          <t>玉米</t>
        </is>
      </c>
      <c r="C3913" t="inlineStr">
        <is>
          <t>多</t>
        </is>
      </c>
      <c r="D3913" t="n">
        <v>3</v>
      </c>
      <c r="E3913" t="n">
        <v>6</v>
      </c>
      <c r="F3913" t="inlineStr">
        <is>
          <t>开仓</t>
        </is>
      </c>
      <c r="G3913" t="n">
        <v>47</v>
      </c>
      <c r="H3913" t="n">
        <v>2286</v>
      </c>
      <c r="I3913" t="n">
        <v>2223.21</v>
      </c>
      <c r="J3913" t="n">
        <v>3</v>
      </c>
      <c r="K3913" t="inlineStr">
        <is>
          <t>¼凯利超上限，取3%</t>
        </is>
      </c>
    </row>
    <row r="3914">
      <c r="A3914" t="inlineStr">
        <is>
          <t>2025-02-07</t>
        </is>
      </c>
      <c r="B3914" t="inlineStr">
        <is>
          <t>塑料</t>
        </is>
      </c>
      <c r="C3914" t="inlineStr">
        <is>
          <t>空</t>
        </is>
      </c>
      <c r="D3914" t="n">
        <v>3</v>
      </c>
      <c r="E3914" t="n">
        <v>6</v>
      </c>
      <c r="F3914" t="inlineStr">
        <is>
          <t>观望</t>
        </is>
      </c>
      <c r="G3914" t="n">
        <v>25</v>
      </c>
      <c r="H3914" t="n">
        <v>7776</v>
      </c>
      <c r="I3914" t="n">
        <v>8010.21</v>
      </c>
      <c r="J3914" t="n">
        <v>3</v>
      </c>
      <c r="K3914" t="inlineStr">
        <is>
          <t>逆5日线（收盘在5日线上，不追空）</t>
        </is>
      </c>
    </row>
    <row r="3915">
      <c r="A3915" t="inlineStr">
        <is>
          <t>2025-02-07</t>
        </is>
      </c>
      <c r="B3915" t="inlineStr">
        <is>
          <t>铁矿石</t>
        </is>
      </c>
      <c r="C3915" t="inlineStr">
        <is>
          <t>多</t>
        </is>
      </c>
      <c r="D3915" t="n">
        <v>2</v>
      </c>
      <c r="E3915" t="n">
        <v>5</v>
      </c>
      <c r="F3915" t="inlineStr">
        <is>
          <t>影子仓</t>
        </is>
      </c>
      <c r="G3915" t="n">
        <v>2</v>
      </c>
      <c r="H3915" t="n">
        <v>817</v>
      </c>
      <c r="I3915" t="n">
        <v>773.71</v>
      </c>
      <c r="J3915" t="n">
        <v>1</v>
      </c>
      <c r="K3915" t="inlineStr">
        <is>
          <t>凯利≤0，开1%影子仓（只统计，不计入组合）</t>
        </is>
      </c>
    </row>
    <row r="3916">
      <c r="A3916" t="inlineStr">
        <is>
          <t>2025-02-07</t>
        </is>
      </c>
      <c r="B3916" t="inlineStr">
        <is>
          <t>甲醇</t>
        </is>
      </c>
      <c r="C3916" t="inlineStr">
        <is>
          <t>多</t>
        </is>
      </c>
      <c r="D3916" t="n">
        <v>2</v>
      </c>
      <c r="E3916" t="n">
        <v>5</v>
      </c>
      <c r="F3916" t="inlineStr">
        <is>
          <t>影子仓</t>
        </is>
      </c>
      <c r="G3916" t="n">
        <v>8</v>
      </c>
      <c r="H3916" t="n">
        <v>2588</v>
      </c>
      <c r="I3916" t="n">
        <v>2470.36</v>
      </c>
      <c r="J3916" t="n">
        <v>1</v>
      </c>
      <c r="K3916" t="inlineStr">
        <is>
          <t>凯利≤0，开1%影子仓（只统计，不计入组合）</t>
        </is>
      </c>
    </row>
    <row r="3917">
      <c r="A3917" t="inlineStr">
        <is>
          <t>2025-02-07</t>
        </is>
      </c>
      <c r="B3917" t="inlineStr">
        <is>
          <t>热卷</t>
        </is>
      </c>
      <c r="C3917" t="inlineStr">
        <is>
          <t>多</t>
        </is>
      </c>
      <c r="D3917" t="n">
        <v>2</v>
      </c>
      <c r="E3917" t="n">
        <v>4</v>
      </c>
      <c r="F3917" t="inlineStr">
        <is>
          <t>观望</t>
        </is>
      </c>
      <c r="G3917" t="n">
        <v>7</v>
      </c>
      <c r="H3917" t="n">
        <v>3449</v>
      </c>
      <c r="I3917" t="n">
        <v>3306.5</v>
      </c>
      <c r="J3917" t="n">
        <v>1</v>
      </c>
      <c r="K3917" t="inlineStr">
        <is>
          <t>逆5日线（收盘在5日线下，不追多）</t>
        </is>
      </c>
    </row>
    <row r="3918">
      <c r="A3918" t="inlineStr">
        <is>
          <t>2025-02-10</t>
        </is>
      </c>
      <c r="B3918" t="inlineStr">
        <is>
          <t>铁矿石</t>
        </is>
      </c>
      <c r="C3918" t="inlineStr">
        <is>
          <t>多</t>
        </is>
      </c>
      <c r="D3918" t="n">
        <v>3</v>
      </c>
      <c r="E3918" t="n">
        <v>7</v>
      </c>
      <c r="F3918" t="inlineStr">
        <is>
          <t>续持</t>
        </is>
      </c>
      <c r="G3918" t="n">
        <v>2</v>
      </c>
      <c r="H3918" t="n">
        <v>826.5</v>
      </c>
      <c r="I3918" t="n">
        <v>785.64</v>
      </c>
      <c r="J3918" t="n">
        <v>1</v>
      </c>
      <c r="K3918" t="inlineStr">
        <is>
          <t>续持原仓（2025-02-07开）</t>
        </is>
      </c>
    </row>
    <row r="3919">
      <c r="A3919" t="inlineStr">
        <is>
          <t>2025-02-10</t>
        </is>
      </c>
      <c r="B3919" t="inlineStr">
        <is>
          <t>沪金</t>
        </is>
      </c>
      <c r="C3919" t="inlineStr">
        <is>
          <t>多</t>
        </is>
      </c>
      <c r="D3919" t="n">
        <v>3</v>
      </c>
      <c r="E3919" t="n">
        <v>6</v>
      </c>
      <c r="F3919" t="inlineStr">
        <is>
          <t>开仓</t>
        </is>
      </c>
      <c r="G3919" t="n">
        <v>1</v>
      </c>
      <c r="H3919" t="n">
        <v>679.08</v>
      </c>
      <c r="I3919" t="n">
        <v>655.14</v>
      </c>
      <c r="J3919" t="n">
        <v>3</v>
      </c>
      <c r="K3919" t="inlineStr">
        <is>
          <t>¼凯利超上限，取3%</t>
        </is>
      </c>
    </row>
    <row r="3920">
      <c r="A3920" t="inlineStr">
        <is>
          <t>2025-02-10</t>
        </is>
      </c>
      <c r="B3920" t="inlineStr">
        <is>
          <t>玉米</t>
        </is>
      </c>
      <c r="C3920" t="inlineStr">
        <is>
          <t>多</t>
        </is>
      </c>
      <c r="D3920" t="n">
        <v>3</v>
      </c>
      <c r="E3920" t="n">
        <v>6</v>
      </c>
      <c r="F3920" t="inlineStr">
        <is>
          <t>续持</t>
        </is>
      </c>
      <c r="G3920" t="n">
        <v>47</v>
      </c>
      <c r="H3920" t="n">
        <v>2294</v>
      </c>
      <c r="I3920" t="n">
        <v>2238.93</v>
      </c>
      <c r="J3920" t="n">
        <v>3</v>
      </c>
      <c r="K3920" t="inlineStr">
        <is>
          <t>续持原仓（2025-02-07开）</t>
        </is>
      </c>
    </row>
    <row r="3921">
      <c r="A3921" t="inlineStr">
        <is>
          <t>2025-02-10</t>
        </is>
      </c>
      <c r="B3921" t="inlineStr">
        <is>
          <t>聚丙烯</t>
        </is>
      </c>
      <c r="C3921" t="inlineStr">
        <is>
          <t>多</t>
        </is>
      </c>
      <c r="D3921" t="n">
        <v>2</v>
      </c>
      <c r="E3921" t="n">
        <v>5</v>
      </c>
      <c r="F3921" t="inlineStr">
        <is>
          <t>影子仓</t>
        </is>
      </c>
      <c r="G3921" t="n">
        <v>13</v>
      </c>
      <c r="H3921" t="n">
        <v>7412</v>
      </c>
      <c r="I3921" t="n">
        <v>7258.57</v>
      </c>
      <c r="J3921" t="n">
        <v>1</v>
      </c>
      <c r="K3921" t="inlineStr">
        <is>
          <t>凯利≤0，开1%影子仓（只统计，不计入组合）</t>
        </is>
      </c>
    </row>
    <row r="3922">
      <c r="A3922" t="inlineStr">
        <is>
          <t>2025-02-10</t>
        </is>
      </c>
      <c r="B3922" t="inlineStr">
        <is>
          <t>锰硅</t>
        </is>
      </c>
      <c r="C3922" t="inlineStr">
        <is>
          <t>空</t>
        </is>
      </c>
      <c r="D3922" t="n">
        <v>2</v>
      </c>
      <c r="E3922" t="n">
        <v>5</v>
      </c>
      <c r="F3922" t="inlineStr">
        <is>
          <t>观望</t>
        </is>
      </c>
      <c r="G3922" t="n">
        <v>2</v>
      </c>
      <c r="H3922" t="n">
        <v>7180</v>
      </c>
      <c r="I3922" t="n">
        <v>7876.43</v>
      </c>
      <c r="J3922" t="n">
        <v>1</v>
      </c>
      <c r="K3922" t="inlineStr">
        <is>
          <t>逆5日线（收盘在5日线上，不追空）</t>
        </is>
      </c>
    </row>
    <row r="3923">
      <c r="A3923" t="inlineStr">
        <is>
          <t>2025-02-10</t>
        </is>
      </c>
      <c r="B3923" t="inlineStr">
        <is>
          <t>纯碱</t>
        </is>
      </c>
      <c r="C3923" t="inlineStr">
        <is>
          <t>多</t>
        </is>
      </c>
      <c r="D3923" t="n">
        <v>2</v>
      </c>
      <c r="E3923" t="n">
        <v>4</v>
      </c>
      <c r="F3923" t="inlineStr">
        <is>
          <t>续持</t>
        </is>
      </c>
      <c r="G3923" t="n">
        <v>4</v>
      </c>
      <c r="H3923" t="n">
        <v>1463</v>
      </c>
      <c r="I3923" t="n">
        <v>1402.86</v>
      </c>
      <c r="J3923" t="n">
        <v>1</v>
      </c>
      <c r="K3923" t="inlineStr">
        <is>
          <t>续持原仓（2025-01-24开）</t>
        </is>
      </c>
    </row>
    <row r="3924">
      <c r="A3924" t="inlineStr">
        <is>
          <t>2025-02-11</t>
        </is>
      </c>
      <c r="B3924" t="inlineStr">
        <is>
          <t>聚丙烯</t>
        </is>
      </c>
      <c r="C3924" t="inlineStr">
        <is>
          <t>多</t>
        </is>
      </c>
      <c r="D3924" t="n">
        <v>3</v>
      </c>
      <c r="E3924" t="n">
        <v>6</v>
      </c>
      <c r="F3924" t="inlineStr">
        <is>
          <t>续持</t>
        </is>
      </c>
      <c r="G3924" t="n">
        <v>13</v>
      </c>
      <c r="H3924" t="n">
        <v>7430</v>
      </c>
      <c r="I3924" t="n">
        <v>7277.43</v>
      </c>
      <c r="J3924" t="n">
        <v>1</v>
      </c>
      <c r="K3924" t="inlineStr">
        <is>
          <t>续持原仓（2025-02-10开）</t>
        </is>
      </c>
    </row>
    <row r="3925">
      <c r="A3925" t="inlineStr">
        <is>
          <t>2025-02-11</t>
        </is>
      </c>
      <c r="B3925" t="inlineStr">
        <is>
          <t>PVC</t>
        </is>
      </c>
      <c r="C3925" t="inlineStr">
        <is>
          <t>多</t>
        </is>
      </c>
      <c r="D3925" t="n">
        <v>2</v>
      </c>
      <c r="E3925" t="n">
        <v>5</v>
      </c>
      <c r="F3925" t="inlineStr">
        <is>
          <t>影子仓</t>
        </is>
      </c>
      <c r="G3925" t="n">
        <v>7</v>
      </c>
      <c r="H3925" t="n">
        <v>5226</v>
      </c>
      <c r="I3925" t="n">
        <v>4968</v>
      </c>
      <c r="J3925" t="n">
        <v>1</v>
      </c>
      <c r="K3925" t="inlineStr">
        <is>
          <t>凯利≤0，开1%影子仓（只统计，不计入组合）</t>
        </is>
      </c>
    </row>
    <row r="3926">
      <c r="A3926" t="inlineStr">
        <is>
          <t>2025-02-11</t>
        </is>
      </c>
      <c r="B3926" t="inlineStr">
        <is>
          <t>玉米</t>
        </is>
      </c>
      <c r="C3926" t="inlineStr">
        <is>
          <t>多</t>
        </is>
      </c>
      <c r="D3926" t="n">
        <v>2</v>
      </c>
      <c r="E3926" t="n">
        <v>5</v>
      </c>
      <c r="F3926" t="inlineStr">
        <is>
          <t>续持</t>
        </is>
      </c>
      <c r="G3926" t="n">
        <v>47</v>
      </c>
      <c r="H3926" t="n">
        <v>2296</v>
      </c>
      <c r="I3926" t="n">
        <v>2242.21</v>
      </c>
      <c r="J3926" t="n">
        <v>3</v>
      </c>
      <c r="K3926" t="inlineStr">
        <is>
          <t>续持原仓（2025-02-07开）</t>
        </is>
      </c>
    </row>
    <row r="3927">
      <c r="A3927" t="inlineStr">
        <is>
          <t>2025-02-11</t>
        </is>
      </c>
      <c r="B3927" t="inlineStr">
        <is>
          <t>菜粕</t>
        </is>
      </c>
      <c r="C3927" t="inlineStr">
        <is>
          <t>多</t>
        </is>
      </c>
      <c r="D3927" t="n">
        <v>2</v>
      </c>
      <c r="E3927" t="n">
        <v>5</v>
      </c>
      <c r="F3927" t="inlineStr">
        <is>
          <t>影子仓</t>
        </is>
      </c>
      <c r="G3927" t="n">
        <v>5</v>
      </c>
      <c r="H3927" t="n">
        <v>2529</v>
      </c>
      <c r="I3927" t="n">
        <v>2331.86</v>
      </c>
      <c r="J3927" t="n">
        <v>1</v>
      </c>
      <c r="K3927" t="inlineStr">
        <is>
          <t>凯利≤0，开1%影子仓（只统计，不计入组合）</t>
        </is>
      </c>
    </row>
    <row r="3928">
      <c r="A3928" t="inlineStr">
        <is>
          <t>2025-02-11</t>
        </is>
      </c>
      <c r="B3928" t="inlineStr">
        <is>
          <t>铁矿石</t>
        </is>
      </c>
      <c r="C3928" t="inlineStr">
        <is>
          <t>多</t>
        </is>
      </c>
      <c r="D3928" t="n">
        <v>2</v>
      </c>
      <c r="E3928" t="n">
        <v>4</v>
      </c>
      <c r="F3928" t="inlineStr">
        <is>
          <t>观望</t>
        </is>
      </c>
      <c r="G3928" t="n">
        <v>2</v>
      </c>
      <c r="H3928" t="n">
        <v>812</v>
      </c>
      <c r="I3928" t="n">
        <v>771.1799999999999</v>
      </c>
      <c r="J3928" t="n">
        <v>1</v>
      </c>
      <c r="K3928" t="inlineStr">
        <is>
          <t>逆5日线（收盘在5日线下，不追多）</t>
        </is>
      </c>
    </row>
    <row r="3929">
      <c r="A3929" t="inlineStr">
        <is>
          <t>2025-02-11</t>
        </is>
      </c>
      <c r="B3929" t="inlineStr">
        <is>
          <t>沪银</t>
        </is>
      </c>
      <c r="C3929" t="inlineStr">
        <is>
          <t>空</t>
        </is>
      </c>
      <c r="D3929" t="n">
        <v>2</v>
      </c>
      <c r="E3929" t="n">
        <v>4</v>
      </c>
      <c r="F3929" t="inlineStr">
        <is>
          <t>影子仓</t>
        </is>
      </c>
      <c r="G3929" t="n">
        <v>1</v>
      </c>
      <c r="H3929" t="n">
        <v>7972</v>
      </c>
      <c r="I3929" t="n">
        <v>8449.639999999999</v>
      </c>
      <c r="J3929" t="n">
        <v>1</v>
      </c>
      <c r="K3929" t="inlineStr">
        <is>
          <t>凯利≤0，开1%影子仓（只统计，不计入组合）</t>
        </is>
      </c>
    </row>
    <row r="3930">
      <c r="A3930" t="inlineStr">
        <is>
          <t>2025-02-12</t>
        </is>
      </c>
      <c r="B3930" t="inlineStr">
        <is>
          <t>棕榈油</t>
        </is>
      </c>
      <c r="C3930" t="inlineStr">
        <is>
          <t>多</t>
        </is>
      </c>
      <c r="D3930" t="n">
        <v>3</v>
      </c>
      <c r="E3930" t="n">
        <v>7</v>
      </c>
      <c r="F3930" t="inlineStr">
        <is>
          <t>开仓</t>
        </is>
      </c>
      <c r="G3930" t="n">
        <v>5</v>
      </c>
      <c r="H3930" t="n">
        <v>9154</v>
      </c>
      <c r="I3930" t="n">
        <v>8631.57</v>
      </c>
      <c r="J3930" t="n">
        <v>3</v>
      </c>
      <c r="K3930" t="inlineStr">
        <is>
          <t>¼凯利超上限，取3%</t>
        </is>
      </c>
    </row>
    <row r="3931">
      <c r="A3931" t="inlineStr">
        <is>
          <t>2025-02-12</t>
        </is>
      </c>
      <c r="B3931" t="inlineStr">
        <is>
          <t>铁矿石</t>
        </is>
      </c>
      <c r="C3931" t="inlineStr">
        <is>
          <t>多</t>
        </is>
      </c>
      <c r="D3931" t="n">
        <v>3</v>
      </c>
      <c r="E3931" t="n">
        <v>7</v>
      </c>
      <c r="F3931" t="inlineStr">
        <is>
          <t>续持</t>
        </is>
      </c>
      <c r="G3931" t="n">
        <v>2</v>
      </c>
      <c r="H3931" t="n">
        <v>828.5</v>
      </c>
      <c r="I3931" t="n">
        <v>789.6799999999999</v>
      </c>
      <c r="J3931" t="n">
        <v>1</v>
      </c>
      <c r="K3931" t="inlineStr">
        <is>
          <t>续持原仓（2025-02-07开）</t>
        </is>
      </c>
    </row>
    <row r="3932">
      <c r="A3932" t="inlineStr">
        <is>
          <t>2025-02-12</t>
        </is>
      </c>
      <c r="B3932" t="inlineStr">
        <is>
          <t>玻璃</t>
        </is>
      </c>
      <c r="C3932" t="inlineStr">
        <is>
          <t>空</t>
        </is>
      </c>
      <c r="D3932" t="n">
        <v>2</v>
      </c>
      <c r="E3932" t="n">
        <v>5</v>
      </c>
      <c r="F3932" t="inlineStr">
        <is>
          <t>影子仓</t>
        </is>
      </c>
      <c r="G3932" t="n">
        <v>4</v>
      </c>
      <c r="H3932" t="n">
        <v>1322</v>
      </c>
      <c r="I3932" t="n">
        <v>1423.57</v>
      </c>
      <c r="J3932" t="n">
        <v>1</v>
      </c>
      <c r="K3932" t="inlineStr">
        <is>
          <t>凯利≤0，开1%影子仓（只统计，不计入组合）</t>
        </is>
      </c>
    </row>
    <row r="3933">
      <c r="A3933" t="inlineStr">
        <is>
          <t>2025-02-12</t>
        </is>
      </c>
      <c r="B3933" t="inlineStr">
        <is>
          <t>豆粕</t>
        </is>
      </c>
      <c r="C3933" t="inlineStr">
        <is>
          <t>空</t>
        </is>
      </c>
      <c r="D3933" t="n">
        <v>2</v>
      </c>
      <c r="E3933" t="n">
        <v>5</v>
      </c>
      <c r="F3933" t="inlineStr">
        <is>
          <t>影子仓</t>
        </is>
      </c>
      <c r="G3933" t="n">
        <v>5</v>
      </c>
      <c r="H3933" t="n">
        <v>2854</v>
      </c>
      <c r="I3933" t="n">
        <v>3026.29</v>
      </c>
      <c r="J3933" t="n">
        <v>1</v>
      </c>
      <c r="K3933" t="inlineStr">
        <is>
          <t>凯利≤0，开1%影子仓（只统计，不计入组合）</t>
        </is>
      </c>
    </row>
    <row r="3934">
      <c r="A3934" t="inlineStr">
        <is>
          <t>2025-02-12</t>
        </is>
      </c>
      <c r="B3934" t="inlineStr">
        <is>
          <t>甲醇</t>
        </is>
      </c>
      <c r="C3934" t="inlineStr">
        <is>
          <t>多</t>
        </is>
      </c>
      <c r="D3934" t="n">
        <v>2</v>
      </c>
      <c r="E3934" t="n">
        <v>4</v>
      </c>
      <c r="F3934" t="inlineStr">
        <is>
          <t>观望</t>
        </is>
      </c>
      <c r="G3934" t="n">
        <v>8</v>
      </c>
      <c r="H3934" t="n">
        <v>2579</v>
      </c>
      <c r="I3934" t="n">
        <v>2464.14</v>
      </c>
      <c r="J3934" t="n">
        <v>1</v>
      </c>
      <c r="K3934" t="inlineStr">
        <is>
          <t>逆5日线（收盘在5日线下，不追多）</t>
        </is>
      </c>
    </row>
    <row r="3935">
      <c r="A3935" t="inlineStr">
        <is>
          <t>2025-02-12</t>
        </is>
      </c>
      <c r="B3935" t="inlineStr">
        <is>
          <t>菜粕</t>
        </is>
      </c>
      <c r="C3935" t="inlineStr">
        <is>
          <t>多</t>
        </is>
      </c>
      <c r="D3935" t="n">
        <v>2</v>
      </c>
      <c r="E3935" t="n">
        <v>4</v>
      </c>
      <c r="F3935" t="inlineStr">
        <is>
          <t>续持</t>
        </is>
      </c>
      <c r="G3935" t="n">
        <v>5</v>
      </c>
      <c r="H3935" t="n">
        <v>2520</v>
      </c>
      <c r="I3935" t="n">
        <v>2341.86</v>
      </c>
      <c r="J3935" t="n">
        <v>1</v>
      </c>
      <c r="K3935" t="inlineStr">
        <is>
          <t>续持原仓（2025-02-11开）</t>
        </is>
      </c>
    </row>
    <row r="3936">
      <c r="A3936" t="inlineStr">
        <is>
          <t>2025-02-12</t>
        </is>
      </c>
      <c r="B3936" t="inlineStr">
        <is>
          <t>豆油</t>
        </is>
      </c>
      <c r="C3936" t="inlineStr">
        <is>
          <t>空</t>
        </is>
      </c>
      <c r="D3936" t="n">
        <v>2</v>
      </c>
      <c r="E3936" t="n">
        <v>4</v>
      </c>
      <c r="F3936" t="inlineStr">
        <is>
          <t>影子仓</t>
        </is>
      </c>
      <c r="G3936" t="n">
        <v>2</v>
      </c>
      <c r="H3936" t="n">
        <v>8062</v>
      </c>
      <c r="I3936" t="n">
        <v>8500</v>
      </c>
      <c r="J3936" t="n">
        <v>1</v>
      </c>
      <c r="K3936" t="inlineStr">
        <is>
          <t>凯利≤0，开1%影子仓（只统计，不计入组合）</t>
        </is>
      </c>
    </row>
    <row r="3937">
      <c r="A3937" t="inlineStr">
        <is>
          <t>2025-02-13</t>
        </is>
      </c>
      <c r="B3937" t="inlineStr">
        <is>
          <t>沪金</t>
        </is>
      </c>
      <c r="C3937" t="inlineStr">
        <is>
          <t>多</t>
        </is>
      </c>
      <c r="D3937" t="n">
        <v>3</v>
      </c>
      <c r="E3937" t="n">
        <v>7</v>
      </c>
      <c r="F3937" t="inlineStr">
        <is>
          <t>开仓</t>
        </is>
      </c>
      <c r="G3937" t="n">
        <v>1</v>
      </c>
      <c r="H3937" t="n">
        <v>684.5599999999999</v>
      </c>
      <c r="I3937" t="n">
        <v>657.53</v>
      </c>
      <c r="J3937" t="n">
        <v>3</v>
      </c>
      <c r="K3937" t="inlineStr">
        <is>
          <t>¼凯利超上限，取3%</t>
        </is>
      </c>
    </row>
    <row r="3938">
      <c r="A3938" t="inlineStr">
        <is>
          <t>2025-02-13</t>
        </is>
      </c>
      <c r="B3938" t="inlineStr">
        <is>
          <t>玻璃</t>
        </is>
      </c>
      <c r="C3938" t="inlineStr">
        <is>
          <t>空</t>
        </is>
      </c>
      <c r="D3938" t="n">
        <v>3</v>
      </c>
      <c r="E3938" t="n">
        <v>6</v>
      </c>
      <c r="F3938" t="inlineStr">
        <is>
          <t>续持</t>
        </is>
      </c>
      <c r="G3938" t="n">
        <v>4</v>
      </c>
      <c r="H3938" t="n">
        <v>1271</v>
      </c>
      <c r="I3938" t="n">
        <v>1371.79</v>
      </c>
      <c r="J3938" t="n">
        <v>1</v>
      </c>
      <c r="K3938" t="inlineStr">
        <is>
          <t>续持原仓（2025-02-12开）</t>
        </is>
      </c>
    </row>
    <row r="3939">
      <c r="A3939" t="inlineStr">
        <is>
          <t>2025-02-13</t>
        </is>
      </c>
      <c r="B3939" t="inlineStr">
        <is>
          <t>沪银</t>
        </is>
      </c>
      <c r="C3939" t="inlineStr">
        <is>
          <t>空</t>
        </is>
      </c>
      <c r="D3939" t="n">
        <v>2</v>
      </c>
      <c r="E3939" t="n">
        <v>5</v>
      </c>
      <c r="F3939" t="inlineStr">
        <is>
          <t>观望</t>
        </is>
      </c>
      <c r="G3939" t="n">
        <v>1</v>
      </c>
      <c r="H3939" t="n">
        <v>8028</v>
      </c>
      <c r="I3939" t="n">
        <v>8509.93</v>
      </c>
      <c r="J3939" t="n">
        <v>1</v>
      </c>
      <c r="K3939" t="inlineStr">
        <is>
          <t>逆5日线（收盘在5日线上，不追空）</t>
        </is>
      </c>
    </row>
    <row r="3940">
      <c r="A3940" t="inlineStr">
        <is>
          <t>2025-02-13</t>
        </is>
      </c>
      <c r="B3940" t="inlineStr">
        <is>
          <t>铁矿石</t>
        </is>
      </c>
      <c r="C3940" t="inlineStr">
        <is>
          <t>多</t>
        </is>
      </c>
      <c r="D3940" t="n">
        <v>2</v>
      </c>
      <c r="E3940" t="n">
        <v>4</v>
      </c>
      <c r="F3940" t="inlineStr">
        <is>
          <t>观望</t>
        </is>
      </c>
      <c r="G3940" t="n">
        <v>2</v>
      </c>
      <c r="H3940" t="n">
        <v>808</v>
      </c>
      <c r="I3940" t="n">
        <v>763.86</v>
      </c>
      <c r="J3940" t="n">
        <v>1</v>
      </c>
      <c r="K3940" t="inlineStr">
        <is>
          <t>逆5日线（收盘在5日线下，不追多）</t>
        </is>
      </c>
    </row>
    <row r="3941">
      <c r="A3941" t="inlineStr">
        <is>
          <t>2025-02-13</t>
        </is>
      </c>
      <c r="B3941" t="inlineStr">
        <is>
          <t>豆粕</t>
        </is>
      </c>
      <c r="C3941" t="inlineStr">
        <is>
          <t>空</t>
        </is>
      </c>
      <c r="D3941" t="n">
        <v>2</v>
      </c>
      <c r="E3941" t="n">
        <v>4</v>
      </c>
      <c r="F3941" t="inlineStr">
        <is>
          <t>续持</t>
        </is>
      </c>
      <c r="G3941" t="n">
        <v>5</v>
      </c>
      <c r="H3941" t="n">
        <v>2845</v>
      </c>
      <c r="I3941" t="n">
        <v>2989.5</v>
      </c>
      <c r="J3941" t="n">
        <v>1</v>
      </c>
      <c r="K3941" t="inlineStr">
        <is>
          <t>续持原仓（2025-02-12开）</t>
        </is>
      </c>
    </row>
    <row r="3942">
      <c r="A3942" t="inlineStr">
        <is>
          <t>2025-02-13</t>
        </is>
      </c>
      <c r="B3942" t="inlineStr">
        <is>
          <t>豆油</t>
        </is>
      </c>
      <c r="C3942" t="inlineStr">
        <is>
          <t>空</t>
        </is>
      </c>
      <c r="D3942" t="n">
        <v>2</v>
      </c>
      <c r="E3942" t="n">
        <v>4</v>
      </c>
      <c r="F3942" t="inlineStr">
        <is>
          <t>续持</t>
        </is>
      </c>
      <c r="G3942" t="n">
        <v>2</v>
      </c>
      <c r="H3942" t="n">
        <v>7914</v>
      </c>
      <c r="I3942" t="n">
        <v>8298.290000000001</v>
      </c>
      <c r="J3942" t="n">
        <v>1</v>
      </c>
      <c r="K3942" t="inlineStr">
        <is>
          <t>续持原仓（2025-02-12开）</t>
        </is>
      </c>
    </row>
    <row r="3943">
      <c r="A3943" t="inlineStr">
        <is>
          <t>2025-02-14</t>
        </is>
      </c>
      <c r="B3943" t="inlineStr">
        <is>
          <t>沪金</t>
        </is>
      </c>
      <c r="C3943" t="inlineStr">
        <is>
          <t>多</t>
        </is>
      </c>
      <c r="D3943" t="n">
        <v>3</v>
      </c>
      <c r="E3943" t="n">
        <v>7</v>
      </c>
      <c r="F3943" t="inlineStr">
        <is>
          <t>续持</t>
        </is>
      </c>
      <c r="G3943" t="n">
        <v>1</v>
      </c>
      <c r="H3943" t="n">
        <v>688.4</v>
      </c>
      <c r="I3943" t="n">
        <v>661.63</v>
      </c>
      <c r="J3943" t="n">
        <v>3</v>
      </c>
      <c r="K3943" t="inlineStr">
        <is>
          <t>续持原仓（2025-02-13开）</t>
        </is>
      </c>
    </row>
    <row r="3944">
      <c r="A3944" t="inlineStr">
        <is>
          <t>2025-02-14</t>
        </is>
      </c>
      <c r="B3944" t="inlineStr">
        <is>
          <t>玻璃</t>
        </is>
      </c>
      <c r="C3944" t="inlineStr">
        <is>
          <t>空</t>
        </is>
      </c>
      <c r="D3944" t="n">
        <v>3</v>
      </c>
      <c r="E3944" t="n">
        <v>7</v>
      </c>
      <c r="F3944" t="inlineStr">
        <is>
          <t>续持</t>
        </is>
      </c>
      <c r="G3944" t="n">
        <v>4</v>
      </c>
      <c r="H3944" t="n">
        <v>1261</v>
      </c>
      <c r="I3944" t="n">
        <v>1353.5</v>
      </c>
      <c r="J3944" t="n">
        <v>1</v>
      </c>
      <c r="K3944" t="inlineStr">
        <is>
          <t>续持原仓（2025-02-12开）</t>
        </is>
      </c>
    </row>
    <row r="3945">
      <c r="A3945" t="inlineStr">
        <is>
          <t>2025-02-14</t>
        </is>
      </c>
      <c r="B3945" t="inlineStr">
        <is>
          <t>沪铜</t>
        </is>
      </c>
      <c r="C3945" t="inlineStr">
        <is>
          <t>多</t>
        </is>
      </c>
      <c r="D3945" t="n">
        <v>2</v>
      </c>
      <c r="E3945" t="n">
        <v>5</v>
      </c>
      <c r="F3945" t="inlineStr">
        <is>
          <t>不做</t>
        </is>
      </c>
      <c r="H3945" t="n">
        <v>78090</v>
      </c>
      <c r="J3945" t="n">
        <v>1</v>
      </c>
      <c r="K3945" t="inlineStr">
        <is>
          <t>1手风险13682元超过预算10000元</t>
        </is>
      </c>
    </row>
    <row r="3946">
      <c r="A3946" t="inlineStr">
        <is>
          <t>2025-02-14</t>
        </is>
      </c>
      <c r="B3946" t="inlineStr">
        <is>
          <t>沪铝</t>
        </is>
      </c>
      <c r="C3946" t="inlineStr">
        <is>
          <t>多</t>
        </is>
      </c>
      <c r="D3946" t="n">
        <v>2</v>
      </c>
      <c r="E3946" t="n">
        <v>5</v>
      </c>
      <c r="F3946" t="inlineStr">
        <is>
          <t>影子仓</t>
        </is>
      </c>
      <c r="G3946" t="n">
        <v>2</v>
      </c>
      <c r="H3946" t="n">
        <v>20745</v>
      </c>
      <c r="I3946" t="n">
        <v>20059.29</v>
      </c>
      <c r="J3946" t="n">
        <v>1</v>
      </c>
      <c r="K3946" t="inlineStr">
        <is>
          <t>凯利≤0，开1%影子仓（只统计，不计入组合）</t>
        </is>
      </c>
    </row>
    <row r="3947">
      <c r="A3947" t="inlineStr">
        <is>
          <t>2025-02-14</t>
        </is>
      </c>
      <c r="B3947" t="inlineStr">
        <is>
          <t>聚丙烯</t>
        </is>
      </c>
      <c r="C3947" t="inlineStr">
        <is>
          <t>多</t>
        </is>
      </c>
      <c r="D3947" t="n">
        <v>2</v>
      </c>
      <c r="E3947" t="n">
        <v>4</v>
      </c>
      <c r="F3947" t="inlineStr">
        <is>
          <t>观望</t>
        </is>
      </c>
      <c r="G3947" t="n">
        <v>13</v>
      </c>
      <c r="H3947" t="n">
        <v>7395</v>
      </c>
      <c r="I3947" t="n">
        <v>7241.79</v>
      </c>
      <c r="J3947" t="n">
        <v>1</v>
      </c>
      <c r="K3947" t="inlineStr">
        <is>
          <t>逆5日线（收盘在5日线下，不追多）</t>
        </is>
      </c>
    </row>
    <row r="3948">
      <c r="A3948" t="inlineStr">
        <is>
          <t>2025-02-17</t>
        </is>
      </c>
      <c r="B3948" t="inlineStr">
        <is>
          <t>PTA</t>
        </is>
      </c>
      <c r="C3948" t="inlineStr">
        <is>
          <t>多</t>
        </is>
      </c>
      <c r="D3948" t="n">
        <v>2</v>
      </c>
      <c r="E3948" t="n">
        <v>4</v>
      </c>
      <c r="F3948" t="inlineStr">
        <is>
          <t>观望</t>
        </is>
      </c>
      <c r="G3948" t="n">
        <v>8</v>
      </c>
      <c r="H3948" t="n">
        <v>5132</v>
      </c>
      <c r="I3948" t="n">
        <v>4895.43</v>
      </c>
      <c r="J3948" t="n">
        <v>1</v>
      </c>
      <c r="K3948" t="inlineStr">
        <is>
          <t>逆5日线（收盘在5日线下，不追多）</t>
        </is>
      </c>
    </row>
    <row r="3949">
      <c r="A3949" t="inlineStr">
        <is>
          <t>2025-02-18</t>
        </is>
      </c>
      <c r="B3949" t="inlineStr">
        <is>
          <t>白糖</t>
        </is>
      </c>
      <c r="C3949" t="inlineStr">
        <is>
          <t>多</t>
        </is>
      </c>
      <c r="D3949" t="n">
        <v>2</v>
      </c>
      <c r="E3949" t="n">
        <v>5</v>
      </c>
      <c r="F3949" t="inlineStr">
        <is>
          <t>影子仓</t>
        </is>
      </c>
      <c r="G3949" t="n">
        <v>6</v>
      </c>
      <c r="H3949" t="n">
        <v>5978</v>
      </c>
      <c r="I3949" t="n">
        <v>5820.07</v>
      </c>
      <c r="J3949" t="n">
        <v>1</v>
      </c>
      <c r="K3949" t="inlineStr">
        <is>
          <t>凯利≤0，开1%影子仓（只统计，不计入组合）</t>
        </is>
      </c>
    </row>
    <row r="3950">
      <c r="A3950" t="inlineStr">
        <is>
          <t>2025-02-18</t>
        </is>
      </c>
      <c r="B3950" t="inlineStr">
        <is>
          <t>棉花</t>
        </is>
      </c>
      <c r="C3950" t="inlineStr">
        <is>
          <t>多</t>
        </is>
      </c>
      <c r="D3950" t="n">
        <v>2</v>
      </c>
      <c r="E3950" t="n">
        <v>4</v>
      </c>
      <c r="F3950" t="inlineStr">
        <is>
          <t>影子仓</t>
        </is>
      </c>
      <c r="G3950" t="n">
        <v>5</v>
      </c>
      <c r="H3950" t="n">
        <v>13885</v>
      </c>
      <c r="I3950" t="n">
        <v>13488.57</v>
      </c>
      <c r="J3950" t="n">
        <v>1</v>
      </c>
      <c r="K3950" t="inlineStr">
        <is>
          <t>凯利≤0，开1%影子仓（只统计，不计入组合）</t>
        </is>
      </c>
    </row>
    <row r="3951">
      <c r="A3951" t="inlineStr">
        <is>
          <t>2025-02-18</t>
        </is>
      </c>
      <c r="B3951" t="inlineStr">
        <is>
          <t>甲醇</t>
        </is>
      </c>
      <c r="C3951" t="inlineStr">
        <is>
          <t>空</t>
        </is>
      </c>
      <c r="D3951" t="n">
        <v>2</v>
      </c>
      <c r="E3951" t="n">
        <v>4</v>
      </c>
      <c r="F3951" t="inlineStr">
        <is>
          <t>影子仓</t>
        </is>
      </c>
      <c r="G3951" t="n">
        <v>9</v>
      </c>
      <c r="H3951" t="n">
        <v>2545</v>
      </c>
      <c r="I3951" t="n">
        <v>2648.07</v>
      </c>
      <c r="J3951" t="n">
        <v>1</v>
      </c>
      <c r="K3951" t="inlineStr">
        <is>
          <t>凯利≤0，开1%影子仓（只统计，不计入组合）</t>
        </is>
      </c>
    </row>
    <row r="3952">
      <c r="A3952" t="inlineStr">
        <is>
          <t>2025-02-19</t>
        </is>
      </c>
      <c r="B3952" t="inlineStr">
        <is>
          <t>棕榈油</t>
        </is>
      </c>
      <c r="C3952" t="inlineStr">
        <is>
          <t>多</t>
        </is>
      </c>
      <c r="D3952" t="n">
        <v>3</v>
      </c>
      <c r="E3952" t="n">
        <v>7</v>
      </c>
      <c r="F3952" t="inlineStr">
        <is>
          <t>开仓</t>
        </is>
      </c>
      <c r="G3952" t="n">
        <v>5</v>
      </c>
      <c r="H3952" t="n">
        <v>9200</v>
      </c>
      <c r="I3952" t="n">
        <v>8676.290000000001</v>
      </c>
      <c r="J3952" t="n">
        <v>3</v>
      </c>
      <c r="K3952" t="inlineStr">
        <is>
          <t>¼凯利超上限，取3%</t>
        </is>
      </c>
    </row>
    <row r="3953">
      <c r="A3953" t="inlineStr">
        <is>
          <t>2025-02-19</t>
        </is>
      </c>
      <c r="B3953" t="inlineStr">
        <is>
          <t>白糖</t>
        </is>
      </c>
      <c r="C3953" t="inlineStr">
        <is>
          <t>多</t>
        </is>
      </c>
      <c r="D3953" t="n">
        <v>3</v>
      </c>
      <c r="E3953" t="n">
        <v>6</v>
      </c>
      <c r="F3953" t="inlineStr">
        <is>
          <t>续持</t>
        </is>
      </c>
      <c r="G3953" t="n">
        <v>6</v>
      </c>
      <c r="H3953" t="n">
        <v>5995</v>
      </c>
      <c r="I3953" t="n">
        <v>5859.36</v>
      </c>
      <c r="J3953" t="n">
        <v>1</v>
      </c>
      <c r="K3953" t="inlineStr">
        <is>
          <t>续持原仓（2025-02-18开）</t>
        </is>
      </c>
    </row>
    <row r="3954">
      <c r="A3954" t="inlineStr">
        <is>
          <t>2025-02-20</t>
        </is>
      </c>
      <c r="B3954" t="inlineStr">
        <is>
          <t>棕榈油</t>
        </is>
      </c>
      <c r="C3954" t="inlineStr">
        <is>
          <t>多</t>
        </is>
      </c>
      <c r="D3954" t="n">
        <v>3</v>
      </c>
      <c r="E3954" t="n">
        <v>7</v>
      </c>
      <c r="F3954" t="inlineStr">
        <is>
          <t>续持</t>
        </is>
      </c>
      <c r="G3954" t="n">
        <v>5</v>
      </c>
      <c r="H3954" t="n">
        <v>9368</v>
      </c>
      <c r="I3954" t="n">
        <v>8845.290000000001</v>
      </c>
      <c r="J3954" t="n">
        <v>3</v>
      </c>
      <c r="K3954" t="inlineStr">
        <is>
          <t>续持原仓（2025-02-19开）</t>
        </is>
      </c>
    </row>
    <row r="3955">
      <c r="A3955" t="inlineStr">
        <is>
          <t>2025-02-20</t>
        </is>
      </c>
      <c r="B3955" t="inlineStr">
        <is>
          <t>沪金</t>
        </is>
      </c>
      <c r="C3955" t="inlineStr">
        <is>
          <t>多</t>
        </is>
      </c>
      <c r="D3955" t="n">
        <v>2</v>
      </c>
      <c r="E3955" t="n">
        <v>5</v>
      </c>
      <c r="F3955" t="inlineStr">
        <is>
          <t>不做</t>
        </is>
      </c>
      <c r="H3955" t="n">
        <v>690</v>
      </c>
      <c r="J3955" t="n">
        <v>1</v>
      </c>
      <c r="K3955" t="inlineStr">
        <is>
          <t>1手风险28830元超过预算10000元</t>
        </is>
      </c>
    </row>
    <row r="3956">
      <c r="A3956" t="inlineStr">
        <is>
          <t>2025-02-20</t>
        </is>
      </c>
      <c r="B3956" t="inlineStr">
        <is>
          <t>白糖</t>
        </is>
      </c>
      <c r="C3956" t="inlineStr">
        <is>
          <t>多</t>
        </is>
      </c>
      <c r="D3956" t="n">
        <v>2</v>
      </c>
      <c r="E3956" t="n">
        <v>5</v>
      </c>
      <c r="F3956" t="inlineStr">
        <is>
          <t>观望</t>
        </is>
      </c>
      <c r="G3956" t="n">
        <v>6</v>
      </c>
      <c r="H3956" t="n">
        <v>5985</v>
      </c>
      <c r="I3956" t="n">
        <v>5832.21</v>
      </c>
      <c r="J3956" t="n">
        <v>1</v>
      </c>
      <c r="K3956" t="inlineStr">
        <is>
          <t>逆5日线（收盘在5日线下，不追多）</t>
        </is>
      </c>
    </row>
    <row r="3957">
      <c r="A3957" t="inlineStr">
        <is>
          <t>2025-02-20</t>
        </is>
      </c>
      <c r="B3957" t="inlineStr">
        <is>
          <t>沪铜</t>
        </is>
      </c>
      <c r="C3957" t="inlineStr">
        <is>
          <t>多</t>
        </is>
      </c>
      <c r="D3957" t="n">
        <v>2</v>
      </c>
      <c r="E3957" t="n">
        <v>4</v>
      </c>
      <c r="F3957" t="inlineStr">
        <is>
          <t>不做</t>
        </is>
      </c>
      <c r="H3957" t="n">
        <v>77850</v>
      </c>
      <c r="J3957" t="n">
        <v>1</v>
      </c>
      <c r="K3957" t="inlineStr">
        <is>
          <t>1手风险14036元超过预算10000元</t>
        </is>
      </c>
    </row>
    <row r="3958">
      <c r="A3958" t="inlineStr">
        <is>
          <t>2025-02-20</t>
        </is>
      </c>
      <c r="B3958" t="inlineStr">
        <is>
          <t>沪铝</t>
        </is>
      </c>
      <c r="C3958" t="inlineStr">
        <is>
          <t>多</t>
        </is>
      </c>
      <c r="D3958" t="n">
        <v>2</v>
      </c>
      <c r="E3958" t="n">
        <v>4</v>
      </c>
      <c r="F3958" t="inlineStr">
        <is>
          <t>影子仓</t>
        </is>
      </c>
      <c r="G3958" t="n">
        <v>2</v>
      </c>
      <c r="H3958" t="n">
        <v>20830</v>
      </c>
      <c r="I3958" t="n">
        <v>20151.79</v>
      </c>
      <c r="J3958" t="n">
        <v>1</v>
      </c>
      <c r="K3958" t="inlineStr">
        <is>
          <t>凯利≤0，开1%影子仓（只统计，不计入组合）</t>
        </is>
      </c>
    </row>
    <row r="3959">
      <c r="A3959" t="inlineStr">
        <is>
          <t>2025-02-21</t>
        </is>
      </c>
      <c r="B3959" t="inlineStr">
        <is>
          <t>工业硅</t>
        </is>
      </c>
      <c r="C3959" t="inlineStr">
        <is>
          <t>空</t>
        </is>
      </c>
      <c r="D3959" t="n">
        <v>3</v>
      </c>
      <c r="E3959" t="n">
        <v>7</v>
      </c>
      <c r="F3959" t="inlineStr">
        <is>
          <t>开仓</t>
        </is>
      </c>
      <c r="G3959" t="n">
        <v>9</v>
      </c>
      <c r="H3959" t="n">
        <v>10515</v>
      </c>
      <c r="I3959" t="n">
        <v>11119.29</v>
      </c>
      <c r="J3959" t="n">
        <v>3</v>
      </c>
      <c r="K3959" t="inlineStr">
        <is>
          <t>¼凯利超上限，取3%</t>
        </is>
      </c>
    </row>
    <row r="3960">
      <c r="A3960" t="inlineStr">
        <is>
          <t>2025-02-21</t>
        </is>
      </c>
      <c r="B3960" t="inlineStr">
        <is>
          <t>白糖</t>
        </is>
      </c>
      <c r="C3960" t="inlineStr">
        <is>
          <t>多</t>
        </is>
      </c>
      <c r="D3960" t="n">
        <v>3</v>
      </c>
      <c r="E3960" t="n">
        <v>6</v>
      </c>
      <c r="F3960" t="inlineStr">
        <is>
          <t>续持</t>
        </is>
      </c>
      <c r="G3960" t="n">
        <v>6</v>
      </c>
      <c r="H3960" t="n">
        <v>6004</v>
      </c>
      <c r="I3960" t="n">
        <v>5891.86</v>
      </c>
      <c r="J3960" t="n">
        <v>1</v>
      </c>
      <c r="K3960" t="inlineStr">
        <is>
          <t>续持原仓（2025-02-18开）</t>
        </is>
      </c>
    </row>
    <row r="3961">
      <c r="A3961" t="inlineStr">
        <is>
          <t>2025-02-21</t>
        </is>
      </c>
      <c r="B3961" t="inlineStr">
        <is>
          <t>螺纹钢</t>
        </is>
      </c>
      <c r="C3961" t="inlineStr">
        <is>
          <t>多</t>
        </is>
      </c>
      <c r="D3961" t="n">
        <v>3</v>
      </c>
      <c r="E3961" t="n">
        <v>6</v>
      </c>
      <c r="F3961" t="inlineStr">
        <is>
          <t>开仓</t>
        </is>
      </c>
      <c r="G3961" t="n">
        <v>21</v>
      </c>
      <c r="H3961" t="n">
        <v>3361</v>
      </c>
      <c r="I3961" t="n">
        <v>3221.71</v>
      </c>
      <c r="J3961" t="n">
        <v>3</v>
      </c>
      <c r="K3961" t="inlineStr">
        <is>
          <t>¼凯利超上限，取3%</t>
        </is>
      </c>
    </row>
    <row r="3962">
      <c r="A3962" t="inlineStr">
        <is>
          <t>2025-02-21</t>
        </is>
      </c>
      <c r="B3962" t="inlineStr">
        <is>
          <t>棕榈油</t>
        </is>
      </c>
      <c r="C3962" t="inlineStr">
        <is>
          <t>多</t>
        </is>
      </c>
      <c r="D3962" t="n">
        <v>2</v>
      </c>
      <c r="E3962" t="n">
        <v>5</v>
      </c>
      <c r="F3962" t="inlineStr">
        <is>
          <t>续持</t>
        </is>
      </c>
      <c r="G3962" t="n">
        <v>5</v>
      </c>
      <c r="H3962" t="n">
        <v>9368</v>
      </c>
      <c r="I3962" t="n">
        <v>8912.709999999999</v>
      </c>
      <c r="J3962" t="n">
        <v>3</v>
      </c>
      <c r="K3962" t="inlineStr">
        <is>
          <t>续持原仓（2025-02-19开）</t>
        </is>
      </c>
    </row>
    <row r="3963">
      <c r="A3963" t="inlineStr">
        <is>
          <t>2025-02-21</t>
        </is>
      </c>
      <c r="B3963" t="inlineStr">
        <is>
          <t>铁矿石</t>
        </is>
      </c>
      <c r="C3963" t="inlineStr">
        <is>
          <t>多</t>
        </is>
      </c>
      <c r="D3963" t="n">
        <v>2</v>
      </c>
      <c r="E3963" t="n">
        <v>5</v>
      </c>
      <c r="F3963" t="inlineStr">
        <is>
          <t>影子仓</t>
        </is>
      </c>
      <c r="G3963" t="n">
        <v>1</v>
      </c>
      <c r="H3963" t="n">
        <v>838.5</v>
      </c>
      <c r="I3963" t="n">
        <v>787.0700000000001</v>
      </c>
      <c r="J3963" t="n">
        <v>1</v>
      </c>
      <c r="K3963" t="inlineStr">
        <is>
          <t>凯利≤0，开1%影子仓（只统计，不计入组合）</t>
        </is>
      </c>
    </row>
    <row r="3964">
      <c r="A3964" t="inlineStr">
        <is>
          <t>2025-02-21</t>
        </is>
      </c>
      <c r="B3964" t="inlineStr">
        <is>
          <t>沪铝</t>
        </is>
      </c>
      <c r="C3964" t="inlineStr">
        <is>
          <t>多</t>
        </is>
      </c>
      <c r="D3964" t="n">
        <v>2</v>
      </c>
      <c r="E3964" t="n">
        <v>5</v>
      </c>
      <c r="F3964" t="inlineStr">
        <is>
          <t>续持</t>
        </is>
      </c>
      <c r="G3964" t="n">
        <v>2</v>
      </c>
      <c r="H3964" t="n">
        <v>20825</v>
      </c>
      <c r="I3964" t="n">
        <v>20304.64</v>
      </c>
      <c r="J3964" t="n">
        <v>1</v>
      </c>
      <c r="K3964" t="inlineStr">
        <is>
          <t>续持原仓（2025-02-20开）</t>
        </is>
      </c>
    </row>
    <row r="3965">
      <c r="A3965" t="inlineStr">
        <is>
          <t>2025-02-24</t>
        </is>
      </c>
      <c r="B3965" t="inlineStr">
        <is>
          <t>白糖</t>
        </is>
      </c>
      <c r="C3965" t="inlineStr">
        <is>
          <t>多</t>
        </is>
      </c>
      <c r="D3965" t="n">
        <v>3</v>
      </c>
      <c r="E3965" t="n">
        <v>6</v>
      </c>
      <c r="F3965" t="inlineStr">
        <is>
          <t>观望</t>
        </is>
      </c>
      <c r="G3965" t="n">
        <v>19</v>
      </c>
      <c r="H3965" t="n">
        <v>5977</v>
      </c>
      <c r="I3965" t="n">
        <v>5826.36</v>
      </c>
      <c r="J3965" t="n">
        <v>3</v>
      </c>
      <c r="K3965" t="inlineStr">
        <is>
          <t>逆5日线（收盘在5日线下，不追多）</t>
        </is>
      </c>
    </row>
    <row r="3966">
      <c r="A3966" t="inlineStr">
        <is>
          <t>2025-02-24</t>
        </is>
      </c>
      <c r="B3966" t="inlineStr">
        <is>
          <t>沪金</t>
        </is>
      </c>
      <c r="C3966" t="inlineStr">
        <is>
          <t>多</t>
        </is>
      </c>
      <c r="D3966" t="n">
        <v>2</v>
      </c>
      <c r="E3966" t="n">
        <v>5</v>
      </c>
      <c r="F3966" t="inlineStr">
        <is>
          <t>观望</t>
        </is>
      </c>
      <c r="H3966" t="n">
        <v>685.98</v>
      </c>
      <c r="J3966" t="n">
        <v>1</v>
      </c>
      <c r="K3966" t="inlineStr">
        <is>
          <t>逆5日线（收盘在5日线下，不追多）</t>
        </is>
      </c>
    </row>
    <row r="3967">
      <c r="A3967" t="inlineStr">
        <is>
          <t>2025-02-24</t>
        </is>
      </c>
      <c r="B3967" t="inlineStr">
        <is>
          <t>沪铝</t>
        </is>
      </c>
      <c r="C3967" t="inlineStr">
        <is>
          <t>多</t>
        </is>
      </c>
      <c r="D3967" t="n">
        <v>2</v>
      </c>
      <c r="E3967" t="n">
        <v>4</v>
      </c>
      <c r="F3967" t="inlineStr">
        <is>
          <t>观望</t>
        </is>
      </c>
      <c r="G3967" t="n">
        <v>3</v>
      </c>
      <c r="H3967" t="n">
        <v>20690</v>
      </c>
      <c r="I3967" t="n">
        <v>20047.14</v>
      </c>
      <c r="J3967" t="n">
        <v>1</v>
      </c>
      <c r="K3967" t="inlineStr">
        <is>
          <t>逆5日线（收盘在5日线下，不追多）</t>
        </is>
      </c>
    </row>
    <row r="3968">
      <c r="A3968" t="inlineStr">
        <is>
          <t>2025-02-25</t>
        </is>
      </c>
      <c r="B3968" t="inlineStr">
        <is>
          <t>工业硅</t>
        </is>
      </c>
      <c r="C3968" t="inlineStr">
        <is>
          <t>空</t>
        </is>
      </c>
      <c r="D3968" t="n">
        <v>3</v>
      </c>
      <c r="E3968" t="n">
        <v>7</v>
      </c>
      <c r="F3968" t="inlineStr">
        <is>
          <t>开仓</t>
        </is>
      </c>
      <c r="G3968" t="n">
        <v>11</v>
      </c>
      <c r="H3968" t="n">
        <v>10415</v>
      </c>
      <c r="I3968" t="n">
        <v>10932.5</v>
      </c>
      <c r="J3968" t="n">
        <v>3</v>
      </c>
      <c r="K3968" t="inlineStr">
        <is>
          <t>¼凯利超上限，取3%</t>
        </is>
      </c>
    </row>
    <row r="3969">
      <c r="A3969" t="inlineStr">
        <is>
          <t>2025-02-25</t>
        </is>
      </c>
      <c r="B3969" t="inlineStr">
        <is>
          <t>棕榈油</t>
        </is>
      </c>
      <c r="C3969" t="inlineStr">
        <is>
          <t>多</t>
        </is>
      </c>
      <c r="D3969" t="n">
        <v>3</v>
      </c>
      <c r="E3969" t="n">
        <v>6</v>
      </c>
      <c r="F3969" t="inlineStr">
        <is>
          <t>观望</t>
        </is>
      </c>
      <c r="G3969" t="n">
        <v>5</v>
      </c>
      <c r="H3969" t="n">
        <v>9178</v>
      </c>
      <c r="I3969" t="n">
        <v>8635.860000000001</v>
      </c>
      <c r="J3969" t="n">
        <v>3</v>
      </c>
      <c r="K3969" t="inlineStr">
        <is>
          <t>逆5日线（收盘在5日线下，不追多）</t>
        </is>
      </c>
    </row>
    <row r="3970">
      <c r="A3970" t="inlineStr">
        <is>
          <t>2025-02-25</t>
        </is>
      </c>
      <c r="B3970" t="inlineStr">
        <is>
          <t>白糖</t>
        </is>
      </c>
      <c r="C3970" t="inlineStr">
        <is>
          <t>多</t>
        </is>
      </c>
      <c r="D3970" t="n">
        <v>3</v>
      </c>
      <c r="E3970" t="n">
        <v>6</v>
      </c>
      <c r="F3970" t="inlineStr">
        <is>
          <t>观望</t>
        </is>
      </c>
      <c r="G3970" t="n">
        <v>21</v>
      </c>
      <c r="H3970" t="n">
        <v>5971</v>
      </c>
      <c r="I3970" t="n">
        <v>5828.71</v>
      </c>
      <c r="J3970" t="n">
        <v>3</v>
      </c>
      <c r="K3970" t="inlineStr">
        <is>
          <t>逆5日线（收盘在5日线下，不追多）</t>
        </is>
      </c>
    </row>
    <row r="3971">
      <c r="A3971" t="inlineStr">
        <is>
          <t>2025-02-25</t>
        </is>
      </c>
      <c r="B3971" t="inlineStr">
        <is>
          <t>沪金</t>
        </is>
      </c>
      <c r="C3971" t="inlineStr">
        <is>
          <t>多</t>
        </is>
      </c>
      <c r="D3971" t="n">
        <v>2</v>
      </c>
      <c r="E3971" t="n">
        <v>5</v>
      </c>
      <c r="F3971" t="inlineStr">
        <is>
          <t>观望</t>
        </is>
      </c>
      <c r="H3971" t="n">
        <v>685.58</v>
      </c>
      <c r="J3971" t="n">
        <v>1</v>
      </c>
      <c r="K3971" t="inlineStr">
        <is>
          <t>逆5日线（收盘在5日线下，不追多）</t>
        </is>
      </c>
    </row>
    <row r="3972">
      <c r="A3972" t="inlineStr">
        <is>
          <t>2025-02-26</t>
        </is>
      </c>
      <c r="B3972" t="inlineStr">
        <is>
          <t>棕榈油</t>
        </is>
      </c>
      <c r="C3972" t="inlineStr">
        <is>
          <t>多</t>
        </is>
      </c>
      <c r="D3972" t="n">
        <v>3</v>
      </c>
      <c r="E3972" t="n">
        <v>7</v>
      </c>
      <c r="F3972" t="inlineStr">
        <is>
          <t>观望</t>
        </is>
      </c>
      <c r="G3972" t="n">
        <v>5</v>
      </c>
      <c r="H3972" t="n">
        <v>9228</v>
      </c>
      <c r="I3972" t="n">
        <v>8703.860000000001</v>
      </c>
      <c r="J3972" t="n">
        <v>3</v>
      </c>
      <c r="K3972" t="inlineStr">
        <is>
          <t>逆5日线（收盘在5日线下，不追多）</t>
        </is>
      </c>
    </row>
    <row r="3973">
      <c r="A3973" t="inlineStr">
        <is>
          <t>2025-02-26</t>
        </is>
      </c>
      <c r="B3973" t="inlineStr">
        <is>
          <t>白糖</t>
        </is>
      </c>
      <c r="C3973" t="inlineStr">
        <is>
          <t>多</t>
        </is>
      </c>
      <c r="D3973" t="n">
        <v>3</v>
      </c>
      <c r="E3973" t="n">
        <v>6</v>
      </c>
      <c r="F3973" t="inlineStr">
        <is>
          <t>续持</t>
        </is>
      </c>
      <c r="G3973" t="n">
        <v>6</v>
      </c>
      <c r="H3973" t="n">
        <v>6002</v>
      </c>
      <c r="I3973" t="n">
        <v>5901.71</v>
      </c>
      <c r="J3973" t="n">
        <v>1</v>
      </c>
      <c r="K3973" t="inlineStr">
        <is>
          <t>续持原仓（2025-02-18开）</t>
        </is>
      </c>
    </row>
    <row r="3974">
      <c r="A3974" t="inlineStr">
        <is>
          <t>2025-02-26</t>
        </is>
      </c>
      <c r="B3974" t="inlineStr">
        <is>
          <t>棉花</t>
        </is>
      </c>
      <c r="C3974" t="inlineStr">
        <is>
          <t>多</t>
        </is>
      </c>
      <c r="D3974" t="n">
        <v>2</v>
      </c>
      <c r="E3974" t="n">
        <v>5</v>
      </c>
      <c r="F3974" t="inlineStr">
        <is>
          <t>观望</t>
        </is>
      </c>
      <c r="G3974" t="n">
        <v>6</v>
      </c>
      <c r="H3974" t="n">
        <v>13805</v>
      </c>
      <c r="I3974" t="n">
        <v>13503.93</v>
      </c>
      <c r="J3974" t="n">
        <v>1</v>
      </c>
      <c r="K3974" t="inlineStr">
        <is>
          <t>逆5日线（收盘在5日线下，不追多）</t>
        </is>
      </c>
    </row>
    <row r="3975">
      <c r="A3975" t="inlineStr">
        <is>
          <t>2025-02-26</t>
        </is>
      </c>
      <c r="B3975" t="inlineStr">
        <is>
          <t>玻璃</t>
        </is>
      </c>
      <c r="C3975" t="inlineStr">
        <is>
          <t>空</t>
        </is>
      </c>
      <c r="D3975" t="n">
        <v>2</v>
      </c>
      <c r="E3975" t="n">
        <v>4</v>
      </c>
      <c r="F3975" t="inlineStr">
        <is>
          <t>续持</t>
        </is>
      </c>
      <c r="G3975" t="n">
        <v>4</v>
      </c>
      <c r="H3975" t="n">
        <v>1224</v>
      </c>
      <c r="I3975" t="n">
        <v>1311.71</v>
      </c>
      <c r="J3975" t="n">
        <v>1</v>
      </c>
      <c r="K3975" t="inlineStr">
        <is>
          <t>续持原仓（2025-02-12开）</t>
        </is>
      </c>
    </row>
    <row r="3976">
      <c r="A3976" t="inlineStr">
        <is>
          <t>2025-02-26</t>
        </is>
      </c>
      <c r="B3976" t="inlineStr">
        <is>
          <t>沪锌</t>
        </is>
      </c>
      <c r="C3976" t="inlineStr">
        <is>
          <t>多</t>
        </is>
      </c>
      <c r="D3976" t="n">
        <v>2</v>
      </c>
      <c r="E3976" t="n">
        <v>4</v>
      </c>
      <c r="F3976" t="inlineStr">
        <is>
          <t>观望</t>
        </is>
      </c>
      <c r="G3976" t="n">
        <v>2</v>
      </c>
      <c r="H3976" t="n">
        <v>23565</v>
      </c>
      <c r="I3976" t="n">
        <v>22602.86</v>
      </c>
      <c r="J3976" t="n">
        <v>1</v>
      </c>
      <c r="K3976" t="inlineStr">
        <is>
          <t>逆5日线（收盘在5日线下，不追多）</t>
        </is>
      </c>
    </row>
    <row r="3977">
      <c r="A3977" t="inlineStr">
        <is>
          <t>2025-02-27</t>
        </is>
      </c>
      <c r="B3977" t="inlineStr">
        <is>
          <t>白糖</t>
        </is>
      </c>
      <c r="C3977" t="inlineStr">
        <is>
          <t>多</t>
        </is>
      </c>
      <c r="D3977" t="n">
        <v>2</v>
      </c>
      <c r="E3977" t="n">
        <v>5</v>
      </c>
      <c r="F3977" t="inlineStr">
        <is>
          <t>续持</t>
        </is>
      </c>
      <c r="G3977" t="n">
        <v>6</v>
      </c>
      <c r="H3977" t="n">
        <v>5998</v>
      </c>
      <c r="I3977" t="n">
        <v>5906.43</v>
      </c>
      <c r="J3977" t="n">
        <v>1</v>
      </c>
      <c r="K3977" t="inlineStr">
        <is>
          <t>续持原仓（2025-02-18开）</t>
        </is>
      </c>
    </row>
    <row r="3978">
      <c r="A3978" t="inlineStr">
        <is>
          <t>2025-02-27</t>
        </is>
      </c>
      <c r="B3978" t="inlineStr">
        <is>
          <t>沪锌</t>
        </is>
      </c>
      <c r="C3978" t="inlineStr">
        <is>
          <t>多</t>
        </is>
      </c>
      <c r="D3978" t="n">
        <v>2</v>
      </c>
      <c r="E3978" t="n">
        <v>4</v>
      </c>
      <c r="F3978" t="inlineStr">
        <is>
          <t>观望</t>
        </is>
      </c>
      <c r="G3978" t="n">
        <v>2</v>
      </c>
      <c r="H3978" t="n">
        <v>23555</v>
      </c>
      <c r="I3978" t="n">
        <v>22657.14</v>
      </c>
      <c r="J3978" t="n">
        <v>1</v>
      </c>
      <c r="K3978" t="inlineStr">
        <is>
          <t>逆5日线（收盘在5日线下，不追多）</t>
        </is>
      </c>
    </row>
    <row r="3979">
      <c r="A3979" t="inlineStr">
        <is>
          <t>2025-02-28</t>
        </is>
      </c>
      <c r="B3979" t="inlineStr">
        <is>
          <t>工业硅</t>
        </is>
      </c>
      <c r="C3979" t="inlineStr">
        <is>
          <t>空</t>
        </is>
      </c>
      <c r="D3979" t="n">
        <v>2</v>
      </c>
      <c r="E3979" t="n">
        <v>5</v>
      </c>
      <c r="F3979" t="inlineStr">
        <is>
          <t>影子仓</t>
        </is>
      </c>
      <c r="G3979" t="n">
        <v>4</v>
      </c>
      <c r="H3979" t="n">
        <v>10355</v>
      </c>
      <c r="I3979" t="n">
        <v>10800.71</v>
      </c>
      <c r="J3979" t="n">
        <v>1</v>
      </c>
      <c r="K3979" t="inlineStr">
        <is>
          <t>凯利≤0，开1%影子仓（只统计，不计入组合）</t>
        </is>
      </c>
    </row>
    <row r="3980">
      <c r="A3980" t="inlineStr">
        <is>
          <t>2025-02-28</t>
        </is>
      </c>
      <c r="B3980" t="inlineStr">
        <is>
          <t>沪铝</t>
        </is>
      </c>
      <c r="C3980" t="inlineStr">
        <is>
          <t>多</t>
        </is>
      </c>
      <c r="D3980" t="n">
        <v>2</v>
      </c>
      <c r="E3980" t="n">
        <v>4</v>
      </c>
      <c r="F3980" t="inlineStr">
        <is>
          <t>续持</t>
        </is>
      </c>
      <c r="G3980" t="n">
        <v>2</v>
      </c>
      <c r="H3980" t="n">
        <v>20640</v>
      </c>
      <c r="I3980" t="n">
        <v>20380.71</v>
      </c>
      <c r="J3980" t="n">
        <v>1</v>
      </c>
      <c r="K3980" t="inlineStr">
        <is>
          <t>续持原仓（2025-02-20开）</t>
        </is>
      </c>
    </row>
    <row r="3981">
      <c r="A3981" t="inlineStr">
        <is>
          <t>2025-03-03</t>
        </is>
      </c>
      <c r="B3981" t="inlineStr">
        <is>
          <t>碳酸锂</t>
        </is>
      </c>
      <c r="C3981" t="inlineStr">
        <is>
          <t>空</t>
        </is>
      </c>
      <c r="D3981" t="n">
        <v>3</v>
      </c>
      <c r="E3981" t="n">
        <v>6</v>
      </c>
      <c r="F3981" t="inlineStr">
        <is>
          <t>开仓</t>
        </is>
      </c>
      <c r="G3981" t="n">
        <v>12</v>
      </c>
      <c r="H3981" t="n">
        <v>75400</v>
      </c>
      <c r="I3981" t="n">
        <v>77868.57000000001</v>
      </c>
      <c r="J3981" t="n">
        <v>3</v>
      </c>
      <c r="K3981" t="inlineStr">
        <is>
          <t>¼凯利超上限，取3%</t>
        </is>
      </c>
    </row>
    <row r="3982">
      <c r="A3982" t="inlineStr">
        <is>
          <t>2025-03-03</t>
        </is>
      </c>
      <c r="B3982" t="inlineStr">
        <is>
          <t>白糖</t>
        </is>
      </c>
      <c r="C3982" t="inlineStr">
        <is>
          <t>多</t>
        </is>
      </c>
      <c r="D3982" t="n">
        <v>2</v>
      </c>
      <c r="E3982" t="n">
        <v>5</v>
      </c>
      <c r="F3982" t="inlineStr">
        <is>
          <t>观望</t>
        </is>
      </c>
      <c r="G3982" t="n">
        <v>7</v>
      </c>
      <c r="H3982" t="n">
        <v>5932</v>
      </c>
      <c r="I3982" t="n">
        <v>5789.29</v>
      </c>
      <c r="J3982" t="n">
        <v>1</v>
      </c>
      <c r="K3982" t="inlineStr">
        <is>
          <t>逆5日线（收盘在5日线下，不追多）</t>
        </is>
      </c>
    </row>
    <row r="3983">
      <c r="A3983" t="inlineStr">
        <is>
          <t>2025-03-03</t>
        </is>
      </c>
      <c r="B3983" t="inlineStr">
        <is>
          <t>玉米</t>
        </is>
      </c>
      <c r="C3983" t="inlineStr">
        <is>
          <t>多</t>
        </is>
      </c>
      <c r="D3983" t="n">
        <v>2</v>
      </c>
      <c r="E3983" t="n">
        <v>4</v>
      </c>
      <c r="F3983" t="inlineStr">
        <is>
          <t>影子仓</t>
        </is>
      </c>
      <c r="G3983" t="n">
        <v>17</v>
      </c>
      <c r="H3983" t="n">
        <v>2312</v>
      </c>
      <c r="I3983" t="n">
        <v>2253.5</v>
      </c>
      <c r="J3983" t="n">
        <v>1</v>
      </c>
      <c r="K3983" t="inlineStr">
        <is>
          <t>凯利≤0，开1%影子仓（只统计，不计入组合）</t>
        </is>
      </c>
    </row>
    <row r="3984">
      <c r="A3984" t="inlineStr">
        <is>
          <t>2025-03-04</t>
        </is>
      </c>
      <c r="B3984" t="inlineStr">
        <is>
          <t>工业硅</t>
        </is>
      </c>
      <c r="C3984" t="inlineStr">
        <is>
          <t>空</t>
        </is>
      </c>
      <c r="D3984" t="n">
        <v>3</v>
      </c>
      <c r="E3984" t="n">
        <v>6</v>
      </c>
      <c r="F3984" t="inlineStr">
        <is>
          <t>开仓</t>
        </is>
      </c>
      <c r="G3984" t="n">
        <v>13</v>
      </c>
      <c r="H3984" t="n">
        <v>10340</v>
      </c>
      <c r="I3984" t="n">
        <v>10782.5</v>
      </c>
      <c r="J3984" t="n">
        <v>3</v>
      </c>
      <c r="K3984" t="inlineStr">
        <is>
          <t>¼凯利超上限，取3%</t>
        </is>
      </c>
    </row>
    <row r="3985">
      <c r="A3985" t="inlineStr">
        <is>
          <t>2025-03-04</t>
        </is>
      </c>
      <c r="B3985" t="inlineStr">
        <is>
          <t>PTA</t>
        </is>
      </c>
      <c r="C3985" t="inlineStr">
        <is>
          <t>空</t>
        </is>
      </c>
      <c r="D3985" t="n">
        <v>2</v>
      </c>
      <c r="E3985" t="n">
        <v>4</v>
      </c>
      <c r="F3985" t="inlineStr">
        <is>
          <t>影子仓</t>
        </is>
      </c>
      <c r="G3985" t="n">
        <v>8</v>
      </c>
      <c r="H3985" t="n">
        <v>4886</v>
      </c>
      <c r="I3985" t="n">
        <v>5118.29</v>
      </c>
      <c r="J3985" t="n">
        <v>1</v>
      </c>
      <c r="K3985" t="inlineStr">
        <is>
          <t>凯利≤0，开1%影子仓（只统计，不计入组合）</t>
        </is>
      </c>
    </row>
    <row r="3986">
      <c r="A3986" t="inlineStr">
        <is>
          <t>2025-03-04</t>
        </is>
      </c>
      <c r="B3986" t="inlineStr">
        <is>
          <t>白糖</t>
        </is>
      </c>
      <c r="C3986" t="inlineStr">
        <is>
          <t>多</t>
        </is>
      </c>
      <c r="D3986" t="n">
        <v>2</v>
      </c>
      <c r="E3986" t="n">
        <v>4</v>
      </c>
      <c r="F3986" t="inlineStr">
        <is>
          <t>观望</t>
        </is>
      </c>
      <c r="G3986" t="n">
        <v>7</v>
      </c>
      <c r="H3986" t="n">
        <v>5919</v>
      </c>
      <c r="I3986" t="n">
        <v>5778.43</v>
      </c>
      <c r="J3986" t="n">
        <v>1</v>
      </c>
      <c r="K3986" t="inlineStr">
        <is>
          <t>逆5日线（收盘在5日线下，不追多）</t>
        </is>
      </c>
    </row>
    <row r="3987">
      <c r="A3987" t="inlineStr">
        <is>
          <t>2025-03-05</t>
        </is>
      </c>
      <c r="B3987" t="inlineStr">
        <is>
          <t>甲醇</t>
        </is>
      </c>
      <c r="C3987" t="inlineStr">
        <is>
          <t>空</t>
        </is>
      </c>
      <c r="D3987" t="n">
        <v>3</v>
      </c>
      <c r="E3987" t="n">
        <v>6</v>
      </c>
      <c r="F3987" t="inlineStr">
        <is>
          <t>开仓</t>
        </is>
      </c>
      <c r="G3987" t="n">
        <v>30</v>
      </c>
      <c r="H3987" t="n">
        <v>2591</v>
      </c>
      <c r="I3987" t="n">
        <v>2688.71</v>
      </c>
      <c r="J3987" t="n">
        <v>3</v>
      </c>
      <c r="K3987" t="inlineStr">
        <is>
          <t>¼凯利超上限，取3%</t>
        </is>
      </c>
    </row>
    <row r="3988">
      <c r="A3988" t="inlineStr">
        <is>
          <t>2025-03-05</t>
        </is>
      </c>
      <c r="B3988" t="inlineStr">
        <is>
          <t>碳酸锂</t>
        </is>
      </c>
      <c r="C3988" t="inlineStr">
        <is>
          <t>空</t>
        </is>
      </c>
      <c r="D3988" t="n">
        <v>2</v>
      </c>
      <c r="E3988" t="n">
        <v>5</v>
      </c>
      <c r="F3988" t="inlineStr">
        <is>
          <t>续持</t>
        </is>
      </c>
      <c r="G3988" t="n">
        <v>12</v>
      </c>
      <c r="H3988" t="n">
        <v>75340</v>
      </c>
      <c r="I3988" t="n">
        <v>77331.42999999999</v>
      </c>
      <c r="J3988" t="n">
        <v>3</v>
      </c>
      <c r="K3988" t="inlineStr">
        <is>
          <t>续持原仓（2025-03-03开）</t>
        </is>
      </c>
    </row>
    <row r="3989">
      <c r="A3989" t="inlineStr">
        <is>
          <t>2025-03-05</t>
        </is>
      </c>
      <c r="B3989" t="inlineStr">
        <is>
          <t>玻璃</t>
        </is>
      </c>
      <c r="C3989" t="inlineStr">
        <is>
          <t>空</t>
        </is>
      </c>
      <c r="D3989" t="n">
        <v>2</v>
      </c>
      <c r="E3989" t="n">
        <v>4</v>
      </c>
      <c r="F3989" t="inlineStr">
        <is>
          <t>续持</t>
        </is>
      </c>
      <c r="G3989" t="n">
        <v>4</v>
      </c>
      <c r="H3989" t="n">
        <v>1202</v>
      </c>
      <c r="I3989" t="n">
        <v>1284.57</v>
      </c>
      <c r="J3989" t="n">
        <v>1</v>
      </c>
      <c r="K3989" t="inlineStr">
        <is>
          <t>续持原仓（2025-02-12开）</t>
        </is>
      </c>
    </row>
    <row r="3990">
      <c r="A3990" t="inlineStr">
        <is>
          <t>2025-03-05</t>
        </is>
      </c>
      <c r="B3990" t="inlineStr">
        <is>
          <t>白糖</t>
        </is>
      </c>
      <c r="C3990" t="inlineStr">
        <is>
          <t>多</t>
        </is>
      </c>
      <c r="D3990" t="n">
        <v>2</v>
      </c>
      <c r="E3990" t="n">
        <v>4</v>
      </c>
      <c r="F3990" t="inlineStr">
        <is>
          <t>观望</t>
        </is>
      </c>
      <c r="G3990" t="n">
        <v>6</v>
      </c>
      <c r="H3990" t="n">
        <v>5901</v>
      </c>
      <c r="I3990" t="n">
        <v>5757.64</v>
      </c>
      <c r="J3990" t="n">
        <v>1</v>
      </c>
      <c r="K3990" t="inlineStr">
        <is>
          <t>逆5日线（收盘在5日线下，不追多）</t>
        </is>
      </c>
    </row>
    <row r="3991">
      <c r="A3991" t="inlineStr">
        <is>
          <t>2025-03-06</t>
        </is>
      </c>
      <c r="B3991" t="inlineStr">
        <is>
          <t>PTA</t>
        </is>
      </c>
      <c r="C3991" t="inlineStr">
        <is>
          <t>空</t>
        </is>
      </c>
      <c r="D3991" t="n">
        <v>3</v>
      </c>
      <c r="E3991" t="n">
        <v>7</v>
      </c>
      <c r="F3991" t="inlineStr">
        <is>
          <t>续持</t>
        </is>
      </c>
      <c r="G3991" t="n">
        <v>8</v>
      </c>
      <c r="H3991" t="n">
        <v>4842</v>
      </c>
      <c r="I3991" t="n">
        <v>5013.86</v>
      </c>
      <c r="J3991" t="n">
        <v>1</v>
      </c>
      <c r="K3991" t="inlineStr">
        <is>
          <t>续持原仓（2025-03-04开）</t>
        </is>
      </c>
    </row>
    <row r="3992">
      <c r="A3992" t="inlineStr">
        <is>
          <t>2025-03-06</t>
        </is>
      </c>
      <c r="B3992" t="inlineStr">
        <is>
          <t>碳酸锂</t>
        </is>
      </c>
      <c r="C3992" t="inlineStr">
        <is>
          <t>空</t>
        </is>
      </c>
      <c r="D3992" t="n">
        <v>2</v>
      </c>
      <c r="E3992" t="n">
        <v>4</v>
      </c>
      <c r="F3992" t="inlineStr">
        <is>
          <t>观望</t>
        </is>
      </c>
      <c r="G3992" t="n">
        <v>3</v>
      </c>
      <c r="H3992" t="n">
        <v>76800</v>
      </c>
      <c r="I3992" t="n">
        <v>79358.57000000001</v>
      </c>
      <c r="J3992" t="n">
        <v>1</v>
      </c>
      <c r="K3992" t="inlineStr">
        <is>
          <t>逆5日线（收盘在5日线上，不追空）</t>
        </is>
      </c>
    </row>
    <row r="3993">
      <c r="A3993" t="inlineStr">
        <is>
          <t>2025-03-07</t>
        </is>
      </c>
      <c r="B3993" t="inlineStr">
        <is>
          <t>碳酸锂</t>
        </is>
      </c>
      <c r="C3993" t="inlineStr">
        <is>
          <t>空</t>
        </is>
      </c>
      <c r="D3993" t="n">
        <v>3</v>
      </c>
      <c r="E3993" t="n">
        <v>7</v>
      </c>
      <c r="F3993" t="inlineStr">
        <is>
          <t>观望</t>
        </is>
      </c>
      <c r="H3993" t="n">
        <v>76120</v>
      </c>
      <c r="J3993" t="n">
        <v>0</v>
      </c>
      <c r="K3993" t="inlineStr">
        <is>
          <t>逆5日线（收盘在5日线上，不追空）</t>
        </is>
      </c>
    </row>
    <row r="3994">
      <c r="A3994" t="inlineStr">
        <is>
          <t>2025-03-07</t>
        </is>
      </c>
      <c r="B3994" t="inlineStr">
        <is>
          <t>工业硅</t>
        </is>
      </c>
      <c r="C3994" t="inlineStr">
        <is>
          <t>空</t>
        </is>
      </c>
      <c r="D3994" t="n">
        <v>3</v>
      </c>
      <c r="E3994" t="n">
        <v>7</v>
      </c>
      <c r="F3994" t="inlineStr">
        <is>
          <t>开仓</t>
        </is>
      </c>
      <c r="G3994" t="n">
        <v>15</v>
      </c>
      <c r="H3994" t="n">
        <v>10120</v>
      </c>
      <c r="I3994" t="n">
        <v>10515.36</v>
      </c>
      <c r="J3994" t="n">
        <v>3</v>
      </c>
      <c r="K3994" t="inlineStr">
        <is>
          <t>¼凯利超上限，取3%</t>
        </is>
      </c>
    </row>
    <row r="3995">
      <c r="A3995" t="inlineStr">
        <is>
          <t>2025-03-10</t>
        </is>
      </c>
      <c r="B3995" t="inlineStr">
        <is>
          <t>玻璃</t>
        </is>
      </c>
      <c r="C3995" t="inlineStr">
        <is>
          <t>空</t>
        </is>
      </c>
      <c r="D3995" t="n">
        <v>3</v>
      </c>
      <c r="E3995" t="n">
        <v>7</v>
      </c>
      <c r="F3995" t="inlineStr">
        <is>
          <t>开仓</t>
        </is>
      </c>
      <c r="G3995" t="n">
        <v>16</v>
      </c>
      <c r="H3995" t="n">
        <v>1143</v>
      </c>
      <c r="I3995" t="n">
        <v>1235.14</v>
      </c>
      <c r="J3995" t="n">
        <v>3</v>
      </c>
      <c r="K3995" t="inlineStr">
        <is>
          <t>¼凯利超上限，取3%</t>
        </is>
      </c>
    </row>
    <row r="3996">
      <c r="A3996" t="inlineStr">
        <is>
          <t>2025-03-10</t>
        </is>
      </c>
      <c r="B3996" t="inlineStr">
        <is>
          <t>碳酸锂</t>
        </is>
      </c>
      <c r="C3996" t="inlineStr">
        <is>
          <t>空</t>
        </is>
      </c>
      <c r="D3996" t="n">
        <v>3</v>
      </c>
      <c r="E3996" t="n">
        <v>7</v>
      </c>
      <c r="F3996" t="inlineStr">
        <is>
          <t>续持</t>
        </is>
      </c>
      <c r="G3996" t="n">
        <v>12</v>
      </c>
      <c r="H3996" t="n">
        <v>75760</v>
      </c>
      <c r="I3996" t="n">
        <v>77331.42999999999</v>
      </c>
      <c r="J3996" t="n">
        <v>3</v>
      </c>
      <c r="K3996" t="inlineStr">
        <is>
          <t>续持原仓（2025-03-03开）</t>
        </is>
      </c>
    </row>
    <row r="3997">
      <c r="A3997" t="inlineStr">
        <is>
          <t>2025-03-10</t>
        </is>
      </c>
      <c r="B3997" t="inlineStr">
        <is>
          <t>工业硅</t>
        </is>
      </c>
      <c r="C3997" t="inlineStr">
        <is>
          <t>空</t>
        </is>
      </c>
      <c r="D3997" t="n">
        <v>3</v>
      </c>
      <c r="E3997" t="n">
        <v>7</v>
      </c>
      <c r="F3997" t="inlineStr">
        <is>
          <t>续持</t>
        </is>
      </c>
      <c r="G3997" t="n">
        <v>15</v>
      </c>
      <c r="H3997" t="n">
        <v>10020</v>
      </c>
      <c r="I3997" t="n">
        <v>10414.29</v>
      </c>
      <c r="J3997" t="n">
        <v>3</v>
      </c>
      <c r="K3997" t="inlineStr">
        <is>
          <t>续持原仓（2025-03-07开）</t>
        </is>
      </c>
    </row>
    <row r="3998">
      <c r="A3998" t="inlineStr">
        <is>
          <t>2025-03-10</t>
        </is>
      </c>
      <c r="B3998" t="inlineStr">
        <is>
          <t>PTA</t>
        </is>
      </c>
      <c r="C3998" t="inlineStr">
        <is>
          <t>空</t>
        </is>
      </c>
      <c r="D3998" t="n">
        <v>3</v>
      </c>
      <c r="E3998" t="n">
        <v>6</v>
      </c>
      <c r="F3998" t="inlineStr">
        <is>
          <t>续持</t>
        </is>
      </c>
      <c r="G3998" t="n">
        <v>8</v>
      </c>
      <c r="H3998" t="n">
        <v>4826</v>
      </c>
      <c r="I3998" t="n">
        <v>5007.43</v>
      </c>
      <c r="J3998" t="n">
        <v>1</v>
      </c>
      <c r="K3998" t="inlineStr">
        <is>
          <t>续持原仓（2025-03-04开）</t>
        </is>
      </c>
    </row>
    <row r="3999">
      <c r="A3999" t="inlineStr">
        <is>
          <t>2025-03-10</t>
        </is>
      </c>
      <c r="B3999" t="inlineStr">
        <is>
          <t>铁矿石</t>
        </is>
      </c>
      <c r="C3999" t="inlineStr">
        <is>
          <t>空</t>
        </is>
      </c>
      <c r="D3999" t="n">
        <v>2</v>
      </c>
      <c r="E3999" t="n">
        <v>4</v>
      </c>
      <c r="F3999" t="inlineStr">
        <is>
          <t>影子仓</t>
        </is>
      </c>
      <c r="G3999" t="n">
        <v>2</v>
      </c>
      <c r="H3999" t="n">
        <v>769</v>
      </c>
      <c r="I3999" t="n">
        <v>817.21</v>
      </c>
      <c r="J3999" t="n">
        <v>1</v>
      </c>
      <c r="K3999" t="inlineStr">
        <is>
          <t>凯利≤0，开1%影子仓（只统计，不计入组合）</t>
        </is>
      </c>
    </row>
    <row r="4000">
      <c r="A4000" t="inlineStr">
        <is>
          <t>2025-03-11</t>
        </is>
      </c>
      <c r="B4000" t="inlineStr">
        <is>
          <t>PTA</t>
        </is>
      </c>
      <c r="C4000" t="inlineStr">
        <is>
          <t>空</t>
        </is>
      </c>
      <c r="D4000" t="n">
        <v>3</v>
      </c>
      <c r="E4000" t="n">
        <v>7</v>
      </c>
      <c r="F4000" t="inlineStr">
        <is>
          <t>续持</t>
        </is>
      </c>
      <c r="G4000" t="n">
        <v>8</v>
      </c>
      <c r="H4000" t="n">
        <v>4792</v>
      </c>
      <c r="I4000" t="n">
        <v>4973.43</v>
      </c>
      <c r="J4000" t="n">
        <v>1</v>
      </c>
      <c r="K4000" t="inlineStr">
        <is>
          <t>续持原仓（2025-03-04开）</t>
        </is>
      </c>
    </row>
    <row r="4001">
      <c r="A4001" t="inlineStr">
        <is>
          <t>2025-03-11</t>
        </is>
      </c>
      <c r="B4001" t="inlineStr">
        <is>
          <t>燃料油</t>
        </is>
      </c>
      <c r="C4001" t="inlineStr">
        <is>
          <t>空</t>
        </is>
      </c>
      <c r="D4001" t="n">
        <v>3</v>
      </c>
      <c r="E4001" t="n">
        <v>6</v>
      </c>
      <c r="F4001" t="inlineStr">
        <is>
          <t>观望</t>
        </is>
      </c>
      <c r="G4001" t="n">
        <v>13</v>
      </c>
      <c r="H4001" t="n">
        <v>3101</v>
      </c>
      <c r="I4001" t="n">
        <v>3324.07</v>
      </c>
      <c r="J4001" t="n">
        <v>3</v>
      </c>
      <c r="K4001" t="inlineStr">
        <is>
          <t>逆5日线（收盘在5日线上，不追空）</t>
        </is>
      </c>
    </row>
    <row r="4002">
      <c r="A4002" t="inlineStr">
        <is>
          <t>2025-03-11</t>
        </is>
      </c>
      <c r="B4002" t="inlineStr">
        <is>
          <t>碳酸锂</t>
        </is>
      </c>
      <c r="C4002" t="inlineStr">
        <is>
          <t>空</t>
        </is>
      </c>
      <c r="D4002" t="n">
        <v>2</v>
      </c>
      <c r="E4002" t="n">
        <v>5</v>
      </c>
      <c r="F4002" t="inlineStr">
        <is>
          <t>续持</t>
        </is>
      </c>
      <c r="G4002" t="n">
        <v>12</v>
      </c>
      <c r="H4002" t="n">
        <v>75960</v>
      </c>
      <c r="I4002" t="n">
        <v>77331.42999999999</v>
      </c>
      <c r="J4002" t="n">
        <v>3</v>
      </c>
      <c r="K4002" t="inlineStr">
        <is>
          <t>续持原仓（2025-03-03开）</t>
        </is>
      </c>
    </row>
    <row r="4003">
      <c r="A4003" t="inlineStr">
        <is>
          <t>2025-03-12</t>
        </is>
      </c>
      <c r="B4003" t="inlineStr">
        <is>
          <t>PTA</t>
        </is>
      </c>
      <c r="C4003" t="inlineStr">
        <is>
          <t>空</t>
        </is>
      </c>
      <c r="D4003" t="n">
        <v>3</v>
      </c>
      <c r="E4003" t="n">
        <v>7</v>
      </c>
      <c r="F4003" t="inlineStr">
        <is>
          <t>续持</t>
        </is>
      </c>
      <c r="G4003" t="n">
        <v>8</v>
      </c>
      <c r="H4003" t="n">
        <v>4720</v>
      </c>
      <c r="I4003" t="n">
        <v>4952.29</v>
      </c>
      <c r="J4003" t="n">
        <v>1</v>
      </c>
      <c r="K4003" t="inlineStr">
        <is>
          <t>续持原仓（2025-03-04开）</t>
        </is>
      </c>
    </row>
    <row r="4004">
      <c r="A4004" t="inlineStr">
        <is>
          <t>2025-03-12</t>
        </is>
      </c>
      <c r="B4004" t="inlineStr">
        <is>
          <t>硅铁</t>
        </is>
      </c>
      <c r="C4004" t="inlineStr">
        <is>
          <t>空</t>
        </is>
      </c>
      <c r="D4004" t="n">
        <v>3</v>
      </c>
      <c r="E4004" t="n">
        <v>6</v>
      </c>
      <c r="F4004" t="inlineStr">
        <is>
          <t>开仓</t>
        </is>
      </c>
      <c r="G4004" t="n">
        <v>38</v>
      </c>
      <c r="H4004" t="n">
        <v>5994</v>
      </c>
      <c r="I4004" t="n">
        <v>6147.86</v>
      </c>
      <c r="J4004" t="n">
        <v>3</v>
      </c>
      <c r="K4004" t="inlineStr">
        <is>
          <t>¼凯利超上限，取3%</t>
        </is>
      </c>
    </row>
    <row r="4005">
      <c r="A4005" t="inlineStr">
        <is>
          <t>2025-03-12</t>
        </is>
      </c>
      <c r="B4005" t="inlineStr">
        <is>
          <t>碳酸锂</t>
        </is>
      </c>
      <c r="C4005" t="inlineStr">
        <is>
          <t>空</t>
        </is>
      </c>
      <c r="D4005" t="n">
        <v>3</v>
      </c>
      <c r="E4005" t="n">
        <v>6</v>
      </c>
      <c r="F4005" t="inlineStr">
        <is>
          <t>续持</t>
        </is>
      </c>
      <c r="G4005" t="n">
        <v>12</v>
      </c>
      <c r="H4005" t="n">
        <v>75600</v>
      </c>
      <c r="I4005" t="n">
        <v>77331.42999999999</v>
      </c>
      <c r="J4005" t="n">
        <v>3</v>
      </c>
      <c r="K4005" t="inlineStr">
        <is>
          <t>续持原仓（2025-03-03开）</t>
        </is>
      </c>
    </row>
    <row r="4006">
      <c r="A4006" t="inlineStr">
        <is>
          <t>2025-03-12</t>
        </is>
      </c>
      <c r="B4006" t="inlineStr">
        <is>
          <t>PVC</t>
        </is>
      </c>
      <c r="C4006" t="inlineStr">
        <is>
          <t>空</t>
        </is>
      </c>
      <c r="D4006" t="n">
        <v>2</v>
      </c>
      <c r="E4006" t="n">
        <v>4</v>
      </c>
      <c r="F4006" t="inlineStr">
        <is>
          <t>影子仓</t>
        </is>
      </c>
      <c r="G4006" t="n">
        <v>11</v>
      </c>
      <c r="H4006" t="n">
        <v>5018</v>
      </c>
      <c r="I4006" t="n">
        <v>5199.5</v>
      </c>
      <c r="J4006" t="n">
        <v>1</v>
      </c>
      <c r="K4006" t="inlineStr">
        <is>
          <t>凯利≤0，开1%影子仓（只统计，不计入组合）</t>
        </is>
      </c>
    </row>
    <row r="4007">
      <c r="A4007" t="inlineStr">
        <is>
          <t>2025-03-12</t>
        </is>
      </c>
      <c r="B4007" t="inlineStr">
        <is>
          <t>螺纹钢</t>
        </is>
      </c>
      <c r="C4007" t="inlineStr">
        <is>
          <t>空</t>
        </is>
      </c>
      <c r="D4007" t="n">
        <v>2</v>
      </c>
      <c r="E4007" t="n">
        <v>4</v>
      </c>
      <c r="F4007" t="inlineStr">
        <is>
          <t>影子仓</t>
        </is>
      </c>
      <c r="G4007" t="n">
        <v>7</v>
      </c>
      <c r="H4007" t="n">
        <v>3226</v>
      </c>
      <c r="I4007" t="n">
        <v>3363.57</v>
      </c>
      <c r="J4007" t="n">
        <v>1</v>
      </c>
      <c r="K4007" t="inlineStr">
        <is>
          <t>凯利≤0，开1%影子仓（只统计，不计入组合）</t>
        </is>
      </c>
    </row>
    <row r="4008">
      <c r="A4008" t="inlineStr">
        <is>
          <t>2025-03-13</t>
        </is>
      </c>
      <c r="B4008" t="inlineStr">
        <is>
          <t>碳酸锂</t>
        </is>
      </c>
      <c r="C4008" t="inlineStr">
        <is>
          <t>空</t>
        </is>
      </c>
      <c r="D4008" t="n">
        <v>3</v>
      </c>
      <c r="E4008" t="n">
        <v>6</v>
      </c>
      <c r="F4008" t="inlineStr">
        <is>
          <t>续持</t>
        </is>
      </c>
      <c r="G4008" t="n">
        <v>12</v>
      </c>
      <c r="H4008" t="n">
        <v>75340</v>
      </c>
      <c r="I4008" t="n">
        <v>77331.42999999999</v>
      </c>
      <c r="J4008" t="n">
        <v>3</v>
      </c>
      <c r="K4008" t="inlineStr">
        <is>
          <t>续持原仓（2025-03-03开）</t>
        </is>
      </c>
    </row>
    <row r="4009">
      <c r="A4009" t="inlineStr">
        <is>
          <t>2025-03-13</t>
        </is>
      </c>
      <c r="B4009" t="inlineStr">
        <is>
          <t>PTA</t>
        </is>
      </c>
      <c r="C4009" t="inlineStr">
        <is>
          <t>空</t>
        </is>
      </c>
      <c r="D4009" t="n">
        <v>2</v>
      </c>
      <c r="E4009" t="n">
        <v>5</v>
      </c>
      <c r="F4009" t="inlineStr">
        <is>
          <t>续持</t>
        </is>
      </c>
      <c r="G4009" t="n">
        <v>8</v>
      </c>
      <c r="H4009" t="n">
        <v>4768</v>
      </c>
      <c r="I4009" t="n">
        <v>4950.57</v>
      </c>
      <c r="J4009" t="n">
        <v>1</v>
      </c>
      <c r="K4009" t="inlineStr">
        <is>
          <t>续持原仓（2025-03-04开）</t>
        </is>
      </c>
    </row>
    <row r="4010">
      <c r="A4010" t="inlineStr">
        <is>
          <t>2025-03-13</t>
        </is>
      </c>
      <c r="B4010" t="inlineStr">
        <is>
          <t>工业硅</t>
        </is>
      </c>
      <c r="C4010" t="inlineStr">
        <is>
          <t>空</t>
        </is>
      </c>
      <c r="D4010" t="n">
        <v>2</v>
      </c>
      <c r="E4010" t="n">
        <v>5</v>
      </c>
      <c r="F4010" t="inlineStr">
        <is>
          <t>影子仓</t>
        </is>
      </c>
      <c r="G4010" t="n">
        <v>5</v>
      </c>
      <c r="H4010" t="n">
        <v>9945</v>
      </c>
      <c r="I4010" t="n">
        <v>10339.29</v>
      </c>
      <c r="J4010" t="n">
        <v>1</v>
      </c>
      <c r="K4010" t="inlineStr">
        <is>
          <t>凯利≤0，开1%影子仓（只统计，不计入组合）</t>
        </is>
      </c>
    </row>
    <row r="4011">
      <c r="A4011" t="inlineStr">
        <is>
          <t>2025-03-13</t>
        </is>
      </c>
      <c r="B4011" t="inlineStr">
        <is>
          <t>沪镍</t>
        </is>
      </c>
      <c r="C4011" t="inlineStr">
        <is>
          <t>多</t>
        </is>
      </c>
      <c r="D4011" t="n">
        <v>2</v>
      </c>
      <c r="E4011" t="n">
        <v>5</v>
      </c>
      <c r="F4011" t="inlineStr">
        <is>
          <t>影子仓</t>
        </is>
      </c>
      <c r="G4011" t="n">
        <v>1</v>
      </c>
      <c r="H4011" t="n">
        <v>133310</v>
      </c>
      <c r="I4011" t="n">
        <v>126395</v>
      </c>
      <c r="J4011" t="n">
        <v>1</v>
      </c>
      <c r="K4011" t="inlineStr">
        <is>
          <t>凯利≤0，开1%影子仓（只统计，不计入组合）</t>
        </is>
      </c>
    </row>
    <row r="4012">
      <c r="A4012" t="inlineStr">
        <is>
          <t>2025-03-13</t>
        </is>
      </c>
      <c r="B4012" t="inlineStr">
        <is>
          <t>硅铁</t>
        </is>
      </c>
      <c r="C4012" t="inlineStr">
        <is>
          <t>空</t>
        </is>
      </c>
      <c r="D4012" t="n">
        <v>2</v>
      </c>
      <c r="E4012" t="n">
        <v>5</v>
      </c>
      <c r="F4012" t="inlineStr">
        <is>
          <t>续持</t>
        </is>
      </c>
      <c r="G4012" t="n">
        <v>38</v>
      </c>
      <c r="H4012" t="n">
        <v>5982</v>
      </c>
      <c r="I4012" t="n">
        <v>6106.14</v>
      </c>
      <c r="J4012" t="n">
        <v>3</v>
      </c>
      <c r="K4012" t="inlineStr">
        <is>
          <t>续持原仓（2025-03-12开）</t>
        </is>
      </c>
    </row>
    <row r="4013">
      <c r="A4013" t="inlineStr">
        <is>
          <t>2025-03-14</t>
        </is>
      </c>
      <c r="B4013" t="inlineStr">
        <is>
          <t>碳酸锂</t>
        </is>
      </c>
      <c r="C4013" t="inlineStr">
        <is>
          <t>空</t>
        </is>
      </c>
      <c r="D4013" t="n">
        <v>3</v>
      </c>
      <c r="E4013" t="n">
        <v>6</v>
      </c>
      <c r="F4013" t="inlineStr">
        <is>
          <t>续持</t>
        </is>
      </c>
      <c r="G4013" t="n">
        <v>12</v>
      </c>
      <c r="H4013" t="n">
        <v>75540</v>
      </c>
      <c r="I4013" t="n">
        <v>77331.42999999999</v>
      </c>
      <c r="J4013" t="n">
        <v>3</v>
      </c>
      <c r="K4013" t="inlineStr">
        <is>
          <t>续持原仓（2025-03-03开）</t>
        </is>
      </c>
    </row>
    <row r="4014">
      <c r="A4014" t="inlineStr">
        <is>
          <t>2025-03-14</t>
        </is>
      </c>
      <c r="B4014" t="inlineStr">
        <is>
          <t>工业硅</t>
        </is>
      </c>
      <c r="C4014" t="inlineStr">
        <is>
          <t>空</t>
        </is>
      </c>
      <c r="D4014" t="n">
        <v>2</v>
      </c>
      <c r="E4014" t="n">
        <v>5</v>
      </c>
      <c r="F4014" t="inlineStr">
        <is>
          <t>续持</t>
        </is>
      </c>
      <c r="G4014" t="n">
        <v>5</v>
      </c>
      <c r="H4014" t="n">
        <v>9955</v>
      </c>
      <c r="I4014" t="n">
        <v>10294.29</v>
      </c>
      <c r="J4014" t="n">
        <v>1</v>
      </c>
      <c r="K4014" t="inlineStr">
        <is>
          <t>续持原仓（2025-03-13开）</t>
        </is>
      </c>
    </row>
    <row r="4015">
      <c r="A4015" t="inlineStr">
        <is>
          <t>2025-03-14</t>
        </is>
      </c>
      <c r="B4015" t="inlineStr">
        <is>
          <t>PTA</t>
        </is>
      </c>
      <c r="C4015" t="inlineStr">
        <is>
          <t>空</t>
        </is>
      </c>
      <c r="D4015" t="n">
        <v>2</v>
      </c>
      <c r="E4015" t="n">
        <v>4</v>
      </c>
      <c r="F4015" t="inlineStr">
        <is>
          <t>观望</t>
        </is>
      </c>
      <c r="G4015" t="n">
        <v>8</v>
      </c>
      <c r="H4015" t="n">
        <v>4832</v>
      </c>
      <c r="I4015" t="n">
        <v>5070.71</v>
      </c>
      <c r="J4015" t="n">
        <v>1</v>
      </c>
      <c r="K4015" t="inlineStr">
        <is>
          <t>逆5日线（收盘在5日线上，不追空）</t>
        </is>
      </c>
    </row>
    <row r="4016">
      <c r="A4016" t="inlineStr">
        <is>
          <t>2025-03-14</t>
        </is>
      </c>
      <c r="B4016" t="inlineStr">
        <is>
          <t>硅铁</t>
        </is>
      </c>
      <c r="C4016" t="inlineStr">
        <is>
          <t>空</t>
        </is>
      </c>
      <c r="D4016" t="n">
        <v>2</v>
      </c>
      <c r="E4016" t="n">
        <v>4</v>
      </c>
      <c r="F4016" t="inlineStr">
        <is>
          <t>观望</t>
        </is>
      </c>
      <c r="G4016" t="n">
        <v>12</v>
      </c>
      <c r="H4016" t="n">
        <v>6046</v>
      </c>
      <c r="I4016" t="n">
        <v>6211.43</v>
      </c>
      <c r="J4016" t="n">
        <v>1</v>
      </c>
      <c r="K4016" t="inlineStr">
        <is>
          <t>逆5日线（收盘在5日线上，不追空）</t>
        </is>
      </c>
    </row>
    <row r="4017">
      <c r="A4017" t="inlineStr">
        <is>
          <t>2025-03-14</t>
        </is>
      </c>
      <c r="B4017" t="inlineStr">
        <is>
          <t>菜粕</t>
        </is>
      </c>
      <c r="C4017" t="inlineStr">
        <is>
          <t>空</t>
        </is>
      </c>
      <c r="D4017" t="n">
        <v>2</v>
      </c>
      <c r="E4017" t="n">
        <v>4</v>
      </c>
      <c r="F4017" t="inlineStr">
        <is>
          <t>影子仓</t>
        </is>
      </c>
      <c r="G4017" t="n">
        <v>4</v>
      </c>
      <c r="H4017" t="n">
        <v>2679</v>
      </c>
      <c r="I4017" t="n">
        <v>2907.64</v>
      </c>
      <c r="J4017" t="n">
        <v>1</v>
      </c>
      <c r="K4017" t="inlineStr">
        <is>
          <t>凯利≤0，开1%影子仓（只统计，不计入组合）</t>
        </is>
      </c>
    </row>
    <row r="4018">
      <c r="A4018" t="inlineStr">
        <is>
          <t>2025-03-17</t>
        </is>
      </c>
      <c r="B4018" t="inlineStr">
        <is>
          <t>塑料</t>
        </is>
      </c>
      <c r="C4018" t="inlineStr">
        <is>
          <t>空</t>
        </is>
      </c>
      <c r="D4018" t="n">
        <v>3</v>
      </c>
      <c r="E4018" t="n">
        <v>7</v>
      </c>
      <c r="F4018" t="inlineStr">
        <is>
          <t>开仓</t>
        </is>
      </c>
      <c r="G4018" t="n">
        <v>28</v>
      </c>
      <c r="H4018" t="n">
        <v>7732</v>
      </c>
      <c r="I4018" t="n">
        <v>7941.36</v>
      </c>
      <c r="J4018" t="n">
        <v>3</v>
      </c>
      <c r="K4018" t="inlineStr">
        <is>
          <t>¼凯利超上限，取3%</t>
        </is>
      </c>
    </row>
    <row r="4019">
      <c r="A4019" t="inlineStr">
        <is>
          <t>2025-03-17</t>
        </is>
      </c>
      <c r="B4019" t="inlineStr">
        <is>
          <t>PTA</t>
        </is>
      </c>
      <c r="C4019" t="inlineStr">
        <is>
          <t>空</t>
        </is>
      </c>
      <c r="D4019" t="n">
        <v>3</v>
      </c>
      <c r="E4019" t="n">
        <v>6</v>
      </c>
      <c r="F4019" t="inlineStr">
        <is>
          <t>观望</t>
        </is>
      </c>
      <c r="G4019" t="n">
        <v>24</v>
      </c>
      <c r="H4019" t="n">
        <v>4836</v>
      </c>
      <c r="I4019" t="n">
        <v>5083.29</v>
      </c>
      <c r="J4019" t="n">
        <v>3</v>
      </c>
      <c r="K4019" t="inlineStr">
        <is>
          <t>逆5日线（收盘在5日线上，不追空）</t>
        </is>
      </c>
    </row>
    <row r="4020">
      <c r="A4020" t="inlineStr">
        <is>
          <t>2025-03-17</t>
        </is>
      </c>
      <c r="B4020" t="inlineStr">
        <is>
          <t>工业硅</t>
        </is>
      </c>
      <c r="C4020" t="inlineStr">
        <is>
          <t>空</t>
        </is>
      </c>
      <c r="D4020" t="n">
        <v>3</v>
      </c>
      <c r="E4020" t="n">
        <v>6</v>
      </c>
      <c r="F4020" t="inlineStr">
        <is>
          <t>观望</t>
        </is>
      </c>
      <c r="G4020" t="n">
        <v>15</v>
      </c>
      <c r="H4020" t="n">
        <v>9965</v>
      </c>
      <c r="I4020" t="n">
        <v>10349.64</v>
      </c>
      <c r="J4020" t="n">
        <v>3</v>
      </c>
      <c r="K4020" t="inlineStr">
        <is>
          <t>逆5日线（收盘在5日线上，不追空）</t>
        </is>
      </c>
    </row>
    <row r="4021">
      <c r="A4021" t="inlineStr">
        <is>
          <t>2025-03-17</t>
        </is>
      </c>
      <c r="B4021" t="inlineStr">
        <is>
          <t>碳酸锂</t>
        </is>
      </c>
      <c r="C4021" t="inlineStr">
        <is>
          <t>空</t>
        </is>
      </c>
      <c r="D4021" t="n">
        <v>2</v>
      </c>
      <c r="E4021" t="n">
        <v>5</v>
      </c>
      <c r="F4021" t="inlineStr">
        <is>
          <t>观望</t>
        </is>
      </c>
      <c r="G4021" t="n">
        <v>3</v>
      </c>
      <c r="H4021" t="n">
        <v>76240</v>
      </c>
      <c r="I4021" t="n">
        <v>78777.14</v>
      </c>
      <c r="J4021" t="n">
        <v>1</v>
      </c>
      <c r="K4021" t="inlineStr">
        <is>
          <t>逆5日线（收盘在5日线上，不追空）</t>
        </is>
      </c>
    </row>
    <row r="4022">
      <c r="A4022" t="inlineStr">
        <is>
          <t>2025-03-17</t>
        </is>
      </c>
      <c r="B4022" t="inlineStr">
        <is>
          <t>鸡蛋</t>
        </is>
      </c>
      <c r="C4022" t="inlineStr">
        <is>
          <t>空</t>
        </is>
      </c>
      <c r="D4022" t="n">
        <v>2</v>
      </c>
      <c r="E4022" t="n">
        <v>4</v>
      </c>
      <c r="F4022" t="inlineStr">
        <is>
          <t>影子仓</t>
        </is>
      </c>
      <c r="G4022" t="n">
        <v>8</v>
      </c>
      <c r="H4022" t="n">
        <v>3031</v>
      </c>
      <c r="I4022" t="n">
        <v>3150.14</v>
      </c>
      <c r="J4022" t="n">
        <v>1</v>
      </c>
      <c r="K4022" t="inlineStr">
        <is>
          <t>凯利≤0，开1%影子仓（只统计，不计入组合）</t>
        </is>
      </c>
    </row>
    <row r="4023">
      <c r="A4023" t="inlineStr">
        <is>
          <t>2025-03-18</t>
        </is>
      </c>
      <c r="B4023" t="inlineStr">
        <is>
          <t>PVC</t>
        </is>
      </c>
      <c r="C4023" t="inlineStr">
        <is>
          <t>空</t>
        </is>
      </c>
      <c r="D4023" t="n">
        <v>3</v>
      </c>
      <c r="E4023" t="n">
        <v>7</v>
      </c>
      <c r="F4023" t="inlineStr">
        <is>
          <t>续持</t>
        </is>
      </c>
      <c r="G4023" t="n">
        <v>11</v>
      </c>
      <c r="H4023" t="n">
        <v>5007</v>
      </c>
      <c r="I4023" t="n">
        <v>5177.14</v>
      </c>
      <c r="J4023" t="n">
        <v>1</v>
      </c>
      <c r="K4023" t="inlineStr">
        <is>
          <t>续持原仓（2025-03-12开）</t>
        </is>
      </c>
    </row>
    <row r="4024">
      <c r="A4024" t="inlineStr">
        <is>
          <t>2025-03-18</t>
        </is>
      </c>
      <c r="B4024" t="inlineStr">
        <is>
          <t>工业硅</t>
        </is>
      </c>
      <c r="C4024" t="inlineStr">
        <is>
          <t>空</t>
        </is>
      </c>
      <c r="D4024" t="n">
        <v>3</v>
      </c>
      <c r="E4024" t="n">
        <v>7</v>
      </c>
      <c r="F4024" t="inlineStr">
        <is>
          <t>续持</t>
        </is>
      </c>
      <c r="G4024" t="n">
        <v>5</v>
      </c>
      <c r="H4024" t="n">
        <v>9930</v>
      </c>
      <c r="I4024" t="n">
        <v>10256.07</v>
      </c>
      <c r="J4024" t="n">
        <v>1</v>
      </c>
      <c r="K4024" t="inlineStr">
        <is>
          <t>续持原仓（2025-03-13开）</t>
        </is>
      </c>
    </row>
    <row r="4025">
      <c r="A4025" t="inlineStr">
        <is>
          <t>2025-03-18</t>
        </is>
      </c>
      <c r="B4025" t="inlineStr">
        <is>
          <t>白糖</t>
        </is>
      </c>
      <c r="C4025" t="inlineStr">
        <is>
          <t>多</t>
        </is>
      </c>
      <c r="D4025" t="n">
        <v>3</v>
      </c>
      <c r="E4025" t="n">
        <v>7</v>
      </c>
      <c r="F4025" t="inlineStr">
        <is>
          <t>开仓</t>
        </is>
      </c>
      <c r="G4025" t="n">
        <v>19</v>
      </c>
      <c r="H4025" t="n">
        <v>6111</v>
      </c>
      <c r="I4025" t="n">
        <v>5959.07</v>
      </c>
      <c r="J4025" t="n">
        <v>3</v>
      </c>
      <c r="K4025" t="inlineStr">
        <is>
          <t>¼凯利超上限，取3%</t>
        </is>
      </c>
    </row>
    <row r="4026">
      <c r="A4026" t="inlineStr">
        <is>
          <t>2025-03-18</t>
        </is>
      </c>
      <c r="B4026" t="inlineStr">
        <is>
          <t>碳酸锂</t>
        </is>
      </c>
      <c r="C4026" t="inlineStr">
        <is>
          <t>空</t>
        </is>
      </c>
      <c r="D4026" t="n">
        <v>3</v>
      </c>
      <c r="E4026" t="n">
        <v>7</v>
      </c>
      <c r="F4026" t="inlineStr">
        <is>
          <t>续持</t>
        </is>
      </c>
      <c r="G4026" t="n">
        <v>12</v>
      </c>
      <c r="H4026" t="n">
        <v>75400</v>
      </c>
      <c r="I4026" t="n">
        <v>77331.42999999999</v>
      </c>
      <c r="J4026" t="n">
        <v>3</v>
      </c>
      <c r="K4026" t="inlineStr">
        <is>
          <t>续持原仓（2025-03-03开）</t>
        </is>
      </c>
    </row>
    <row r="4027">
      <c r="A4027" t="inlineStr">
        <is>
          <t>2025-03-18</t>
        </is>
      </c>
      <c r="B4027" t="inlineStr">
        <is>
          <t>螺纹钢</t>
        </is>
      </c>
      <c r="C4027" t="inlineStr">
        <is>
          <t>空</t>
        </is>
      </c>
      <c r="D4027" t="n">
        <v>3</v>
      </c>
      <c r="E4027" t="n">
        <v>7</v>
      </c>
      <c r="F4027" t="inlineStr">
        <is>
          <t>开仓</t>
        </is>
      </c>
      <c r="G4027" t="n">
        <v>7</v>
      </c>
      <c r="H4027" t="n">
        <v>3191</v>
      </c>
      <c r="I4027" t="n">
        <v>3316.79</v>
      </c>
      <c r="J4027" t="n">
        <v>1</v>
      </c>
      <c r="K4027" t="inlineStr">
        <is>
          <t>组合风险已近10%，预算缩小</t>
        </is>
      </c>
    </row>
    <row r="4028">
      <c r="A4028" t="inlineStr">
        <is>
          <t>2025-03-18</t>
        </is>
      </c>
      <c r="B4028" t="inlineStr">
        <is>
          <t>塑料</t>
        </is>
      </c>
      <c r="C4028" t="inlineStr">
        <is>
          <t>空</t>
        </is>
      </c>
      <c r="D4028" t="n">
        <v>3</v>
      </c>
      <c r="E4028" t="n">
        <v>7</v>
      </c>
      <c r="F4028" t="inlineStr">
        <is>
          <t>续持</t>
        </is>
      </c>
      <c r="G4028" t="n">
        <v>28</v>
      </c>
      <c r="H4028" t="n">
        <v>7708</v>
      </c>
      <c r="I4028" t="n">
        <v>7902.29</v>
      </c>
      <c r="J4028" t="n">
        <v>3</v>
      </c>
      <c r="K4028" t="inlineStr">
        <is>
          <t>续持原仓（2025-03-17开）</t>
        </is>
      </c>
    </row>
    <row r="4029">
      <c r="A4029" t="inlineStr">
        <is>
          <t>2025-03-18</t>
        </is>
      </c>
      <c r="B4029" t="inlineStr">
        <is>
          <t>沪镍</t>
        </is>
      </c>
      <c r="C4029" t="inlineStr">
        <is>
          <t>多</t>
        </is>
      </c>
      <c r="D4029" t="n">
        <v>2</v>
      </c>
      <c r="E4029" t="n">
        <v>5</v>
      </c>
      <c r="F4029" t="inlineStr">
        <is>
          <t>观望</t>
        </is>
      </c>
      <c r="G4029" t="n">
        <v>1</v>
      </c>
      <c r="H4029" t="n">
        <v>129490</v>
      </c>
      <c r="I4029" t="n">
        <v>121306.43</v>
      </c>
      <c r="J4029" t="n">
        <v>1</v>
      </c>
      <c r="K4029" t="inlineStr">
        <is>
          <t>逆5日线（收盘在5日线下，不追多）</t>
        </is>
      </c>
    </row>
    <row r="4030">
      <c r="A4030" t="inlineStr">
        <is>
          <t>2025-03-19</t>
        </is>
      </c>
      <c r="B4030" t="inlineStr">
        <is>
          <t>硅铁</t>
        </is>
      </c>
      <c r="C4030" t="inlineStr">
        <is>
          <t>空</t>
        </is>
      </c>
      <c r="D4030" t="n">
        <v>3</v>
      </c>
      <c r="E4030" t="n">
        <v>7</v>
      </c>
      <c r="F4030" t="inlineStr">
        <is>
          <t>不做</t>
        </is>
      </c>
      <c r="H4030" t="n">
        <v>5982</v>
      </c>
      <c r="J4030" t="n">
        <v>0</v>
      </c>
      <c r="K4030" t="inlineStr">
        <is>
          <t>组合风险已近10%，预算缩小</t>
        </is>
      </c>
    </row>
    <row r="4031">
      <c r="A4031" t="inlineStr">
        <is>
          <t>2025-03-19</t>
        </is>
      </c>
      <c r="B4031" t="inlineStr">
        <is>
          <t>鸡蛋</t>
        </is>
      </c>
      <c r="C4031" t="inlineStr">
        <is>
          <t>空</t>
        </is>
      </c>
      <c r="D4031" t="n">
        <v>3</v>
      </c>
      <c r="E4031" t="n">
        <v>7</v>
      </c>
      <c r="F4031" t="inlineStr">
        <is>
          <t>续持</t>
        </is>
      </c>
      <c r="G4031" t="n">
        <v>8</v>
      </c>
      <c r="H4031" t="n">
        <v>3014</v>
      </c>
      <c r="I4031" t="n">
        <v>3128.57</v>
      </c>
      <c r="J4031" t="n">
        <v>1</v>
      </c>
      <c r="K4031" t="inlineStr">
        <is>
          <t>续持原仓（2025-03-17开）</t>
        </is>
      </c>
    </row>
    <row r="4032">
      <c r="A4032" t="inlineStr">
        <is>
          <t>2025-03-19</t>
        </is>
      </c>
      <c r="B4032" t="inlineStr">
        <is>
          <t>螺纹钢</t>
        </is>
      </c>
      <c r="C4032" t="inlineStr">
        <is>
          <t>空</t>
        </is>
      </c>
      <c r="D4032" t="n">
        <v>3</v>
      </c>
      <c r="E4032" t="n">
        <v>6</v>
      </c>
      <c r="F4032" t="inlineStr">
        <is>
          <t>续持</t>
        </is>
      </c>
      <c r="G4032" t="n">
        <v>7</v>
      </c>
      <c r="H4032" t="n">
        <v>3162</v>
      </c>
      <c r="I4032" t="n">
        <v>3277.57</v>
      </c>
      <c r="J4032" t="n">
        <v>1</v>
      </c>
      <c r="K4032" t="inlineStr">
        <is>
          <t>续持原仓（2025-03-18开）</t>
        </is>
      </c>
    </row>
    <row r="4033">
      <c r="A4033" t="inlineStr">
        <is>
          <t>2025-03-19</t>
        </is>
      </c>
      <c r="B4033" t="inlineStr">
        <is>
          <t>塑料</t>
        </is>
      </c>
      <c r="C4033" t="inlineStr">
        <is>
          <t>空</t>
        </is>
      </c>
      <c r="D4033" t="n">
        <v>3</v>
      </c>
      <c r="E4033" t="n">
        <v>6</v>
      </c>
      <c r="F4033" t="inlineStr">
        <is>
          <t>续持</t>
        </is>
      </c>
      <c r="G4033" t="n">
        <v>28</v>
      </c>
      <c r="H4033" t="n">
        <v>7693</v>
      </c>
      <c r="I4033" t="n">
        <v>7879.5</v>
      </c>
      <c r="J4033" t="n">
        <v>3</v>
      </c>
      <c r="K4033" t="inlineStr">
        <is>
          <t>续持原仓（2025-03-17开）</t>
        </is>
      </c>
    </row>
    <row r="4034">
      <c r="A4034" t="inlineStr">
        <is>
          <t>2025-03-19</t>
        </is>
      </c>
      <c r="B4034" t="inlineStr">
        <is>
          <t>碳酸锂</t>
        </is>
      </c>
      <c r="C4034" t="inlineStr">
        <is>
          <t>空</t>
        </is>
      </c>
      <c r="D4034" t="n">
        <v>2</v>
      </c>
      <c r="E4034" t="n">
        <v>5</v>
      </c>
      <c r="F4034" t="inlineStr">
        <is>
          <t>续持</t>
        </is>
      </c>
      <c r="G4034" t="n">
        <v>12</v>
      </c>
      <c r="H4034" t="n">
        <v>75200</v>
      </c>
      <c r="I4034" t="n">
        <v>77331.42999999999</v>
      </c>
      <c r="J4034" t="n">
        <v>3</v>
      </c>
      <c r="K4034" t="inlineStr">
        <is>
          <t>续持原仓（2025-03-03开）</t>
        </is>
      </c>
    </row>
    <row r="4035">
      <c r="A4035" t="inlineStr">
        <is>
          <t>2025-03-20</t>
        </is>
      </c>
      <c r="B4035" t="inlineStr">
        <is>
          <t>工业硅</t>
        </is>
      </c>
      <c r="C4035" t="inlineStr">
        <is>
          <t>空</t>
        </is>
      </c>
      <c r="D4035" t="n">
        <v>3</v>
      </c>
      <c r="E4035" t="n">
        <v>7</v>
      </c>
      <c r="F4035" t="inlineStr">
        <is>
          <t>开仓</t>
        </is>
      </c>
      <c r="G4035" t="n">
        <v>14</v>
      </c>
      <c r="H4035" t="n">
        <v>9740</v>
      </c>
      <c r="I4035" t="n">
        <v>10140.71</v>
      </c>
      <c r="J4035" t="n">
        <v>3</v>
      </c>
      <c r="K4035" t="inlineStr">
        <is>
          <t>¼凯利超上限，取3%</t>
        </is>
      </c>
    </row>
    <row r="4036">
      <c r="A4036" t="inlineStr">
        <is>
          <t>2025-03-20</t>
        </is>
      </c>
      <c r="B4036" t="inlineStr">
        <is>
          <t>热卷</t>
        </is>
      </c>
      <c r="C4036" t="inlineStr">
        <is>
          <t>空</t>
        </is>
      </c>
      <c r="D4036" t="n">
        <v>3</v>
      </c>
      <c r="E4036" t="n">
        <v>6</v>
      </c>
      <c r="F4036" t="inlineStr">
        <is>
          <t>开仓</t>
        </is>
      </c>
      <c r="G4036" t="n">
        <v>24</v>
      </c>
      <c r="H4036" t="n">
        <v>3357</v>
      </c>
      <c r="I4036" t="n">
        <v>3480.86</v>
      </c>
      <c r="J4036" t="n">
        <v>3</v>
      </c>
      <c r="K4036" t="inlineStr">
        <is>
          <t>¼凯利超上限，取3%</t>
        </is>
      </c>
    </row>
    <row r="4037">
      <c r="A4037" t="inlineStr">
        <is>
          <t>2025-03-20</t>
        </is>
      </c>
      <c r="B4037" t="inlineStr">
        <is>
          <t>白糖</t>
        </is>
      </c>
      <c r="C4037" t="inlineStr">
        <is>
          <t>多</t>
        </is>
      </c>
      <c r="D4037" t="n">
        <v>2</v>
      </c>
      <c r="E4037" t="n">
        <v>5</v>
      </c>
      <c r="F4037" t="inlineStr">
        <is>
          <t>续持</t>
        </is>
      </c>
      <c r="G4037" t="n">
        <v>19</v>
      </c>
      <c r="H4037" t="n">
        <v>6105</v>
      </c>
      <c r="I4037" t="n">
        <v>5991.21</v>
      </c>
      <c r="J4037" t="n">
        <v>3</v>
      </c>
      <c r="K4037" t="inlineStr">
        <is>
          <t>续持原仓（2025-03-18开）</t>
        </is>
      </c>
    </row>
    <row r="4038">
      <c r="A4038" t="inlineStr">
        <is>
          <t>2025-03-20</t>
        </is>
      </c>
      <c r="B4038" t="inlineStr">
        <is>
          <t>鸡蛋</t>
        </is>
      </c>
      <c r="C4038" t="inlineStr">
        <is>
          <t>空</t>
        </is>
      </c>
      <c r="D4038" t="n">
        <v>2</v>
      </c>
      <c r="E4038" t="n">
        <v>5</v>
      </c>
      <c r="F4038" t="inlineStr">
        <is>
          <t>观望</t>
        </is>
      </c>
      <c r="G4038" t="n">
        <v>7</v>
      </c>
      <c r="H4038" t="n">
        <v>3035</v>
      </c>
      <c r="I4038" t="n">
        <v>3163.36</v>
      </c>
      <c r="J4038" t="n">
        <v>1</v>
      </c>
      <c r="K4038" t="inlineStr">
        <is>
          <t>逆5日线（收盘在5日线上，不追空）</t>
        </is>
      </c>
    </row>
    <row r="4039">
      <c r="A4039" t="inlineStr">
        <is>
          <t>2025-03-20</t>
        </is>
      </c>
      <c r="B4039" t="inlineStr">
        <is>
          <t>锰硅</t>
        </is>
      </c>
      <c r="C4039" t="inlineStr">
        <is>
          <t>空</t>
        </is>
      </c>
      <c r="D4039" t="n">
        <v>2</v>
      </c>
      <c r="E4039" t="n">
        <v>4</v>
      </c>
      <c r="F4039" t="inlineStr">
        <is>
          <t>影子仓</t>
        </is>
      </c>
      <c r="G4039" t="n">
        <v>6</v>
      </c>
      <c r="H4039" t="n">
        <v>6106</v>
      </c>
      <c r="I4039" t="n">
        <v>6398.29</v>
      </c>
      <c r="J4039" t="n">
        <v>1</v>
      </c>
      <c r="K4039" t="inlineStr">
        <is>
          <t>凯利≤0，开1%影子仓（只统计，不计入组合）</t>
        </is>
      </c>
    </row>
    <row r="4040">
      <c r="A4040" t="inlineStr">
        <is>
          <t>2025-03-20</t>
        </is>
      </c>
      <c r="B4040" t="inlineStr">
        <is>
          <t>沪铜</t>
        </is>
      </c>
      <c r="C4040" t="inlineStr">
        <is>
          <t>多</t>
        </is>
      </c>
      <c r="D4040" t="n">
        <v>2</v>
      </c>
      <c r="E4040" t="n">
        <v>4</v>
      </c>
      <c r="F4040" t="inlineStr">
        <is>
          <t>不做</t>
        </is>
      </c>
      <c r="H4040" t="n">
        <v>81670</v>
      </c>
      <c r="J4040" t="n">
        <v>1</v>
      </c>
      <c r="K4040" t="inlineStr">
        <is>
          <t>1手风险13414元超过预算10000元</t>
        </is>
      </c>
    </row>
    <row r="4041">
      <c r="A4041" t="inlineStr">
        <is>
          <t>2025-03-21</t>
        </is>
      </c>
      <c r="B4041" t="inlineStr">
        <is>
          <t>鸡蛋</t>
        </is>
      </c>
      <c r="C4041" t="inlineStr">
        <is>
          <t>空</t>
        </is>
      </c>
      <c r="D4041" t="n">
        <v>3</v>
      </c>
      <c r="E4041" t="n">
        <v>6</v>
      </c>
      <c r="F4041" t="inlineStr">
        <is>
          <t>观望</t>
        </is>
      </c>
      <c r="G4041" t="n">
        <v>24</v>
      </c>
      <c r="H4041" t="n">
        <v>3042</v>
      </c>
      <c r="I4041" t="n">
        <v>3166.29</v>
      </c>
      <c r="J4041" t="n">
        <v>3</v>
      </c>
      <c r="K4041" t="inlineStr">
        <is>
          <t>逆5日线（收盘在5日线上，不追空）</t>
        </is>
      </c>
    </row>
    <row r="4042">
      <c r="A4042" t="inlineStr">
        <is>
          <t>2025-03-21</t>
        </is>
      </c>
      <c r="B4042" t="inlineStr">
        <is>
          <t>螺纹钢</t>
        </is>
      </c>
      <c r="C4042" t="inlineStr">
        <is>
          <t>空</t>
        </is>
      </c>
      <c r="D4042" t="n">
        <v>3</v>
      </c>
      <c r="E4042" t="n">
        <v>6</v>
      </c>
      <c r="F4042" t="inlineStr">
        <is>
          <t>不做</t>
        </is>
      </c>
      <c r="H4042" t="n">
        <v>3156</v>
      </c>
      <c r="J4042" t="n">
        <v>0</v>
      </c>
      <c r="K4042" t="inlineStr">
        <is>
          <t>与热卷高度相关（同组≤3%），预算缩小</t>
        </is>
      </c>
    </row>
    <row r="4043">
      <c r="A4043" t="inlineStr">
        <is>
          <t>2025-03-21</t>
        </is>
      </c>
      <c r="B4043" t="inlineStr">
        <is>
          <t>锰硅</t>
        </is>
      </c>
      <c r="C4043" t="inlineStr">
        <is>
          <t>空</t>
        </is>
      </c>
      <c r="D4043" t="n">
        <v>2</v>
      </c>
      <c r="E4043" t="n">
        <v>5</v>
      </c>
      <c r="F4043" t="inlineStr">
        <is>
          <t>续持</t>
        </is>
      </c>
      <c r="G4043" t="n">
        <v>6</v>
      </c>
      <c r="H4043" t="n">
        <v>6072</v>
      </c>
      <c r="I4043" t="n">
        <v>6335.29</v>
      </c>
      <c r="J4043" t="n">
        <v>1</v>
      </c>
      <c r="K4043" t="inlineStr">
        <is>
          <t>续持原仓（2025-03-20开）</t>
        </is>
      </c>
    </row>
    <row r="4044">
      <c r="A4044" t="inlineStr">
        <is>
          <t>2025-03-21</t>
        </is>
      </c>
      <c r="B4044" t="inlineStr">
        <is>
          <t>铁矿石</t>
        </is>
      </c>
      <c r="C4044" t="inlineStr">
        <is>
          <t>空</t>
        </is>
      </c>
      <c r="D4044" t="n">
        <v>2</v>
      </c>
      <c r="E4044" t="n">
        <v>5</v>
      </c>
      <c r="F4044" t="inlineStr">
        <is>
          <t>影子仓</t>
        </is>
      </c>
      <c r="G4044" t="n">
        <v>2</v>
      </c>
      <c r="H4044" t="n">
        <v>757.5</v>
      </c>
      <c r="I4044" t="n">
        <v>805.5</v>
      </c>
      <c r="J4044" t="n">
        <v>1</v>
      </c>
      <c r="K4044" t="inlineStr">
        <is>
          <t>凯利≤0，开1%影子仓（只统计，不计入组合）</t>
        </is>
      </c>
    </row>
    <row r="4045">
      <c r="A4045" t="inlineStr">
        <is>
          <t>2025-03-24</t>
        </is>
      </c>
      <c r="B4045" t="inlineStr">
        <is>
          <t>沪银</t>
        </is>
      </c>
      <c r="C4045" t="inlineStr">
        <is>
          <t>多</t>
        </is>
      </c>
      <c r="D4045" t="n">
        <v>3</v>
      </c>
      <c r="E4045" t="n">
        <v>7</v>
      </c>
      <c r="F4045" t="inlineStr">
        <is>
          <t>观望</t>
        </is>
      </c>
      <c r="G4045" t="n">
        <v>5</v>
      </c>
      <c r="H4045" t="n">
        <v>8248</v>
      </c>
      <c r="I4045" t="n">
        <v>7879.43</v>
      </c>
      <c r="J4045" t="n">
        <v>3</v>
      </c>
      <c r="K4045" t="inlineStr">
        <is>
          <t>逆5日线（收盘在5日线下，不追多）</t>
        </is>
      </c>
    </row>
    <row r="4046">
      <c r="A4046" t="inlineStr">
        <is>
          <t>2025-03-24</t>
        </is>
      </c>
      <c r="B4046" t="inlineStr">
        <is>
          <t>碳酸锂</t>
        </is>
      </c>
      <c r="C4046" t="inlineStr">
        <is>
          <t>空</t>
        </is>
      </c>
      <c r="D4046" t="n">
        <v>3</v>
      </c>
      <c r="E4046" t="n">
        <v>6</v>
      </c>
      <c r="F4046" t="inlineStr">
        <is>
          <t>开仓</t>
        </is>
      </c>
      <c r="G4046" t="n">
        <v>10</v>
      </c>
      <c r="H4046" t="n">
        <v>73720</v>
      </c>
      <c r="I4046" t="n">
        <v>76621.42999999999</v>
      </c>
      <c r="J4046" t="n">
        <v>3</v>
      </c>
      <c r="K4046" t="inlineStr">
        <is>
          <t>¼凯利超上限，取3%</t>
        </is>
      </c>
    </row>
    <row r="4047">
      <c r="A4047" t="inlineStr">
        <is>
          <t>2025-03-24</t>
        </is>
      </c>
      <c r="B4047" t="inlineStr">
        <is>
          <t>锰硅</t>
        </is>
      </c>
      <c r="C4047" t="inlineStr">
        <is>
          <t>空</t>
        </is>
      </c>
      <c r="D4047" t="n">
        <v>2</v>
      </c>
      <c r="E4047" t="n">
        <v>4</v>
      </c>
      <c r="F4047" t="inlineStr">
        <is>
          <t>观望</t>
        </is>
      </c>
      <c r="G4047" t="n">
        <v>6</v>
      </c>
      <c r="H4047" t="n">
        <v>6122</v>
      </c>
      <c r="I4047" t="n">
        <v>6408.29</v>
      </c>
      <c r="J4047" t="n">
        <v>1</v>
      </c>
      <c r="K4047" t="inlineStr">
        <is>
          <t>逆5日线（收盘在5日线上，不追空）</t>
        </is>
      </c>
    </row>
    <row r="4048">
      <c r="A4048" t="inlineStr">
        <is>
          <t>2025-03-25</t>
        </is>
      </c>
      <c r="B4048" t="inlineStr">
        <is>
          <t>塑料</t>
        </is>
      </c>
      <c r="C4048" t="inlineStr">
        <is>
          <t>空</t>
        </is>
      </c>
      <c r="D4048" t="n">
        <v>3</v>
      </c>
      <c r="E4048" t="n">
        <v>7</v>
      </c>
      <c r="F4048" t="inlineStr">
        <is>
          <t>观望</t>
        </is>
      </c>
      <c r="G4048" t="n">
        <v>28</v>
      </c>
      <c r="H4048" t="n">
        <v>7693</v>
      </c>
      <c r="I4048" t="n">
        <v>7904.93</v>
      </c>
      <c r="J4048" t="n">
        <v>3</v>
      </c>
      <c r="K4048" t="inlineStr">
        <is>
          <t>逆5日线（收盘在5日线上，不追空）</t>
        </is>
      </c>
    </row>
    <row r="4049">
      <c r="A4049" t="inlineStr">
        <is>
          <t>2025-03-25</t>
        </is>
      </c>
      <c r="B4049" t="inlineStr">
        <is>
          <t>工业硅</t>
        </is>
      </c>
      <c r="C4049" t="inlineStr">
        <is>
          <t>空</t>
        </is>
      </c>
      <c r="D4049" t="n">
        <v>3</v>
      </c>
      <c r="E4049" t="n">
        <v>6</v>
      </c>
      <c r="F4049" t="inlineStr">
        <is>
          <t>观望</t>
        </is>
      </c>
      <c r="G4049" t="n">
        <v>13</v>
      </c>
      <c r="H4049" t="n">
        <v>9950</v>
      </c>
      <c r="I4049" t="n">
        <v>10390.36</v>
      </c>
      <c r="J4049" t="n">
        <v>3</v>
      </c>
      <c r="K4049" t="inlineStr">
        <is>
          <t>逆5日线（收盘在5日线上，不追空）</t>
        </is>
      </c>
    </row>
    <row r="4050">
      <c r="A4050" t="inlineStr">
        <is>
          <t>2025-03-25</t>
        </is>
      </c>
      <c r="B4050" t="inlineStr">
        <is>
          <t>沪银</t>
        </is>
      </c>
      <c r="C4050" t="inlineStr">
        <is>
          <t>多</t>
        </is>
      </c>
      <c r="D4050" t="n">
        <v>2</v>
      </c>
      <c r="E4050" t="n">
        <v>5</v>
      </c>
      <c r="F4050" t="inlineStr">
        <is>
          <t>观望</t>
        </is>
      </c>
      <c r="G4050" t="n">
        <v>1</v>
      </c>
      <c r="H4050" t="n">
        <v>8249</v>
      </c>
      <c r="I4050" t="n">
        <v>7887.71</v>
      </c>
      <c r="J4050" t="n">
        <v>1</v>
      </c>
      <c r="K4050" t="inlineStr">
        <is>
          <t>逆5日线（收盘在5日线下，不追多）</t>
        </is>
      </c>
    </row>
    <row r="4051">
      <c r="A4051" t="inlineStr">
        <is>
          <t>2025-03-25</t>
        </is>
      </c>
      <c r="B4051" t="inlineStr">
        <is>
          <t>苯乙烯</t>
        </is>
      </c>
      <c r="C4051" t="inlineStr">
        <is>
          <t>空</t>
        </is>
      </c>
      <c r="D4051" t="n">
        <v>2</v>
      </c>
      <c r="E4051" t="n">
        <v>4</v>
      </c>
      <c r="F4051" t="inlineStr">
        <is>
          <t>影子仓</t>
        </is>
      </c>
      <c r="G4051" t="n">
        <v>4</v>
      </c>
      <c r="H4051" t="n">
        <v>7762</v>
      </c>
      <c r="I4051" t="n">
        <v>8204.290000000001</v>
      </c>
      <c r="J4051" t="n">
        <v>1</v>
      </c>
      <c r="K4051" t="inlineStr">
        <is>
          <t>凯利≤0，开1%影子仓（只统计，不计入组合）</t>
        </is>
      </c>
    </row>
    <row r="4052">
      <c r="A4052" t="inlineStr">
        <is>
          <t>2025-03-25</t>
        </is>
      </c>
      <c r="B4052" t="inlineStr">
        <is>
          <t>聚丙烯</t>
        </is>
      </c>
      <c r="C4052" t="inlineStr">
        <is>
          <t>空</t>
        </is>
      </c>
      <c r="D4052" t="n">
        <v>2</v>
      </c>
      <c r="E4052" t="n">
        <v>4</v>
      </c>
      <c r="F4052" t="inlineStr">
        <is>
          <t>观望</t>
        </is>
      </c>
      <c r="G4052" t="n">
        <v>13</v>
      </c>
      <c r="H4052" t="n">
        <v>7314</v>
      </c>
      <c r="I4052" t="n">
        <v>7464.43</v>
      </c>
      <c r="J4052" t="n">
        <v>1</v>
      </c>
      <c r="K4052" t="inlineStr">
        <is>
          <t>逆5日线（收盘在5日线上，不追空）</t>
        </is>
      </c>
    </row>
    <row r="4053">
      <c r="A4053" t="inlineStr">
        <is>
          <t>2025-03-26</t>
        </is>
      </c>
      <c r="B4053" t="inlineStr">
        <is>
          <t>沪银</t>
        </is>
      </c>
      <c r="C4053" t="inlineStr">
        <is>
          <t>多</t>
        </is>
      </c>
      <c r="D4053" t="n">
        <v>3</v>
      </c>
      <c r="E4053" t="n">
        <v>7</v>
      </c>
      <c r="F4053" t="inlineStr">
        <is>
          <t>开仓</t>
        </is>
      </c>
      <c r="G4053" t="n">
        <v>5</v>
      </c>
      <c r="H4053" t="n">
        <v>8366</v>
      </c>
      <c r="I4053" t="n">
        <v>8005.14</v>
      </c>
      <c r="J4053" t="n">
        <v>3</v>
      </c>
      <c r="K4053" t="inlineStr">
        <is>
          <t>¼凯利超上限，取3%</t>
        </is>
      </c>
    </row>
    <row r="4054">
      <c r="A4054" t="inlineStr">
        <is>
          <t>2025-03-26</t>
        </is>
      </c>
      <c r="B4054" t="inlineStr">
        <is>
          <t>工业硅</t>
        </is>
      </c>
      <c r="C4054" t="inlineStr">
        <is>
          <t>空</t>
        </is>
      </c>
      <c r="D4054" t="n">
        <v>3</v>
      </c>
      <c r="E4054" t="n">
        <v>6</v>
      </c>
      <c r="F4054" t="inlineStr">
        <is>
          <t>开仓</t>
        </is>
      </c>
      <c r="G4054" t="n">
        <v>4</v>
      </c>
      <c r="H4054" t="n">
        <v>9780</v>
      </c>
      <c r="I4054" t="n">
        <v>10234.29</v>
      </c>
      <c r="J4054" t="n">
        <v>1</v>
      </c>
      <c r="K4054" t="inlineStr">
        <is>
          <t>组合风险已近10%，预算缩小</t>
        </is>
      </c>
    </row>
    <row r="4055">
      <c r="A4055" t="inlineStr">
        <is>
          <t>2025-03-26</t>
        </is>
      </c>
      <c r="B4055" t="inlineStr">
        <is>
          <t>塑料</t>
        </is>
      </c>
      <c r="C4055" t="inlineStr">
        <is>
          <t>空</t>
        </is>
      </c>
      <c r="D4055" t="n">
        <v>3</v>
      </c>
      <c r="E4055" t="n">
        <v>6</v>
      </c>
      <c r="F4055" t="inlineStr">
        <is>
          <t>不做</t>
        </is>
      </c>
      <c r="H4055" t="n">
        <v>7677</v>
      </c>
      <c r="J4055" t="n">
        <v>0</v>
      </c>
      <c r="K4055" t="inlineStr">
        <is>
          <t>组合风险已近10%，预算缩小</t>
        </is>
      </c>
    </row>
    <row r="4056">
      <c r="A4056" t="inlineStr">
        <is>
          <t>2025-03-26</t>
        </is>
      </c>
      <c r="B4056" t="inlineStr">
        <is>
          <t>鸡蛋</t>
        </is>
      </c>
      <c r="C4056" t="inlineStr">
        <is>
          <t>空</t>
        </is>
      </c>
      <c r="D4056" t="n">
        <v>3</v>
      </c>
      <c r="E4056" t="n">
        <v>6</v>
      </c>
      <c r="F4056" t="inlineStr">
        <is>
          <t>不做</t>
        </is>
      </c>
      <c r="H4056" t="n">
        <v>3017</v>
      </c>
      <c r="J4056" t="n">
        <v>0</v>
      </c>
      <c r="K4056" t="inlineStr">
        <is>
          <t>组合风险已近10%，预算缩小</t>
        </is>
      </c>
    </row>
    <row r="4057">
      <c r="A4057" t="inlineStr">
        <is>
          <t>2025-03-26</t>
        </is>
      </c>
      <c r="B4057" t="inlineStr">
        <is>
          <t>苯乙烯</t>
        </is>
      </c>
      <c r="C4057" t="inlineStr">
        <is>
          <t>空</t>
        </is>
      </c>
      <c r="D4057" t="n">
        <v>2</v>
      </c>
      <c r="E4057" t="n">
        <v>4</v>
      </c>
      <c r="F4057" t="inlineStr">
        <is>
          <t>续持</t>
        </is>
      </c>
      <c r="G4057" t="n">
        <v>4</v>
      </c>
      <c r="H4057" t="n">
        <v>7762</v>
      </c>
      <c r="I4057" t="n">
        <v>8096.64</v>
      </c>
      <c r="J4057" t="n">
        <v>1</v>
      </c>
      <c r="K4057" t="inlineStr">
        <is>
          <t>续持原仓（2025-03-25开）</t>
        </is>
      </c>
    </row>
    <row r="4058">
      <c r="A4058" t="inlineStr">
        <is>
          <t>2025-03-26</t>
        </is>
      </c>
      <c r="B4058" t="inlineStr">
        <is>
          <t>玉米</t>
        </is>
      </c>
      <c r="C4058" t="inlineStr">
        <is>
          <t>空</t>
        </is>
      </c>
      <c r="D4058" t="n">
        <v>2</v>
      </c>
      <c r="E4058" t="n">
        <v>4</v>
      </c>
      <c r="F4058" t="inlineStr">
        <is>
          <t>影子仓</t>
        </is>
      </c>
      <c r="G4058" t="n">
        <v>17</v>
      </c>
      <c r="H4058" t="n">
        <v>2262</v>
      </c>
      <c r="I4058" t="n">
        <v>2317.71</v>
      </c>
      <c r="J4058" t="n">
        <v>1</v>
      </c>
      <c r="K4058" t="inlineStr">
        <is>
          <t>凯利≤0，开1%影子仓（只统计，不计入组合）</t>
        </is>
      </c>
    </row>
    <row r="4059">
      <c r="A4059" t="inlineStr">
        <is>
          <t>2025-03-27</t>
        </is>
      </c>
      <c r="B4059" t="inlineStr">
        <is>
          <t>纯碱</t>
        </is>
      </c>
      <c r="C4059" t="inlineStr">
        <is>
          <t>空</t>
        </is>
      </c>
      <c r="D4059" t="n">
        <v>3</v>
      </c>
      <c r="E4059" t="n">
        <v>7</v>
      </c>
      <c r="F4059" t="inlineStr">
        <is>
          <t>开仓</t>
        </is>
      </c>
      <c r="G4059" t="n">
        <v>5</v>
      </c>
      <c r="H4059" t="n">
        <v>1418</v>
      </c>
      <c r="I4059" t="n">
        <v>1506.5</v>
      </c>
      <c r="J4059" t="n">
        <v>1</v>
      </c>
      <c r="K4059" t="inlineStr">
        <is>
          <t>组合风险已近10%，预算缩小</t>
        </is>
      </c>
    </row>
    <row r="4060">
      <c r="A4060" t="inlineStr">
        <is>
          <t>2025-03-27</t>
        </is>
      </c>
      <c r="B4060" t="inlineStr">
        <is>
          <t>沪金</t>
        </is>
      </c>
      <c r="C4060" t="inlineStr">
        <is>
          <t>多</t>
        </is>
      </c>
      <c r="D4060" t="n">
        <v>3</v>
      </c>
      <c r="E4060" t="n">
        <v>6</v>
      </c>
      <c r="F4060" t="inlineStr">
        <is>
          <t>不做</t>
        </is>
      </c>
      <c r="H4060" t="n">
        <v>710.3</v>
      </c>
      <c r="J4060" t="n">
        <v>0</v>
      </c>
      <c r="K4060" t="inlineStr">
        <is>
          <t>组合风险已近10%，预算缩小</t>
        </is>
      </c>
    </row>
    <row r="4061">
      <c r="A4061" t="inlineStr">
        <is>
          <t>2025-03-27</t>
        </is>
      </c>
      <c r="B4061" t="inlineStr">
        <is>
          <t>沪银</t>
        </is>
      </c>
      <c r="C4061" t="inlineStr">
        <is>
          <t>多</t>
        </is>
      </c>
      <c r="D4061" t="n">
        <v>3</v>
      </c>
      <c r="E4061" t="n">
        <v>6</v>
      </c>
      <c r="F4061" t="inlineStr">
        <is>
          <t>续持</t>
        </is>
      </c>
      <c r="G4061" t="n">
        <v>5</v>
      </c>
      <c r="H4061" t="n">
        <v>8372</v>
      </c>
      <c r="I4061" t="n">
        <v>8030.86</v>
      </c>
      <c r="J4061" t="n">
        <v>3</v>
      </c>
      <c r="K4061" t="inlineStr">
        <is>
          <t>续持原仓（2025-03-26开）</t>
        </is>
      </c>
    </row>
    <row r="4062">
      <c r="A4062" t="inlineStr">
        <is>
          <t>2025-03-27</t>
        </is>
      </c>
      <c r="B4062" t="inlineStr">
        <is>
          <t>鸡蛋</t>
        </is>
      </c>
      <c r="C4062" t="inlineStr">
        <is>
          <t>空</t>
        </is>
      </c>
      <c r="D4062" t="n">
        <v>2</v>
      </c>
      <c r="E4062" t="n">
        <v>5</v>
      </c>
      <c r="F4062" t="inlineStr">
        <is>
          <t>观望</t>
        </is>
      </c>
      <c r="G4062" t="n">
        <v>7</v>
      </c>
      <c r="H4062" t="n">
        <v>3054</v>
      </c>
      <c r="I4062" t="n">
        <v>3181.93</v>
      </c>
      <c r="J4062" t="n">
        <v>1</v>
      </c>
      <c r="K4062" t="inlineStr">
        <is>
          <t>逆5日线（收盘在5日线上，不追空）</t>
        </is>
      </c>
    </row>
    <row r="4063">
      <c r="A4063" t="inlineStr">
        <is>
          <t>2025-03-27</t>
        </is>
      </c>
      <c r="B4063" t="inlineStr">
        <is>
          <t>玻璃</t>
        </is>
      </c>
      <c r="C4063" t="inlineStr">
        <is>
          <t>多</t>
        </is>
      </c>
      <c r="D4063" t="n">
        <v>2</v>
      </c>
      <c r="E4063" t="n">
        <v>5</v>
      </c>
      <c r="F4063" t="inlineStr">
        <is>
          <t>影子仓</t>
        </is>
      </c>
      <c r="G4063" t="n">
        <v>4</v>
      </c>
      <c r="H4063" t="n">
        <v>1236</v>
      </c>
      <c r="I4063" t="n">
        <v>1129.07</v>
      </c>
      <c r="J4063" t="n">
        <v>1</v>
      </c>
      <c r="K4063" t="inlineStr">
        <is>
          <t>凯利≤0，开1%影子仓（只统计，不计入组合）</t>
        </is>
      </c>
    </row>
    <row r="4064">
      <c r="A4064" t="inlineStr">
        <is>
          <t>2025-03-27</t>
        </is>
      </c>
      <c r="B4064" t="inlineStr">
        <is>
          <t>塑料</t>
        </is>
      </c>
      <c r="C4064" t="inlineStr">
        <is>
          <t>空</t>
        </is>
      </c>
      <c r="D4064" t="n">
        <v>2</v>
      </c>
      <c r="E4064" t="n">
        <v>4</v>
      </c>
      <c r="F4064" t="inlineStr">
        <is>
          <t>观望</t>
        </is>
      </c>
      <c r="G4064" t="n">
        <v>10</v>
      </c>
      <c r="H4064" t="n">
        <v>7714</v>
      </c>
      <c r="I4064" t="n">
        <v>7913.93</v>
      </c>
      <c r="J4064" t="n">
        <v>1</v>
      </c>
      <c r="K4064" t="inlineStr">
        <is>
          <t>逆5日线（收盘在5日线上，不追空）</t>
        </is>
      </c>
    </row>
    <row r="4065">
      <c r="A4065" t="inlineStr">
        <is>
          <t>2025-03-27</t>
        </is>
      </c>
      <c r="B4065" t="inlineStr">
        <is>
          <t>白糖</t>
        </is>
      </c>
      <c r="C4065" t="inlineStr">
        <is>
          <t>空</t>
        </is>
      </c>
      <c r="D4065" t="n">
        <v>2</v>
      </c>
      <c r="E4065" t="n">
        <v>4</v>
      </c>
      <c r="F4065" t="inlineStr">
        <is>
          <t>影子仓</t>
        </is>
      </c>
      <c r="G4065" t="n">
        <v>6</v>
      </c>
      <c r="H4065" t="n">
        <v>6067</v>
      </c>
      <c r="I4065" t="n">
        <v>6227.71</v>
      </c>
      <c r="J4065" t="n">
        <v>1</v>
      </c>
      <c r="K4065" t="inlineStr">
        <is>
          <t>凯利≤0，开1%影子仓（只统计，不计入组合）</t>
        </is>
      </c>
    </row>
    <row r="4066">
      <c r="A4066" t="inlineStr">
        <is>
          <t>2025-03-28</t>
        </is>
      </c>
      <c r="B4066" t="inlineStr">
        <is>
          <t>沪银</t>
        </is>
      </c>
      <c r="C4066" t="inlineStr">
        <is>
          <t>多</t>
        </is>
      </c>
      <c r="D4066" t="n">
        <v>3</v>
      </c>
      <c r="E4066" t="n">
        <v>7</v>
      </c>
      <c r="F4066" t="inlineStr">
        <is>
          <t>续持</t>
        </is>
      </c>
      <c r="G4066" t="n">
        <v>5</v>
      </c>
      <c r="H4066" t="n">
        <v>8512</v>
      </c>
      <c r="I4066" t="n">
        <v>8170.43</v>
      </c>
      <c r="J4066" t="n">
        <v>3</v>
      </c>
      <c r="K4066" t="inlineStr">
        <is>
          <t>续持原仓（2025-03-26开）</t>
        </is>
      </c>
    </row>
    <row r="4067">
      <c r="A4067" t="inlineStr">
        <is>
          <t>2025-03-28</t>
        </is>
      </c>
      <c r="B4067" t="inlineStr">
        <is>
          <t>沪金</t>
        </is>
      </c>
      <c r="C4067" t="inlineStr">
        <is>
          <t>多</t>
        </is>
      </c>
      <c r="D4067" t="n">
        <v>3</v>
      </c>
      <c r="E4067" t="n">
        <v>7</v>
      </c>
      <c r="F4067" t="inlineStr">
        <is>
          <t>不做</t>
        </is>
      </c>
      <c r="H4067" t="n">
        <v>722.8</v>
      </c>
      <c r="J4067" t="n">
        <v>0</v>
      </c>
      <c r="K4067" t="inlineStr">
        <is>
          <t>与沪银高度相关（同组≤3%），预算缩小</t>
        </is>
      </c>
    </row>
    <row r="4068">
      <c r="A4068" t="inlineStr">
        <is>
          <t>2025-03-28</t>
        </is>
      </c>
      <c r="B4068" t="inlineStr">
        <is>
          <t>纯碱</t>
        </is>
      </c>
      <c r="C4068" t="inlineStr">
        <is>
          <t>空</t>
        </is>
      </c>
      <c r="D4068" t="n">
        <v>3</v>
      </c>
      <c r="E4068" t="n">
        <v>7</v>
      </c>
      <c r="F4068" t="inlineStr">
        <is>
          <t>续持</t>
        </is>
      </c>
      <c r="G4068" t="n">
        <v>5</v>
      </c>
      <c r="H4068" t="n">
        <v>1393</v>
      </c>
      <c r="I4068" t="n">
        <v>1473.71</v>
      </c>
      <c r="J4068" t="n">
        <v>1</v>
      </c>
      <c r="K4068" t="inlineStr">
        <is>
          <t>续持原仓（2025-03-27开）</t>
        </is>
      </c>
    </row>
    <row r="4069">
      <c r="A4069" t="inlineStr">
        <is>
          <t>2025-03-28</t>
        </is>
      </c>
      <c r="B4069" t="inlineStr">
        <is>
          <t>锰硅</t>
        </is>
      </c>
      <c r="C4069" t="inlineStr">
        <is>
          <t>空</t>
        </is>
      </c>
      <c r="D4069" t="n">
        <v>2</v>
      </c>
      <c r="E4069" t="n">
        <v>4</v>
      </c>
      <c r="F4069" t="inlineStr">
        <is>
          <t>续持</t>
        </is>
      </c>
      <c r="G4069" t="n">
        <v>6</v>
      </c>
      <c r="H4069" t="n">
        <v>6076</v>
      </c>
      <c r="I4069" t="n">
        <v>6277.86</v>
      </c>
      <c r="J4069" t="n">
        <v>1</v>
      </c>
      <c r="K4069" t="inlineStr">
        <is>
          <t>续持原仓（2025-03-20开）</t>
        </is>
      </c>
    </row>
    <row r="4070">
      <c r="A4070" t="inlineStr">
        <is>
          <t>2025-03-28</t>
        </is>
      </c>
      <c r="B4070" t="inlineStr">
        <is>
          <t>玉米</t>
        </is>
      </c>
      <c r="C4070" t="inlineStr">
        <is>
          <t>空</t>
        </is>
      </c>
      <c r="D4070" t="n">
        <v>2</v>
      </c>
      <c r="E4070" t="n">
        <v>4</v>
      </c>
      <c r="F4070" t="inlineStr">
        <is>
          <t>影子仓</t>
        </is>
      </c>
      <c r="G4070" t="n">
        <v>19</v>
      </c>
      <c r="H4070" t="n">
        <v>2261</v>
      </c>
      <c r="I4070" t="n">
        <v>2312</v>
      </c>
      <c r="J4070" t="n">
        <v>1</v>
      </c>
      <c r="K4070" t="inlineStr">
        <is>
          <t>凯利≤0，开1%影子仓（只统计，不计入组合）</t>
        </is>
      </c>
    </row>
    <row r="4071">
      <c r="A4071" t="inlineStr">
        <is>
          <t>2025-03-28</t>
        </is>
      </c>
      <c r="B4071" t="inlineStr">
        <is>
          <t>燃料油</t>
        </is>
      </c>
      <c r="C4071" t="inlineStr">
        <is>
          <t>多</t>
        </is>
      </c>
      <c r="D4071" t="n">
        <v>2</v>
      </c>
      <c r="E4071" t="n">
        <v>4</v>
      </c>
      <c r="F4071" t="inlineStr">
        <is>
          <t>影子仓</t>
        </is>
      </c>
      <c r="G4071" t="n">
        <v>5</v>
      </c>
      <c r="H4071" t="n">
        <v>3167</v>
      </c>
      <c r="I4071" t="n">
        <v>2986.36</v>
      </c>
      <c r="J4071" t="n">
        <v>1</v>
      </c>
      <c r="K4071" t="inlineStr">
        <is>
          <t>凯利≤0，开1%影子仓（只统计，不计入组合）</t>
        </is>
      </c>
    </row>
    <row r="4072">
      <c r="A4072" t="inlineStr">
        <is>
          <t>2025-03-28</t>
        </is>
      </c>
      <c r="B4072" t="inlineStr">
        <is>
          <t>PTA</t>
        </is>
      </c>
      <c r="C4072" t="inlineStr">
        <is>
          <t>空</t>
        </is>
      </c>
      <c r="D4072" t="n">
        <v>2</v>
      </c>
      <c r="E4072" t="n">
        <v>4</v>
      </c>
      <c r="F4072" t="inlineStr">
        <is>
          <t>影子仓</t>
        </is>
      </c>
      <c r="G4072" t="n">
        <v>8</v>
      </c>
      <c r="H4072" t="n">
        <v>4894</v>
      </c>
      <c r="I4072" t="n">
        <v>5121.57</v>
      </c>
      <c r="J4072" t="n">
        <v>1</v>
      </c>
      <c r="K4072" t="inlineStr">
        <is>
          <t>凯利≤0，开1%影子仓（只统计，不计入组合）</t>
        </is>
      </c>
    </row>
    <row r="4073">
      <c r="A4073" t="inlineStr">
        <is>
          <t>2025-03-31</t>
        </is>
      </c>
      <c r="B4073" t="inlineStr">
        <is>
          <t>沪金</t>
        </is>
      </c>
      <c r="C4073" t="inlineStr">
        <is>
          <t>多</t>
        </is>
      </c>
      <c r="D4073" t="n">
        <v>3</v>
      </c>
      <c r="E4073" t="n">
        <v>7</v>
      </c>
      <c r="F4073" t="inlineStr">
        <is>
          <t>开仓</t>
        </is>
      </c>
      <c r="G4073" t="n">
        <v>1</v>
      </c>
      <c r="H4073" t="n">
        <v>729.8</v>
      </c>
      <c r="I4073" t="n">
        <v>708.51</v>
      </c>
      <c r="J4073" t="n">
        <v>3</v>
      </c>
      <c r="K4073" t="inlineStr">
        <is>
          <t>¼凯利超上限，取3%</t>
        </is>
      </c>
    </row>
    <row r="4074">
      <c r="A4074" t="inlineStr">
        <is>
          <t>2025-04-01</t>
        </is>
      </c>
      <c r="B4074" t="inlineStr">
        <is>
          <t>燃料油</t>
        </is>
      </c>
      <c r="C4074" t="inlineStr">
        <is>
          <t>多</t>
        </is>
      </c>
      <c r="D4074" t="n">
        <v>2</v>
      </c>
      <c r="E4074" t="n">
        <v>5</v>
      </c>
      <c r="F4074" t="inlineStr">
        <is>
          <t>续持</t>
        </is>
      </c>
      <c r="G4074" t="n">
        <v>5</v>
      </c>
      <c r="H4074" t="n">
        <v>3248</v>
      </c>
      <c r="I4074" t="n">
        <v>3067.43</v>
      </c>
      <c r="J4074" t="n">
        <v>1</v>
      </c>
      <c r="K4074" t="inlineStr">
        <is>
          <t>续持原仓（2025-03-28开）</t>
        </is>
      </c>
    </row>
    <row r="4075">
      <c r="A4075" t="inlineStr">
        <is>
          <t>2025-04-07</t>
        </is>
      </c>
      <c r="B4075" t="inlineStr">
        <is>
          <t>沪锌</t>
        </is>
      </c>
      <c r="C4075" t="inlineStr">
        <is>
          <t>空</t>
        </is>
      </c>
      <c r="D4075" t="n">
        <v>2</v>
      </c>
      <c r="E4075" t="n">
        <v>4</v>
      </c>
      <c r="F4075" t="inlineStr">
        <is>
          <t>影子仓</t>
        </is>
      </c>
      <c r="G4075" t="n">
        <v>1</v>
      </c>
      <c r="H4075" t="n">
        <v>22625</v>
      </c>
      <c r="I4075" t="n">
        <v>23852.86</v>
      </c>
      <c r="J4075" t="n">
        <v>1</v>
      </c>
      <c r="K4075" t="inlineStr">
        <is>
          <t>凯利≤0，开1%影子仓（只统计，不计入组合）</t>
        </is>
      </c>
    </row>
    <row r="4076">
      <c r="A4076" t="inlineStr">
        <is>
          <t>2025-04-08</t>
        </is>
      </c>
      <c r="B4076" t="inlineStr">
        <is>
          <t>沪铜</t>
        </is>
      </c>
      <c r="C4076" t="inlineStr">
        <is>
          <t>空</t>
        </is>
      </c>
      <c r="D4076" t="n">
        <v>3</v>
      </c>
      <c r="E4076" t="n">
        <v>7</v>
      </c>
      <c r="F4076" t="inlineStr">
        <is>
          <t>开仓</t>
        </is>
      </c>
      <c r="G4076" t="n">
        <v>1</v>
      </c>
      <c r="H4076" t="n">
        <v>73360</v>
      </c>
      <c r="I4076" t="n">
        <v>77870.71000000001</v>
      </c>
      <c r="J4076" t="n">
        <v>3</v>
      </c>
      <c r="K4076" t="inlineStr">
        <is>
          <t>¼凯利超上限，取3%</t>
        </is>
      </c>
    </row>
    <row r="4077">
      <c r="A4077" t="inlineStr">
        <is>
          <t>2025-04-09</t>
        </is>
      </c>
      <c r="B4077" t="inlineStr">
        <is>
          <t>棉花</t>
        </is>
      </c>
      <c r="C4077" t="inlineStr">
        <is>
          <t>空</t>
        </is>
      </c>
      <c r="D4077" t="n">
        <v>3</v>
      </c>
      <c r="E4077" t="n">
        <v>6</v>
      </c>
      <c r="F4077" t="inlineStr">
        <is>
          <t>开仓</t>
        </is>
      </c>
      <c r="G4077" t="n">
        <v>10</v>
      </c>
      <c r="H4077" t="n">
        <v>12585</v>
      </c>
      <c r="I4077" t="n">
        <v>13181.79</v>
      </c>
      <c r="J4077" t="n">
        <v>3</v>
      </c>
      <c r="K4077" t="inlineStr">
        <is>
          <t>¼凯利超上限，取3%</t>
        </is>
      </c>
    </row>
    <row r="4078">
      <c r="A4078" t="inlineStr">
        <is>
          <t>2025-04-09</t>
        </is>
      </c>
      <c r="B4078" t="inlineStr">
        <is>
          <t>玻璃</t>
        </is>
      </c>
      <c r="C4078" t="inlineStr">
        <is>
          <t>空</t>
        </is>
      </c>
      <c r="D4078" t="n">
        <v>3</v>
      </c>
      <c r="E4078" t="n">
        <v>6</v>
      </c>
      <c r="F4078" t="inlineStr">
        <is>
          <t>开仓</t>
        </is>
      </c>
      <c r="G4078" t="n">
        <v>11</v>
      </c>
      <c r="H4078" t="n">
        <v>1180</v>
      </c>
      <c r="I4078" t="n">
        <v>1307.71</v>
      </c>
      <c r="J4078" t="n">
        <v>3</v>
      </c>
      <c r="K4078" t="inlineStr">
        <is>
          <t>¼凯利超上限，取3%</t>
        </is>
      </c>
    </row>
    <row r="4079">
      <c r="A4079" t="inlineStr">
        <is>
          <t>2025-04-10</t>
        </is>
      </c>
      <c r="B4079" t="inlineStr">
        <is>
          <t>沪金</t>
        </is>
      </c>
      <c r="C4079" t="inlineStr">
        <is>
          <t>多</t>
        </is>
      </c>
      <c r="D4079" t="n">
        <v>3</v>
      </c>
      <c r="E4079" t="n">
        <v>7</v>
      </c>
      <c r="F4079" t="inlineStr">
        <is>
          <t>不做</t>
        </is>
      </c>
      <c r="H4079" t="n">
        <v>744.48</v>
      </c>
      <c r="J4079" t="n">
        <v>3</v>
      </c>
      <c r="K4079" t="inlineStr">
        <is>
          <t>1手风险35229元超过预算30000元</t>
        </is>
      </c>
    </row>
    <row r="4080">
      <c r="A4080" t="inlineStr">
        <is>
          <t>2025-04-10</t>
        </is>
      </c>
      <c r="B4080" t="inlineStr">
        <is>
          <t>豆油</t>
        </is>
      </c>
      <c r="C4080" t="inlineStr">
        <is>
          <t>空</t>
        </is>
      </c>
      <c r="D4080" t="n">
        <v>2</v>
      </c>
      <c r="E4080" t="n">
        <v>5</v>
      </c>
      <c r="F4080" t="inlineStr">
        <is>
          <t>影子仓</t>
        </is>
      </c>
      <c r="G4080" t="n">
        <v>2</v>
      </c>
      <c r="H4080" t="n">
        <v>7646</v>
      </c>
      <c r="I4080" t="n">
        <v>8003</v>
      </c>
      <c r="J4080" t="n">
        <v>1</v>
      </c>
      <c r="K4080" t="inlineStr">
        <is>
          <t>凯利≤0，开1%影子仓（只统计，不计入组合）</t>
        </is>
      </c>
    </row>
    <row r="4081">
      <c r="A4081" t="inlineStr">
        <is>
          <t>2025-04-10</t>
        </is>
      </c>
      <c r="B4081" t="inlineStr">
        <is>
          <t>甲醇</t>
        </is>
      </c>
      <c r="C4081" t="inlineStr">
        <is>
          <t>空</t>
        </is>
      </c>
      <c r="D4081" t="n">
        <v>2</v>
      </c>
      <c r="E4081" t="n">
        <v>5</v>
      </c>
      <c r="F4081" t="inlineStr">
        <is>
          <t>观望</t>
        </is>
      </c>
      <c r="G4081" t="n">
        <v>5</v>
      </c>
      <c r="H4081" t="n">
        <v>2426</v>
      </c>
      <c r="I4081" t="n">
        <v>2605.36</v>
      </c>
      <c r="J4081" t="n">
        <v>1</v>
      </c>
      <c r="K4081" t="inlineStr">
        <is>
          <t>逆5日线（收盘在5日线上，不追空）</t>
        </is>
      </c>
    </row>
    <row r="4082">
      <c r="A4082" t="inlineStr">
        <is>
          <t>2025-04-10</t>
        </is>
      </c>
      <c r="B4082" t="inlineStr">
        <is>
          <t>铁矿石</t>
        </is>
      </c>
      <c r="C4082" t="inlineStr">
        <is>
          <t>空</t>
        </is>
      </c>
      <c r="D4082" t="n">
        <v>2</v>
      </c>
      <c r="E4082" t="n">
        <v>5</v>
      </c>
      <c r="F4082" t="inlineStr">
        <is>
          <t>影子仓</t>
        </is>
      </c>
      <c r="G4082" t="n">
        <v>1</v>
      </c>
      <c r="H4082" t="n">
        <v>707</v>
      </c>
      <c r="I4082" t="n">
        <v>770.21</v>
      </c>
      <c r="J4082" t="n">
        <v>1</v>
      </c>
      <c r="K4082" t="inlineStr">
        <is>
          <t>凯利≤0，开1%影子仓（只统计，不计入组合）</t>
        </is>
      </c>
    </row>
    <row r="4083">
      <c r="A4083" t="inlineStr">
        <is>
          <t>2025-04-10</t>
        </is>
      </c>
      <c r="B4083" t="inlineStr">
        <is>
          <t>沪银</t>
        </is>
      </c>
      <c r="C4083" t="inlineStr">
        <is>
          <t>多</t>
        </is>
      </c>
      <c r="D4083" t="n">
        <v>2</v>
      </c>
      <c r="E4083" t="n">
        <v>4</v>
      </c>
      <c r="F4083" t="inlineStr">
        <is>
          <t>影子仓</t>
        </is>
      </c>
      <c r="G4083" t="n">
        <v>1</v>
      </c>
      <c r="H4083" t="n">
        <v>7974</v>
      </c>
      <c r="I4083" t="n">
        <v>7415.79</v>
      </c>
      <c r="J4083" t="n">
        <v>1</v>
      </c>
      <c r="K4083" t="inlineStr">
        <is>
          <t>凯利≤0，开1%影子仓（只统计，不计入组合）</t>
        </is>
      </c>
    </row>
    <row r="4084">
      <c r="A4084" t="inlineStr">
        <is>
          <t>2025-04-10</t>
        </is>
      </c>
      <c r="B4084" t="inlineStr">
        <is>
          <t>沪镍</t>
        </is>
      </c>
      <c r="C4084" t="inlineStr">
        <is>
          <t>多</t>
        </is>
      </c>
      <c r="D4084" t="n">
        <v>2</v>
      </c>
      <c r="E4084" t="n">
        <v>4</v>
      </c>
      <c r="F4084" t="inlineStr">
        <is>
          <t>不做</t>
        </is>
      </c>
      <c r="H4084" t="n">
        <v>121600</v>
      </c>
      <c r="J4084" t="n">
        <v>1</v>
      </c>
      <c r="K4084" t="inlineStr">
        <is>
          <t>1手风险11053元超过预算10000元</t>
        </is>
      </c>
    </row>
    <row r="4085">
      <c r="A4085" t="inlineStr">
        <is>
          <t>2025-04-11</t>
        </is>
      </c>
      <c r="B4085" t="inlineStr">
        <is>
          <t>碳酸锂</t>
        </is>
      </c>
      <c r="C4085" t="inlineStr">
        <is>
          <t>空</t>
        </is>
      </c>
      <c r="D4085" t="n">
        <v>3</v>
      </c>
      <c r="E4085" t="n">
        <v>6</v>
      </c>
      <c r="F4085" t="inlineStr">
        <is>
          <t>开仓</t>
        </is>
      </c>
      <c r="G4085" t="n">
        <v>8</v>
      </c>
      <c r="H4085" t="n">
        <v>70260</v>
      </c>
      <c r="I4085" t="n">
        <v>73941.42999999999</v>
      </c>
      <c r="J4085" t="n">
        <v>3</v>
      </c>
      <c r="K4085" t="inlineStr">
        <is>
          <t>¼凯利超上限，取3%</t>
        </is>
      </c>
    </row>
    <row r="4086">
      <c r="A4086" t="inlineStr">
        <is>
          <t>2025-04-11</t>
        </is>
      </c>
      <c r="B4086" t="inlineStr">
        <is>
          <t>沪金</t>
        </is>
      </c>
      <c r="C4086" t="inlineStr">
        <is>
          <t>多</t>
        </is>
      </c>
      <c r="D4086" t="n">
        <v>3</v>
      </c>
      <c r="E4086" t="n">
        <v>6</v>
      </c>
      <c r="F4086" t="inlineStr">
        <is>
          <t>不做</t>
        </is>
      </c>
      <c r="H4086" t="n">
        <v>757.3</v>
      </c>
      <c r="J4086" t="n">
        <v>3</v>
      </c>
      <c r="K4086" t="inlineStr">
        <is>
          <t>1手风险39000元超过预算30000元</t>
        </is>
      </c>
    </row>
    <row r="4087">
      <c r="A4087" t="inlineStr">
        <is>
          <t>2025-04-11</t>
        </is>
      </c>
      <c r="B4087" t="inlineStr">
        <is>
          <t>铁矿石</t>
        </is>
      </c>
      <c r="C4087" t="inlineStr">
        <is>
          <t>空</t>
        </is>
      </c>
      <c r="D4087" t="n">
        <v>3</v>
      </c>
      <c r="E4087" t="n">
        <v>6</v>
      </c>
      <c r="F4087" t="inlineStr">
        <is>
          <t>观望</t>
        </is>
      </c>
      <c r="G4087" t="n">
        <v>4</v>
      </c>
      <c r="H4087" t="n">
        <v>708</v>
      </c>
      <c r="I4087" t="n">
        <v>772.0700000000001</v>
      </c>
      <c r="J4087" t="n">
        <v>3</v>
      </c>
      <c r="K4087" t="inlineStr">
        <is>
          <t>逆5日线（收盘在5日线上，不追空）</t>
        </is>
      </c>
    </row>
    <row r="4088">
      <c r="A4088" t="inlineStr">
        <is>
          <t>2025-04-11</t>
        </is>
      </c>
      <c r="B4088" t="inlineStr">
        <is>
          <t>热卷</t>
        </is>
      </c>
      <c r="C4088" t="inlineStr">
        <is>
          <t>空</t>
        </is>
      </c>
      <c r="D4088" t="n">
        <v>3</v>
      </c>
      <c r="E4088" t="n">
        <v>6</v>
      </c>
      <c r="F4088" t="inlineStr">
        <is>
          <t>观望</t>
        </is>
      </c>
      <c r="G4088" t="n">
        <v>17</v>
      </c>
      <c r="H4088" t="n">
        <v>3242</v>
      </c>
      <c r="I4088" t="n">
        <v>3409.14</v>
      </c>
      <c r="J4088" t="n">
        <v>3</v>
      </c>
      <c r="K4088" t="inlineStr">
        <is>
          <t>逆5日线（收盘在5日线上，不追空）</t>
        </is>
      </c>
    </row>
    <row r="4089">
      <c r="A4089" t="inlineStr">
        <is>
          <t>2025-04-11</t>
        </is>
      </c>
      <c r="B4089" t="inlineStr">
        <is>
          <t>PVC</t>
        </is>
      </c>
      <c r="C4089" t="inlineStr">
        <is>
          <t>空</t>
        </is>
      </c>
      <c r="D4089" t="n">
        <v>2</v>
      </c>
      <c r="E4089" t="n">
        <v>5</v>
      </c>
      <c r="F4089" t="inlineStr">
        <is>
          <t>观望</t>
        </is>
      </c>
      <c r="G4089" t="n">
        <v>6</v>
      </c>
      <c r="H4089" t="n">
        <v>4930</v>
      </c>
      <c r="I4089" t="n">
        <v>5219.07</v>
      </c>
      <c r="J4089" t="n">
        <v>1</v>
      </c>
      <c r="K4089" t="inlineStr">
        <is>
          <t>逆5日线（收盘在5日线上，不追空）</t>
        </is>
      </c>
    </row>
    <row r="4090">
      <c r="A4090" t="inlineStr">
        <is>
          <t>2025-04-11</t>
        </is>
      </c>
      <c r="B4090" t="inlineStr">
        <is>
          <t>PTA</t>
        </is>
      </c>
      <c r="C4090" t="inlineStr">
        <is>
          <t>多</t>
        </is>
      </c>
      <c r="D4090" t="n">
        <v>2</v>
      </c>
      <c r="E4090" t="n">
        <v>5</v>
      </c>
      <c r="F4090" t="inlineStr">
        <is>
          <t>影子仓</t>
        </is>
      </c>
      <c r="G4090" t="n">
        <v>5</v>
      </c>
      <c r="H4090" t="n">
        <v>4404</v>
      </c>
      <c r="I4090" t="n">
        <v>4011.86</v>
      </c>
      <c r="J4090" t="n">
        <v>1</v>
      </c>
      <c r="K4090" t="inlineStr">
        <is>
          <t>凯利≤0，开1%影子仓（只统计，不计入组合）</t>
        </is>
      </c>
    </row>
    <row r="4091">
      <c r="A4091" t="inlineStr">
        <is>
          <t>2025-04-11</t>
        </is>
      </c>
      <c r="B4091" t="inlineStr">
        <is>
          <t>沪铝</t>
        </is>
      </c>
      <c r="C4091" t="inlineStr">
        <is>
          <t>空</t>
        </is>
      </c>
      <c r="D4091" t="n">
        <v>2</v>
      </c>
      <c r="E4091" t="n">
        <v>4</v>
      </c>
      <c r="F4091" t="inlineStr">
        <is>
          <t>观望</t>
        </is>
      </c>
      <c r="G4091" t="n">
        <v>1</v>
      </c>
      <c r="H4091" t="n">
        <v>19640</v>
      </c>
      <c r="I4091" t="n">
        <v>20672.86</v>
      </c>
      <c r="J4091" t="n">
        <v>1</v>
      </c>
      <c r="K4091" t="inlineStr">
        <is>
          <t>逆5日线（收盘在5日线上，不追空）</t>
        </is>
      </c>
    </row>
    <row r="4092">
      <c r="A4092" t="inlineStr">
        <is>
          <t>2025-04-14</t>
        </is>
      </c>
      <c r="B4092" t="inlineStr">
        <is>
          <t>沪金</t>
        </is>
      </c>
      <c r="C4092" t="inlineStr">
        <is>
          <t>多</t>
        </is>
      </c>
      <c r="D4092" t="n">
        <v>3</v>
      </c>
      <c r="E4092" t="n">
        <v>7</v>
      </c>
      <c r="F4092" t="inlineStr">
        <is>
          <t>不做</t>
        </is>
      </c>
      <c r="H4092" t="n">
        <v>763.64</v>
      </c>
      <c r="J4092" t="n">
        <v>3</v>
      </c>
      <c r="K4092" t="inlineStr">
        <is>
          <t>1手风险39416元超过预算30000元</t>
        </is>
      </c>
    </row>
    <row r="4093">
      <c r="A4093" t="inlineStr">
        <is>
          <t>2025-04-14</t>
        </is>
      </c>
      <c r="B4093" t="inlineStr">
        <is>
          <t>玻璃</t>
        </is>
      </c>
      <c r="C4093" t="inlineStr">
        <is>
          <t>空</t>
        </is>
      </c>
      <c r="D4093" t="n">
        <v>3</v>
      </c>
      <c r="E4093" t="n">
        <v>6</v>
      </c>
      <c r="F4093" t="inlineStr">
        <is>
          <t>开仓</t>
        </is>
      </c>
      <c r="G4093" t="n">
        <v>11</v>
      </c>
      <c r="H4093" t="n">
        <v>1152</v>
      </c>
      <c r="I4093" t="n">
        <v>1277.79</v>
      </c>
      <c r="J4093" t="n">
        <v>3</v>
      </c>
      <c r="K4093" t="inlineStr">
        <is>
          <t>¼凯利超上限，取3%</t>
        </is>
      </c>
    </row>
    <row r="4094">
      <c r="A4094" t="inlineStr">
        <is>
          <t>2025-04-14</t>
        </is>
      </c>
      <c r="B4094" t="inlineStr">
        <is>
          <t>甲醇</t>
        </is>
      </c>
      <c r="C4094" t="inlineStr">
        <is>
          <t>空</t>
        </is>
      </c>
      <c r="D4094" t="n">
        <v>3</v>
      </c>
      <c r="E4094" t="n">
        <v>6</v>
      </c>
      <c r="F4094" t="inlineStr">
        <is>
          <t>观望</t>
        </is>
      </c>
      <c r="H4094" t="n">
        <v>2286</v>
      </c>
      <c r="J4094" t="n">
        <v>0</v>
      </c>
      <c r="K4094" t="inlineStr">
        <is>
          <t>逆5日线（收盘在5日线上，不追空）</t>
        </is>
      </c>
    </row>
    <row r="4095">
      <c r="A4095" t="inlineStr">
        <is>
          <t>2025-04-14</t>
        </is>
      </c>
      <c r="B4095" t="inlineStr">
        <is>
          <t>工业硅</t>
        </is>
      </c>
      <c r="C4095" t="inlineStr">
        <is>
          <t>空</t>
        </is>
      </c>
      <c r="D4095" t="n">
        <v>3</v>
      </c>
      <c r="E4095" t="n">
        <v>6</v>
      </c>
      <c r="F4095" t="inlineStr">
        <is>
          <t>不做</t>
        </is>
      </c>
      <c r="H4095" t="n">
        <v>9310</v>
      </c>
      <c r="J4095" t="n">
        <v>0</v>
      </c>
      <c r="K4095" t="inlineStr">
        <is>
          <t>组合风险已近10%，预算缩小</t>
        </is>
      </c>
    </row>
    <row r="4096">
      <c r="A4096" t="inlineStr">
        <is>
          <t>2025-04-14</t>
        </is>
      </c>
      <c r="B4096" t="inlineStr">
        <is>
          <t>碳酸锂</t>
        </is>
      </c>
      <c r="C4096" t="inlineStr">
        <is>
          <t>空</t>
        </is>
      </c>
      <c r="D4096" t="n">
        <v>2</v>
      </c>
      <c r="E4096" t="n">
        <v>5</v>
      </c>
      <c r="F4096" t="inlineStr">
        <is>
          <t>观望</t>
        </is>
      </c>
      <c r="G4096" t="n">
        <v>2</v>
      </c>
      <c r="H4096" t="n">
        <v>70760</v>
      </c>
      <c r="I4096" t="n">
        <v>74505.71000000001</v>
      </c>
      <c r="J4096" t="n">
        <v>1</v>
      </c>
      <c r="K4096" t="inlineStr">
        <is>
          <t>逆5日线（收盘在5日线上，不追空）</t>
        </is>
      </c>
    </row>
    <row r="4097">
      <c r="A4097" t="inlineStr">
        <is>
          <t>2025-04-14</t>
        </is>
      </c>
      <c r="B4097" t="inlineStr">
        <is>
          <t>热卷</t>
        </is>
      </c>
      <c r="C4097" t="inlineStr">
        <is>
          <t>空</t>
        </is>
      </c>
      <c r="D4097" t="n">
        <v>2</v>
      </c>
      <c r="E4097" t="n">
        <v>5</v>
      </c>
      <c r="F4097" t="inlineStr">
        <is>
          <t>观望</t>
        </is>
      </c>
      <c r="G4097" t="n">
        <v>6</v>
      </c>
      <c r="H4097" t="n">
        <v>3242</v>
      </c>
      <c r="I4097" t="n">
        <v>3402.29</v>
      </c>
      <c r="J4097" t="n">
        <v>1</v>
      </c>
      <c r="K4097" t="inlineStr">
        <is>
          <t>逆5日线（收盘在5日线上，不追空）</t>
        </is>
      </c>
    </row>
    <row r="4098">
      <c r="A4098" t="inlineStr">
        <is>
          <t>2025-04-14</t>
        </is>
      </c>
      <c r="B4098" t="inlineStr">
        <is>
          <t>豆粕</t>
        </is>
      </c>
      <c r="C4098" t="inlineStr">
        <is>
          <t>多</t>
        </is>
      </c>
      <c r="D4098" t="n">
        <v>2</v>
      </c>
      <c r="E4098" t="n">
        <v>4</v>
      </c>
      <c r="F4098" t="inlineStr">
        <is>
          <t>观望</t>
        </is>
      </c>
      <c r="G4098" t="n">
        <v>5</v>
      </c>
      <c r="H4098" t="n">
        <v>3104</v>
      </c>
      <c r="I4098" t="n">
        <v>2925.93</v>
      </c>
      <c r="J4098" t="n">
        <v>1</v>
      </c>
      <c r="K4098" t="inlineStr">
        <is>
          <t>逆5日线（收盘在5日线下，不追多）</t>
        </is>
      </c>
    </row>
    <row r="4099">
      <c r="A4099" t="inlineStr">
        <is>
          <t>2025-04-14</t>
        </is>
      </c>
      <c r="B4099" t="inlineStr">
        <is>
          <t>沪银</t>
        </is>
      </c>
      <c r="C4099" t="inlineStr">
        <is>
          <t>多</t>
        </is>
      </c>
      <c r="D4099" t="n">
        <v>2</v>
      </c>
      <c r="E4099" t="n">
        <v>4</v>
      </c>
      <c r="F4099" t="inlineStr">
        <is>
          <t>续持</t>
        </is>
      </c>
      <c r="G4099" t="n">
        <v>1</v>
      </c>
      <c r="H4099" t="n">
        <v>8091</v>
      </c>
      <c r="I4099" t="n">
        <v>7608.36</v>
      </c>
      <c r="J4099" t="n">
        <v>1</v>
      </c>
      <c r="K4099" t="inlineStr">
        <is>
          <t>续持原仓（2025-04-10开）</t>
        </is>
      </c>
    </row>
    <row r="4100">
      <c r="A4100" t="inlineStr">
        <is>
          <t>2025-04-15</t>
        </is>
      </c>
      <c r="B4100" t="inlineStr">
        <is>
          <t>PTA</t>
        </is>
      </c>
      <c r="C4100" t="inlineStr">
        <is>
          <t>空</t>
        </is>
      </c>
      <c r="D4100" t="n">
        <v>3</v>
      </c>
      <c r="E4100" t="n">
        <v>7</v>
      </c>
      <c r="F4100" t="inlineStr">
        <is>
          <t>不做</t>
        </is>
      </c>
      <c r="H4100" t="n">
        <v>4324</v>
      </c>
      <c r="J4100" t="n">
        <v>0</v>
      </c>
      <c r="K4100" t="inlineStr">
        <is>
          <t>与棉花高度相关（同组≤3%），预算缩小</t>
        </is>
      </c>
    </row>
    <row r="4101">
      <c r="A4101" t="inlineStr">
        <is>
          <t>2025-04-15</t>
        </is>
      </c>
      <c r="B4101" t="inlineStr">
        <is>
          <t>甲醇</t>
        </is>
      </c>
      <c r="C4101" t="inlineStr">
        <is>
          <t>空</t>
        </is>
      </c>
      <c r="D4101" t="n">
        <v>3</v>
      </c>
      <c r="E4101" t="n">
        <v>7</v>
      </c>
      <c r="F4101" t="inlineStr">
        <is>
          <t>开仓</t>
        </is>
      </c>
      <c r="G4101" t="n">
        <v>17</v>
      </c>
      <c r="H4101" t="n">
        <v>2277</v>
      </c>
      <c r="I4101" t="n">
        <v>2453.36</v>
      </c>
      <c r="J4101" t="n">
        <v>3</v>
      </c>
      <c r="K4101" t="inlineStr">
        <is>
          <t>¼凯利超上限，取3%</t>
        </is>
      </c>
    </row>
    <row r="4102">
      <c r="A4102" t="inlineStr">
        <is>
          <t>2025-04-15</t>
        </is>
      </c>
      <c r="B4102" t="inlineStr">
        <is>
          <t>硅铁</t>
        </is>
      </c>
      <c r="C4102" t="inlineStr">
        <is>
          <t>空</t>
        </is>
      </c>
      <c r="D4102" t="n">
        <v>3</v>
      </c>
      <c r="E4102" t="n">
        <v>7</v>
      </c>
      <c r="F4102" t="inlineStr">
        <is>
          <t>不做</t>
        </is>
      </c>
      <c r="H4102" t="n">
        <v>5774</v>
      </c>
      <c r="J4102" t="n">
        <v>0</v>
      </c>
      <c r="K4102" t="inlineStr">
        <is>
          <t>组合风险已近10%，预算缩小</t>
        </is>
      </c>
    </row>
    <row r="4103">
      <c r="A4103" t="inlineStr">
        <is>
          <t>2025-04-15</t>
        </is>
      </c>
      <c r="B4103" t="inlineStr">
        <is>
          <t>沪铝</t>
        </is>
      </c>
      <c r="C4103" t="inlineStr">
        <is>
          <t>空</t>
        </is>
      </c>
      <c r="D4103" t="n">
        <v>3</v>
      </c>
      <c r="E4103" t="n">
        <v>7</v>
      </c>
      <c r="F4103" t="inlineStr">
        <is>
          <t>观望</t>
        </is>
      </c>
      <c r="H4103" t="n">
        <v>19595</v>
      </c>
      <c r="J4103" t="n">
        <v>0</v>
      </c>
      <c r="K4103" t="inlineStr">
        <is>
          <t>逆5日线（收盘在5日线上，不追空）</t>
        </is>
      </c>
    </row>
    <row r="4104">
      <c r="A4104" t="inlineStr">
        <is>
          <t>2025-04-15</t>
        </is>
      </c>
      <c r="B4104" t="inlineStr">
        <is>
          <t>锰硅</t>
        </is>
      </c>
      <c r="C4104" t="inlineStr">
        <is>
          <t>空</t>
        </is>
      </c>
      <c r="D4104" t="n">
        <v>3</v>
      </c>
      <c r="E4104" t="n">
        <v>6</v>
      </c>
      <c r="F4104" t="inlineStr">
        <is>
          <t>不做</t>
        </is>
      </c>
      <c r="H4104" t="n">
        <v>5868</v>
      </c>
      <c r="J4104" t="n">
        <v>0</v>
      </c>
      <c r="K4104" t="inlineStr">
        <is>
          <t>组合风险已近10%，预算缩小</t>
        </is>
      </c>
    </row>
    <row r="4105">
      <c r="A4105" t="inlineStr">
        <is>
          <t>2025-04-15</t>
        </is>
      </c>
      <c r="B4105" t="inlineStr">
        <is>
          <t>沪金</t>
        </is>
      </c>
      <c r="C4105" t="inlineStr">
        <is>
          <t>多</t>
        </is>
      </c>
      <c r="D4105" t="n">
        <v>3</v>
      </c>
      <c r="E4105" t="n">
        <v>6</v>
      </c>
      <c r="F4105" t="inlineStr">
        <is>
          <t>不做</t>
        </is>
      </c>
      <c r="H4105" t="n">
        <v>764.4400000000001</v>
      </c>
      <c r="J4105" t="n">
        <v>0</v>
      </c>
      <c r="K4105" t="inlineStr">
        <is>
          <t>组合风险已近10%，预算缩小</t>
        </is>
      </c>
    </row>
    <row r="4106">
      <c r="A4106" t="inlineStr">
        <is>
          <t>2025-04-15</t>
        </is>
      </c>
      <c r="B4106" t="inlineStr">
        <is>
          <t>沪银</t>
        </is>
      </c>
      <c r="C4106" t="inlineStr">
        <is>
          <t>多</t>
        </is>
      </c>
      <c r="D4106" t="n">
        <v>2</v>
      </c>
      <c r="E4106" t="n">
        <v>4</v>
      </c>
      <c r="F4106" t="inlineStr">
        <is>
          <t>续持</t>
        </is>
      </c>
      <c r="G4106" t="n">
        <v>1</v>
      </c>
      <c r="H4106" t="n">
        <v>8158</v>
      </c>
      <c r="I4106" t="n">
        <v>7608.36</v>
      </c>
      <c r="J4106" t="n">
        <v>1</v>
      </c>
      <c r="K4106" t="inlineStr">
        <is>
          <t>续持原仓（2025-04-10开）</t>
        </is>
      </c>
    </row>
    <row r="4107">
      <c r="A4107" t="inlineStr">
        <is>
          <t>2025-04-15</t>
        </is>
      </c>
      <c r="B4107" t="inlineStr">
        <is>
          <t>燃料油</t>
        </is>
      </c>
      <c r="C4107" t="inlineStr">
        <is>
          <t>多</t>
        </is>
      </c>
      <c r="D4107" t="n">
        <v>2</v>
      </c>
      <c r="E4107" t="n">
        <v>4</v>
      </c>
      <c r="F4107" t="inlineStr">
        <is>
          <t>影子仓</t>
        </is>
      </c>
      <c r="G4107" t="n">
        <v>3</v>
      </c>
      <c r="H4107" t="n">
        <v>2947</v>
      </c>
      <c r="I4107" t="n">
        <v>2654.29</v>
      </c>
      <c r="J4107" t="n">
        <v>1</v>
      </c>
      <c r="K4107" t="inlineStr">
        <is>
          <t>凯利≤0，开1%影子仓（只统计，不计入组合）</t>
        </is>
      </c>
    </row>
    <row r="4108">
      <c r="A4108" t="inlineStr">
        <is>
          <t>2025-04-16</t>
        </is>
      </c>
      <c r="B4108" t="inlineStr">
        <is>
          <t>锰硅</t>
        </is>
      </c>
      <c r="C4108" t="inlineStr">
        <is>
          <t>空</t>
        </is>
      </c>
      <c r="D4108" t="n">
        <v>3</v>
      </c>
      <c r="E4108" t="n">
        <v>7</v>
      </c>
      <c r="F4108" t="inlineStr">
        <is>
          <t>不做</t>
        </is>
      </c>
      <c r="H4108" t="n">
        <v>5896</v>
      </c>
      <c r="J4108" t="n">
        <v>0</v>
      </c>
      <c r="K4108" t="inlineStr">
        <is>
          <t>组合风险已近10%，预算缩小</t>
        </is>
      </c>
    </row>
    <row r="4109">
      <c r="A4109" t="inlineStr">
        <is>
          <t>2025-04-16</t>
        </is>
      </c>
      <c r="B4109" t="inlineStr">
        <is>
          <t>沪锌</t>
        </is>
      </c>
      <c r="C4109" t="inlineStr">
        <is>
          <t>空</t>
        </is>
      </c>
      <c r="D4109" t="n">
        <v>3</v>
      </c>
      <c r="E4109" t="n">
        <v>7</v>
      </c>
      <c r="F4109" t="inlineStr">
        <is>
          <t>不做</t>
        </is>
      </c>
      <c r="H4109" t="n">
        <v>21920</v>
      </c>
      <c r="J4109" t="n">
        <v>0</v>
      </c>
      <c r="K4109" t="inlineStr">
        <is>
          <t>组合风险已近10%，预算缩小</t>
        </is>
      </c>
    </row>
    <row r="4110">
      <c r="A4110" t="inlineStr">
        <is>
          <t>2025-04-16</t>
        </is>
      </c>
      <c r="B4110" t="inlineStr">
        <is>
          <t>甲醇</t>
        </is>
      </c>
      <c r="C4110" t="inlineStr">
        <is>
          <t>空</t>
        </is>
      </c>
      <c r="D4110" t="n">
        <v>3</v>
      </c>
      <c r="E4110" t="n">
        <v>6</v>
      </c>
      <c r="F4110" t="inlineStr">
        <is>
          <t>续持</t>
        </is>
      </c>
      <c r="G4110" t="n">
        <v>17</v>
      </c>
      <c r="H4110" t="n">
        <v>2262</v>
      </c>
      <c r="I4110" t="n">
        <v>2436.57</v>
      </c>
      <c r="J4110" t="n">
        <v>3</v>
      </c>
      <c r="K4110" t="inlineStr">
        <is>
          <t>续持原仓（2025-04-15开）</t>
        </is>
      </c>
    </row>
    <row r="4111">
      <c r="A4111" t="inlineStr">
        <is>
          <t>2025-04-16</t>
        </is>
      </c>
      <c r="B4111" t="inlineStr">
        <is>
          <t>碳酸锂</t>
        </is>
      </c>
      <c r="C4111" t="inlineStr">
        <is>
          <t>空</t>
        </is>
      </c>
      <c r="D4111" t="n">
        <v>3</v>
      </c>
      <c r="E4111" t="n">
        <v>6</v>
      </c>
      <c r="F4111" t="inlineStr">
        <is>
          <t>续持</t>
        </is>
      </c>
      <c r="G4111" t="n">
        <v>8</v>
      </c>
      <c r="H4111" t="n">
        <v>70380</v>
      </c>
      <c r="I4111" t="n">
        <v>73848.57000000001</v>
      </c>
      <c r="J4111" t="n">
        <v>3</v>
      </c>
      <c r="K4111" t="inlineStr">
        <is>
          <t>续持原仓（2025-04-11开）</t>
        </is>
      </c>
    </row>
    <row r="4112">
      <c r="A4112" t="inlineStr">
        <is>
          <t>2025-04-16</t>
        </is>
      </c>
      <c r="B4112" t="inlineStr">
        <is>
          <t>沪金</t>
        </is>
      </c>
      <c r="C4112" t="inlineStr">
        <is>
          <t>多</t>
        </is>
      </c>
      <c r="D4112" t="n">
        <v>3</v>
      </c>
      <c r="E4112" t="n">
        <v>6</v>
      </c>
      <c r="F4112" t="inlineStr">
        <is>
          <t>不做</t>
        </is>
      </c>
      <c r="H4112" t="n">
        <v>781.6</v>
      </c>
      <c r="J4112" t="n">
        <v>0</v>
      </c>
      <c r="K4112" t="inlineStr">
        <is>
          <t>组合风险已近10%，预算缩小</t>
        </is>
      </c>
    </row>
    <row r="4113">
      <c r="A4113" t="inlineStr">
        <is>
          <t>2025-04-16</t>
        </is>
      </c>
      <c r="B4113" t="inlineStr">
        <is>
          <t>棉花</t>
        </is>
      </c>
      <c r="C4113" t="inlineStr">
        <is>
          <t>空</t>
        </is>
      </c>
      <c r="D4113" t="n">
        <v>3</v>
      </c>
      <c r="E4113" t="n">
        <v>6</v>
      </c>
      <c r="F4113" t="inlineStr">
        <is>
          <t>续持</t>
        </is>
      </c>
      <c r="G4113" t="n">
        <v>10</v>
      </c>
      <c r="H4113" t="n">
        <v>12830</v>
      </c>
      <c r="I4113" t="n">
        <v>13261.79</v>
      </c>
      <c r="J4113" t="n">
        <v>3</v>
      </c>
      <c r="K4113" t="inlineStr">
        <is>
          <t>续持原仓（2025-04-09开）</t>
        </is>
      </c>
    </row>
    <row r="4114">
      <c r="A4114" t="inlineStr">
        <is>
          <t>2025-04-16</t>
        </is>
      </c>
      <c r="B4114" t="inlineStr">
        <is>
          <t>沪银</t>
        </is>
      </c>
      <c r="C4114" t="inlineStr">
        <is>
          <t>多</t>
        </is>
      </c>
      <c r="D4114" t="n">
        <v>2</v>
      </c>
      <c r="E4114" t="n">
        <v>4</v>
      </c>
      <c r="F4114" t="inlineStr">
        <is>
          <t>续持</t>
        </is>
      </c>
      <c r="G4114" t="n">
        <v>1</v>
      </c>
      <c r="H4114" t="n">
        <v>8233</v>
      </c>
      <c r="I4114" t="n">
        <v>7668.5</v>
      </c>
      <c r="J4114" t="n">
        <v>1</v>
      </c>
      <c r="K4114" t="inlineStr">
        <is>
          <t>续持原仓（2025-04-10开）</t>
        </is>
      </c>
    </row>
    <row r="4115">
      <c r="A4115" t="inlineStr">
        <is>
          <t>2025-04-17</t>
        </is>
      </c>
      <c r="B4115" t="inlineStr">
        <is>
          <t>甲醇</t>
        </is>
      </c>
      <c r="C4115" t="inlineStr">
        <is>
          <t>空</t>
        </is>
      </c>
      <c r="D4115" t="n">
        <v>3</v>
      </c>
      <c r="E4115" t="n">
        <v>7</v>
      </c>
      <c r="F4115" t="inlineStr">
        <is>
          <t>续持</t>
        </is>
      </c>
      <c r="G4115" t="n">
        <v>17</v>
      </c>
      <c r="H4115" t="n">
        <v>2238</v>
      </c>
      <c r="I4115" t="n">
        <v>2416.14</v>
      </c>
      <c r="J4115" t="n">
        <v>3</v>
      </c>
      <c r="K4115" t="inlineStr">
        <is>
          <t>续持原仓（2025-04-15开）</t>
        </is>
      </c>
    </row>
    <row r="4116">
      <c r="A4116" t="inlineStr">
        <is>
          <t>2025-04-17</t>
        </is>
      </c>
      <c r="B4116" t="inlineStr">
        <is>
          <t>硅铁</t>
        </is>
      </c>
      <c r="C4116" t="inlineStr">
        <is>
          <t>空</t>
        </is>
      </c>
      <c r="D4116" t="n">
        <v>3</v>
      </c>
      <c r="E4116" t="n">
        <v>6</v>
      </c>
      <c r="F4116" t="inlineStr">
        <is>
          <t>开仓</t>
        </is>
      </c>
      <c r="G4116" t="n">
        <v>20</v>
      </c>
      <c r="H4116" t="n">
        <v>5658</v>
      </c>
      <c r="I4116" t="n">
        <v>5950.29</v>
      </c>
      <c r="J4116" t="n">
        <v>3</v>
      </c>
      <c r="K4116" t="inlineStr">
        <is>
          <t>¼凯利超上限，取3%</t>
        </is>
      </c>
    </row>
    <row r="4117">
      <c r="A4117" t="inlineStr">
        <is>
          <t>2025-04-17</t>
        </is>
      </c>
      <c r="B4117" t="inlineStr">
        <is>
          <t>沪锌</t>
        </is>
      </c>
      <c r="C4117" t="inlineStr">
        <is>
          <t>空</t>
        </is>
      </c>
      <c r="D4117" t="n">
        <v>2</v>
      </c>
      <c r="E4117" t="n">
        <v>5</v>
      </c>
      <c r="F4117" t="inlineStr">
        <is>
          <t>影子仓</t>
        </is>
      </c>
      <c r="G4117" t="n">
        <v>1</v>
      </c>
      <c r="H4117" t="n">
        <v>21990</v>
      </c>
      <c r="I4117" t="n">
        <v>23644.29</v>
      </c>
      <c r="J4117" t="n">
        <v>1</v>
      </c>
      <c r="K4117" t="inlineStr">
        <is>
          <t>凯利≤0，开1%影子仓（只统计，不计入组合）</t>
        </is>
      </c>
    </row>
    <row r="4118">
      <c r="A4118" t="inlineStr">
        <is>
          <t>2025-04-17</t>
        </is>
      </c>
      <c r="B4118" t="inlineStr">
        <is>
          <t>螺纹钢</t>
        </is>
      </c>
      <c r="C4118" t="inlineStr">
        <is>
          <t>空</t>
        </is>
      </c>
      <c r="D4118" t="n">
        <v>2</v>
      </c>
      <c r="E4118" t="n">
        <v>5</v>
      </c>
      <c r="F4118" t="inlineStr">
        <is>
          <t>影子仓</t>
        </is>
      </c>
      <c r="G4118" t="n">
        <v>6</v>
      </c>
      <c r="H4118" t="n">
        <v>3092</v>
      </c>
      <c r="I4118" t="n">
        <v>3253.79</v>
      </c>
      <c r="J4118" t="n">
        <v>1</v>
      </c>
      <c r="K4118" t="inlineStr">
        <is>
          <t>凯利≤0，开1%影子仓（只统计，不计入组合）</t>
        </is>
      </c>
    </row>
    <row r="4119">
      <c r="A4119" t="inlineStr">
        <is>
          <t>2025-04-17</t>
        </is>
      </c>
      <c r="B4119" t="inlineStr">
        <is>
          <t>工业硅</t>
        </is>
      </c>
      <c r="C4119" t="inlineStr">
        <is>
          <t>空</t>
        </is>
      </c>
      <c r="D4119" t="n">
        <v>2</v>
      </c>
      <c r="E4119" t="n">
        <v>5</v>
      </c>
      <c r="F4119" t="inlineStr">
        <is>
          <t>影子仓</t>
        </is>
      </c>
      <c r="G4119" t="n">
        <v>3</v>
      </c>
      <c r="H4119" t="n">
        <v>9015</v>
      </c>
      <c r="I4119" t="n">
        <v>9519.639999999999</v>
      </c>
      <c r="J4119" t="n">
        <v>1</v>
      </c>
      <c r="K4119" t="inlineStr">
        <is>
          <t>凯利≤0，开1%影子仓（只统计，不计入组合）</t>
        </is>
      </c>
    </row>
    <row r="4120">
      <c r="A4120" t="inlineStr">
        <is>
          <t>2025-04-17</t>
        </is>
      </c>
      <c r="B4120" t="inlineStr">
        <is>
          <t>沪银</t>
        </is>
      </c>
      <c r="C4120" t="inlineStr">
        <is>
          <t>多</t>
        </is>
      </c>
      <c r="D4120" t="n">
        <v>2</v>
      </c>
      <c r="E4120" t="n">
        <v>5</v>
      </c>
      <c r="F4120" t="inlineStr">
        <is>
          <t>续持</t>
        </is>
      </c>
      <c r="G4120" t="n">
        <v>1</v>
      </c>
      <c r="H4120" t="n">
        <v>8161</v>
      </c>
      <c r="I4120" t="n">
        <v>7678.5</v>
      </c>
      <c r="J4120" t="n">
        <v>1</v>
      </c>
      <c r="K4120" t="inlineStr">
        <is>
          <t>续持原仓（2025-04-10开）</t>
        </is>
      </c>
    </row>
    <row r="4121">
      <c r="A4121" t="inlineStr">
        <is>
          <t>2025-04-18</t>
        </is>
      </c>
      <c r="B4121" t="inlineStr">
        <is>
          <t>螺纹钢</t>
        </is>
      </c>
      <c r="C4121" t="inlineStr">
        <is>
          <t>空</t>
        </is>
      </c>
      <c r="D4121" t="n">
        <v>3</v>
      </c>
      <c r="E4121" t="n">
        <v>7</v>
      </c>
      <c r="F4121" t="inlineStr">
        <is>
          <t>续持</t>
        </is>
      </c>
      <c r="G4121" t="n">
        <v>6</v>
      </c>
      <c r="H4121" t="n">
        <v>3076</v>
      </c>
      <c r="I4121" t="n">
        <v>3234.36</v>
      </c>
      <c r="J4121" t="n">
        <v>1</v>
      </c>
      <c r="K4121" t="inlineStr">
        <is>
          <t>续持原仓（2025-04-17开）</t>
        </is>
      </c>
    </row>
    <row r="4122">
      <c r="A4122" t="inlineStr">
        <is>
          <t>2025-04-18</t>
        </is>
      </c>
      <c r="B4122" t="inlineStr">
        <is>
          <t>碳酸锂</t>
        </is>
      </c>
      <c r="C4122" t="inlineStr">
        <is>
          <t>空</t>
        </is>
      </c>
      <c r="D4122" t="n">
        <v>3</v>
      </c>
      <c r="E4122" t="n">
        <v>7</v>
      </c>
      <c r="F4122" t="inlineStr">
        <is>
          <t>开仓</t>
        </is>
      </c>
      <c r="G4122" t="n">
        <v>8</v>
      </c>
      <c r="H4122" t="n">
        <v>70180</v>
      </c>
      <c r="I4122" t="n">
        <v>73775.71000000001</v>
      </c>
      <c r="J4122" t="n">
        <v>3</v>
      </c>
      <c r="K4122" t="inlineStr">
        <is>
          <t>¼凯利超上限，取3%</t>
        </is>
      </c>
    </row>
    <row r="4123">
      <c r="A4123" t="inlineStr">
        <is>
          <t>2025-04-18</t>
        </is>
      </c>
      <c r="B4123" t="inlineStr">
        <is>
          <t>沪金</t>
        </is>
      </c>
      <c r="C4123" t="inlineStr">
        <is>
          <t>多</t>
        </is>
      </c>
      <c r="D4123" t="n">
        <v>3</v>
      </c>
      <c r="E4123" t="n">
        <v>6</v>
      </c>
      <c r="F4123" t="inlineStr">
        <is>
          <t>不做</t>
        </is>
      </c>
      <c r="H4123" t="n">
        <v>791.02</v>
      </c>
      <c r="J4123" t="n">
        <v>0</v>
      </c>
      <c r="K4123" t="inlineStr">
        <is>
          <t>组合风险已近10%，预算缩小</t>
        </is>
      </c>
    </row>
    <row r="4124">
      <c r="A4124" t="inlineStr">
        <is>
          <t>2025-04-18</t>
        </is>
      </c>
      <c r="B4124" t="inlineStr">
        <is>
          <t>硅铁</t>
        </is>
      </c>
      <c r="C4124" t="inlineStr">
        <is>
          <t>空</t>
        </is>
      </c>
      <c r="D4124" t="n">
        <v>3</v>
      </c>
      <c r="E4124" t="n">
        <v>6</v>
      </c>
      <c r="F4124" t="inlineStr">
        <is>
          <t>续持</t>
        </is>
      </c>
      <c r="G4124" t="n">
        <v>20</v>
      </c>
      <c r="H4124" t="n">
        <v>5682</v>
      </c>
      <c r="I4124" t="n">
        <v>5915.86</v>
      </c>
      <c r="J4124" t="n">
        <v>3</v>
      </c>
      <c r="K4124" t="inlineStr">
        <is>
          <t>续持原仓（2025-04-17开）</t>
        </is>
      </c>
    </row>
    <row r="4125">
      <c r="A4125" t="inlineStr">
        <is>
          <t>2025-04-18</t>
        </is>
      </c>
      <c r="B4125" t="inlineStr">
        <is>
          <t>锰硅</t>
        </is>
      </c>
      <c r="C4125" t="inlineStr">
        <is>
          <t>空</t>
        </is>
      </c>
      <c r="D4125" t="n">
        <v>2</v>
      </c>
      <c r="E4125" t="n">
        <v>5</v>
      </c>
      <c r="F4125" t="inlineStr">
        <is>
          <t>影子仓</t>
        </is>
      </c>
      <c r="G4125" t="n">
        <v>6</v>
      </c>
      <c r="H4125" t="n">
        <v>5896</v>
      </c>
      <c r="I4125" t="n">
        <v>6197.71</v>
      </c>
      <c r="J4125" t="n">
        <v>1</v>
      </c>
      <c r="K4125" t="inlineStr">
        <is>
          <t>凯利≤0，开1%影子仓（只统计，不计入组合）</t>
        </is>
      </c>
    </row>
    <row r="4126">
      <c r="A4126" t="inlineStr">
        <is>
          <t>2025-04-18</t>
        </is>
      </c>
      <c r="B4126" t="inlineStr">
        <is>
          <t>沪铜</t>
        </is>
      </c>
      <c r="C4126" t="inlineStr">
        <is>
          <t>空</t>
        </is>
      </c>
      <c r="D4126" t="n">
        <v>2</v>
      </c>
      <c r="E4126" t="n">
        <v>5</v>
      </c>
      <c r="F4126" t="inlineStr">
        <is>
          <t>观望</t>
        </is>
      </c>
      <c r="H4126" t="n">
        <v>76140</v>
      </c>
      <c r="J4126" t="n">
        <v>1</v>
      </c>
      <c r="K4126" t="inlineStr">
        <is>
          <t>逆5日线（收盘在5日线上，不追空）</t>
        </is>
      </c>
    </row>
    <row r="4127">
      <c r="A4127" t="inlineStr">
        <is>
          <t>2025-04-21</t>
        </is>
      </c>
      <c r="B4127" t="inlineStr">
        <is>
          <t>沪金</t>
        </is>
      </c>
      <c r="C4127" t="inlineStr">
        <is>
          <t>多</t>
        </is>
      </c>
      <c r="D4127" t="n">
        <v>3</v>
      </c>
      <c r="E4127" t="n">
        <v>7</v>
      </c>
      <c r="F4127" t="inlineStr">
        <is>
          <t>不做</t>
        </is>
      </c>
      <c r="H4127" t="n">
        <v>805.0599999999999</v>
      </c>
      <c r="J4127" t="n">
        <v>0</v>
      </c>
      <c r="K4127" t="inlineStr">
        <is>
          <t>组合风险已近10%，预算缩小</t>
        </is>
      </c>
    </row>
    <row r="4128">
      <c r="A4128" t="inlineStr">
        <is>
          <t>2025-04-21</t>
        </is>
      </c>
      <c r="B4128" t="inlineStr">
        <is>
          <t>甲醇</t>
        </is>
      </c>
      <c r="C4128" t="inlineStr">
        <is>
          <t>空</t>
        </is>
      </c>
      <c r="D4128" t="n">
        <v>3</v>
      </c>
      <c r="E4128" t="n">
        <v>6</v>
      </c>
      <c r="F4128" t="inlineStr">
        <is>
          <t>观望</t>
        </is>
      </c>
      <c r="H4128" t="n">
        <v>2275</v>
      </c>
      <c r="J4128" t="n">
        <v>0</v>
      </c>
      <c r="K4128" t="inlineStr">
        <is>
          <t>逆5日线（收盘在5日线上，不追空）</t>
        </is>
      </c>
    </row>
    <row r="4129">
      <c r="A4129" t="inlineStr">
        <is>
          <t>2025-04-21</t>
        </is>
      </c>
      <c r="B4129" t="inlineStr">
        <is>
          <t>碳酸锂</t>
        </is>
      </c>
      <c r="C4129" t="inlineStr">
        <is>
          <t>空</t>
        </is>
      </c>
      <c r="D4129" t="n">
        <v>3</v>
      </c>
      <c r="E4129" t="n">
        <v>6</v>
      </c>
      <c r="F4129" t="inlineStr">
        <is>
          <t>续持</t>
        </is>
      </c>
      <c r="G4129" t="n">
        <v>8</v>
      </c>
      <c r="H4129" t="n">
        <v>69000</v>
      </c>
      <c r="I4129" t="n">
        <v>72262.86</v>
      </c>
      <c r="J4129" t="n">
        <v>3</v>
      </c>
      <c r="K4129" t="inlineStr">
        <is>
          <t>续持原仓（2025-04-18开）</t>
        </is>
      </c>
    </row>
    <row r="4130">
      <c r="A4130" t="inlineStr">
        <is>
          <t>2025-04-21</t>
        </is>
      </c>
      <c r="B4130" t="inlineStr">
        <is>
          <t>沥青</t>
        </is>
      </c>
      <c r="C4130" t="inlineStr">
        <is>
          <t>空</t>
        </is>
      </c>
      <c r="D4130" t="n">
        <v>3</v>
      </c>
      <c r="E4130" t="n">
        <v>6</v>
      </c>
      <c r="F4130" t="inlineStr">
        <is>
          <t>观望</t>
        </is>
      </c>
      <c r="H4130" t="n">
        <v>3349</v>
      </c>
      <c r="J4130" t="n">
        <v>0</v>
      </c>
      <c r="K4130" t="inlineStr">
        <is>
          <t>逆5日线（收盘在5日线上，不追空）</t>
        </is>
      </c>
    </row>
    <row r="4131">
      <c r="A4131" t="inlineStr">
        <is>
          <t>2025-04-21</t>
        </is>
      </c>
      <c r="B4131" t="inlineStr">
        <is>
          <t>热卷</t>
        </is>
      </c>
      <c r="C4131" t="inlineStr">
        <is>
          <t>空</t>
        </is>
      </c>
      <c r="D4131" t="n">
        <v>2</v>
      </c>
      <c r="E4131" t="n">
        <v>5</v>
      </c>
      <c r="F4131" t="inlineStr">
        <is>
          <t>观望</t>
        </is>
      </c>
      <c r="G4131" t="n">
        <v>5</v>
      </c>
      <c r="H4131" t="n">
        <v>3209</v>
      </c>
      <c r="I4131" t="n">
        <v>3375.93</v>
      </c>
      <c r="J4131" t="n">
        <v>1</v>
      </c>
      <c r="K4131" t="inlineStr">
        <is>
          <t>逆5日线（收盘在5日线上，不追空）</t>
        </is>
      </c>
    </row>
    <row r="4132">
      <c r="A4132" t="inlineStr">
        <is>
          <t>2025-04-21</t>
        </is>
      </c>
      <c r="B4132" t="inlineStr">
        <is>
          <t>苯乙烯</t>
        </is>
      </c>
      <c r="C4132" t="inlineStr">
        <is>
          <t>多</t>
        </is>
      </c>
      <c r="D4132" t="n">
        <v>2</v>
      </c>
      <c r="E4132" t="n">
        <v>4</v>
      </c>
      <c r="F4132" t="inlineStr">
        <is>
          <t>影子仓</t>
        </is>
      </c>
      <c r="G4132" t="n">
        <v>2</v>
      </c>
      <c r="H4132" t="n">
        <v>7315</v>
      </c>
      <c r="I4132" t="n">
        <v>6625</v>
      </c>
      <c r="J4132" t="n">
        <v>1</v>
      </c>
      <c r="K4132" t="inlineStr">
        <is>
          <t>凯利≤0，开1%影子仓（只统计，不计入组合）</t>
        </is>
      </c>
    </row>
    <row r="4133">
      <c r="A4133" t="inlineStr">
        <is>
          <t>2025-04-21</t>
        </is>
      </c>
      <c r="B4133" t="inlineStr">
        <is>
          <t>PTA</t>
        </is>
      </c>
      <c r="C4133" t="inlineStr">
        <is>
          <t>多</t>
        </is>
      </c>
      <c r="D4133" t="n">
        <v>2</v>
      </c>
      <c r="E4133" t="n">
        <v>4</v>
      </c>
      <c r="F4133" t="inlineStr">
        <is>
          <t>影子仓</t>
        </is>
      </c>
      <c r="G4133" t="n">
        <v>4</v>
      </c>
      <c r="H4133" t="n">
        <v>4350</v>
      </c>
      <c r="I4133" t="n">
        <v>3918</v>
      </c>
      <c r="J4133" t="n">
        <v>1</v>
      </c>
      <c r="K4133" t="inlineStr">
        <is>
          <t>凯利≤0，开1%影子仓（只统计，不计入组合）</t>
        </is>
      </c>
    </row>
    <row r="4134">
      <c r="A4134" t="inlineStr">
        <is>
          <t>2025-04-22</t>
        </is>
      </c>
      <c r="B4134" t="inlineStr">
        <is>
          <t>PVC</t>
        </is>
      </c>
      <c r="C4134" t="inlineStr">
        <is>
          <t>空</t>
        </is>
      </c>
      <c r="D4134" t="n">
        <v>3</v>
      </c>
      <c r="E4134" t="n">
        <v>7</v>
      </c>
      <c r="F4134" t="inlineStr">
        <is>
          <t>开仓</t>
        </is>
      </c>
      <c r="G4134" t="n">
        <v>21</v>
      </c>
      <c r="H4134" t="n">
        <v>4935</v>
      </c>
      <c r="I4134" t="n">
        <v>5210.36</v>
      </c>
      <c r="J4134" t="n">
        <v>3</v>
      </c>
      <c r="K4134" t="inlineStr">
        <is>
          <t>¼凯利超上限，取3%</t>
        </is>
      </c>
    </row>
    <row r="4135">
      <c r="A4135" t="inlineStr">
        <is>
          <t>2025-04-22</t>
        </is>
      </c>
      <c r="B4135" t="inlineStr">
        <is>
          <t>螺纹钢</t>
        </is>
      </c>
      <c r="C4135" t="inlineStr">
        <is>
          <t>空</t>
        </is>
      </c>
      <c r="D4135" t="n">
        <v>3</v>
      </c>
      <c r="E4135" t="n">
        <v>7</v>
      </c>
      <c r="F4135" t="inlineStr">
        <is>
          <t>开仓</t>
        </is>
      </c>
      <c r="G4135" t="n">
        <v>18</v>
      </c>
      <c r="H4135" t="n">
        <v>3075</v>
      </c>
      <c r="I4135" t="n">
        <v>3236.79</v>
      </c>
      <c r="J4135" t="n">
        <v>3</v>
      </c>
      <c r="K4135" t="inlineStr">
        <is>
          <t>¼凯利超上限，取3%</t>
        </is>
      </c>
    </row>
    <row r="4136">
      <c r="A4136" t="inlineStr">
        <is>
          <t>2025-04-22</t>
        </is>
      </c>
      <c r="B4136" t="inlineStr">
        <is>
          <t>沪金</t>
        </is>
      </c>
      <c r="C4136" t="inlineStr">
        <is>
          <t>多</t>
        </is>
      </c>
      <c r="D4136" t="n">
        <v>3</v>
      </c>
      <c r="E4136" t="n">
        <v>7</v>
      </c>
      <c r="F4136" t="inlineStr">
        <is>
          <t>不做</t>
        </is>
      </c>
      <c r="H4136" t="n">
        <v>831.42</v>
      </c>
      <c r="J4136" t="n">
        <v>0</v>
      </c>
      <c r="K4136" t="inlineStr">
        <is>
          <t>组合风险已近10%，预算缩小</t>
        </is>
      </c>
    </row>
    <row r="4137">
      <c r="A4137" t="inlineStr">
        <is>
          <t>2025-04-22</t>
        </is>
      </c>
      <c r="B4137" t="inlineStr">
        <is>
          <t>热卷</t>
        </is>
      </c>
      <c r="C4137" t="inlineStr">
        <is>
          <t>空</t>
        </is>
      </c>
      <c r="D4137" t="n">
        <v>3</v>
      </c>
      <c r="E4137" t="n">
        <v>7</v>
      </c>
      <c r="F4137" t="inlineStr">
        <is>
          <t>不做</t>
        </is>
      </c>
      <c r="H4137" t="n">
        <v>3171</v>
      </c>
      <c r="J4137" t="n">
        <v>0</v>
      </c>
      <c r="K4137" t="inlineStr">
        <is>
          <t>与螺纹钢高度相关（同组≤3%），预算缩小</t>
        </is>
      </c>
    </row>
    <row r="4138">
      <c r="A4138" t="inlineStr">
        <is>
          <t>2025-04-22</t>
        </is>
      </c>
      <c r="B4138" t="inlineStr">
        <is>
          <t>沪锌</t>
        </is>
      </c>
      <c r="C4138" t="inlineStr">
        <is>
          <t>空</t>
        </is>
      </c>
      <c r="D4138" t="n">
        <v>3</v>
      </c>
      <c r="E4138" t="n">
        <v>6</v>
      </c>
      <c r="F4138" t="inlineStr">
        <is>
          <t>观望</t>
        </is>
      </c>
      <c r="H4138" t="n">
        <v>22285</v>
      </c>
      <c r="J4138" t="n">
        <v>0</v>
      </c>
      <c r="K4138" t="inlineStr">
        <is>
          <t>逆5日线（收盘在5日线上，不追空）</t>
        </is>
      </c>
    </row>
    <row r="4139">
      <c r="A4139" t="inlineStr">
        <is>
          <t>2025-04-22</t>
        </is>
      </c>
      <c r="B4139" t="inlineStr">
        <is>
          <t>聚丙烯</t>
        </is>
      </c>
      <c r="C4139" t="inlineStr">
        <is>
          <t>空</t>
        </is>
      </c>
      <c r="D4139" t="n">
        <v>3</v>
      </c>
      <c r="E4139" t="n">
        <v>6</v>
      </c>
      <c r="F4139" t="inlineStr">
        <is>
          <t>不做</t>
        </is>
      </c>
      <c r="H4139" t="n">
        <v>7073</v>
      </c>
      <c r="J4139" t="n">
        <v>0</v>
      </c>
      <c r="K4139" t="inlineStr">
        <is>
          <t>与PVC高度相关（同组≤3%），预算缩小</t>
        </is>
      </c>
    </row>
    <row r="4140">
      <c r="A4140" t="inlineStr">
        <is>
          <t>2025-04-23</t>
        </is>
      </c>
      <c r="B4140" t="inlineStr">
        <is>
          <t>沪铝</t>
        </is>
      </c>
      <c r="C4140" t="inlineStr">
        <is>
          <t>空</t>
        </is>
      </c>
      <c r="D4140" t="n">
        <v>3</v>
      </c>
      <c r="E4140" t="n">
        <v>6</v>
      </c>
      <c r="F4140" t="inlineStr">
        <is>
          <t>观望</t>
        </is>
      </c>
      <c r="G4140" t="n">
        <v>5</v>
      </c>
      <c r="H4140" t="n">
        <v>19860</v>
      </c>
      <c r="I4140" t="n">
        <v>20940</v>
      </c>
      <c r="J4140" t="n">
        <v>3</v>
      </c>
      <c r="K4140" t="inlineStr">
        <is>
          <t>逆5日线（收盘在5日线上，不追空）</t>
        </is>
      </c>
    </row>
    <row r="4141">
      <c r="A4141" t="inlineStr">
        <is>
          <t>2025-04-23</t>
        </is>
      </c>
      <c r="B4141" t="inlineStr">
        <is>
          <t>工业硅</t>
        </is>
      </c>
      <c r="C4141" t="inlineStr">
        <is>
          <t>空</t>
        </is>
      </c>
      <c r="D4141" t="n">
        <v>2</v>
      </c>
      <c r="E4141" t="n">
        <v>5</v>
      </c>
      <c r="F4141" t="inlineStr">
        <is>
          <t>观望</t>
        </is>
      </c>
      <c r="G4141" t="n">
        <v>3</v>
      </c>
      <c r="H4141" t="n">
        <v>8930</v>
      </c>
      <c r="I4141" t="n">
        <v>9502.139999999999</v>
      </c>
      <c r="J4141" t="n">
        <v>1</v>
      </c>
      <c r="K4141" t="inlineStr">
        <is>
          <t>逆5日线（收盘在5日线上，不追空）</t>
        </is>
      </c>
    </row>
    <row r="4142">
      <c r="A4142" t="inlineStr">
        <is>
          <t>2025-04-23</t>
        </is>
      </c>
      <c r="B4142" t="inlineStr">
        <is>
          <t>碳酸锂</t>
        </is>
      </c>
      <c r="C4142" t="inlineStr">
        <is>
          <t>空</t>
        </is>
      </c>
      <c r="D4142" t="n">
        <v>2</v>
      </c>
      <c r="E4142" t="n">
        <v>5</v>
      </c>
      <c r="F4142" t="inlineStr">
        <is>
          <t>影子仓</t>
        </is>
      </c>
      <c r="G4142" t="n">
        <v>2</v>
      </c>
      <c r="H4142" t="n">
        <v>68980</v>
      </c>
      <c r="I4142" t="n">
        <v>72940</v>
      </c>
      <c r="J4142" t="n">
        <v>1</v>
      </c>
      <c r="K4142" t="inlineStr">
        <is>
          <t>凯利≤0，开1%影子仓（只统计，不计入组合）</t>
        </is>
      </c>
    </row>
    <row r="4143">
      <c r="A4143" t="inlineStr">
        <is>
          <t>2025-04-23</t>
        </is>
      </c>
      <c r="B4143" t="inlineStr">
        <is>
          <t>铁矿石</t>
        </is>
      </c>
      <c r="C4143" t="inlineStr">
        <is>
          <t>空</t>
        </is>
      </c>
      <c r="D4143" t="n">
        <v>2</v>
      </c>
      <c r="E4143" t="n">
        <v>4</v>
      </c>
      <c r="F4143" t="inlineStr">
        <is>
          <t>观望</t>
        </is>
      </c>
      <c r="G4143" t="n">
        <v>1</v>
      </c>
      <c r="H4143" t="n">
        <v>727.5</v>
      </c>
      <c r="I4143" t="n">
        <v>788.6799999999999</v>
      </c>
      <c r="J4143" t="n">
        <v>1</v>
      </c>
      <c r="K4143" t="inlineStr">
        <is>
          <t>逆5日线（收盘在5日线上，不追空）</t>
        </is>
      </c>
    </row>
    <row r="4144">
      <c r="A4144" t="inlineStr">
        <is>
          <t>2025-04-23</t>
        </is>
      </c>
      <c r="B4144" t="inlineStr">
        <is>
          <t>PVC</t>
        </is>
      </c>
      <c r="C4144" t="inlineStr">
        <is>
          <t>空</t>
        </is>
      </c>
      <c r="D4144" t="n">
        <v>2</v>
      </c>
      <c r="E4144" t="n">
        <v>4</v>
      </c>
      <c r="F4144" t="inlineStr">
        <is>
          <t>续持</t>
        </is>
      </c>
      <c r="G4144" t="n">
        <v>21</v>
      </c>
      <c r="H4144" t="n">
        <v>5006</v>
      </c>
      <c r="I4144" t="n">
        <v>5210.36</v>
      </c>
      <c r="J4144" t="n">
        <v>3</v>
      </c>
      <c r="K4144" t="inlineStr">
        <is>
          <t>续持原仓（2025-04-22开）</t>
        </is>
      </c>
    </row>
    <row r="4145">
      <c r="A4145" t="inlineStr">
        <is>
          <t>2025-04-24</t>
        </is>
      </c>
      <c r="B4145" t="inlineStr">
        <is>
          <t>螺纹钢</t>
        </is>
      </c>
      <c r="C4145" t="inlineStr">
        <is>
          <t>空</t>
        </is>
      </c>
      <c r="D4145" t="n">
        <v>3</v>
      </c>
      <c r="E4145" t="n">
        <v>7</v>
      </c>
      <c r="F4145" t="inlineStr">
        <is>
          <t>观望</t>
        </is>
      </c>
      <c r="G4145" t="n">
        <v>17</v>
      </c>
      <c r="H4145" t="n">
        <v>3106</v>
      </c>
      <c r="I4145" t="n">
        <v>3275.71</v>
      </c>
      <c r="J4145" t="n">
        <v>3</v>
      </c>
      <c r="K4145" t="inlineStr">
        <is>
          <t>逆5日线（收盘在5日线上，不追空）</t>
        </is>
      </c>
    </row>
    <row r="4146">
      <c r="A4146" t="inlineStr">
        <is>
          <t>2025-04-24</t>
        </is>
      </c>
      <c r="B4146" t="inlineStr">
        <is>
          <t>热卷</t>
        </is>
      </c>
      <c r="C4146" t="inlineStr">
        <is>
          <t>空</t>
        </is>
      </c>
      <c r="D4146" t="n">
        <v>3</v>
      </c>
      <c r="E4146" t="n">
        <v>7</v>
      </c>
      <c r="F4146" t="inlineStr">
        <is>
          <t>观望</t>
        </is>
      </c>
      <c r="G4146" t="n">
        <v>16</v>
      </c>
      <c r="H4146" t="n">
        <v>3204</v>
      </c>
      <c r="I4146" t="n">
        <v>3382.29</v>
      </c>
      <c r="J4146" t="n">
        <v>3</v>
      </c>
      <c r="K4146" t="inlineStr">
        <is>
          <t>逆5日线（收盘在5日线上，不追空）</t>
        </is>
      </c>
    </row>
    <row r="4147">
      <c r="A4147" t="inlineStr">
        <is>
          <t>2025-04-24</t>
        </is>
      </c>
      <c r="B4147" t="inlineStr">
        <is>
          <t>工业硅</t>
        </is>
      </c>
      <c r="C4147" t="inlineStr">
        <is>
          <t>空</t>
        </is>
      </c>
      <c r="D4147" t="n">
        <v>3</v>
      </c>
      <c r="E4147" t="n">
        <v>7</v>
      </c>
      <c r="F4147" t="inlineStr">
        <is>
          <t>观望</t>
        </is>
      </c>
      <c r="G4147" t="n">
        <v>10</v>
      </c>
      <c r="H4147" t="n">
        <v>8875</v>
      </c>
      <c r="I4147" t="n">
        <v>9424.639999999999</v>
      </c>
      <c r="J4147" t="n">
        <v>3</v>
      </c>
      <c r="K4147" t="inlineStr">
        <is>
          <t>逆5日线（收盘在5日线上，不追空）</t>
        </is>
      </c>
    </row>
    <row r="4148">
      <c r="A4148" t="inlineStr">
        <is>
          <t>2025-04-24</t>
        </is>
      </c>
      <c r="B4148" t="inlineStr">
        <is>
          <t>玻璃</t>
        </is>
      </c>
      <c r="C4148" t="inlineStr">
        <is>
          <t>空</t>
        </is>
      </c>
      <c r="D4148" t="n">
        <v>3</v>
      </c>
      <c r="E4148" t="n">
        <v>6</v>
      </c>
      <c r="F4148" t="inlineStr">
        <is>
          <t>观望</t>
        </is>
      </c>
      <c r="G4148" t="n">
        <v>13</v>
      </c>
      <c r="H4148" t="n">
        <v>1135</v>
      </c>
      <c r="I4148" t="n">
        <v>1242.36</v>
      </c>
      <c r="J4148" t="n">
        <v>3</v>
      </c>
      <c r="K4148" t="inlineStr">
        <is>
          <t>逆5日线（收盘在5日线上，不追空）</t>
        </is>
      </c>
    </row>
    <row r="4149">
      <c r="A4149" t="inlineStr">
        <is>
          <t>2025-04-24</t>
        </is>
      </c>
      <c r="B4149" t="inlineStr">
        <is>
          <t>碳酸锂</t>
        </is>
      </c>
      <c r="C4149" t="inlineStr">
        <is>
          <t>空</t>
        </is>
      </c>
      <c r="D4149" t="n">
        <v>3</v>
      </c>
      <c r="E4149" t="n">
        <v>6</v>
      </c>
      <c r="F4149" t="inlineStr">
        <is>
          <t>续持</t>
        </is>
      </c>
      <c r="G4149" t="n">
        <v>2</v>
      </c>
      <c r="H4149" t="n">
        <v>68300</v>
      </c>
      <c r="I4149" t="n">
        <v>72052.86</v>
      </c>
      <c r="J4149" t="n">
        <v>1</v>
      </c>
      <c r="K4149" t="inlineStr">
        <is>
          <t>续持原仓（2025-04-23开）</t>
        </is>
      </c>
    </row>
    <row r="4150">
      <c r="A4150" t="inlineStr">
        <is>
          <t>2025-04-24</t>
        </is>
      </c>
      <c r="B4150" t="inlineStr">
        <is>
          <t>菜油</t>
        </is>
      </c>
      <c r="C4150" t="inlineStr">
        <is>
          <t>多</t>
        </is>
      </c>
      <c r="D4150" t="n">
        <v>2</v>
      </c>
      <c r="E4150" t="n">
        <v>4</v>
      </c>
      <c r="F4150" t="inlineStr">
        <is>
          <t>影子仓</t>
        </is>
      </c>
      <c r="G4150" t="n">
        <v>1</v>
      </c>
      <c r="H4150" t="n">
        <v>9390</v>
      </c>
      <c r="I4150" t="n">
        <v>8877.639999999999</v>
      </c>
      <c r="J4150" t="n">
        <v>1</v>
      </c>
      <c r="K4150" t="inlineStr">
        <is>
          <t>凯利≤0，开1%影子仓（只统计，不计入组合）</t>
        </is>
      </c>
    </row>
    <row r="4151">
      <c r="A4151" t="inlineStr">
        <is>
          <t>2025-04-24</t>
        </is>
      </c>
      <c r="B4151" t="inlineStr">
        <is>
          <t>沪锌</t>
        </is>
      </c>
      <c r="C4151" t="inlineStr">
        <is>
          <t>多</t>
        </is>
      </c>
      <c r="D4151" t="n">
        <v>2</v>
      </c>
      <c r="E4151" t="n">
        <v>4</v>
      </c>
      <c r="F4151" t="inlineStr">
        <is>
          <t>影子仓</t>
        </is>
      </c>
      <c r="G4151" t="n">
        <v>1</v>
      </c>
      <c r="H4151" t="n">
        <v>22590</v>
      </c>
      <c r="I4151" t="n">
        <v>20979.64</v>
      </c>
      <c r="J4151" t="n">
        <v>1</v>
      </c>
      <c r="K4151" t="inlineStr">
        <is>
          <t>凯利≤0，开1%影子仓（只统计，不计入组合）</t>
        </is>
      </c>
    </row>
    <row r="4152">
      <c r="A4152" t="inlineStr">
        <is>
          <t>2025-04-25</t>
        </is>
      </c>
      <c r="B4152" t="inlineStr">
        <is>
          <t>锰硅</t>
        </is>
      </c>
      <c r="C4152" t="inlineStr">
        <is>
          <t>空</t>
        </is>
      </c>
      <c r="D4152" t="n">
        <v>3</v>
      </c>
      <c r="E4152" t="n">
        <v>7</v>
      </c>
      <c r="F4152" t="inlineStr">
        <is>
          <t>开仓</t>
        </is>
      </c>
      <c r="G4152" t="n">
        <v>22</v>
      </c>
      <c r="H4152" t="n">
        <v>5796</v>
      </c>
      <c r="I4152" t="n">
        <v>6063.86</v>
      </c>
      <c r="J4152" t="n">
        <v>3</v>
      </c>
      <c r="K4152" t="inlineStr">
        <is>
          <t>¼凯利超上限，取3%</t>
        </is>
      </c>
    </row>
    <row r="4153">
      <c r="A4153" t="inlineStr">
        <is>
          <t>2025-04-25</t>
        </is>
      </c>
      <c r="B4153" t="inlineStr">
        <is>
          <t>玻璃</t>
        </is>
      </c>
      <c r="C4153" t="inlineStr">
        <is>
          <t>空</t>
        </is>
      </c>
      <c r="D4153" t="n">
        <v>3</v>
      </c>
      <c r="E4153" t="n">
        <v>6</v>
      </c>
      <c r="F4153" t="inlineStr">
        <is>
          <t>开仓</t>
        </is>
      </c>
      <c r="G4153" t="n">
        <v>14</v>
      </c>
      <c r="H4153" t="n">
        <v>1121</v>
      </c>
      <c r="I4153" t="n">
        <v>1224.07</v>
      </c>
      <c r="J4153" t="n">
        <v>3</v>
      </c>
      <c r="K4153" t="inlineStr">
        <is>
          <t>¼凯利超上限，取3%</t>
        </is>
      </c>
    </row>
    <row r="4154">
      <c r="A4154" t="inlineStr">
        <is>
          <t>2025-04-25</t>
        </is>
      </c>
      <c r="B4154" t="inlineStr">
        <is>
          <t>菜油</t>
        </is>
      </c>
      <c r="C4154" t="inlineStr">
        <is>
          <t>多</t>
        </is>
      </c>
      <c r="D4154" t="n">
        <v>3</v>
      </c>
      <c r="E4154" t="n">
        <v>6</v>
      </c>
      <c r="F4154" t="inlineStr">
        <is>
          <t>续持</t>
        </is>
      </c>
      <c r="G4154" t="n">
        <v>1</v>
      </c>
      <c r="H4154" t="n">
        <v>9506</v>
      </c>
      <c r="I4154" t="n">
        <v>9075.93</v>
      </c>
      <c r="J4154" t="n">
        <v>1</v>
      </c>
      <c r="K4154" t="inlineStr">
        <is>
          <t>续持原仓（2025-04-24开）</t>
        </is>
      </c>
    </row>
    <row r="4155">
      <c r="A4155" t="inlineStr">
        <is>
          <t>2025-04-25</t>
        </is>
      </c>
      <c r="B4155" t="inlineStr">
        <is>
          <t>工业硅</t>
        </is>
      </c>
      <c r="C4155" t="inlineStr">
        <is>
          <t>空</t>
        </is>
      </c>
      <c r="D4155" t="n">
        <v>3</v>
      </c>
      <c r="E4155" t="n">
        <v>6</v>
      </c>
      <c r="F4155" t="inlineStr">
        <is>
          <t>不做</t>
        </is>
      </c>
      <c r="H4155" t="n">
        <v>8780</v>
      </c>
      <c r="J4155" t="n">
        <v>0</v>
      </c>
      <c r="K4155" t="inlineStr">
        <is>
          <t>组合风险已近10%，预算缩小</t>
        </is>
      </c>
    </row>
    <row r="4156">
      <c r="A4156" t="inlineStr">
        <is>
          <t>2025-04-25</t>
        </is>
      </c>
      <c r="B4156" t="inlineStr">
        <is>
          <t>苯乙烯</t>
        </is>
      </c>
      <c r="C4156" t="inlineStr">
        <is>
          <t>空</t>
        </is>
      </c>
      <c r="D4156" t="n">
        <v>3</v>
      </c>
      <c r="E4156" t="n">
        <v>6</v>
      </c>
      <c r="F4156" t="inlineStr">
        <is>
          <t>不做</t>
        </is>
      </c>
      <c r="H4156" t="n">
        <v>7197</v>
      </c>
      <c r="J4156" t="n">
        <v>0</v>
      </c>
      <c r="K4156" t="inlineStr">
        <is>
          <t>组合风险已近10%，预算缩小</t>
        </is>
      </c>
    </row>
    <row r="4157">
      <c r="A4157" t="inlineStr">
        <is>
          <t>2025-04-25</t>
        </is>
      </c>
      <c r="B4157" t="inlineStr">
        <is>
          <t>螺纹钢</t>
        </is>
      </c>
      <c r="C4157" t="inlineStr">
        <is>
          <t>空</t>
        </is>
      </c>
      <c r="D4157" t="n">
        <v>2</v>
      </c>
      <c r="E4157" t="n">
        <v>5</v>
      </c>
      <c r="F4157" t="inlineStr">
        <is>
          <t>影子仓</t>
        </is>
      </c>
      <c r="G4157" t="n">
        <v>6</v>
      </c>
      <c r="H4157" t="n">
        <v>3101</v>
      </c>
      <c r="I4157" t="n">
        <v>3252.71</v>
      </c>
      <c r="J4157" t="n">
        <v>1</v>
      </c>
      <c r="K4157" t="inlineStr">
        <is>
          <t>凯利≤0，开1%影子仓（只统计，不计入组合）</t>
        </is>
      </c>
    </row>
    <row r="4158">
      <c r="A4158" t="inlineStr">
        <is>
          <t>2025-04-25</t>
        </is>
      </c>
      <c r="B4158" t="inlineStr">
        <is>
          <t>沪铝</t>
        </is>
      </c>
      <c r="C4158" t="inlineStr">
        <is>
          <t>多</t>
        </is>
      </c>
      <c r="D4158" t="n">
        <v>2</v>
      </c>
      <c r="E4158" t="n">
        <v>5</v>
      </c>
      <c r="F4158" t="inlineStr">
        <is>
          <t>影子仓</t>
        </is>
      </c>
      <c r="G4158" t="n">
        <v>2</v>
      </c>
      <c r="H4158" t="n">
        <v>20030</v>
      </c>
      <c r="I4158" t="n">
        <v>19232.86</v>
      </c>
      <c r="J4158" t="n">
        <v>1</v>
      </c>
      <c r="K4158" t="inlineStr">
        <is>
          <t>凯利≤0，开1%影子仓（只统计，不计入组合）</t>
        </is>
      </c>
    </row>
    <row r="4159">
      <c r="A4159" t="inlineStr">
        <is>
          <t>2025-04-28</t>
        </is>
      </c>
      <c r="B4159" t="inlineStr">
        <is>
          <t>苯乙烯</t>
        </is>
      </c>
      <c r="C4159" t="inlineStr">
        <is>
          <t>空</t>
        </is>
      </c>
      <c r="D4159" t="n">
        <v>3</v>
      </c>
      <c r="E4159" t="n">
        <v>7</v>
      </c>
      <c r="F4159" t="inlineStr">
        <is>
          <t>不做</t>
        </is>
      </c>
      <c r="H4159" t="n">
        <v>7079</v>
      </c>
      <c r="J4159" t="n">
        <v>0</v>
      </c>
      <c r="K4159" t="inlineStr">
        <is>
          <t>组合风险已近10%，预算缩小</t>
        </is>
      </c>
    </row>
    <row r="4160">
      <c r="A4160" t="inlineStr">
        <is>
          <t>2025-04-28</t>
        </is>
      </c>
      <c r="B4160" t="inlineStr">
        <is>
          <t>锰硅</t>
        </is>
      </c>
      <c r="C4160" t="inlineStr">
        <is>
          <t>空</t>
        </is>
      </c>
      <c r="D4160" t="n">
        <v>3</v>
      </c>
      <c r="E4160" t="n">
        <v>6</v>
      </c>
      <c r="F4160" t="inlineStr">
        <is>
          <t>续持</t>
        </is>
      </c>
      <c r="G4160" t="n">
        <v>22</v>
      </c>
      <c r="H4160" t="n">
        <v>5804</v>
      </c>
      <c r="I4160" t="n">
        <v>6028.29</v>
      </c>
      <c r="J4160" t="n">
        <v>3</v>
      </c>
      <c r="K4160" t="inlineStr">
        <is>
          <t>续持原仓（2025-04-25开）</t>
        </is>
      </c>
    </row>
    <row r="4161">
      <c r="A4161" t="inlineStr">
        <is>
          <t>2025-04-28</t>
        </is>
      </c>
      <c r="B4161" t="inlineStr">
        <is>
          <t>工业硅</t>
        </is>
      </c>
      <c r="C4161" t="inlineStr">
        <is>
          <t>空</t>
        </is>
      </c>
      <c r="D4161" t="n">
        <v>3</v>
      </c>
      <c r="E4161" t="n">
        <v>6</v>
      </c>
      <c r="F4161" t="inlineStr">
        <is>
          <t>不做</t>
        </is>
      </c>
      <c r="H4161" t="n">
        <v>8800</v>
      </c>
      <c r="J4161" t="n">
        <v>0</v>
      </c>
      <c r="K4161" t="inlineStr">
        <is>
          <t>组合风险已近10%，预算缩小</t>
        </is>
      </c>
    </row>
    <row r="4162">
      <c r="A4162" t="inlineStr">
        <is>
          <t>2025-04-28</t>
        </is>
      </c>
      <c r="B4162" t="inlineStr">
        <is>
          <t>玻璃</t>
        </is>
      </c>
      <c r="C4162" t="inlineStr">
        <is>
          <t>空</t>
        </is>
      </c>
      <c r="D4162" t="n">
        <v>2</v>
      </c>
      <c r="E4162" t="n">
        <v>5</v>
      </c>
      <c r="F4162" t="inlineStr">
        <is>
          <t>续持</t>
        </is>
      </c>
      <c r="G4162" t="n">
        <v>14</v>
      </c>
      <c r="H4162" t="n">
        <v>1122</v>
      </c>
      <c r="I4162" t="n">
        <v>1215</v>
      </c>
      <c r="J4162" t="n">
        <v>3</v>
      </c>
      <c r="K4162" t="inlineStr">
        <is>
          <t>续持原仓（2025-04-25开）</t>
        </is>
      </c>
    </row>
    <row r="4163">
      <c r="A4163" t="inlineStr">
        <is>
          <t>2025-04-28</t>
        </is>
      </c>
      <c r="B4163" t="inlineStr">
        <is>
          <t>碳酸锂</t>
        </is>
      </c>
      <c r="C4163" t="inlineStr">
        <is>
          <t>空</t>
        </is>
      </c>
      <c r="D4163" t="n">
        <v>2</v>
      </c>
      <c r="E4163" t="n">
        <v>5</v>
      </c>
      <c r="F4163" t="inlineStr">
        <is>
          <t>续持</t>
        </is>
      </c>
      <c r="G4163" t="n">
        <v>2</v>
      </c>
      <c r="H4163" t="n">
        <v>66960</v>
      </c>
      <c r="I4163" t="n">
        <v>70231.42999999999</v>
      </c>
      <c r="J4163" t="n">
        <v>1</v>
      </c>
      <c r="K4163" t="inlineStr">
        <is>
          <t>续持原仓（2025-04-23开）</t>
        </is>
      </c>
    </row>
    <row r="4164">
      <c r="A4164" t="inlineStr">
        <is>
          <t>2025-04-29</t>
        </is>
      </c>
      <c r="B4164" t="inlineStr">
        <is>
          <t>玻璃</t>
        </is>
      </c>
      <c r="C4164" t="inlineStr">
        <is>
          <t>空</t>
        </is>
      </c>
      <c r="D4164" t="n">
        <v>3</v>
      </c>
      <c r="E4164" t="n">
        <v>7</v>
      </c>
      <c r="F4164" t="inlineStr">
        <is>
          <t>续持</t>
        </is>
      </c>
      <c r="G4164" t="n">
        <v>14</v>
      </c>
      <c r="H4164" t="n">
        <v>1108</v>
      </c>
      <c r="I4164" t="n">
        <v>1191.07</v>
      </c>
      <c r="J4164" t="n">
        <v>3</v>
      </c>
      <c r="K4164" t="inlineStr">
        <is>
          <t>续持原仓（2025-04-25开）</t>
        </is>
      </c>
    </row>
    <row r="4165">
      <c r="A4165" t="inlineStr">
        <is>
          <t>2025-04-29</t>
        </is>
      </c>
      <c r="B4165" t="inlineStr">
        <is>
          <t>锰硅</t>
        </is>
      </c>
      <c r="C4165" t="inlineStr">
        <is>
          <t>空</t>
        </is>
      </c>
      <c r="D4165" t="n">
        <v>3</v>
      </c>
      <c r="E4165" t="n">
        <v>7</v>
      </c>
      <c r="F4165" t="inlineStr">
        <is>
          <t>续持</t>
        </is>
      </c>
      <c r="G4165" t="n">
        <v>22</v>
      </c>
      <c r="H4165" t="n">
        <v>5758</v>
      </c>
      <c r="I4165" t="n">
        <v>5988.57</v>
      </c>
      <c r="J4165" t="n">
        <v>3</v>
      </c>
      <c r="K4165" t="inlineStr">
        <is>
          <t>续持原仓（2025-04-25开）</t>
        </is>
      </c>
    </row>
    <row r="4166">
      <c r="A4166" t="inlineStr">
        <is>
          <t>2025-04-29</t>
        </is>
      </c>
      <c r="B4166" t="inlineStr">
        <is>
          <t>螺纹钢</t>
        </is>
      </c>
      <c r="C4166" t="inlineStr">
        <is>
          <t>空</t>
        </is>
      </c>
      <c r="D4166" t="n">
        <v>3</v>
      </c>
      <c r="E4166" t="n">
        <v>7</v>
      </c>
      <c r="F4166" t="inlineStr">
        <is>
          <t>不做</t>
        </is>
      </c>
      <c r="H4166" t="n">
        <v>3100</v>
      </c>
      <c r="J4166" t="n">
        <v>0</v>
      </c>
      <c r="K4166" t="inlineStr">
        <is>
          <t>组合风险已近10%，预算缩小</t>
        </is>
      </c>
    </row>
    <row r="4167">
      <c r="A4167" t="inlineStr">
        <is>
          <t>2025-04-29</t>
        </is>
      </c>
      <c r="B4167" t="inlineStr">
        <is>
          <t>沪镍</t>
        </is>
      </c>
      <c r="C4167" t="inlineStr">
        <is>
          <t>空</t>
        </is>
      </c>
      <c r="D4167" t="n">
        <v>3</v>
      </c>
      <c r="E4167" t="n">
        <v>7</v>
      </c>
      <c r="F4167" t="inlineStr">
        <is>
          <t>不做</t>
        </is>
      </c>
      <c r="H4167" t="n">
        <v>124180</v>
      </c>
      <c r="J4167" t="n">
        <v>0</v>
      </c>
      <c r="K4167" t="inlineStr">
        <is>
          <t>组合风险已近10%，预算缩小</t>
        </is>
      </c>
    </row>
    <row r="4168">
      <c r="A4168" t="inlineStr">
        <is>
          <t>2025-04-29</t>
        </is>
      </c>
      <c r="B4168" t="inlineStr">
        <is>
          <t>玉米</t>
        </is>
      </c>
      <c r="C4168" t="inlineStr">
        <is>
          <t>多</t>
        </is>
      </c>
      <c r="D4168" t="n">
        <v>3</v>
      </c>
      <c r="E4168" t="n">
        <v>6</v>
      </c>
      <c r="F4168" t="inlineStr">
        <is>
          <t>不做</t>
        </is>
      </c>
      <c r="H4168" t="n">
        <v>2355</v>
      </c>
      <c r="J4168" t="n">
        <v>0</v>
      </c>
      <c r="K4168" t="inlineStr">
        <is>
          <t>组合风险已近10%，预算缩小</t>
        </is>
      </c>
    </row>
    <row r="4169">
      <c r="A4169" t="inlineStr">
        <is>
          <t>2025-04-29</t>
        </is>
      </c>
      <c r="B4169" t="inlineStr">
        <is>
          <t>碳酸锂</t>
        </is>
      </c>
      <c r="C4169" t="inlineStr">
        <is>
          <t>空</t>
        </is>
      </c>
      <c r="D4169" t="n">
        <v>3</v>
      </c>
      <c r="E4169" t="n">
        <v>6</v>
      </c>
      <c r="F4169" t="inlineStr">
        <is>
          <t>续持</t>
        </is>
      </c>
      <c r="G4169" t="n">
        <v>2</v>
      </c>
      <c r="H4169" t="n">
        <v>66260</v>
      </c>
      <c r="I4169" t="n">
        <v>69301.42999999999</v>
      </c>
      <c r="J4169" t="n">
        <v>1</v>
      </c>
      <c r="K4169" t="inlineStr">
        <is>
          <t>续持原仓（2025-04-23开）</t>
        </is>
      </c>
    </row>
    <row r="4170">
      <c r="A4170" t="inlineStr">
        <is>
          <t>2025-04-29</t>
        </is>
      </c>
      <c r="B4170" t="inlineStr">
        <is>
          <t>沪银</t>
        </is>
      </c>
      <c r="C4170" t="inlineStr">
        <is>
          <t>多</t>
        </is>
      </c>
      <c r="D4170" t="n">
        <v>2</v>
      </c>
      <c r="E4170" t="n">
        <v>5</v>
      </c>
      <c r="F4170" t="inlineStr">
        <is>
          <t>观望</t>
        </is>
      </c>
      <c r="G4170" t="n">
        <v>1</v>
      </c>
      <c r="H4170" t="n">
        <v>8215</v>
      </c>
      <c r="I4170" t="n">
        <v>7766.5</v>
      </c>
      <c r="J4170" t="n">
        <v>1</v>
      </c>
      <c r="K4170" t="inlineStr">
        <is>
          <t>逆5日线（收盘在5日线下，不追多）</t>
        </is>
      </c>
    </row>
    <row r="4171">
      <c r="A4171" t="inlineStr">
        <is>
          <t>2025-04-29</t>
        </is>
      </c>
      <c r="B4171" t="inlineStr">
        <is>
          <t>纯碱</t>
        </is>
      </c>
      <c r="C4171" t="inlineStr">
        <is>
          <t>多</t>
        </is>
      </c>
      <c r="D4171" t="n">
        <v>2</v>
      </c>
      <c r="E4171" t="n">
        <v>4</v>
      </c>
      <c r="F4171" t="inlineStr">
        <is>
          <t>影子仓</t>
        </is>
      </c>
      <c r="G4171" t="n">
        <v>5</v>
      </c>
      <c r="H4171" t="n">
        <v>1376</v>
      </c>
      <c r="I4171" t="n">
        <v>1284.07</v>
      </c>
      <c r="J4171" t="n">
        <v>1</v>
      </c>
      <c r="K4171" t="inlineStr">
        <is>
          <t>凯利≤0，开1%影子仓（只统计，不计入组合）</t>
        </is>
      </c>
    </row>
    <row r="4172">
      <c r="A4172" t="inlineStr">
        <is>
          <t>2025-04-30</t>
        </is>
      </c>
      <c r="B4172" t="inlineStr">
        <is>
          <t>玉米</t>
        </is>
      </c>
      <c r="C4172" t="inlineStr">
        <is>
          <t>多</t>
        </is>
      </c>
      <c r="D4172" t="n">
        <v>3</v>
      </c>
      <c r="E4172" t="n">
        <v>7</v>
      </c>
      <c r="F4172" t="inlineStr">
        <is>
          <t>开仓</t>
        </is>
      </c>
      <c r="G4172" t="n">
        <v>50</v>
      </c>
      <c r="H4172" t="n">
        <v>2377</v>
      </c>
      <c r="I4172" t="n">
        <v>2317.43</v>
      </c>
      <c r="J4172" t="n">
        <v>3</v>
      </c>
      <c r="K4172" t="inlineStr">
        <is>
          <t>¼凯利超上限，取3%</t>
        </is>
      </c>
    </row>
    <row r="4173">
      <c r="A4173" t="inlineStr">
        <is>
          <t>2025-04-30</t>
        </is>
      </c>
      <c r="B4173" t="inlineStr">
        <is>
          <t>沪镍</t>
        </is>
      </c>
      <c r="C4173" t="inlineStr">
        <is>
          <t>空</t>
        </is>
      </c>
      <c r="D4173" t="n">
        <v>3</v>
      </c>
      <c r="E4173" t="n">
        <v>7</v>
      </c>
      <c r="F4173" t="inlineStr">
        <is>
          <t>开仓</t>
        </is>
      </c>
      <c r="G4173" t="n">
        <v>5</v>
      </c>
      <c r="H4173" t="n">
        <v>123720</v>
      </c>
      <c r="I4173" t="n">
        <v>128976.43</v>
      </c>
      <c r="J4173" t="n">
        <v>3</v>
      </c>
      <c r="K4173" t="inlineStr">
        <is>
          <t>¼凯利超上限，取3%</t>
        </is>
      </c>
    </row>
    <row r="4174">
      <c r="A4174" t="inlineStr">
        <is>
          <t>2025-04-30</t>
        </is>
      </c>
      <c r="B4174" t="inlineStr">
        <is>
          <t>玻璃</t>
        </is>
      </c>
      <c r="C4174" t="inlineStr">
        <is>
          <t>空</t>
        </is>
      </c>
      <c r="D4174" t="n">
        <v>3</v>
      </c>
      <c r="E4174" t="n">
        <v>6</v>
      </c>
      <c r="F4174" t="inlineStr">
        <is>
          <t>续持</t>
        </is>
      </c>
      <c r="G4174" t="n">
        <v>14</v>
      </c>
      <c r="H4174" t="n">
        <v>1082</v>
      </c>
      <c r="I4174" t="n">
        <v>1163.57</v>
      </c>
      <c r="J4174" t="n">
        <v>3</v>
      </c>
      <c r="K4174" t="inlineStr">
        <is>
          <t>续持原仓（2025-04-25开）</t>
        </is>
      </c>
    </row>
    <row r="4175">
      <c r="A4175" t="inlineStr">
        <is>
          <t>2025-04-30</t>
        </is>
      </c>
      <c r="B4175" t="inlineStr">
        <is>
          <t>沪金</t>
        </is>
      </c>
      <c r="C4175" t="inlineStr">
        <is>
          <t>多</t>
        </is>
      </c>
      <c r="D4175" t="n">
        <v>3</v>
      </c>
      <c r="E4175" t="n">
        <v>6</v>
      </c>
      <c r="F4175" t="inlineStr">
        <is>
          <t>观望</t>
        </is>
      </c>
      <c r="H4175" t="n">
        <v>782.38</v>
      </c>
      <c r="J4175" t="n">
        <v>1</v>
      </c>
      <c r="K4175" t="inlineStr">
        <is>
          <t>逆5日线（收盘在5日线下，不追多）</t>
        </is>
      </c>
    </row>
    <row r="4176">
      <c r="A4176" t="inlineStr">
        <is>
          <t>2025-04-30</t>
        </is>
      </c>
      <c r="B4176" t="inlineStr">
        <is>
          <t>铁矿石</t>
        </is>
      </c>
      <c r="C4176" t="inlineStr">
        <is>
          <t>空</t>
        </is>
      </c>
      <c r="D4176" t="n">
        <v>3</v>
      </c>
      <c r="E4176" t="n">
        <v>6</v>
      </c>
      <c r="F4176" t="inlineStr">
        <is>
          <t>开仓</t>
        </is>
      </c>
      <c r="G4176" t="n">
        <v>2</v>
      </c>
      <c r="H4176" t="n">
        <v>703.5</v>
      </c>
      <c r="I4176" t="n">
        <v>747.11</v>
      </c>
      <c r="J4176" t="n">
        <v>1</v>
      </c>
      <c r="K4176" t="inlineStr">
        <is>
          <t>组合风险已近10%，预算缩小</t>
        </is>
      </c>
    </row>
    <row r="4177">
      <c r="A4177" t="inlineStr">
        <is>
          <t>2025-04-30</t>
        </is>
      </c>
      <c r="B4177" t="inlineStr">
        <is>
          <t>工业硅</t>
        </is>
      </c>
      <c r="C4177" t="inlineStr">
        <is>
          <t>空</t>
        </is>
      </c>
      <c r="D4177" t="n">
        <v>3</v>
      </c>
      <c r="E4177" t="n">
        <v>6</v>
      </c>
      <c r="F4177" t="inlineStr">
        <is>
          <t>不做</t>
        </is>
      </c>
      <c r="H4177" t="n">
        <v>8540</v>
      </c>
      <c r="J4177" t="n">
        <v>0</v>
      </c>
      <c r="K4177" t="inlineStr">
        <is>
          <t>组合风险已近10%，预算缩小</t>
        </is>
      </c>
    </row>
    <row r="4178">
      <c r="A4178" t="inlineStr">
        <is>
          <t>2025-04-30</t>
        </is>
      </c>
      <c r="B4178" t="inlineStr">
        <is>
          <t>苯乙烯</t>
        </is>
      </c>
      <c r="C4178" t="inlineStr">
        <is>
          <t>空</t>
        </is>
      </c>
      <c r="D4178" t="n">
        <v>3</v>
      </c>
      <c r="E4178" t="n">
        <v>6</v>
      </c>
      <c r="F4178" t="inlineStr">
        <is>
          <t>不做</t>
        </is>
      </c>
      <c r="H4178" t="n">
        <v>6983</v>
      </c>
      <c r="J4178" t="n">
        <v>0</v>
      </c>
      <c r="K4178" t="inlineStr">
        <is>
          <t>组合风险已近10%，预算缩小</t>
        </is>
      </c>
    </row>
    <row r="4179">
      <c r="A4179" t="inlineStr">
        <is>
          <t>2025-04-30</t>
        </is>
      </c>
      <c r="B4179" t="inlineStr">
        <is>
          <t>沪铝</t>
        </is>
      </c>
      <c r="C4179" t="inlineStr">
        <is>
          <t>多</t>
        </is>
      </c>
      <c r="D4179" t="n">
        <v>2</v>
      </c>
      <c r="E4179" t="n">
        <v>4</v>
      </c>
      <c r="F4179" t="inlineStr">
        <is>
          <t>观望</t>
        </is>
      </c>
      <c r="G4179" t="n">
        <v>3</v>
      </c>
      <c r="H4179" t="n">
        <v>19910</v>
      </c>
      <c r="I4179" t="n">
        <v>19356.07</v>
      </c>
      <c r="J4179" t="n">
        <v>1</v>
      </c>
      <c r="K4179" t="inlineStr">
        <is>
          <t>逆5日线（收盘在5日线下，不追多）</t>
        </is>
      </c>
    </row>
    <row r="4180">
      <c r="A4180" t="inlineStr">
        <is>
          <t>2025-05-06</t>
        </is>
      </c>
      <c r="B4180" t="inlineStr">
        <is>
          <t>沪银</t>
        </is>
      </c>
      <c r="C4180" t="inlineStr">
        <is>
          <t>多</t>
        </is>
      </c>
      <c r="D4180" t="n">
        <v>3</v>
      </c>
      <c r="E4180" t="n">
        <v>7</v>
      </c>
      <c r="F4180" t="inlineStr">
        <is>
          <t>开仓</t>
        </is>
      </c>
      <c r="G4180" t="n">
        <v>4</v>
      </c>
      <c r="H4180" t="n">
        <v>8235</v>
      </c>
      <c r="I4180" t="n">
        <v>7820.36</v>
      </c>
      <c r="J4180" t="n">
        <v>3</v>
      </c>
      <c r="K4180" t="inlineStr">
        <is>
          <t>¼凯利超上限，取3%</t>
        </is>
      </c>
    </row>
    <row r="4181">
      <c r="A4181" t="inlineStr">
        <is>
          <t>2025-05-06</t>
        </is>
      </c>
      <c r="B4181" t="inlineStr">
        <is>
          <t>沪金</t>
        </is>
      </c>
      <c r="C4181" t="inlineStr">
        <is>
          <t>多</t>
        </is>
      </c>
      <c r="D4181" t="n">
        <v>3</v>
      </c>
      <c r="E4181" t="n">
        <v>7</v>
      </c>
      <c r="F4181" t="inlineStr">
        <is>
          <t>不做</t>
        </is>
      </c>
      <c r="H4181" t="n">
        <v>797.2</v>
      </c>
      <c r="J4181" t="n">
        <v>0</v>
      </c>
      <c r="K4181" t="inlineStr">
        <is>
          <t>组合风险已近10%，预算缩小</t>
        </is>
      </c>
    </row>
    <row r="4182">
      <c r="A4182" t="inlineStr">
        <is>
          <t>2025-05-06</t>
        </is>
      </c>
      <c r="B4182" t="inlineStr">
        <is>
          <t>锰硅</t>
        </is>
      </c>
      <c r="C4182" t="inlineStr">
        <is>
          <t>空</t>
        </is>
      </c>
      <c r="D4182" t="n">
        <v>3</v>
      </c>
      <c r="E4182" t="n">
        <v>7</v>
      </c>
      <c r="F4182" t="inlineStr">
        <is>
          <t>不做</t>
        </is>
      </c>
      <c r="H4182" t="n">
        <v>5560</v>
      </c>
      <c r="J4182" t="n">
        <v>0</v>
      </c>
      <c r="K4182" t="inlineStr">
        <is>
          <t>组合风险已近10%，预算缩小</t>
        </is>
      </c>
    </row>
    <row r="4183">
      <c r="A4183" t="inlineStr">
        <is>
          <t>2025-05-06</t>
        </is>
      </c>
      <c r="B4183" t="inlineStr">
        <is>
          <t>碳酸锂</t>
        </is>
      </c>
      <c r="C4183" t="inlineStr">
        <is>
          <t>空</t>
        </is>
      </c>
      <c r="D4183" t="n">
        <v>3</v>
      </c>
      <c r="E4183" t="n">
        <v>7</v>
      </c>
      <c r="F4183" t="inlineStr">
        <is>
          <t>不做</t>
        </is>
      </c>
      <c r="H4183" t="n">
        <v>65260</v>
      </c>
      <c r="J4183" t="n">
        <v>0</v>
      </c>
      <c r="K4183" t="inlineStr">
        <is>
          <t>组合风险已近10%，预算缩小</t>
        </is>
      </c>
    </row>
    <row r="4184">
      <c r="A4184" t="inlineStr">
        <is>
          <t>2025-05-06</t>
        </is>
      </c>
      <c r="B4184" t="inlineStr">
        <is>
          <t>工业硅</t>
        </is>
      </c>
      <c r="C4184" t="inlineStr">
        <is>
          <t>空</t>
        </is>
      </c>
      <c r="D4184" t="n">
        <v>3</v>
      </c>
      <c r="E4184" t="n">
        <v>7</v>
      </c>
      <c r="F4184" t="inlineStr">
        <is>
          <t>不做</t>
        </is>
      </c>
      <c r="H4184" t="n">
        <v>8325</v>
      </c>
      <c r="J4184" t="n">
        <v>0</v>
      </c>
      <c r="K4184" t="inlineStr">
        <is>
          <t>组合风险已近10%，预算缩小</t>
        </is>
      </c>
    </row>
    <row r="4185">
      <c r="A4185" t="inlineStr">
        <is>
          <t>2025-05-06</t>
        </is>
      </c>
      <c r="B4185" t="inlineStr">
        <is>
          <t>甲醇</t>
        </is>
      </c>
      <c r="C4185" t="inlineStr">
        <is>
          <t>空</t>
        </is>
      </c>
      <c r="D4185" t="n">
        <v>3</v>
      </c>
      <c r="E4185" t="n">
        <v>6</v>
      </c>
      <c r="F4185" t="inlineStr">
        <is>
          <t>不做</t>
        </is>
      </c>
      <c r="H4185" t="n">
        <v>2219</v>
      </c>
      <c r="J4185" t="n">
        <v>0</v>
      </c>
      <c r="K4185" t="inlineStr">
        <is>
          <t>组合风险已近10%，预算缩小</t>
        </is>
      </c>
    </row>
    <row r="4186">
      <c r="A4186" t="inlineStr">
        <is>
          <t>2025-05-06</t>
        </is>
      </c>
      <c r="B4186" t="inlineStr">
        <is>
          <t>棉花</t>
        </is>
      </c>
      <c r="C4186" t="inlineStr">
        <is>
          <t>空</t>
        </is>
      </c>
      <c r="D4186" t="n">
        <v>3</v>
      </c>
      <c r="E4186" t="n">
        <v>6</v>
      </c>
      <c r="F4186" t="inlineStr">
        <is>
          <t>不做</t>
        </is>
      </c>
      <c r="H4186" t="n">
        <v>12745</v>
      </c>
      <c r="J4186" t="n">
        <v>0</v>
      </c>
      <c r="K4186" t="inlineStr">
        <is>
          <t>组合风险已近10%，预算缩小</t>
        </is>
      </c>
    </row>
    <row r="4187">
      <c r="A4187" t="inlineStr">
        <is>
          <t>2025-05-07</t>
        </is>
      </c>
      <c r="B4187" t="inlineStr">
        <is>
          <t>沪金</t>
        </is>
      </c>
      <c r="C4187" t="inlineStr">
        <is>
          <t>多</t>
        </is>
      </c>
      <c r="D4187" t="n">
        <v>3</v>
      </c>
      <c r="E4187" t="n">
        <v>7</v>
      </c>
      <c r="F4187" t="inlineStr">
        <is>
          <t>不做</t>
        </is>
      </c>
      <c r="H4187" t="n">
        <v>803.5</v>
      </c>
      <c r="J4187" t="n">
        <v>0</v>
      </c>
      <c r="K4187" t="inlineStr">
        <is>
          <t>组合风险已近10%，预算缩小</t>
        </is>
      </c>
    </row>
    <row r="4188">
      <c r="A4188" t="inlineStr">
        <is>
          <t>2025-05-07</t>
        </is>
      </c>
      <c r="B4188" t="inlineStr">
        <is>
          <t>工业硅</t>
        </is>
      </c>
      <c r="C4188" t="inlineStr">
        <is>
          <t>空</t>
        </is>
      </c>
      <c r="D4188" t="n">
        <v>3</v>
      </c>
      <c r="E4188" t="n">
        <v>7</v>
      </c>
      <c r="F4188" t="inlineStr">
        <is>
          <t>不做</t>
        </is>
      </c>
      <c r="H4188" t="n">
        <v>8290</v>
      </c>
      <c r="J4188" t="n">
        <v>0</v>
      </c>
      <c r="K4188" t="inlineStr">
        <is>
          <t>组合风险已近10%，预算缩小</t>
        </is>
      </c>
    </row>
    <row r="4189">
      <c r="A4189" t="inlineStr">
        <is>
          <t>2025-05-07</t>
        </is>
      </c>
      <c r="B4189" t="inlineStr">
        <is>
          <t>聚丙烯</t>
        </is>
      </c>
      <c r="C4189" t="inlineStr">
        <is>
          <t>空</t>
        </is>
      </c>
      <c r="D4189" t="n">
        <v>3</v>
      </c>
      <c r="E4189" t="n">
        <v>6</v>
      </c>
      <c r="F4189" t="inlineStr">
        <is>
          <t>不做</t>
        </is>
      </c>
      <c r="H4189" t="n">
        <v>7029</v>
      </c>
      <c r="J4189" t="n">
        <v>0</v>
      </c>
      <c r="K4189" t="inlineStr">
        <is>
          <t>组合风险已近10%，预算缩小</t>
        </is>
      </c>
    </row>
    <row r="4190">
      <c r="A4190" t="inlineStr">
        <is>
          <t>2025-05-07</t>
        </is>
      </c>
      <c r="B4190" t="inlineStr">
        <is>
          <t>塑料</t>
        </is>
      </c>
      <c r="C4190" t="inlineStr">
        <is>
          <t>空</t>
        </is>
      </c>
      <c r="D4190" t="n">
        <v>2</v>
      </c>
      <c r="E4190" t="n">
        <v>5</v>
      </c>
      <c r="F4190" t="inlineStr">
        <is>
          <t>影子仓</t>
        </is>
      </c>
      <c r="G4190" t="n">
        <v>8</v>
      </c>
      <c r="H4190" t="n">
        <v>7046</v>
      </c>
      <c r="I4190" t="n">
        <v>7289.64</v>
      </c>
      <c r="J4190" t="n">
        <v>1</v>
      </c>
      <c r="K4190" t="inlineStr">
        <is>
          <t>凯利≤0，开1%影子仓（只统计，不计入组合）</t>
        </is>
      </c>
    </row>
    <row r="4191">
      <c r="A4191" t="inlineStr">
        <is>
          <t>2025-05-07</t>
        </is>
      </c>
      <c r="B4191" t="inlineStr">
        <is>
          <t>豆粕</t>
        </is>
      </c>
      <c r="C4191" t="inlineStr">
        <is>
          <t>空</t>
        </is>
      </c>
      <c r="D4191" t="n">
        <v>2</v>
      </c>
      <c r="E4191" t="n">
        <v>5</v>
      </c>
      <c r="F4191" t="inlineStr">
        <is>
          <t>影子仓</t>
        </is>
      </c>
      <c r="G4191" t="n">
        <v>7</v>
      </c>
      <c r="H4191" t="n">
        <v>2920</v>
      </c>
      <c r="I4191" t="n">
        <v>3046.21</v>
      </c>
      <c r="J4191" t="n">
        <v>1</v>
      </c>
      <c r="K4191" t="inlineStr">
        <is>
          <t>凯利≤0，开1%影子仓（只统计，不计入组合）</t>
        </is>
      </c>
    </row>
    <row r="4192">
      <c r="A4192" t="inlineStr">
        <is>
          <t>2025-05-07</t>
        </is>
      </c>
      <c r="B4192" t="inlineStr">
        <is>
          <t>硅铁</t>
        </is>
      </c>
      <c r="C4192" t="inlineStr">
        <is>
          <t>空</t>
        </is>
      </c>
      <c r="D4192" t="n">
        <v>2</v>
      </c>
      <c r="E4192" t="n">
        <v>5</v>
      </c>
      <c r="F4192" t="inlineStr">
        <is>
          <t>影子仓</t>
        </is>
      </c>
      <c r="G4192" t="n">
        <v>7</v>
      </c>
      <c r="H4192" t="n">
        <v>5520</v>
      </c>
      <c r="I4192" t="n">
        <v>5792.14</v>
      </c>
      <c r="J4192" t="n">
        <v>1</v>
      </c>
      <c r="K4192" t="inlineStr">
        <is>
          <t>凯利≤0，开1%影子仓（只统计，不计入组合）</t>
        </is>
      </c>
    </row>
    <row r="4193">
      <c r="A4193" t="inlineStr">
        <is>
          <t>2025-05-07</t>
        </is>
      </c>
      <c r="B4193" t="inlineStr">
        <is>
          <t>沪银</t>
        </is>
      </c>
      <c r="C4193" t="inlineStr">
        <is>
          <t>多</t>
        </is>
      </c>
      <c r="D4193" t="n">
        <v>2</v>
      </c>
      <c r="E4193" t="n">
        <v>4</v>
      </c>
      <c r="F4193" t="inlineStr">
        <is>
          <t>续持</t>
        </is>
      </c>
      <c r="G4193" t="n">
        <v>4</v>
      </c>
      <c r="H4193" t="n">
        <v>8252</v>
      </c>
      <c r="I4193" t="n">
        <v>7888.07</v>
      </c>
      <c r="J4193" t="n">
        <v>3</v>
      </c>
      <c r="K4193" t="inlineStr">
        <is>
          <t>续持原仓（2025-05-06开）</t>
        </is>
      </c>
    </row>
    <row r="4194">
      <c r="A4194" t="inlineStr">
        <is>
          <t>2025-05-08</t>
        </is>
      </c>
      <c r="B4194" t="inlineStr">
        <is>
          <t>甲醇</t>
        </is>
      </c>
      <c r="C4194" t="inlineStr">
        <is>
          <t>空</t>
        </is>
      </c>
      <c r="D4194" t="n">
        <v>3</v>
      </c>
      <c r="E4194" t="n">
        <v>7</v>
      </c>
      <c r="F4194" t="inlineStr">
        <is>
          <t>开仓</t>
        </is>
      </c>
      <c r="G4194" t="n">
        <v>26</v>
      </c>
      <c r="H4194" t="n">
        <v>2216</v>
      </c>
      <c r="I4194" t="n">
        <v>2330.21</v>
      </c>
      <c r="J4194" t="n">
        <v>3</v>
      </c>
      <c r="K4194" t="inlineStr">
        <is>
          <t>¼凯利超上限，取3%</t>
        </is>
      </c>
    </row>
    <row r="4195">
      <c r="A4195" t="inlineStr">
        <is>
          <t>2025-05-08</t>
        </is>
      </c>
      <c r="B4195" t="inlineStr">
        <is>
          <t>玻璃</t>
        </is>
      </c>
      <c r="C4195" t="inlineStr">
        <is>
          <t>空</t>
        </is>
      </c>
      <c r="D4195" t="n">
        <v>3</v>
      </c>
      <c r="E4195" t="n">
        <v>7</v>
      </c>
      <c r="F4195" t="inlineStr">
        <is>
          <t>开仓</t>
        </is>
      </c>
      <c r="G4195" t="n">
        <v>6</v>
      </c>
      <c r="H4195" t="n">
        <v>1057</v>
      </c>
      <c r="I4195" t="n">
        <v>1138.43</v>
      </c>
      <c r="J4195" t="n">
        <v>1</v>
      </c>
      <c r="K4195" t="inlineStr">
        <is>
          <t>组合风险已近10%，预算缩小</t>
        </is>
      </c>
    </row>
    <row r="4196">
      <c r="A4196" t="inlineStr">
        <is>
          <t>2025-05-08</t>
        </is>
      </c>
      <c r="B4196" t="inlineStr">
        <is>
          <t>聚丙烯</t>
        </is>
      </c>
      <c r="C4196" t="inlineStr">
        <is>
          <t>空</t>
        </is>
      </c>
      <c r="D4196" t="n">
        <v>3</v>
      </c>
      <c r="E4196" t="n">
        <v>7</v>
      </c>
      <c r="F4196" t="inlineStr">
        <is>
          <t>不做</t>
        </is>
      </c>
      <c r="H4196" t="n">
        <v>6985</v>
      </c>
      <c r="J4196" t="n">
        <v>0</v>
      </c>
      <c r="K4196" t="inlineStr">
        <is>
          <t>与甲醇高度相关（同组≤3%），预算缩小</t>
        </is>
      </c>
    </row>
    <row r="4197">
      <c r="A4197" t="inlineStr">
        <is>
          <t>2025-05-08</t>
        </is>
      </c>
      <c r="B4197" t="inlineStr">
        <is>
          <t>豆粕</t>
        </is>
      </c>
      <c r="C4197" t="inlineStr">
        <is>
          <t>空</t>
        </is>
      </c>
      <c r="D4197" t="n">
        <v>3</v>
      </c>
      <c r="E4197" t="n">
        <v>6</v>
      </c>
      <c r="F4197" t="inlineStr">
        <is>
          <t>续持</t>
        </is>
      </c>
      <c r="G4197" t="n">
        <v>7</v>
      </c>
      <c r="H4197" t="n">
        <v>2919</v>
      </c>
      <c r="I4197" t="n">
        <v>3014.14</v>
      </c>
      <c r="J4197" t="n">
        <v>1</v>
      </c>
      <c r="K4197" t="inlineStr">
        <is>
          <t>续持原仓（2025-05-07开）</t>
        </is>
      </c>
    </row>
    <row r="4198">
      <c r="A4198" t="inlineStr">
        <is>
          <t>2025-05-08</t>
        </is>
      </c>
      <c r="B4198" t="inlineStr">
        <is>
          <t>碳酸锂</t>
        </is>
      </c>
      <c r="C4198" t="inlineStr">
        <is>
          <t>空</t>
        </is>
      </c>
      <c r="D4198" t="n">
        <v>3</v>
      </c>
      <c r="E4198" t="n">
        <v>6</v>
      </c>
      <c r="F4198" t="inlineStr">
        <is>
          <t>不做</t>
        </is>
      </c>
      <c r="H4198" t="n">
        <v>64280</v>
      </c>
      <c r="J4198" t="n">
        <v>0</v>
      </c>
      <c r="K4198" t="inlineStr">
        <is>
          <t>组合风险已近10%，预算缩小</t>
        </is>
      </c>
    </row>
    <row r="4199">
      <c r="A4199" t="inlineStr">
        <is>
          <t>2025-05-08</t>
        </is>
      </c>
      <c r="B4199" t="inlineStr">
        <is>
          <t>玉米</t>
        </is>
      </c>
      <c r="C4199" t="inlineStr">
        <is>
          <t>多</t>
        </is>
      </c>
      <c r="D4199" t="n">
        <v>2</v>
      </c>
      <c r="E4199" t="n">
        <v>4</v>
      </c>
      <c r="F4199" t="inlineStr">
        <is>
          <t>观望</t>
        </is>
      </c>
      <c r="G4199" t="n">
        <v>15</v>
      </c>
      <c r="H4199" t="n">
        <v>2365</v>
      </c>
      <c r="I4199" t="n">
        <v>2299.21</v>
      </c>
      <c r="J4199" t="n">
        <v>1</v>
      </c>
      <c r="K4199" t="inlineStr">
        <is>
          <t>逆5日线（收盘在5日线下，不追多）</t>
        </is>
      </c>
    </row>
    <row r="4200">
      <c r="A4200" t="inlineStr">
        <is>
          <t>2025-05-08</t>
        </is>
      </c>
      <c r="B4200" t="inlineStr">
        <is>
          <t>沪金</t>
        </is>
      </c>
      <c r="C4200" t="inlineStr">
        <is>
          <t>多</t>
        </is>
      </c>
      <c r="D4200" t="n">
        <v>2</v>
      </c>
      <c r="E4200" t="n">
        <v>4</v>
      </c>
      <c r="F4200" t="inlineStr">
        <is>
          <t>观望</t>
        </is>
      </c>
      <c r="H4200" t="n">
        <v>790.78</v>
      </c>
      <c r="J4200" t="n">
        <v>1</v>
      </c>
      <c r="K4200" t="inlineStr">
        <is>
          <t>逆5日线（收盘在5日线下，不追多）</t>
        </is>
      </c>
    </row>
    <row r="4201">
      <c r="A4201" t="inlineStr">
        <is>
          <t>2025-05-09</t>
        </is>
      </c>
      <c r="B4201" t="inlineStr">
        <is>
          <t>玻璃</t>
        </is>
      </c>
      <c r="C4201" t="inlineStr">
        <is>
          <t>空</t>
        </is>
      </c>
      <c r="D4201" t="n">
        <v>3</v>
      </c>
      <c r="E4201" t="n">
        <v>7</v>
      </c>
      <c r="F4201" t="inlineStr">
        <is>
          <t>续持</t>
        </is>
      </c>
      <c r="G4201" t="n">
        <v>6</v>
      </c>
      <c r="H4201" t="n">
        <v>1034</v>
      </c>
      <c r="I4201" t="n">
        <v>1116.14</v>
      </c>
      <c r="J4201" t="n">
        <v>1</v>
      </c>
      <c r="K4201" t="inlineStr">
        <is>
          <t>续持原仓（2025-05-08开）</t>
        </is>
      </c>
    </row>
    <row r="4202">
      <c r="A4202" t="inlineStr">
        <is>
          <t>2025-05-09</t>
        </is>
      </c>
      <c r="B4202" t="inlineStr">
        <is>
          <t>工业硅</t>
        </is>
      </c>
      <c r="C4202" t="inlineStr">
        <is>
          <t>空</t>
        </is>
      </c>
      <c r="D4202" t="n">
        <v>3</v>
      </c>
      <c r="E4202" t="n">
        <v>7</v>
      </c>
      <c r="F4202" t="inlineStr">
        <is>
          <t>不做</t>
        </is>
      </c>
      <c r="H4202" t="n">
        <v>8205</v>
      </c>
      <c r="J4202" t="n">
        <v>0</v>
      </c>
      <c r="K4202" t="inlineStr">
        <is>
          <t>组合风险已近10%，预算缩小</t>
        </is>
      </c>
    </row>
    <row r="4203">
      <c r="A4203" t="inlineStr">
        <is>
          <t>2025-05-09</t>
        </is>
      </c>
      <c r="B4203" t="inlineStr">
        <is>
          <t>碳酸锂</t>
        </is>
      </c>
      <c r="C4203" t="inlineStr">
        <is>
          <t>空</t>
        </is>
      </c>
      <c r="D4203" t="n">
        <v>3</v>
      </c>
      <c r="E4203" t="n">
        <v>7</v>
      </c>
      <c r="F4203" t="inlineStr">
        <is>
          <t>不做</t>
        </is>
      </c>
      <c r="H4203" t="n">
        <v>63020</v>
      </c>
      <c r="J4203" t="n">
        <v>0</v>
      </c>
      <c r="K4203" t="inlineStr">
        <is>
          <t>组合风险已近10%，预算缩小</t>
        </is>
      </c>
    </row>
    <row r="4204">
      <c r="A4204" t="inlineStr">
        <is>
          <t>2025-05-09</t>
        </is>
      </c>
      <c r="B4204" t="inlineStr">
        <is>
          <t>塑料</t>
        </is>
      </c>
      <c r="C4204" t="inlineStr">
        <is>
          <t>空</t>
        </is>
      </c>
      <c r="D4204" t="n">
        <v>3</v>
      </c>
      <c r="E4204" t="n">
        <v>6</v>
      </c>
      <c r="F4204" t="inlineStr">
        <is>
          <t>不做</t>
        </is>
      </c>
      <c r="H4204" t="n">
        <v>6976</v>
      </c>
      <c r="J4204" t="n">
        <v>0</v>
      </c>
      <c r="K4204" t="inlineStr">
        <is>
          <t>组合风险已近10%，预算缩小</t>
        </is>
      </c>
    </row>
    <row r="4205">
      <c r="A4205" t="inlineStr">
        <is>
          <t>2025-05-09</t>
        </is>
      </c>
      <c r="B4205" t="inlineStr">
        <is>
          <t>螺纹钢</t>
        </is>
      </c>
      <c r="C4205" t="inlineStr">
        <is>
          <t>空</t>
        </is>
      </c>
      <c r="D4205" t="n">
        <v>3</v>
      </c>
      <c r="E4205" t="n">
        <v>6</v>
      </c>
      <c r="F4205" t="inlineStr">
        <is>
          <t>不做</t>
        </is>
      </c>
      <c r="H4205" t="n">
        <v>3022</v>
      </c>
      <c r="J4205" t="n">
        <v>0</v>
      </c>
      <c r="K4205" t="inlineStr">
        <is>
          <t>组合风险已近10%，预算缩小</t>
        </is>
      </c>
    </row>
    <row r="4206">
      <c r="A4206" t="inlineStr">
        <is>
          <t>2025-05-09</t>
        </is>
      </c>
      <c r="B4206" t="inlineStr">
        <is>
          <t>玉米</t>
        </is>
      </c>
      <c r="C4206" t="inlineStr">
        <is>
          <t>多</t>
        </is>
      </c>
      <c r="D4206" t="n">
        <v>2</v>
      </c>
      <c r="E4206" t="n">
        <v>5</v>
      </c>
      <c r="F4206" t="inlineStr">
        <is>
          <t>续持</t>
        </is>
      </c>
      <c r="G4206" t="n">
        <v>50</v>
      </c>
      <c r="H4206" t="n">
        <v>2375</v>
      </c>
      <c r="I4206" t="n">
        <v>2322.43</v>
      </c>
      <c r="J4206" t="n">
        <v>3</v>
      </c>
      <c r="K4206" t="inlineStr">
        <is>
          <t>续持原仓（2025-04-30开）</t>
        </is>
      </c>
    </row>
    <row r="4207">
      <c r="A4207" t="inlineStr">
        <is>
          <t>2025-05-09</t>
        </is>
      </c>
      <c r="B4207" t="inlineStr">
        <is>
          <t>沪金</t>
        </is>
      </c>
      <c r="C4207" t="inlineStr">
        <is>
          <t>多</t>
        </is>
      </c>
      <c r="D4207" t="n">
        <v>2</v>
      </c>
      <c r="E4207" t="n">
        <v>5</v>
      </c>
      <c r="F4207" t="inlineStr">
        <is>
          <t>观望</t>
        </is>
      </c>
      <c r="H4207" t="n">
        <v>788.42</v>
      </c>
      <c r="J4207" t="n">
        <v>1</v>
      </c>
      <c r="K4207" t="inlineStr">
        <is>
          <t>逆5日线（收盘在5日线下，不追多）</t>
        </is>
      </c>
    </row>
    <row r="4208">
      <c r="A4208" t="inlineStr">
        <is>
          <t>2025-05-12</t>
        </is>
      </c>
      <c r="B4208" t="inlineStr">
        <is>
          <t>聚丙烯</t>
        </is>
      </c>
      <c r="C4208" t="inlineStr">
        <is>
          <t>空</t>
        </is>
      </c>
      <c r="D4208" t="n">
        <v>2</v>
      </c>
      <c r="E4208" t="n">
        <v>5</v>
      </c>
      <c r="F4208" t="inlineStr">
        <is>
          <t>观望</t>
        </is>
      </c>
      <c r="G4208" t="n">
        <v>10</v>
      </c>
      <c r="H4208" t="n">
        <v>7030</v>
      </c>
      <c r="I4208" t="n">
        <v>7214.29</v>
      </c>
      <c r="J4208" t="n">
        <v>1</v>
      </c>
      <c r="K4208" t="inlineStr">
        <is>
          <t>逆5日线（收盘在5日线上，不追空）</t>
        </is>
      </c>
    </row>
    <row r="4209">
      <c r="A4209" t="inlineStr">
        <is>
          <t>2025-05-12</t>
        </is>
      </c>
      <c r="B4209" t="inlineStr">
        <is>
          <t>硅铁</t>
        </is>
      </c>
      <c r="C4209" t="inlineStr">
        <is>
          <t>空</t>
        </is>
      </c>
      <c r="D4209" t="n">
        <v>2</v>
      </c>
      <c r="E4209" t="n">
        <v>4</v>
      </c>
      <c r="F4209" t="inlineStr">
        <is>
          <t>观望</t>
        </is>
      </c>
      <c r="G4209" t="n">
        <v>6</v>
      </c>
      <c r="H4209" t="n">
        <v>5636</v>
      </c>
      <c r="I4209" t="n">
        <v>5923.57</v>
      </c>
      <c r="J4209" t="n">
        <v>1</v>
      </c>
      <c r="K4209" t="inlineStr">
        <is>
          <t>逆5日线（收盘在5日线上，不追空）</t>
        </is>
      </c>
    </row>
    <row r="4210">
      <c r="A4210" t="inlineStr">
        <is>
          <t>2025-05-12</t>
        </is>
      </c>
      <c r="B4210" t="inlineStr">
        <is>
          <t>工业硅</t>
        </is>
      </c>
      <c r="C4210" t="inlineStr">
        <is>
          <t>空</t>
        </is>
      </c>
      <c r="D4210" t="n">
        <v>2</v>
      </c>
      <c r="E4210" t="n">
        <v>4</v>
      </c>
      <c r="F4210" t="inlineStr">
        <is>
          <t>观望</t>
        </is>
      </c>
      <c r="G4210" t="n">
        <v>3</v>
      </c>
      <c r="H4210" t="n">
        <v>8320</v>
      </c>
      <c r="I4210" t="n">
        <v>8962.860000000001</v>
      </c>
      <c r="J4210" t="n">
        <v>1</v>
      </c>
      <c r="K4210" t="inlineStr">
        <is>
          <t>逆5日线（收盘在5日线上，不追空）</t>
        </is>
      </c>
    </row>
    <row r="4211">
      <c r="A4211" t="inlineStr">
        <is>
          <t>2025-05-12</t>
        </is>
      </c>
      <c r="B4211" t="inlineStr">
        <is>
          <t>PTA</t>
        </is>
      </c>
      <c r="C4211" t="inlineStr">
        <is>
          <t>多</t>
        </is>
      </c>
      <c r="D4211" t="n">
        <v>2</v>
      </c>
      <c r="E4211" t="n">
        <v>4</v>
      </c>
      <c r="F4211" t="inlineStr">
        <is>
          <t>影子仓</t>
        </is>
      </c>
      <c r="G4211" t="n">
        <v>6</v>
      </c>
      <c r="H4211" t="n">
        <v>4710</v>
      </c>
      <c r="I4211" t="n">
        <v>4402.29</v>
      </c>
      <c r="J4211" t="n">
        <v>1</v>
      </c>
      <c r="K4211" t="inlineStr">
        <is>
          <t>凯利≤0，开1%影子仓（只统计，不计入组合）</t>
        </is>
      </c>
    </row>
    <row r="4212">
      <c r="A4212" t="inlineStr">
        <is>
          <t>2025-05-12</t>
        </is>
      </c>
      <c r="B4212" t="inlineStr">
        <is>
          <t>菜粕</t>
        </is>
      </c>
      <c r="C4212" t="inlineStr">
        <is>
          <t>空</t>
        </is>
      </c>
      <c r="D4212" t="n">
        <v>2</v>
      </c>
      <c r="E4212" t="n">
        <v>4</v>
      </c>
      <c r="F4212" t="inlineStr">
        <is>
          <t>影子仓</t>
        </is>
      </c>
      <c r="G4212" t="n">
        <v>6</v>
      </c>
      <c r="H4212" t="n">
        <v>2544</v>
      </c>
      <c r="I4212" t="n">
        <v>2707.93</v>
      </c>
      <c r="J4212" t="n">
        <v>1</v>
      </c>
      <c r="K4212" t="inlineStr">
        <is>
          <t>凯利≤0，开1%影子仓（只统计，不计入组合）</t>
        </is>
      </c>
    </row>
    <row r="4213">
      <c r="A4213" t="inlineStr">
        <is>
          <t>2025-05-13</t>
        </is>
      </c>
      <c r="B4213" t="inlineStr">
        <is>
          <t>玻璃</t>
        </is>
      </c>
      <c r="C4213" t="inlineStr">
        <is>
          <t>空</t>
        </is>
      </c>
      <c r="D4213" t="n">
        <v>3</v>
      </c>
      <c r="E4213" t="n">
        <v>7</v>
      </c>
      <c r="F4213" t="inlineStr">
        <is>
          <t>开仓</t>
        </is>
      </c>
      <c r="G4213" t="n">
        <v>18</v>
      </c>
      <c r="H4213" t="n">
        <v>1016</v>
      </c>
      <c r="I4213" t="n">
        <v>1098.5</v>
      </c>
      <c r="J4213" t="n">
        <v>3</v>
      </c>
      <c r="K4213" t="inlineStr">
        <is>
          <t>¼凯利超上限，取3%</t>
        </is>
      </c>
    </row>
    <row r="4214">
      <c r="A4214" t="inlineStr">
        <is>
          <t>2025-05-13</t>
        </is>
      </c>
      <c r="B4214" t="inlineStr">
        <is>
          <t>PTA</t>
        </is>
      </c>
      <c r="C4214" t="inlineStr">
        <is>
          <t>多</t>
        </is>
      </c>
      <c r="D4214" t="n">
        <v>3</v>
      </c>
      <c r="E4214" t="n">
        <v>7</v>
      </c>
      <c r="F4214" t="inlineStr">
        <is>
          <t>续持</t>
        </is>
      </c>
      <c r="G4214" t="n">
        <v>6</v>
      </c>
      <c r="H4214" t="n">
        <v>4750</v>
      </c>
      <c r="I4214" t="n">
        <v>4472.29</v>
      </c>
      <c r="J4214" t="n">
        <v>1</v>
      </c>
      <c r="K4214" t="inlineStr">
        <is>
          <t>续持原仓（2025-05-12开）</t>
        </is>
      </c>
    </row>
    <row r="4215">
      <c r="A4215" t="inlineStr">
        <is>
          <t>2025-05-13</t>
        </is>
      </c>
      <c r="B4215" t="inlineStr">
        <is>
          <t>工业硅</t>
        </is>
      </c>
      <c r="C4215" t="inlineStr">
        <is>
          <t>空</t>
        </is>
      </c>
      <c r="D4215" t="n">
        <v>3</v>
      </c>
      <c r="E4215" t="n">
        <v>7</v>
      </c>
      <c r="F4215" t="inlineStr">
        <is>
          <t>开仓</t>
        </is>
      </c>
      <c r="G4215" t="n">
        <v>9</v>
      </c>
      <c r="H4215" t="n">
        <v>8230</v>
      </c>
      <c r="I4215" t="n">
        <v>8863.209999999999</v>
      </c>
      <c r="J4215" t="n">
        <v>3</v>
      </c>
      <c r="K4215" t="inlineStr">
        <is>
          <t>¼凯利超上限，取3%</t>
        </is>
      </c>
    </row>
    <row r="4216">
      <c r="A4216" t="inlineStr">
        <is>
          <t>2025-05-13</t>
        </is>
      </c>
      <c r="B4216" t="inlineStr">
        <is>
          <t>豆粕</t>
        </is>
      </c>
      <c r="C4216" t="inlineStr">
        <is>
          <t>空</t>
        </is>
      </c>
      <c r="D4216" t="n">
        <v>3</v>
      </c>
      <c r="E4216" t="n">
        <v>6</v>
      </c>
      <c r="F4216" t="inlineStr">
        <is>
          <t>续持</t>
        </is>
      </c>
      <c r="G4216" t="n">
        <v>7</v>
      </c>
      <c r="H4216" t="n">
        <v>2886</v>
      </c>
      <c r="I4216" t="n">
        <v>2980.71</v>
      </c>
      <c r="J4216" t="n">
        <v>1</v>
      </c>
      <c r="K4216" t="inlineStr">
        <is>
          <t>续持原仓（2025-05-07开）</t>
        </is>
      </c>
    </row>
    <row r="4217">
      <c r="A4217" t="inlineStr">
        <is>
          <t>2025-05-13</t>
        </is>
      </c>
      <c r="B4217" t="inlineStr">
        <is>
          <t>碳酸锂</t>
        </is>
      </c>
      <c r="C4217" t="inlineStr">
        <is>
          <t>空</t>
        </is>
      </c>
      <c r="D4217" t="n">
        <v>3</v>
      </c>
      <c r="E4217" t="n">
        <v>6</v>
      </c>
      <c r="F4217" t="inlineStr">
        <is>
          <t>开仓</t>
        </is>
      </c>
      <c r="G4217" t="n">
        <v>2</v>
      </c>
      <c r="H4217" t="n">
        <v>63220</v>
      </c>
      <c r="I4217" t="n">
        <v>67488.57000000001</v>
      </c>
      <c r="J4217" t="n">
        <v>1</v>
      </c>
      <c r="K4217" t="inlineStr">
        <is>
          <t>组合风险已近10%，预算缩小</t>
        </is>
      </c>
    </row>
    <row r="4218">
      <c r="A4218" t="inlineStr">
        <is>
          <t>2025-05-13</t>
        </is>
      </c>
      <c r="B4218" t="inlineStr">
        <is>
          <t>硅铁</t>
        </is>
      </c>
      <c r="C4218" t="inlineStr">
        <is>
          <t>空</t>
        </is>
      </c>
      <c r="D4218" t="n">
        <v>2</v>
      </c>
      <c r="E4218" t="n">
        <v>5</v>
      </c>
      <c r="F4218" t="inlineStr">
        <is>
          <t>观望</t>
        </is>
      </c>
      <c r="G4218" t="n">
        <v>7</v>
      </c>
      <c r="H4218" t="n">
        <v>5612</v>
      </c>
      <c r="I4218" t="n">
        <v>5897.43</v>
      </c>
      <c r="J4218" t="n">
        <v>1</v>
      </c>
      <c r="K4218" t="inlineStr">
        <is>
          <t>逆5日线（收盘在5日线上，不追空）</t>
        </is>
      </c>
    </row>
    <row r="4219">
      <c r="A4219" t="inlineStr">
        <is>
          <t>2025-05-13</t>
        </is>
      </c>
      <c r="B4219" t="inlineStr">
        <is>
          <t>棉花</t>
        </is>
      </c>
      <c r="C4219" t="inlineStr">
        <is>
          <t>多</t>
        </is>
      </c>
      <c r="D4219" t="n">
        <v>2</v>
      </c>
      <c r="E4219" t="n">
        <v>4</v>
      </c>
      <c r="F4219" t="inlineStr">
        <is>
          <t>影子仓</t>
        </is>
      </c>
      <c r="G4219" t="n">
        <v>3</v>
      </c>
      <c r="H4219" t="n">
        <v>13330</v>
      </c>
      <c r="I4219" t="n">
        <v>12813.57</v>
      </c>
      <c r="J4219" t="n">
        <v>1</v>
      </c>
      <c r="K4219" t="inlineStr">
        <is>
          <t>凯利≤0，开1%影子仓（只统计，不计入组合）</t>
        </is>
      </c>
    </row>
    <row r="4220">
      <c r="A4220" t="inlineStr">
        <is>
          <t>2025-05-14</t>
        </is>
      </c>
      <c r="B4220" t="inlineStr">
        <is>
          <t>碳酸锂</t>
        </is>
      </c>
      <c r="C4220" t="inlineStr">
        <is>
          <t>空</t>
        </is>
      </c>
      <c r="D4220" t="n">
        <v>2</v>
      </c>
      <c r="E4220" t="n">
        <v>5</v>
      </c>
      <c r="F4220" t="inlineStr">
        <is>
          <t>观望</t>
        </is>
      </c>
      <c r="G4220" t="n">
        <v>2</v>
      </c>
      <c r="H4220" t="n">
        <v>65200</v>
      </c>
      <c r="I4220" t="n">
        <v>69588.57000000001</v>
      </c>
      <c r="J4220" t="n">
        <v>1</v>
      </c>
      <c r="K4220" t="inlineStr">
        <is>
          <t>逆5日线（收盘在5日线上，不追空）</t>
        </is>
      </c>
    </row>
    <row r="4221">
      <c r="A4221" t="inlineStr">
        <is>
          <t>2025-05-14</t>
        </is>
      </c>
      <c r="B4221" t="inlineStr">
        <is>
          <t>棉花</t>
        </is>
      </c>
      <c r="C4221" t="inlineStr">
        <is>
          <t>多</t>
        </is>
      </c>
      <c r="D4221" t="n">
        <v>2</v>
      </c>
      <c r="E4221" t="n">
        <v>4</v>
      </c>
      <c r="F4221" t="inlineStr">
        <is>
          <t>续持</t>
        </is>
      </c>
      <c r="G4221" t="n">
        <v>3</v>
      </c>
      <c r="H4221" t="n">
        <v>13445</v>
      </c>
      <c r="I4221" t="n">
        <v>12933.21</v>
      </c>
      <c r="J4221" t="n">
        <v>1</v>
      </c>
      <c r="K4221" t="inlineStr">
        <is>
          <t>续持原仓（2025-05-13开）</t>
        </is>
      </c>
    </row>
    <row r="4222">
      <c r="A4222" t="inlineStr">
        <is>
          <t>2025-05-15</t>
        </is>
      </c>
      <c r="B4222" t="inlineStr">
        <is>
          <t>工业硅</t>
        </is>
      </c>
      <c r="C4222" t="inlineStr">
        <is>
          <t>空</t>
        </is>
      </c>
      <c r="D4222" t="n">
        <v>3</v>
      </c>
      <c r="E4222" t="n">
        <v>7</v>
      </c>
      <c r="F4222" t="inlineStr">
        <is>
          <t>观望</t>
        </is>
      </c>
      <c r="G4222" t="n">
        <v>9</v>
      </c>
      <c r="H4222" t="n">
        <v>8500</v>
      </c>
      <c r="I4222" t="n">
        <v>9139.639999999999</v>
      </c>
      <c r="J4222" t="n">
        <v>3</v>
      </c>
      <c r="K4222" t="inlineStr">
        <is>
          <t>逆5日线（收盘在5日线上，不追空）</t>
        </is>
      </c>
    </row>
    <row r="4223">
      <c r="A4223" t="inlineStr">
        <is>
          <t>2025-05-15</t>
        </is>
      </c>
      <c r="B4223" t="inlineStr">
        <is>
          <t>棉花</t>
        </is>
      </c>
      <c r="C4223" t="inlineStr">
        <is>
          <t>多</t>
        </is>
      </c>
      <c r="D4223" t="n">
        <v>3</v>
      </c>
      <c r="E4223" t="n">
        <v>6</v>
      </c>
      <c r="F4223" t="inlineStr">
        <is>
          <t>续持</t>
        </is>
      </c>
      <c r="G4223" t="n">
        <v>3</v>
      </c>
      <c r="H4223" t="n">
        <v>13415</v>
      </c>
      <c r="I4223" t="n">
        <v>12956.07</v>
      </c>
      <c r="J4223" t="n">
        <v>1</v>
      </c>
      <c r="K4223" t="inlineStr">
        <is>
          <t>续持原仓（2025-05-13开）</t>
        </is>
      </c>
    </row>
    <row r="4224">
      <c r="A4224" t="inlineStr">
        <is>
          <t>2025-05-15</t>
        </is>
      </c>
      <c r="B4224" t="inlineStr">
        <is>
          <t>苯乙烯</t>
        </is>
      </c>
      <c r="C4224" t="inlineStr">
        <is>
          <t>多</t>
        </is>
      </c>
      <c r="D4224" t="n">
        <v>2</v>
      </c>
      <c r="E4224" t="n">
        <v>5</v>
      </c>
      <c r="F4224" t="inlineStr">
        <is>
          <t>影子仓</t>
        </is>
      </c>
      <c r="G4224" t="n">
        <v>3</v>
      </c>
      <c r="H4224" t="n">
        <v>7739</v>
      </c>
      <c r="I4224" t="n">
        <v>7178.86</v>
      </c>
      <c r="J4224" t="n">
        <v>1</v>
      </c>
      <c r="K4224" t="inlineStr">
        <is>
          <t>凯利≤0，开1%影子仓（只统计，不计入组合）</t>
        </is>
      </c>
    </row>
    <row r="4225">
      <c r="A4225" t="inlineStr">
        <is>
          <t>2025-05-15</t>
        </is>
      </c>
      <c r="B4225" t="inlineStr">
        <is>
          <t>沪铝</t>
        </is>
      </c>
      <c r="C4225" t="inlineStr">
        <is>
          <t>多</t>
        </is>
      </c>
      <c r="D4225" t="n">
        <v>2</v>
      </c>
      <c r="E4225" t="n">
        <v>4</v>
      </c>
      <c r="F4225" t="inlineStr">
        <is>
          <t>影子仓</t>
        </is>
      </c>
      <c r="G4225" t="n">
        <v>2</v>
      </c>
      <c r="H4225" t="n">
        <v>20185</v>
      </c>
      <c r="I4225" t="n">
        <v>19491.79</v>
      </c>
      <c r="J4225" t="n">
        <v>1</v>
      </c>
      <c r="K4225" t="inlineStr">
        <is>
          <t>凯利≤0，开1%影子仓（只统计，不计入组合）</t>
        </is>
      </c>
    </row>
    <row r="4226">
      <c r="A4226" t="inlineStr">
        <is>
          <t>2025-05-16</t>
        </is>
      </c>
      <c r="B4226" t="inlineStr">
        <is>
          <t>棉花</t>
        </is>
      </c>
      <c r="C4226" t="inlineStr">
        <is>
          <t>多</t>
        </is>
      </c>
      <c r="D4226" t="n">
        <v>3</v>
      </c>
      <c r="E4226" t="n">
        <v>6</v>
      </c>
      <c r="F4226" t="inlineStr">
        <is>
          <t>续持</t>
        </is>
      </c>
      <c r="G4226" t="n">
        <v>3</v>
      </c>
      <c r="H4226" t="n">
        <v>13390</v>
      </c>
      <c r="I4226" t="n">
        <v>12986.07</v>
      </c>
      <c r="J4226" t="n">
        <v>1</v>
      </c>
      <c r="K4226" t="inlineStr">
        <is>
          <t>续持原仓（2025-05-13开）</t>
        </is>
      </c>
    </row>
    <row r="4227">
      <c r="A4227" t="inlineStr">
        <is>
          <t>2025-05-16</t>
        </is>
      </c>
      <c r="B4227" t="inlineStr">
        <is>
          <t>工业硅</t>
        </is>
      </c>
      <c r="C4227" t="inlineStr">
        <is>
          <t>空</t>
        </is>
      </c>
      <c r="D4227" t="n">
        <v>3</v>
      </c>
      <c r="E4227" t="n">
        <v>6</v>
      </c>
      <c r="F4227" t="inlineStr">
        <is>
          <t>开仓</t>
        </is>
      </c>
      <c r="G4227" t="n">
        <v>8</v>
      </c>
      <c r="H4227" t="n">
        <v>8215</v>
      </c>
      <c r="I4227" t="n">
        <v>8891.07</v>
      </c>
      <c r="J4227" t="n">
        <v>3</v>
      </c>
      <c r="K4227" t="inlineStr">
        <is>
          <t>¼凯利超上限，取3%</t>
        </is>
      </c>
    </row>
    <row r="4228">
      <c r="A4228" t="inlineStr">
        <is>
          <t>2025-05-16</t>
        </is>
      </c>
      <c r="B4228" t="inlineStr">
        <is>
          <t>碳酸锂</t>
        </is>
      </c>
      <c r="C4228" t="inlineStr">
        <is>
          <t>空</t>
        </is>
      </c>
      <c r="D4228" t="n">
        <v>3</v>
      </c>
      <c r="E4228" t="n">
        <v>6</v>
      </c>
      <c r="F4228" t="inlineStr">
        <is>
          <t>开仓</t>
        </is>
      </c>
      <c r="G4228" t="n">
        <v>6</v>
      </c>
      <c r="H4228" t="n">
        <v>61800</v>
      </c>
      <c r="I4228" t="n">
        <v>66364.28999999999</v>
      </c>
      <c r="J4228" t="n">
        <v>3</v>
      </c>
      <c r="K4228" t="inlineStr">
        <is>
          <t>¼凯利超上限，取3%</t>
        </is>
      </c>
    </row>
    <row r="4229">
      <c r="A4229" t="inlineStr">
        <is>
          <t>2025-05-16</t>
        </is>
      </c>
      <c r="B4229" t="inlineStr">
        <is>
          <t>螺纹钢</t>
        </is>
      </c>
      <c r="C4229" t="inlineStr">
        <is>
          <t>空</t>
        </is>
      </c>
      <c r="D4229" t="n">
        <v>2</v>
      </c>
      <c r="E4229" t="n">
        <v>4</v>
      </c>
      <c r="F4229" t="inlineStr">
        <is>
          <t>影子仓</t>
        </is>
      </c>
      <c r="G4229" t="n">
        <v>7</v>
      </c>
      <c r="H4229" t="n">
        <v>3082</v>
      </c>
      <c r="I4229" t="n">
        <v>3222.14</v>
      </c>
      <c r="J4229" t="n">
        <v>1</v>
      </c>
      <c r="K4229" t="inlineStr">
        <is>
          <t>凯利≤0，开1%影子仓（只统计，不计入组合）</t>
        </is>
      </c>
    </row>
    <row r="4230">
      <c r="A4230" t="inlineStr">
        <is>
          <t>2025-05-19</t>
        </is>
      </c>
      <c r="B4230" t="inlineStr">
        <is>
          <t>碳酸锂</t>
        </is>
      </c>
      <c r="C4230" t="inlineStr">
        <is>
          <t>空</t>
        </is>
      </c>
      <c r="D4230" t="n">
        <v>3</v>
      </c>
      <c r="E4230" t="n">
        <v>7</v>
      </c>
      <c r="F4230" t="inlineStr">
        <is>
          <t>续持</t>
        </is>
      </c>
      <c r="G4230" t="n">
        <v>6</v>
      </c>
      <c r="H4230" t="n">
        <v>61180</v>
      </c>
      <c r="I4230" t="n">
        <v>65560</v>
      </c>
      <c r="J4230" t="n">
        <v>3</v>
      </c>
      <c r="K4230" t="inlineStr">
        <is>
          <t>续持原仓（2025-05-16开）</t>
        </is>
      </c>
    </row>
    <row r="4231">
      <c r="A4231" t="inlineStr">
        <is>
          <t>2025-05-19</t>
        </is>
      </c>
      <c r="B4231" t="inlineStr">
        <is>
          <t>棉花</t>
        </is>
      </c>
      <c r="C4231" t="inlineStr">
        <is>
          <t>多</t>
        </is>
      </c>
      <c r="D4231" t="n">
        <v>3</v>
      </c>
      <c r="E4231" t="n">
        <v>6</v>
      </c>
      <c r="F4231" t="inlineStr">
        <is>
          <t>观望</t>
        </is>
      </c>
      <c r="G4231" t="n">
        <v>12</v>
      </c>
      <c r="H4231" t="n">
        <v>13390</v>
      </c>
      <c r="I4231" t="n">
        <v>12896.07</v>
      </c>
      <c r="J4231" t="n">
        <v>3</v>
      </c>
      <c r="K4231" t="inlineStr">
        <is>
          <t>逆5日线（收盘在5日线下，不追多）</t>
        </is>
      </c>
    </row>
    <row r="4232">
      <c r="A4232" t="inlineStr">
        <is>
          <t>2025-05-19</t>
        </is>
      </c>
      <c r="B4232" t="inlineStr">
        <is>
          <t>铁矿石</t>
        </is>
      </c>
      <c r="C4232" t="inlineStr">
        <is>
          <t>空</t>
        </is>
      </c>
      <c r="D4232" t="n">
        <v>2</v>
      </c>
      <c r="E4232" t="n">
        <v>4</v>
      </c>
      <c r="F4232" t="inlineStr">
        <is>
          <t>影子仓</t>
        </is>
      </c>
      <c r="G4232" t="n">
        <v>2</v>
      </c>
      <c r="H4232" t="n">
        <v>722.5</v>
      </c>
      <c r="I4232" t="n">
        <v>767.8200000000001</v>
      </c>
      <c r="J4232" t="n">
        <v>1</v>
      </c>
      <c r="K4232" t="inlineStr">
        <is>
          <t>凯利≤0，开1%影子仓（只统计，不计入组合）</t>
        </is>
      </c>
    </row>
    <row r="4233">
      <c r="A4233" t="inlineStr">
        <is>
          <t>2025-05-20</t>
        </is>
      </c>
      <c r="B4233" t="inlineStr">
        <is>
          <t>碳酸锂</t>
        </is>
      </c>
      <c r="C4233" t="inlineStr">
        <is>
          <t>空</t>
        </is>
      </c>
      <c r="D4233" t="n">
        <v>3</v>
      </c>
      <c r="E4233" t="n">
        <v>7</v>
      </c>
      <c r="F4233" t="inlineStr">
        <is>
          <t>续持</t>
        </is>
      </c>
      <c r="G4233" t="n">
        <v>6</v>
      </c>
      <c r="H4233" t="n">
        <v>60860</v>
      </c>
      <c r="I4233" t="n">
        <v>64947.14</v>
      </c>
      <c r="J4233" t="n">
        <v>3</v>
      </c>
      <c r="K4233" t="inlineStr">
        <is>
          <t>续持原仓（2025-05-16开）</t>
        </is>
      </c>
    </row>
    <row r="4234">
      <c r="A4234" t="inlineStr">
        <is>
          <t>2025-05-20</t>
        </is>
      </c>
      <c r="B4234" t="inlineStr">
        <is>
          <t>聚丙烯</t>
        </is>
      </c>
      <c r="C4234" t="inlineStr">
        <is>
          <t>空</t>
        </is>
      </c>
      <c r="D4234" t="n">
        <v>3</v>
      </c>
      <c r="E4234" t="n">
        <v>7</v>
      </c>
      <c r="F4234" t="inlineStr">
        <is>
          <t>开仓</t>
        </is>
      </c>
      <c r="G4234" t="n">
        <v>28</v>
      </c>
      <c r="H4234" t="n">
        <v>7047</v>
      </c>
      <c r="I4234" t="n">
        <v>7256.57</v>
      </c>
      <c r="J4234" t="n">
        <v>3</v>
      </c>
      <c r="K4234" t="inlineStr">
        <is>
          <t>¼凯利超上限，取3%</t>
        </is>
      </c>
    </row>
    <row r="4235">
      <c r="A4235" t="inlineStr">
        <is>
          <t>2025-05-20</t>
        </is>
      </c>
      <c r="B4235" t="inlineStr">
        <is>
          <t>纯碱</t>
        </is>
      </c>
      <c r="C4235" t="inlineStr">
        <is>
          <t>空</t>
        </is>
      </c>
      <c r="D4235" t="n">
        <v>3</v>
      </c>
      <c r="E4235" t="n">
        <v>6</v>
      </c>
      <c r="F4235" t="inlineStr">
        <is>
          <t>开仓</t>
        </is>
      </c>
      <c r="G4235" t="n">
        <v>13</v>
      </c>
      <c r="H4235" t="n">
        <v>1280</v>
      </c>
      <c r="I4235" t="n">
        <v>1391.64</v>
      </c>
      <c r="J4235" t="n">
        <v>3</v>
      </c>
      <c r="K4235" t="inlineStr">
        <is>
          <t>¼凯利超上限，取3%</t>
        </is>
      </c>
    </row>
    <row r="4236">
      <c r="A4236" t="inlineStr">
        <is>
          <t>2025-05-20</t>
        </is>
      </c>
      <c r="B4236" t="inlineStr">
        <is>
          <t>硅铁</t>
        </is>
      </c>
      <c r="C4236" t="inlineStr">
        <is>
          <t>空</t>
        </is>
      </c>
      <c r="D4236" t="n">
        <v>3</v>
      </c>
      <c r="E4236" t="n">
        <v>6</v>
      </c>
      <c r="F4236" t="inlineStr">
        <is>
          <t>开仓</t>
        </is>
      </c>
      <c r="G4236" t="n">
        <v>6</v>
      </c>
      <c r="H4236" t="n">
        <v>5638</v>
      </c>
      <c r="I4236" t="n">
        <v>5942.29</v>
      </c>
      <c r="J4236" t="n">
        <v>1</v>
      </c>
      <c r="K4236" t="inlineStr">
        <is>
          <t>组合风险已近10%，预算缩小</t>
        </is>
      </c>
    </row>
    <row r="4237">
      <c r="A4237" t="inlineStr">
        <is>
          <t>2025-05-20</t>
        </is>
      </c>
      <c r="B4237" t="inlineStr">
        <is>
          <t>PTA</t>
        </is>
      </c>
      <c r="C4237" t="inlineStr">
        <is>
          <t>空</t>
        </is>
      </c>
      <c r="D4237" t="n">
        <v>3</v>
      </c>
      <c r="E4237" t="n">
        <v>6</v>
      </c>
      <c r="F4237" t="inlineStr">
        <is>
          <t>不做</t>
        </is>
      </c>
      <c r="H4237" t="n">
        <v>4732</v>
      </c>
      <c r="J4237" t="n">
        <v>0</v>
      </c>
      <c r="K4237" t="inlineStr">
        <is>
          <t>组合风险已近10%，预算缩小</t>
        </is>
      </c>
    </row>
    <row r="4238">
      <c r="A4238" t="inlineStr">
        <is>
          <t>2025-05-20</t>
        </is>
      </c>
      <c r="B4238" t="inlineStr">
        <is>
          <t>燃料油</t>
        </is>
      </c>
      <c r="C4238" t="inlineStr">
        <is>
          <t>多</t>
        </is>
      </c>
      <c r="D4238" t="n">
        <v>2</v>
      </c>
      <c r="E4238" t="n">
        <v>4</v>
      </c>
      <c r="F4238" t="inlineStr">
        <is>
          <t>影子仓</t>
        </is>
      </c>
      <c r="G4238" t="n">
        <v>5</v>
      </c>
      <c r="H4238" t="n">
        <v>3042</v>
      </c>
      <c r="I4238" t="n">
        <v>2847</v>
      </c>
      <c r="J4238" t="n">
        <v>1</v>
      </c>
      <c r="K4238" t="inlineStr">
        <is>
          <t>凯利≤0，开1%影子仓（只统计，不计入组合）</t>
        </is>
      </c>
    </row>
    <row r="4239">
      <c r="A4239" t="inlineStr">
        <is>
          <t>2025-05-20</t>
        </is>
      </c>
      <c r="B4239" t="inlineStr">
        <is>
          <t>沪铝</t>
        </is>
      </c>
      <c r="C4239" t="inlineStr">
        <is>
          <t>多</t>
        </is>
      </c>
      <c r="D4239" t="n">
        <v>2</v>
      </c>
      <c r="E4239" t="n">
        <v>4</v>
      </c>
      <c r="F4239" t="inlineStr">
        <is>
          <t>观望</t>
        </is>
      </c>
      <c r="G4239" t="n">
        <v>2</v>
      </c>
      <c r="H4239" t="n">
        <v>20075</v>
      </c>
      <c r="I4239" t="n">
        <v>19378.57</v>
      </c>
      <c r="J4239" t="n">
        <v>1</v>
      </c>
      <c r="K4239" t="inlineStr">
        <is>
          <t>逆5日线（收盘在5日线下，不追多）</t>
        </is>
      </c>
    </row>
    <row r="4240">
      <c r="A4240" t="inlineStr">
        <is>
          <t>2025-05-21</t>
        </is>
      </c>
      <c r="B4240" t="inlineStr">
        <is>
          <t>硅铁</t>
        </is>
      </c>
      <c r="C4240" t="inlineStr">
        <is>
          <t>空</t>
        </is>
      </c>
      <c r="D4240" t="n">
        <v>3</v>
      </c>
      <c r="E4240" t="n">
        <v>7</v>
      </c>
      <c r="F4240" t="inlineStr">
        <is>
          <t>续持</t>
        </is>
      </c>
      <c r="G4240" t="n">
        <v>6</v>
      </c>
      <c r="H4240" t="n">
        <v>5620</v>
      </c>
      <c r="I4240" t="n">
        <v>5890.57</v>
      </c>
      <c r="J4240" t="n">
        <v>1</v>
      </c>
      <c r="K4240" t="inlineStr">
        <is>
          <t>续持原仓（2025-05-20开）</t>
        </is>
      </c>
    </row>
    <row r="4241">
      <c r="A4241" t="inlineStr">
        <is>
          <t>2025-05-21</t>
        </is>
      </c>
      <c r="B4241" t="inlineStr">
        <is>
          <t>工业硅</t>
        </is>
      </c>
      <c r="C4241" t="inlineStr">
        <is>
          <t>空</t>
        </is>
      </c>
      <c r="D4241" t="n">
        <v>3</v>
      </c>
      <c r="E4241" t="n">
        <v>7</v>
      </c>
      <c r="F4241" t="inlineStr">
        <is>
          <t>开仓</t>
        </is>
      </c>
      <c r="G4241" t="n">
        <v>8</v>
      </c>
      <c r="H4241" t="n">
        <v>7925</v>
      </c>
      <c r="I4241" t="n">
        <v>8593.57</v>
      </c>
      <c r="J4241" t="n">
        <v>3</v>
      </c>
      <c r="K4241" t="inlineStr">
        <is>
          <t>¼凯利超上限，取3%</t>
        </is>
      </c>
    </row>
    <row r="4242">
      <c r="A4242" t="inlineStr">
        <is>
          <t>2025-05-21</t>
        </is>
      </c>
      <c r="B4242" t="inlineStr">
        <is>
          <t>沪铝</t>
        </is>
      </c>
      <c r="C4242" t="inlineStr">
        <is>
          <t>多</t>
        </is>
      </c>
      <c r="D4242" t="n">
        <v>2</v>
      </c>
      <c r="E4242" t="n">
        <v>5</v>
      </c>
      <c r="F4242" t="inlineStr">
        <is>
          <t>影子仓</t>
        </is>
      </c>
      <c r="G4242" t="n">
        <v>2</v>
      </c>
      <c r="H4242" t="n">
        <v>20190</v>
      </c>
      <c r="I4242" t="n">
        <v>19498.93</v>
      </c>
      <c r="J4242" t="n">
        <v>1</v>
      </c>
      <c r="K4242" t="inlineStr">
        <is>
          <t>凯利≤0，开1%影子仓（只统计，不计入组合）</t>
        </is>
      </c>
    </row>
    <row r="4243">
      <c r="A4243" t="inlineStr">
        <is>
          <t>2025-05-21</t>
        </is>
      </c>
      <c r="B4243" t="inlineStr">
        <is>
          <t>纯碱</t>
        </is>
      </c>
      <c r="C4243" t="inlineStr">
        <is>
          <t>空</t>
        </is>
      </c>
      <c r="D4243" t="n">
        <v>2</v>
      </c>
      <c r="E4243" t="n">
        <v>5</v>
      </c>
      <c r="F4243" t="inlineStr">
        <is>
          <t>续持</t>
        </is>
      </c>
      <c r="G4243" t="n">
        <v>13</v>
      </c>
      <c r="H4243" t="n">
        <v>1288</v>
      </c>
      <c r="I4243" t="n">
        <v>1376.21</v>
      </c>
      <c r="J4243" t="n">
        <v>3</v>
      </c>
      <c r="K4243" t="inlineStr">
        <is>
          <t>续持原仓（2025-05-20开）</t>
        </is>
      </c>
    </row>
    <row r="4244">
      <c r="A4244" t="inlineStr">
        <is>
          <t>2025-05-21</t>
        </is>
      </c>
      <c r="B4244" t="inlineStr">
        <is>
          <t>螺纹钢</t>
        </is>
      </c>
      <c r="C4244" t="inlineStr">
        <is>
          <t>空</t>
        </is>
      </c>
      <c r="D4244" t="n">
        <v>2</v>
      </c>
      <c r="E4244" t="n">
        <v>4</v>
      </c>
      <c r="F4244" t="inlineStr">
        <is>
          <t>影子仓</t>
        </is>
      </c>
      <c r="G4244" t="n">
        <v>7</v>
      </c>
      <c r="H4244" t="n">
        <v>3061</v>
      </c>
      <c r="I4244" t="n">
        <v>3189.14</v>
      </c>
      <c r="J4244" t="n">
        <v>1</v>
      </c>
      <c r="K4244" t="inlineStr">
        <is>
          <t>凯利≤0，开1%影子仓（只统计，不计入组合）</t>
        </is>
      </c>
    </row>
    <row r="4245">
      <c r="A4245" t="inlineStr">
        <is>
          <t>2025-05-22</t>
        </is>
      </c>
      <c r="B4245" t="inlineStr">
        <is>
          <t>玻璃</t>
        </is>
      </c>
      <c r="C4245" t="inlineStr">
        <is>
          <t>空</t>
        </is>
      </c>
      <c r="D4245" t="n">
        <v>3</v>
      </c>
      <c r="E4245" t="n">
        <v>7</v>
      </c>
      <c r="F4245" t="inlineStr">
        <is>
          <t>开仓</t>
        </is>
      </c>
      <c r="G4245" t="n">
        <v>5</v>
      </c>
      <c r="H4245" t="n">
        <v>1018</v>
      </c>
      <c r="I4245" t="n">
        <v>1102</v>
      </c>
      <c r="J4245" t="n">
        <v>1</v>
      </c>
      <c r="K4245" t="inlineStr">
        <is>
          <t>组合风险已近10%，预算缩小</t>
        </is>
      </c>
    </row>
    <row r="4246">
      <c r="A4246" t="inlineStr">
        <is>
          <t>2025-05-22</t>
        </is>
      </c>
      <c r="B4246" t="inlineStr">
        <is>
          <t>塑料</t>
        </is>
      </c>
      <c r="C4246" t="inlineStr">
        <is>
          <t>空</t>
        </is>
      </c>
      <c r="D4246" t="n">
        <v>3</v>
      </c>
      <c r="E4246" t="n">
        <v>7</v>
      </c>
      <c r="F4246" t="inlineStr">
        <is>
          <t>不做</t>
        </is>
      </c>
      <c r="H4246" t="n">
        <v>7159</v>
      </c>
      <c r="J4246" t="n">
        <v>0</v>
      </c>
      <c r="K4246" t="inlineStr">
        <is>
          <t>与聚丙烯高度相关（同组≤3%），预算缩小</t>
        </is>
      </c>
    </row>
    <row r="4247">
      <c r="A4247" t="inlineStr">
        <is>
          <t>2025-05-22</t>
        </is>
      </c>
      <c r="B4247" t="inlineStr">
        <is>
          <t>棉花</t>
        </is>
      </c>
      <c r="C4247" t="inlineStr">
        <is>
          <t>多</t>
        </is>
      </c>
      <c r="D4247" t="n">
        <v>3</v>
      </c>
      <c r="E4247" t="n">
        <v>6</v>
      </c>
      <c r="F4247" t="inlineStr">
        <is>
          <t>不做</t>
        </is>
      </c>
      <c r="H4247" t="n">
        <v>13430</v>
      </c>
      <c r="J4247" t="n">
        <v>0</v>
      </c>
      <c r="K4247" t="inlineStr">
        <is>
          <t>组合风险已近10%，预算缩小</t>
        </is>
      </c>
    </row>
    <row r="4248">
      <c r="A4248" t="inlineStr">
        <is>
          <t>2025-05-22</t>
        </is>
      </c>
      <c r="B4248" t="inlineStr">
        <is>
          <t>聚丙烯</t>
        </is>
      </c>
      <c r="C4248" t="inlineStr">
        <is>
          <t>空</t>
        </is>
      </c>
      <c r="D4248" t="n">
        <v>3</v>
      </c>
      <c r="E4248" t="n">
        <v>6</v>
      </c>
      <c r="F4248" t="inlineStr">
        <is>
          <t>续持</t>
        </is>
      </c>
      <c r="G4248" t="n">
        <v>28</v>
      </c>
      <c r="H4248" t="n">
        <v>7001</v>
      </c>
      <c r="I4248" t="n">
        <v>7203.43</v>
      </c>
      <c r="J4248" t="n">
        <v>3</v>
      </c>
      <c r="K4248" t="inlineStr">
        <is>
          <t>续持原仓（2025-05-20开）</t>
        </is>
      </c>
    </row>
    <row r="4249">
      <c r="A4249" t="inlineStr">
        <is>
          <t>2025-05-22</t>
        </is>
      </c>
      <c r="B4249" t="inlineStr">
        <is>
          <t>工业硅</t>
        </is>
      </c>
      <c r="C4249" t="inlineStr">
        <is>
          <t>空</t>
        </is>
      </c>
      <c r="D4249" t="n">
        <v>2</v>
      </c>
      <c r="E4249" t="n">
        <v>5</v>
      </c>
      <c r="F4249" t="inlineStr">
        <is>
          <t>续持</t>
        </is>
      </c>
      <c r="G4249" t="n">
        <v>8</v>
      </c>
      <c r="H4249" t="n">
        <v>7950</v>
      </c>
      <c r="I4249" t="n">
        <v>8546.43</v>
      </c>
      <c r="J4249" t="n">
        <v>3</v>
      </c>
      <c r="K4249" t="inlineStr">
        <is>
          <t>续持原仓（2025-05-21开）</t>
        </is>
      </c>
    </row>
    <row r="4250">
      <c r="A4250" t="inlineStr">
        <is>
          <t>2025-05-22</t>
        </is>
      </c>
      <c r="B4250" t="inlineStr">
        <is>
          <t>螺纹钢</t>
        </is>
      </c>
      <c r="C4250" t="inlineStr">
        <is>
          <t>空</t>
        </is>
      </c>
      <c r="D4250" t="n">
        <v>2</v>
      </c>
      <c r="E4250" t="n">
        <v>4</v>
      </c>
      <c r="F4250" t="inlineStr">
        <is>
          <t>续持</t>
        </is>
      </c>
      <c r="G4250" t="n">
        <v>7</v>
      </c>
      <c r="H4250" t="n">
        <v>3061</v>
      </c>
      <c r="I4250" t="n">
        <v>3169.86</v>
      </c>
      <c r="J4250" t="n">
        <v>1</v>
      </c>
      <c r="K4250" t="inlineStr">
        <is>
          <t>续持原仓（2025-05-21开）</t>
        </is>
      </c>
    </row>
    <row r="4251">
      <c r="A4251" t="inlineStr">
        <is>
          <t>2025-05-23</t>
        </is>
      </c>
      <c r="B4251" t="inlineStr">
        <is>
          <t>玻璃</t>
        </is>
      </c>
      <c r="C4251" t="inlineStr">
        <is>
          <t>空</t>
        </is>
      </c>
      <c r="D4251" t="n">
        <v>3</v>
      </c>
      <c r="E4251" t="n">
        <v>7</v>
      </c>
      <c r="F4251" t="inlineStr">
        <is>
          <t>续持</t>
        </is>
      </c>
      <c r="G4251" t="n">
        <v>5</v>
      </c>
      <c r="H4251" t="n">
        <v>1000</v>
      </c>
      <c r="I4251" t="n">
        <v>1079</v>
      </c>
      <c r="J4251" t="n">
        <v>1</v>
      </c>
      <c r="K4251" t="inlineStr">
        <is>
          <t>续持原仓（2025-05-22开）</t>
        </is>
      </c>
    </row>
    <row r="4252">
      <c r="A4252" t="inlineStr">
        <is>
          <t>2025-05-23</t>
        </is>
      </c>
      <c r="B4252" t="inlineStr">
        <is>
          <t>碳酸锂</t>
        </is>
      </c>
      <c r="C4252" t="inlineStr">
        <is>
          <t>空</t>
        </is>
      </c>
      <c r="D4252" t="n">
        <v>3</v>
      </c>
      <c r="E4252" t="n">
        <v>7</v>
      </c>
      <c r="F4252" t="inlineStr">
        <is>
          <t>开仓</t>
        </is>
      </c>
      <c r="G4252" t="n">
        <v>6</v>
      </c>
      <c r="H4252" t="n">
        <v>60960</v>
      </c>
      <c r="I4252" t="n">
        <v>65948.57000000001</v>
      </c>
      <c r="J4252" t="n">
        <v>3</v>
      </c>
      <c r="K4252" t="inlineStr">
        <is>
          <t>¼凯利超上限，取3%</t>
        </is>
      </c>
    </row>
    <row r="4253">
      <c r="A4253" t="inlineStr">
        <is>
          <t>2025-05-23</t>
        </is>
      </c>
      <c r="B4253" t="inlineStr">
        <is>
          <t>纯碱</t>
        </is>
      </c>
      <c r="C4253" t="inlineStr">
        <is>
          <t>空</t>
        </is>
      </c>
      <c r="D4253" t="n">
        <v>3</v>
      </c>
      <c r="E4253" t="n">
        <v>6</v>
      </c>
      <c r="F4253" t="inlineStr">
        <is>
          <t>续持</t>
        </is>
      </c>
      <c r="G4253" t="n">
        <v>13</v>
      </c>
      <c r="H4253" t="n">
        <v>1253</v>
      </c>
      <c r="I4253" t="n">
        <v>1359.93</v>
      </c>
      <c r="J4253" t="n">
        <v>3</v>
      </c>
      <c r="K4253" t="inlineStr">
        <is>
          <t>续持原仓（2025-05-20开）</t>
        </is>
      </c>
    </row>
    <row r="4254">
      <c r="A4254" t="inlineStr">
        <is>
          <t>2025-05-23</t>
        </is>
      </c>
      <c r="B4254" t="inlineStr">
        <is>
          <t>塑料</t>
        </is>
      </c>
      <c r="C4254" t="inlineStr">
        <is>
          <t>空</t>
        </is>
      </c>
      <c r="D4254" t="n">
        <v>3</v>
      </c>
      <c r="E4254" t="n">
        <v>6</v>
      </c>
      <c r="F4254" t="inlineStr">
        <is>
          <t>开仓</t>
        </is>
      </c>
      <c r="G4254" t="n">
        <v>21</v>
      </c>
      <c r="H4254" t="n">
        <v>7085</v>
      </c>
      <c r="I4254" t="n">
        <v>7358.21</v>
      </c>
      <c r="J4254" t="n">
        <v>3</v>
      </c>
      <c r="K4254" t="inlineStr">
        <is>
          <t>¼凯利超上限，取3%</t>
        </is>
      </c>
    </row>
    <row r="4255">
      <c r="A4255" t="inlineStr">
        <is>
          <t>2025-05-23</t>
        </is>
      </c>
      <c r="B4255" t="inlineStr">
        <is>
          <t>螺纹钢</t>
        </is>
      </c>
      <c r="C4255" t="inlineStr">
        <is>
          <t>空</t>
        </is>
      </c>
      <c r="D4255" t="n">
        <v>3</v>
      </c>
      <c r="E4255" t="n">
        <v>6</v>
      </c>
      <c r="F4255" t="inlineStr">
        <is>
          <t>续持</t>
        </is>
      </c>
      <c r="G4255" t="n">
        <v>7</v>
      </c>
      <c r="H4255" t="n">
        <v>3046</v>
      </c>
      <c r="I4255" t="n">
        <v>3169.86</v>
      </c>
      <c r="J4255" t="n">
        <v>1</v>
      </c>
      <c r="K4255" t="inlineStr">
        <is>
          <t>续持原仓（2025-05-21开）</t>
        </is>
      </c>
    </row>
    <row r="4256">
      <c r="A4256" t="inlineStr">
        <is>
          <t>2025-05-23</t>
        </is>
      </c>
      <c r="B4256" t="inlineStr">
        <is>
          <t>棉花</t>
        </is>
      </c>
      <c r="C4256" t="inlineStr">
        <is>
          <t>多</t>
        </is>
      </c>
      <c r="D4256" t="n">
        <v>2</v>
      </c>
      <c r="E4256" t="n">
        <v>5</v>
      </c>
      <c r="F4256" t="inlineStr">
        <is>
          <t>观望</t>
        </is>
      </c>
      <c r="G4256" t="n">
        <v>4</v>
      </c>
      <c r="H4256" t="n">
        <v>13410</v>
      </c>
      <c r="I4256" t="n">
        <v>12933.21</v>
      </c>
      <c r="J4256" t="n">
        <v>1</v>
      </c>
      <c r="K4256" t="inlineStr">
        <is>
          <t>逆5日线（收盘在5日线下，不追多）</t>
        </is>
      </c>
    </row>
    <row r="4257">
      <c r="A4257" t="inlineStr">
        <is>
          <t>2025-05-26</t>
        </is>
      </c>
      <c r="B4257" t="inlineStr">
        <is>
          <t>工业硅</t>
        </is>
      </c>
      <c r="C4257" t="inlineStr">
        <is>
          <t>空</t>
        </is>
      </c>
      <c r="D4257" t="n">
        <v>3</v>
      </c>
      <c r="E4257" t="n">
        <v>7</v>
      </c>
      <c r="F4257" t="inlineStr">
        <is>
          <t>开仓</t>
        </is>
      </c>
      <c r="G4257" t="n">
        <v>9</v>
      </c>
      <c r="H4257" t="n">
        <v>7675</v>
      </c>
      <c r="I4257" t="n">
        <v>8327.5</v>
      </c>
      <c r="J4257" t="n">
        <v>3</v>
      </c>
      <c r="K4257" t="inlineStr">
        <is>
          <t>¼凯利超上限，取3%</t>
        </is>
      </c>
    </row>
    <row r="4258">
      <c r="A4258" t="inlineStr">
        <is>
          <t>2025-05-26</t>
        </is>
      </c>
      <c r="B4258" t="inlineStr">
        <is>
          <t>棉花</t>
        </is>
      </c>
      <c r="C4258" t="inlineStr">
        <is>
          <t>多</t>
        </is>
      </c>
      <c r="D4258" t="n">
        <v>3</v>
      </c>
      <c r="E4258" t="n">
        <v>6</v>
      </c>
      <c r="F4258" t="inlineStr">
        <is>
          <t>观望</t>
        </is>
      </c>
      <c r="G4258" t="n">
        <v>13</v>
      </c>
      <c r="H4258" t="n">
        <v>13385</v>
      </c>
      <c r="I4258" t="n">
        <v>12932.86</v>
      </c>
      <c r="J4258" t="n">
        <v>3</v>
      </c>
      <c r="K4258" t="inlineStr">
        <is>
          <t>逆5日线（收盘在5日线下，不追多）</t>
        </is>
      </c>
    </row>
    <row r="4259">
      <c r="A4259" t="inlineStr">
        <is>
          <t>2025-05-26</t>
        </is>
      </c>
      <c r="B4259" t="inlineStr">
        <is>
          <t>聚丙烯</t>
        </is>
      </c>
      <c r="C4259" t="inlineStr">
        <is>
          <t>空</t>
        </is>
      </c>
      <c r="D4259" t="n">
        <v>3</v>
      </c>
      <c r="E4259" t="n">
        <v>6</v>
      </c>
      <c r="F4259" t="inlineStr">
        <is>
          <t>开仓</t>
        </is>
      </c>
      <c r="G4259" t="n">
        <v>28</v>
      </c>
      <c r="H4259" t="n">
        <v>6929</v>
      </c>
      <c r="I4259" t="n">
        <v>7142.86</v>
      </c>
      <c r="J4259" t="n">
        <v>3</v>
      </c>
      <c r="K4259" t="inlineStr">
        <is>
          <t>¼凯利超上限，取3%</t>
        </is>
      </c>
    </row>
    <row r="4260">
      <c r="A4260" t="inlineStr">
        <is>
          <t>2025-05-26</t>
        </is>
      </c>
      <c r="B4260" t="inlineStr">
        <is>
          <t>棕榈油</t>
        </is>
      </c>
      <c r="C4260" t="inlineStr">
        <is>
          <t>空</t>
        </is>
      </c>
      <c r="D4260" t="n">
        <v>3</v>
      </c>
      <c r="E4260" t="n">
        <v>6</v>
      </c>
      <c r="F4260" t="inlineStr">
        <is>
          <t>开仓</t>
        </is>
      </c>
      <c r="G4260" t="n">
        <v>7</v>
      </c>
      <c r="H4260" t="n">
        <v>7954</v>
      </c>
      <c r="I4260" t="n">
        <v>8335.43</v>
      </c>
      <c r="J4260" t="n">
        <v>3</v>
      </c>
      <c r="K4260" t="inlineStr">
        <is>
          <t>¼凯利超上限，取3%</t>
        </is>
      </c>
    </row>
    <row r="4261">
      <c r="A4261" t="inlineStr">
        <is>
          <t>2025-05-26</t>
        </is>
      </c>
      <c r="B4261" t="inlineStr">
        <is>
          <t>PTA</t>
        </is>
      </c>
      <c r="C4261" t="inlineStr">
        <is>
          <t>空</t>
        </is>
      </c>
      <c r="D4261" t="n">
        <v>2</v>
      </c>
      <c r="E4261" t="n">
        <v>4</v>
      </c>
      <c r="F4261" t="inlineStr">
        <is>
          <t>影子仓</t>
        </is>
      </c>
      <c r="G4261" t="n">
        <v>6</v>
      </c>
      <c r="H4261" t="n">
        <v>4724</v>
      </c>
      <c r="I4261" t="n">
        <v>5035.14</v>
      </c>
      <c r="J4261" t="n">
        <v>1</v>
      </c>
      <c r="K4261" t="inlineStr">
        <is>
          <t>凯利≤0，开1%影子仓（只统计，不计入组合）</t>
        </is>
      </c>
    </row>
    <row r="4262">
      <c r="A4262" t="inlineStr">
        <is>
          <t>2025-05-26</t>
        </is>
      </c>
      <c r="B4262" t="inlineStr">
        <is>
          <t>菜粕</t>
        </is>
      </c>
      <c r="C4262" t="inlineStr">
        <is>
          <t>多</t>
        </is>
      </c>
      <c r="D4262" t="n">
        <v>2</v>
      </c>
      <c r="E4262" t="n">
        <v>4</v>
      </c>
      <c r="F4262" t="inlineStr">
        <is>
          <t>影子仓</t>
        </is>
      </c>
      <c r="G4262" t="n">
        <v>6</v>
      </c>
      <c r="H4262" t="n">
        <v>2566</v>
      </c>
      <c r="I4262" t="n">
        <v>2420.5</v>
      </c>
      <c r="J4262" t="n">
        <v>1</v>
      </c>
      <c r="K4262" t="inlineStr">
        <is>
          <t>凯利≤0，开1%影子仓（只统计，不计入组合）</t>
        </is>
      </c>
    </row>
    <row r="4263">
      <c r="A4263" t="inlineStr">
        <is>
          <t>2025-05-27</t>
        </is>
      </c>
      <c r="B4263" t="inlineStr">
        <is>
          <t>纯碱</t>
        </is>
      </c>
      <c r="C4263" t="inlineStr">
        <is>
          <t>空</t>
        </is>
      </c>
      <c r="D4263" t="n">
        <v>3</v>
      </c>
      <c r="E4263" t="n">
        <v>7</v>
      </c>
      <c r="F4263" t="inlineStr">
        <is>
          <t>开仓</t>
        </is>
      </c>
      <c r="G4263" t="n">
        <v>14</v>
      </c>
      <c r="H4263" t="n">
        <v>1231</v>
      </c>
      <c r="I4263" t="n">
        <v>1331.71</v>
      </c>
      <c r="J4263" t="n">
        <v>3</v>
      </c>
      <c r="K4263" t="inlineStr">
        <is>
          <t>¼凯利超上限，取3%</t>
        </is>
      </c>
    </row>
    <row r="4264">
      <c r="A4264" t="inlineStr">
        <is>
          <t>2025-05-27</t>
        </is>
      </c>
      <c r="B4264" t="inlineStr">
        <is>
          <t>棉花</t>
        </is>
      </c>
      <c r="C4264" t="inlineStr">
        <is>
          <t>多</t>
        </is>
      </c>
      <c r="D4264" t="n">
        <v>3</v>
      </c>
      <c r="E4264" t="n">
        <v>6</v>
      </c>
      <c r="F4264" t="inlineStr">
        <is>
          <t>观望</t>
        </is>
      </c>
      <c r="H4264" t="n">
        <v>13330</v>
      </c>
      <c r="J4264" t="n">
        <v>0</v>
      </c>
      <c r="K4264" t="inlineStr">
        <is>
          <t>逆5日线（收盘在5日线下，不追多）</t>
        </is>
      </c>
    </row>
    <row r="4265">
      <c r="A4265" t="inlineStr">
        <is>
          <t>2025-05-27</t>
        </is>
      </c>
      <c r="B4265" t="inlineStr">
        <is>
          <t>螺纹钢</t>
        </is>
      </c>
      <c r="C4265" t="inlineStr">
        <is>
          <t>空</t>
        </is>
      </c>
      <c r="D4265" t="n">
        <v>3</v>
      </c>
      <c r="E4265" t="n">
        <v>6</v>
      </c>
      <c r="F4265" t="inlineStr">
        <is>
          <t>不做</t>
        </is>
      </c>
      <c r="H4265" t="n">
        <v>2980</v>
      </c>
      <c r="J4265" t="n">
        <v>0</v>
      </c>
      <c r="K4265" t="inlineStr">
        <is>
          <t>组合风险已近10%，预算缩小</t>
        </is>
      </c>
    </row>
    <row r="4266">
      <c r="A4266" t="inlineStr">
        <is>
          <t>2025-05-27</t>
        </is>
      </c>
      <c r="B4266" t="inlineStr">
        <is>
          <t>硅铁</t>
        </is>
      </c>
      <c r="C4266" t="inlineStr">
        <is>
          <t>空</t>
        </is>
      </c>
      <c r="D4266" t="n">
        <v>3</v>
      </c>
      <c r="E4266" t="n">
        <v>6</v>
      </c>
      <c r="F4266" t="inlineStr">
        <is>
          <t>不做</t>
        </is>
      </c>
      <c r="H4266" t="n">
        <v>5452</v>
      </c>
      <c r="J4266" t="n">
        <v>0</v>
      </c>
      <c r="K4266" t="inlineStr">
        <is>
          <t>组合风险已近10%，预算缩小</t>
        </is>
      </c>
    </row>
    <row r="4267">
      <c r="A4267" t="inlineStr">
        <is>
          <t>2025-05-27</t>
        </is>
      </c>
      <c r="B4267" t="inlineStr">
        <is>
          <t>聚丙烯</t>
        </is>
      </c>
      <c r="C4267" t="inlineStr">
        <is>
          <t>空</t>
        </is>
      </c>
      <c r="D4267" t="n">
        <v>3</v>
      </c>
      <c r="E4267" t="n">
        <v>6</v>
      </c>
      <c r="F4267" t="inlineStr">
        <is>
          <t>续持</t>
        </is>
      </c>
      <c r="G4267" t="n">
        <v>28</v>
      </c>
      <c r="H4267" t="n">
        <v>6896</v>
      </c>
      <c r="I4267" t="n">
        <v>7075.36</v>
      </c>
      <c r="J4267" t="n">
        <v>3</v>
      </c>
      <c r="K4267" t="inlineStr">
        <is>
          <t>续持原仓（2025-05-26开）</t>
        </is>
      </c>
    </row>
    <row r="4268">
      <c r="A4268" t="inlineStr">
        <is>
          <t>2025-05-27</t>
        </is>
      </c>
      <c r="B4268" t="inlineStr">
        <is>
          <t>锰硅</t>
        </is>
      </c>
      <c r="C4268" t="inlineStr">
        <is>
          <t>空</t>
        </is>
      </c>
      <c r="D4268" t="n">
        <v>2</v>
      </c>
      <c r="E4268" t="n">
        <v>4</v>
      </c>
      <c r="F4268" t="inlineStr">
        <is>
          <t>影子仓</t>
        </is>
      </c>
      <c r="G4268" t="n">
        <v>5</v>
      </c>
      <c r="H4268" t="n">
        <v>5616</v>
      </c>
      <c r="I4268" t="n">
        <v>6009.43</v>
      </c>
      <c r="J4268" t="n">
        <v>1</v>
      </c>
      <c r="K4268" t="inlineStr">
        <is>
          <t>凯利≤0，开1%影子仓（只统计，不计入组合）</t>
        </is>
      </c>
    </row>
    <row r="4269">
      <c r="A4269" t="inlineStr">
        <is>
          <t>2025-05-27</t>
        </is>
      </c>
      <c r="B4269" t="inlineStr">
        <is>
          <t>菜粕</t>
        </is>
      </c>
      <c r="C4269" t="inlineStr">
        <is>
          <t>多</t>
        </is>
      </c>
      <c r="D4269" t="n">
        <v>2</v>
      </c>
      <c r="E4269" t="n">
        <v>4</v>
      </c>
      <c r="F4269" t="inlineStr">
        <is>
          <t>续持</t>
        </is>
      </c>
      <c r="G4269" t="n">
        <v>6</v>
      </c>
      <c r="H4269" t="n">
        <v>2599</v>
      </c>
      <c r="I4269" t="n">
        <v>2461.43</v>
      </c>
      <c r="J4269" t="n">
        <v>1</v>
      </c>
      <c r="K4269" t="inlineStr">
        <is>
          <t>续持原仓（2025-05-26开）</t>
        </is>
      </c>
    </row>
    <row r="4270">
      <c r="A4270" t="inlineStr">
        <is>
          <t>2025-05-27</t>
        </is>
      </c>
      <c r="B4270" t="inlineStr">
        <is>
          <t>沪铝</t>
        </is>
      </c>
      <c r="C4270" t="inlineStr">
        <is>
          <t>多</t>
        </is>
      </c>
      <c r="D4270" t="n">
        <v>2</v>
      </c>
      <c r="E4270" t="n">
        <v>4</v>
      </c>
      <c r="F4270" t="inlineStr">
        <is>
          <t>观望</t>
        </is>
      </c>
      <c r="G4270" t="n">
        <v>3</v>
      </c>
      <c r="H4270" t="n">
        <v>20040</v>
      </c>
      <c r="I4270" t="n">
        <v>19428.21</v>
      </c>
      <c r="J4270" t="n">
        <v>1</v>
      </c>
      <c r="K4270" t="inlineStr">
        <is>
          <t>逆5日线（收盘在5日线下，不追多）</t>
        </is>
      </c>
    </row>
    <row r="4271">
      <c r="A4271" t="inlineStr">
        <is>
          <t>2025-05-28</t>
        </is>
      </c>
      <c r="B4271" t="inlineStr">
        <is>
          <t>焦煤</t>
        </is>
      </c>
      <c r="C4271" t="inlineStr">
        <is>
          <t>空</t>
        </is>
      </c>
      <c r="D4271" t="n">
        <v>3</v>
      </c>
      <c r="E4271" t="n">
        <v>7</v>
      </c>
      <c r="F4271" t="inlineStr">
        <is>
          <t>开仓</t>
        </is>
      </c>
      <c r="G4271" t="n">
        <v>6</v>
      </c>
      <c r="H4271" t="n">
        <v>779</v>
      </c>
      <c r="I4271" t="n">
        <v>853.5700000000001</v>
      </c>
      <c r="J4271" t="n">
        <v>3</v>
      </c>
      <c r="K4271" t="inlineStr">
        <is>
          <t>¼凯利超上限，取3%</t>
        </is>
      </c>
    </row>
    <row r="4272">
      <c r="A4272" t="inlineStr">
        <is>
          <t>2025-05-28</t>
        </is>
      </c>
      <c r="B4272" t="inlineStr">
        <is>
          <t>PVC</t>
        </is>
      </c>
      <c r="C4272" t="inlineStr">
        <is>
          <t>空</t>
        </is>
      </c>
      <c r="D4272" t="n">
        <v>3</v>
      </c>
      <c r="E4272" t="n">
        <v>7</v>
      </c>
      <c r="F4272" t="inlineStr">
        <is>
          <t>不做</t>
        </is>
      </c>
      <c r="H4272" t="n">
        <v>4758</v>
      </c>
      <c r="J4272" t="n">
        <v>0</v>
      </c>
      <c r="K4272" t="inlineStr">
        <is>
          <t>组合风险已近10%，预算缩小</t>
        </is>
      </c>
    </row>
    <row r="4273">
      <c r="A4273" t="inlineStr">
        <is>
          <t>2025-05-28</t>
        </is>
      </c>
      <c r="B4273" t="inlineStr">
        <is>
          <t>工业硅</t>
        </is>
      </c>
      <c r="C4273" t="inlineStr">
        <is>
          <t>空</t>
        </is>
      </c>
      <c r="D4273" t="n">
        <v>3</v>
      </c>
      <c r="E4273" t="n">
        <v>7</v>
      </c>
      <c r="F4273" t="inlineStr">
        <is>
          <t>不做</t>
        </is>
      </c>
      <c r="H4273" t="n">
        <v>7385</v>
      </c>
      <c r="J4273" t="n">
        <v>0</v>
      </c>
      <c r="K4273" t="inlineStr">
        <is>
          <t>组合风险已近10%，预算缩小</t>
        </is>
      </c>
    </row>
    <row r="4274">
      <c r="A4274" t="inlineStr">
        <is>
          <t>2025-05-28</t>
        </is>
      </c>
      <c r="B4274" t="inlineStr">
        <is>
          <t>纯碱</t>
        </is>
      </c>
      <c r="C4274" t="inlineStr">
        <is>
          <t>空</t>
        </is>
      </c>
      <c r="D4274" t="n">
        <v>3</v>
      </c>
      <c r="E4274" t="n">
        <v>6</v>
      </c>
      <c r="F4274" t="inlineStr">
        <is>
          <t>续持</t>
        </is>
      </c>
      <c r="G4274" t="n">
        <v>14</v>
      </c>
      <c r="H4274" t="n">
        <v>1215</v>
      </c>
      <c r="I4274" t="n">
        <v>1307.86</v>
      </c>
      <c r="J4274" t="n">
        <v>3</v>
      </c>
      <c r="K4274" t="inlineStr">
        <is>
          <t>续持原仓（2025-05-27开）</t>
        </is>
      </c>
    </row>
    <row r="4275">
      <c r="A4275" t="inlineStr">
        <is>
          <t>2025-05-28</t>
        </is>
      </c>
      <c r="B4275" t="inlineStr">
        <is>
          <t>沪锌</t>
        </is>
      </c>
      <c r="C4275" t="inlineStr">
        <is>
          <t>空</t>
        </is>
      </c>
      <c r="D4275" t="n">
        <v>3</v>
      </c>
      <c r="E4275" t="n">
        <v>6</v>
      </c>
      <c r="F4275" t="inlineStr">
        <is>
          <t>不做</t>
        </is>
      </c>
      <c r="H4275" t="n">
        <v>22210</v>
      </c>
      <c r="J4275" t="n">
        <v>0</v>
      </c>
      <c r="K4275" t="inlineStr">
        <is>
          <t>组合风险已近10%，预算缩小</t>
        </is>
      </c>
    </row>
    <row r="4276">
      <c r="A4276" t="inlineStr">
        <is>
          <t>2025-05-28</t>
        </is>
      </c>
      <c r="B4276" t="inlineStr">
        <is>
          <t>棉花</t>
        </is>
      </c>
      <c r="C4276" t="inlineStr">
        <is>
          <t>多</t>
        </is>
      </c>
      <c r="D4276" t="n">
        <v>2</v>
      </c>
      <c r="E4276" t="n">
        <v>5</v>
      </c>
      <c r="F4276" t="inlineStr">
        <is>
          <t>观望</t>
        </is>
      </c>
      <c r="G4276" t="n">
        <v>4</v>
      </c>
      <c r="H4276" t="n">
        <v>13330</v>
      </c>
      <c r="I4276" t="n">
        <v>12927.14</v>
      </c>
      <c r="J4276" t="n">
        <v>1</v>
      </c>
      <c r="K4276" t="inlineStr">
        <is>
          <t>逆5日线（收盘在5日线下，不追多）</t>
        </is>
      </c>
    </row>
    <row r="4277">
      <c r="A4277" t="inlineStr">
        <is>
          <t>2025-05-29</t>
        </is>
      </c>
      <c r="B4277" t="inlineStr">
        <is>
          <t>焦煤</t>
        </is>
      </c>
      <c r="C4277" t="inlineStr">
        <is>
          <t>空</t>
        </is>
      </c>
      <c r="D4277" t="n">
        <v>3</v>
      </c>
      <c r="E4277" t="n">
        <v>7</v>
      </c>
      <c r="F4277" t="inlineStr">
        <is>
          <t>续持</t>
        </is>
      </c>
      <c r="G4277" t="n">
        <v>6</v>
      </c>
      <c r="H4277" t="n">
        <v>759</v>
      </c>
      <c r="I4277" t="n">
        <v>832.75</v>
      </c>
      <c r="J4277" t="n">
        <v>3</v>
      </c>
      <c r="K4277" t="inlineStr">
        <is>
          <t>续持原仓（2025-05-28开）</t>
        </is>
      </c>
    </row>
    <row r="4278">
      <c r="A4278" t="inlineStr">
        <is>
          <t>2025-05-29</t>
        </is>
      </c>
      <c r="B4278" t="inlineStr">
        <is>
          <t>碳酸锂</t>
        </is>
      </c>
      <c r="C4278" t="inlineStr">
        <is>
          <t>空</t>
        </is>
      </c>
      <c r="D4278" t="n">
        <v>3</v>
      </c>
      <c r="E4278" t="n">
        <v>7</v>
      </c>
      <c r="F4278" t="inlineStr">
        <is>
          <t>开仓</t>
        </is>
      </c>
      <c r="G4278" t="n">
        <v>6</v>
      </c>
      <c r="H4278" t="n">
        <v>58860</v>
      </c>
      <c r="I4278" t="n">
        <v>63737.14</v>
      </c>
      <c r="J4278" t="n">
        <v>3</v>
      </c>
      <c r="K4278" t="inlineStr">
        <is>
          <t>¼凯利超上限，取3%</t>
        </is>
      </c>
    </row>
    <row r="4279">
      <c r="A4279" t="inlineStr">
        <is>
          <t>2025-05-29</t>
        </is>
      </c>
      <c r="B4279" t="inlineStr">
        <is>
          <t>工业硅</t>
        </is>
      </c>
      <c r="C4279" t="inlineStr">
        <is>
          <t>空</t>
        </is>
      </c>
      <c r="D4279" t="n">
        <v>3</v>
      </c>
      <c r="E4279" t="n">
        <v>7</v>
      </c>
      <c r="F4279" t="inlineStr">
        <is>
          <t>不做</t>
        </is>
      </c>
      <c r="H4279" t="n">
        <v>7265</v>
      </c>
      <c r="J4279" t="n">
        <v>0</v>
      </c>
      <c r="K4279" t="inlineStr">
        <is>
          <t>组合风险已近10%，预算缩小</t>
        </is>
      </c>
    </row>
    <row r="4280">
      <c r="A4280" t="inlineStr">
        <is>
          <t>2025-05-29</t>
        </is>
      </c>
      <c r="B4280" t="inlineStr">
        <is>
          <t>沪铝</t>
        </is>
      </c>
      <c r="C4280" t="inlineStr">
        <is>
          <t>多</t>
        </is>
      </c>
      <c r="D4280" t="n">
        <v>3</v>
      </c>
      <c r="E4280" t="n">
        <v>6</v>
      </c>
      <c r="F4280" t="inlineStr">
        <is>
          <t>不做</t>
        </is>
      </c>
      <c r="H4280" t="n">
        <v>20200</v>
      </c>
      <c r="J4280" t="n">
        <v>0</v>
      </c>
      <c r="K4280" t="inlineStr">
        <is>
          <t>组合风险已近10%，预算缩小</t>
        </is>
      </c>
    </row>
    <row r="4281">
      <c r="A4281" t="inlineStr">
        <is>
          <t>2025-05-29</t>
        </is>
      </c>
      <c r="B4281" t="inlineStr">
        <is>
          <t>PVC</t>
        </is>
      </c>
      <c r="C4281" t="inlineStr">
        <is>
          <t>空</t>
        </is>
      </c>
      <c r="D4281" t="n">
        <v>3</v>
      </c>
      <c r="E4281" t="n">
        <v>6</v>
      </c>
      <c r="F4281" t="inlineStr">
        <is>
          <t>不做</t>
        </is>
      </c>
      <c r="H4281" t="n">
        <v>4744</v>
      </c>
      <c r="J4281" t="n">
        <v>0</v>
      </c>
      <c r="K4281" t="inlineStr">
        <is>
          <t>组合风险已近10%，预算缩小</t>
        </is>
      </c>
    </row>
    <row r="4282">
      <c r="A4282" t="inlineStr">
        <is>
          <t>2025-05-29</t>
        </is>
      </c>
      <c r="B4282" t="inlineStr">
        <is>
          <t>菜粕</t>
        </is>
      </c>
      <c r="C4282" t="inlineStr">
        <is>
          <t>多</t>
        </is>
      </c>
      <c r="D4282" t="n">
        <v>3</v>
      </c>
      <c r="E4282" t="n">
        <v>6</v>
      </c>
      <c r="F4282" t="inlineStr">
        <is>
          <t>续持</t>
        </is>
      </c>
      <c r="G4282" t="n">
        <v>6</v>
      </c>
      <c r="H4282" t="n">
        <v>2618</v>
      </c>
      <c r="I4282" t="n">
        <v>2490.93</v>
      </c>
      <c r="J4282" t="n">
        <v>1</v>
      </c>
      <c r="K4282" t="inlineStr">
        <is>
          <t>续持原仓（2025-05-26开）</t>
        </is>
      </c>
    </row>
    <row r="4283">
      <c r="A4283" t="inlineStr">
        <is>
          <t>2025-05-29</t>
        </is>
      </c>
      <c r="B4283" t="inlineStr">
        <is>
          <t>螺纹钢</t>
        </is>
      </c>
      <c r="C4283" t="inlineStr">
        <is>
          <t>空</t>
        </is>
      </c>
      <c r="D4283" t="n">
        <v>2</v>
      </c>
      <c r="E4283" t="n">
        <v>5</v>
      </c>
      <c r="F4283" t="inlineStr">
        <is>
          <t>影子仓</t>
        </is>
      </c>
      <c r="G4283" t="n">
        <v>8</v>
      </c>
      <c r="H4283" t="n">
        <v>2978</v>
      </c>
      <c r="I4283" t="n">
        <v>3098</v>
      </c>
      <c r="J4283" t="n">
        <v>1</v>
      </c>
      <c r="K4283" t="inlineStr">
        <is>
          <t>凯利≤0，开1%影子仓（只统计，不计入组合）</t>
        </is>
      </c>
    </row>
    <row r="4284">
      <c r="A4284" t="inlineStr">
        <is>
          <t>2025-05-29</t>
        </is>
      </c>
      <c r="B4284" t="inlineStr">
        <is>
          <t>沪镍</t>
        </is>
      </c>
      <c r="C4284" t="inlineStr">
        <is>
          <t>多</t>
        </is>
      </c>
      <c r="D4284" t="n">
        <v>2</v>
      </c>
      <c r="E4284" t="n">
        <v>5</v>
      </c>
      <c r="F4284" t="inlineStr">
        <is>
          <t>观望</t>
        </is>
      </c>
      <c r="G4284" t="n">
        <v>1</v>
      </c>
      <c r="H4284" t="n">
        <v>120480</v>
      </c>
      <c r="I4284" t="n">
        <v>114962.14</v>
      </c>
      <c r="J4284" t="n">
        <v>1</v>
      </c>
      <c r="K4284" t="inlineStr">
        <is>
          <t>逆5日线（收盘在5日线下，不追多）</t>
        </is>
      </c>
    </row>
    <row r="4285">
      <c r="A4285" t="inlineStr">
        <is>
          <t>2025-05-29</t>
        </is>
      </c>
      <c r="B4285" t="inlineStr">
        <is>
          <t>棉花</t>
        </is>
      </c>
      <c r="C4285" t="inlineStr">
        <is>
          <t>多</t>
        </is>
      </c>
      <c r="D4285" t="n">
        <v>2</v>
      </c>
      <c r="E4285" t="n">
        <v>4</v>
      </c>
      <c r="F4285" t="inlineStr">
        <is>
          <t>观望</t>
        </is>
      </c>
      <c r="G4285" t="n">
        <v>4</v>
      </c>
      <c r="H4285" t="n">
        <v>13320</v>
      </c>
      <c r="I4285" t="n">
        <v>12909.64</v>
      </c>
      <c r="J4285" t="n">
        <v>1</v>
      </c>
      <c r="K4285" t="inlineStr">
        <is>
          <t>逆5日线（收盘在5日线下，不追多）</t>
        </is>
      </c>
    </row>
    <row r="4286">
      <c r="A4286" t="inlineStr">
        <is>
          <t>2025-05-30</t>
        </is>
      </c>
      <c r="B4286" t="inlineStr">
        <is>
          <t>焦煤</t>
        </is>
      </c>
      <c r="C4286" t="inlineStr">
        <is>
          <t>空</t>
        </is>
      </c>
      <c r="D4286" t="n">
        <v>3</v>
      </c>
      <c r="E4286" t="n">
        <v>6</v>
      </c>
      <c r="F4286" t="inlineStr">
        <is>
          <t>续持</t>
        </is>
      </c>
      <c r="G4286" t="n">
        <v>6</v>
      </c>
      <c r="H4286" t="n">
        <v>726</v>
      </c>
      <c r="I4286" t="n">
        <v>803.14</v>
      </c>
      <c r="J4286" t="n">
        <v>3</v>
      </c>
      <c r="K4286" t="inlineStr">
        <is>
          <t>续持原仓（2025-05-28开）</t>
        </is>
      </c>
    </row>
    <row r="4287">
      <c r="A4287" t="inlineStr">
        <is>
          <t>2025-05-30</t>
        </is>
      </c>
      <c r="B4287" t="inlineStr">
        <is>
          <t>沪铝</t>
        </is>
      </c>
      <c r="C4287" t="inlineStr">
        <is>
          <t>多</t>
        </is>
      </c>
      <c r="D4287" t="n">
        <v>3</v>
      </c>
      <c r="E4287" t="n">
        <v>6</v>
      </c>
      <c r="F4287" t="inlineStr">
        <is>
          <t>观望</t>
        </is>
      </c>
      <c r="G4287" t="n">
        <v>10</v>
      </c>
      <c r="H4287" t="n">
        <v>20070</v>
      </c>
      <c r="I4287" t="n">
        <v>19523.57</v>
      </c>
      <c r="J4287" t="n">
        <v>3</v>
      </c>
      <c r="K4287" t="inlineStr">
        <is>
          <t>逆5日线（收盘在5日线下，不追多）</t>
        </is>
      </c>
    </row>
    <row r="4288">
      <c r="A4288" t="inlineStr">
        <is>
          <t>2025-05-30</t>
        </is>
      </c>
      <c r="B4288" t="inlineStr">
        <is>
          <t>工业硅</t>
        </is>
      </c>
      <c r="C4288" t="inlineStr">
        <is>
          <t>空</t>
        </is>
      </c>
      <c r="D4288" t="n">
        <v>3</v>
      </c>
      <c r="E4288" t="n">
        <v>6</v>
      </c>
      <c r="F4288" t="inlineStr">
        <is>
          <t>开仓</t>
        </is>
      </c>
      <c r="G4288" t="n">
        <v>10</v>
      </c>
      <c r="H4288" t="n">
        <v>7190</v>
      </c>
      <c r="I4288" t="n">
        <v>7785.71</v>
      </c>
      <c r="J4288" t="n">
        <v>3</v>
      </c>
      <c r="K4288" t="inlineStr">
        <is>
          <t>¼凯利超上限，取3%</t>
        </is>
      </c>
    </row>
    <row r="4289">
      <c r="A4289" t="inlineStr">
        <is>
          <t>2025-05-30</t>
        </is>
      </c>
      <c r="B4289" t="inlineStr">
        <is>
          <t>热卷</t>
        </is>
      </c>
      <c r="C4289" t="inlineStr">
        <is>
          <t>空</t>
        </is>
      </c>
      <c r="D4289" t="n">
        <v>3</v>
      </c>
      <c r="E4289" t="n">
        <v>6</v>
      </c>
      <c r="F4289" t="inlineStr">
        <is>
          <t>不做</t>
        </is>
      </c>
      <c r="H4289" t="n">
        <v>3076</v>
      </c>
      <c r="J4289" t="n">
        <v>0</v>
      </c>
      <c r="K4289" t="inlineStr">
        <is>
          <t>组合风险已近10%，预算缩小</t>
        </is>
      </c>
    </row>
    <row r="4290">
      <c r="A4290" t="inlineStr">
        <is>
          <t>2025-05-30</t>
        </is>
      </c>
      <c r="B4290" t="inlineStr">
        <is>
          <t>纯碱</t>
        </is>
      </c>
      <c r="C4290" t="inlineStr">
        <is>
          <t>空</t>
        </is>
      </c>
      <c r="D4290" t="n">
        <v>2</v>
      </c>
      <c r="E4290" t="n">
        <v>5</v>
      </c>
      <c r="F4290" t="inlineStr">
        <is>
          <t>影子仓</t>
        </is>
      </c>
      <c r="G4290" t="n">
        <v>5</v>
      </c>
      <c r="H4290" t="n">
        <v>1199</v>
      </c>
      <c r="I4290" t="n">
        <v>1298.21</v>
      </c>
      <c r="J4290" t="n">
        <v>1</v>
      </c>
      <c r="K4290" t="inlineStr">
        <is>
          <t>凯利≤0，开1%影子仓（只统计，不计入组合）</t>
        </is>
      </c>
    </row>
    <row r="4291">
      <c r="A4291" t="inlineStr">
        <is>
          <t>2025-05-30</t>
        </is>
      </c>
      <c r="B4291" t="inlineStr">
        <is>
          <t>锰硅</t>
        </is>
      </c>
      <c r="C4291" t="inlineStr">
        <is>
          <t>空</t>
        </is>
      </c>
      <c r="D4291" t="n">
        <v>2</v>
      </c>
      <c r="E4291" t="n">
        <v>5</v>
      </c>
      <c r="F4291" t="inlineStr">
        <is>
          <t>续持</t>
        </is>
      </c>
      <c r="G4291" t="n">
        <v>5</v>
      </c>
      <c r="H4291" t="n">
        <v>5478</v>
      </c>
      <c r="I4291" t="n">
        <v>5800.57</v>
      </c>
      <c r="J4291" t="n">
        <v>1</v>
      </c>
      <c r="K4291" t="inlineStr">
        <is>
          <t>续持原仓（2025-05-27开）</t>
        </is>
      </c>
    </row>
    <row r="4292">
      <c r="A4292" t="inlineStr">
        <is>
          <t>2025-05-30</t>
        </is>
      </c>
      <c r="B4292" t="inlineStr">
        <is>
          <t>棉花</t>
        </is>
      </c>
      <c r="C4292" t="inlineStr">
        <is>
          <t>多</t>
        </is>
      </c>
      <c r="D4292" t="n">
        <v>2</v>
      </c>
      <c r="E4292" t="n">
        <v>4</v>
      </c>
      <c r="F4292" t="inlineStr">
        <is>
          <t>观望</t>
        </is>
      </c>
      <c r="G4292" t="n">
        <v>5</v>
      </c>
      <c r="H4292" t="n">
        <v>13275</v>
      </c>
      <c r="I4292" t="n">
        <v>12919.29</v>
      </c>
      <c r="J4292" t="n">
        <v>1</v>
      </c>
      <c r="K4292" t="inlineStr">
        <is>
          <t>逆5日线（收盘在5日线下，不追多）</t>
        </is>
      </c>
    </row>
    <row r="4293">
      <c r="A4293" t="inlineStr">
        <is>
          <t>2025-05-30</t>
        </is>
      </c>
      <c r="B4293" t="inlineStr">
        <is>
          <t>沪镍</t>
        </is>
      </c>
      <c r="C4293" t="inlineStr">
        <is>
          <t>多</t>
        </is>
      </c>
      <c r="D4293" t="n">
        <v>2</v>
      </c>
      <c r="E4293" t="n">
        <v>4</v>
      </c>
      <c r="F4293" t="inlineStr">
        <is>
          <t>观望</t>
        </is>
      </c>
      <c r="G4293" t="n">
        <v>1</v>
      </c>
      <c r="H4293" t="n">
        <v>121100</v>
      </c>
      <c r="I4293" t="n">
        <v>116055.71</v>
      </c>
      <c r="J4293" t="n">
        <v>1</v>
      </c>
      <c r="K4293" t="inlineStr">
        <is>
          <t>逆5日线（收盘在5日线下，不追多）</t>
        </is>
      </c>
    </row>
    <row r="4294">
      <c r="A4294" t="inlineStr">
        <is>
          <t>2025-06-03</t>
        </is>
      </c>
      <c r="B4294" t="inlineStr">
        <is>
          <t>焦煤</t>
        </is>
      </c>
      <c r="C4294" t="inlineStr">
        <is>
          <t>空</t>
        </is>
      </c>
      <c r="D4294" t="n">
        <v>3</v>
      </c>
      <c r="E4294" t="n">
        <v>7</v>
      </c>
      <c r="F4294" t="inlineStr">
        <is>
          <t>续持</t>
        </is>
      </c>
      <c r="G4294" t="n">
        <v>6</v>
      </c>
      <c r="H4294" t="n">
        <v>719</v>
      </c>
      <c r="I4294" t="n">
        <v>781.96</v>
      </c>
      <c r="J4294" t="n">
        <v>3</v>
      </c>
      <c r="K4294" t="inlineStr">
        <is>
          <t>续持原仓（2025-05-28开）</t>
        </is>
      </c>
    </row>
    <row r="4295">
      <c r="A4295" t="inlineStr">
        <is>
          <t>2025-06-03</t>
        </is>
      </c>
      <c r="B4295" t="inlineStr">
        <is>
          <t>PVC</t>
        </is>
      </c>
      <c r="C4295" t="inlineStr">
        <is>
          <t>空</t>
        </is>
      </c>
      <c r="D4295" t="n">
        <v>3</v>
      </c>
      <c r="E4295" t="n">
        <v>7</v>
      </c>
      <c r="F4295" t="inlineStr">
        <is>
          <t>不做</t>
        </is>
      </c>
      <c r="H4295" t="n">
        <v>4745</v>
      </c>
      <c r="J4295" t="n">
        <v>0</v>
      </c>
      <c r="K4295" t="inlineStr">
        <is>
          <t>组合风险已近10%，预算缩小</t>
        </is>
      </c>
    </row>
    <row r="4296">
      <c r="A4296" t="inlineStr">
        <is>
          <t>2025-06-03</t>
        </is>
      </c>
      <c r="B4296" t="inlineStr">
        <is>
          <t>工业硅</t>
        </is>
      </c>
      <c r="C4296" t="inlineStr">
        <is>
          <t>空</t>
        </is>
      </c>
      <c r="D4296" t="n">
        <v>3</v>
      </c>
      <c r="E4296" t="n">
        <v>6</v>
      </c>
      <c r="F4296" t="inlineStr">
        <is>
          <t>续持</t>
        </is>
      </c>
      <c r="G4296" t="n">
        <v>10</v>
      </c>
      <c r="H4296" t="n">
        <v>7085</v>
      </c>
      <c r="I4296" t="n">
        <v>7631.07</v>
      </c>
      <c r="J4296" t="n">
        <v>3</v>
      </c>
      <c r="K4296" t="inlineStr">
        <is>
          <t>续持原仓（2025-05-30开）</t>
        </is>
      </c>
    </row>
    <row r="4297">
      <c r="A4297" t="inlineStr">
        <is>
          <t>2025-06-03</t>
        </is>
      </c>
      <c r="B4297" t="inlineStr">
        <is>
          <t>棉花</t>
        </is>
      </c>
      <c r="C4297" t="inlineStr">
        <is>
          <t>多</t>
        </is>
      </c>
      <c r="D4297" t="n">
        <v>2</v>
      </c>
      <c r="E4297" t="n">
        <v>5</v>
      </c>
      <c r="F4297" t="inlineStr">
        <is>
          <t>观望</t>
        </is>
      </c>
      <c r="G4297" t="n">
        <v>6</v>
      </c>
      <c r="H4297" t="n">
        <v>13260</v>
      </c>
      <c r="I4297" t="n">
        <v>12928.93</v>
      </c>
      <c r="J4297" t="n">
        <v>1</v>
      </c>
      <c r="K4297" t="inlineStr">
        <is>
          <t>逆5日线（收盘在5日线下，不追多）</t>
        </is>
      </c>
    </row>
    <row r="4298">
      <c r="A4298" t="inlineStr">
        <is>
          <t>2025-06-03</t>
        </is>
      </c>
      <c r="B4298" t="inlineStr">
        <is>
          <t>塑料</t>
        </is>
      </c>
      <c r="C4298" t="inlineStr">
        <is>
          <t>空</t>
        </is>
      </c>
      <c r="D4298" t="n">
        <v>2</v>
      </c>
      <c r="E4298" t="n">
        <v>5</v>
      </c>
      <c r="F4298" t="inlineStr">
        <is>
          <t>影子仓</t>
        </is>
      </c>
      <c r="G4298" t="n">
        <v>8</v>
      </c>
      <c r="H4298" t="n">
        <v>6963</v>
      </c>
      <c r="I4298" t="n">
        <v>7191.86</v>
      </c>
      <c r="J4298" t="n">
        <v>1</v>
      </c>
      <c r="K4298" t="inlineStr">
        <is>
          <t>凯利≤0，开1%影子仓（只统计，不计入组合）</t>
        </is>
      </c>
    </row>
    <row r="4299">
      <c r="A4299" t="inlineStr">
        <is>
          <t>2025-06-04</t>
        </is>
      </c>
      <c r="B4299" t="inlineStr">
        <is>
          <t>沪铝</t>
        </is>
      </c>
      <c r="C4299" t="inlineStr">
        <is>
          <t>多</t>
        </is>
      </c>
      <c r="D4299" t="n">
        <v>3</v>
      </c>
      <c r="E4299" t="n">
        <v>6</v>
      </c>
      <c r="F4299" t="inlineStr">
        <is>
          <t>开仓</t>
        </is>
      </c>
      <c r="G4299" t="n">
        <v>10</v>
      </c>
      <c r="H4299" t="n">
        <v>20075</v>
      </c>
      <c r="I4299" t="n">
        <v>19526.43</v>
      </c>
      <c r="J4299" t="n">
        <v>3</v>
      </c>
      <c r="K4299" t="inlineStr">
        <is>
          <t>¼凯利超上限，取3%</t>
        </is>
      </c>
    </row>
    <row r="4300">
      <c r="A4300" t="inlineStr">
        <is>
          <t>2025-06-04</t>
        </is>
      </c>
      <c r="B4300" t="inlineStr">
        <is>
          <t>工业硅</t>
        </is>
      </c>
      <c r="C4300" t="inlineStr">
        <is>
          <t>空</t>
        </is>
      </c>
      <c r="D4300" t="n">
        <v>2</v>
      </c>
      <c r="E4300" t="n">
        <v>5</v>
      </c>
      <c r="F4300" t="inlineStr">
        <is>
          <t>观望</t>
        </is>
      </c>
      <c r="G4300" t="n">
        <v>3</v>
      </c>
      <c r="H4300" t="n">
        <v>7300</v>
      </c>
      <c r="I4300" t="n">
        <v>7876.43</v>
      </c>
      <c r="J4300" t="n">
        <v>1</v>
      </c>
      <c r="K4300" t="inlineStr">
        <is>
          <t>逆5日线（收盘在5日线上，不追空）</t>
        </is>
      </c>
    </row>
    <row r="4301">
      <c r="A4301" t="inlineStr">
        <is>
          <t>2025-06-04</t>
        </is>
      </c>
      <c r="B4301" t="inlineStr">
        <is>
          <t>焦煤</t>
        </is>
      </c>
      <c r="C4301" t="inlineStr">
        <is>
          <t>空</t>
        </is>
      </c>
      <c r="D4301" t="n">
        <v>2</v>
      </c>
      <c r="E4301" t="n">
        <v>5</v>
      </c>
      <c r="F4301" t="inlineStr">
        <is>
          <t>观望</t>
        </is>
      </c>
      <c r="G4301" t="n">
        <v>2</v>
      </c>
      <c r="H4301" t="n">
        <v>768</v>
      </c>
      <c r="I4301" t="n">
        <v>842.89</v>
      </c>
      <c r="J4301" t="n">
        <v>1</v>
      </c>
      <c r="K4301" t="inlineStr">
        <is>
          <t>逆5日线（收盘在5日线上，不追空）</t>
        </is>
      </c>
    </row>
    <row r="4302">
      <c r="A4302" t="inlineStr">
        <is>
          <t>2025-06-04</t>
        </is>
      </c>
      <c r="B4302" t="inlineStr">
        <is>
          <t>热卷</t>
        </is>
      </c>
      <c r="C4302" t="inlineStr">
        <is>
          <t>空</t>
        </is>
      </c>
      <c r="D4302" t="n">
        <v>2</v>
      </c>
      <c r="E4302" t="n">
        <v>5</v>
      </c>
      <c r="F4302" t="inlineStr">
        <is>
          <t>观望</t>
        </is>
      </c>
      <c r="G4302" t="n">
        <v>8</v>
      </c>
      <c r="H4302" t="n">
        <v>3097</v>
      </c>
      <c r="I4302" t="n">
        <v>3215.71</v>
      </c>
      <c r="J4302" t="n">
        <v>1</v>
      </c>
      <c r="K4302" t="inlineStr">
        <is>
          <t>逆5日线（收盘在5日线上，不追空）</t>
        </is>
      </c>
    </row>
    <row r="4303">
      <c r="A4303" t="inlineStr">
        <is>
          <t>2025-06-04</t>
        </is>
      </c>
      <c r="B4303" t="inlineStr">
        <is>
          <t>纯碱</t>
        </is>
      </c>
      <c r="C4303" t="inlineStr">
        <is>
          <t>空</t>
        </is>
      </c>
      <c r="D4303" t="n">
        <v>2</v>
      </c>
      <c r="E4303" t="n">
        <v>4</v>
      </c>
      <c r="F4303" t="inlineStr">
        <is>
          <t>观望</t>
        </is>
      </c>
      <c r="G4303" t="n">
        <v>5</v>
      </c>
      <c r="H4303" t="n">
        <v>1225</v>
      </c>
      <c r="I4303" t="n">
        <v>1315.21</v>
      </c>
      <c r="J4303" t="n">
        <v>1</v>
      </c>
      <c r="K4303" t="inlineStr">
        <is>
          <t>逆5日线（收盘在5日线上，不追空）</t>
        </is>
      </c>
    </row>
    <row r="4304">
      <c r="A4304" t="inlineStr">
        <is>
          <t>2025-06-04</t>
        </is>
      </c>
      <c r="B4304" t="inlineStr">
        <is>
          <t>棉花</t>
        </is>
      </c>
      <c r="C4304" t="inlineStr">
        <is>
          <t>多</t>
        </is>
      </c>
      <c r="D4304" t="n">
        <v>2</v>
      </c>
      <c r="E4304" t="n">
        <v>4</v>
      </c>
      <c r="F4304" t="inlineStr">
        <is>
          <t>观望</t>
        </is>
      </c>
      <c r="G4304" t="n">
        <v>6</v>
      </c>
      <c r="H4304" t="n">
        <v>13265</v>
      </c>
      <c r="I4304" t="n">
        <v>12953.21</v>
      </c>
      <c r="J4304" t="n">
        <v>1</v>
      </c>
      <c r="K4304" t="inlineStr">
        <is>
          <t>逆5日线（收盘在5日线下，不追多）</t>
        </is>
      </c>
    </row>
    <row r="4305">
      <c r="A4305" t="inlineStr">
        <is>
          <t>2025-06-04</t>
        </is>
      </c>
      <c r="B4305" t="inlineStr">
        <is>
          <t>锰硅</t>
        </is>
      </c>
      <c r="C4305" t="inlineStr">
        <is>
          <t>空</t>
        </is>
      </c>
      <c r="D4305" t="n">
        <v>2</v>
      </c>
      <c r="E4305" t="n">
        <v>4</v>
      </c>
      <c r="F4305" t="inlineStr">
        <is>
          <t>影子仓</t>
        </is>
      </c>
      <c r="G4305" t="n">
        <v>5</v>
      </c>
      <c r="H4305" t="n">
        <v>5502</v>
      </c>
      <c r="I4305" t="n">
        <v>5871.86</v>
      </c>
      <c r="J4305" t="n">
        <v>1</v>
      </c>
      <c r="K4305" t="inlineStr">
        <is>
          <t>凯利≤0，开1%影子仓（只统计，不计入组合）</t>
        </is>
      </c>
    </row>
    <row r="4306">
      <c r="A4306" t="inlineStr">
        <is>
          <t>2025-06-05</t>
        </is>
      </c>
      <c r="B4306" t="inlineStr">
        <is>
          <t>纯碱</t>
        </is>
      </c>
      <c r="C4306" t="inlineStr">
        <is>
          <t>空</t>
        </is>
      </c>
      <c r="D4306" t="n">
        <v>3</v>
      </c>
      <c r="E4306" t="n">
        <v>7</v>
      </c>
      <c r="F4306" t="inlineStr">
        <is>
          <t>观望</t>
        </is>
      </c>
      <c r="G4306" t="n">
        <v>16</v>
      </c>
      <c r="H4306" t="n">
        <v>1203</v>
      </c>
      <c r="I4306" t="n">
        <v>1294.5</v>
      </c>
      <c r="J4306" t="n">
        <v>3</v>
      </c>
      <c r="K4306" t="inlineStr">
        <is>
          <t>逆5日线（收盘在5日线上，不追空）</t>
        </is>
      </c>
    </row>
    <row r="4307">
      <c r="A4307" t="inlineStr">
        <is>
          <t>2025-06-05</t>
        </is>
      </c>
      <c r="B4307" t="inlineStr">
        <is>
          <t>硅铁</t>
        </is>
      </c>
      <c r="C4307" t="inlineStr">
        <is>
          <t>空</t>
        </is>
      </c>
      <c r="D4307" t="n">
        <v>3</v>
      </c>
      <c r="E4307" t="n">
        <v>7</v>
      </c>
      <c r="F4307" t="inlineStr">
        <is>
          <t>开仓</t>
        </is>
      </c>
      <c r="G4307" t="n">
        <v>19</v>
      </c>
      <c r="H4307" t="n">
        <v>5102</v>
      </c>
      <c r="I4307" t="n">
        <v>5411.86</v>
      </c>
      <c r="J4307" t="n">
        <v>3</v>
      </c>
      <c r="K4307" t="inlineStr">
        <is>
          <t>¼凯利超上限，取3%</t>
        </is>
      </c>
    </row>
    <row r="4308">
      <c r="A4308" t="inlineStr">
        <is>
          <t>2025-06-05</t>
        </is>
      </c>
      <c r="B4308" t="inlineStr">
        <is>
          <t>锰硅</t>
        </is>
      </c>
      <c r="C4308" t="inlineStr">
        <is>
          <t>空</t>
        </is>
      </c>
      <c r="D4308" t="n">
        <v>3</v>
      </c>
      <c r="E4308" t="n">
        <v>6</v>
      </c>
      <c r="F4308" t="inlineStr">
        <is>
          <t>续持</t>
        </is>
      </c>
      <c r="G4308" t="n">
        <v>5</v>
      </c>
      <c r="H4308" t="n">
        <v>5482</v>
      </c>
      <c r="I4308" t="n">
        <v>5807</v>
      </c>
      <c r="J4308" t="n">
        <v>1</v>
      </c>
      <c r="K4308" t="inlineStr">
        <is>
          <t>续持原仓（2025-06-04开）</t>
        </is>
      </c>
    </row>
    <row r="4309">
      <c r="A4309" t="inlineStr">
        <is>
          <t>2025-06-05</t>
        </is>
      </c>
      <c r="B4309" t="inlineStr">
        <is>
          <t>焦煤</t>
        </is>
      </c>
      <c r="C4309" t="inlineStr">
        <is>
          <t>空</t>
        </is>
      </c>
      <c r="D4309" t="n">
        <v>3</v>
      </c>
      <c r="E4309" t="n">
        <v>6</v>
      </c>
      <c r="F4309" t="inlineStr">
        <is>
          <t>观望</t>
        </is>
      </c>
      <c r="H4309" t="n">
        <v>757</v>
      </c>
      <c r="J4309" t="n">
        <v>0</v>
      </c>
      <c r="K4309" t="inlineStr">
        <is>
          <t>逆5日线（收盘在5日线上，不追空）</t>
        </is>
      </c>
    </row>
    <row r="4310">
      <c r="A4310" t="inlineStr">
        <is>
          <t>2025-06-05</t>
        </is>
      </c>
      <c r="B4310" t="inlineStr">
        <is>
          <t>热卷</t>
        </is>
      </c>
      <c r="C4310" t="inlineStr">
        <is>
          <t>空</t>
        </is>
      </c>
      <c r="D4310" t="n">
        <v>3</v>
      </c>
      <c r="E4310" t="n">
        <v>6</v>
      </c>
      <c r="F4310" t="inlineStr">
        <is>
          <t>不做</t>
        </is>
      </c>
      <c r="H4310" t="n">
        <v>3077</v>
      </c>
      <c r="J4310" t="n">
        <v>0</v>
      </c>
      <c r="K4310" t="inlineStr">
        <is>
          <t>黑色板块同方向已近6%，预算缩小</t>
        </is>
      </c>
    </row>
    <row r="4311">
      <c r="A4311" t="inlineStr">
        <is>
          <t>2025-06-05</t>
        </is>
      </c>
      <c r="B4311" t="inlineStr">
        <is>
          <t>棉花</t>
        </is>
      </c>
      <c r="C4311" t="inlineStr">
        <is>
          <t>多</t>
        </is>
      </c>
      <c r="D4311" t="n">
        <v>2</v>
      </c>
      <c r="E4311" t="n">
        <v>4</v>
      </c>
      <c r="F4311" t="inlineStr">
        <is>
          <t>观望</t>
        </is>
      </c>
      <c r="G4311" t="n">
        <v>6</v>
      </c>
      <c r="H4311" t="n">
        <v>13245</v>
      </c>
      <c r="I4311" t="n">
        <v>12934.29</v>
      </c>
      <c r="J4311" t="n">
        <v>1</v>
      </c>
      <c r="K4311" t="inlineStr">
        <is>
          <t>逆5日线（收盘在5日线下，不追多）</t>
        </is>
      </c>
    </row>
    <row r="4312">
      <c r="A4312" t="inlineStr">
        <is>
          <t>2025-06-06</t>
        </is>
      </c>
      <c r="B4312" t="inlineStr">
        <is>
          <t>棉花</t>
        </is>
      </c>
      <c r="C4312" t="inlineStr">
        <is>
          <t>多</t>
        </is>
      </c>
      <c r="D4312" t="n">
        <v>3</v>
      </c>
      <c r="E4312" t="n">
        <v>6</v>
      </c>
      <c r="F4312" t="inlineStr">
        <is>
          <t>开仓</t>
        </is>
      </c>
      <c r="G4312" t="n">
        <v>18</v>
      </c>
      <c r="H4312" t="n">
        <v>13360</v>
      </c>
      <c r="I4312" t="n">
        <v>13037.5</v>
      </c>
      <c r="J4312" t="n">
        <v>3</v>
      </c>
      <c r="K4312" t="inlineStr">
        <is>
          <t>¼凯利超上限，取3%</t>
        </is>
      </c>
    </row>
    <row r="4313">
      <c r="A4313" t="inlineStr">
        <is>
          <t>2025-06-06</t>
        </is>
      </c>
      <c r="B4313" t="inlineStr">
        <is>
          <t>锰硅</t>
        </is>
      </c>
      <c r="C4313" t="inlineStr">
        <is>
          <t>空</t>
        </is>
      </c>
      <c r="D4313" t="n">
        <v>2</v>
      </c>
      <c r="E4313" t="n">
        <v>5</v>
      </c>
      <c r="F4313" t="inlineStr">
        <is>
          <t>观望</t>
        </is>
      </c>
      <c r="G4313" t="n">
        <v>5</v>
      </c>
      <c r="H4313" t="n">
        <v>5538</v>
      </c>
      <c r="I4313" t="n">
        <v>5913.43</v>
      </c>
      <c r="J4313" t="n">
        <v>1</v>
      </c>
      <c r="K4313" t="inlineStr">
        <is>
          <t>逆5日线（收盘在5日线上，不追空）</t>
        </is>
      </c>
    </row>
    <row r="4314">
      <c r="A4314" t="inlineStr">
        <is>
          <t>2025-06-06</t>
        </is>
      </c>
      <c r="B4314" t="inlineStr">
        <is>
          <t>焦煤</t>
        </is>
      </c>
      <c r="C4314" t="inlineStr">
        <is>
          <t>空</t>
        </is>
      </c>
      <c r="D4314" t="n">
        <v>2</v>
      </c>
      <c r="E4314" t="n">
        <v>5</v>
      </c>
      <c r="F4314" t="inlineStr">
        <is>
          <t>观望</t>
        </is>
      </c>
      <c r="G4314" t="n">
        <v>2</v>
      </c>
      <c r="H4314" t="n">
        <v>778.5</v>
      </c>
      <c r="I4314" t="n">
        <v>856.29</v>
      </c>
      <c r="J4314" t="n">
        <v>1</v>
      </c>
      <c r="K4314" t="inlineStr">
        <is>
          <t>逆5日线（收盘在5日线上，不追空）</t>
        </is>
      </c>
    </row>
    <row r="4315">
      <c r="A4315" t="inlineStr">
        <is>
          <t>2025-06-06</t>
        </is>
      </c>
      <c r="B4315" t="inlineStr">
        <is>
          <t>工业硅</t>
        </is>
      </c>
      <c r="C4315" t="inlineStr">
        <is>
          <t>空</t>
        </is>
      </c>
      <c r="D4315" t="n">
        <v>2</v>
      </c>
      <c r="E4315" t="n">
        <v>5</v>
      </c>
      <c r="F4315" t="inlineStr">
        <is>
          <t>观望</t>
        </is>
      </c>
      <c r="G4315" t="n">
        <v>3</v>
      </c>
      <c r="H4315" t="n">
        <v>7270</v>
      </c>
      <c r="I4315" t="n">
        <v>7840</v>
      </c>
      <c r="J4315" t="n">
        <v>1</v>
      </c>
      <c r="K4315" t="inlineStr">
        <is>
          <t>逆5日线（收盘在5日线上，不追空）</t>
        </is>
      </c>
    </row>
    <row r="4316">
      <c r="A4316" t="inlineStr">
        <is>
          <t>2025-06-06</t>
        </is>
      </c>
      <c r="B4316" t="inlineStr">
        <is>
          <t>热卷</t>
        </is>
      </c>
      <c r="C4316" t="inlineStr">
        <is>
          <t>空</t>
        </is>
      </c>
      <c r="D4316" t="n">
        <v>2</v>
      </c>
      <c r="E4316" t="n">
        <v>5</v>
      </c>
      <c r="F4316" t="inlineStr">
        <is>
          <t>观望</t>
        </is>
      </c>
      <c r="G4316" t="n">
        <v>7</v>
      </c>
      <c r="H4316" t="n">
        <v>3092</v>
      </c>
      <c r="I4316" t="n">
        <v>3217.14</v>
      </c>
      <c r="J4316" t="n">
        <v>1</v>
      </c>
      <c r="K4316" t="inlineStr">
        <is>
          <t>逆5日线（收盘在5日线上，不追空）</t>
        </is>
      </c>
    </row>
    <row r="4317">
      <c r="A4317" t="inlineStr">
        <is>
          <t>2025-06-06</t>
        </is>
      </c>
      <c r="B4317" t="inlineStr">
        <is>
          <t>硅铁</t>
        </is>
      </c>
      <c r="C4317" t="inlineStr">
        <is>
          <t>空</t>
        </is>
      </c>
      <c r="D4317" t="n">
        <v>2</v>
      </c>
      <c r="E4317" t="n">
        <v>5</v>
      </c>
      <c r="F4317" t="inlineStr">
        <is>
          <t>续持</t>
        </is>
      </c>
      <c r="G4317" t="n">
        <v>19</v>
      </c>
      <c r="H4317" t="n">
        <v>5104</v>
      </c>
      <c r="I4317" t="n">
        <v>5405.71</v>
      </c>
      <c r="J4317" t="n">
        <v>3</v>
      </c>
      <c r="K4317" t="inlineStr">
        <is>
          <t>续持原仓（2025-06-05开）</t>
        </is>
      </c>
    </row>
    <row r="4318">
      <c r="A4318" t="inlineStr">
        <is>
          <t>2025-06-09</t>
        </is>
      </c>
      <c r="B4318" t="inlineStr">
        <is>
          <t>豆粕</t>
        </is>
      </c>
      <c r="C4318" t="inlineStr">
        <is>
          <t>多</t>
        </is>
      </c>
      <c r="D4318" t="n">
        <v>3</v>
      </c>
      <c r="E4318" t="n">
        <v>6</v>
      </c>
      <c r="F4318" t="inlineStr">
        <is>
          <t>开仓</t>
        </is>
      </c>
      <c r="G4318" t="n">
        <v>29</v>
      </c>
      <c r="H4318" t="n">
        <v>3019</v>
      </c>
      <c r="I4318" t="n">
        <v>2917.21</v>
      </c>
      <c r="J4318" t="n">
        <v>3</v>
      </c>
      <c r="K4318" t="inlineStr">
        <is>
          <t>¼凯利超上限，取3%</t>
        </is>
      </c>
    </row>
    <row r="4319">
      <c r="A4319" t="inlineStr">
        <is>
          <t>2025-06-09</t>
        </is>
      </c>
      <c r="B4319" t="inlineStr">
        <is>
          <t>锰硅</t>
        </is>
      </c>
      <c r="C4319" t="inlineStr">
        <is>
          <t>空</t>
        </is>
      </c>
      <c r="D4319" t="n">
        <v>2</v>
      </c>
      <c r="E4319" t="n">
        <v>5</v>
      </c>
      <c r="F4319" t="inlineStr">
        <is>
          <t>观望</t>
        </is>
      </c>
      <c r="G4319" t="n">
        <v>5</v>
      </c>
      <c r="H4319" t="n">
        <v>5552</v>
      </c>
      <c r="I4319" t="n">
        <v>5928.29</v>
      </c>
      <c r="J4319" t="n">
        <v>1</v>
      </c>
      <c r="K4319" t="inlineStr">
        <is>
          <t>逆5日线（收盘在5日线上，不追空）</t>
        </is>
      </c>
    </row>
    <row r="4320">
      <c r="A4320" t="inlineStr">
        <is>
          <t>2025-06-09</t>
        </is>
      </c>
      <c r="B4320" t="inlineStr">
        <is>
          <t>热卷</t>
        </is>
      </c>
      <c r="C4320" t="inlineStr">
        <is>
          <t>空</t>
        </is>
      </c>
      <c r="D4320" t="n">
        <v>2</v>
      </c>
      <c r="E4320" t="n">
        <v>5</v>
      </c>
      <c r="F4320" t="inlineStr">
        <is>
          <t>观望</t>
        </is>
      </c>
      <c r="G4320" t="n">
        <v>8</v>
      </c>
      <c r="H4320" t="n">
        <v>3095</v>
      </c>
      <c r="I4320" t="n">
        <v>3218.21</v>
      </c>
      <c r="J4320" t="n">
        <v>1</v>
      </c>
      <c r="K4320" t="inlineStr">
        <is>
          <t>逆5日线（收盘在5日线上，不追空）</t>
        </is>
      </c>
    </row>
    <row r="4321">
      <c r="A4321" t="inlineStr">
        <is>
          <t>2025-06-09</t>
        </is>
      </c>
      <c r="B4321" t="inlineStr">
        <is>
          <t>聚丙烯</t>
        </is>
      </c>
      <c r="C4321" t="inlineStr">
        <is>
          <t>空</t>
        </is>
      </c>
      <c r="D4321" t="n">
        <v>2</v>
      </c>
      <c r="E4321" t="n">
        <v>5</v>
      </c>
      <c r="F4321" t="inlineStr">
        <is>
          <t>观望</t>
        </is>
      </c>
      <c r="G4321" t="n">
        <v>11</v>
      </c>
      <c r="H4321" t="n">
        <v>6932</v>
      </c>
      <c r="I4321" t="n">
        <v>7102.36</v>
      </c>
      <c r="J4321" t="n">
        <v>1</v>
      </c>
      <c r="K4321" t="inlineStr">
        <is>
          <t>逆5日线（收盘在5日线上，不追空）</t>
        </is>
      </c>
    </row>
    <row r="4322">
      <c r="A4322" t="inlineStr">
        <is>
          <t>2025-06-09</t>
        </is>
      </c>
      <c r="B4322" t="inlineStr">
        <is>
          <t>焦煤</t>
        </is>
      </c>
      <c r="C4322" t="inlineStr">
        <is>
          <t>空</t>
        </is>
      </c>
      <c r="D4322" t="n">
        <v>2</v>
      </c>
      <c r="E4322" t="n">
        <v>5</v>
      </c>
      <c r="F4322" t="inlineStr">
        <is>
          <t>观望</t>
        </is>
      </c>
      <c r="G4322" t="n">
        <v>2</v>
      </c>
      <c r="H4322" t="n">
        <v>780</v>
      </c>
      <c r="I4322" t="n">
        <v>856.71</v>
      </c>
      <c r="J4322" t="n">
        <v>1</v>
      </c>
      <c r="K4322" t="inlineStr">
        <is>
          <t>逆5日线（收盘在5日线上，不追空）</t>
        </is>
      </c>
    </row>
    <row r="4323">
      <c r="A4323" t="inlineStr">
        <is>
          <t>2025-06-09</t>
        </is>
      </c>
      <c r="B4323" t="inlineStr">
        <is>
          <t>硅铁</t>
        </is>
      </c>
      <c r="C4323" t="inlineStr">
        <is>
          <t>空</t>
        </is>
      </c>
      <c r="D4323" t="n">
        <v>2</v>
      </c>
      <c r="E4323" t="n">
        <v>4</v>
      </c>
      <c r="F4323" t="inlineStr">
        <is>
          <t>观望</t>
        </is>
      </c>
      <c r="G4323" t="n">
        <v>6</v>
      </c>
      <c r="H4323" t="n">
        <v>5174</v>
      </c>
      <c r="I4323" t="n">
        <v>5489.86</v>
      </c>
      <c r="J4323" t="n">
        <v>1</v>
      </c>
      <c r="K4323" t="inlineStr">
        <is>
          <t>逆5日线（收盘在5日线上，不追空）</t>
        </is>
      </c>
    </row>
    <row r="4324">
      <c r="A4324" t="inlineStr">
        <is>
          <t>2025-06-10</t>
        </is>
      </c>
      <c r="B4324" t="inlineStr">
        <is>
          <t>工业硅</t>
        </is>
      </c>
      <c r="C4324" t="inlineStr">
        <is>
          <t>空</t>
        </is>
      </c>
      <c r="D4324" t="n">
        <v>3</v>
      </c>
      <c r="E4324" t="n">
        <v>7</v>
      </c>
      <c r="F4324" t="inlineStr">
        <is>
          <t>观望</t>
        </is>
      </c>
      <c r="H4324" t="n">
        <v>7410</v>
      </c>
      <c r="J4324" t="n">
        <v>0</v>
      </c>
      <c r="K4324" t="inlineStr">
        <is>
          <t>逆5日线（收盘在5日线上，不追空）</t>
        </is>
      </c>
    </row>
    <row r="4325">
      <c r="A4325" t="inlineStr">
        <is>
          <t>2025-06-10</t>
        </is>
      </c>
      <c r="B4325" t="inlineStr">
        <is>
          <t>豆粕</t>
        </is>
      </c>
      <c r="C4325" t="inlineStr">
        <is>
          <t>多</t>
        </is>
      </c>
      <c r="D4325" t="n">
        <v>3</v>
      </c>
      <c r="E4325" t="n">
        <v>7</v>
      </c>
      <c r="F4325" t="inlineStr">
        <is>
          <t>续持</t>
        </is>
      </c>
      <c r="G4325" t="n">
        <v>29</v>
      </c>
      <c r="H4325" t="n">
        <v>3031</v>
      </c>
      <c r="I4325" t="n">
        <v>2934.07</v>
      </c>
      <c r="J4325" t="n">
        <v>3</v>
      </c>
      <c r="K4325" t="inlineStr">
        <is>
          <t>续持原仓（2025-06-09开）</t>
        </is>
      </c>
    </row>
    <row r="4326">
      <c r="A4326" t="inlineStr">
        <is>
          <t>2025-06-10</t>
        </is>
      </c>
      <c r="B4326" t="inlineStr">
        <is>
          <t>聚丙烯</t>
        </is>
      </c>
      <c r="C4326" t="inlineStr">
        <is>
          <t>空</t>
        </is>
      </c>
      <c r="D4326" t="n">
        <v>3</v>
      </c>
      <c r="E4326" t="n">
        <v>6</v>
      </c>
      <c r="F4326" t="inlineStr">
        <is>
          <t>观望</t>
        </is>
      </c>
      <c r="H4326" t="n">
        <v>6941</v>
      </c>
      <c r="J4326" t="n">
        <v>0</v>
      </c>
      <c r="K4326" t="inlineStr">
        <is>
          <t>逆5日线（收盘在5日线上，不追空）</t>
        </is>
      </c>
    </row>
    <row r="4327">
      <c r="A4327" t="inlineStr">
        <is>
          <t>2025-06-10</t>
        </is>
      </c>
      <c r="B4327" t="inlineStr">
        <is>
          <t>棕榈油</t>
        </is>
      </c>
      <c r="C4327" t="inlineStr">
        <is>
          <t>空</t>
        </is>
      </c>
      <c r="D4327" t="n">
        <v>3</v>
      </c>
      <c r="E4327" t="n">
        <v>6</v>
      </c>
      <c r="F4327" t="inlineStr">
        <is>
          <t>不做</t>
        </is>
      </c>
      <c r="H4327" t="n">
        <v>8116</v>
      </c>
      <c r="J4327" t="n">
        <v>0</v>
      </c>
      <c r="K4327" t="inlineStr">
        <is>
          <t>组合风险已近10%，预算缩小</t>
        </is>
      </c>
    </row>
    <row r="4328">
      <c r="A4328" t="inlineStr">
        <is>
          <t>2025-06-10</t>
        </is>
      </c>
      <c r="B4328" t="inlineStr">
        <is>
          <t>白糖</t>
        </is>
      </c>
      <c r="C4328" t="inlineStr">
        <is>
          <t>空</t>
        </is>
      </c>
      <c r="D4328" t="n">
        <v>2</v>
      </c>
      <c r="E4328" t="n">
        <v>5</v>
      </c>
      <c r="F4328" t="inlineStr">
        <is>
          <t>影子仓</t>
        </is>
      </c>
      <c r="G4328" t="n">
        <v>9</v>
      </c>
      <c r="H4328" t="n">
        <v>5717</v>
      </c>
      <c r="I4328" t="n">
        <v>5820.71</v>
      </c>
      <c r="J4328" t="n">
        <v>1</v>
      </c>
      <c r="K4328" t="inlineStr">
        <is>
          <t>凯利≤0，开1%影子仓（只统计，不计入组合）</t>
        </is>
      </c>
    </row>
    <row r="4329">
      <c r="A4329" t="inlineStr">
        <is>
          <t>2025-06-10</t>
        </is>
      </c>
      <c r="B4329" t="inlineStr">
        <is>
          <t>硅铁</t>
        </is>
      </c>
      <c r="C4329" t="inlineStr">
        <is>
          <t>空</t>
        </is>
      </c>
      <c r="D4329" t="n">
        <v>2</v>
      </c>
      <c r="E4329" t="n">
        <v>5</v>
      </c>
      <c r="F4329" t="inlineStr">
        <is>
          <t>观望</t>
        </is>
      </c>
      <c r="G4329" t="n">
        <v>6</v>
      </c>
      <c r="H4329" t="n">
        <v>5174</v>
      </c>
      <c r="I4329" t="n">
        <v>5492.86</v>
      </c>
      <c r="J4329" t="n">
        <v>1</v>
      </c>
      <c r="K4329" t="inlineStr">
        <is>
          <t>逆5日线（收盘在5日线上，不追空）</t>
        </is>
      </c>
    </row>
    <row r="4330">
      <c r="A4330" t="inlineStr">
        <is>
          <t>2025-06-10</t>
        </is>
      </c>
      <c r="B4330" t="inlineStr">
        <is>
          <t>沪锌</t>
        </is>
      </c>
      <c r="C4330" t="inlineStr">
        <is>
          <t>多</t>
        </is>
      </c>
      <c r="D4330" t="n">
        <v>2</v>
      </c>
      <c r="E4330" t="n">
        <v>4</v>
      </c>
      <c r="F4330" t="inlineStr">
        <is>
          <t>观望</t>
        </is>
      </c>
      <c r="G4330" t="n">
        <v>2</v>
      </c>
      <c r="H4330" t="n">
        <v>21845</v>
      </c>
      <c r="I4330" t="n">
        <v>20949.29</v>
      </c>
      <c r="J4330" t="n">
        <v>1</v>
      </c>
      <c r="K4330" t="inlineStr">
        <is>
          <t>逆5日线（收盘在5日线下，不追多）</t>
        </is>
      </c>
    </row>
    <row r="4331">
      <c r="A4331" t="inlineStr">
        <is>
          <t>2025-06-11</t>
        </is>
      </c>
      <c r="B4331" t="inlineStr">
        <is>
          <t>白糖</t>
        </is>
      </c>
      <c r="C4331" t="inlineStr">
        <is>
          <t>空</t>
        </is>
      </c>
      <c r="D4331" t="n">
        <v>3</v>
      </c>
      <c r="E4331" t="n">
        <v>7</v>
      </c>
      <c r="F4331" t="inlineStr">
        <is>
          <t>续持</t>
        </is>
      </c>
      <c r="G4331" t="n">
        <v>9</v>
      </c>
      <c r="H4331" t="n">
        <v>5668</v>
      </c>
      <c r="I4331" t="n">
        <v>5775.86</v>
      </c>
      <c r="J4331" t="n">
        <v>1</v>
      </c>
      <c r="K4331" t="inlineStr">
        <is>
          <t>续持原仓（2025-06-10开）</t>
        </is>
      </c>
    </row>
    <row r="4332">
      <c r="A4332" t="inlineStr">
        <is>
          <t>2025-06-11</t>
        </is>
      </c>
      <c r="B4332" t="inlineStr">
        <is>
          <t>豆粕</t>
        </is>
      </c>
      <c r="C4332" t="inlineStr">
        <is>
          <t>多</t>
        </is>
      </c>
      <c r="D4332" t="n">
        <v>3</v>
      </c>
      <c r="E4332" t="n">
        <v>7</v>
      </c>
      <c r="F4332" t="inlineStr">
        <is>
          <t>续持</t>
        </is>
      </c>
      <c r="G4332" t="n">
        <v>29</v>
      </c>
      <c r="H4332" t="n">
        <v>3047</v>
      </c>
      <c r="I4332" t="n">
        <v>2959</v>
      </c>
      <c r="J4332" t="n">
        <v>3</v>
      </c>
      <c r="K4332" t="inlineStr">
        <is>
          <t>续持原仓（2025-06-09开）</t>
        </is>
      </c>
    </row>
    <row r="4333">
      <c r="A4333" t="inlineStr">
        <is>
          <t>2025-06-11</t>
        </is>
      </c>
      <c r="B4333" t="inlineStr">
        <is>
          <t>锰硅</t>
        </is>
      </c>
      <c r="C4333" t="inlineStr">
        <is>
          <t>空</t>
        </is>
      </c>
      <c r="D4333" t="n">
        <v>3</v>
      </c>
      <c r="E4333" t="n">
        <v>7</v>
      </c>
      <c r="F4333" t="inlineStr">
        <is>
          <t>续持</t>
        </is>
      </c>
      <c r="G4333" t="n">
        <v>5</v>
      </c>
      <c r="H4333" t="n">
        <v>5486</v>
      </c>
      <c r="I4333" t="n">
        <v>5807</v>
      </c>
      <c r="J4333" t="n">
        <v>1</v>
      </c>
      <c r="K4333" t="inlineStr">
        <is>
          <t>续持原仓（2025-06-04开）</t>
        </is>
      </c>
    </row>
    <row r="4334">
      <c r="A4334" t="inlineStr">
        <is>
          <t>2025-06-11</t>
        </is>
      </c>
      <c r="B4334" t="inlineStr">
        <is>
          <t>硅铁</t>
        </is>
      </c>
      <c r="C4334" t="inlineStr">
        <is>
          <t>空</t>
        </is>
      </c>
      <c r="D4334" t="n">
        <v>3</v>
      </c>
      <c r="E4334" t="n">
        <v>6</v>
      </c>
      <c r="F4334" t="inlineStr">
        <is>
          <t>观望</t>
        </is>
      </c>
      <c r="H4334" t="n">
        <v>5184</v>
      </c>
      <c r="J4334" t="n">
        <v>0</v>
      </c>
      <c r="K4334" t="inlineStr">
        <is>
          <t>逆5日线（收盘在5日线上，不追空）</t>
        </is>
      </c>
    </row>
    <row r="4335">
      <c r="A4335" t="inlineStr">
        <is>
          <t>2025-06-11</t>
        </is>
      </c>
      <c r="B4335" t="inlineStr">
        <is>
          <t>沪铜</t>
        </is>
      </c>
      <c r="C4335" t="inlineStr">
        <is>
          <t>多</t>
        </is>
      </c>
      <c r="D4335" t="n">
        <v>3</v>
      </c>
      <c r="E4335" t="n">
        <v>6</v>
      </c>
      <c r="F4335" t="inlineStr">
        <is>
          <t>不做</t>
        </is>
      </c>
      <c r="H4335" t="n">
        <v>79290</v>
      </c>
      <c r="J4335" t="n">
        <v>0</v>
      </c>
      <c r="K4335" t="inlineStr">
        <is>
          <t>组合风险已近10%，预算缩小</t>
        </is>
      </c>
    </row>
    <row r="4336">
      <c r="A4336" t="inlineStr">
        <is>
          <t>2025-06-11</t>
        </is>
      </c>
      <c r="B4336" t="inlineStr">
        <is>
          <t>沥青</t>
        </is>
      </c>
      <c r="C4336" t="inlineStr">
        <is>
          <t>多</t>
        </is>
      </c>
      <c r="D4336" t="n">
        <v>3</v>
      </c>
      <c r="E4336" t="n">
        <v>6</v>
      </c>
      <c r="F4336" t="inlineStr">
        <is>
          <t>观望</t>
        </is>
      </c>
      <c r="H4336" t="n">
        <v>3461</v>
      </c>
      <c r="J4336" t="n">
        <v>0</v>
      </c>
      <c r="K4336" t="inlineStr">
        <is>
          <t>逆5日线（收盘在5日线下，不追多）</t>
        </is>
      </c>
    </row>
    <row r="4337">
      <c r="A4337" t="inlineStr">
        <is>
          <t>2025-06-11</t>
        </is>
      </c>
      <c r="B4337" t="inlineStr">
        <is>
          <t>沪银</t>
        </is>
      </c>
      <c r="C4337" t="inlineStr">
        <is>
          <t>多</t>
        </is>
      </c>
      <c r="D4337" t="n">
        <v>2</v>
      </c>
      <c r="E4337" t="n">
        <v>5</v>
      </c>
      <c r="F4337" t="inlineStr">
        <is>
          <t>影子仓</t>
        </is>
      </c>
      <c r="G4337" t="n">
        <v>1</v>
      </c>
      <c r="H4337" t="n">
        <v>8902</v>
      </c>
      <c r="I4337" t="n">
        <v>8519.290000000001</v>
      </c>
      <c r="J4337" t="n">
        <v>1</v>
      </c>
      <c r="K4337" t="inlineStr">
        <is>
          <t>凯利≤0，开1%影子仓（只统计，不计入组合）</t>
        </is>
      </c>
    </row>
    <row r="4338">
      <c r="A4338" t="inlineStr">
        <is>
          <t>2025-06-11</t>
        </is>
      </c>
      <c r="B4338" t="inlineStr">
        <is>
          <t>沪锌</t>
        </is>
      </c>
      <c r="C4338" t="inlineStr">
        <is>
          <t>多</t>
        </is>
      </c>
      <c r="D4338" t="n">
        <v>2</v>
      </c>
      <c r="E4338" t="n">
        <v>5</v>
      </c>
      <c r="F4338" t="inlineStr">
        <is>
          <t>影子仓</t>
        </is>
      </c>
      <c r="G4338" t="n">
        <v>2</v>
      </c>
      <c r="H4338" t="n">
        <v>22140</v>
      </c>
      <c r="I4338" t="n">
        <v>21220.71</v>
      </c>
      <c r="J4338" t="n">
        <v>1</v>
      </c>
      <c r="K4338" t="inlineStr">
        <is>
          <t>凯利≤0，开1%影子仓（只统计，不计入组合）</t>
        </is>
      </c>
    </row>
    <row r="4339">
      <c r="A4339" t="inlineStr">
        <is>
          <t>2025-06-12</t>
        </is>
      </c>
      <c r="B4339" t="inlineStr">
        <is>
          <t>白糖</t>
        </is>
      </c>
      <c r="C4339" t="inlineStr">
        <is>
          <t>空</t>
        </is>
      </c>
      <c r="D4339" t="n">
        <v>3</v>
      </c>
      <c r="E4339" t="n">
        <v>7</v>
      </c>
      <c r="F4339" t="inlineStr">
        <is>
          <t>续持</t>
        </is>
      </c>
      <c r="G4339" t="n">
        <v>9</v>
      </c>
      <c r="H4339" t="n">
        <v>5647</v>
      </c>
      <c r="I4339" t="n">
        <v>5756.71</v>
      </c>
      <c r="J4339" t="n">
        <v>1</v>
      </c>
      <c r="K4339" t="inlineStr">
        <is>
          <t>续持原仓（2025-06-10开）</t>
        </is>
      </c>
    </row>
    <row r="4340">
      <c r="A4340" t="inlineStr">
        <is>
          <t>2025-06-12</t>
        </is>
      </c>
      <c r="B4340" t="inlineStr">
        <is>
          <t>硅铁</t>
        </is>
      </c>
      <c r="C4340" t="inlineStr">
        <is>
          <t>空</t>
        </is>
      </c>
      <c r="D4340" t="n">
        <v>3</v>
      </c>
      <c r="E4340" t="n">
        <v>7</v>
      </c>
      <c r="F4340" t="inlineStr">
        <is>
          <t>观望</t>
        </is>
      </c>
      <c r="H4340" t="n">
        <v>5166</v>
      </c>
      <c r="J4340" t="n">
        <v>0</v>
      </c>
      <c r="K4340" t="inlineStr">
        <is>
          <t>逆5日线（收盘在5日线上，不追空）</t>
        </is>
      </c>
    </row>
    <row r="4341">
      <c r="A4341" t="inlineStr">
        <is>
          <t>2025-06-12</t>
        </is>
      </c>
      <c r="B4341" t="inlineStr">
        <is>
          <t>热卷</t>
        </is>
      </c>
      <c r="C4341" t="inlineStr">
        <is>
          <t>空</t>
        </is>
      </c>
      <c r="D4341" t="n">
        <v>3</v>
      </c>
      <c r="E4341" t="n">
        <v>7</v>
      </c>
      <c r="F4341" t="inlineStr">
        <is>
          <t>不做</t>
        </is>
      </c>
      <c r="H4341" t="n">
        <v>3080</v>
      </c>
      <c r="J4341" t="n">
        <v>0</v>
      </c>
      <c r="K4341" t="inlineStr">
        <is>
          <t>组合风险已近10%，预算缩小</t>
        </is>
      </c>
    </row>
    <row r="4342">
      <c r="A4342" t="inlineStr">
        <is>
          <t>2025-06-12</t>
        </is>
      </c>
      <c r="B4342" t="inlineStr">
        <is>
          <t>焦煤</t>
        </is>
      </c>
      <c r="C4342" t="inlineStr">
        <is>
          <t>空</t>
        </is>
      </c>
      <c r="D4342" t="n">
        <v>3</v>
      </c>
      <c r="E4342" t="n">
        <v>6</v>
      </c>
      <c r="F4342" t="inlineStr">
        <is>
          <t>不做</t>
        </is>
      </c>
      <c r="H4342" t="n">
        <v>766.5</v>
      </c>
      <c r="J4342" t="n">
        <v>0</v>
      </c>
      <c r="K4342" t="inlineStr">
        <is>
          <t>组合风险已近10%，预算缩小</t>
        </is>
      </c>
    </row>
    <row r="4343">
      <c r="A4343" t="inlineStr">
        <is>
          <t>2025-06-12</t>
        </is>
      </c>
      <c r="B4343" t="inlineStr">
        <is>
          <t>豆粕</t>
        </is>
      </c>
      <c r="C4343" t="inlineStr">
        <is>
          <t>多</t>
        </is>
      </c>
      <c r="D4343" t="n">
        <v>2</v>
      </c>
      <c r="E4343" t="n">
        <v>5</v>
      </c>
      <c r="F4343" t="inlineStr">
        <is>
          <t>续持</t>
        </is>
      </c>
      <c r="G4343" t="n">
        <v>29</v>
      </c>
      <c r="H4343" t="n">
        <v>3049</v>
      </c>
      <c r="I4343" t="n">
        <v>2967.5</v>
      </c>
      <c r="J4343" t="n">
        <v>3</v>
      </c>
      <c r="K4343" t="inlineStr">
        <is>
          <t>续持原仓（2025-06-09开）</t>
        </is>
      </c>
    </row>
    <row r="4344">
      <c r="A4344" t="inlineStr">
        <is>
          <t>2025-06-12</t>
        </is>
      </c>
      <c r="B4344" t="inlineStr">
        <is>
          <t>沪锌</t>
        </is>
      </c>
      <c r="C4344" t="inlineStr">
        <is>
          <t>多</t>
        </is>
      </c>
      <c r="D4344" t="n">
        <v>2</v>
      </c>
      <c r="E4344" t="n">
        <v>4</v>
      </c>
      <c r="F4344" t="inlineStr">
        <is>
          <t>续持</t>
        </is>
      </c>
      <c r="G4344" t="n">
        <v>2</v>
      </c>
      <c r="H4344" t="n">
        <v>22085</v>
      </c>
      <c r="I4344" t="n">
        <v>21252.5</v>
      </c>
      <c r="J4344" t="n">
        <v>1</v>
      </c>
      <c r="K4344" t="inlineStr">
        <is>
          <t>续持原仓（2025-06-11开）</t>
        </is>
      </c>
    </row>
    <row r="4345">
      <c r="A4345" t="inlineStr">
        <is>
          <t>2025-06-12</t>
        </is>
      </c>
      <c r="B4345" t="inlineStr">
        <is>
          <t>工业硅</t>
        </is>
      </c>
      <c r="C4345" t="inlineStr">
        <is>
          <t>空</t>
        </is>
      </c>
      <c r="D4345" t="n">
        <v>2</v>
      </c>
      <c r="E4345" t="n">
        <v>4</v>
      </c>
      <c r="F4345" t="inlineStr">
        <is>
          <t>影子仓</t>
        </is>
      </c>
      <c r="G4345" t="n">
        <v>3</v>
      </c>
      <c r="H4345" t="n">
        <v>7395</v>
      </c>
      <c r="I4345" t="n">
        <v>8023.93</v>
      </c>
      <c r="J4345" t="n">
        <v>1</v>
      </c>
      <c r="K4345" t="inlineStr">
        <is>
          <t>凯利≤0，开1%影子仓（只统计，不计入组合）</t>
        </is>
      </c>
    </row>
    <row r="4346">
      <c r="A4346" t="inlineStr">
        <is>
          <t>2025-06-13</t>
        </is>
      </c>
      <c r="B4346" t="inlineStr">
        <is>
          <t>白糖</t>
        </is>
      </c>
      <c r="C4346" t="inlineStr">
        <is>
          <t>空</t>
        </is>
      </c>
      <c r="D4346" t="n">
        <v>2</v>
      </c>
      <c r="E4346" t="n">
        <v>5</v>
      </c>
      <c r="F4346" t="inlineStr">
        <is>
          <t>续持</t>
        </is>
      </c>
      <c r="G4346" t="n">
        <v>9</v>
      </c>
      <c r="H4346" t="n">
        <v>5664</v>
      </c>
      <c r="I4346" t="n">
        <v>5730.29</v>
      </c>
      <c r="J4346" t="n">
        <v>1</v>
      </c>
      <c r="K4346" t="inlineStr">
        <is>
          <t>续持原仓（2025-06-10开）</t>
        </is>
      </c>
    </row>
    <row r="4347">
      <c r="A4347" t="inlineStr">
        <is>
          <t>2025-06-13</t>
        </is>
      </c>
      <c r="B4347" t="inlineStr">
        <is>
          <t>菜粕</t>
        </is>
      </c>
      <c r="C4347" t="inlineStr">
        <is>
          <t>多</t>
        </is>
      </c>
      <c r="D4347" t="n">
        <v>2</v>
      </c>
      <c r="E4347" t="n">
        <v>5</v>
      </c>
      <c r="F4347" t="inlineStr">
        <is>
          <t>影子仓</t>
        </is>
      </c>
      <c r="G4347" t="n">
        <v>7</v>
      </c>
      <c r="H4347" t="n">
        <v>2674</v>
      </c>
      <c r="I4347" t="n">
        <v>2537.07</v>
      </c>
      <c r="J4347" t="n">
        <v>1</v>
      </c>
      <c r="K4347" t="inlineStr">
        <is>
          <t>凯利≤0，开1%影子仓（只统计，不计入组合）</t>
        </is>
      </c>
    </row>
    <row r="4348">
      <c r="A4348" t="inlineStr">
        <is>
          <t>2025-06-13</t>
        </is>
      </c>
      <c r="B4348" t="inlineStr">
        <is>
          <t>硅铁</t>
        </is>
      </c>
      <c r="C4348" t="inlineStr">
        <is>
          <t>空</t>
        </is>
      </c>
      <c r="D4348" t="n">
        <v>2</v>
      </c>
      <c r="E4348" t="n">
        <v>5</v>
      </c>
      <c r="F4348" t="inlineStr">
        <is>
          <t>观望</t>
        </is>
      </c>
      <c r="G4348" t="n">
        <v>6</v>
      </c>
      <c r="H4348" t="n">
        <v>5192</v>
      </c>
      <c r="I4348" t="n">
        <v>5501.43</v>
      </c>
      <c r="J4348" t="n">
        <v>1</v>
      </c>
      <c r="K4348" t="inlineStr">
        <is>
          <t>逆5日线（收盘在5日线上，不追空）</t>
        </is>
      </c>
    </row>
    <row r="4349">
      <c r="A4349" t="inlineStr">
        <is>
          <t>2025-06-13</t>
        </is>
      </c>
      <c r="B4349" t="inlineStr">
        <is>
          <t>螺纹钢</t>
        </is>
      </c>
      <c r="C4349" t="inlineStr">
        <is>
          <t>空</t>
        </is>
      </c>
      <c r="D4349" t="n">
        <v>2</v>
      </c>
      <c r="E4349" t="n">
        <v>5</v>
      </c>
      <c r="F4349" t="inlineStr">
        <is>
          <t>影子仓</t>
        </is>
      </c>
      <c r="G4349" t="n">
        <v>8</v>
      </c>
      <c r="H4349" t="n">
        <v>2969</v>
      </c>
      <c r="I4349" t="n">
        <v>3091.57</v>
      </c>
      <c r="J4349" t="n">
        <v>1</v>
      </c>
      <c r="K4349" t="inlineStr">
        <is>
          <t>凯利≤0，开1%影子仓（只统计，不计入组合）</t>
        </is>
      </c>
    </row>
    <row r="4350">
      <c r="A4350" t="inlineStr">
        <is>
          <t>2025-06-13</t>
        </is>
      </c>
      <c r="B4350" t="inlineStr">
        <is>
          <t>锰硅</t>
        </is>
      </c>
      <c r="C4350" t="inlineStr">
        <is>
          <t>空</t>
        </is>
      </c>
      <c r="D4350" t="n">
        <v>2</v>
      </c>
      <c r="E4350" t="n">
        <v>5</v>
      </c>
      <c r="F4350" t="inlineStr">
        <is>
          <t>影子仓</t>
        </is>
      </c>
      <c r="G4350" t="n">
        <v>6</v>
      </c>
      <c r="H4350" t="n">
        <v>5476</v>
      </c>
      <c r="I4350" t="n">
        <v>5770.86</v>
      </c>
      <c r="J4350" t="n">
        <v>1</v>
      </c>
      <c r="K4350" t="inlineStr">
        <is>
          <t>凯利≤0，开1%影子仓（只统计，不计入组合）</t>
        </is>
      </c>
    </row>
    <row r="4351">
      <c r="A4351" t="inlineStr">
        <is>
          <t>2025-06-13</t>
        </is>
      </c>
      <c r="B4351" t="inlineStr">
        <is>
          <t>工业硅</t>
        </is>
      </c>
      <c r="C4351" t="inlineStr">
        <is>
          <t>空</t>
        </is>
      </c>
      <c r="D4351" t="n">
        <v>2</v>
      </c>
      <c r="E4351" t="n">
        <v>4</v>
      </c>
      <c r="F4351" t="inlineStr">
        <is>
          <t>续持</t>
        </is>
      </c>
      <c r="G4351" t="n">
        <v>3</v>
      </c>
      <c r="H4351" t="n">
        <v>7280</v>
      </c>
      <c r="I4351" t="n">
        <v>7888.21</v>
      </c>
      <c r="J4351" t="n">
        <v>1</v>
      </c>
      <c r="K4351" t="inlineStr">
        <is>
          <t>续持原仓（2025-06-12开）</t>
        </is>
      </c>
    </row>
    <row r="4352">
      <c r="A4352" t="inlineStr">
        <is>
          <t>2025-06-16</t>
        </is>
      </c>
      <c r="B4352" t="inlineStr">
        <is>
          <t>焦煤</t>
        </is>
      </c>
      <c r="C4352" t="inlineStr">
        <is>
          <t>多</t>
        </is>
      </c>
      <c r="D4352" t="n">
        <v>3</v>
      </c>
      <c r="E4352" t="n">
        <v>7</v>
      </c>
      <c r="F4352" t="inlineStr">
        <is>
          <t>开仓</t>
        </is>
      </c>
      <c r="G4352" t="n">
        <v>5</v>
      </c>
      <c r="H4352" t="n">
        <v>795.5</v>
      </c>
      <c r="I4352" t="n">
        <v>709.14</v>
      </c>
      <c r="J4352" t="n">
        <v>3</v>
      </c>
      <c r="K4352" t="inlineStr">
        <is>
          <t>¼凯利超上限，取3%</t>
        </is>
      </c>
    </row>
    <row r="4353">
      <c r="A4353" t="inlineStr">
        <is>
          <t>2025-06-16</t>
        </is>
      </c>
      <c r="B4353" t="inlineStr">
        <is>
          <t>沪铜</t>
        </is>
      </c>
      <c r="C4353" t="inlineStr">
        <is>
          <t>多</t>
        </is>
      </c>
      <c r="D4353" t="n">
        <v>3</v>
      </c>
      <c r="E4353" t="n">
        <v>7</v>
      </c>
      <c r="F4353" t="inlineStr">
        <is>
          <t>观望</t>
        </is>
      </c>
      <c r="H4353" t="n">
        <v>78550</v>
      </c>
      <c r="J4353" t="n">
        <v>0</v>
      </c>
      <c r="K4353" t="inlineStr">
        <is>
          <t>逆5日线（收盘在5日线下，不追多）</t>
        </is>
      </c>
    </row>
    <row r="4354">
      <c r="A4354" t="inlineStr">
        <is>
          <t>2025-06-16</t>
        </is>
      </c>
      <c r="B4354" t="inlineStr">
        <is>
          <t>白糖</t>
        </is>
      </c>
      <c r="C4354" t="inlineStr">
        <is>
          <t>空</t>
        </is>
      </c>
      <c r="D4354" t="n">
        <v>3</v>
      </c>
      <c r="E4354" t="n">
        <v>6</v>
      </c>
      <c r="F4354" t="inlineStr">
        <is>
          <t>续持</t>
        </is>
      </c>
      <c r="G4354" t="n">
        <v>9</v>
      </c>
      <c r="H4354" t="n">
        <v>5667</v>
      </c>
      <c r="I4354" t="n">
        <v>5730.29</v>
      </c>
      <c r="J4354" t="n">
        <v>1</v>
      </c>
      <c r="K4354" t="inlineStr">
        <is>
          <t>续持原仓（2025-06-10开）</t>
        </is>
      </c>
    </row>
    <row r="4355">
      <c r="A4355" t="inlineStr">
        <is>
          <t>2025-06-16</t>
        </is>
      </c>
      <c r="B4355" t="inlineStr">
        <is>
          <t>豆粕</t>
        </is>
      </c>
      <c r="C4355" t="inlineStr">
        <is>
          <t>多</t>
        </is>
      </c>
      <c r="D4355" t="n">
        <v>2</v>
      </c>
      <c r="E4355" t="n">
        <v>5</v>
      </c>
      <c r="F4355" t="inlineStr">
        <is>
          <t>影子仓</t>
        </is>
      </c>
      <c r="G4355" t="n">
        <v>10</v>
      </c>
      <c r="H4355" t="n">
        <v>3045</v>
      </c>
      <c r="I4355" t="n">
        <v>2945.36</v>
      </c>
      <c r="J4355" t="n">
        <v>1</v>
      </c>
      <c r="K4355" t="inlineStr">
        <is>
          <t>凯利≤0，开1%影子仓（只统计，不计入组合）</t>
        </is>
      </c>
    </row>
    <row r="4356">
      <c r="A4356" t="inlineStr">
        <is>
          <t>2025-06-16</t>
        </is>
      </c>
      <c r="B4356" t="inlineStr">
        <is>
          <t>甲醇</t>
        </is>
      </c>
      <c r="C4356" t="inlineStr">
        <is>
          <t>多</t>
        </is>
      </c>
      <c r="D4356" t="n">
        <v>2</v>
      </c>
      <c r="E4356" t="n">
        <v>5</v>
      </c>
      <c r="F4356" t="inlineStr">
        <is>
          <t>影子仓</t>
        </is>
      </c>
      <c r="G4356" t="n">
        <v>6</v>
      </c>
      <c r="H4356" t="n">
        <v>2464</v>
      </c>
      <c r="I4356" t="n">
        <v>2305.43</v>
      </c>
      <c r="J4356" t="n">
        <v>1</v>
      </c>
      <c r="K4356" t="inlineStr">
        <is>
          <t>凯利≤0，开1%影子仓（只统计，不计入组合）</t>
        </is>
      </c>
    </row>
    <row r="4357">
      <c r="A4357" t="inlineStr">
        <is>
          <t>2025-06-16</t>
        </is>
      </c>
      <c r="B4357" t="inlineStr">
        <is>
          <t>塑料</t>
        </is>
      </c>
      <c r="C4357" t="inlineStr">
        <is>
          <t>多</t>
        </is>
      </c>
      <c r="D4357" t="n">
        <v>2</v>
      </c>
      <c r="E4357" t="n">
        <v>5</v>
      </c>
      <c r="F4357" t="inlineStr">
        <is>
          <t>影子仓</t>
        </is>
      </c>
      <c r="G4357" t="n">
        <v>7</v>
      </c>
      <c r="H4357" t="n">
        <v>7338</v>
      </c>
      <c r="I4357" t="n">
        <v>7080.21</v>
      </c>
      <c r="J4357" t="n">
        <v>1</v>
      </c>
      <c r="K4357" t="inlineStr">
        <is>
          <t>凯利≤0，开1%影子仓（只统计，不计入组合）</t>
        </is>
      </c>
    </row>
    <row r="4358">
      <c r="A4358" t="inlineStr">
        <is>
          <t>2025-06-16</t>
        </is>
      </c>
      <c r="B4358" t="inlineStr">
        <is>
          <t>工业硅</t>
        </is>
      </c>
      <c r="C4358" t="inlineStr">
        <is>
          <t>空</t>
        </is>
      </c>
      <c r="D4358" t="n">
        <v>2</v>
      </c>
      <c r="E4358" t="n">
        <v>4</v>
      </c>
      <c r="F4358" t="inlineStr">
        <is>
          <t>续持</t>
        </is>
      </c>
      <c r="G4358" t="n">
        <v>3</v>
      </c>
      <c r="H4358" t="n">
        <v>7370</v>
      </c>
      <c r="I4358" t="n">
        <v>7789.29</v>
      </c>
      <c r="J4358" t="n">
        <v>1</v>
      </c>
      <c r="K4358" t="inlineStr">
        <is>
          <t>续持原仓（2025-06-12开）</t>
        </is>
      </c>
    </row>
    <row r="4359">
      <c r="A4359" t="inlineStr">
        <is>
          <t>2025-06-17</t>
        </is>
      </c>
      <c r="B4359" t="inlineStr">
        <is>
          <t>玻璃</t>
        </is>
      </c>
      <c r="C4359" t="inlineStr">
        <is>
          <t>空</t>
        </is>
      </c>
      <c r="D4359" t="n">
        <v>3</v>
      </c>
      <c r="E4359" t="n">
        <v>7</v>
      </c>
      <c r="F4359" t="inlineStr">
        <is>
          <t>续持</t>
        </is>
      </c>
      <c r="G4359" t="n">
        <v>5</v>
      </c>
      <c r="H4359" t="n">
        <v>974</v>
      </c>
      <c r="I4359" t="n">
        <v>1033.21</v>
      </c>
      <c r="J4359" t="n">
        <v>1</v>
      </c>
      <c r="K4359" t="inlineStr">
        <is>
          <t>续持原仓（2025-05-22开）</t>
        </is>
      </c>
    </row>
    <row r="4360">
      <c r="A4360" t="inlineStr">
        <is>
          <t>2025-06-17</t>
        </is>
      </c>
      <c r="B4360" t="inlineStr">
        <is>
          <t>豆粕</t>
        </is>
      </c>
      <c r="C4360" t="inlineStr">
        <is>
          <t>多</t>
        </is>
      </c>
      <c r="D4360" t="n">
        <v>3</v>
      </c>
      <c r="E4360" t="n">
        <v>7</v>
      </c>
      <c r="F4360" t="inlineStr">
        <is>
          <t>续持</t>
        </is>
      </c>
      <c r="G4360" t="n">
        <v>10</v>
      </c>
      <c r="H4360" t="n">
        <v>3074</v>
      </c>
      <c r="I4360" t="n">
        <v>2983.29</v>
      </c>
      <c r="J4360" t="n">
        <v>1</v>
      </c>
      <c r="K4360" t="inlineStr">
        <is>
          <t>续持原仓（2025-06-16开）</t>
        </is>
      </c>
    </row>
    <row r="4361">
      <c r="A4361" t="inlineStr">
        <is>
          <t>2025-06-17</t>
        </is>
      </c>
      <c r="B4361" t="inlineStr">
        <is>
          <t>锰硅</t>
        </is>
      </c>
      <c r="C4361" t="inlineStr">
        <is>
          <t>空</t>
        </is>
      </c>
      <c r="D4361" t="n">
        <v>3</v>
      </c>
      <c r="E4361" t="n">
        <v>7</v>
      </c>
      <c r="F4361" t="inlineStr">
        <is>
          <t>观望</t>
        </is>
      </c>
      <c r="G4361" t="n">
        <v>20</v>
      </c>
      <c r="H4361" t="n">
        <v>5536</v>
      </c>
      <c r="I4361" t="n">
        <v>5834.71</v>
      </c>
      <c r="J4361" t="n">
        <v>3</v>
      </c>
      <c r="K4361" t="inlineStr">
        <is>
          <t>逆5日线（收盘在5日线上，不追空）</t>
        </is>
      </c>
    </row>
    <row r="4362">
      <c r="A4362" t="inlineStr">
        <is>
          <t>2025-06-17</t>
        </is>
      </c>
      <c r="B4362" t="inlineStr">
        <is>
          <t>苯乙烯</t>
        </is>
      </c>
      <c r="C4362" t="inlineStr">
        <is>
          <t>空</t>
        </is>
      </c>
      <c r="D4362" t="n">
        <v>3</v>
      </c>
      <c r="E4362" t="n">
        <v>6</v>
      </c>
      <c r="F4362" t="inlineStr">
        <is>
          <t>开仓</t>
        </is>
      </c>
      <c r="G4362" t="n">
        <v>10</v>
      </c>
      <c r="H4362" t="n">
        <v>7474</v>
      </c>
      <c r="I4362" t="n">
        <v>8032.86</v>
      </c>
      <c r="J4362" t="n">
        <v>3</v>
      </c>
      <c r="K4362" t="inlineStr">
        <is>
          <t>¼凯利超上限，取3%</t>
        </is>
      </c>
    </row>
    <row r="4363">
      <c r="A4363" t="inlineStr">
        <is>
          <t>2025-06-17</t>
        </is>
      </c>
      <c r="B4363" t="inlineStr">
        <is>
          <t>沪铜</t>
        </is>
      </c>
      <c r="C4363" t="inlineStr">
        <is>
          <t>多</t>
        </is>
      </c>
      <c r="D4363" t="n">
        <v>2</v>
      </c>
      <c r="E4363" t="n">
        <v>5</v>
      </c>
      <c r="F4363" t="inlineStr">
        <is>
          <t>观望</t>
        </is>
      </c>
      <c r="G4363" t="n">
        <v>1</v>
      </c>
      <c r="H4363" t="n">
        <v>78570</v>
      </c>
      <c r="I4363" t="n">
        <v>76680</v>
      </c>
      <c r="J4363" t="n">
        <v>1</v>
      </c>
      <c r="K4363" t="inlineStr">
        <is>
          <t>逆5日线（收盘在5日线下，不追多）</t>
        </is>
      </c>
    </row>
    <row r="4364">
      <c r="A4364" t="inlineStr">
        <is>
          <t>2025-06-17</t>
        </is>
      </c>
      <c r="B4364" t="inlineStr">
        <is>
          <t>工业硅</t>
        </is>
      </c>
      <c r="C4364" t="inlineStr">
        <is>
          <t>空</t>
        </is>
      </c>
      <c r="D4364" t="n">
        <v>2</v>
      </c>
      <c r="E4364" t="n">
        <v>5</v>
      </c>
      <c r="F4364" t="inlineStr">
        <is>
          <t>续持</t>
        </is>
      </c>
      <c r="G4364" t="n">
        <v>3</v>
      </c>
      <c r="H4364" t="n">
        <v>7360</v>
      </c>
      <c r="I4364" t="n">
        <v>7774.29</v>
      </c>
      <c r="J4364" t="n">
        <v>1</v>
      </c>
      <c r="K4364" t="inlineStr">
        <is>
          <t>续持原仓（2025-06-12开）</t>
        </is>
      </c>
    </row>
    <row r="4365">
      <c r="A4365" t="inlineStr">
        <is>
          <t>2025-06-17</t>
        </is>
      </c>
      <c r="B4365" t="inlineStr">
        <is>
          <t>硅铁</t>
        </is>
      </c>
      <c r="C4365" t="inlineStr">
        <is>
          <t>空</t>
        </is>
      </c>
      <c r="D4365" t="n">
        <v>2</v>
      </c>
      <c r="E4365" t="n">
        <v>5</v>
      </c>
      <c r="F4365" t="inlineStr">
        <is>
          <t>观望</t>
        </is>
      </c>
      <c r="G4365" t="n">
        <v>6</v>
      </c>
      <c r="H4365" t="n">
        <v>5264</v>
      </c>
      <c r="I4365" t="n">
        <v>5561.86</v>
      </c>
      <c r="J4365" t="n">
        <v>1</v>
      </c>
      <c r="K4365" t="inlineStr">
        <is>
          <t>逆5日线（收盘在5日线上，不追空）</t>
        </is>
      </c>
    </row>
    <row r="4366">
      <c r="A4366" t="inlineStr">
        <is>
          <t>2025-06-17</t>
        </is>
      </c>
      <c r="B4366" t="inlineStr">
        <is>
          <t>塑料</t>
        </is>
      </c>
      <c r="C4366" t="inlineStr">
        <is>
          <t>多</t>
        </is>
      </c>
      <c r="D4366" t="n">
        <v>2</v>
      </c>
      <c r="E4366" t="n">
        <v>4</v>
      </c>
      <c r="F4366" t="inlineStr">
        <is>
          <t>续持</t>
        </is>
      </c>
      <c r="G4366" t="n">
        <v>7</v>
      </c>
      <c r="H4366" t="n">
        <v>7317</v>
      </c>
      <c r="I4366" t="n">
        <v>7069.5</v>
      </c>
      <c r="J4366" t="n">
        <v>1</v>
      </c>
      <c r="K4366" t="inlineStr">
        <is>
          <t>续持原仓（2025-06-16开）</t>
        </is>
      </c>
    </row>
    <row r="4367">
      <c r="A4367" t="inlineStr">
        <is>
          <t>2025-06-18</t>
        </is>
      </c>
      <c r="B4367" t="inlineStr">
        <is>
          <t>白糖</t>
        </is>
      </c>
      <c r="C4367" t="inlineStr">
        <is>
          <t>空</t>
        </is>
      </c>
      <c r="D4367" t="n">
        <v>3</v>
      </c>
      <c r="E4367" t="n">
        <v>6</v>
      </c>
      <c r="F4367" t="inlineStr">
        <is>
          <t>观望</t>
        </is>
      </c>
      <c r="H4367" t="n">
        <v>5679</v>
      </c>
      <c r="J4367" t="n">
        <v>0</v>
      </c>
      <c r="K4367" t="inlineStr">
        <is>
          <t>逆5日线（收盘在5日线上，不追空）</t>
        </is>
      </c>
    </row>
    <row r="4368">
      <c r="A4368" t="inlineStr">
        <is>
          <t>2025-06-18</t>
        </is>
      </c>
      <c r="B4368" t="inlineStr">
        <is>
          <t>锰硅</t>
        </is>
      </c>
      <c r="C4368" t="inlineStr">
        <is>
          <t>空</t>
        </is>
      </c>
      <c r="D4368" t="n">
        <v>2</v>
      </c>
      <c r="E4368" t="n">
        <v>5</v>
      </c>
      <c r="F4368" t="inlineStr">
        <is>
          <t>观望</t>
        </is>
      </c>
      <c r="G4368" t="n">
        <v>6</v>
      </c>
      <c r="H4368" t="n">
        <v>5556</v>
      </c>
      <c r="I4368" t="n">
        <v>5869.29</v>
      </c>
      <c r="J4368" t="n">
        <v>1</v>
      </c>
      <c r="K4368" t="inlineStr">
        <is>
          <t>逆5日线（收盘在5日线上，不追空）</t>
        </is>
      </c>
    </row>
    <row r="4369">
      <c r="A4369" t="inlineStr">
        <is>
          <t>2025-06-18</t>
        </is>
      </c>
      <c r="B4369" t="inlineStr">
        <is>
          <t>豆粕</t>
        </is>
      </c>
      <c r="C4369" t="inlineStr">
        <is>
          <t>多</t>
        </is>
      </c>
      <c r="D4369" t="n">
        <v>2</v>
      </c>
      <c r="E4369" t="n">
        <v>4</v>
      </c>
      <c r="F4369" t="inlineStr">
        <is>
          <t>续持</t>
        </is>
      </c>
      <c r="G4369" t="n">
        <v>10</v>
      </c>
      <c r="H4369" t="n">
        <v>3062</v>
      </c>
      <c r="I4369" t="n">
        <v>2983.93</v>
      </c>
      <c r="J4369" t="n">
        <v>1</v>
      </c>
      <c r="K4369" t="inlineStr">
        <is>
          <t>续持原仓（2025-06-16开）</t>
        </is>
      </c>
    </row>
    <row r="4370">
      <c r="A4370" t="inlineStr">
        <is>
          <t>2025-06-18</t>
        </is>
      </c>
      <c r="B4370" t="inlineStr">
        <is>
          <t>聚丙烯</t>
        </is>
      </c>
      <c r="C4370" t="inlineStr">
        <is>
          <t>多</t>
        </is>
      </c>
      <c r="D4370" t="n">
        <v>2</v>
      </c>
      <c r="E4370" t="n">
        <v>4</v>
      </c>
      <c r="F4370" t="inlineStr">
        <is>
          <t>影子仓</t>
        </is>
      </c>
      <c r="G4370" t="n">
        <v>9</v>
      </c>
      <c r="H4370" t="n">
        <v>7214</v>
      </c>
      <c r="I4370" t="n">
        <v>6998.64</v>
      </c>
      <c r="J4370" t="n">
        <v>1</v>
      </c>
      <c r="K4370" t="inlineStr">
        <is>
          <t>凯利≤0，开1%影子仓（只统计，不计入组合）</t>
        </is>
      </c>
    </row>
    <row r="4371">
      <c r="A4371" t="inlineStr">
        <is>
          <t>2025-06-18</t>
        </is>
      </c>
      <c r="B4371" t="inlineStr">
        <is>
          <t>沪铝</t>
        </is>
      </c>
      <c r="C4371" t="inlineStr">
        <is>
          <t>多</t>
        </is>
      </c>
      <c r="D4371" t="n">
        <v>2</v>
      </c>
      <c r="E4371" t="n">
        <v>4</v>
      </c>
      <c r="F4371" t="inlineStr">
        <is>
          <t>续持</t>
        </is>
      </c>
      <c r="G4371" t="n">
        <v>10</v>
      </c>
      <c r="H4371" t="n">
        <v>20680</v>
      </c>
      <c r="I4371" t="n">
        <v>20131.07</v>
      </c>
      <c r="J4371" t="n">
        <v>3</v>
      </c>
      <c r="K4371" t="inlineStr">
        <is>
          <t>续持原仓（2025-06-04开）</t>
        </is>
      </c>
    </row>
    <row r="4372">
      <c r="A4372" t="inlineStr">
        <is>
          <t>2025-06-19</t>
        </is>
      </c>
      <c r="B4372" t="inlineStr">
        <is>
          <t>豆油</t>
        </is>
      </c>
      <c r="C4372" t="inlineStr">
        <is>
          <t>多</t>
        </is>
      </c>
      <c r="D4372" t="n">
        <v>3</v>
      </c>
      <c r="E4372" t="n">
        <v>7</v>
      </c>
      <c r="F4372" t="inlineStr">
        <is>
          <t>不做</t>
        </is>
      </c>
      <c r="H4372" t="n">
        <v>8152</v>
      </c>
      <c r="J4372" t="n">
        <v>0</v>
      </c>
      <c r="K4372" t="inlineStr">
        <is>
          <t>组合风险已近10%，预算缩小</t>
        </is>
      </c>
    </row>
    <row r="4373">
      <c r="A4373" t="inlineStr">
        <is>
          <t>2025-06-19</t>
        </is>
      </c>
      <c r="B4373" t="inlineStr">
        <is>
          <t>豆粕</t>
        </is>
      </c>
      <c r="C4373" t="inlineStr">
        <is>
          <t>多</t>
        </is>
      </c>
      <c r="D4373" t="n">
        <v>3</v>
      </c>
      <c r="E4373" t="n">
        <v>6</v>
      </c>
      <c r="F4373" t="inlineStr">
        <is>
          <t>续持</t>
        </is>
      </c>
      <c r="G4373" t="n">
        <v>10</v>
      </c>
      <c r="H4373" t="n">
        <v>3077</v>
      </c>
      <c r="I4373" t="n">
        <v>2985.86</v>
      </c>
      <c r="J4373" t="n">
        <v>1</v>
      </c>
      <c r="K4373" t="inlineStr">
        <is>
          <t>续持原仓（2025-06-16开）</t>
        </is>
      </c>
    </row>
    <row r="4374">
      <c r="A4374" t="inlineStr">
        <is>
          <t>2025-06-19</t>
        </is>
      </c>
      <c r="B4374" t="inlineStr">
        <is>
          <t>PTA</t>
        </is>
      </c>
      <c r="C4374" t="inlineStr">
        <is>
          <t>多</t>
        </is>
      </c>
      <c r="D4374" t="n">
        <v>2</v>
      </c>
      <c r="E4374" t="n">
        <v>5</v>
      </c>
      <c r="F4374" t="inlineStr">
        <is>
          <t>影子仓</t>
        </is>
      </c>
      <c r="G4374" t="n">
        <v>5</v>
      </c>
      <c r="H4374" t="n">
        <v>4988</v>
      </c>
      <c r="I4374" t="n">
        <v>4601</v>
      </c>
      <c r="J4374" t="n">
        <v>1</v>
      </c>
      <c r="K4374" t="inlineStr">
        <is>
          <t>凯利≤0，开1%影子仓（只统计，不计入组合）</t>
        </is>
      </c>
    </row>
    <row r="4375">
      <c r="A4375" t="inlineStr">
        <is>
          <t>2025-06-19</t>
        </is>
      </c>
      <c r="B4375" t="inlineStr">
        <is>
          <t>沪铜</t>
        </is>
      </c>
      <c r="C4375" t="inlineStr">
        <is>
          <t>多</t>
        </is>
      </c>
      <c r="D4375" t="n">
        <v>2</v>
      </c>
      <c r="E4375" t="n">
        <v>5</v>
      </c>
      <c r="F4375" t="inlineStr">
        <is>
          <t>观望</t>
        </is>
      </c>
      <c r="G4375" t="n">
        <v>1</v>
      </c>
      <c r="H4375" t="n">
        <v>78310</v>
      </c>
      <c r="I4375" t="n">
        <v>76370.71000000001</v>
      </c>
      <c r="J4375" t="n">
        <v>1</v>
      </c>
      <c r="K4375" t="inlineStr">
        <is>
          <t>逆5日线（收盘在5日线下，不追多）</t>
        </is>
      </c>
    </row>
    <row r="4376">
      <c r="A4376" t="inlineStr">
        <is>
          <t>2025-06-19</t>
        </is>
      </c>
      <c r="B4376" t="inlineStr">
        <is>
          <t>硅铁</t>
        </is>
      </c>
      <c r="C4376" t="inlineStr">
        <is>
          <t>多</t>
        </is>
      </c>
      <c r="D4376" t="n">
        <v>2</v>
      </c>
      <c r="E4376" t="n">
        <v>4</v>
      </c>
      <c r="F4376" t="inlineStr">
        <is>
          <t>影子仓</t>
        </is>
      </c>
      <c r="G4376" t="n">
        <v>7</v>
      </c>
      <c r="H4376" t="n">
        <v>5310</v>
      </c>
      <c r="I4376" t="n">
        <v>5029.71</v>
      </c>
      <c r="J4376" t="n">
        <v>1</v>
      </c>
      <c r="K4376" t="inlineStr">
        <is>
          <t>凯利≤0，开1%影子仓（只统计，不计入组合）</t>
        </is>
      </c>
    </row>
    <row r="4377">
      <c r="A4377" t="inlineStr">
        <is>
          <t>2025-06-20</t>
        </is>
      </c>
      <c r="B4377" t="inlineStr">
        <is>
          <t>甲醇</t>
        </is>
      </c>
      <c r="C4377" t="inlineStr">
        <is>
          <t>多</t>
        </is>
      </c>
      <c r="D4377" t="n">
        <v>3</v>
      </c>
      <c r="E4377" t="n">
        <v>6</v>
      </c>
      <c r="F4377" t="inlineStr">
        <is>
          <t>开仓</t>
        </is>
      </c>
      <c r="G4377" t="n">
        <v>15</v>
      </c>
      <c r="H4377" t="n">
        <v>2529</v>
      </c>
      <c r="I4377" t="n">
        <v>2340.64</v>
      </c>
      <c r="J4377" t="n">
        <v>3</v>
      </c>
      <c r="K4377" t="inlineStr">
        <is>
          <t>¼凯利超上限，取3%</t>
        </is>
      </c>
    </row>
    <row r="4378">
      <c r="A4378" t="inlineStr">
        <is>
          <t>2025-06-20</t>
        </is>
      </c>
      <c r="B4378" t="inlineStr">
        <is>
          <t>豆粕</t>
        </is>
      </c>
      <c r="C4378" t="inlineStr">
        <is>
          <t>多</t>
        </is>
      </c>
      <c r="D4378" t="n">
        <v>2</v>
      </c>
      <c r="E4378" t="n">
        <v>5</v>
      </c>
      <c r="F4378" t="inlineStr">
        <is>
          <t>续持</t>
        </is>
      </c>
      <c r="G4378" t="n">
        <v>10</v>
      </c>
      <c r="H4378" t="n">
        <v>3067</v>
      </c>
      <c r="I4378" t="n">
        <v>2988.21</v>
      </c>
      <c r="J4378" t="n">
        <v>1</v>
      </c>
      <c r="K4378" t="inlineStr">
        <is>
          <t>续持原仓（2025-06-16开）</t>
        </is>
      </c>
    </row>
    <row r="4379">
      <c r="A4379" t="inlineStr">
        <is>
          <t>2025-06-20</t>
        </is>
      </c>
      <c r="B4379" t="inlineStr">
        <is>
          <t>菜粕</t>
        </is>
      </c>
      <c r="C4379" t="inlineStr">
        <is>
          <t>多</t>
        </is>
      </c>
      <c r="D4379" t="n">
        <v>2</v>
      </c>
      <c r="E4379" t="n">
        <v>4</v>
      </c>
      <c r="F4379" t="inlineStr">
        <is>
          <t>观望</t>
        </is>
      </c>
      <c r="G4379" t="n">
        <v>7</v>
      </c>
      <c r="H4379" t="n">
        <v>2679</v>
      </c>
      <c r="I4379" t="n">
        <v>2553.43</v>
      </c>
      <c r="J4379" t="n">
        <v>1</v>
      </c>
      <c r="K4379" t="inlineStr">
        <is>
          <t>逆5日线（收盘在5日线下，不追多）</t>
        </is>
      </c>
    </row>
    <row r="4380">
      <c r="A4380" t="inlineStr">
        <is>
          <t>2025-06-20</t>
        </is>
      </c>
      <c r="B4380" t="inlineStr">
        <is>
          <t>焦煤</t>
        </is>
      </c>
      <c r="C4380" t="inlineStr">
        <is>
          <t>多</t>
        </is>
      </c>
      <c r="D4380" t="n">
        <v>2</v>
      </c>
      <c r="E4380" t="n">
        <v>4</v>
      </c>
      <c r="F4380" t="inlineStr">
        <is>
          <t>影子仓</t>
        </is>
      </c>
      <c r="G4380" t="n">
        <v>2</v>
      </c>
      <c r="H4380" t="n">
        <v>795</v>
      </c>
      <c r="I4380" t="n">
        <v>713.6799999999999</v>
      </c>
      <c r="J4380" t="n">
        <v>1</v>
      </c>
      <c r="K4380" t="inlineStr">
        <is>
          <t>凯利≤0，开1%影子仓（只统计，不计入组合）</t>
        </is>
      </c>
    </row>
    <row r="4381">
      <c r="A4381" t="inlineStr">
        <is>
          <t>2025-06-23</t>
        </is>
      </c>
      <c r="B4381" t="inlineStr">
        <is>
          <t>焦煤</t>
        </is>
      </c>
      <c r="C4381" t="inlineStr">
        <is>
          <t>多</t>
        </is>
      </c>
      <c r="D4381" t="n">
        <v>3</v>
      </c>
      <c r="E4381" t="n">
        <v>7</v>
      </c>
      <c r="F4381" t="inlineStr">
        <is>
          <t>续持</t>
        </is>
      </c>
      <c r="G4381" t="n">
        <v>2</v>
      </c>
      <c r="H4381" t="n">
        <v>807</v>
      </c>
      <c r="I4381" t="n">
        <v>728.36</v>
      </c>
      <c r="J4381" t="n">
        <v>1</v>
      </c>
      <c r="K4381" t="inlineStr">
        <is>
          <t>续持原仓（2025-06-20开）</t>
        </is>
      </c>
    </row>
    <row r="4382">
      <c r="A4382" t="inlineStr">
        <is>
          <t>2025-06-23</t>
        </is>
      </c>
      <c r="B4382" t="inlineStr">
        <is>
          <t>沥青</t>
        </is>
      </c>
      <c r="C4382" t="inlineStr">
        <is>
          <t>多</t>
        </is>
      </c>
      <c r="D4382" t="n">
        <v>3</v>
      </c>
      <c r="E4382" t="n">
        <v>6</v>
      </c>
      <c r="F4382" t="inlineStr">
        <is>
          <t>开仓</t>
        </is>
      </c>
      <c r="G4382" t="n">
        <v>14</v>
      </c>
      <c r="H4382" t="n">
        <v>3781</v>
      </c>
      <c r="I4382" t="n">
        <v>3577</v>
      </c>
      <c r="J4382" t="n">
        <v>3</v>
      </c>
      <c r="K4382" t="inlineStr">
        <is>
          <t>¼凯利超上限，取3%</t>
        </is>
      </c>
    </row>
    <row r="4383">
      <c r="A4383" t="inlineStr">
        <is>
          <t>2025-06-23</t>
        </is>
      </c>
      <c r="B4383" t="inlineStr">
        <is>
          <t>棕榈油</t>
        </is>
      </c>
      <c r="C4383" t="inlineStr">
        <is>
          <t>多</t>
        </is>
      </c>
      <c r="D4383" t="n">
        <v>2</v>
      </c>
      <c r="E4383" t="n">
        <v>5</v>
      </c>
      <c r="F4383" t="inlineStr">
        <is>
          <t>影子仓</t>
        </is>
      </c>
      <c r="G4383" t="n">
        <v>2</v>
      </c>
      <c r="H4383" t="n">
        <v>8520</v>
      </c>
      <c r="I4383" t="n">
        <v>8133.86</v>
      </c>
      <c r="J4383" t="n">
        <v>1</v>
      </c>
      <c r="K4383" t="inlineStr">
        <is>
          <t>凯利≤0，开1%影子仓（只统计，不计入组合）</t>
        </is>
      </c>
    </row>
    <row r="4384">
      <c r="A4384" t="inlineStr">
        <is>
          <t>2025-06-23</t>
        </is>
      </c>
      <c r="B4384" t="inlineStr">
        <is>
          <t>白糖</t>
        </is>
      </c>
      <c r="C4384" t="inlineStr">
        <is>
          <t>空</t>
        </is>
      </c>
      <c r="D4384" t="n">
        <v>2</v>
      </c>
      <c r="E4384" t="n">
        <v>5</v>
      </c>
      <c r="F4384" t="inlineStr">
        <is>
          <t>观望</t>
        </is>
      </c>
      <c r="G4384" t="n">
        <v>6</v>
      </c>
      <c r="H4384" t="n">
        <v>5721</v>
      </c>
      <c r="I4384" t="n">
        <v>5871.64</v>
      </c>
      <c r="J4384" t="n">
        <v>1</v>
      </c>
      <c r="K4384" t="inlineStr">
        <is>
          <t>逆5日线（收盘在5日线上，不追空）</t>
        </is>
      </c>
    </row>
    <row r="4385">
      <c r="A4385" t="inlineStr">
        <is>
          <t>2025-06-23</t>
        </is>
      </c>
      <c r="B4385" t="inlineStr">
        <is>
          <t>聚丙烯</t>
        </is>
      </c>
      <c r="C4385" t="inlineStr">
        <is>
          <t>多</t>
        </is>
      </c>
      <c r="D4385" t="n">
        <v>2</v>
      </c>
      <c r="E4385" t="n">
        <v>5</v>
      </c>
      <c r="F4385" t="inlineStr">
        <is>
          <t>影子仓</t>
        </is>
      </c>
      <c r="G4385" t="n">
        <v>9</v>
      </c>
      <c r="H4385" t="n">
        <v>7262</v>
      </c>
      <c r="I4385" t="n">
        <v>7040.21</v>
      </c>
      <c r="J4385" t="n">
        <v>1</v>
      </c>
      <c r="K4385" t="inlineStr">
        <is>
          <t>凯利≤0，开1%影子仓（只统计，不计入组合）</t>
        </is>
      </c>
    </row>
    <row r="4386">
      <c r="A4386" t="inlineStr">
        <is>
          <t>2025-06-23</t>
        </is>
      </c>
      <c r="B4386" t="inlineStr">
        <is>
          <t>菜粕</t>
        </is>
      </c>
      <c r="C4386" t="inlineStr">
        <is>
          <t>多</t>
        </is>
      </c>
      <c r="D4386" t="n">
        <v>2</v>
      </c>
      <c r="E4386" t="n">
        <v>4</v>
      </c>
      <c r="F4386" t="inlineStr">
        <is>
          <t>观望</t>
        </is>
      </c>
      <c r="G4386" t="n">
        <v>8</v>
      </c>
      <c r="H4386" t="n">
        <v>2657</v>
      </c>
      <c r="I4386" t="n">
        <v>2538.5</v>
      </c>
      <c r="J4386" t="n">
        <v>1</v>
      </c>
      <c r="K4386" t="inlineStr">
        <is>
          <t>逆5日线（收盘在5日线下，不追多）</t>
        </is>
      </c>
    </row>
    <row r="4387">
      <c r="A4387" t="inlineStr">
        <is>
          <t>2025-06-24</t>
        </is>
      </c>
      <c r="B4387" t="inlineStr">
        <is>
          <t>玉米</t>
        </is>
      </c>
      <c r="C4387" t="inlineStr">
        <is>
          <t>多</t>
        </is>
      </c>
      <c r="D4387" t="n">
        <v>2</v>
      </c>
      <c r="E4387" t="n">
        <v>5</v>
      </c>
      <c r="F4387" t="inlineStr">
        <is>
          <t>观望</t>
        </is>
      </c>
      <c r="G4387" t="n">
        <v>18</v>
      </c>
      <c r="H4387" t="n">
        <v>2389</v>
      </c>
      <c r="I4387" t="n">
        <v>2335.64</v>
      </c>
      <c r="J4387" t="n">
        <v>1</v>
      </c>
      <c r="K4387" t="inlineStr">
        <is>
          <t>逆5日线（收盘在5日线下，不追多）</t>
        </is>
      </c>
    </row>
    <row r="4388">
      <c r="A4388" t="inlineStr">
        <is>
          <t>2025-06-24</t>
        </is>
      </c>
      <c r="B4388" t="inlineStr">
        <is>
          <t>菜粕</t>
        </is>
      </c>
      <c r="C4388" t="inlineStr">
        <is>
          <t>多</t>
        </is>
      </c>
      <c r="D4388" t="n">
        <v>2</v>
      </c>
      <c r="E4388" t="n">
        <v>5</v>
      </c>
      <c r="F4388" t="inlineStr">
        <is>
          <t>观望</t>
        </is>
      </c>
      <c r="G4388" t="n">
        <v>8</v>
      </c>
      <c r="H4388" t="n">
        <v>2662</v>
      </c>
      <c r="I4388" t="n">
        <v>2545.64</v>
      </c>
      <c r="J4388" t="n">
        <v>1</v>
      </c>
      <c r="K4388" t="inlineStr">
        <is>
          <t>逆5日线（收盘在5日线下，不追多）</t>
        </is>
      </c>
    </row>
    <row r="4389">
      <c r="A4389" t="inlineStr">
        <is>
          <t>2025-06-24</t>
        </is>
      </c>
      <c r="B4389" t="inlineStr">
        <is>
          <t>沥青</t>
        </is>
      </c>
      <c r="C4389" t="inlineStr">
        <is>
          <t>多</t>
        </is>
      </c>
      <c r="D4389" t="n">
        <v>2</v>
      </c>
      <c r="E4389" t="n">
        <v>4</v>
      </c>
      <c r="F4389" t="inlineStr">
        <is>
          <t>观望</t>
        </is>
      </c>
      <c r="G4389" t="n">
        <v>4</v>
      </c>
      <c r="H4389" t="n">
        <v>3580</v>
      </c>
      <c r="I4389" t="n">
        <v>3338.5</v>
      </c>
      <c r="J4389" t="n">
        <v>1</v>
      </c>
      <c r="K4389" t="inlineStr">
        <is>
          <t>逆5日线（收盘在5日线下，不追多）</t>
        </is>
      </c>
    </row>
    <row r="4390">
      <c r="A4390" t="inlineStr">
        <is>
          <t>2025-06-24</t>
        </is>
      </c>
      <c r="B4390" t="inlineStr">
        <is>
          <t>沪铜</t>
        </is>
      </c>
      <c r="C4390" t="inlineStr">
        <is>
          <t>多</t>
        </is>
      </c>
      <c r="D4390" t="n">
        <v>2</v>
      </c>
      <c r="E4390" t="n">
        <v>4</v>
      </c>
      <c r="F4390" t="inlineStr">
        <is>
          <t>影子仓</t>
        </is>
      </c>
      <c r="G4390" t="n">
        <v>1</v>
      </c>
      <c r="H4390" t="n">
        <v>78640</v>
      </c>
      <c r="I4390" t="n">
        <v>76822.86</v>
      </c>
      <c r="J4390" t="n">
        <v>1</v>
      </c>
      <c r="K4390" t="inlineStr">
        <is>
          <t>凯利≤0，开1%影子仓（只统计，不计入组合）</t>
        </is>
      </c>
    </row>
    <row r="4391">
      <c r="A4391" t="inlineStr">
        <is>
          <t>2025-06-25</t>
        </is>
      </c>
      <c r="B4391" t="inlineStr">
        <is>
          <t>豆油</t>
        </is>
      </c>
      <c r="C4391" t="inlineStr">
        <is>
          <t>多</t>
        </is>
      </c>
      <c r="D4391" t="n">
        <v>3</v>
      </c>
      <c r="E4391" t="n">
        <v>7</v>
      </c>
      <c r="F4391" t="inlineStr">
        <is>
          <t>观望</t>
        </is>
      </c>
      <c r="G4391" t="n">
        <v>9</v>
      </c>
      <c r="H4391" t="n">
        <v>7984</v>
      </c>
      <c r="I4391" t="n">
        <v>7681.86</v>
      </c>
      <c r="J4391" t="n">
        <v>3</v>
      </c>
      <c r="K4391" t="inlineStr">
        <is>
          <t>逆5日线（收盘在5日线下，不追多）</t>
        </is>
      </c>
    </row>
    <row r="4392">
      <c r="A4392" t="inlineStr">
        <is>
          <t>2025-06-25</t>
        </is>
      </c>
      <c r="B4392" t="inlineStr">
        <is>
          <t>PVC</t>
        </is>
      </c>
      <c r="C4392" t="inlineStr">
        <is>
          <t>多</t>
        </is>
      </c>
      <c r="D4392" t="n">
        <v>3</v>
      </c>
      <c r="E4392" t="n">
        <v>6</v>
      </c>
      <c r="F4392" t="inlineStr">
        <is>
          <t>观望</t>
        </is>
      </c>
      <c r="G4392" t="n">
        <v>32</v>
      </c>
      <c r="H4392" t="n">
        <v>4871</v>
      </c>
      <c r="I4392" t="n">
        <v>4683.5</v>
      </c>
      <c r="J4392" t="n">
        <v>3</v>
      </c>
      <c r="K4392" t="inlineStr">
        <is>
          <t>逆5日线（收盘在5日线下，不追多）</t>
        </is>
      </c>
    </row>
    <row r="4393">
      <c r="A4393" t="inlineStr">
        <is>
          <t>2025-06-25</t>
        </is>
      </c>
      <c r="B4393" t="inlineStr">
        <is>
          <t>沥青</t>
        </is>
      </c>
      <c r="C4393" t="inlineStr">
        <is>
          <t>多</t>
        </is>
      </c>
      <c r="D4393" t="n">
        <v>2</v>
      </c>
      <c r="E4393" t="n">
        <v>5</v>
      </c>
      <c r="F4393" t="inlineStr">
        <is>
          <t>观望</t>
        </is>
      </c>
      <c r="G4393" t="n">
        <v>4</v>
      </c>
      <c r="H4393" t="n">
        <v>3574</v>
      </c>
      <c r="I4393" t="n">
        <v>3330.79</v>
      </c>
      <c r="J4393" t="n">
        <v>1</v>
      </c>
      <c r="K4393" t="inlineStr">
        <is>
          <t>逆5日线（收盘在5日线下，不追多）</t>
        </is>
      </c>
    </row>
    <row r="4394">
      <c r="A4394" t="inlineStr">
        <is>
          <t>2025-06-26</t>
        </is>
      </c>
      <c r="B4394" t="inlineStr">
        <is>
          <t>沪铝</t>
        </is>
      </c>
      <c r="C4394" t="inlineStr">
        <is>
          <t>多</t>
        </is>
      </c>
      <c r="D4394" t="n">
        <v>3</v>
      </c>
      <c r="E4394" t="n">
        <v>7</v>
      </c>
      <c r="F4394" t="inlineStr">
        <is>
          <t>开仓</t>
        </is>
      </c>
      <c r="G4394" t="n">
        <v>10</v>
      </c>
      <c r="H4394" t="n">
        <v>20445</v>
      </c>
      <c r="I4394" t="n">
        <v>19896.43</v>
      </c>
      <c r="J4394" t="n">
        <v>3</v>
      </c>
      <c r="K4394" t="inlineStr">
        <is>
          <t>¼凯利超上限，取3%</t>
        </is>
      </c>
    </row>
    <row r="4395">
      <c r="A4395" t="inlineStr">
        <is>
          <t>2025-06-26</t>
        </is>
      </c>
      <c r="B4395" t="inlineStr">
        <is>
          <t>焦煤</t>
        </is>
      </c>
      <c r="C4395" t="inlineStr">
        <is>
          <t>多</t>
        </is>
      </c>
      <c r="D4395" t="n">
        <v>3</v>
      </c>
      <c r="E4395" t="n">
        <v>6</v>
      </c>
      <c r="F4395" t="inlineStr">
        <is>
          <t>开仓</t>
        </is>
      </c>
      <c r="G4395" t="n">
        <v>6</v>
      </c>
      <c r="H4395" t="n">
        <v>819.5</v>
      </c>
      <c r="I4395" t="n">
        <v>746.86</v>
      </c>
      <c r="J4395" t="n">
        <v>3</v>
      </c>
      <c r="K4395" t="inlineStr">
        <is>
          <t>¼凯利超上限，取3%</t>
        </is>
      </c>
    </row>
    <row r="4396">
      <c r="A4396" t="inlineStr">
        <is>
          <t>2025-06-26</t>
        </is>
      </c>
      <c r="B4396" t="inlineStr">
        <is>
          <t>塑料</t>
        </is>
      </c>
      <c r="C4396" t="inlineStr">
        <is>
          <t>多</t>
        </is>
      </c>
      <c r="D4396" t="n">
        <v>2</v>
      </c>
      <c r="E4396" t="n">
        <v>5</v>
      </c>
      <c r="F4396" t="inlineStr">
        <is>
          <t>观望</t>
        </is>
      </c>
      <c r="G4396" t="n">
        <v>6</v>
      </c>
      <c r="H4396" t="n">
        <v>7300</v>
      </c>
      <c r="I4396" t="n">
        <v>6981.14</v>
      </c>
      <c r="J4396" t="n">
        <v>1</v>
      </c>
      <c r="K4396" t="inlineStr">
        <is>
          <t>逆5日线（收盘在5日线下，不追多）</t>
        </is>
      </c>
    </row>
    <row r="4397">
      <c r="A4397" t="inlineStr">
        <is>
          <t>2025-06-26</t>
        </is>
      </c>
      <c r="B4397" t="inlineStr">
        <is>
          <t>甲醇</t>
        </is>
      </c>
      <c r="C4397" t="inlineStr">
        <is>
          <t>多</t>
        </is>
      </c>
      <c r="D4397" t="n">
        <v>2</v>
      </c>
      <c r="E4397" t="n">
        <v>5</v>
      </c>
      <c r="F4397" t="inlineStr">
        <is>
          <t>观望</t>
        </is>
      </c>
      <c r="G4397" t="n">
        <v>4</v>
      </c>
      <c r="H4397" t="n">
        <v>2417</v>
      </c>
      <c r="I4397" t="n">
        <v>2184.93</v>
      </c>
      <c r="J4397" t="n">
        <v>1</v>
      </c>
      <c r="K4397" t="inlineStr">
        <is>
          <t>逆5日线（收盘在5日线下，不追多）</t>
        </is>
      </c>
    </row>
    <row r="4398">
      <c r="A4398" t="inlineStr">
        <is>
          <t>2025-06-26</t>
        </is>
      </c>
      <c r="B4398" t="inlineStr">
        <is>
          <t>沥青</t>
        </is>
      </c>
      <c r="C4398" t="inlineStr">
        <is>
          <t>多</t>
        </is>
      </c>
      <c r="D4398" t="n">
        <v>2</v>
      </c>
      <c r="E4398" t="n">
        <v>4</v>
      </c>
      <c r="F4398" t="inlineStr">
        <is>
          <t>观望</t>
        </is>
      </c>
      <c r="G4398" t="n">
        <v>4</v>
      </c>
      <c r="H4398" t="n">
        <v>3563</v>
      </c>
      <c r="I4398" t="n">
        <v>3317.64</v>
      </c>
      <c r="J4398" t="n">
        <v>1</v>
      </c>
      <c r="K4398" t="inlineStr">
        <is>
          <t>逆5日线（收盘在5日线下，不追多）</t>
        </is>
      </c>
    </row>
    <row r="4399">
      <c r="A4399" t="inlineStr">
        <is>
          <t>2025-06-27</t>
        </is>
      </c>
      <c r="B4399" t="inlineStr">
        <is>
          <t>PVC</t>
        </is>
      </c>
      <c r="C4399" t="inlineStr">
        <is>
          <t>多</t>
        </is>
      </c>
      <c r="D4399" t="n">
        <v>3</v>
      </c>
      <c r="E4399" t="n">
        <v>6</v>
      </c>
      <c r="F4399" t="inlineStr">
        <is>
          <t>开仓</t>
        </is>
      </c>
      <c r="G4399" t="n">
        <v>10</v>
      </c>
      <c r="H4399" t="n">
        <v>4919</v>
      </c>
      <c r="I4399" t="n">
        <v>4731.29</v>
      </c>
      <c r="J4399" t="n">
        <v>1</v>
      </c>
      <c r="K4399" t="inlineStr">
        <is>
          <t>组合风险已近10%，预算缩小</t>
        </is>
      </c>
    </row>
    <row r="4400">
      <c r="A4400" t="inlineStr">
        <is>
          <t>2025-06-27</t>
        </is>
      </c>
      <c r="B4400" t="inlineStr">
        <is>
          <t>沪铝</t>
        </is>
      </c>
      <c r="C4400" t="inlineStr">
        <is>
          <t>多</t>
        </is>
      </c>
      <c r="D4400" t="n">
        <v>3</v>
      </c>
      <c r="E4400" t="n">
        <v>6</v>
      </c>
      <c r="F4400" t="inlineStr">
        <is>
          <t>续持</t>
        </is>
      </c>
      <c r="G4400" t="n">
        <v>10</v>
      </c>
      <c r="H4400" t="n">
        <v>20580</v>
      </c>
      <c r="I4400" t="n">
        <v>20098.57</v>
      </c>
      <c r="J4400" t="n">
        <v>3</v>
      </c>
      <c r="K4400" t="inlineStr">
        <is>
          <t>续持原仓（2025-06-26开）</t>
        </is>
      </c>
    </row>
    <row r="4401">
      <c r="A4401" t="inlineStr">
        <is>
          <t>2025-06-27</t>
        </is>
      </c>
      <c r="B4401" t="inlineStr">
        <is>
          <t>塑料</t>
        </is>
      </c>
      <c r="C4401" t="inlineStr">
        <is>
          <t>多</t>
        </is>
      </c>
      <c r="D4401" t="n">
        <v>3</v>
      </c>
      <c r="E4401" t="n">
        <v>6</v>
      </c>
      <c r="F4401" t="inlineStr">
        <is>
          <t>观望</t>
        </is>
      </c>
      <c r="H4401" t="n">
        <v>7302</v>
      </c>
      <c r="J4401" t="n">
        <v>0</v>
      </c>
      <c r="K4401" t="inlineStr">
        <is>
          <t>逆5日线（收盘在5日线下，不追多）</t>
        </is>
      </c>
    </row>
    <row r="4402">
      <c r="A4402" t="inlineStr">
        <is>
          <t>2025-06-27</t>
        </is>
      </c>
      <c r="B4402" t="inlineStr">
        <is>
          <t>焦煤</t>
        </is>
      </c>
      <c r="C4402" t="inlineStr">
        <is>
          <t>多</t>
        </is>
      </c>
      <c r="D4402" t="n">
        <v>3</v>
      </c>
      <c r="E4402" t="n">
        <v>6</v>
      </c>
      <c r="F4402" t="inlineStr">
        <is>
          <t>续持</t>
        </is>
      </c>
      <c r="G4402" t="n">
        <v>6</v>
      </c>
      <c r="H4402" t="n">
        <v>847.5</v>
      </c>
      <c r="I4402" t="n">
        <v>773.11</v>
      </c>
      <c r="J4402" t="n">
        <v>3</v>
      </c>
      <c r="K4402" t="inlineStr">
        <is>
          <t>续持原仓（2025-06-26开）</t>
        </is>
      </c>
    </row>
    <row r="4403">
      <c r="A4403" t="inlineStr">
        <is>
          <t>2025-06-27</t>
        </is>
      </c>
      <c r="B4403" t="inlineStr">
        <is>
          <t>豆油</t>
        </is>
      </c>
      <c r="C4403" t="inlineStr">
        <is>
          <t>多</t>
        </is>
      </c>
      <c r="D4403" t="n">
        <v>2</v>
      </c>
      <c r="E4403" t="n">
        <v>5</v>
      </c>
      <c r="F4403" t="inlineStr">
        <is>
          <t>观望</t>
        </is>
      </c>
      <c r="G4403" t="n">
        <v>3</v>
      </c>
      <c r="H4403" t="n">
        <v>8002</v>
      </c>
      <c r="I4403" t="n">
        <v>7705.43</v>
      </c>
      <c r="J4403" t="n">
        <v>1</v>
      </c>
      <c r="K4403" t="inlineStr">
        <is>
          <t>逆5日线（收盘在5日线下，不追多）</t>
        </is>
      </c>
    </row>
    <row r="4404">
      <c r="A4404" t="inlineStr">
        <is>
          <t>2025-06-30</t>
        </is>
      </c>
      <c r="B4404" t="inlineStr">
        <is>
          <t>沪铝</t>
        </is>
      </c>
      <c r="C4404" t="inlineStr">
        <is>
          <t>多</t>
        </is>
      </c>
      <c r="D4404" t="n">
        <v>3</v>
      </c>
      <c r="E4404" t="n">
        <v>6</v>
      </c>
      <c r="F4404" t="inlineStr">
        <is>
          <t>续持</t>
        </is>
      </c>
      <c r="G4404" t="n">
        <v>10</v>
      </c>
      <c r="H4404" t="n">
        <v>20580</v>
      </c>
      <c r="I4404" t="n">
        <v>20099.64</v>
      </c>
      <c r="J4404" t="n">
        <v>3</v>
      </c>
      <c r="K4404" t="inlineStr">
        <is>
          <t>续持原仓（2025-06-26开）</t>
        </is>
      </c>
    </row>
    <row r="4405">
      <c r="A4405" t="inlineStr">
        <is>
          <t>2025-06-30</t>
        </is>
      </c>
      <c r="B4405" t="inlineStr">
        <is>
          <t>工业硅</t>
        </is>
      </c>
      <c r="C4405" t="inlineStr">
        <is>
          <t>多</t>
        </is>
      </c>
      <c r="D4405" t="n">
        <v>3</v>
      </c>
      <c r="E4405" t="n">
        <v>6</v>
      </c>
      <c r="F4405" t="inlineStr">
        <is>
          <t>不做</t>
        </is>
      </c>
      <c r="H4405" t="n">
        <v>8060</v>
      </c>
      <c r="J4405" t="n">
        <v>0</v>
      </c>
      <c r="K4405" t="inlineStr">
        <is>
          <t>组合风险已近10%，预算缩小</t>
        </is>
      </c>
    </row>
    <row r="4406">
      <c r="A4406" t="inlineStr">
        <is>
          <t>2025-06-30</t>
        </is>
      </c>
      <c r="B4406" t="inlineStr">
        <is>
          <t>塑料</t>
        </is>
      </c>
      <c r="C4406" t="inlineStr">
        <is>
          <t>多</t>
        </is>
      </c>
      <c r="D4406" t="n">
        <v>2</v>
      </c>
      <c r="E4406" t="n">
        <v>4</v>
      </c>
      <c r="F4406" t="inlineStr">
        <is>
          <t>观望</t>
        </is>
      </c>
      <c r="G4406" t="n">
        <v>6</v>
      </c>
      <c r="H4406" t="n">
        <v>7261</v>
      </c>
      <c r="I4406" t="n">
        <v>6945.79</v>
      </c>
      <c r="J4406" t="n">
        <v>1</v>
      </c>
      <c r="K4406" t="inlineStr">
        <is>
          <t>逆5日线（收盘在5日线下，不追多）</t>
        </is>
      </c>
    </row>
    <row r="4407">
      <c r="A4407" t="inlineStr">
        <is>
          <t>2025-06-30</t>
        </is>
      </c>
      <c r="B4407" t="inlineStr">
        <is>
          <t>PTA</t>
        </is>
      </c>
      <c r="C4407" t="inlineStr">
        <is>
          <t>多</t>
        </is>
      </c>
      <c r="D4407" t="n">
        <v>2</v>
      </c>
      <c r="E4407" t="n">
        <v>4</v>
      </c>
      <c r="F4407" t="inlineStr">
        <is>
          <t>影子仓</t>
        </is>
      </c>
      <c r="G4407" t="n">
        <v>5</v>
      </c>
      <c r="H4407" t="n">
        <v>4798</v>
      </c>
      <c r="I4407" t="n">
        <v>4408</v>
      </c>
      <c r="J4407" t="n">
        <v>1</v>
      </c>
      <c r="K4407" t="inlineStr">
        <is>
          <t>凯利≤0，开1%影子仓（只统计，不计入组合）</t>
        </is>
      </c>
    </row>
    <row r="4408">
      <c r="A4408" t="inlineStr">
        <is>
          <t>2025-06-30</t>
        </is>
      </c>
      <c r="B4408" t="inlineStr">
        <is>
          <t>白糖</t>
        </is>
      </c>
      <c r="C4408" t="inlineStr">
        <is>
          <t>多</t>
        </is>
      </c>
      <c r="D4408" t="n">
        <v>2</v>
      </c>
      <c r="E4408" t="n">
        <v>4</v>
      </c>
      <c r="F4408" t="inlineStr">
        <is>
          <t>影子仓</t>
        </is>
      </c>
      <c r="G4408" t="n">
        <v>6</v>
      </c>
      <c r="H4408" t="n">
        <v>5807</v>
      </c>
      <c r="I4408" t="n">
        <v>5647.57</v>
      </c>
      <c r="J4408" t="n">
        <v>1</v>
      </c>
      <c r="K4408" t="inlineStr">
        <is>
          <t>凯利≤0，开1%影子仓（只统计，不计入组合）</t>
        </is>
      </c>
    </row>
    <row r="4409">
      <c r="A4409" t="inlineStr">
        <is>
          <t>2025-06-30</t>
        </is>
      </c>
      <c r="B4409" t="inlineStr">
        <is>
          <t>甲醇</t>
        </is>
      </c>
      <c r="C4409" t="inlineStr">
        <is>
          <t>空</t>
        </is>
      </c>
      <c r="D4409" t="n">
        <v>2</v>
      </c>
      <c r="E4409" t="n">
        <v>4</v>
      </c>
      <c r="F4409" t="inlineStr">
        <is>
          <t>影子仓</t>
        </is>
      </c>
      <c r="G4409" t="n">
        <v>4</v>
      </c>
      <c r="H4409" t="n">
        <v>2381</v>
      </c>
      <c r="I4409" t="n">
        <v>2613.93</v>
      </c>
      <c r="J4409" t="n">
        <v>1</v>
      </c>
      <c r="K4409" t="inlineStr">
        <is>
          <t>凯利≤0，开1%影子仓（只统计，不计入组合）</t>
        </is>
      </c>
    </row>
    <row r="4410">
      <c r="A4410" t="inlineStr">
        <is>
          <t>2025-07-01</t>
        </is>
      </c>
      <c r="B4410" t="inlineStr">
        <is>
          <t>沪铜</t>
        </is>
      </c>
      <c r="C4410" t="inlineStr">
        <is>
          <t>多</t>
        </is>
      </c>
      <c r="D4410" t="n">
        <v>3</v>
      </c>
      <c r="E4410" t="n">
        <v>6</v>
      </c>
      <c r="F4410" t="inlineStr">
        <is>
          <t>开仓</t>
        </is>
      </c>
      <c r="G4410" t="n">
        <v>2</v>
      </c>
      <c r="H4410" t="n">
        <v>80640</v>
      </c>
      <c r="I4410" t="n">
        <v>78589.28999999999</v>
      </c>
      <c r="J4410" t="n">
        <v>3</v>
      </c>
      <c r="K4410" t="inlineStr">
        <is>
          <t>¼凯利超上限，取3%</t>
        </is>
      </c>
    </row>
    <row r="4411">
      <c r="A4411" t="inlineStr">
        <is>
          <t>2025-07-01</t>
        </is>
      </c>
      <c r="B4411" t="inlineStr">
        <is>
          <t>塑料</t>
        </is>
      </c>
      <c r="C4411" t="inlineStr">
        <is>
          <t>多</t>
        </is>
      </c>
      <c r="D4411" t="n">
        <v>2</v>
      </c>
      <c r="E4411" t="n">
        <v>5</v>
      </c>
      <c r="F4411" t="inlineStr">
        <is>
          <t>观望</t>
        </is>
      </c>
      <c r="G4411" t="n">
        <v>6</v>
      </c>
      <c r="H4411" t="n">
        <v>7249</v>
      </c>
      <c r="I4411" t="n">
        <v>6930.57</v>
      </c>
      <c r="J4411" t="n">
        <v>1</v>
      </c>
      <c r="K4411" t="inlineStr">
        <is>
          <t>逆5日线（收盘在5日线下，不追多）</t>
        </is>
      </c>
    </row>
    <row r="4412">
      <c r="A4412" t="inlineStr">
        <is>
          <t>2025-07-01</t>
        </is>
      </c>
      <c r="B4412" t="inlineStr">
        <is>
          <t>螺纹钢</t>
        </is>
      </c>
      <c r="C4412" t="inlineStr">
        <is>
          <t>多</t>
        </is>
      </c>
      <c r="D4412" t="n">
        <v>2</v>
      </c>
      <c r="E4412" t="n">
        <v>5</v>
      </c>
      <c r="F4412" t="inlineStr">
        <is>
          <t>影子仓</t>
        </is>
      </c>
      <c r="G4412" t="n">
        <v>11</v>
      </c>
      <c r="H4412" t="n">
        <v>3003</v>
      </c>
      <c r="I4412" t="n">
        <v>2914.07</v>
      </c>
      <c r="J4412" t="n">
        <v>1</v>
      </c>
      <c r="K4412" t="inlineStr">
        <is>
          <t>凯利≤0，开1%影子仓（只统计，不计入组合）</t>
        </is>
      </c>
    </row>
    <row r="4413">
      <c r="A4413" t="inlineStr">
        <is>
          <t>2025-07-01</t>
        </is>
      </c>
      <c r="B4413" t="inlineStr">
        <is>
          <t>沪锌</t>
        </is>
      </c>
      <c r="C4413" t="inlineStr">
        <is>
          <t>多</t>
        </is>
      </c>
      <c r="D4413" t="n">
        <v>2</v>
      </c>
      <c r="E4413" t="n">
        <v>5</v>
      </c>
      <c r="F4413" t="inlineStr">
        <is>
          <t>观望</t>
        </is>
      </c>
      <c r="G4413" t="n">
        <v>2</v>
      </c>
      <c r="H4413" t="n">
        <v>22255</v>
      </c>
      <c r="I4413" t="n">
        <v>21468.57</v>
      </c>
      <c r="J4413" t="n">
        <v>1</v>
      </c>
      <c r="K4413" t="inlineStr">
        <is>
          <t>逆5日线（收盘在5日线下，不追多）</t>
        </is>
      </c>
    </row>
    <row r="4414">
      <c r="A4414" t="inlineStr">
        <is>
          <t>2025-07-01</t>
        </is>
      </c>
      <c r="B4414" t="inlineStr">
        <is>
          <t>甲醇</t>
        </is>
      </c>
      <c r="C4414" t="inlineStr">
        <is>
          <t>空</t>
        </is>
      </c>
      <c r="D4414" t="n">
        <v>2</v>
      </c>
      <c r="E4414" t="n">
        <v>5</v>
      </c>
      <c r="F4414" t="inlineStr">
        <is>
          <t>续持</t>
        </is>
      </c>
      <c r="G4414" t="n">
        <v>4</v>
      </c>
      <c r="H4414" t="n">
        <v>2384</v>
      </c>
      <c r="I4414" t="n">
        <v>2593.29</v>
      </c>
      <c r="J4414" t="n">
        <v>1</v>
      </c>
      <c r="K4414" t="inlineStr">
        <is>
          <t>续持原仓（2025-06-30开）</t>
        </is>
      </c>
    </row>
    <row r="4415">
      <c r="A4415" t="inlineStr">
        <is>
          <t>2025-07-01</t>
        </is>
      </c>
      <c r="B4415" t="inlineStr">
        <is>
          <t>豆油</t>
        </is>
      </c>
      <c r="C4415" t="inlineStr">
        <is>
          <t>多</t>
        </is>
      </c>
      <c r="D4415" t="n">
        <v>2</v>
      </c>
      <c r="E4415" t="n">
        <v>4</v>
      </c>
      <c r="F4415" t="inlineStr">
        <is>
          <t>观望</t>
        </is>
      </c>
      <c r="G4415" t="n">
        <v>3</v>
      </c>
      <c r="H4415" t="n">
        <v>7972</v>
      </c>
      <c r="I4415" t="n">
        <v>7679.71</v>
      </c>
      <c r="J4415" t="n">
        <v>1</v>
      </c>
      <c r="K4415" t="inlineStr">
        <is>
          <t>逆5日线（收盘在5日线下，不追多）</t>
        </is>
      </c>
    </row>
    <row r="4416">
      <c r="A4416" t="inlineStr">
        <is>
          <t>2025-07-02</t>
        </is>
      </c>
      <c r="B4416" t="inlineStr">
        <is>
          <t>菜油</t>
        </is>
      </c>
      <c r="C4416" t="inlineStr">
        <is>
          <t>多</t>
        </is>
      </c>
      <c r="D4416" t="n">
        <v>3</v>
      </c>
      <c r="E4416" t="n">
        <v>7</v>
      </c>
      <c r="F4416" t="inlineStr">
        <is>
          <t>开仓</t>
        </is>
      </c>
      <c r="G4416" t="n">
        <v>7</v>
      </c>
      <c r="H4416" t="n">
        <v>9619</v>
      </c>
      <c r="I4416" t="n">
        <v>9220.209999999999</v>
      </c>
      <c r="J4416" t="n">
        <v>3</v>
      </c>
      <c r="K4416" t="inlineStr">
        <is>
          <t>¼凯利超上限，取3%</t>
        </is>
      </c>
    </row>
    <row r="4417">
      <c r="A4417" t="inlineStr">
        <is>
          <t>2025-07-02</t>
        </is>
      </c>
      <c r="B4417" t="inlineStr">
        <is>
          <t>豆油</t>
        </is>
      </c>
      <c r="C4417" t="inlineStr">
        <is>
          <t>多</t>
        </is>
      </c>
      <c r="D4417" t="n">
        <v>3</v>
      </c>
      <c r="E4417" t="n">
        <v>7</v>
      </c>
      <c r="F4417" t="inlineStr">
        <is>
          <t>不做</t>
        </is>
      </c>
      <c r="H4417" t="n">
        <v>8018</v>
      </c>
      <c r="J4417" t="n">
        <v>0</v>
      </c>
      <c r="K4417" t="inlineStr">
        <is>
          <t>组合风险已近10%，预算缩小</t>
        </is>
      </c>
    </row>
    <row r="4418">
      <c r="A4418" t="inlineStr">
        <is>
          <t>2025-07-02</t>
        </is>
      </c>
      <c r="B4418" t="inlineStr">
        <is>
          <t>热卷</t>
        </is>
      </c>
      <c r="C4418" t="inlineStr">
        <is>
          <t>多</t>
        </is>
      </c>
      <c r="D4418" t="n">
        <v>2</v>
      </c>
      <c r="E4418" t="n">
        <v>5</v>
      </c>
      <c r="F4418" t="inlineStr">
        <is>
          <t>影子仓</t>
        </is>
      </c>
      <c r="G4418" t="n">
        <v>10</v>
      </c>
      <c r="H4418" t="n">
        <v>3191</v>
      </c>
      <c r="I4418" t="n">
        <v>3093.71</v>
      </c>
      <c r="J4418" t="n">
        <v>1</v>
      </c>
      <c r="K4418" t="inlineStr">
        <is>
          <t>凯利≤0，开1%影子仓（只统计，不计入组合）</t>
        </is>
      </c>
    </row>
    <row r="4419">
      <c r="A4419" t="inlineStr">
        <is>
          <t>2025-07-02</t>
        </is>
      </c>
      <c r="B4419" t="inlineStr">
        <is>
          <t>螺纹钢</t>
        </is>
      </c>
      <c r="C4419" t="inlineStr">
        <is>
          <t>多</t>
        </is>
      </c>
      <c r="D4419" t="n">
        <v>2</v>
      </c>
      <c r="E4419" t="n">
        <v>5</v>
      </c>
      <c r="F4419" t="inlineStr">
        <is>
          <t>续持</t>
        </is>
      </c>
      <c r="G4419" t="n">
        <v>11</v>
      </c>
      <c r="H4419" t="n">
        <v>3065</v>
      </c>
      <c r="I4419" t="n">
        <v>2974.14</v>
      </c>
      <c r="J4419" t="n">
        <v>1</v>
      </c>
      <c r="K4419" t="inlineStr">
        <is>
          <t>续持原仓（2025-07-01开）</t>
        </is>
      </c>
    </row>
    <row r="4420">
      <c r="A4420" t="inlineStr">
        <is>
          <t>2025-07-02</t>
        </is>
      </c>
      <c r="B4420" t="inlineStr">
        <is>
          <t>沪锌</t>
        </is>
      </c>
      <c r="C4420" t="inlineStr">
        <is>
          <t>多</t>
        </is>
      </c>
      <c r="D4420" t="n">
        <v>2</v>
      </c>
      <c r="E4420" t="n">
        <v>5</v>
      </c>
      <c r="F4420" t="inlineStr">
        <is>
          <t>观望</t>
        </is>
      </c>
      <c r="G4420" t="n">
        <v>2</v>
      </c>
      <c r="H4420" t="n">
        <v>22230</v>
      </c>
      <c r="I4420" t="n">
        <v>21450</v>
      </c>
      <c r="J4420" t="n">
        <v>1</v>
      </c>
      <c r="K4420" t="inlineStr">
        <is>
          <t>逆5日线（收盘在5日线下，不追多）</t>
        </is>
      </c>
    </row>
    <row r="4421">
      <c r="A4421" t="inlineStr">
        <is>
          <t>2025-07-02</t>
        </is>
      </c>
      <c r="B4421" t="inlineStr">
        <is>
          <t>甲醇</t>
        </is>
      </c>
      <c r="C4421" t="inlineStr">
        <is>
          <t>空</t>
        </is>
      </c>
      <c r="D4421" t="n">
        <v>2</v>
      </c>
      <c r="E4421" t="n">
        <v>4</v>
      </c>
      <c r="F4421" t="inlineStr">
        <is>
          <t>观望</t>
        </is>
      </c>
      <c r="G4421" t="n">
        <v>4</v>
      </c>
      <c r="H4421" t="n">
        <v>2404</v>
      </c>
      <c r="I4421" t="n">
        <v>2636.71</v>
      </c>
      <c r="J4421" t="n">
        <v>1</v>
      </c>
      <c r="K4421" t="inlineStr">
        <is>
          <t>逆5日线（收盘在5日线上，不追空）</t>
        </is>
      </c>
    </row>
    <row r="4422">
      <c r="A4422" t="inlineStr">
        <is>
          <t>2025-07-03</t>
        </is>
      </c>
      <c r="B4422" t="inlineStr">
        <is>
          <t>热卷</t>
        </is>
      </c>
      <c r="C4422" t="inlineStr">
        <is>
          <t>多</t>
        </is>
      </c>
      <c r="D4422" t="n">
        <v>3</v>
      </c>
      <c r="E4422" t="n">
        <v>7</v>
      </c>
      <c r="F4422" t="inlineStr">
        <is>
          <t>续持</t>
        </is>
      </c>
      <c r="G4422" t="n">
        <v>10</v>
      </c>
      <c r="H4422" t="n">
        <v>3208</v>
      </c>
      <c r="I4422" t="n">
        <v>3120.57</v>
      </c>
      <c r="J4422" t="n">
        <v>1</v>
      </c>
      <c r="K4422" t="inlineStr">
        <is>
          <t>续持原仓（2025-07-02开）</t>
        </is>
      </c>
    </row>
    <row r="4423">
      <c r="A4423" t="inlineStr">
        <is>
          <t>2025-07-03</t>
        </is>
      </c>
      <c r="B4423" t="inlineStr">
        <is>
          <t>螺纹钢</t>
        </is>
      </c>
      <c r="C4423" t="inlineStr">
        <is>
          <t>多</t>
        </is>
      </c>
      <c r="D4423" t="n">
        <v>3</v>
      </c>
      <c r="E4423" t="n">
        <v>6</v>
      </c>
      <c r="F4423" t="inlineStr">
        <is>
          <t>续持</t>
        </is>
      </c>
      <c r="G4423" t="n">
        <v>11</v>
      </c>
      <c r="H4423" t="n">
        <v>3076</v>
      </c>
      <c r="I4423" t="n">
        <v>2991.07</v>
      </c>
      <c r="J4423" t="n">
        <v>1</v>
      </c>
      <c r="K4423" t="inlineStr">
        <is>
          <t>续持原仓（2025-07-01开）</t>
        </is>
      </c>
    </row>
    <row r="4424">
      <c r="A4424" t="inlineStr">
        <is>
          <t>2025-07-03</t>
        </is>
      </c>
      <c r="B4424" t="inlineStr">
        <is>
          <t>菜粕</t>
        </is>
      </c>
      <c r="C4424" t="inlineStr">
        <is>
          <t>多</t>
        </is>
      </c>
      <c r="D4424" t="n">
        <v>3</v>
      </c>
      <c r="E4424" t="n">
        <v>6</v>
      </c>
      <c r="F4424" t="inlineStr">
        <is>
          <t>开仓</t>
        </is>
      </c>
      <c r="G4424" t="n">
        <v>22</v>
      </c>
      <c r="H4424" t="n">
        <v>2601</v>
      </c>
      <c r="I4424" t="n">
        <v>2469.64</v>
      </c>
      <c r="J4424" t="n">
        <v>3</v>
      </c>
      <c r="K4424" t="inlineStr">
        <is>
          <t>¼凯利超上限，取3%</t>
        </is>
      </c>
    </row>
    <row r="4425">
      <c r="A4425" t="inlineStr">
        <is>
          <t>2025-07-03</t>
        </is>
      </c>
      <c r="B4425" t="inlineStr">
        <is>
          <t>沪锌</t>
        </is>
      </c>
      <c r="C4425" t="inlineStr">
        <is>
          <t>多</t>
        </is>
      </c>
      <c r="D4425" t="n">
        <v>3</v>
      </c>
      <c r="E4425" t="n">
        <v>6</v>
      </c>
      <c r="F4425" t="inlineStr">
        <is>
          <t>观望</t>
        </is>
      </c>
      <c r="H4425" t="n">
        <v>22325</v>
      </c>
      <c r="J4425" t="n">
        <v>0</v>
      </c>
      <c r="K4425" t="inlineStr">
        <is>
          <t>逆5日线（收盘在5日线下，不追多）</t>
        </is>
      </c>
    </row>
    <row r="4426">
      <c r="A4426" t="inlineStr">
        <is>
          <t>2025-07-03</t>
        </is>
      </c>
      <c r="B4426" t="inlineStr">
        <is>
          <t>工业硅</t>
        </is>
      </c>
      <c r="C4426" t="inlineStr">
        <is>
          <t>多</t>
        </is>
      </c>
      <c r="D4426" t="n">
        <v>2</v>
      </c>
      <c r="E4426" t="n">
        <v>5</v>
      </c>
      <c r="F4426" t="inlineStr">
        <is>
          <t>观望</t>
        </is>
      </c>
      <c r="G4426" t="n">
        <v>2</v>
      </c>
      <c r="H4426" t="n">
        <v>8010</v>
      </c>
      <c r="I4426" t="n">
        <v>7307.14</v>
      </c>
      <c r="J4426" t="n">
        <v>1</v>
      </c>
      <c r="K4426" t="inlineStr">
        <is>
          <t>逆5日线（收盘在5日线下，不追多）</t>
        </is>
      </c>
    </row>
    <row r="4427">
      <c r="A4427" t="inlineStr">
        <is>
          <t>2025-07-04</t>
        </is>
      </c>
      <c r="B4427" t="inlineStr">
        <is>
          <t>沪镍</t>
        </is>
      </c>
      <c r="C4427" t="inlineStr">
        <is>
          <t>多</t>
        </is>
      </c>
      <c r="D4427" t="n">
        <v>3</v>
      </c>
      <c r="E4427" t="n">
        <v>7</v>
      </c>
      <c r="F4427" t="inlineStr">
        <is>
          <t>不做</t>
        </is>
      </c>
      <c r="H4427" t="n">
        <v>122270</v>
      </c>
      <c r="J4427" t="n">
        <v>0</v>
      </c>
      <c r="K4427" t="inlineStr">
        <is>
          <t>组合风险已近10%，预算缩小</t>
        </is>
      </c>
    </row>
    <row r="4428">
      <c r="A4428" t="inlineStr">
        <is>
          <t>2025-07-04</t>
        </is>
      </c>
      <c r="B4428" t="inlineStr">
        <is>
          <t>玉米</t>
        </is>
      </c>
      <c r="C4428" t="inlineStr">
        <is>
          <t>空</t>
        </is>
      </c>
      <c r="D4428" t="n">
        <v>3</v>
      </c>
      <c r="E4428" t="n">
        <v>6</v>
      </c>
      <c r="F4428" t="inlineStr">
        <is>
          <t>不做</t>
        </is>
      </c>
      <c r="H4428" t="n">
        <v>2353</v>
      </c>
      <c r="J4428" t="n">
        <v>0</v>
      </c>
      <c r="K4428" t="inlineStr">
        <is>
          <t>组合风险已近10%，预算缩小</t>
        </is>
      </c>
    </row>
    <row r="4429">
      <c r="A4429" t="inlineStr">
        <is>
          <t>2025-07-04</t>
        </is>
      </c>
      <c r="B4429" t="inlineStr">
        <is>
          <t>菜油</t>
        </is>
      </c>
      <c r="C4429" t="inlineStr">
        <is>
          <t>多</t>
        </is>
      </c>
      <c r="D4429" t="n">
        <v>3</v>
      </c>
      <c r="E4429" t="n">
        <v>6</v>
      </c>
      <c r="F4429" t="inlineStr">
        <is>
          <t>不做</t>
        </is>
      </c>
      <c r="H4429" t="n">
        <v>9607</v>
      </c>
      <c r="J4429" t="n">
        <v>0</v>
      </c>
      <c r="K4429" t="inlineStr">
        <is>
          <t>组合风险已近10%，预算缩小</t>
        </is>
      </c>
    </row>
    <row r="4430">
      <c r="A4430" t="inlineStr">
        <is>
          <t>2025-07-04</t>
        </is>
      </c>
      <c r="B4430" t="inlineStr">
        <is>
          <t>沪铝</t>
        </is>
      </c>
      <c r="C4430" t="inlineStr">
        <is>
          <t>多</t>
        </is>
      </c>
      <c r="D4430" t="n">
        <v>3</v>
      </c>
      <c r="E4430" t="n">
        <v>6</v>
      </c>
      <c r="F4430" t="inlineStr">
        <is>
          <t>不做</t>
        </is>
      </c>
      <c r="H4430" t="n">
        <v>20635</v>
      </c>
      <c r="J4430" t="n">
        <v>0</v>
      </c>
      <c r="K4430" t="inlineStr">
        <is>
          <t>组合风险已近10%，预算缩小</t>
        </is>
      </c>
    </row>
    <row r="4431">
      <c r="A4431" t="inlineStr">
        <is>
          <t>2025-07-04</t>
        </is>
      </c>
      <c r="B4431" t="inlineStr">
        <is>
          <t>棕榈油</t>
        </is>
      </c>
      <c r="C4431" t="inlineStr">
        <is>
          <t>多</t>
        </is>
      </c>
      <c r="D4431" t="n">
        <v>2</v>
      </c>
      <c r="E4431" t="n">
        <v>4</v>
      </c>
      <c r="F4431" t="inlineStr">
        <is>
          <t>影子仓</t>
        </is>
      </c>
      <c r="G4431" t="n">
        <v>3</v>
      </c>
      <c r="H4431" t="n">
        <v>8472</v>
      </c>
      <c r="I4431" t="n">
        <v>8151</v>
      </c>
      <c r="J4431" t="n">
        <v>1</v>
      </c>
      <c r="K4431" t="inlineStr">
        <is>
          <t>凯利≤0，开1%影子仓（只统计，不计入组合）</t>
        </is>
      </c>
    </row>
    <row r="4432">
      <c r="A4432" t="inlineStr">
        <is>
          <t>2025-07-04</t>
        </is>
      </c>
      <c r="B4432" t="inlineStr">
        <is>
          <t>热卷</t>
        </is>
      </c>
      <c r="C4432" t="inlineStr">
        <is>
          <t>多</t>
        </is>
      </c>
      <c r="D4432" t="n">
        <v>2</v>
      </c>
      <c r="E4432" t="n">
        <v>4</v>
      </c>
      <c r="F4432" t="inlineStr">
        <is>
          <t>续持</t>
        </is>
      </c>
      <c r="G4432" t="n">
        <v>10</v>
      </c>
      <c r="H4432" t="n">
        <v>3201</v>
      </c>
      <c r="I4432" t="n">
        <v>3132</v>
      </c>
      <c r="J4432" t="n">
        <v>1</v>
      </c>
      <c r="K4432" t="inlineStr">
        <is>
          <t>续持原仓（2025-07-02开）</t>
        </is>
      </c>
    </row>
    <row r="4433">
      <c r="A4433" t="inlineStr">
        <is>
          <t>2025-07-04</t>
        </is>
      </c>
      <c r="B4433" t="inlineStr">
        <is>
          <t>PTA</t>
        </is>
      </c>
      <c r="C4433" t="inlineStr">
        <is>
          <t>空</t>
        </is>
      </c>
      <c r="D4433" t="n">
        <v>2</v>
      </c>
      <c r="E4433" t="n">
        <v>4</v>
      </c>
      <c r="F4433" t="inlineStr">
        <is>
          <t>影子仓</t>
        </is>
      </c>
      <c r="G4433" t="n">
        <v>5</v>
      </c>
      <c r="H4433" t="n">
        <v>4710</v>
      </c>
      <c r="I4433" t="n">
        <v>5044.29</v>
      </c>
      <c r="J4433" t="n">
        <v>1</v>
      </c>
      <c r="K4433" t="inlineStr">
        <is>
          <t>凯利≤0，开1%影子仓（只统计，不计入组合）</t>
        </is>
      </c>
    </row>
    <row r="4434">
      <c r="A4434" t="inlineStr">
        <is>
          <t>2025-07-07</t>
        </is>
      </c>
      <c r="B4434" t="inlineStr">
        <is>
          <t>玉米</t>
        </is>
      </c>
      <c r="C4434" t="inlineStr">
        <is>
          <t>空</t>
        </is>
      </c>
      <c r="D4434" t="n">
        <v>2</v>
      </c>
      <c r="E4434" t="n">
        <v>5</v>
      </c>
      <c r="F4434" t="inlineStr">
        <is>
          <t>影子仓</t>
        </is>
      </c>
      <c r="G4434" t="n">
        <v>18</v>
      </c>
      <c r="H4434" t="n">
        <v>2326</v>
      </c>
      <c r="I4434" t="n">
        <v>2378.93</v>
      </c>
      <c r="J4434" t="n">
        <v>1</v>
      </c>
      <c r="K4434" t="inlineStr">
        <is>
          <t>凯利≤0，开1%影子仓（只统计，不计入组合）</t>
        </is>
      </c>
    </row>
    <row r="4435">
      <c r="A4435" t="inlineStr">
        <is>
          <t>2025-07-07</t>
        </is>
      </c>
      <c r="B4435" t="inlineStr">
        <is>
          <t>棕榈油</t>
        </is>
      </c>
      <c r="C4435" t="inlineStr">
        <is>
          <t>多</t>
        </is>
      </c>
      <c r="D4435" t="n">
        <v>2</v>
      </c>
      <c r="E4435" t="n">
        <v>4</v>
      </c>
      <c r="F4435" t="inlineStr">
        <is>
          <t>续持</t>
        </is>
      </c>
      <c r="G4435" t="n">
        <v>3</v>
      </c>
      <c r="H4435" t="n">
        <v>8466</v>
      </c>
      <c r="I4435" t="n">
        <v>8175</v>
      </c>
      <c r="J4435" t="n">
        <v>1</v>
      </c>
      <c r="K4435" t="inlineStr">
        <is>
          <t>续持原仓（2025-07-04开）</t>
        </is>
      </c>
    </row>
    <row r="4436">
      <c r="A4436" t="inlineStr">
        <is>
          <t>2025-07-07</t>
        </is>
      </c>
      <c r="B4436" t="inlineStr">
        <is>
          <t>沪铝</t>
        </is>
      </c>
      <c r="C4436" t="inlineStr">
        <is>
          <t>多</t>
        </is>
      </c>
      <c r="D4436" t="n">
        <v>2</v>
      </c>
      <c r="E4436" t="n">
        <v>4</v>
      </c>
      <c r="F4436" t="inlineStr">
        <is>
          <t>观望</t>
        </is>
      </c>
      <c r="G4436" t="n">
        <v>3</v>
      </c>
      <c r="H4436" t="n">
        <v>20410</v>
      </c>
      <c r="I4436" t="n">
        <v>19901.07</v>
      </c>
      <c r="J4436" t="n">
        <v>1</v>
      </c>
      <c r="K4436" t="inlineStr">
        <is>
          <t>逆5日线（收盘在5日线下，不追多）</t>
        </is>
      </c>
    </row>
    <row r="4437">
      <c r="A4437" t="inlineStr">
        <is>
          <t>2025-07-07</t>
        </is>
      </c>
      <c r="B4437" t="inlineStr">
        <is>
          <t>硅铁</t>
        </is>
      </c>
      <c r="C4437" t="inlineStr">
        <is>
          <t>空</t>
        </is>
      </c>
      <c r="D4437" t="n">
        <v>2</v>
      </c>
      <c r="E4437" t="n">
        <v>4</v>
      </c>
      <c r="F4437" t="inlineStr">
        <is>
          <t>影子仓</t>
        </is>
      </c>
      <c r="G4437" t="n">
        <v>7</v>
      </c>
      <c r="H4437" t="n">
        <v>5364</v>
      </c>
      <c r="I4437" t="n">
        <v>5637.43</v>
      </c>
      <c r="J4437" t="n">
        <v>1</v>
      </c>
      <c r="K4437" t="inlineStr">
        <is>
          <t>凯利≤0，开1%影子仓（只统计，不计入组合）</t>
        </is>
      </c>
    </row>
    <row r="4438">
      <c r="A4438" t="inlineStr">
        <is>
          <t>2025-07-08</t>
        </is>
      </c>
      <c r="B4438" t="inlineStr">
        <is>
          <t>棕榈油</t>
        </is>
      </c>
      <c r="C4438" t="inlineStr">
        <is>
          <t>多</t>
        </is>
      </c>
      <c r="D4438" t="n">
        <v>3</v>
      </c>
      <c r="E4438" t="n">
        <v>7</v>
      </c>
      <c r="F4438" t="inlineStr">
        <is>
          <t>续持</t>
        </is>
      </c>
      <c r="G4438" t="n">
        <v>3</v>
      </c>
      <c r="H4438" t="n">
        <v>8644</v>
      </c>
      <c r="I4438" t="n">
        <v>8331.43</v>
      </c>
      <c r="J4438" t="n">
        <v>1</v>
      </c>
      <c r="K4438" t="inlineStr">
        <is>
          <t>续持原仓（2025-07-04开）</t>
        </is>
      </c>
    </row>
    <row r="4439">
      <c r="A4439" t="inlineStr">
        <is>
          <t>2025-07-08</t>
        </is>
      </c>
      <c r="B4439" t="inlineStr">
        <is>
          <t>沪铝</t>
        </is>
      </c>
      <c r="C4439" t="inlineStr">
        <is>
          <t>多</t>
        </is>
      </c>
      <c r="D4439" t="n">
        <v>3</v>
      </c>
      <c r="E4439" t="n">
        <v>6</v>
      </c>
      <c r="F4439" t="inlineStr">
        <is>
          <t>观望</t>
        </is>
      </c>
      <c r="H4439" t="n">
        <v>20525</v>
      </c>
      <c r="J4439" t="n">
        <v>0</v>
      </c>
      <c r="K4439" t="inlineStr">
        <is>
          <t>逆5日线（收盘在5日线下，不追多）</t>
        </is>
      </c>
    </row>
    <row r="4440">
      <c r="A4440" t="inlineStr">
        <is>
          <t>2025-07-08</t>
        </is>
      </c>
      <c r="B4440" t="inlineStr">
        <is>
          <t>沪锌</t>
        </is>
      </c>
      <c r="C4440" t="inlineStr">
        <is>
          <t>多</t>
        </is>
      </c>
      <c r="D4440" t="n">
        <v>3</v>
      </c>
      <c r="E4440" t="n">
        <v>6</v>
      </c>
      <c r="F4440" t="inlineStr">
        <is>
          <t>观望</t>
        </is>
      </c>
      <c r="H4440" t="n">
        <v>22050</v>
      </c>
      <c r="J4440" t="n">
        <v>0</v>
      </c>
      <c r="K4440" t="inlineStr">
        <is>
          <t>逆5日线（收盘在5日线下，不追多）</t>
        </is>
      </c>
    </row>
    <row r="4441">
      <c r="A4441" t="inlineStr">
        <is>
          <t>2025-07-08</t>
        </is>
      </c>
      <c r="B4441" t="inlineStr">
        <is>
          <t>碳酸锂</t>
        </is>
      </c>
      <c r="C4441" t="inlineStr">
        <is>
          <t>多</t>
        </is>
      </c>
      <c r="D4441" t="n">
        <v>3</v>
      </c>
      <c r="E4441" t="n">
        <v>6</v>
      </c>
      <c r="F4441" t="inlineStr">
        <is>
          <t>不做</t>
        </is>
      </c>
      <c r="H4441" t="n">
        <v>63880</v>
      </c>
      <c r="J4441" t="n">
        <v>0</v>
      </c>
      <c r="K4441" t="inlineStr">
        <is>
          <t>组合风险已近10%，预算缩小</t>
        </is>
      </c>
    </row>
    <row r="4442">
      <c r="A4442" t="inlineStr">
        <is>
          <t>2025-07-08</t>
        </is>
      </c>
      <c r="B4442" t="inlineStr">
        <is>
          <t>菜粕</t>
        </is>
      </c>
      <c r="C4442" t="inlineStr">
        <is>
          <t>多</t>
        </is>
      </c>
      <c r="D4442" t="n">
        <v>2</v>
      </c>
      <c r="E4442" t="n">
        <v>5</v>
      </c>
      <c r="F4442" t="inlineStr">
        <is>
          <t>观望</t>
        </is>
      </c>
      <c r="G4442" t="n">
        <v>7</v>
      </c>
      <c r="H4442" t="n">
        <v>2576</v>
      </c>
      <c r="I4442" t="n">
        <v>2447.64</v>
      </c>
      <c r="J4442" t="n">
        <v>1</v>
      </c>
      <c r="K4442" t="inlineStr">
        <is>
          <t>逆5日线（收盘在5日线下，不追多）</t>
        </is>
      </c>
    </row>
    <row r="4443">
      <c r="A4443" t="inlineStr">
        <is>
          <t>2025-07-08</t>
        </is>
      </c>
      <c r="B4443" t="inlineStr">
        <is>
          <t>玉米</t>
        </is>
      </c>
      <c r="C4443" t="inlineStr">
        <is>
          <t>空</t>
        </is>
      </c>
      <c r="D4443" t="n">
        <v>2</v>
      </c>
      <c r="E4443" t="n">
        <v>4</v>
      </c>
      <c r="F4443" t="inlineStr">
        <is>
          <t>续持</t>
        </is>
      </c>
      <c r="G4443" t="n">
        <v>18</v>
      </c>
      <c r="H4443" t="n">
        <v>2321</v>
      </c>
      <c r="I4443" t="n">
        <v>2362.29</v>
      </c>
      <c r="J4443" t="n">
        <v>1</v>
      </c>
      <c r="K4443" t="inlineStr">
        <is>
          <t>续持原仓（2025-07-07开）</t>
        </is>
      </c>
    </row>
    <row r="4444">
      <c r="A4444" t="inlineStr">
        <is>
          <t>2025-07-08</t>
        </is>
      </c>
      <c r="B4444" t="inlineStr">
        <is>
          <t>硅铁</t>
        </is>
      </c>
      <c r="C4444" t="inlineStr">
        <is>
          <t>空</t>
        </is>
      </c>
      <c r="D4444" t="n">
        <v>2</v>
      </c>
      <c r="E4444" t="n">
        <v>4</v>
      </c>
      <c r="F4444" t="inlineStr">
        <is>
          <t>续持</t>
        </is>
      </c>
      <c r="G4444" t="n">
        <v>7</v>
      </c>
      <c r="H4444" t="n">
        <v>5350</v>
      </c>
      <c r="I4444" t="n">
        <v>5584.43</v>
      </c>
      <c r="J4444" t="n">
        <v>1</v>
      </c>
      <c r="K4444" t="inlineStr">
        <is>
          <t>续持原仓（2025-07-07开）</t>
        </is>
      </c>
    </row>
    <row r="4445">
      <c r="A4445" t="inlineStr">
        <is>
          <t>2025-07-09</t>
        </is>
      </c>
      <c r="B4445" t="inlineStr">
        <is>
          <t>铁矿石</t>
        </is>
      </c>
      <c r="C4445" t="inlineStr">
        <is>
          <t>多</t>
        </is>
      </c>
      <c r="D4445" t="n">
        <v>3</v>
      </c>
      <c r="E4445" t="n">
        <v>6</v>
      </c>
      <c r="F4445" t="inlineStr">
        <is>
          <t>开仓</t>
        </is>
      </c>
      <c r="G4445" t="n">
        <v>9</v>
      </c>
      <c r="H4445" t="n">
        <v>736.5</v>
      </c>
      <c r="I4445" t="n">
        <v>704.89</v>
      </c>
      <c r="J4445" t="n">
        <v>3</v>
      </c>
      <c r="K4445" t="inlineStr">
        <is>
          <t>¼凯利超上限，取3%</t>
        </is>
      </c>
    </row>
    <row r="4446">
      <c r="A4446" t="inlineStr">
        <is>
          <t>2025-07-09</t>
        </is>
      </c>
      <c r="B4446" t="inlineStr">
        <is>
          <t>玉米</t>
        </is>
      </c>
      <c r="C4446" t="inlineStr">
        <is>
          <t>空</t>
        </is>
      </c>
      <c r="D4446" t="n">
        <v>2</v>
      </c>
      <c r="E4446" t="n">
        <v>5</v>
      </c>
      <c r="F4446" t="inlineStr">
        <is>
          <t>续持</t>
        </is>
      </c>
      <c r="G4446" t="n">
        <v>18</v>
      </c>
      <c r="H4446" t="n">
        <v>2319</v>
      </c>
      <c r="I4446" t="n">
        <v>2361.86</v>
      </c>
      <c r="J4446" t="n">
        <v>1</v>
      </c>
      <c r="K4446" t="inlineStr">
        <is>
          <t>续持原仓（2025-07-07开）</t>
        </is>
      </c>
    </row>
    <row r="4447">
      <c r="A4447" t="inlineStr">
        <is>
          <t>2025-07-09</t>
        </is>
      </c>
      <c r="B4447" t="inlineStr">
        <is>
          <t>热卷</t>
        </is>
      </c>
      <c r="C4447" t="inlineStr">
        <is>
          <t>多</t>
        </is>
      </c>
      <c r="D4447" t="n">
        <v>2</v>
      </c>
      <c r="E4447" t="n">
        <v>5</v>
      </c>
      <c r="F4447" t="inlineStr">
        <is>
          <t>观望</t>
        </is>
      </c>
      <c r="G4447" t="n">
        <v>10</v>
      </c>
      <c r="H4447" t="n">
        <v>3190</v>
      </c>
      <c r="I4447" t="n">
        <v>3095.5</v>
      </c>
      <c r="J4447" t="n">
        <v>1</v>
      </c>
      <c r="K4447" t="inlineStr">
        <is>
          <t>逆5日线（收盘在5日线下，不追多）</t>
        </is>
      </c>
    </row>
    <row r="4448">
      <c r="A4448" t="inlineStr">
        <is>
          <t>2025-07-09</t>
        </is>
      </c>
      <c r="B4448" t="inlineStr">
        <is>
          <t>焦煤</t>
        </is>
      </c>
      <c r="C4448" t="inlineStr">
        <is>
          <t>多</t>
        </is>
      </c>
      <c r="D4448" t="n">
        <v>2</v>
      </c>
      <c r="E4448" t="n">
        <v>5</v>
      </c>
      <c r="F4448" t="inlineStr">
        <is>
          <t>影子仓</t>
        </is>
      </c>
      <c r="G4448" t="n">
        <v>2</v>
      </c>
      <c r="H4448" t="n">
        <v>871.5</v>
      </c>
      <c r="I4448" t="n">
        <v>792.3200000000001</v>
      </c>
      <c r="J4448" t="n">
        <v>1</v>
      </c>
      <c r="K4448" t="inlineStr">
        <is>
          <t>凯利≤0，开1%影子仓（只统计，不计入组合）</t>
        </is>
      </c>
    </row>
    <row r="4449">
      <c r="A4449" t="inlineStr">
        <is>
          <t>2025-07-09</t>
        </is>
      </c>
      <c r="B4449" t="inlineStr">
        <is>
          <t>螺纹钢</t>
        </is>
      </c>
      <c r="C4449" t="inlineStr">
        <is>
          <t>多</t>
        </is>
      </c>
      <c r="D4449" t="n">
        <v>2</v>
      </c>
      <c r="E4449" t="n">
        <v>4</v>
      </c>
      <c r="F4449" t="inlineStr">
        <is>
          <t>观望</t>
        </is>
      </c>
      <c r="G4449" t="n">
        <v>10</v>
      </c>
      <c r="H4449" t="n">
        <v>3063</v>
      </c>
      <c r="I4449" t="n">
        <v>2971.29</v>
      </c>
      <c r="J4449" t="n">
        <v>1</v>
      </c>
      <c r="K4449" t="inlineStr">
        <is>
          <t>逆5日线（收盘在5日线下，不追多）</t>
        </is>
      </c>
    </row>
    <row r="4450">
      <c r="A4450" t="inlineStr">
        <is>
          <t>2025-07-09</t>
        </is>
      </c>
      <c r="B4450" t="inlineStr">
        <is>
          <t>沪金</t>
        </is>
      </c>
      <c r="C4450" t="inlineStr">
        <is>
          <t>空</t>
        </is>
      </c>
      <c r="D4450" t="n">
        <v>2</v>
      </c>
      <c r="E4450" t="n">
        <v>4</v>
      </c>
      <c r="F4450" t="inlineStr">
        <is>
          <t>不做</t>
        </is>
      </c>
      <c r="H4450" t="n">
        <v>766.8200000000001</v>
      </c>
      <c r="J4450" t="n">
        <v>1</v>
      </c>
      <c r="K4450" t="inlineStr">
        <is>
          <t>1手风险26533元超过预算10000元</t>
        </is>
      </c>
    </row>
    <row r="4451">
      <c r="A4451" t="inlineStr">
        <is>
          <t>2025-07-09</t>
        </is>
      </c>
      <c r="B4451" t="inlineStr">
        <is>
          <t>菜粕</t>
        </is>
      </c>
      <c r="C4451" t="inlineStr">
        <is>
          <t>多</t>
        </is>
      </c>
      <c r="D4451" t="n">
        <v>2</v>
      </c>
      <c r="E4451" t="n">
        <v>4</v>
      </c>
      <c r="F4451" t="inlineStr">
        <is>
          <t>观望</t>
        </is>
      </c>
      <c r="G4451" t="n">
        <v>7</v>
      </c>
      <c r="H4451" t="n">
        <v>2586</v>
      </c>
      <c r="I4451" t="n">
        <v>2454.21</v>
      </c>
      <c r="J4451" t="n">
        <v>1</v>
      </c>
      <c r="K4451" t="inlineStr">
        <is>
          <t>逆5日线（收盘在5日线下，不追多）</t>
        </is>
      </c>
    </row>
    <row r="4452">
      <c r="A4452" t="inlineStr">
        <is>
          <t>2025-07-10</t>
        </is>
      </c>
      <c r="B4452" t="inlineStr">
        <is>
          <t>螺纹钢</t>
        </is>
      </c>
      <c r="C4452" t="inlineStr">
        <is>
          <t>多</t>
        </is>
      </c>
      <c r="D4452" t="n">
        <v>3</v>
      </c>
      <c r="E4452" t="n">
        <v>6</v>
      </c>
      <c r="F4452" t="inlineStr">
        <is>
          <t>开仓</t>
        </is>
      </c>
      <c r="G4452" t="n">
        <v>29</v>
      </c>
      <c r="H4452" t="n">
        <v>3123</v>
      </c>
      <c r="I4452" t="n">
        <v>3022.29</v>
      </c>
      <c r="J4452" t="n">
        <v>3</v>
      </c>
      <c r="K4452" t="inlineStr">
        <is>
          <t>¼凯利超上限，取3%</t>
        </is>
      </c>
    </row>
    <row r="4453">
      <c r="A4453" t="inlineStr">
        <is>
          <t>2025-07-10</t>
        </is>
      </c>
      <c r="B4453" t="inlineStr">
        <is>
          <t>燃料油</t>
        </is>
      </c>
      <c r="C4453" t="inlineStr">
        <is>
          <t>空</t>
        </is>
      </c>
      <c r="D4453" t="n">
        <v>3</v>
      </c>
      <c r="E4453" t="n">
        <v>6</v>
      </c>
      <c r="F4453" t="inlineStr">
        <is>
          <t>观望</t>
        </is>
      </c>
      <c r="H4453" t="n">
        <v>2972</v>
      </c>
      <c r="J4453" t="n">
        <v>0</v>
      </c>
      <c r="K4453" t="inlineStr">
        <is>
          <t>逆5日线（收盘在5日线上，不追空）</t>
        </is>
      </c>
    </row>
    <row r="4454">
      <c r="A4454" t="inlineStr">
        <is>
          <t>2025-07-10</t>
        </is>
      </c>
      <c r="B4454" t="inlineStr">
        <is>
          <t>沪铝</t>
        </is>
      </c>
      <c r="C4454" t="inlineStr">
        <is>
          <t>多</t>
        </is>
      </c>
      <c r="D4454" t="n">
        <v>2</v>
      </c>
      <c r="E4454" t="n">
        <v>5</v>
      </c>
      <c r="F4454" t="inlineStr">
        <is>
          <t>影子仓</t>
        </is>
      </c>
      <c r="G4454" t="n">
        <v>4</v>
      </c>
      <c r="H4454" t="n">
        <v>20700</v>
      </c>
      <c r="I4454" t="n">
        <v>20203.93</v>
      </c>
      <c r="J4454" t="n">
        <v>1</v>
      </c>
      <c r="K4454" t="inlineStr">
        <is>
          <t>凯利≤0，开1%影子仓（只统计，不计入组合）</t>
        </is>
      </c>
    </row>
    <row r="4455">
      <c r="A4455" t="inlineStr">
        <is>
          <t>2025-07-10</t>
        </is>
      </c>
      <c r="B4455" t="inlineStr">
        <is>
          <t>玉米</t>
        </is>
      </c>
      <c r="C4455" t="inlineStr">
        <is>
          <t>空</t>
        </is>
      </c>
      <c r="D4455" t="n">
        <v>2</v>
      </c>
      <c r="E4455" t="n">
        <v>4</v>
      </c>
      <c r="F4455" t="inlineStr">
        <is>
          <t>续持</t>
        </is>
      </c>
      <c r="G4455" t="n">
        <v>18</v>
      </c>
      <c r="H4455" t="n">
        <v>2320</v>
      </c>
      <c r="I4455" t="n">
        <v>2361.86</v>
      </c>
      <c r="J4455" t="n">
        <v>1</v>
      </c>
      <c r="K4455" t="inlineStr">
        <is>
          <t>续持原仓（2025-07-07开）</t>
        </is>
      </c>
    </row>
    <row r="4456">
      <c r="A4456" t="inlineStr">
        <is>
          <t>2025-07-10</t>
        </is>
      </c>
      <c r="B4456" t="inlineStr">
        <is>
          <t>菜粕</t>
        </is>
      </c>
      <c r="C4456" t="inlineStr">
        <is>
          <t>多</t>
        </is>
      </c>
      <c r="D4456" t="n">
        <v>2</v>
      </c>
      <c r="E4456" t="n">
        <v>4</v>
      </c>
      <c r="F4456" t="inlineStr">
        <is>
          <t>续持</t>
        </is>
      </c>
      <c r="G4456" t="n">
        <v>22</v>
      </c>
      <c r="H4456" t="n">
        <v>2611</v>
      </c>
      <c r="I4456" t="n">
        <v>2493.64</v>
      </c>
      <c r="J4456" t="n">
        <v>3</v>
      </c>
      <c r="K4456" t="inlineStr">
        <is>
          <t>续持原仓（2025-07-03开）</t>
        </is>
      </c>
    </row>
    <row r="4457">
      <c r="A4457" t="inlineStr">
        <is>
          <t>2025-07-10</t>
        </is>
      </c>
      <c r="B4457" t="inlineStr">
        <is>
          <t>塑料</t>
        </is>
      </c>
      <c r="C4457" t="inlineStr">
        <is>
          <t>多</t>
        </is>
      </c>
      <c r="D4457" t="n">
        <v>2</v>
      </c>
      <c r="E4457" t="n">
        <v>4</v>
      </c>
      <c r="F4457" t="inlineStr">
        <is>
          <t>影子仓</t>
        </is>
      </c>
      <c r="G4457" t="n">
        <v>8</v>
      </c>
      <c r="H4457" t="n">
        <v>7329</v>
      </c>
      <c r="I4457" t="n">
        <v>7102.29</v>
      </c>
      <c r="J4457" t="n">
        <v>1</v>
      </c>
      <c r="K4457" t="inlineStr">
        <is>
          <t>凯利≤0，开1%影子仓（只统计，不计入组合）</t>
        </is>
      </c>
    </row>
    <row r="4458">
      <c r="A4458" t="inlineStr">
        <is>
          <t>2025-07-11</t>
        </is>
      </c>
      <c r="B4458" t="inlineStr">
        <is>
          <t>铁矿石</t>
        </is>
      </c>
      <c r="C4458" t="inlineStr">
        <is>
          <t>多</t>
        </is>
      </c>
      <c r="D4458" t="n">
        <v>3</v>
      </c>
      <c r="E4458" t="n">
        <v>6</v>
      </c>
      <c r="F4458" t="inlineStr">
        <is>
          <t>开仓</t>
        </is>
      </c>
      <c r="G4458" t="n">
        <v>8</v>
      </c>
      <c r="H4458" t="n">
        <v>764</v>
      </c>
      <c r="I4458" t="n">
        <v>727.89</v>
      </c>
      <c r="J4458" t="n">
        <v>3</v>
      </c>
      <c r="K4458" t="inlineStr">
        <is>
          <t>¼凯利超上限，取3%</t>
        </is>
      </c>
    </row>
    <row r="4459">
      <c r="A4459" t="inlineStr">
        <is>
          <t>2025-07-11</t>
        </is>
      </c>
      <c r="B4459" t="inlineStr">
        <is>
          <t>玉米</t>
        </is>
      </c>
      <c r="C4459" t="inlineStr">
        <is>
          <t>空</t>
        </is>
      </c>
      <c r="D4459" t="n">
        <v>2</v>
      </c>
      <c r="E4459" t="n">
        <v>5</v>
      </c>
      <c r="F4459" t="inlineStr">
        <is>
          <t>续持</t>
        </is>
      </c>
      <c r="G4459" t="n">
        <v>18</v>
      </c>
      <c r="H4459" t="n">
        <v>2306</v>
      </c>
      <c r="I4459" t="n">
        <v>2357.36</v>
      </c>
      <c r="J4459" t="n">
        <v>1</v>
      </c>
      <c r="K4459" t="inlineStr">
        <is>
          <t>续持原仓（2025-07-07开）</t>
        </is>
      </c>
    </row>
    <row r="4460">
      <c r="A4460" t="inlineStr">
        <is>
          <t>2025-07-11</t>
        </is>
      </c>
      <c r="B4460" t="inlineStr">
        <is>
          <t>燃料油</t>
        </is>
      </c>
      <c r="C4460" t="inlineStr">
        <is>
          <t>空</t>
        </is>
      </c>
      <c r="D4460" t="n">
        <v>2</v>
      </c>
      <c r="E4460" t="n">
        <v>5</v>
      </c>
      <c r="F4460" t="inlineStr">
        <is>
          <t>影子仓</t>
        </is>
      </c>
      <c r="G4460" t="n">
        <v>5</v>
      </c>
      <c r="H4460" t="n">
        <v>2911</v>
      </c>
      <c r="I4460" t="n">
        <v>3106.21</v>
      </c>
      <c r="J4460" t="n">
        <v>1</v>
      </c>
      <c r="K4460" t="inlineStr">
        <is>
          <t>凯利≤0，开1%影子仓（只统计，不计入组合）</t>
        </is>
      </c>
    </row>
    <row r="4461">
      <c r="A4461" t="inlineStr">
        <is>
          <t>2025-07-11</t>
        </is>
      </c>
      <c r="B4461" t="inlineStr">
        <is>
          <t>碳酸锂</t>
        </is>
      </c>
      <c r="C4461" t="inlineStr">
        <is>
          <t>多</t>
        </is>
      </c>
      <c r="D4461" t="n">
        <v>2</v>
      </c>
      <c r="E4461" t="n">
        <v>4</v>
      </c>
      <c r="F4461" t="inlineStr">
        <is>
          <t>影子仓</t>
        </is>
      </c>
      <c r="G4461" t="n">
        <v>2</v>
      </c>
      <c r="H4461" t="n">
        <v>64280</v>
      </c>
      <c r="I4461" t="n">
        <v>59797.14</v>
      </c>
      <c r="J4461" t="n">
        <v>1</v>
      </c>
      <c r="K4461" t="inlineStr">
        <is>
          <t>凯利≤0，开1%影子仓（只统计，不计入组合）</t>
        </is>
      </c>
    </row>
    <row r="4462">
      <c r="A4462" t="inlineStr">
        <is>
          <t>2025-07-14</t>
        </is>
      </c>
      <c r="B4462" t="inlineStr">
        <is>
          <t>铁矿石</t>
        </is>
      </c>
      <c r="C4462" t="inlineStr">
        <is>
          <t>多</t>
        </is>
      </c>
      <c r="D4462" t="n">
        <v>3</v>
      </c>
      <c r="E4462" t="n">
        <v>7</v>
      </c>
      <c r="F4462" t="inlineStr">
        <is>
          <t>续持</t>
        </is>
      </c>
      <c r="G4462" t="n">
        <v>8</v>
      </c>
      <c r="H4462" t="n">
        <v>766.5</v>
      </c>
      <c r="I4462" t="n">
        <v>733.71</v>
      </c>
      <c r="J4462" t="n">
        <v>3</v>
      </c>
      <c r="K4462" t="inlineStr">
        <is>
          <t>续持原仓（2025-07-11开）</t>
        </is>
      </c>
    </row>
    <row r="4463">
      <c r="A4463" t="inlineStr">
        <is>
          <t>2025-07-14</t>
        </is>
      </c>
      <c r="B4463" t="inlineStr">
        <is>
          <t>棕榈油</t>
        </is>
      </c>
      <c r="C4463" t="inlineStr">
        <is>
          <t>多</t>
        </is>
      </c>
      <c r="D4463" t="n">
        <v>3</v>
      </c>
      <c r="E4463" t="n">
        <v>6</v>
      </c>
      <c r="F4463" t="inlineStr">
        <is>
          <t>开仓</t>
        </is>
      </c>
      <c r="G4463" t="n">
        <v>9</v>
      </c>
      <c r="H4463" t="n">
        <v>8748</v>
      </c>
      <c r="I4463" t="n">
        <v>8418</v>
      </c>
      <c r="J4463" t="n">
        <v>3</v>
      </c>
      <c r="K4463" t="inlineStr">
        <is>
          <t>¼凯利超上限，取3%</t>
        </is>
      </c>
    </row>
    <row r="4464">
      <c r="A4464" t="inlineStr">
        <is>
          <t>2025-07-14</t>
        </is>
      </c>
      <c r="B4464" t="inlineStr">
        <is>
          <t>PVC</t>
        </is>
      </c>
      <c r="C4464" t="inlineStr">
        <is>
          <t>多</t>
        </is>
      </c>
      <c r="D4464" t="n">
        <v>2</v>
      </c>
      <c r="E4464" t="n">
        <v>5</v>
      </c>
      <c r="F4464" t="inlineStr">
        <is>
          <t>续持</t>
        </is>
      </c>
      <c r="G4464" t="n">
        <v>10</v>
      </c>
      <c r="H4464" t="n">
        <v>5010</v>
      </c>
      <c r="I4464" t="n">
        <v>4854.07</v>
      </c>
      <c r="J4464" t="n">
        <v>1</v>
      </c>
      <c r="K4464" t="inlineStr">
        <is>
          <t>续持原仓（2025-06-27开）</t>
        </is>
      </c>
    </row>
    <row r="4465">
      <c r="A4465" t="inlineStr">
        <is>
          <t>2025-07-15</t>
        </is>
      </c>
      <c r="B4465" t="inlineStr">
        <is>
          <t>燃料油</t>
        </is>
      </c>
      <c r="C4465" t="inlineStr">
        <is>
          <t>空</t>
        </is>
      </c>
      <c r="D4465" t="n">
        <v>3</v>
      </c>
      <c r="E4465" t="n">
        <v>7</v>
      </c>
      <c r="F4465" t="inlineStr">
        <is>
          <t>续持</t>
        </is>
      </c>
      <c r="G4465" t="n">
        <v>5</v>
      </c>
      <c r="H4465" t="n">
        <v>2840</v>
      </c>
      <c r="I4465" t="n">
        <v>2968.79</v>
      </c>
      <c r="J4465" t="n">
        <v>1</v>
      </c>
      <c r="K4465" t="inlineStr">
        <is>
          <t>续持原仓（2025-07-11开）</t>
        </is>
      </c>
    </row>
    <row r="4466">
      <c r="A4466" t="inlineStr">
        <is>
          <t>2025-07-15</t>
        </is>
      </c>
      <c r="B4466" t="inlineStr">
        <is>
          <t>热卷</t>
        </is>
      </c>
      <c r="C4466" t="inlineStr">
        <is>
          <t>多</t>
        </is>
      </c>
      <c r="D4466" t="n">
        <v>3</v>
      </c>
      <c r="E4466" t="n">
        <v>6</v>
      </c>
      <c r="F4466" t="inlineStr">
        <is>
          <t>不做</t>
        </is>
      </c>
      <c r="H4466" t="n">
        <v>3259</v>
      </c>
      <c r="J4466" t="n">
        <v>0</v>
      </c>
      <c r="K4466" t="inlineStr">
        <is>
          <t>与铁矿石高度相关（同组≤3%），预算缩小</t>
        </is>
      </c>
    </row>
    <row r="4467">
      <c r="A4467" t="inlineStr">
        <is>
          <t>2025-07-15</t>
        </is>
      </c>
      <c r="B4467" t="inlineStr">
        <is>
          <t>沪锌</t>
        </is>
      </c>
      <c r="C4467" t="inlineStr">
        <is>
          <t>多</t>
        </is>
      </c>
      <c r="D4467" t="n">
        <v>3</v>
      </c>
      <c r="E4467" t="n">
        <v>6</v>
      </c>
      <c r="F4467" t="inlineStr">
        <is>
          <t>观望</t>
        </is>
      </c>
      <c r="G4467" t="n">
        <v>7</v>
      </c>
      <c r="H4467" t="n">
        <v>22070</v>
      </c>
      <c r="I4467" t="n">
        <v>21312.5</v>
      </c>
      <c r="J4467" t="n">
        <v>3</v>
      </c>
      <c r="K4467" t="inlineStr">
        <is>
          <t>逆5日线（收盘在5日线下，不追多）</t>
        </is>
      </c>
    </row>
    <row r="4468">
      <c r="A4468" t="inlineStr">
        <is>
          <t>2025-07-15</t>
        </is>
      </c>
      <c r="B4468" t="inlineStr">
        <is>
          <t>玉米</t>
        </is>
      </c>
      <c r="C4468" t="inlineStr">
        <is>
          <t>空</t>
        </is>
      </c>
      <c r="D4468" t="n">
        <v>2</v>
      </c>
      <c r="E4468" t="n">
        <v>5</v>
      </c>
      <c r="F4468" t="inlineStr">
        <is>
          <t>影子仓</t>
        </is>
      </c>
      <c r="G4468" t="n">
        <v>18</v>
      </c>
      <c r="H4468" t="n">
        <v>2295</v>
      </c>
      <c r="I4468" t="n">
        <v>2348.57</v>
      </c>
      <c r="J4468" t="n">
        <v>1</v>
      </c>
      <c r="K4468" t="inlineStr">
        <is>
          <t>凯利≤0，开1%影子仓（只统计，不计入组合）</t>
        </is>
      </c>
    </row>
    <row r="4469">
      <c r="A4469" t="inlineStr">
        <is>
          <t>2025-07-15</t>
        </is>
      </c>
      <c r="B4469" t="inlineStr">
        <is>
          <t>铁矿石</t>
        </is>
      </c>
      <c r="C4469" t="inlineStr">
        <is>
          <t>多</t>
        </is>
      </c>
      <c r="D4469" t="n">
        <v>2</v>
      </c>
      <c r="E4469" t="n">
        <v>5</v>
      </c>
      <c r="F4469" t="inlineStr">
        <is>
          <t>续持</t>
        </is>
      </c>
      <c r="G4469" t="n">
        <v>8</v>
      </c>
      <c r="H4469" t="n">
        <v>767</v>
      </c>
      <c r="I4469" t="n">
        <v>734.71</v>
      </c>
      <c r="J4469" t="n">
        <v>3</v>
      </c>
      <c r="K4469" t="inlineStr">
        <is>
          <t>续持原仓（2025-07-11开）</t>
        </is>
      </c>
    </row>
    <row r="4470">
      <c r="A4470" t="inlineStr">
        <is>
          <t>2025-07-15</t>
        </is>
      </c>
      <c r="B4470" t="inlineStr">
        <is>
          <t>白糖</t>
        </is>
      </c>
      <c r="C4470" t="inlineStr">
        <is>
          <t>多</t>
        </is>
      </c>
      <c r="D4470" t="n">
        <v>2</v>
      </c>
      <c r="E4470" t="n">
        <v>5</v>
      </c>
      <c r="F4470" t="inlineStr">
        <is>
          <t>观望</t>
        </is>
      </c>
      <c r="G4470" t="n">
        <v>8</v>
      </c>
      <c r="H4470" t="n">
        <v>5802</v>
      </c>
      <c r="I4470" t="n">
        <v>5680.29</v>
      </c>
      <c r="J4470" t="n">
        <v>1</v>
      </c>
      <c r="K4470" t="inlineStr">
        <is>
          <t>逆5日线（收盘在5日线下，不追多）</t>
        </is>
      </c>
    </row>
    <row r="4471">
      <c r="A4471" t="inlineStr">
        <is>
          <t>2025-07-16</t>
        </is>
      </c>
      <c r="B4471" t="inlineStr">
        <is>
          <t>铁矿石</t>
        </is>
      </c>
      <c r="C4471" t="inlineStr">
        <is>
          <t>多</t>
        </is>
      </c>
      <c r="D4471" t="n">
        <v>3</v>
      </c>
      <c r="E4471" t="n">
        <v>7</v>
      </c>
      <c r="F4471" t="inlineStr">
        <is>
          <t>续持</t>
        </is>
      </c>
      <c r="G4471" t="n">
        <v>8</v>
      </c>
      <c r="H4471" t="n">
        <v>773</v>
      </c>
      <c r="I4471" t="n">
        <v>739.5700000000001</v>
      </c>
      <c r="J4471" t="n">
        <v>3</v>
      </c>
      <c r="K4471" t="inlineStr">
        <is>
          <t>续持原仓（2025-07-11开）</t>
        </is>
      </c>
    </row>
    <row r="4472">
      <c r="A4472" t="inlineStr">
        <is>
          <t>2025-07-16</t>
        </is>
      </c>
      <c r="B4472" t="inlineStr">
        <is>
          <t>热卷</t>
        </is>
      </c>
      <c r="C4472" t="inlineStr">
        <is>
          <t>多</t>
        </is>
      </c>
      <c r="D4472" t="n">
        <v>3</v>
      </c>
      <c r="E4472" t="n">
        <v>6</v>
      </c>
      <c r="F4472" t="inlineStr">
        <is>
          <t>观望</t>
        </is>
      </c>
      <c r="H4472" t="n">
        <v>3253</v>
      </c>
      <c r="J4472" t="n">
        <v>0</v>
      </c>
      <c r="K4472" t="inlineStr">
        <is>
          <t>逆5日线（收盘在5日线下，不追多）</t>
        </is>
      </c>
    </row>
    <row r="4473">
      <c r="A4473" t="inlineStr">
        <is>
          <t>2025-07-16</t>
        </is>
      </c>
      <c r="B4473" t="inlineStr">
        <is>
          <t>沪铝</t>
        </is>
      </c>
      <c r="C4473" t="inlineStr">
        <is>
          <t>多</t>
        </is>
      </c>
      <c r="D4473" t="n">
        <v>2</v>
      </c>
      <c r="E4473" t="n">
        <v>5</v>
      </c>
      <c r="F4473" t="inlineStr">
        <is>
          <t>观望</t>
        </is>
      </c>
      <c r="G4473" t="n">
        <v>3</v>
      </c>
      <c r="H4473" t="n">
        <v>20435</v>
      </c>
      <c r="I4473" t="n">
        <v>19912.14</v>
      </c>
      <c r="J4473" t="n">
        <v>1</v>
      </c>
      <c r="K4473" t="inlineStr">
        <is>
          <t>逆5日线（收盘在5日线下，不追多）</t>
        </is>
      </c>
    </row>
    <row r="4474">
      <c r="A4474" t="inlineStr">
        <is>
          <t>2025-07-16</t>
        </is>
      </c>
      <c r="B4474" t="inlineStr">
        <is>
          <t>沪锌</t>
        </is>
      </c>
      <c r="C4474" t="inlineStr">
        <is>
          <t>多</t>
        </is>
      </c>
      <c r="D4474" t="n">
        <v>2</v>
      </c>
      <c r="E4474" t="n">
        <v>5</v>
      </c>
      <c r="F4474" t="inlineStr">
        <is>
          <t>观望</t>
        </is>
      </c>
      <c r="G4474" t="n">
        <v>2</v>
      </c>
      <c r="H4474" t="n">
        <v>22030</v>
      </c>
      <c r="I4474" t="n">
        <v>21327.14</v>
      </c>
      <c r="J4474" t="n">
        <v>1</v>
      </c>
      <c r="K4474" t="inlineStr">
        <is>
          <t>逆5日线（收盘在5日线下，不追多）</t>
        </is>
      </c>
    </row>
    <row r="4475">
      <c r="A4475" t="inlineStr">
        <is>
          <t>2025-07-17</t>
        </is>
      </c>
      <c r="B4475" t="inlineStr">
        <is>
          <t>沪铝</t>
        </is>
      </c>
      <c r="C4475" t="inlineStr">
        <is>
          <t>多</t>
        </is>
      </c>
      <c r="D4475" t="n">
        <v>3</v>
      </c>
      <c r="E4475" t="n">
        <v>6</v>
      </c>
      <c r="F4475" t="inlineStr">
        <is>
          <t>观望</t>
        </is>
      </c>
      <c r="G4475" t="n">
        <v>12</v>
      </c>
      <c r="H4475" t="n">
        <v>20415</v>
      </c>
      <c r="I4475" t="n">
        <v>19922.14</v>
      </c>
      <c r="J4475" t="n">
        <v>3</v>
      </c>
      <c r="K4475" t="inlineStr">
        <is>
          <t>逆5日线（收盘在5日线下，不追多）</t>
        </is>
      </c>
    </row>
    <row r="4476">
      <c r="A4476" t="inlineStr">
        <is>
          <t>2025-07-17</t>
        </is>
      </c>
      <c r="B4476" t="inlineStr">
        <is>
          <t>白糖</t>
        </is>
      </c>
      <c r="C4476" t="inlineStr">
        <is>
          <t>多</t>
        </is>
      </c>
      <c r="D4476" t="n">
        <v>3</v>
      </c>
      <c r="E4476" t="n">
        <v>6</v>
      </c>
      <c r="F4476" t="inlineStr">
        <is>
          <t>开仓</t>
        </is>
      </c>
      <c r="G4476" t="n">
        <v>24</v>
      </c>
      <c r="H4476" t="n">
        <v>5828</v>
      </c>
      <c r="I4476" t="n">
        <v>5705.43</v>
      </c>
      <c r="J4476" t="n">
        <v>3</v>
      </c>
      <c r="K4476" t="inlineStr">
        <is>
          <t>¼凯利超上限，取3%</t>
        </is>
      </c>
    </row>
    <row r="4477">
      <c r="A4477" t="inlineStr">
        <is>
          <t>2025-07-17</t>
        </is>
      </c>
      <c r="B4477" t="inlineStr">
        <is>
          <t>玉米</t>
        </is>
      </c>
      <c r="C4477" t="inlineStr">
        <is>
          <t>空</t>
        </is>
      </c>
      <c r="D4477" t="n">
        <v>3</v>
      </c>
      <c r="E4477" t="n">
        <v>6</v>
      </c>
      <c r="F4477" t="inlineStr">
        <is>
          <t>开仓</t>
        </is>
      </c>
      <c r="G4477" t="n">
        <v>53</v>
      </c>
      <c r="H4477" t="n">
        <v>2296</v>
      </c>
      <c r="I4477" t="n">
        <v>2352.14</v>
      </c>
      <c r="J4477" t="n">
        <v>3</v>
      </c>
      <c r="K4477" t="inlineStr">
        <is>
          <t>¼凯利超上限，取3%</t>
        </is>
      </c>
    </row>
    <row r="4478">
      <c r="A4478" t="inlineStr">
        <is>
          <t>2025-07-17</t>
        </is>
      </c>
      <c r="B4478" t="inlineStr">
        <is>
          <t>燃料油</t>
        </is>
      </c>
      <c r="C4478" t="inlineStr">
        <is>
          <t>空</t>
        </is>
      </c>
      <c r="D4478" t="n">
        <v>3</v>
      </c>
      <c r="E4478" t="n">
        <v>6</v>
      </c>
      <c r="F4478" t="inlineStr">
        <is>
          <t>不做</t>
        </is>
      </c>
      <c r="H4478" t="n">
        <v>2863</v>
      </c>
      <c r="J4478" t="n">
        <v>0</v>
      </c>
      <c r="K4478" t="inlineStr">
        <is>
          <t>组合风险已近10%，预算缩小</t>
        </is>
      </c>
    </row>
    <row r="4479">
      <c r="A4479" t="inlineStr">
        <is>
          <t>2025-07-17</t>
        </is>
      </c>
      <c r="B4479" t="inlineStr">
        <is>
          <t>热卷</t>
        </is>
      </c>
      <c r="C4479" t="inlineStr">
        <is>
          <t>多</t>
        </is>
      </c>
      <c r="D4479" t="n">
        <v>3</v>
      </c>
      <c r="E4479" t="n">
        <v>6</v>
      </c>
      <c r="F4479" t="inlineStr">
        <is>
          <t>不做</t>
        </is>
      </c>
      <c r="H4479" t="n">
        <v>3292</v>
      </c>
      <c r="J4479" t="n">
        <v>0</v>
      </c>
      <c r="K4479" t="inlineStr">
        <is>
          <t>组合风险已近10%，预算缩小</t>
        </is>
      </c>
    </row>
    <row r="4480">
      <c r="A4480" t="inlineStr">
        <is>
          <t>2025-07-17</t>
        </is>
      </c>
      <c r="B4480" t="inlineStr">
        <is>
          <t>螺纹钢</t>
        </is>
      </c>
      <c r="C4480" t="inlineStr">
        <is>
          <t>多</t>
        </is>
      </c>
      <c r="D4480" t="n">
        <v>3</v>
      </c>
      <c r="E4480" t="n">
        <v>6</v>
      </c>
      <c r="F4480" t="inlineStr">
        <is>
          <t>不做</t>
        </is>
      </c>
      <c r="H4480" t="n">
        <v>3133</v>
      </c>
      <c r="J4480" t="n">
        <v>0</v>
      </c>
      <c r="K4480" t="inlineStr">
        <is>
          <t>组合风险已近10%，预算缩小</t>
        </is>
      </c>
    </row>
    <row r="4481">
      <c r="A4481" t="inlineStr">
        <is>
          <t>2025-07-17</t>
        </is>
      </c>
      <c r="B4481" t="inlineStr">
        <is>
          <t>玻璃</t>
        </is>
      </c>
      <c r="C4481" t="inlineStr">
        <is>
          <t>多</t>
        </is>
      </c>
      <c r="D4481" t="n">
        <v>2</v>
      </c>
      <c r="E4481" t="n">
        <v>5</v>
      </c>
      <c r="F4481" t="inlineStr">
        <is>
          <t>影子仓</t>
        </is>
      </c>
      <c r="G4481" t="n">
        <v>5</v>
      </c>
      <c r="H4481" t="n">
        <v>1092</v>
      </c>
      <c r="I4481" t="n">
        <v>992.14</v>
      </c>
      <c r="J4481" t="n">
        <v>1</v>
      </c>
      <c r="K4481" t="inlineStr">
        <is>
          <t>凯利≤0，开1%影子仓（只统计，不计入组合）</t>
        </is>
      </c>
    </row>
    <row r="4482">
      <c r="A4482" t="inlineStr">
        <is>
          <t>2025-07-18</t>
        </is>
      </c>
      <c r="B4482" t="inlineStr">
        <is>
          <t>豆油</t>
        </is>
      </c>
      <c r="C4482" t="inlineStr">
        <is>
          <t>多</t>
        </is>
      </c>
      <c r="D4482" t="n">
        <v>3</v>
      </c>
      <c r="E4482" t="n">
        <v>7</v>
      </c>
      <c r="F4482" t="inlineStr">
        <is>
          <t>开仓</t>
        </is>
      </c>
      <c r="G4482" t="n">
        <v>13</v>
      </c>
      <c r="H4482" t="n">
        <v>8160</v>
      </c>
      <c r="I4482" t="n">
        <v>7939.71</v>
      </c>
      <c r="J4482" t="n">
        <v>3</v>
      </c>
      <c r="K4482" t="inlineStr">
        <is>
          <t>¼凯利超上限，取3%</t>
        </is>
      </c>
    </row>
    <row r="4483">
      <c r="A4483" t="inlineStr">
        <is>
          <t>2025-07-18</t>
        </is>
      </c>
      <c r="B4483" t="inlineStr">
        <is>
          <t>热卷</t>
        </is>
      </c>
      <c r="C4483" t="inlineStr">
        <is>
          <t>多</t>
        </is>
      </c>
      <c r="D4483" t="n">
        <v>3</v>
      </c>
      <c r="E4483" t="n">
        <v>7</v>
      </c>
      <c r="F4483" t="inlineStr">
        <is>
          <t>开仓</t>
        </is>
      </c>
      <c r="G4483" t="n">
        <v>26</v>
      </c>
      <c r="H4483" t="n">
        <v>3310</v>
      </c>
      <c r="I4483" t="n">
        <v>3196</v>
      </c>
      <c r="J4483" t="n">
        <v>3</v>
      </c>
      <c r="K4483" t="inlineStr">
        <is>
          <t>¼凯利超上限，取3%</t>
        </is>
      </c>
    </row>
    <row r="4484">
      <c r="A4484" t="inlineStr">
        <is>
          <t>2025-07-18</t>
        </is>
      </c>
      <c r="B4484" t="inlineStr">
        <is>
          <t>玉米</t>
        </is>
      </c>
      <c r="C4484" t="inlineStr">
        <is>
          <t>空</t>
        </is>
      </c>
      <c r="D4484" t="n">
        <v>2</v>
      </c>
      <c r="E4484" t="n">
        <v>5</v>
      </c>
      <c r="F4484" t="inlineStr">
        <is>
          <t>观望</t>
        </is>
      </c>
      <c r="G4484" t="n">
        <v>17</v>
      </c>
      <c r="H4484" t="n">
        <v>2314</v>
      </c>
      <c r="I4484" t="n">
        <v>2372.29</v>
      </c>
      <c r="J4484" t="n">
        <v>1</v>
      </c>
      <c r="K4484" t="inlineStr">
        <is>
          <t>逆5日线（收盘在5日线上，不追空）</t>
        </is>
      </c>
    </row>
    <row r="4485">
      <c r="A4485" t="inlineStr">
        <is>
          <t>2025-07-18</t>
        </is>
      </c>
      <c r="B4485" t="inlineStr">
        <is>
          <t>螺纹钢</t>
        </is>
      </c>
      <c r="C4485" t="inlineStr">
        <is>
          <t>多</t>
        </is>
      </c>
      <c r="D4485" t="n">
        <v>2</v>
      </c>
      <c r="E4485" t="n">
        <v>5</v>
      </c>
      <c r="F4485" t="inlineStr">
        <is>
          <t>影子仓</t>
        </is>
      </c>
      <c r="G4485" t="n">
        <v>9</v>
      </c>
      <c r="H4485" t="n">
        <v>3147</v>
      </c>
      <c r="I4485" t="n">
        <v>3040.5</v>
      </c>
      <c r="J4485" t="n">
        <v>1</v>
      </c>
      <c r="K4485" t="inlineStr">
        <is>
          <t>凯利≤0，开1%影子仓（只统计，不计入组合）</t>
        </is>
      </c>
    </row>
    <row r="4486">
      <c r="A4486" t="inlineStr">
        <is>
          <t>2025-07-18</t>
        </is>
      </c>
      <c r="B4486" t="inlineStr">
        <is>
          <t>铁矿石</t>
        </is>
      </c>
      <c r="C4486" t="inlineStr">
        <is>
          <t>多</t>
        </is>
      </c>
      <c r="D4486" t="n">
        <v>2</v>
      </c>
      <c r="E4486" t="n">
        <v>5</v>
      </c>
      <c r="F4486" t="inlineStr">
        <is>
          <t>影子仓</t>
        </is>
      </c>
      <c r="G4486" t="n">
        <v>2</v>
      </c>
      <c r="H4486" t="n">
        <v>785</v>
      </c>
      <c r="I4486" t="n">
        <v>744.9299999999999</v>
      </c>
      <c r="J4486" t="n">
        <v>1</v>
      </c>
      <c r="K4486" t="inlineStr">
        <is>
          <t>凯利≤0，开1%影子仓（只统计，不计入组合）</t>
        </is>
      </c>
    </row>
    <row r="4487">
      <c r="A4487" t="inlineStr">
        <is>
          <t>2025-07-18</t>
        </is>
      </c>
      <c r="B4487" t="inlineStr">
        <is>
          <t>苯乙烯</t>
        </is>
      </c>
      <c r="C4487" t="inlineStr">
        <is>
          <t>多</t>
        </is>
      </c>
      <c r="D4487" t="n">
        <v>2</v>
      </c>
      <c r="E4487" t="n">
        <v>5</v>
      </c>
      <c r="F4487" t="inlineStr">
        <is>
          <t>观望</t>
        </is>
      </c>
      <c r="G4487" t="n">
        <v>5</v>
      </c>
      <c r="H4487" t="n">
        <v>7259</v>
      </c>
      <c r="I4487" t="n">
        <v>6925.14</v>
      </c>
      <c r="J4487" t="n">
        <v>1</v>
      </c>
      <c r="K4487" t="inlineStr">
        <is>
          <t>逆5日线（收盘在5日线下，不追多）</t>
        </is>
      </c>
    </row>
    <row r="4488">
      <c r="A4488" t="inlineStr">
        <is>
          <t>2025-07-21</t>
        </is>
      </c>
      <c r="B4488" t="inlineStr">
        <is>
          <t>沪铝</t>
        </is>
      </c>
      <c r="C4488" t="inlineStr">
        <is>
          <t>多</t>
        </is>
      </c>
      <c r="D4488" t="n">
        <v>3</v>
      </c>
      <c r="E4488" t="n">
        <v>7</v>
      </c>
      <c r="F4488" t="inlineStr">
        <is>
          <t>开仓</t>
        </is>
      </c>
      <c r="G4488" t="n">
        <v>11</v>
      </c>
      <c r="H4488" t="n">
        <v>20840</v>
      </c>
      <c r="I4488" t="n">
        <v>20297.86</v>
      </c>
      <c r="J4488" t="n">
        <v>3</v>
      </c>
      <c r="K4488" t="inlineStr">
        <is>
          <t>¼凯利超上限，取3%</t>
        </is>
      </c>
    </row>
    <row r="4489">
      <c r="A4489" t="inlineStr">
        <is>
          <t>2025-07-21</t>
        </is>
      </c>
      <c r="B4489" t="inlineStr">
        <is>
          <t>螺纹钢</t>
        </is>
      </c>
      <c r="C4489" t="inlineStr">
        <is>
          <t>多</t>
        </is>
      </c>
      <c r="D4489" t="n">
        <v>3</v>
      </c>
      <c r="E4489" t="n">
        <v>6</v>
      </c>
      <c r="F4489" t="inlineStr">
        <is>
          <t>续持</t>
        </is>
      </c>
      <c r="G4489" t="n">
        <v>9</v>
      </c>
      <c r="H4489" t="n">
        <v>3224</v>
      </c>
      <c r="I4489" t="n">
        <v>3119.36</v>
      </c>
      <c r="J4489" t="n">
        <v>1</v>
      </c>
      <c r="K4489" t="inlineStr">
        <is>
          <t>续持原仓（2025-07-18开）</t>
        </is>
      </c>
    </row>
    <row r="4490">
      <c r="A4490" t="inlineStr">
        <is>
          <t>2025-07-21</t>
        </is>
      </c>
      <c r="B4490" t="inlineStr">
        <is>
          <t>热卷</t>
        </is>
      </c>
      <c r="C4490" t="inlineStr">
        <is>
          <t>多</t>
        </is>
      </c>
      <c r="D4490" t="n">
        <v>3</v>
      </c>
      <c r="E4490" t="n">
        <v>6</v>
      </c>
      <c r="F4490" t="inlineStr">
        <is>
          <t>续持</t>
        </is>
      </c>
      <c r="G4490" t="n">
        <v>26</v>
      </c>
      <c r="H4490" t="n">
        <v>3394</v>
      </c>
      <c r="I4490" t="n">
        <v>3290.86</v>
      </c>
      <c r="J4490" t="n">
        <v>3</v>
      </c>
      <c r="K4490" t="inlineStr">
        <is>
          <t>续持原仓（2025-07-18开）</t>
        </is>
      </c>
    </row>
    <row r="4491">
      <c r="A4491" t="inlineStr">
        <is>
          <t>2025-07-21</t>
        </is>
      </c>
      <c r="B4491" t="inlineStr">
        <is>
          <t>豆粕</t>
        </is>
      </c>
      <c r="C4491" t="inlineStr">
        <is>
          <t>多</t>
        </is>
      </c>
      <c r="D4491" t="n">
        <v>3</v>
      </c>
      <c r="E4491" t="n">
        <v>6</v>
      </c>
      <c r="F4491" t="inlineStr">
        <is>
          <t>不做</t>
        </is>
      </c>
      <c r="H4491" t="n">
        <v>3069</v>
      </c>
      <c r="J4491" t="n">
        <v>0</v>
      </c>
      <c r="K4491" t="inlineStr">
        <is>
          <t>组合风险已近10%，预算缩小</t>
        </is>
      </c>
    </row>
    <row r="4492">
      <c r="A4492" t="inlineStr">
        <is>
          <t>2025-07-21</t>
        </is>
      </c>
      <c r="B4492" t="inlineStr">
        <is>
          <t>PTA</t>
        </is>
      </c>
      <c r="C4492" t="inlineStr">
        <is>
          <t>多</t>
        </is>
      </c>
      <c r="D4492" t="n">
        <v>2</v>
      </c>
      <c r="E4492" t="n">
        <v>5</v>
      </c>
      <c r="F4492" t="inlineStr">
        <is>
          <t>影子仓</t>
        </is>
      </c>
      <c r="G4492" t="n">
        <v>10</v>
      </c>
      <c r="H4492" t="n">
        <v>4780</v>
      </c>
      <c r="I4492" t="n">
        <v>4591.86</v>
      </c>
      <c r="J4492" t="n">
        <v>1</v>
      </c>
      <c r="K4492" t="inlineStr">
        <is>
          <t>凯利≤0，开1%影子仓（只统计，不计入组合）</t>
        </is>
      </c>
    </row>
    <row r="4493">
      <c r="A4493" t="inlineStr">
        <is>
          <t>2025-07-22</t>
        </is>
      </c>
      <c r="B4493" t="inlineStr">
        <is>
          <t>碳酸锂</t>
        </is>
      </c>
      <c r="C4493" t="inlineStr">
        <is>
          <t>多</t>
        </is>
      </c>
      <c r="D4493" t="n">
        <v>3</v>
      </c>
      <c r="E4493" t="n">
        <v>7</v>
      </c>
      <c r="F4493" t="inlineStr">
        <is>
          <t>不做</t>
        </is>
      </c>
      <c r="H4493" t="n">
        <v>72880</v>
      </c>
      <c r="J4493" t="n">
        <v>0</v>
      </c>
      <c r="K4493" t="inlineStr">
        <is>
          <t>组合风险已近10%，预算缩小</t>
        </is>
      </c>
    </row>
    <row r="4494">
      <c r="A4494" t="inlineStr">
        <is>
          <t>2025-07-22</t>
        </is>
      </c>
      <c r="B4494" t="inlineStr">
        <is>
          <t>棕榈油</t>
        </is>
      </c>
      <c r="C4494" t="inlineStr">
        <is>
          <t>多</t>
        </is>
      </c>
      <c r="D4494" t="n">
        <v>3</v>
      </c>
      <c r="E4494" t="n">
        <v>6</v>
      </c>
      <c r="F4494" t="inlineStr">
        <is>
          <t>不做</t>
        </is>
      </c>
      <c r="H4494" t="n">
        <v>8926</v>
      </c>
      <c r="J4494" t="n">
        <v>0</v>
      </c>
      <c r="K4494" t="inlineStr">
        <is>
          <t>与豆油高度相关（同组≤3%），预算缩小</t>
        </is>
      </c>
    </row>
    <row r="4495">
      <c r="A4495" t="inlineStr">
        <is>
          <t>2025-07-22</t>
        </is>
      </c>
      <c r="B4495" t="inlineStr">
        <is>
          <t>热卷</t>
        </is>
      </c>
      <c r="C4495" t="inlineStr">
        <is>
          <t>多</t>
        </is>
      </c>
      <c r="D4495" t="n">
        <v>3</v>
      </c>
      <c r="E4495" t="n">
        <v>6</v>
      </c>
      <c r="F4495" t="inlineStr">
        <is>
          <t>续持</t>
        </is>
      </c>
      <c r="G4495" t="n">
        <v>26</v>
      </c>
      <c r="H4495" t="n">
        <v>3477</v>
      </c>
      <c r="I4495" t="n">
        <v>3355.86</v>
      </c>
      <c r="J4495" t="n">
        <v>3</v>
      </c>
      <c r="K4495" t="inlineStr">
        <is>
          <t>续持原仓（2025-07-18开）</t>
        </is>
      </c>
    </row>
    <row r="4496">
      <c r="A4496" t="inlineStr">
        <is>
          <t>2025-07-22</t>
        </is>
      </c>
      <c r="B4496" t="inlineStr">
        <is>
          <t>沪铝</t>
        </is>
      </c>
      <c r="C4496" t="inlineStr">
        <is>
          <t>多</t>
        </is>
      </c>
      <c r="D4496" t="n">
        <v>2</v>
      </c>
      <c r="E4496" t="n">
        <v>5</v>
      </c>
      <c r="F4496" t="inlineStr">
        <is>
          <t>续持</t>
        </is>
      </c>
      <c r="G4496" t="n">
        <v>11</v>
      </c>
      <c r="H4496" t="n">
        <v>20900</v>
      </c>
      <c r="I4496" t="n">
        <v>20404.29</v>
      </c>
      <c r="J4496" t="n">
        <v>3</v>
      </c>
      <c r="K4496" t="inlineStr">
        <is>
          <t>续持原仓（2025-07-21开）</t>
        </is>
      </c>
    </row>
    <row r="4497">
      <c r="A4497" t="inlineStr">
        <is>
          <t>2025-07-22</t>
        </is>
      </c>
      <c r="B4497" t="inlineStr">
        <is>
          <t>玉米</t>
        </is>
      </c>
      <c r="C4497" t="inlineStr">
        <is>
          <t>空</t>
        </is>
      </c>
      <c r="D4497" t="n">
        <v>2</v>
      </c>
      <c r="E4497" t="n">
        <v>5</v>
      </c>
      <c r="F4497" t="inlineStr">
        <is>
          <t>观望</t>
        </is>
      </c>
      <c r="G4497" t="n">
        <v>18</v>
      </c>
      <c r="H4497" t="n">
        <v>2322</v>
      </c>
      <c r="I4497" t="n">
        <v>2377.07</v>
      </c>
      <c r="J4497" t="n">
        <v>1</v>
      </c>
      <c r="K4497" t="inlineStr">
        <is>
          <t>逆5日线（收盘在5日线上，不追空）</t>
        </is>
      </c>
    </row>
    <row r="4498">
      <c r="A4498" t="inlineStr">
        <is>
          <t>2025-07-22</t>
        </is>
      </c>
      <c r="B4498" t="inlineStr">
        <is>
          <t>豆粕</t>
        </is>
      </c>
      <c r="C4498" t="inlineStr">
        <is>
          <t>多</t>
        </is>
      </c>
      <c r="D4498" t="n">
        <v>2</v>
      </c>
      <c r="E4498" t="n">
        <v>4</v>
      </c>
      <c r="F4498" t="inlineStr">
        <is>
          <t>影子仓</t>
        </is>
      </c>
      <c r="G4498" t="n">
        <v>10</v>
      </c>
      <c r="H4498" t="n">
        <v>3086</v>
      </c>
      <c r="I4498" t="n">
        <v>2989.14</v>
      </c>
      <c r="J4498" t="n">
        <v>1</v>
      </c>
      <c r="K4498" t="inlineStr">
        <is>
          <t>凯利≤0，开1%影子仓（只统计，不计入组合）</t>
        </is>
      </c>
    </row>
    <row r="4499">
      <c r="A4499" t="inlineStr">
        <is>
          <t>2025-07-23</t>
        </is>
      </c>
      <c r="B4499" t="inlineStr">
        <is>
          <t>热卷</t>
        </is>
      </c>
      <c r="C4499" t="inlineStr">
        <is>
          <t>多</t>
        </is>
      </c>
      <c r="D4499" t="n">
        <v>2</v>
      </c>
      <c r="E4499" t="n">
        <v>5</v>
      </c>
      <c r="F4499" t="inlineStr">
        <is>
          <t>续持</t>
        </is>
      </c>
      <c r="G4499" t="n">
        <v>26</v>
      </c>
      <c r="H4499" t="n">
        <v>3438</v>
      </c>
      <c r="I4499" t="n">
        <v>3355.86</v>
      </c>
      <c r="J4499" t="n">
        <v>3</v>
      </c>
      <c r="K4499" t="inlineStr">
        <is>
          <t>续持原仓（2025-07-18开）</t>
        </is>
      </c>
    </row>
    <row r="4500">
      <c r="A4500" t="inlineStr">
        <is>
          <t>2025-07-23</t>
        </is>
      </c>
      <c r="B4500" t="inlineStr">
        <is>
          <t>豆粕</t>
        </is>
      </c>
      <c r="C4500" t="inlineStr">
        <is>
          <t>多</t>
        </is>
      </c>
      <c r="D4500" t="n">
        <v>2</v>
      </c>
      <c r="E4500" t="n">
        <v>5</v>
      </c>
      <c r="F4500" t="inlineStr">
        <is>
          <t>续持</t>
        </is>
      </c>
      <c r="G4500" t="n">
        <v>10</v>
      </c>
      <c r="H4500" t="n">
        <v>3095</v>
      </c>
      <c r="I4500" t="n">
        <v>3021.79</v>
      </c>
      <c r="J4500" t="n">
        <v>1</v>
      </c>
      <c r="K4500" t="inlineStr">
        <is>
          <t>续持原仓（2025-07-22开）</t>
        </is>
      </c>
    </row>
    <row r="4501">
      <c r="A4501" t="inlineStr">
        <is>
          <t>2025-07-23</t>
        </is>
      </c>
      <c r="B4501" t="inlineStr">
        <is>
          <t>棉花</t>
        </is>
      </c>
      <c r="C4501" t="inlineStr">
        <is>
          <t>多</t>
        </is>
      </c>
      <c r="D4501" t="n">
        <v>2</v>
      </c>
      <c r="E4501" t="n">
        <v>4</v>
      </c>
      <c r="F4501" t="inlineStr">
        <is>
          <t>观望</t>
        </is>
      </c>
      <c r="G4501" t="n">
        <v>4</v>
      </c>
      <c r="H4501" t="n">
        <v>14180</v>
      </c>
      <c r="I4501" t="n">
        <v>13766.43</v>
      </c>
      <c r="J4501" t="n">
        <v>1</v>
      </c>
      <c r="K4501" t="inlineStr">
        <is>
          <t>逆5日线（收盘在5日线下，不追多）</t>
        </is>
      </c>
    </row>
    <row r="4502">
      <c r="A4502" t="inlineStr">
        <is>
          <t>2025-07-24</t>
        </is>
      </c>
      <c r="B4502" t="inlineStr">
        <is>
          <t>棕榈油</t>
        </is>
      </c>
      <c r="C4502" t="inlineStr">
        <is>
          <t>多</t>
        </is>
      </c>
      <c r="D4502" t="n">
        <v>3</v>
      </c>
      <c r="E4502" t="n">
        <v>6</v>
      </c>
      <c r="F4502" t="inlineStr">
        <is>
          <t>不做</t>
        </is>
      </c>
      <c r="H4502" t="n">
        <v>9104</v>
      </c>
      <c r="J4502" t="n">
        <v>0</v>
      </c>
      <c r="K4502" t="inlineStr">
        <is>
          <t>与豆油高度相关（同组≤3%），预算缩小</t>
        </is>
      </c>
    </row>
    <row r="4503">
      <c r="A4503" t="inlineStr">
        <is>
          <t>2025-07-24</t>
        </is>
      </c>
      <c r="B4503" t="inlineStr">
        <is>
          <t>热卷</t>
        </is>
      </c>
      <c r="C4503" t="inlineStr">
        <is>
          <t>多</t>
        </is>
      </c>
      <c r="D4503" t="n">
        <v>3</v>
      </c>
      <c r="E4503" t="n">
        <v>6</v>
      </c>
      <c r="F4503" t="inlineStr">
        <is>
          <t>续持</t>
        </is>
      </c>
      <c r="G4503" t="n">
        <v>26</v>
      </c>
      <c r="H4503" t="n">
        <v>3456</v>
      </c>
      <c r="I4503" t="n">
        <v>3355.86</v>
      </c>
      <c r="J4503" t="n">
        <v>3</v>
      </c>
      <c r="K4503" t="inlineStr">
        <is>
          <t>续持原仓（2025-07-18开）</t>
        </is>
      </c>
    </row>
    <row r="4504">
      <c r="A4504" t="inlineStr">
        <is>
          <t>2025-07-24</t>
        </is>
      </c>
      <c r="B4504" t="inlineStr">
        <is>
          <t>铁矿石</t>
        </is>
      </c>
      <c r="C4504" t="inlineStr">
        <is>
          <t>多</t>
        </is>
      </c>
      <c r="D4504" t="n">
        <v>2</v>
      </c>
      <c r="E4504" t="n">
        <v>5</v>
      </c>
      <c r="F4504" t="inlineStr">
        <is>
          <t>影子仓</t>
        </is>
      </c>
      <c r="G4504" t="n">
        <v>1</v>
      </c>
      <c r="H4504" t="n">
        <v>811</v>
      </c>
      <c r="I4504" t="n">
        <v>759.46</v>
      </c>
      <c r="J4504" t="n">
        <v>1</v>
      </c>
      <c r="K4504" t="inlineStr">
        <is>
          <t>凯利≤0，开1%影子仓（只统计，不计入组合）</t>
        </is>
      </c>
    </row>
    <row r="4505">
      <c r="A4505" t="inlineStr">
        <is>
          <t>2025-07-24</t>
        </is>
      </c>
      <c r="B4505" t="inlineStr">
        <is>
          <t>豆粕</t>
        </is>
      </c>
      <c r="C4505" t="inlineStr">
        <is>
          <t>多</t>
        </is>
      </c>
      <c r="D4505" t="n">
        <v>2</v>
      </c>
      <c r="E4505" t="n">
        <v>5</v>
      </c>
      <c r="F4505" t="inlineStr">
        <is>
          <t>观望</t>
        </is>
      </c>
      <c r="G4505" t="n">
        <v>8</v>
      </c>
      <c r="H4505" t="n">
        <v>3025</v>
      </c>
      <c r="I4505" t="n">
        <v>2909.29</v>
      </c>
      <c r="J4505" t="n">
        <v>1</v>
      </c>
      <c r="K4505" t="inlineStr">
        <is>
          <t>逆5日线（收盘在5日线下，不追多）</t>
        </is>
      </c>
    </row>
    <row r="4506">
      <c r="A4506" t="inlineStr">
        <is>
          <t>2025-07-24</t>
        </is>
      </c>
      <c r="B4506" t="inlineStr">
        <is>
          <t>棉花</t>
        </is>
      </c>
      <c r="C4506" t="inlineStr">
        <is>
          <t>多</t>
        </is>
      </c>
      <c r="D4506" t="n">
        <v>2</v>
      </c>
      <c r="E4506" t="n">
        <v>4</v>
      </c>
      <c r="F4506" t="inlineStr">
        <is>
          <t>观望</t>
        </is>
      </c>
      <c r="G4506" t="n">
        <v>4</v>
      </c>
      <c r="H4506" t="n">
        <v>14160</v>
      </c>
      <c r="I4506" t="n">
        <v>13736.79</v>
      </c>
      <c r="J4506" t="n">
        <v>1</v>
      </c>
      <c r="K4506" t="inlineStr">
        <is>
          <t>逆5日线（收盘在5日线下，不追多）</t>
        </is>
      </c>
    </row>
    <row r="4507">
      <c r="A4507" t="inlineStr">
        <is>
          <t>2025-07-25</t>
        </is>
      </c>
      <c r="B4507" t="inlineStr">
        <is>
          <t>热卷</t>
        </is>
      </c>
      <c r="C4507" t="inlineStr">
        <is>
          <t>多</t>
        </is>
      </c>
      <c r="D4507" t="n">
        <v>3</v>
      </c>
      <c r="E4507" t="n">
        <v>6</v>
      </c>
      <c r="F4507" t="inlineStr">
        <is>
          <t>续持</t>
        </is>
      </c>
      <c r="G4507" t="n">
        <v>26</v>
      </c>
      <c r="H4507" t="n">
        <v>3507</v>
      </c>
      <c r="I4507" t="n">
        <v>3355.86</v>
      </c>
      <c r="J4507" t="n">
        <v>3</v>
      </c>
      <c r="K4507" t="inlineStr">
        <is>
          <t>续持原仓（2025-07-18开）</t>
        </is>
      </c>
    </row>
    <row r="4508">
      <c r="A4508" t="inlineStr">
        <is>
          <t>2025-07-25</t>
        </is>
      </c>
      <c r="B4508" t="inlineStr">
        <is>
          <t>豆粕</t>
        </is>
      </c>
      <c r="C4508" t="inlineStr">
        <is>
          <t>多</t>
        </is>
      </c>
      <c r="D4508" t="n">
        <v>2</v>
      </c>
      <c r="E4508" t="n">
        <v>5</v>
      </c>
      <c r="F4508" t="inlineStr">
        <is>
          <t>观望</t>
        </is>
      </c>
      <c r="G4508" t="n">
        <v>8</v>
      </c>
      <c r="H4508" t="n">
        <v>3021</v>
      </c>
      <c r="I4508" t="n">
        <v>2908.07</v>
      </c>
      <c r="J4508" t="n">
        <v>1</v>
      </c>
      <c r="K4508" t="inlineStr">
        <is>
          <t>逆5日线（收盘在5日线下，不追多）</t>
        </is>
      </c>
    </row>
    <row r="4509">
      <c r="A4509" t="inlineStr">
        <is>
          <t>2025-07-25</t>
        </is>
      </c>
      <c r="B4509" t="inlineStr">
        <is>
          <t>沪镍</t>
        </is>
      </c>
      <c r="C4509" t="inlineStr">
        <is>
          <t>多</t>
        </is>
      </c>
      <c r="D4509" t="n">
        <v>2</v>
      </c>
      <c r="E4509" t="n">
        <v>5</v>
      </c>
      <c r="F4509" t="inlineStr">
        <is>
          <t>影子仓</t>
        </is>
      </c>
      <c r="G4509" t="n">
        <v>1</v>
      </c>
      <c r="H4509" t="n">
        <v>124360</v>
      </c>
      <c r="I4509" t="n">
        <v>119073.57</v>
      </c>
      <c r="J4509" t="n">
        <v>1</v>
      </c>
      <c r="K4509" t="inlineStr">
        <is>
          <t>凯利≤0，开1%影子仓（只统计，不计入组合）</t>
        </is>
      </c>
    </row>
    <row r="4510">
      <c r="A4510" t="inlineStr">
        <is>
          <t>2025-07-25</t>
        </is>
      </c>
      <c r="B4510" t="inlineStr">
        <is>
          <t>聚丙烯</t>
        </is>
      </c>
      <c r="C4510" t="inlineStr">
        <is>
          <t>多</t>
        </is>
      </c>
      <c r="D4510" t="n">
        <v>2</v>
      </c>
      <c r="E4510" t="n">
        <v>5</v>
      </c>
      <c r="F4510" t="inlineStr">
        <is>
          <t>影子仓</t>
        </is>
      </c>
      <c r="G4510" t="n">
        <v>10</v>
      </c>
      <c r="H4510" t="n">
        <v>7221</v>
      </c>
      <c r="I4510" t="n">
        <v>7038</v>
      </c>
      <c r="J4510" t="n">
        <v>1</v>
      </c>
      <c r="K4510" t="inlineStr">
        <is>
          <t>凯利≤0，开1%影子仓（只统计，不计入组合）</t>
        </is>
      </c>
    </row>
    <row r="4511">
      <c r="A4511" t="inlineStr">
        <is>
          <t>2025-07-25</t>
        </is>
      </c>
      <c r="B4511" t="inlineStr">
        <is>
          <t>沪锌</t>
        </is>
      </c>
      <c r="C4511" t="inlineStr">
        <is>
          <t>空</t>
        </is>
      </c>
      <c r="D4511" t="n">
        <v>2</v>
      </c>
      <c r="E4511" t="n">
        <v>5</v>
      </c>
      <c r="F4511" t="inlineStr">
        <is>
          <t>影子仓</t>
        </is>
      </c>
      <c r="G4511" t="n">
        <v>2</v>
      </c>
      <c r="H4511" t="n">
        <v>22885</v>
      </c>
      <c r="I4511" t="n">
        <v>23621.07</v>
      </c>
      <c r="J4511" t="n">
        <v>1</v>
      </c>
      <c r="K4511" t="inlineStr">
        <is>
          <t>凯利≤0，开1%影子仓（只统计，不计入组合）</t>
        </is>
      </c>
    </row>
    <row r="4512">
      <c r="A4512" t="inlineStr">
        <is>
          <t>2025-07-25</t>
        </is>
      </c>
      <c r="B4512" t="inlineStr">
        <is>
          <t>棉花</t>
        </is>
      </c>
      <c r="C4512" t="inlineStr">
        <is>
          <t>多</t>
        </is>
      </c>
      <c r="D4512" t="n">
        <v>2</v>
      </c>
      <c r="E4512" t="n">
        <v>4</v>
      </c>
      <c r="F4512" t="inlineStr">
        <is>
          <t>观望</t>
        </is>
      </c>
      <c r="G4512" t="n">
        <v>4</v>
      </c>
      <c r="H4512" t="n">
        <v>14170</v>
      </c>
      <c r="I4512" t="n">
        <v>13736.07</v>
      </c>
      <c r="J4512" t="n">
        <v>1</v>
      </c>
      <c r="K4512" t="inlineStr">
        <is>
          <t>逆5日线（收盘在5日线下，不追多）</t>
        </is>
      </c>
    </row>
    <row r="4513">
      <c r="A4513" t="inlineStr">
        <is>
          <t>2025-07-28</t>
        </is>
      </c>
      <c r="B4513" t="inlineStr">
        <is>
          <t>棕榈油</t>
        </is>
      </c>
      <c r="C4513" t="inlineStr">
        <is>
          <t>多</t>
        </is>
      </c>
      <c r="D4513" t="n">
        <v>2</v>
      </c>
      <c r="E4513" t="n">
        <v>5</v>
      </c>
      <c r="F4513" t="inlineStr">
        <is>
          <t>观望</t>
        </is>
      </c>
      <c r="G4513" t="n">
        <v>2</v>
      </c>
      <c r="H4513" t="n">
        <v>8946</v>
      </c>
      <c r="I4513" t="n">
        <v>8511.860000000001</v>
      </c>
      <c r="J4513" t="n">
        <v>1</v>
      </c>
      <c r="K4513" t="inlineStr">
        <is>
          <t>逆5日线（收盘在5日线下，不追多）</t>
        </is>
      </c>
    </row>
    <row r="4514">
      <c r="A4514" t="inlineStr">
        <is>
          <t>2025-07-28</t>
        </is>
      </c>
      <c r="B4514" t="inlineStr">
        <is>
          <t>焦煤</t>
        </is>
      </c>
      <c r="C4514" t="inlineStr">
        <is>
          <t>多</t>
        </is>
      </c>
      <c r="D4514" t="n">
        <v>2</v>
      </c>
      <c r="E4514" t="n">
        <v>4</v>
      </c>
      <c r="F4514" t="inlineStr">
        <is>
          <t>观望</t>
        </is>
      </c>
      <c r="H4514" t="n">
        <v>1100.5</v>
      </c>
      <c r="J4514" t="n">
        <v>1</v>
      </c>
      <c r="K4514" t="inlineStr">
        <is>
          <t>逆5日线（收盘在5日线下，不追多）</t>
        </is>
      </c>
    </row>
    <row r="4515">
      <c r="A4515" t="inlineStr">
        <is>
          <t>2025-07-28</t>
        </is>
      </c>
      <c r="B4515" t="inlineStr">
        <is>
          <t>沪铜</t>
        </is>
      </c>
      <c r="C4515" t="inlineStr">
        <is>
          <t>空</t>
        </is>
      </c>
      <c r="D4515" t="n">
        <v>2</v>
      </c>
      <c r="E4515" t="n">
        <v>4</v>
      </c>
      <c r="F4515" t="inlineStr">
        <is>
          <t>不做</t>
        </is>
      </c>
      <c r="H4515" t="n">
        <v>79000</v>
      </c>
      <c r="J4515" t="n">
        <v>1</v>
      </c>
      <c r="K4515" t="inlineStr">
        <is>
          <t>1手风险10382元超过预算10000元</t>
        </is>
      </c>
    </row>
    <row r="4516">
      <c r="A4516" t="inlineStr">
        <is>
          <t>2025-07-29</t>
        </is>
      </c>
      <c r="B4516" t="inlineStr">
        <is>
          <t>玉米</t>
        </is>
      </c>
      <c r="C4516" t="inlineStr">
        <is>
          <t>空</t>
        </is>
      </c>
      <c r="D4516" t="n">
        <v>3</v>
      </c>
      <c r="E4516" t="n">
        <v>7</v>
      </c>
      <c r="F4516" t="inlineStr">
        <is>
          <t>开仓</t>
        </is>
      </c>
      <c r="G4516" t="n">
        <v>49</v>
      </c>
      <c r="H4516" t="n">
        <v>2302</v>
      </c>
      <c r="I4516" t="n">
        <v>2362.86</v>
      </c>
      <c r="J4516" t="n">
        <v>3</v>
      </c>
      <c r="K4516" t="inlineStr">
        <is>
          <t>¼凯利超上限，取3%</t>
        </is>
      </c>
    </row>
    <row r="4517">
      <c r="A4517" t="inlineStr">
        <is>
          <t>2025-07-29</t>
        </is>
      </c>
      <c r="B4517" t="inlineStr">
        <is>
          <t>螺纹钢</t>
        </is>
      </c>
      <c r="C4517" t="inlineStr">
        <is>
          <t>多</t>
        </is>
      </c>
      <c r="D4517" t="n">
        <v>3</v>
      </c>
      <c r="E4517" t="n">
        <v>7</v>
      </c>
      <c r="F4517" t="inlineStr">
        <is>
          <t>不做</t>
        </is>
      </c>
      <c r="H4517" t="n">
        <v>3347</v>
      </c>
      <c r="J4517" t="n">
        <v>0</v>
      </c>
      <c r="K4517" t="inlineStr">
        <is>
          <t>组合风险已近10%，预算缩小</t>
        </is>
      </c>
    </row>
    <row r="4518">
      <c r="A4518" t="inlineStr">
        <is>
          <t>2025-07-29</t>
        </is>
      </c>
      <c r="B4518" t="inlineStr">
        <is>
          <t>白糖</t>
        </is>
      </c>
      <c r="C4518" t="inlineStr">
        <is>
          <t>多</t>
        </is>
      </c>
      <c r="D4518" t="n">
        <v>3</v>
      </c>
      <c r="E4518" t="n">
        <v>6</v>
      </c>
      <c r="F4518" t="inlineStr">
        <is>
          <t>不做</t>
        </is>
      </c>
      <c r="H4518" t="n">
        <v>5867</v>
      </c>
      <c r="J4518" t="n">
        <v>0</v>
      </c>
      <c r="K4518" t="inlineStr">
        <is>
          <t>组合风险已近10%，预算缩小</t>
        </is>
      </c>
    </row>
    <row r="4519">
      <c r="A4519" t="inlineStr">
        <is>
          <t>2025-07-29</t>
        </is>
      </c>
      <c r="B4519" t="inlineStr">
        <is>
          <t>焦煤</t>
        </is>
      </c>
      <c r="C4519" t="inlineStr">
        <is>
          <t>多</t>
        </is>
      </c>
      <c r="D4519" t="n">
        <v>2</v>
      </c>
      <c r="E4519" t="n">
        <v>5</v>
      </c>
      <c r="F4519" t="inlineStr">
        <is>
          <t>观望</t>
        </is>
      </c>
      <c r="H4519" t="n">
        <v>1120.5</v>
      </c>
      <c r="J4519" t="n">
        <v>1</v>
      </c>
      <c r="K4519" t="inlineStr">
        <is>
          <t>逆5日线（收盘在5日线下，不追多）</t>
        </is>
      </c>
    </row>
    <row r="4520">
      <c r="A4520" t="inlineStr">
        <is>
          <t>2025-07-29</t>
        </is>
      </c>
      <c r="B4520" t="inlineStr">
        <is>
          <t>棕榈油</t>
        </is>
      </c>
      <c r="C4520" t="inlineStr">
        <is>
          <t>多</t>
        </is>
      </c>
      <c r="D4520" t="n">
        <v>2</v>
      </c>
      <c r="E4520" t="n">
        <v>4</v>
      </c>
      <c r="F4520" t="inlineStr">
        <is>
          <t>观望</t>
        </is>
      </c>
      <c r="G4520" t="n">
        <v>2</v>
      </c>
      <c r="H4520" t="n">
        <v>8970</v>
      </c>
      <c r="I4520" t="n">
        <v>8516.139999999999</v>
      </c>
      <c r="J4520" t="n">
        <v>1</v>
      </c>
      <c r="K4520" t="inlineStr">
        <is>
          <t>逆5日线（收盘在5日线下，不追多）</t>
        </is>
      </c>
    </row>
    <row r="4521">
      <c r="A4521" t="inlineStr">
        <is>
          <t>2025-07-29</t>
        </is>
      </c>
      <c r="B4521" t="inlineStr">
        <is>
          <t>碳酸锂</t>
        </is>
      </c>
      <c r="C4521" t="inlineStr">
        <is>
          <t>多</t>
        </is>
      </c>
      <c r="D4521" t="n">
        <v>2</v>
      </c>
      <c r="E4521" t="n">
        <v>4</v>
      </c>
      <c r="F4521" t="inlineStr">
        <is>
          <t>观望</t>
        </is>
      </c>
      <c r="H4521" t="n">
        <v>70840</v>
      </c>
      <c r="J4521" t="n">
        <v>1</v>
      </c>
      <c r="K4521" t="inlineStr">
        <is>
          <t>逆5日线（收盘在5日线下，不追多）</t>
        </is>
      </c>
    </row>
    <row r="4522">
      <c r="A4522" t="inlineStr">
        <is>
          <t>2025-07-30</t>
        </is>
      </c>
      <c r="B4522" t="inlineStr">
        <is>
          <t>多晶硅</t>
        </is>
      </c>
      <c r="C4522" t="inlineStr">
        <is>
          <t>多</t>
        </is>
      </c>
      <c r="D4522" t="n">
        <v>3</v>
      </c>
      <c r="E4522" t="n">
        <v>7</v>
      </c>
      <c r="F4522" t="inlineStr">
        <is>
          <t>不做</t>
        </is>
      </c>
      <c r="H4522" t="n">
        <v>54705</v>
      </c>
      <c r="J4522" t="n">
        <v>0</v>
      </c>
      <c r="K4522" t="inlineStr">
        <is>
          <t>组合风险已近10%，预算缩小</t>
        </is>
      </c>
    </row>
    <row r="4523">
      <c r="A4523" t="inlineStr">
        <is>
          <t>2025-07-30</t>
        </is>
      </c>
      <c r="B4523" t="inlineStr">
        <is>
          <t>豆油</t>
        </is>
      </c>
      <c r="C4523" t="inlineStr">
        <is>
          <t>多</t>
        </is>
      </c>
      <c r="D4523" t="n">
        <v>3</v>
      </c>
      <c r="E4523" t="n">
        <v>6</v>
      </c>
      <c r="F4523" t="inlineStr">
        <is>
          <t>续持</t>
        </is>
      </c>
      <c r="G4523" t="n">
        <v>13</v>
      </c>
      <c r="H4523" t="n">
        <v>8240</v>
      </c>
      <c r="I4523" t="n">
        <v>8018.14</v>
      </c>
      <c r="J4523" t="n">
        <v>3</v>
      </c>
      <c r="K4523" t="inlineStr">
        <is>
          <t>续持原仓（2025-07-18开）</t>
        </is>
      </c>
    </row>
    <row r="4524">
      <c r="A4524" t="inlineStr">
        <is>
          <t>2025-07-30</t>
        </is>
      </c>
      <c r="B4524" t="inlineStr">
        <is>
          <t>焦煤</t>
        </is>
      </c>
      <c r="C4524" t="inlineStr">
        <is>
          <t>多</t>
        </is>
      </c>
      <c r="D4524" t="n">
        <v>3</v>
      </c>
      <c r="E4524" t="n">
        <v>6</v>
      </c>
      <c r="F4524" t="inlineStr">
        <is>
          <t>观望</t>
        </is>
      </c>
      <c r="H4524" t="n">
        <v>1232.5</v>
      </c>
      <c r="J4524" t="n">
        <v>0</v>
      </c>
      <c r="K4524" t="inlineStr">
        <is>
          <t>逆5日线（收盘在5日线下，不追多）</t>
        </is>
      </c>
    </row>
    <row r="4525">
      <c r="A4525" t="inlineStr">
        <is>
          <t>2025-07-30</t>
        </is>
      </c>
      <c r="B4525" t="inlineStr">
        <is>
          <t>沪镍</t>
        </is>
      </c>
      <c r="C4525" t="inlineStr">
        <is>
          <t>多</t>
        </is>
      </c>
      <c r="D4525" t="n">
        <v>3</v>
      </c>
      <c r="E4525" t="n">
        <v>6</v>
      </c>
      <c r="F4525" t="inlineStr">
        <is>
          <t>观望</t>
        </is>
      </c>
      <c r="H4525" t="n">
        <v>121720</v>
      </c>
      <c r="J4525" t="n">
        <v>0</v>
      </c>
      <c r="K4525" t="inlineStr">
        <is>
          <t>逆5日线（收盘在5日线下，不追多）</t>
        </is>
      </c>
    </row>
    <row r="4526">
      <c r="A4526" t="inlineStr">
        <is>
          <t>2025-07-30</t>
        </is>
      </c>
      <c r="B4526" t="inlineStr">
        <is>
          <t>碳酸锂</t>
        </is>
      </c>
      <c r="C4526" t="inlineStr">
        <is>
          <t>空</t>
        </is>
      </c>
      <c r="D4526" t="n">
        <v>3</v>
      </c>
      <c r="E4526" t="n">
        <v>6</v>
      </c>
      <c r="F4526" t="inlineStr">
        <is>
          <t>不做</t>
        </is>
      </c>
      <c r="H4526" t="n">
        <v>70600</v>
      </c>
      <c r="J4526" t="n">
        <v>0</v>
      </c>
      <c r="K4526" t="inlineStr">
        <is>
          <t>组合风险已近10%，预算缩小</t>
        </is>
      </c>
    </row>
    <row r="4527">
      <c r="A4527" t="inlineStr">
        <is>
          <t>2025-07-30</t>
        </is>
      </c>
      <c r="B4527" t="inlineStr">
        <is>
          <t>菜粕</t>
        </is>
      </c>
      <c r="C4527" t="inlineStr">
        <is>
          <t>多</t>
        </is>
      </c>
      <c r="D4527" t="n">
        <v>3</v>
      </c>
      <c r="E4527" t="n">
        <v>6</v>
      </c>
      <c r="F4527" t="inlineStr">
        <is>
          <t>不做</t>
        </is>
      </c>
      <c r="H4527" t="n">
        <v>2735</v>
      </c>
      <c r="J4527" t="n">
        <v>0</v>
      </c>
      <c r="K4527" t="inlineStr">
        <is>
          <t>组合风险已近10%，预算缩小</t>
        </is>
      </c>
    </row>
    <row r="4528">
      <c r="A4528" t="inlineStr">
        <is>
          <t>2025-07-31</t>
        </is>
      </c>
      <c r="B4528" t="inlineStr">
        <is>
          <t>棉花</t>
        </is>
      </c>
      <c r="C4528" t="inlineStr">
        <is>
          <t>空</t>
        </is>
      </c>
      <c r="D4528" t="n">
        <v>3</v>
      </c>
      <c r="E4528" t="n">
        <v>6</v>
      </c>
      <c r="F4528" t="inlineStr">
        <is>
          <t>开仓</t>
        </is>
      </c>
      <c r="G4528" t="n">
        <v>3</v>
      </c>
      <c r="H4528" t="n">
        <v>13650</v>
      </c>
      <c r="I4528" t="n">
        <v>14181.43</v>
      </c>
      <c r="J4528" t="n">
        <v>1</v>
      </c>
      <c r="K4528" t="inlineStr">
        <is>
          <t>组合风险已近10%，预算缩小</t>
        </is>
      </c>
    </row>
    <row r="4529">
      <c r="A4529" t="inlineStr">
        <is>
          <t>2025-07-31</t>
        </is>
      </c>
      <c r="B4529" t="inlineStr">
        <is>
          <t>碳酸锂</t>
        </is>
      </c>
      <c r="C4529" t="inlineStr">
        <is>
          <t>空</t>
        </is>
      </c>
      <c r="D4529" t="n">
        <v>3</v>
      </c>
      <c r="E4529" t="n">
        <v>6</v>
      </c>
      <c r="F4529" t="inlineStr">
        <is>
          <t>不做</t>
        </is>
      </c>
      <c r="H4529" t="n">
        <v>68280</v>
      </c>
      <c r="J4529" t="n">
        <v>0</v>
      </c>
      <c r="K4529" t="inlineStr">
        <is>
          <t>组合风险已近10%，预算缩小</t>
        </is>
      </c>
    </row>
    <row r="4530">
      <c r="A4530" t="inlineStr">
        <is>
          <t>2025-07-31</t>
        </is>
      </c>
      <c r="B4530" t="inlineStr">
        <is>
          <t>豆油</t>
        </is>
      </c>
      <c r="C4530" t="inlineStr">
        <is>
          <t>多</t>
        </is>
      </c>
      <c r="D4530" t="n">
        <v>2</v>
      </c>
      <c r="E4530" t="n">
        <v>5</v>
      </c>
      <c r="F4530" t="inlineStr">
        <is>
          <t>续持</t>
        </is>
      </c>
      <c r="G4530" t="n">
        <v>13</v>
      </c>
      <c r="H4530" t="n">
        <v>8192</v>
      </c>
      <c r="I4530" t="n">
        <v>8022</v>
      </c>
      <c r="J4530" t="n">
        <v>3</v>
      </c>
      <c r="K4530" t="inlineStr">
        <is>
          <t>续持原仓（2025-07-18开）</t>
        </is>
      </c>
    </row>
    <row r="4531">
      <c r="A4531" t="inlineStr">
        <is>
          <t>2025-07-31</t>
        </is>
      </c>
      <c r="B4531" t="inlineStr">
        <is>
          <t>豆粕</t>
        </is>
      </c>
      <c r="C4531" t="inlineStr">
        <is>
          <t>多</t>
        </is>
      </c>
      <c r="D4531" t="n">
        <v>2</v>
      </c>
      <c r="E4531" t="n">
        <v>5</v>
      </c>
      <c r="F4531" t="inlineStr">
        <is>
          <t>观望</t>
        </is>
      </c>
      <c r="G4531" t="n">
        <v>8</v>
      </c>
      <c r="H4531" t="n">
        <v>3000</v>
      </c>
      <c r="I4531" t="n">
        <v>2880.86</v>
      </c>
      <c r="J4531" t="n">
        <v>1</v>
      </c>
      <c r="K4531" t="inlineStr">
        <is>
          <t>逆5日线（收盘在5日线下，不追多）</t>
        </is>
      </c>
    </row>
    <row r="4532">
      <c r="A4532" t="inlineStr">
        <is>
          <t>2025-07-31</t>
        </is>
      </c>
      <c r="B4532" t="inlineStr">
        <is>
          <t>塑料</t>
        </is>
      </c>
      <c r="C4532" t="inlineStr">
        <is>
          <t>空</t>
        </is>
      </c>
      <c r="D4532" t="n">
        <v>2</v>
      </c>
      <c r="E4532" t="n">
        <v>5</v>
      </c>
      <c r="F4532" t="inlineStr">
        <is>
          <t>影子仓</t>
        </is>
      </c>
      <c r="G4532" t="n">
        <v>8</v>
      </c>
      <c r="H4532" t="n">
        <v>7350</v>
      </c>
      <c r="I4532" t="n">
        <v>7589.57</v>
      </c>
      <c r="J4532" t="n">
        <v>1</v>
      </c>
      <c r="K4532" t="inlineStr">
        <is>
          <t>凯利≤0，开1%影子仓（只统计，不计入组合）</t>
        </is>
      </c>
    </row>
    <row r="4533">
      <c r="A4533" t="inlineStr">
        <is>
          <t>2025-07-31</t>
        </is>
      </c>
      <c r="B4533" t="inlineStr">
        <is>
          <t>锰硅</t>
        </is>
      </c>
      <c r="C4533" t="inlineStr">
        <is>
          <t>空</t>
        </is>
      </c>
      <c r="D4533" t="n">
        <v>2</v>
      </c>
      <c r="E4533" t="n">
        <v>4</v>
      </c>
      <c r="F4533" t="inlineStr">
        <is>
          <t>影子仓</t>
        </is>
      </c>
      <c r="G4533" t="n">
        <v>3</v>
      </c>
      <c r="H4533" t="n">
        <v>5946</v>
      </c>
      <c r="I4533" t="n">
        <v>6585</v>
      </c>
      <c r="J4533" t="n">
        <v>1</v>
      </c>
      <c r="K4533" t="inlineStr">
        <is>
          <t>凯利≤0，开1%影子仓（只统计，不计入组合）</t>
        </is>
      </c>
    </row>
    <row r="4534">
      <c r="A4534" t="inlineStr">
        <is>
          <t>2025-08-01</t>
        </is>
      </c>
      <c r="B4534" t="inlineStr">
        <is>
          <t>豆油</t>
        </is>
      </c>
      <c r="C4534" t="inlineStr">
        <is>
          <t>多</t>
        </is>
      </c>
      <c r="D4534" t="n">
        <v>3</v>
      </c>
      <c r="E4534" t="n">
        <v>6</v>
      </c>
      <c r="F4534" t="inlineStr">
        <is>
          <t>续持</t>
        </is>
      </c>
      <c r="G4534" t="n">
        <v>13</v>
      </c>
      <c r="H4534" t="n">
        <v>8274</v>
      </c>
      <c r="I4534" t="n">
        <v>8022</v>
      </c>
      <c r="J4534" t="n">
        <v>3</v>
      </c>
      <c r="K4534" t="inlineStr">
        <is>
          <t>续持原仓（2025-07-18开）</t>
        </is>
      </c>
    </row>
    <row r="4535">
      <c r="A4535" t="inlineStr">
        <is>
          <t>2025-08-01</t>
        </is>
      </c>
      <c r="B4535" t="inlineStr">
        <is>
          <t>豆粕</t>
        </is>
      </c>
      <c r="C4535" t="inlineStr">
        <is>
          <t>多</t>
        </is>
      </c>
      <c r="D4535" t="n">
        <v>2</v>
      </c>
      <c r="E4535" t="n">
        <v>5</v>
      </c>
      <c r="F4535" t="inlineStr">
        <is>
          <t>影子仓</t>
        </is>
      </c>
      <c r="G4535" t="n">
        <v>8</v>
      </c>
      <c r="H4535" t="n">
        <v>3010</v>
      </c>
      <c r="I4535" t="n">
        <v>2891.07</v>
      </c>
      <c r="J4535" t="n">
        <v>1</v>
      </c>
      <c r="K4535" t="inlineStr">
        <is>
          <t>凯利≤0，开1%影子仓（只统计，不计入组合）</t>
        </is>
      </c>
    </row>
    <row r="4536">
      <c r="A4536" t="inlineStr">
        <is>
          <t>2025-08-01</t>
        </is>
      </c>
      <c r="B4536" t="inlineStr">
        <is>
          <t>塑料</t>
        </is>
      </c>
      <c r="C4536" t="inlineStr">
        <is>
          <t>空</t>
        </is>
      </c>
      <c r="D4536" t="n">
        <v>2</v>
      </c>
      <c r="E4536" t="n">
        <v>4</v>
      </c>
      <c r="F4536" t="inlineStr">
        <is>
          <t>续持</t>
        </is>
      </c>
      <c r="G4536" t="n">
        <v>8</v>
      </c>
      <c r="H4536" t="n">
        <v>7317</v>
      </c>
      <c r="I4536" t="n">
        <v>7540.86</v>
      </c>
      <c r="J4536" t="n">
        <v>1</v>
      </c>
      <c r="K4536" t="inlineStr">
        <is>
          <t>续持原仓（2025-07-31开）</t>
        </is>
      </c>
    </row>
    <row r="4537">
      <c r="A4537" t="inlineStr">
        <is>
          <t>2025-08-04</t>
        </is>
      </c>
      <c r="B4537" t="inlineStr">
        <is>
          <t>豆油</t>
        </is>
      </c>
      <c r="C4537" t="inlineStr">
        <is>
          <t>多</t>
        </is>
      </c>
      <c r="D4537" t="n">
        <v>2</v>
      </c>
      <c r="E4537" t="n">
        <v>5</v>
      </c>
      <c r="F4537" t="inlineStr">
        <is>
          <t>续持</t>
        </is>
      </c>
      <c r="G4537" t="n">
        <v>13</v>
      </c>
      <c r="H4537" t="n">
        <v>8250</v>
      </c>
      <c r="I4537" t="n">
        <v>8022</v>
      </c>
      <c r="J4537" t="n">
        <v>3</v>
      </c>
      <c r="K4537" t="inlineStr">
        <is>
          <t>续持原仓（2025-07-18开）</t>
        </is>
      </c>
    </row>
    <row r="4538">
      <c r="A4538" t="inlineStr">
        <is>
          <t>2025-08-04</t>
        </is>
      </c>
      <c r="B4538" t="inlineStr">
        <is>
          <t>豆粕</t>
        </is>
      </c>
      <c r="C4538" t="inlineStr">
        <is>
          <t>多</t>
        </is>
      </c>
      <c r="D4538" t="n">
        <v>2</v>
      </c>
      <c r="E4538" t="n">
        <v>5</v>
      </c>
      <c r="F4538" t="inlineStr">
        <is>
          <t>续持</t>
        </is>
      </c>
      <c r="G4538" t="n">
        <v>8</v>
      </c>
      <c r="H4538" t="n">
        <v>3055</v>
      </c>
      <c r="I4538" t="n">
        <v>2942.43</v>
      </c>
      <c r="J4538" t="n">
        <v>1</v>
      </c>
      <c r="K4538" t="inlineStr">
        <is>
          <t>续持原仓（2025-08-01开）</t>
        </is>
      </c>
    </row>
    <row r="4539">
      <c r="A4539" t="inlineStr">
        <is>
          <t>2025-08-04</t>
        </is>
      </c>
      <c r="B4539" t="inlineStr">
        <is>
          <t>鸡蛋</t>
        </is>
      </c>
      <c r="C4539" t="inlineStr">
        <is>
          <t>空</t>
        </is>
      </c>
      <c r="D4539" t="n">
        <v>2</v>
      </c>
      <c r="E4539" t="n">
        <v>5</v>
      </c>
      <c r="F4539" t="inlineStr">
        <is>
          <t>影子仓</t>
        </is>
      </c>
      <c r="G4539" t="n">
        <v>6</v>
      </c>
      <c r="H4539" t="n">
        <v>3360</v>
      </c>
      <c r="I4539" t="n">
        <v>3507</v>
      </c>
      <c r="J4539" t="n">
        <v>1</v>
      </c>
      <c r="K4539" t="inlineStr">
        <is>
          <t>凯利≤0，开1%影子仓（只统计，不计入组合）</t>
        </is>
      </c>
    </row>
    <row r="4540">
      <c r="A4540" t="inlineStr">
        <is>
          <t>2025-08-04</t>
        </is>
      </c>
      <c r="B4540" t="inlineStr">
        <is>
          <t>棉花</t>
        </is>
      </c>
      <c r="C4540" t="inlineStr">
        <is>
          <t>空</t>
        </is>
      </c>
      <c r="D4540" t="n">
        <v>2</v>
      </c>
      <c r="E4540" t="n">
        <v>4</v>
      </c>
      <c r="F4540" t="inlineStr">
        <is>
          <t>影子仓</t>
        </is>
      </c>
      <c r="G4540" t="n">
        <v>3</v>
      </c>
      <c r="H4540" t="n">
        <v>13805</v>
      </c>
      <c r="I4540" t="n">
        <v>14360</v>
      </c>
      <c r="J4540" t="n">
        <v>1</v>
      </c>
      <c r="K4540" t="inlineStr">
        <is>
          <t>凯利≤0，开1%影子仓（只统计，不计入组合）</t>
        </is>
      </c>
    </row>
    <row r="4541">
      <c r="A4541" t="inlineStr">
        <is>
          <t>2025-08-04</t>
        </is>
      </c>
      <c r="B4541" t="inlineStr">
        <is>
          <t>玻璃</t>
        </is>
      </c>
      <c r="C4541" t="inlineStr">
        <is>
          <t>空</t>
        </is>
      </c>
      <c r="D4541" t="n">
        <v>2</v>
      </c>
      <c r="E4541" t="n">
        <v>4</v>
      </c>
      <c r="F4541" t="inlineStr">
        <is>
          <t>影子仓</t>
        </is>
      </c>
      <c r="G4541" t="n">
        <v>2</v>
      </c>
      <c r="H4541" t="n">
        <v>1086</v>
      </c>
      <c r="I4541" t="n">
        <v>1313.14</v>
      </c>
      <c r="J4541" t="n">
        <v>1</v>
      </c>
      <c r="K4541" t="inlineStr">
        <is>
          <t>凯利≤0，开1%影子仓（只统计，不计入组合）</t>
        </is>
      </c>
    </row>
    <row r="4542">
      <c r="A4542" t="inlineStr">
        <is>
          <t>2025-08-04</t>
        </is>
      </c>
      <c r="B4542" t="inlineStr">
        <is>
          <t>焦煤</t>
        </is>
      </c>
      <c r="C4542" t="inlineStr">
        <is>
          <t>多</t>
        </is>
      </c>
      <c r="D4542" t="n">
        <v>2</v>
      </c>
      <c r="E4542" t="n">
        <v>4</v>
      </c>
      <c r="F4542" t="inlineStr">
        <is>
          <t>观望</t>
        </is>
      </c>
      <c r="H4542" t="n">
        <v>1141</v>
      </c>
      <c r="J4542" t="n">
        <v>1</v>
      </c>
      <c r="K4542" t="inlineStr">
        <is>
          <t>逆5日线（收盘在5日线下，不追多）</t>
        </is>
      </c>
    </row>
    <row r="4543">
      <c r="A4543" t="inlineStr">
        <is>
          <t>2025-08-05</t>
        </is>
      </c>
      <c r="B4543" t="inlineStr">
        <is>
          <t>豆油</t>
        </is>
      </c>
      <c r="C4543" t="inlineStr">
        <is>
          <t>多</t>
        </is>
      </c>
      <c r="D4543" t="n">
        <v>3</v>
      </c>
      <c r="E4543" t="n">
        <v>7</v>
      </c>
      <c r="F4543" t="inlineStr">
        <is>
          <t>续持</t>
        </is>
      </c>
      <c r="G4543" t="n">
        <v>13</v>
      </c>
      <c r="H4543" t="n">
        <v>8344</v>
      </c>
      <c r="I4543" t="n">
        <v>8061.86</v>
      </c>
      <c r="J4543" t="n">
        <v>3</v>
      </c>
      <c r="K4543" t="inlineStr">
        <is>
          <t>续持原仓（2025-07-18开）</t>
        </is>
      </c>
    </row>
    <row r="4544">
      <c r="A4544" t="inlineStr">
        <is>
          <t>2025-08-05</t>
        </is>
      </c>
      <c r="B4544" t="inlineStr">
        <is>
          <t>热卷</t>
        </is>
      </c>
      <c r="C4544" t="inlineStr">
        <is>
          <t>多</t>
        </is>
      </c>
      <c r="D4544" t="n">
        <v>3</v>
      </c>
      <c r="E4544" t="n">
        <v>7</v>
      </c>
      <c r="F4544" t="inlineStr">
        <is>
          <t>开仓</t>
        </is>
      </c>
      <c r="G4544" t="n">
        <v>12</v>
      </c>
      <c r="H4544" t="n">
        <v>3457</v>
      </c>
      <c r="I4544" t="n">
        <v>3212.29</v>
      </c>
      <c r="J4544" t="n">
        <v>3</v>
      </c>
      <c r="K4544" t="inlineStr">
        <is>
          <t>¼凯利超上限，取3%</t>
        </is>
      </c>
    </row>
    <row r="4545">
      <c r="A4545" t="inlineStr">
        <is>
          <t>2025-08-05</t>
        </is>
      </c>
      <c r="B4545" t="inlineStr">
        <is>
          <t>沪铝</t>
        </is>
      </c>
      <c r="C4545" t="inlineStr">
        <is>
          <t>空</t>
        </is>
      </c>
      <c r="D4545" t="n">
        <v>3</v>
      </c>
      <c r="E4545" t="n">
        <v>6</v>
      </c>
      <c r="F4545" t="inlineStr">
        <is>
          <t>观望</t>
        </is>
      </c>
      <c r="G4545" t="n">
        <v>4</v>
      </c>
      <c r="H4545" t="n">
        <v>20560</v>
      </c>
      <c r="I4545" t="n">
        <v>21053.93</v>
      </c>
      <c r="J4545" t="n">
        <v>1</v>
      </c>
      <c r="K4545" t="inlineStr">
        <is>
          <t>逆5日线（收盘在5日线上，不追空）</t>
        </is>
      </c>
    </row>
    <row r="4546">
      <c r="A4546" t="inlineStr">
        <is>
          <t>2025-08-05</t>
        </is>
      </c>
      <c r="B4546" t="inlineStr">
        <is>
          <t>碳酸锂</t>
        </is>
      </c>
      <c r="C4546" t="inlineStr">
        <is>
          <t>空</t>
        </is>
      </c>
      <c r="D4546" t="n">
        <v>3</v>
      </c>
      <c r="E4546" t="n">
        <v>6</v>
      </c>
      <c r="F4546" t="inlineStr">
        <is>
          <t>不做</t>
        </is>
      </c>
      <c r="H4546" t="n">
        <v>67840</v>
      </c>
      <c r="J4546" t="n">
        <v>1</v>
      </c>
      <c r="K4546" t="inlineStr">
        <is>
          <t>1手风险12866元超过预算10000元</t>
        </is>
      </c>
    </row>
    <row r="4547">
      <c r="A4547" t="inlineStr">
        <is>
          <t>2025-08-05</t>
        </is>
      </c>
      <c r="B4547" t="inlineStr">
        <is>
          <t>豆粕</t>
        </is>
      </c>
      <c r="C4547" t="inlineStr">
        <is>
          <t>多</t>
        </is>
      </c>
      <c r="D4547" t="n">
        <v>2</v>
      </c>
      <c r="E4547" t="n">
        <v>5</v>
      </c>
      <c r="F4547" t="inlineStr">
        <is>
          <t>续持</t>
        </is>
      </c>
      <c r="G4547" t="n">
        <v>8</v>
      </c>
      <c r="H4547" t="n">
        <v>3065</v>
      </c>
      <c r="I4547" t="n">
        <v>2965.57</v>
      </c>
      <c r="J4547" t="n">
        <v>1</v>
      </c>
      <c r="K4547" t="inlineStr">
        <is>
          <t>续持原仓（2025-08-01开）</t>
        </is>
      </c>
    </row>
    <row r="4548">
      <c r="A4548" t="inlineStr">
        <is>
          <t>2025-08-05</t>
        </is>
      </c>
      <c r="B4548" t="inlineStr">
        <is>
          <t>焦煤</t>
        </is>
      </c>
      <c r="C4548" t="inlineStr">
        <is>
          <t>多</t>
        </is>
      </c>
      <c r="D4548" t="n">
        <v>2</v>
      </c>
      <c r="E4548" t="n">
        <v>5</v>
      </c>
      <c r="F4548" t="inlineStr">
        <is>
          <t>不做</t>
        </is>
      </c>
      <c r="H4548" t="n">
        <v>1182</v>
      </c>
      <c r="J4548" t="n">
        <v>1</v>
      </c>
      <c r="K4548" t="inlineStr">
        <is>
          <t>1手风险14496元超过预算10000元</t>
        </is>
      </c>
    </row>
    <row r="4549">
      <c r="A4549" t="inlineStr">
        <is>
          <t>2025-08-05</t>
        </is>
      </c>
      <c r="B4549" t="inlineStr">
        <is>
          <t>棉花</t>
        </is>
      </c>
      <c r="C4549" t="inlineStr">
        <is>
          <t>空</t>
        </is>
      </c>
      <c r="D4549" t="n">
        <v>2</v>
      </c>
      <c r="E4549" t="n">
        <v>4</v>
      </c>
      <c r="F4549" t="inlineStr">
        <is>
          <t>续持</t>
        </is>
      </c>
      <c r="G4549" t="n">
        <v>3</v>
      </c>
      <c r="H4549" t="n">
        <v>13820</v>
      </c>
      <c r="I4549" t="n">
        <v>14323.93</v>
      </c>
      <c r="J4549" t="n">
        <v>1</v>
      </c>
      <c r="K4549" t="inlineStr">
        <is>
          <t>续持原仓（2025-08-04开）</t>
        </is>
      </c>
    </row>
    <row r="4550">
      <c r="A4550" t="inlineStr">
        <is>
          <t>2025-08-05</t>
        </is>
      </c>
      <c r="B4550" t="inlineStr">
        <is>
          <t>PTA</t>
        </is>
      </c>
      <c r="C4550" t="inlineStr">
        <is>
          <t>空</t>
        </is>
      </c>
      <c r="D4550" t="n">
        <v>2</v>
      </c>
      <c r="E4550" t="n">
        <v>4</v>
      </c>
      <c r="F4550" t="inlineStr">
        <is>
          <t>影子仓</t>
        </is>
      </c>
      <c r="G4550" t="n">
        <v>8</v>
      </c>
      <c r="H4550" t="n">
        <v>4682</v>
      </c>
      <c r="I4550" t="n">
        <v>4922.86</v>
      </c>
      <c r="J4550" t="n">
        <v>1</v>
      </c>
      <c r="K4550" t="inlineStr">
        <is>
          <t>凯利≤0，开1%影子仓（只统计，不计入组合）</t>
        </is>
      </c>
    </row>
    <row r="4551">
      <c r="A4551" t="inlineStr">
        <is>
          <t>2025-08-06</t>
        </is>
      </c>
      <c r="B4551" t="inlineStr">
        <is>
          <t>豆油</t>
        </is>
      </c>
      <c r="C4551" t="inlineStr">
        <is>
          <t>多</t>
        </is>
      </c>
      <c r="D4551" t="n">
        <v>3</v>
      </c>
      <c r="E4551" t="n">
        <v>7</v>
      </c>
      <c r="F4551" t="inlineStr">
        <is>
          <t>续持</t>
        </is>
      </c>
      <c r="G4551" t="n">
        <v>13</v>
      </c>
      <c r="H4551" t="n">
        <v>8380</v>
      </c>
      <c r="I4551" t="n">
        <v>8089.86</v>
      </c>
      <c r="J4551" t="n">
        <v>3</v>
      </c>
      <c r="K4551" t="inlineStr">
        <is>
          <t>续持原仓（2025-07-18开）</t>
        </is>
      </c>
    </row>
    <row r="4552">
      <c r="A4552" t="inlineStr">
        <is>
          <t>2025-08-06</t>
        </is>
      </c>
      <c r="B4552" t="inlineStr">
        <is>
          <t>棉花</t>
        </is>
      </c>
      <c r="C4552" t="inlineStr">
        <is>
          <t>空</t>
        </is>
      </c>
      <c r="D4552" t="n">
        <v>2</v>
      </c>
      <c r="E4552" t="n">
        <v>5</v>
      </c>
      <c r="F4552" t="inlineStr">
        <is>
          <t>观望</t>
        </is>
      </c>
      <c r="G4552" t="n">
        <v>4</v>
      </c>
      <c r="H4552" t="n">
        <v>13850</v>
      </c>
      <c r="I4552" t="n">
        <v>14339.64</v>
      </c>
      <c r="J4552" t="n">
        <v>1</v>
      </c>
      <c r="K4552" t="inlineStr">
        <is>
          <t>逆5日线（收盘在5日线上，不追空）</t>
        </is>
      </c>
    </row>
    <row r="4553">
      <c r="A4553" t="inlineStr">
        <is>
          <t>2025-08-06</t>
        </is>
      </c>
      <c r="B4553" t="inlineStr">
        <is>
          <t>热卷</t>
        </is>
      </c>
      <c r="C4553" t="inlineStr">
        <is>
          <t>多</t>
        </is>
      </c>
      <c r="D4553" t="n">
        <v>2</v>
      </c>
      <c r="E4553" t="n">
        <v>5</v>
      </c>
      <c r="F4553" t="inlineStr">
        <is>
          <t>续持</t>
        </is>
      </c>
      <c r="G4553" t="n">
        <v>12</v>
      </c>
      <c r="H4553" t="n">
        <v>3451</v>
      </c>
      <c r="I4553" t="n">
        <v>3223.93</v>
      </c>
      <c r="J4553" t="n">
        <v>3</v>
      </c>
      <c r="K4553" t="inlineStr">
        <is>
          <t>续持原仓（2025-08-05开）</t>
        </is>
      </c>
    </row>
    <row r="4554">
      <c r="A4554" t="inlineStr">
        <is>
          <t>2025-08-06</t>
        </is>
      </c>
      <c r="B4554" t="inlineStr">
        <is>
          <t>碳酸锂</t>
        </is>
      </c>
      <c r="C4554" t="inlineStr">
        <is>
          <t>空</t>
        </is>
      </c>
      <c r="D4554" t="n">
        <v>2</v>
      </c>
      <c r="E4554" t="n">
        <v>4</v>
      </c>
      <c r="F4554" t="inlineStr">
        <is>
          <t>观望</t>
        </is>
      </c>
      <c r="H4554" t="n">
        <v>69620</v>
      </c>
      <c r="J4554" t="n">
        <v>1</v>
      </c>
      <c r="K4554" t="inlineStr">
        <is>
          <t>逆5日线（收盘在5日线上，不追空）</t>
        </is>
      </c>
    </row>
    <row r="4555">
      <c r="A4555" t="inlineStr">
        <is>
          <t>2025-08-06</t>
        </is>
      </c>
      <c r="B4555" t="inlineStr">
        <is>
          <t>豆粕</t>
        </is>
      </c>
      <c r="C4555" t="inlineStr">
        <is>
          <t>多</t>
        </is>
      </c>
      <c r="D4555" t="n">
        <v>2</v>
      </c>
      <c r="E4555" t="n">
        <v>4</v>
      </c>
      <c r="F4555" t="inlineStr">
        <is>
          <t>续持</t>
        </is>
      </c>
      <c r="G4555" t="n">
        <v>8</v>
      </c>
      <c r="H4555" t="n">
        <v>3072</v>
      </c>
      <c r="I4555" t="n">
        <v>2970.29</v>
      </c>
      <c r="J4555" t="n">
        <v>1</v>
      </c>
      <c r="K4555" t="inlineStr">
        <is>
          <t>续持原仓（2025-08-01开）</t>
        </is>
      </c>
    </row>
    <row r="4556">
      <c r="A4556" t="inlineStr">
        <is>
          <t>2025-08-06</t>
        </is>
      </c>
      <c r="B4556" t="inlineStr">
        <is>
          <t>螺纹钢</t>
        </is>
      </c>
      <c r="C4556" t="inlineStr">
        <is>
          <t>多</t>
        </is>
      </c>
      <c r="D4556" t="n">
        <v>2</v>
      </c>
      <c r="E4556" t="n">
        <v>4</v>
      </c>
      <c r="F4556" t="inlineStr">
        <is>
          <t>影子仓</t>
        </is>
      </c>
      <c r="G4556" t="n">
        <v>4</v>
      </c>
      <c r="H4556" t="n">
        <v>3234</v>
      </c>
      <c r="I4556" t="n">
        <v>2991.86</v>
      </c>
      <c r="J4556" t="n">
        <v>1</v>
      </c>
      <c r="K4556" t="inlineStr">
        <is>
          <t>凯利≤0，开1%影子仓（只统计，不计入组合）</t>
        </is>
      </c>
    </row>
    <row r="4557">
      <c r="A4557" t="inlineStr">
        <is>
          <t>2025-08-06</t>
        </is>
      </c>
      <c r="B4557" t="inlineStr">
        <is>
          <t>硅铁</t>
        </is>
      </c>
      <c r="C4557" t="inlineStr">
        <is>
          <t>多</t>
        </is>
      </c>
      <c r="D4557" t="n">
        <v>2</v>
      </c>
      <c r="E4557" t="n">
        <v>4</v>
      </c>
      <c r="F4557" t="inlineStr">
        <is>
          <t>影子仓</t>
        </is>
      </c>
      <c r="G4557" t="n">
        <v>2</v>
      </c>
      <c r="H4557" t="n">
        <v>5908</v>
      </c>
      <c r="I4557" t="n">
        <v>5124.14</v>
      </c>
      <c r="J4557" t="n">
        <v>1</v>
      </c>
      <c r="K4557" t="inlineStr">
        <is>
          <t>凯利≤0，开1%影子仓（只统计，不计入组合）</t>
        </is>
      </c>
    </row>
    <row r="4558">
      <c r="A4558" t="inlineStr">
        <is>
          <t>2025-08-07</t>
        </is>
      </c>
      <c r="B4558" t="inlineStr">
        <is>
          <t>豆油</t>
        </is>
      </c>
      <c r="C4558" t="inlineStr">
        <is>
          <t>多</t>
        </is>
      </c>
      <c r="D4558" t="n">
        <v>3</v>
      </c>
      <c r="E4558" t="n">
        <v>6</v>
      </c>
      <c r="F4558" t="inlineStr">
        <is>
          <t>续持</t>
        </is>
      </c>
      <c r="G4558" t="n">
        <v>13</v>
      </c>
      <c r="H4558" t="n">
        <v>8378</v>
      </c>
      <c r="I4558" t="n">
        <v>8159.14</v>
      </c>
      <c r="J4558" t="n">
        <v>3</v>
      </c>
      <c r="K4558" t="inlineStr">
        <is>
          <t>续持原仓（2025-07-18开）</t>
        </is>
      </c>
    </row>
    <row r="4559">
      <c r="A4559" t="inlineStr">
        <is>
          <t>2025-08-07</t>
        </is>
      </c>
      <c r="B4559" t="inlineStr">
        <is>
          <t>鸡蛋</t>
        </is>
      </c>
      <c r="C4559" t="inlineStr">
        <is>
          <t>空</t>
        </is>
      </c>
      <c r="D4559" t="n">
        <v>2</v>
      </c>
      <c r="E4559" t="n">
        <v>5</v>
      </c>
      <c r="F4559" t="inlineStr">
        <is>
          <t>观望</t>
        </is>
      </c>
      <c r="G4559" t="n">
        <v>6</v>
      </c>
      <c r="H4559" t="n">
        <v>3391</v>
      </c>
      <c r="I4559" t="n">
        <v>3547</v>
      </c>
      <c r="J4559" t="n">
        <v>1</v>
      </c>
      <c r="K4559" t="inlineStr">
        <is>
          <t>逆5日线（收盘在5日线上，不追空）</t>
        </is>
      </c>
    </row>
    <row r="4560">
      <c r="A4560" t="inlineStr">
        <is>
          <t>2025-08-07</t>
        </is>
      </c>
      <c r="B4560" t="inlineStr">
        <is>
          <t>棉花</t>
        </is>
      </c>
      <c r="C4560" t="inlineStr">
        <is>
          <t>空</t>
        </is>
      </c>
      <c r="D4560" t="n">
        <v>2</v>
      </c>
      <c r="E4560" t="n">
        <v>4</v>
      </c>
      <c r="F4560" t="inlineStr">
        <is>
          <t>观望</t>
        </is>
      </c>
      <c r="G4560" t="n">
        <v>4</v>
      </c>
      <c r="H4560" t="n">
        <v>13835</v>
      </c>
      <c r="I4560" t="n">
        <v>14304.29</v>
      </c>
      <c r="J4560" t="n">
        <v>1</v>
      </c>
      <c r="K4560" t="inlineStr">
        <is>
          <t>逆5日线（收盘在5日线上，不追空）</t>
        </is>
      </c>
    </row>
    <row r="4561">
      <c r="A4561" t="inlineStr">
        <is>
          <t>2025-08-07</t>
        </is>
      </c>
      <c r="B4561" t="inlineStr">
        <is>
          <t>苯乙烯</t>
        </is>
      </c>
      <c r="C4561" t="inlineStr">
        <is>
          <t>空</t>
        </is>
      </c>
      <c r="D4561" t="n">
        <v>2</v>
      </c>
      <c r="E4561" t="n">
        <v>4</v>
      </c>
      <c r="F4561" t="inlineStr">
        <is>
          <t>观望</t>
        </is>
      </c>
      <c r="G4561" t="n">
        <v>5</v>
      </c>
      <c r="H4561" t="n">
        <v>7296</v>
      </c>
      <c r="I4561" t="n">
        <v>7660.5</v>
      </c>
      <c r="J4561" t="n">
        <v>1</v>
      </c>
      <c r="K4561" t="inlineStr">
        <is>
          <t>逆5日线（收盘在5日线上，不追空）</t>
        </is>
      </c>
    </row>
    <row r="4562">
      <c r="A4562" t="inlineStr">
        <is>
          <t>2025-08-07</t>
        </is>
      </c>
      <c r="B4562" t="inlineStr">
        <is>
          <t>沪镍</t>
        </is>
      </c>
      <c r="C4562" t="inlineStr">
        <is>
          <t>多</t>
        </is>
      </c>
      <c r="D4562" t="n">
        <v>2</v>
      </c>
      <c r="E4562" t="n">
        <v>4</v>
      </c>
      <c r="F4562" t="inlineStr">
        <is>
          <t>影子仓</t>
        </is>
      </c>
      <c r="G4562" t="n">
        <v>1</v>
      </c>
      <c r="H4562" t="n">
        <v>121850</v>
      </c>
      <c r="I4562" t="n">
        <v>116638.57</v>
      </c>
      <c r="J4562" t="n">
        <v>1</v>
      </c>
      <c r="K4562" t="inlineStr">
        <is>
          <t>凯利≤0，开1%影子仓（只统计，不计入组合）</t>
        </is>
      </c>
    </row>
    <row r="4563">
      <c r="A4563" t="inlineStr">
        <is>
          <t>2025-08-08</t>
        </is>
      </c>
      <c r="B4563" t="inlineStr">
        <is>
          <t>豆油</t>
        </is>
      </c>
      <c r="C4563" t="inlineStr">
        <is>
          <t>多</t>
        </is>
      </c>
      <c r="D4563" t="n">
        <v>2</v>
      </c>
      <c r="E4563" t="n">
        <v>5</v>
      </c>
      <c r="F4563" t="inlineStr">
        <is>
          <t>续持</t>
        </is>
      </c>
      <c r="G4563" t="n">
        <v>13</v>
      </c>
      <c r="H4563" t="n">
        <v>8388</v>
      </c>
      <c r="I4563" t="n">
        <v>8165.57</v>
      </c>
      <c r="J4563" t="n">
        <v>3</v>
      </c>
      <c r="K4563" t="inlineStr">
        <is>
          <t>续持原仓（2025-07-18开）</t>
        </is>
      </c>
    </row>
    <row r="4564">
      <c r="A4564" t="inlineStr">
        <is>
          <t>2025-08-08</t>
        </is>
      </c>
      <c r="B4564" t="inlineStr">
        <is>
          <t>豆粕</t>
        </is>
      </c>
      <c r="C4564" t="inlineStr">
        <is>
          <t>多</t>
        </is>
      </c>
      <c r="D4564" t="n">
        <v>2</v>
      </c>
      <c r="E4564" t="n">
        <v>5</v>
      </c>
      <c r="F4564" t="inlineStr">
        <is>
          <t>续持</t>
        </is>
      </c>
      <c r="G4564" t="n">
        <v>8</v>
      </c>
      <c r="H4564" t="n">
        <v>3094</v>
      </c>
      <c r="I4564" t="n">
        <v>2984.93</v>
      </c>
      <c r="J4564" t="n">
        <v>1</v>
      </c>
      <c r="K4564" t="inlineStr">
        <is>
          <t>续持原仓（2025-08-01开）</t>
        </is>
      </c>
    </row>
    <row r="4565">
      <c r="A4565" t="inlineStr">
        <is>
          <t>2025-08-08</t>
        </is>
      </c>
      <c r="B4565" t="inlineStr">
        <is>
          <t>玻璃</t>
        </is>
      </c>
      <c r="C4565" t="inlineStr">
        <is>
          <t>空</t>
        </is>
      </c>
      <c r="D4565" t="n">
        <v>2</v>
      </c>
      <c r="E4565" t="n">
        <v>5</v>
      </c>
      <c r="F4565" t="inlineStr">
        <is>
          <t>影子仓</t>
        </is>
      </c>
      <c r="G4565" t="n">
        <v>2</v>
      </c>
      <c r="H4565" t="n">
        <v>1063</v>
      </c>
      <c r="I4565" t="n">
        <v>1277.5</v>
      </c>
      <c r="J4565" t="n">
        <v>1</v>
      </c>
      <c r="K4565" t="inlineStr">
        <is>
          <t>凯利≤0，开1%影子仓（只统计，不计入组合）</t>
        </is>
      </c>
    </row>
    <row r="4566">
      <c r="A4566" t="inlineStr">
        <is>
          <t>2025-08-08</t>
        </is>
      </c>
      <c r="B4566" t="inlineStr">
        <is>
          <t>苯乙烯</t>
        </is>
      </c>
      <c r="C4566" t="inlineStr">
        <is>
          <t>空</t>
        </is>
      </c>
      <c r="D4566" t="n">
        <v>2</v>
      </c>
      <c r="E4566" t="n">
        <v>5</v>
      </c>
      <c r="F4566" t="inlineStr">
        <is>
          <t>影子仓</t>
        </is>
      </c>
      <c r="G4566" t="n">
        <v>5</v>
      </c>
      <c r="H4566" t="n">
        <v>7235</v>
      </c>
      <c r="I4566" t="n">
        <v>7573.79</v>
      </c>
      <c r="J4566" t="n">
        <v>1</v>
      </c>
      <c r="K4566" t="inlineStr">
        <is>
          <t>凯利≤0，开1%影子仓（只统计，不计入组合）</t>
        </is>
      </c>
    </row>
    <row r="4567">
      <c r="A4567" t="inlineStr">
        <is>
          <t>2025-08-08</t>
        </is>
      </c>
      <c r="B4567" t="inlineStr">
        <is>
          <t>棉花</t>
        </is>
      </c>
      <c r="C4567" t="inlineStr">
        <is>
          <t>空</t>
        </is>
      </c>
      <c r="D4567" t="n">
        <v>2</v>
      </c>
      <c r="E4567" t="n">
        <v>4</v>
      </c>
      <c r="F4567" t="inlineStr">
        <is>
          <t>续持</t>
        </is>
      </c>
      <c r="G4567" t="n">
        <v>3</v>
      </c>
      <c r="H4567" t="n">
        <v>13800</v>
      </c>
      <c r="I4567" t="n">
        <v>14242.5</v>
      </c>
      <c r="J4567" t="n">
        <v>1</v>
      </c>
      <c r="K4567" t="inlineStr">
        <is>
          <t>续持原仓（2025-08-04开）</t>
        </is>
      </c>
    </row>
    <row r="4568">
      <c r="A4568" t="inlineStr">
        <is>
          <t>2025-08-08</t>
        </is>
      </c>
      <c r="B4568" t="inlineStr">
        <is>
          <t>焦煤</t>
        </is>
      </c>
      <c r="C4568" t="inlineStr">
        <is>
          <t>多</t>
        </is>
      </c>
      <c r="D4568" t="n">
        <v>2</v>
      </c>
      <c r="E4568" t="n">
        <v>4</v>
      </c>
      <c r="F4568" t="inlineStr">
        <is>
          <t>不做</t>
        </is>
      </c>
      <c r="H4568" t="n">
        <v>1227</v>
      </c>
      <c r="J4568" t="n">
        <v>1</v>
      </c>
      <c r="K4568" t="inlineStr">
        <is>
          <t>1手风险14818元超过预算10000元</t>
        </is>
      </c>
    </row>
    <row r="4569">
      <c r="A4569" t="inlineStr">
        <is>
          <t>2025-08-11</t>
        </is>
      </c>
      <c r="B4569" t="inlineStr">
        <is>
          <t>鸡蛋</t>
        </is>
      </c>
      <c r="C4569" t="inlineStr">
        <is>
          <t>空</t>
        </is>
      </c>
      <c r="D4569" t="n">
        <v>3</v>
      </c>
      <c r="E4569" t="n">
        <v>7</v>
      </c>
      <c r="F4569" t="inlineStr">
        <is>
          <t>开仓</t>
        </is>
      </c>
      <c r="G4569" t="n">
        <v>6</v>
      </c>
      <c r="H4569" t="n">
        <v>3184</v>
      </c>
      <c r="I4569" t="n">
        <v>3346.64</v>
      </c>
      <c r="J4569" t="n">
        <v>1</v>
      </c>
      <c r="K4569" t="inlineStr">
        <is>
          <t>组合风险已近10%，预算缩小</t>
        </is>
      </c>
    </row>
    <row r="4570">
      <c r="A4570" t="inlineStr">
        <is>
          <t>2025-08-11</t>
        </is>
      </c>
      <c r="B4570" t="inlineStr">
        <is>
          <t>豆油</t>
        </is>
      </c>
      <c r="C4570" t="inlineStr">
        <is>
          <t>多</t>
        </is>
      </c>
      <c r="D4570" t="n">
        <v>3</v>
      </c>
      <c r="E4570" t="n">
        <v>6</v>
      </c>
      <c r="F4570" t="inlineStr">
        <is>
          <t>续持</t>
        </is>
      </c>
      <c r="G4570" t="n">
        <v>13</v>
      </c>
      <c r="H4570" t="n">
        <v>8440</v>
      </c>
      <c r="I4570" t="n">
        <v>8165.57</v>
      </c>
      <c r="J4570" t="n">
        <v>3</v>
      </c>
      <c r="K4570" t="inlineStr">
        <is>
          <t>续持原仓（2025-07-18开）</t>
        </is>
      </c>
    </row>
    <row r="4571">
      <c r="A4571" t="inlineStr">
        <is>
          <t>2025-08-11</t>
        </is>
      </c>
      <c r="B4571" t="inlineStr">
        <is>
          <t>热卷</t>
        </is>
      </c>
      <c r="C4571" t="inlineStr">
        <is>
          <t>多</t>
        </is>
      </c>
      <c r="D4571" t="n">
        <v>3</v>
      </c>
      <c r="E4571" t="n">
        <v>6</v>
      </c>
      <c r="F4571" t="inlineStr">
        <is>
          <t>续持</t>
        </is>
      </c>
      <c r="G4571" t="n">
        <v>12</v>
      </c>
      <c r="H4571" t="n">
        <v>3465</v>
      </c>
      <c r="I4571" t="n">
        <v>3254.07</v>
      </c>
      <c r="J4571" t="n">
        <v>3</v>
      </c>
      <c r="K4571" t="inlineStr">
        <is>
          <t>续持原仓（2025-08-05开）</t>
        </is>
      </c>
    </row>
    <row r="4572">
      <c r="A4572" t="inlineStr">
        <is>
          <t>2025-08-11</t>
        </is>
      </c>
      <c r="B4572" t="inlineStr">
        <is>
          <t>燃料油</t>
        </is>
      </c>
      <c r="C4572" t="inlineStr">
        <is>
          <t>空</t>
        </is>
      </c>
      <c r="D4572" t="n">
        <v>3</v>
      </c>
      <c r="E4572" t="n">
        <v>6</v>
      </c>
      <c r="F4572" t="inlineStr">
        <is>
          <t>不做</t>
        </is>
      </c>
      <c r="H4572" t="n">
        <v>2760</v>
      </c>
      <c r="J4572" t="n">
        <v>0</v>
      </c>
      <c r="K4572" t="inlineStr">
        <is>
          <t>组合风险已近10%，预算缩小</t>
        </is>
      </c>
    </row>
    <row r="4573">
      <c r="A4573" t="inlineStr">
        <is>
          <t>2025-08-11</t>
        </is>
      </c>
      <c r="B4573" t="inlineStr">
        <is>
          <t>沪锌</t>
        </is>
      </c>
      <c r="C4573" t="inlineStr">
        <is>
          <t>多</t>
        </is>
      </c>
      <c r="D4573" t="n">
        <v>3</v>
      </c>
      <c r="E4573" t="n">
        <v>6</v>
      </c>
      <c r="F4573" t="inlineStr">
        <is>
          <t>不做</t>
        </is>
      </c>
      <c r="H4573" t="n">
        <v>22590</v>
      </c>
      <c r="J4573" t="n">
        <v>0</v>
      </c>
      <c r="K4573" t="inlineStr">
        <is>
          <t>组合风险已近10%，预算缩小</t>
        </is>
      </c>
    </row>
    <row r="4574">
      <c r="A4574" t="inlineStr">
        <is>
          <t>2025-08-11</t>
        </is>
      </c>
      <c r="B4574" t="inlineStr">
        <is>
          <t>棉花</t>
        </is>
      </c>
      <c r="C4574" t="inlineStr">
        <is>
          <t>空</t>
        </is>
      </c>
      <c r="D4574" t="n">
        <v>2</v>
      </c>
      <c r="E4574" t="n">
        <v>5</v>
      </c>
      <c r="F4574" t="inlineStr">
        <is>
          <t>观望</t>
        </is>
      </c>
      <c r="G4574" t="n">
        <v>4</v>
      </c>
      <c r="H4574" t="n">
        <v>13880</v>
      </c>
      <c r="I4574" t="n">
        <v>14342.86</v>
      </c>
      <c r="J4574" t="n">
        <v>1</v>
      </c>
      <c r="K4574" t="inlineStr">
        <is>
          <t>逆5日线（收盘在5日线上，不追空）</t>
        </is>
      </c>
    </row>
    <row r="4575">
      <c r="A4575" t="inlineStr">
        <is>
          <t>2025-08-11</t>
        </is>
      </c>
      <c r="B4575" t="inlineStr">
        <is>
          <t>豆粕</t>
        </is>
      </c>
      <c r="C4575" t="inlineStr">
        <is>
          <t>多</t>
        </is>
      </c>
      <c r="D4575" t="n">
        <v>2</v>
      </c>
      <c r="E4575" t="n">
        <v>5</v>
      </c>
      <c r="F4575" t="inlineStr">
        <is>
          <t>观望</t>
        </is>
      </c>
      <c r="G4575" t="n">
        <v>8</v>
      </c>
      <c r="H4575" t="n">
        <v>3072</v>
      </c>
      <c r="I4575" t="n">
        <v>2949.64</v>
      </c>
      <c r="J4575" t="n">
        <v>1</v>
      </c>
      <c r="K4575" t="inlineStr">
        <is>
          <t>逆5日线（收盘在5日线下，不追多）</t>
        </is>
      </c>
    </row>
    <row r="4576">
      <c r="A4576" t="inlineStr">
        <is>
          <t>2025-08-11</t>
        </is>
      </c>
      <c r="B4576" t="inlineStr">
        <is>
          <t>硅铁</t>
        </is>
      </c>
      <c r="C4576" t="inlineStr">
        <is>
          <t>多</t>
        </is>
      </c>
      <c r="D4576" t="n">
        <v>2</v>
      </c>
      <c r="E4576" t="n">
        <v>5</v>
      </c>
      <c r="F4576" t="inlineStr">
        <is>
          <t>续持</t>
        </is>
      </c>
      <c r="G4576" t="n">
        <v>2</v>
      </c>
      <c r="H4576" t="n">
        <v>6014</v>
      </c>
      <c r="I4576" t="n">
        <v>5379</v>
      </c>
      <c r="J4576" t="n">
        <v>1</v>
      </c>
      <c r="K4576" t="inlineStr">
        <is>
          <t>续持原仓（2025-08-06开）</t>
        </is>
      </c>
    </row>
    <row r="4577">
      <c r="A4577" t="inlineStr">
        <is>
          <t>2025-08-11</t>
        </is>
      </c>
      <c r="B4577" t="inlineStr">
        <is>
          <t>苯乙烯</t>
        </is>
      </c>
      <c r="C4577" t="inlineStr">
        <is>
          <t>空</t>
        </is>
      </c>
      <c r="D4577" t="n">
        <v>2</v>
      </c>
      <c r="E4577" t="n">
        <v>4</v>
      </c>
      <c r="F4577" t="inlineStr">
        <is>
          <t>续持</t>
        </is>
      </c>
      <c r="G4577" t="n">
        <v>5</v>
      </c>
      <c r="H4577" t="n">
        <v>7250</v>
      </c>
      <c r="I4577" t="n">
        <v>7540.71</v>
      </c>
      <c r="J4577" t="n">
        <v>1</v>
      </c>
      <c r="K4577" t="inlineStr">
        <is>
          <t>续持原仓（2025-08-08开）</t>
        </is>
      </c>
    </row>
    <row r="4578">
      <c r="A4578" t="inlineStr">
        <is>
          <t>2025-08-12</t>
        </is>
      </c>
      <c r="B4578" t="inlineStr">
        <is>
          <t>热卷</t>
        </is>
      </c>
      <c r="C4578" t="inlineStr">
        <is>
          <t>多</t>
        </is>
      </c>
      <c r="D4578" t="n">
        <v>3</v>
      </c>
      <c r="E4578" t="n">
        <v>7</v>
      </c>
      <c r="F4578" t="inlineStr">
        <is>
          <t>续持</t>
        </is>
      </c>
      <c r="G4578" t="n">
        <v>12</v>
      </c>
      <c r="H4578" t="n">
        <v>3484</v>
      </c>
      <c r="I4578" t="n">
        <v>3291.21</v>
      </c>
      <c r="J4578" t="n">
        <v>3</v>
      </c>
      <c r="K4578" t="inlineStr">
        <is>
          <t>续持原仓（2025-08-05开）</t>
        </is>
      </c>
    </row>
    <row r="4579">
      <c r="A4579" t="inlineStr">
        <is>
          <t>2025-08-12</t>
        </is>
      </c>
      <c r="B4579" t="inlineStr">
        <is>
          <t>焦煤</t>
        </is>
      </c>
      <c r="C4579" t="inlineStr">
        <is>
          <t>多</t>
        </is>
      </c>
      <c r="D4579" t="n">
        <v>3</v>
      </c>
      <c r="E4579" t="n">
        <v>7</v>
      </c>
      <c r="F4579" t="inlineStr">
        <is>
          <t>开仓</t>
        </is>
      </c>
      <c r="G4579" t="n">
        <v>1</v>
      </c>
      <c r="H4579" t="n">
        <v>1313</v>
      </c>
      <c r="I4579" t="n">
        <v>1061.96</v>
      </c>
      <c r="J4579" t="n">
        <v>3</v>
      </c>
      <c r="K4579" t="inlineStr">
        <is>
          <t>¼凯利超上限，取3%</t>
        </is>
      </c>
    </row>
    <row r="4580">
      <c r="A4580" t="inlineStr">
        <is>
          <t>2025-08-12</t>
        </is>
      </c>
      <c r="B4580" t="inlineStr">
        <is>
          <t>PTA</t>
        </is>
      </c>
      <c r="C4580" t="inlineStr">
        <is>
          <t>多</t>
        </is>
      </c>
      <c r="D4580" t="n">
        <v>3</v>
      </c>
      <c r="E4580" t="n">
        <v>6</v>
      </c>
      <c r="F4580" t="inlineStr">
        <is>
          <t>不做</t>
        </is>
      </c>
      <c r="H4580" t="n">
        <v>4726</v>
      </c>
      <c r="J4580" t="n">
        <v>0</v>
      </c>
      <c r="K4580" t="inlineStr">
        <is>
          <t>组合风险已近10%，预算缩小</t>
        </is>
      </c>
    </row>
    <row r="4581">
      <c r="A4581" t="inlineStr">
        <is>
          <t>2025-08-12</t>
        </is>
      </c>
      <c r="B4581" t="inlineStr">
        <is>
          <t>棉花</t>
        </is>
      </c>
      <c r="C4581" t="inlineStr">
        <is>
          <t>空</t>
        </is>
      </c>
      <c r="D4581" t="n">
        <v>2</v>
      </c>
      <c r="E4581" t="n">
        <v>5</v>
      </c>
      <c r="F4581" t="inlineStr">
        <is>
          <t>观望</t>
        </is>
      </c>
      <c r="G4581" t="n">
        <v>4</v>
      </c>
      <c r="H4581" t="n">
        <v>13980</v>
      </c>
      <c r="I4581" t="n">
        <v>14441.79</v>
      </c>
      <c r="J4581" t="n">
        <v>1</v>
      </c>
      <c r="K4581" t="inlineStr">
        <is>
          <t>逆5日线（收盘在5日线上，不追空）</t>
        </is>
      </c>
    </row>
    <row r="4582">
      <c r="A4582" t="inlineStr">
        <is>
          <t>2025-08-12</t>
        </is>
      </c>
      <c r="B4582" t="inlineStr">
        <is>
          <t>鸡蛋</t>
        </is>
      </c>
      <c r="C4582" t="inlineStr">
        <is>
          <t>空</t>
        </is>
      </c>
      <c r="D4582" t="n">
        <v>2</v>
      </c>
      <c r="E4582" t="n">
        <v>5</v>
      </c>
      <c r="F4582" t="inlineStr">
        <is>
          <t>续持</t>
        </is>
      </c>
      <c r="G4582" t="n">
        <v>6</v>
      </c>
      <c r="H4582" t="n">
        <v>3197</v>
      </c>
      <c r="I4582" t="n">
        <v>3329.71</v>
      </c>
      <c r="J4582" t="n">
        <v>1</v>
      </c>
      <c r="K4582" t="inlineStr">
        <is>
          <t>续持原仓（2025-08-11开）</t>
        </is>
      </c>
    </row>
    <row r="4583">
      <c r="A4583" t="inlineStr">
        <is>
          <t>2025-08-12</t>
        </is>
      </c>
      <c r="B4583" t="inlineStr">
        <is>
          <t>菜粕</t>
        </is>
      </c>
      <c r="C4583" t="inlineStr">
        <is>
          <t>多</t>
        </is>
      </c>
      <c r="D4583" t="n">
        <v>2</v>
      </c>
      <c r="E4583" t="n">
        <v>5</v>
      </c>
      <c r="F4583" t="inlineStr">
        <is>
          <t>影子仓</t>
        </is>
      </c>
      <c r="G4583" t="n">
        <v>5</v>
      </c>
      <c r="H4583" t="n">
        <v>2562</v>
      </c>
      <c r="I4583" t="n">
        <v>2364.64</v>
      </c>
      <c r="J4583" t="n">
        <v>1</v>
      </c>
      <c r="K4583" t="inlineStr">
        <is>
          <t>凯利≤0，开1%影子仓（只统计，不计入组合）</t>
        </is>
      </c>
    </row>
    <row r="4584">
      <c r="A4584" t="inlineStr">
        <is>
          <t>2025-08-12</t>
        </is>
      </c>
      <c r="B4584" t="inlineStr">
        <is>
          <t>铁矿石</t>
        </is>
      </c>
      <c r="C4584" t="inlineStr">
        <is>
          <t>多</t>
        </is>
      </c>
      <c r="D4584" t="n">
        <v>2</v>
      </c>
      <c r="E4584" t="n">
        <v>4</v>
      </c>
      <c r="F4584" t="inlineStr">
        <is>
          <t>影子仓</t>
        </is>
      </c>
      <c r="G4584" t="n">
        <v>2</v>
      </c>
      <c r="H4584" t="n">
        <v>801</v>
      </c>
      <c r="I4584" t="n">
        <v>752.25</v>
      </c>
      <c r="J4584" t="n">
        <v>1</v>
      </c>
      <c r="K4584" t="inlineStr">
        <is>
          <t>凯利≤0，开1%影子仓（只统计，不计入组合）</t>
        </is>
      </c>
    </row>
    <row r="4585">
      <c r="A4585" t="inlineStr">
        <is>
          <t>2025-08-13</t>
        </is>
      </c>
      <c r="B4585" t="inlineStr">
        <is>
          <t>燃料油</t>
        </is>
      </c>
      <c r="C4585" t="inlineStr">
        <is>
          <t>空</t>
        </is>
      </c>
      <c r="D4585" t="n">
        <v>3</v>
      </c>
      <c r="E4585" t="n">
        <v>7</v>
      </c>
      <c r="F4585" t="inlineStr">
        <is>
          <t>开仓</t>
        </is>
      </c>
      <c r="G4585" t="n">
        <v>16</v>
      </c>
      <c r="H4585" t="n">
        <v>2730</v>
      </c>
      <c r="I4585" t="n">
        <v>2915.14</v>
      </c>
      <c r="J4585" t="n">
        <v>3</v>
      </c>
      <c r="K4585" t="inlineStr">
        <is>
          <t>¼凯利超上限，取3%</t>
        </is>
      </c>
    </row>
    <row r="4586">
      <c r="A4586" t="inlineStr">
        <is>
          <t>2025-08-13</t>
        </is>
      </c>
      <c r="B4586" t="inlineStr">
        <is>
          <t>沪镍</t>
        </is>
      </c>
      <c r="C4586" t="inlineStr">
        <is>
          <t>多</t>
        </is>
      </c>
      <c r="D4586" t="n">
        <v>2</v>
      </c>
      <c r="E4586" t="n">
        <v>5</v>
      </c>
      <c r="F4586" t="inlineStr">
        <is>
          <t>影子仓</t>
        </is>
      </c>
      <c r="G4586" t="n">
        <v>2</v>
      </c>
      <c r="H4586" t="n">
        <v>122340</v>
      </c>
      <c r="I4586" t="n">
        <v>117687.86</v>
      </c>
      <c r="J4586" t="n">
        <v>1</v>
      </c>
      <c r="K4586" t="inlineStr">
        <is>
          <t>凯利≤0，开1%影子仓（只统计，不计入组合）</t>
        </is>
      </c>
    </row>
    <row r="4587">
      <c r="A4587" t="inlineStr">
        <is>
          <t>2025-08-13</t>
        </is>
      </c>
      <c r="B4587" t="inlineStr">
        <is>
          <t>玻璃</t>
        </is>
      </c>
      <c r="C4587" t="inlineStr">
        <is>
          <t>空</t>
        </is>
      </c>
      <c r="D4587" t="n">
        <v>2</v>
      </c>
      <c r="E4587" t="n">
        <v>4</v>
      </c>
      <c r="F4587" t="inlineStr">
        <is>
          <t>影子仓</t>
        </is>
      </c>
      <c r="G4587" t="n">
        <v>2</v>
      </c>
      <c r="H4587" t="n">
        <v>1214</v>
      </c>
      <c r="I4587" t="n">
        <v>1395.29</v>
      </c>
      <c r="J4587" t="n">
        <v>1</v>
      </c>
      <c r="K4587" t="inlineStr">
        <is>
          <t>凯利≤0，开1%影子仓（只统计，不计入组合）</t>
        </is>
      </c>
    </row>
    <row r="4588">
      <c r="A4588" t="inlineStr">
        <is>
          <t>2025-08-14</t>
        </is>
      </c>
      <c r="B4588" t="inlineStr">
        <is>
          <t>沪铝</t>
        </is>
      </c>
      <c r="C4588" t="inlineStr">
        <is>
          <t>空</t>
        </is>
      </c>
      <c r="D4588" t="n">
        <v>3</v>
      </c>
      <c r="E4588" t="n">
        <v>6</v>
      </c>
      <c r="F4588" t="inlineStr">
        <is>
          <t>开仓</t>
        </is>
      </c>
      <c r="G4588" t="n">
        <v>4</v>
      </c>
      <c r="H4588" t="n">
        <v>20715</v>
      </c>
      <c r="I4588" t="n">
        <v>21150</v>
      </c>
      <c r="J4588" t="n">
        <v>1</v>
      </c>
      <c r="K4588" t="inlineStr">
        <is>
          <t>组合风险已近10%，预算缩小</t>
        </is>
      </c>
    </row>
    <row r="4589">
      <c r="A4589" t="inlineStr">
        <is>
          <t>2025-08-14</t>
        </is>
      </c>
      <c r="B4589" t="inlineStr">
        <is>
          <t>燃料油</t>
        </is>
      </c>
      <c r="C4589" t="inlineStr">
        <is>
          <t>空</t>
        </is>
      </c>
      <c r="D4589" t="n">
        <v>3</v>
      </c>
      <c r="E4589" t="n">
        <v>6</v>
      </c>
      <c r="F4589" t="inlineStr">
        <is>
          <t>续持</t>
        </is>
      </c>
      <c r="G4589" t="n">
        <v>16</v>
      </c>
      <c r="H4589" t="n">
        <v>2700</v>
      </c>
      <c r="I4589" t="n">
        <v>2867.64</v>
      </c>
      <c r="J4589" t="n">
        <v>3</v>
      </c>
      <c r="K4589" t="inlineStr">
        <is>
          <t>续持原仓（2025-08-13开）</t>
        </is>
      </c>
    </row>
    <row r="4590">
      <c r="A4590" t="inlineStr">
        <is>
          <t>2025-08-14</t>
        </is>
      </c>
      <c r="B4590" t="inlineStr">
        <is>
          <t>豆油</t>
        </is>
      </c>
      <c r="C4590" t="inlineStr">
        <is>
          <t>多</t>
        </is>
      </c>
      <c r="D4590" t="n">
        <v>2</v>
      </c>
      <c r="E4590" t="n">
        <v>5</v>
      </c>
      <c r="F4590" t="inlineStr">
        <is>
          <t>影子仓</t>
        </is>
      </c>
      <c r="G4590" t="n">
        <v>2</v>
      </c>
      <c r="H4590" t="n">
        <v>8520</v>
      </c>
      <c r="I4590" t="n">
        <v>8168.57</v>
      </c>
      <c r="J4590" t="n">
        <v>1</v>
      </c>
      <c r="K4590" t="inlineStr">
        <is>
          <t>凯利≤0，开1%影子仓（只统计，不计入组合）</t>
        </is>
      </c>
    </row>
    <row r="4591">
      <c r="A4591" t="inlineStr">
        <is>
          <t>2025-08-14</t>
        </is>
      </c>
      <c r="B4591" t="inlineStr">
        <is>
          <t>棉花</t>
        </is>
      </c>
      <c r="C4591" t="inlineStr">
        <is>
          <t>空</t>
        </is>
      </c>
      <c r="D4591" t="n">
        <v>2</v>
      </c>
      <c r="E4591" t="n">
        <v>5</v>
      </c>
      <c r="F4591" t="inlineStr">
        <is>
          <t>观望</t>
        </is>
      </c>
      <c r="G4591" t="n">
        <v>4</v>
      </c>
      <c r="H4591" t="n">
        <v>14155</v>
      </c>
      <c r="I4591" t="n">
        <v>14632.86</v>
      </c>
      <c r="J4591" t="n">
        <v>1</v>
      </c>
      <c r="K4591" t="inlineStr">
        <is>
          <t>逆5日线（收盘在5日线上，不追空）</t>
        </is>
      </c>
    </row>
    <row r="4592">
      <c r="A4592" t="inlineStr">
        <is>
          <t>2025-08-14</t>
        </is>
      </c>
      <c r="B4592" t="inlineStr">
        <is>
          <t>鸡蛋</t>
        </is>
      </c>
      <c r="C4592" t="inlineStr">
        <is>
          <t>空</t>
        </is>
      </c>
      <c r="D4592" t="n">
        <v>2</v>
      </c>
      <c r="E4592" t="n">
        <v>4</v>
      </c>
      <c r="F4592" t="inlineStr">
        <is>
          <t>影子仓</t>
        </is>
      </c>
      <c r="G4592" t="n">
        <v>6</v>
      </c>
      <c r="H4592" t="n">
        <v>3189</v>
      </c>
      <c r="I4592" t="n">
        <v>3352.5</v>
      </c>
      <c r="J4592" t="n">
        <v>1</v>
      </c>
      <c r="K4592" t="inlineStr">
        <is>
          <t>凯利≤0，开1%影子仓（只统计，不计入组合）</t>
        </is>
      </c>
    </row>
    <row r="4593">
      <c r="A4593" t="inlineStr">
        <is>
          <t>2025-08-15</t>
        </is>
      </c>
      <c r="B4593" t="inlineStr">
        <is>
          <t>玻璃</t>
        </is>
      </c>
      <c r="C4593" t="inlineStr">
        <is>
          <t>空</t>
        </is>
      </c>
      <c r="D4593" t="n">
        <v>3</v>
      </c>
      <c r="E4593" t="n">
        <v>7</v>
      </c>
      <c r="F4593" t="inlineStr">
        <is>
          <t>续持</t>
        </is>
      </c>
      <c r="G4593" t="n">
        <v>2</v>
      </c>
      <c r="H4593" t="n">
        <v>1211</v>
      </c>
      <c r="I4593" t="n">
        <v>1347.71</v>
      </c>
      <c r="J4593" t="n">
        <v>1</v>
      </c>
      <c r="K4593" t="inlineStr">
        <is>
          <t>续持原仓（2025-08-13开）</t>
        </is>
      </c>
    </row>
    <row r="4594">
      <c r="A4594" t="inlineStr">
        <is>
          <t>2025-08-15</t>
        </is>
      </c>
      <c r="B4594" t="inlineStr">
        <is>
          <t>燃料油</t>
        </is>
      </c>
      <c r="C4594" t="inlineStr">
        <is>
          <t>空</t>
        </is>
      </c>
      <c r="D4594" t="n">
        <v>3</v>
      </c>
      <c r="E4594" t="n">
        <v>6</v>
      </c>
      <c r="F4594" t="inlineStr">
        <is>
          <t>续持</t>
        </is>
      </c>
      <c r="G4594" t="n">
        <v>16</v>
      </c>
      <c r="H4594" t="n">
        <v>2691</v>
      </c>
      <c r="I4594" t="n">
        <v>2857.79</v>
      </c>
      <c r="J4594" t="n">
        <v>3</v>
      </c>
      <c r="K4594" t="inlineStr">
        <is>
          <t>续持原仓（2025-08-13开）</t>
        </is>
      </c>
    </row>
    <row r="4595">
      <c r="A4595" t="inlineStr">
        <is>
          <t>2025-08-15</t>
        </is>
      </c>
      <c r="B4595" t="inlineStr">
        <is>
          <t>沪铝</t>
        </is>
      </c>
      <c r="C4595" t="inlineStr">
        <is>
          <t>空</t>
        </is>
      </c>
      <c r="D4595" t="n">
        <v>3</v>
      </c>
      <c r="E4595" t="n">
        <v>6</v>
      </c>
      <c r="F4595" t="inlineStr">
        <is>
          <t>观望</t>
        </is>
      </c>
      <c r="H4595" t="n">
        <v>20750</v>
      </c>
      <c r="J4595" t="n">
        <v>0</v>
      </c>
      <c r="K4595" t="inlineStr">
        <is>
          <t>逆5日线（收盘在5日线上，不追空）</t>
        </is>
      </c>
    </row>
    <row r="4596">
      <c r="A4596" t="inlineStr">
        <is>
          <t>2025-08-15</t>
        </is>
      </c>
      <c r="B4596" t="inlineStr">
        <is>
          <t>苯乙烯</t>
        </is>
      </c>
      <c r="C4596" t="inlineStr">
        <is>
          <t>空</t>
        </is>
      </c>
      <c r="D4596" t="n">
        <v>3</v>
      </c>
      <c r="E4596" t="n">
        <v>6</v>
      </c>
      <c r="F4596" t="inlineStr">
        <is>
          <t>续持</t>
        </is>
      </c>
      <c r="G4596" t="n">
        <v>5</v>
      </c>
      <c r="H4596" t="n">
        <v>7240</v>
      </c>
      <c r="I4596" t="n">
        <v>7452.07</v>
      </c>
      <c r="J4596" t="n">
        <v>1</v>
      </c>
      <c r="K4596" t="inlineStr">
        <is>
          <t>续持原仓（2025-08-08开）</t>
        </is>
      </c>
    </row>
    <row r="4597">
      <c r="A4597" t="inlineStr">
        <is>
          <t>2025-08-15</t>
        </is>
      </c>
      <c r="B4597" t="inlineStr">
        <is>
          <t>焦煤</t>
        </is>
      </c>
      <c r="C4597" t="inlineStr">
        <is>
          <t>多</t>
        </is>
      </c>
      <c r="D4597" t="n">
        <v>3</v>
      </c>
      <c r="E4597" t="n">
        <v>6</v>
      </c>
      <c r="F4597" t="inlineStr">
        <is>
          <t>观望</t>
        </is>
      </c>
      <c r="H4597" t="n">
        <v>1230</v>
      </c>
      <c r="J4597" t="n">
        <v>0</v>
      </c>
      <c r="K4597" t="inlineStr">
        <is>
          <t>逆5日线（收盘在5日线下，不追多）</t>
        </is>
      </c>
    </row>
    <row r="4598">
      <c r="A4598" t="inlineStr">
        <is>
          <t>2025-08-15</t>
        </is>
      </c>
      <c r="B4598" t="inlineStr">
        <is>
          <t>豆油</t>
        </is>
      </c>
      <c r="C4598" t="inlineStr">
        <is>
          <t>多</t>
        </is>
      </c>
      <c r="D4598" t="n">
        <v>2</v>
      </c>
      <c r="E4598" t="n">
        <v>5</v>
      </c>
      <c r="F4598" t="inlineStr">
        <is>
          <t>续持</t>
        </is>
      </c>
      <c r="G4598" t="n">
        <v>2</v>
      </c>
      <c r="H4598" t="n">
        <v>8534</v>
      </c>
      <c r="I4598" t="n">
        <v>8203.43</v>
      </c>
      <c r="J4598" t="n">
        <v>1</v>
      </c>
      <c r="K4598" t="inlineStr">
        <is>
          <t>续持原仓（2025-08-14开）</t>
        </is>
      </c>
    </row>
    <row r="4599">
      <c r="A4599" t="inlineStr">
        <is>
          <t>2025-08-15</t>
        </is>
      </c>
      <c r="B4599" t="inlineStr">
        <is>
          <t>棉花</t>
        </is>
      </c>
      <c r="C4599" t="inlineStr">
        <is>
          <t>空</t>
        </is>
      </c>
      <c r="D4599" t="n">
        <v>2</v>
      </c>
      <c r="E4599" t="n">
        <v>5</v>
      </c>
      <c r="F4599" t="inlineStr">
        <is>
          <t>观望</t>
        </is>
      </c>
      <c r="G4599" t="n">
        <v>4</v>
      </c>
      <c r="H4599" t="n">
        <v>14120</v>
      </c>
      <c r="I4599" t="n">
        <v>14543.21</v>
      </c>
      <c r="J4599" t="n">
        <v>1</v>
      </c>
      <c r="K4599" t="inlineStr">
        <is>
          <t>逆5日线（收盘在5日线上，不追空）</t>
        </is>
      </c>
    </row>
    <row r="4600">
      <c r="A4600" t="inlineStr">
        <is>
          <t>2025-08-15</t>
        </is>
      </c>
      <c r="B4600" t="inlineStr">
        <is>
          <t>棕榈油</t>
        </is>
      </c>
      <c r="C4600" t="inlineStr">
        <is>
          <t>多</t>
        </is>
      </c>
      <c r="D4600" t="n">
        <v>2</v>
      </c>
      <c r="E4600" t="n">
        <v>4</v>
      </c>
      <c r="F4600" t="inlineStr">
        <is>
          <t>影子仓</t>
        </is>
      </c>
      <c r="G4600" t="n">
        <v>1</v>
      </c>
      <c r="H4600" t="n">
        <v>9460</v>
      </c>
      <c r="I4600" t="n">
        <v>8951.709999999999</v>
      </c>
      <c r="J4600" t="n">
        <v>1</v>
      </c>
      <c r="K4600" t="inlineStr">
        <is>
          <t>凯利≤0，开1%影子仓（只统计，不计入组合）</t>
        </is>
      </c>
    </row>
    <row r="4601">
      <c r="A4601" t="inlineStr">
        <is>
          <t>2025-08-18</t>
        </is>
      </c>
      <c r="B4601" t="inlineStr">
        <is>
          <t>豆油</t>
        </is>
      </c>
      <c r="C4601" t="inlineStr">
        <is>
          <t>多</t>
        </is>
      </c>
      <c r="D4601" t="n">
        <v>2</v>
      </c>
      <c r="E4601" t="n">
        <v>5</v>
      </c>
      <c r="F4601" t="inlineStr">
        <is>
          <t>观望</t>
        </is>
      </c>
      <c r="G4601" t="n">
        <v>3</v>
      </c>
      <c r="H4601" t="n">
        <v>8516</v>
      </c>
      <c r="I4601" t="n">
        <v>8186.86</v>
      </c>
      <c r="J4601" t="n">
        <v>1</v>
      </c>
      <c r="K4601" t="inlineStr">
        <is>
          <t>逆5日线（收盘在5日线下，不追多）</t>
        </is>
      </c>
    </row>
    <row r="4602">
      <c r="A4602" t="inlineStr">
        <is>
          <t>2025-08-18</t>
        </is>
      </c>
      <c r="B4602" t="inlineStr">
        <is>
          <t>鸡蛋</t>
        </is>
      </c>
      <c r="C4602" t="inlineStr">
        <is>
          <t>空</t>
        </is>
      </c>
      <c r="D4602" t="n">
        <v>2</v>
      </c>
      <c r="E4602" t="n">
        <v>5</v>
      </c>
      <c r="F4602" t="inlineStr">
        <is>
          <t>续持</t>
        </is>
      </c>
      <c r="G4602" t="n">
        <v>6</v>
      </c>
      <c r="H4602" t="n">
        <v>3113</v>
      </c>
      <c r="I4602" t="n">
        <v>3274.79</v>
      </c>
      <c r="J4602" t="n">
        <v>1</v>
      </c>
      <c r="K4602" t="inlineStr">
        <is>
          <t>续持原仓（2025-08-14开）</t>
        </is>
      </c>
    </row>
    <row r="4603">
      <c r="A4603" t="inlineStr">
        <is>
          <t>2025-08-18</t>
        </is>
      </c>
      <c r="B4603" t="inlineStr">
        <is>
          <t>白糖</t>
        </is>
      </c>
      <c r="C4603" t="inlineStr">
        <is>
          <t>空</t>
        </is>
      </c>
      <c r="D4603" t="n">
        <v>2</v>
      </c>
      <c r="E4603" t="n">
        <v>4</v>
      </c>
      <c r="F4603" t="inlineStr">
        <is>
          <t>观望</t>
        </is>
      </c>
      <c r="G4603" t="n">
        <v>8</v>
      </c>
      <c r="H4603" t="n">
        <v>5672</v>
      </c>
      <c r="I4603" t="n">
        <v>5795.21</v>
      </c>
      <c r="J4603" t="n">
        <v>1</v>
      </c>
      <c r="K4603" t="inlineStr">
        <is>
          <t>逆5日线（收盘在5日线上，不追空）</t>
        </is>
      </c>
    </row>
    <row r="4604">
      <c r="A4604" t="inlineStr">
        <is>
          <t>2025-08-19</t>
        </is>
      </c>
      <c r="B4604" t="inlineStr">
        <is>
          <t>PVC</t>
        </is>
      </c>
      <c r="C4604" t="inlineStr">
        <is>
          <t>空</t>
        </is>
      </c>
      <c r="D4604" t="n">
        <v>3</v>
      </c>
      <c r="E4604" t="n">
        <v>7</v>
      </c>
      <c r="F4604" t="inlineStr">
        <is>
          <t>开仓</t>
        </is>
      </c>
      <c r="G4604" t="n">
        <v>26</v>
      </c>
      <c r="H4604" t="n">
        <v>5001</v>
      </c>
      <c r="I4604" t="n">
        <v>5229</v>
      </c>
      <c r="J4604" t="n">
        <v>3</v>
      </c>
      <c r="K4604" t="inlineStr">
        <is>
          <t>¼凯利超上限，取3%</t>
        </is>
      </c>
    </row>
    <row r="4605">
      <c r="A4605" t="inlineStr">
        <is>
          <t>2025-08-19</t>
        </is>
      </c>
      <c r="B4605" t="inlineStr">
        <is>
          <t>聚丙烯</t>
        </is>
      </c>
      <c r="C4605" t="inlineStr">
        <is>
          <t>空</t>
        </is>
      </c>
      <c r="D4605" t="n">
        <v>3</v>
      </c>
      <c r="E4605" t="n">
        <v>6</v>
      </c>
      <c r="F4605" t="inlineStr">
        <is>
          <t>不做</t>
        </is>
      </c>
      <c r="H4605" t="n">
        <v>7016</v>
      </c>
      <c r="J4605" t="n">
        <v>0</v>
      </c>
      <c r="K4605" t="inlineStr">
        <is>
          <t>与PVC高度相关（同组≤3%），预算缩小</t>
        </is>
      </c>
    </row>
    <row r="4606">
      <c r="A4606" t="inlineStr">
        <is>
          <t>2025-08-19</t>
        </is>
      </c>
      <c r="B4606" t="inlineStr">
        <is>
          <t>豆粕</t>
        </is>
      </c>
      <c r="C4606" t="inlineStr">
        <is>
          <t>多</t>
        </is>
      </c>
      <c r="D4606" t="n">
        <v>3</v>
      </c>
      <c r="E4606" t="n">
        <v>6</v>
      </c>
      <c r="F4606" t="inlineStr">
        <is>
          <t>开仓</t>
        </is>
      </c>
      <c r="G4606" t="n">
        <v>7</v>
      </c>
      <c r="H4606" t="n">
        <v>3161</v>
      </c>
      <c r="I4606" t="n">
        <v>3035.21</v>
      </c>
      <c r="J4606" t="n">
        <v>1</v>
      </c>
      <c r="K4606" t="inlineStr">
        <is>
          <t>组合风险已近10%，预算缩小</t>
        </is>
      </c>
    </row>
    <row r="4607">
      <c r="A4607" t="inlineStr">
        <is>
          <t>2025-08-19</t>
        </is>
      </c>
      <c r="B4607" t="inlineStr">
        <is>
          <t>鸡蛋</t>
        </is>
      </c>
      <c r="C4607" t="inlineStr">
        <is>
          <t>空</t>
        </is>
      </c>
      <c r="D4607" t="n">
        <v>3</v>
      </c>
      <c r="E4607" t="n">
        <v>6</v>
      </c>
      <c r="F4607" t="inlineStr">
        <is>
          <t>续持</t>
        </is>
      </c>
      <c r="G4607" t="n">
        <v>6</v>
      </c>
      <c r="H4607" t="n">
        <v>3065</v>
      </c>
      <c r="I4607" t="n">
        <v>3236.36</v>
      </c>
      <c r="J4607" t="n">
        <v>1</v>
      </c>
      <c r="K4607" t="inlineStr">
        <is>
          <t>续持原仓（2025-08-14开）</t>
        </is>
      </c>
    </row>
    <row r="4608">
      <c r="A4608" t="inlineStr">
        <is>
          <t>2025-08-19</t>
        </is>
      </c>
      <c r="B4608" t="inlineStr">
        <is>
          <t>棕榈油</t>
        </is>
      </c>
      <c r="C4608" t="inlineStr">
        <is>
          <t>多</t>
        </is>
      </c>
      <c r="D4608" t="n">
        <v>2</v>
      </c>
      <c r="E4608" t="n">
        <v>5</v>
      </c>
      <c r="F4608" t="inlineStr">
        <is>
          <t>续持</t>
        </is>
      </c>
      <c r="G4608" t="n">
        <v>1</v>
      </c>
      <c r="H4608" t="n">
        <v>9640</v>
      </c>
      <c r="I4608" t="n">
        <v>9205</v>
      </c>
      <c r="J4608" t="n">
        <v>1</v>
      </c>
      <c r="K4608" t="inlineStr">
        <is>
          <t>续持原仓（2025-08-15开）</t>
        </is>
      </c>
    </row>
    <row r="4609">
      <c r="A4609" t="inlineStr">
        <is>
          <t>2025-08-19</t>
        </is>
      </c>
      <c r="B4609" t="inlineStr">
        <is>
          <t>沪铝</t>
        </is>
      </c>
      <c r="C4609" t="inlineStr">
        <is>
          <t>空</t>
        </is>
      </c>
      <c r="D4609" t="n">
        <v>2</v>
      </c>
      <c r="E4609" t="n">
        <v>4</v>
      </c>
      <c r="F4609" t="inlineStr">
        <is>
          <t>影子仓</t>
        </is>
      </c>
      <c r="G4609" t="n">
        <v>4</v>
      </c>
      <c r="H4609" t="n">
        <v>20545</v>
      </c>
      <c r="I4609" t="n">
        <v>20966.07</v>
      </c>
      <c r="J4609" t="n">
        <v>1</v>
      </c>
      <c r="K4609" t="inlineStr">
        <is>
          <t>凯利≤0，开1%影子仓（只统计，不计入组合）</t>
        </is>
      </c>
    </row>
    <row r="4610">
      <c r="A4610" t="inlineStr">
        <is>
          <t>2025-08-19</t>
        </is>
      </c>
      <c r="B4610" t="inlineStr">
        <is>
          <t>沪金</t>
        </is>
      </c>
      <c r="C4610" t="inlineStr">
        <is>
          <t>空</t>
        </is>
      </c>
      <c r="D4610" t="n">
        <v>2</v>
      </c>
      <c r="E4610" t="n">
        <v>4</v>
      </c>
      <c r="F4610" t="inlineStr">
        <is>
          <t>不做</t>
        </is>
      </c>
      <c r="H4610" t="n">
        <v>775.0599999999999</v>
      </c>
      <c r="J4610" t="n">
        <v>1</v>
      </c>
      <c r="K4610" t="inlineStr">
        <is>
          <t>1手风险15964元超过预算10000元</t>
        </is>
      </c>
    </row>
    <row r="4611">
      <c r="A4611" t="inlineStr">
        <is>
          <t>2025-08-20</t>
        </is>
      </c>
      <c r="B4611" t="inlineStr">
        <is>
          <t>棉花</t>
        </is>
      </c>
      <c r="C4611" t="inlineStr">
        <is>
          <t>空</t>
        </is>
      </c>
      <c r="D4611" t="n">
        <v>3</v>
      </c>
      <c r="E4611" t="n">
        <v>7</v>
      </c>
      <c r="F4611" t="inlineStr">
        <is>
          <t>开仓</t>
        </is>
      </c>
      <c r="G4611" t="n">
        <v>16</v>
      </c>
      <c r="H4611" t="n">
        <v>14055</v>
      </c>
      <c r="I4611" t="n">
        <v>14424.64</v>
      </c>
      <c r="J4611" t="n">
        <v>3</v>
      </c>
      <c r="K4611" t="inlineStr">
        <is>
          <t>¼凯利超上限，取3%</t>
        </is>
      </c>
    </row>
    <row r="4612">
      <c r="A4612" t="inlineStr">
        <is>
          <t>2025-08-20</t>
        </is>
      </c>
      <c r="B4612" t="inlineStr">
        <is>
          <t>沪镍</t>
        </is>
      </c>
      <c r="C4612" t="inlineStr">
        <is>
          <t>空</t>
        </is>
      </c>
      <c r="D4612" t="n">
        <v>3</v>
      </c>
      <c r="E4612" t="n">
        <v>6</v>
      </c>
      <c r="F4612" t="inlineStr">
        <is>
          <t>开仓</t>
        </is>
      </c>
      <c r="G4612" t="n">
        <v>8</v>
      </c>
      <c r="H4612" t="n">
        <v>120060</v>
      </c>
      <c r="I4612" t="n">
        <v>123756.43</v>
      </c>
      <c r="J4612" t="n">
        <v>3</v>
      </c>
      <c r="K4612" t="inlineStr">
        <is>
          <t>¼凯利超上限，取3%</t>
        </is>
      </c>
    </row>
    <row r="4613">
      <c r="A4613" t="inlineStr">
        <is>
          <t>2025-08-20</t>
        </is>
      </c>
      <c r="B4613" t="inlineStr">
        <is>
          <t>豆粕</t>
        </is>
      </c>
      <c r="C4613" t="inlineStr">
        <is>
          <t>多</t>
        </is>
      </c>
      <c r="D4613" t="n">
        <v>3</v>
      </c>
      <c r="E4613" t="n">
        <v>6</v>
      </c>
      <c r="F4613" t="inlineStr">
        <is>
          <t>续持</t>
        </is>
      </c>
      <c r="G4613" t="n">
        <v>7</v>
      </c>
      <c r="H4613" t="n">
        <v>3160</v>
      </c>
      <c r="I4613" t="n">
        <v>3038.64</v>
      </c>
      <c r="J4613" t="n">
        <v>1</v>
      </c>
      <c r="K4613" t="inlineStr">
        <is>
          <t>续持原仓（2025-08-19开）</t>
        </is>
      </c>
    </row>
    <row r="4614">
      <c r="A4614" t="inlineStr">
        <is>
          <t>2025-08-20</t>
        </is>
      </c>
      <c r="B4614" t="inlineStr">
        <is>
          <t>鸡蛋</t>
        </is>
      </c>
      <c r="C4614" t="inlineStr">
        <is>
          <t>空</t>
        </is>
      </c>
      <c r="D4614" t="n">
        <v>2</v>
      </c>
      <c r="E4614" t="n">
        <v>5</v>
      </c>
      <c r="F4614" t="inlineStr">
        <is>
          <t>续持</t>
        </is>
      </c>
      <c r="G4614" t="n">
        <v>6</v>
      </c>
      <c r="H4614" t="n">
        <v>3072</v>
      </c>
      <c r="I4614" t="n">
        <v>3219.43</v>
      </c>
      <c r="J4614" t="n">
        <v>1</v>
      </c>
      <c r="K4614" t="inlineStr">
        <is>
          <t>续持原仓（2025-08-14开）</t>
        </is>
      </c>
    </row>
    <row r="4615">
      <c r="A4615" t="inlineStr">
        <is>
          <t>2025-08-20</t>
        </is>
      </c>
      <c r="B4615" t="inlineStr">
        <is>
          <t>硅铁</t>
        </is>
      </c>
      <c r="C4615" t="inlineStr">
        <is>
          <t>空</t>
        </is>
      </c>
      <c r="D4615" t="n">
        <v>2</v>
      </c>
      <c r="E4615" t="n">
        <v>5</v>
      </c>
      <c r="F4615" t="inlineStr">
        <is>
          <t>影子仓</t>
        </is>
      </c>
      <c r="G4615" t="n">
        <v>4</v>
      </c>
      <c r="H4615" t="n">
        <v>5622</v>
      </c>
      <c r="I4615" t="n">
        <v>6022.71</v>
      </c>
      <c r="J4615" t="n">
        <v>1</v>
      </c>
      <c r="K4615" t="inlineStr">
        <is>
          <t>凯利≤0，开1%影子仓（只统计，不计入组合）</t>
        </is>
      </c>
    </row>
    <row r="4616">
      <c r="A4616" t="inlineStr">
        <is>
          <t>2025-08-21</t>
        </is>
      </c>
      <c r="B4616" t="inlineStr">
        <is>
          <t>鸡蛋</t>
        </is>
      </c>
      <c r="C4616" t="inlineStr">
        <is>
          <t>空</t>
        </is>
      </c>
      <c r="D4616" t="n">
        <v>3</v>
      </c>
      <c r="E4616" t="n">
        <v>7</v>
      </c>
      <c r="F4616" t="inlineStr">
        <is>
          <t>续持</t>
        </is>
      </c>
      <c r="G4616" t="n">
        <v>6</v>
      </c>
      <c r="H4616" t="n">
        <v>3010</v>
      </c>
      <c r="I4616" t="n">
        <v>3186.57</v>
      </c>
      <c r="J4616" t="n">
        <v>1</v>
      </c>
      <c r="K4616" t="inlineStr">
        <is>
          <t>续持原仓（2025-08-14开）</t>
        </is>
      </c>
    </row>
    <row r="4617">
      <c r="A4617" t="inlineStr">
        <is>
          <t>2025-08-21</t>
        </is>
      </c>
      <c r="B4617" t="inlineStr">
        <is>
          <t>PVC</t>
        </is>
      </c>
      <c r="C4617" t="inlineStr">
        <is>
          <t>空</t>
        </is>
      </c>
      <c r="D4617" t="n">
        <v>3</v>
      </c>
      <c r="E4617" t="n">
        <v>6</v>
      </c>
      <c r="F4617" t="inlineStr">
        <is>
          <t>不做</t>
        </is>
      </c>
      <c r="H4617" t="n">
        <v>5004</v>
      </c>
      <c r="J4617" t="n">
        <v>0</v>
      </c>
      <c r="K4617" t="inlineStr">
        <is>
          <t>组合风险已近10%，预算缩小</t>
        </is>
      </c>
    </row>
    <row r="4618">
      <c r="A4618" t="inlineStr">
        <is>
          <t>2025-08-21</t>
        </is>
      </c>
      <c r="B4618" t="inlineStr">
        <is>
          <t>沪铝</t>
        </is>
      </c>
      <c r="C4618" t="inlineStr">
        <is>
          <t>空</t>
        </is>
      </c>
      <c r="D4618" t="n">
        <v>3</v>
      </c>
      <c r="E4618" t="n">
        <v>6</v>
      </c>
      <c r="F4618" t="inlineStr">
        <is>
          <t>不做</t>
        </is>
      </c>
      <c r="H4618" t="n">
        <v>20590</v>
      </c>
      <c r="J4618" t="n">
        <v>0</v>
      </c>
      <c r="K4618" t="inlineStr">
        <is>
          <t>组合风险已近10%，预算缩小</t>
        </is>
      </c>
    </row>
    <row r="4619">
      <c r="A4619" t="inlineStr">
        <is>
          <t>2025-08-21</t>
        </is>
      </c>
      <c r="B4619" t="inlineStr">
        <is>
          <t>燃料油</t>
        </is>
      </c>
      <c r="C4619" t="inlineStr">
        <is>
          <t>空</t>
        </is>
      </c>
      <c r="D4619" t="n">
        <v>2</v>
      </c>
      <c r="E4619" t="n">
        <v>5</v>
      </c>
      <c r="F4619" t="inlineStr">
        <is>
          <t>观望</t>
        </is>
      </c>
      <c r="G4619" t="n">
        <v>6</v>
      </c>
      <c r="H4619" t="n">
        <v>2736</v>
      </c>
      <c r="I4619" t="n">
        <v>2888.79</v>
      </c>
      <c r="J4619" t="n">
        <v>1</v>
      </c>
      <c r="K4619" t="inlineStr">
        <is>
          <t>逆5日线（收盘在5日线上，不追空）</t>
        </is>
      </c>
    </row>
    <row r="4620">
      <c r="A4620" t="inlineStr">
        <is>
          <t>2025-08-21</t>
        </is>
      </c>
      <c r="B4620" t="inlineStr">
        <is>
          <t>碳酸锂</t>
        </is>
      </c>
      <c r="C4620" t="inlineStr">
        <is>
          <t>多</t>
        </is>
      </c>
      <c r="D4620" t="n">
        <v>2</v>
      </c>
      <c r="E4620" t="n">
        <v>5</v>
      </c>
      <c r="F4620" t="inlineStr">
        <is>
          <t>观望</t>
        </is>
      </c>
      <c r="H4620" t="n">
        <v>82760</v>
      </c>
      <c r="J4620" t="n">
        <v>1</v>
      </c>
      <c r="K4620" t="inlineStr">
        <is>
          <t>逆5日线（收盘在5日线下，不追多）</t>
        </is>
      </c>
    </row>
    <row r="4621">
      <c r="A4621" t="inlineStr">
        <is>
          <t>2025-08-21</t>
        </is>
      </c>
      <c r="B4621" t="inlineStr">
        <is>
          <t>豆粕</t>
        </is>
      </c>
      <c r="C4621" t="inlineStr">
        <is>
          <t>多</t>
        </is>
      </c>
      <c r="D4621" t="n">
        <v>2</v>
      </c>
      <c r="E4621" t="n">
        <v>4</v>
      </c>
      <c r="F4621" t="inlineStr">
        <is>
          <t>观望</t>
        </is>
      </c>
      <c r="G4621" t="n">
        <v>7</v>
      </c>
      <c r="H4621" t="n">
        <v>3113</v>
      </c>
      <c r="I4621" t="n">
        <v>2982.29</v>
      </c>
      <c r="J4621" t="n">
        <v>1</v>
      </c>
      <c r="K4621" t="inlineStr">
        <is>
          <t>逆5日线（收盘在5日线下，不追多）</t>
        </is>
      </c>
    </row>
    <row r="4622">
      <c r="A4622" t="inlineStr">
        <is>
          <t>2025-08-21</t>
        </is>
      </c>
      <c r="B4622" t="inlineStr">
        <is>
          <t>沪金</t>
        </is>
      </c>
      <c r="C4622" t="inlineStr">
        <is>
          <t>空</t>
        </is>
      </c>
      <c r="D4622" t="n">
        <v>2</v>
      </c>
      <c r="E4622" t="n">
        <v>4</v>
      </c>
      <c r="F4622" t="inlineStr">
        <is>
          <t>不做</t>
        </is>
      </c>
      <c r="H4622" t="n">
        <v>775.12</v>
      </c>
      <c r="J4622" t="n">
        <v>1</v>
      </c>
      <c r="K4622" t="inlineStr">
        <is>
          <t>1手风险15621元超过预算10000元</t>
        </is>
      </c>
    </row>
    <row r="4623">
      <c r="A4623" t="inlineStr">
        <is>
          <t>2025-08-22</t>
        </is>
      </c>
      <c r="B4623" t="inlineStr">
        <is>
          <t>聚丙烯</t>
        </is>
      </c>
      <c r="C4623" t="inlineStr">
        <is>
          <t>空</t>
        </is>
      </c>
      <c r="D4623" t="n">
        <v>3</v>
      </c>
      <c r="E4623" t="n">
        <v>6</v>
      </c>
      <c r="F4623" t="inlineStr">
        <is>
          <t>开仓</t>
        </is>
      </c>
      <c r="G4623" t="n">
        <v>49</v>
      </c>
      <c r="H4623" t="n">
        <v>7038</v>
      </c>
      <c r="I4623" t="n">
        <v>7159.93</v>
      </c>
      <c r="J4623" t="n">
        <v>3</v>
      </c>
      <c r="K4623" t="inlineStr">
        <is>
          <t>¼凯利超上限，取3%</t>
        </is>
      </c>
    </row>
    <row r="4624">
      <c r="A4624" t="inlineStr">
        <is>
          <t>2025-08-22</t>
        </is>
      </c>
      <c r="B4624" t="inlineStr">
        <is>
          <t>甲醇</t>
        </is>
      </c>
      <c r="C4624" t="inlineStr">
        <is>
          <t>空</t>
        </is>
      </c>
      <c r="D4624" t="n">
        <v>3</v>
      </c>
      <c r="E4624" t="n">
        <v>6</v>
      </c>
      <c r="F4624" t="inlineStr">
        <is>
          <t>不做</t>
        </is>
      </c>
      <c r="H4624" t="n">
        <v>2405</v>
      </c>
      <c r="J4624" t="n">
        <v>0</v>
      </c>
      <c r="K4624" t="inlineStr">
        <is>
          <t>与聚丙烯高度相关（同组≤3%），预算缩小</t>
        </is>
      </c>
    </row>
    <row r="4625">
      <c r="A4625" t="inlineStr">
        <is>
          <t>2025-08-22</t>
        </is>
      </c>
      <c r="B4625" t="inlineStr">
        <is>
          <t>硅铁</t>
        </is>
      </c>
      <c r="C4625" t="inlineStr">
        <is>
          <t>空</t>
        </is>
      </c>
      <c r="D4625" t="n">
        <v>3</v>
      </c>
      <c r="E4625" t="n">
        <v>6</v>
      </c>
      <c r="F4625" t="inlineStr">
        <is>
          <t>不做</t>
        </is>
      </c>
      <c r="H4625" t="n">
        <v>5642</v>
      </c>
      <c r="J4625" t="n">
        <v>0</v>
      </c>
      <c r="K4625" t="inlineStr">
        <is>
          <t>组合风险已近10%，预算缩小</t>
        </is>
      </c>
    </row>
    <row r="4626">
      <c r="A4626" t="inlineStr">
        <is>
          <t>2025-08-22</t>
        </is>
      </c>
      <c r="B4626" t="inlineStr">
        <is>
          <t>PVC</t>
        </is>
      </c>
      <c r="C4626" t="inlineStr">
        <is>
          <t>空</t>
        </is>
      </c>
      <c r="D4626" t="n">
        <v>2</v>
      </c>
      <c r="E4626" t="n">
        <v>5</v>
      </c>
      <c r="F4626" t="inlineStr">
        <is>
          <t>观望</t>
        </is>
      </c>
      <c r="G4626" t="n">
        <v>10</v>
      </c>
      <c r="H4626" t="n">
        <v>5019</v>
      </c>
      <c r="I4626" t="n">
        <v>5218.5</v>
      </c>
      <c r="J4626" t="n">
        <v>1</v>
      </c>
      <c r="K4626" t="inlineStr">
        <is>
          <t>逆5日线（收盘在5日线上，不追空）</t>
        </is>
      </c>
    </row>
    <row r="4627">
      <c r="A4627" t="inlineStr">
        <is>
          <t>2025-08-22</t>
        </is>
      </c>
      <c r="B4627" t="inlineStr">
        <is>
          <t>锰硅</t>
        </is>
      </c>
      <c r="C4627" t="inlineStr">
        <is>
          <t>空</t>
        </is>
      </c>
      <c r="D4627" t="n">
        <v>2</v>
      </c>
      <c r="E4627" t="n">
        <v>5</v>
      </c>
      <c r="F4627" t="inlineStr">
        <is>
          <t>影子仓</t>
        </is>
      </c>
      <c r="G4627" t="n">
        <v>6</v>
      </c>
      <c r="H4627" t="n">
        <v>5832</v>
      </c>
      <c r="I4627" t="n">
        <v>6165</v>
      </c>
      <c r="J4627" t="n">
        <v>1</v>
      </c>
      <c r="K4627" t="inlineStr">
        <is>
          <t>凯利≤0，开1%影子仓（只统计，不计入组合）</t>
        </is>
      </c>
    </row>
    <row r="4628">
      <c r="A4628" t="inlineStr">
        <is>
          <t>2025-08-22</t>
        </is>
      </c>
      <c r="B4628" t="inlineStr">
        <is>
          <t>碳酸锂</t>
        </is>
      </c>
      <c r="C4628" t="inlineStr">
        <is>
          <t>多</t>
        </is>
      </c>
      <c r="D4628" t="n">
        <v>2</v>
      </c>
      <c r="E4628" t="n">
        <v>4</v>
      </c>
      <c r="F4628" t="inlineStr">
        <is>
          <t>观望</t>
        </is>
      </c>
      <c r="H4628" t="n">
        <v>78960</v>
      </c>
      <c r="J4628" t="n">
        <v>1</v>
      </c>
      <c r="K4628" t="inlineStr">
        <is>
          <t>逆5日线（收盘在5日线下，不追多）</t>
        </is>
      </c>
    </row>
    <row r="4629">
      <c r="A4629" t="inlineStr">
        <is>
          <t>2025-08-22</t>
        </is>
      </c>
      <c r="B4629" t="inlineStr">
        <is>
          <t>菜粕</t>
        </is>
      </c>
      <c r="C4629" t="inlineStr">
        <is>
          <t>多</t>
        </is>
      </c>
      <c r="D4629" t="n">
        <v>2</v>
      </c>
      <c r="E4629" t="n">
        <v>4</v>
      </c>
      <c r="F4629" t="inlineStr">
        <is>
          <t>观望</t>
        </is>
      </c>
      <c r="G4629" t="n">
        <v>4</v>
      </c>
      <c r="H4629" t="n">
        <v>2543</v>
      </c>
      <c r="I4629" t="n">
        <v>2313.29</v>
      </c>
      <c r="J4629" t="n">
        <v>1</v>
      </c>
      <c r="K4629" t="inlineStr">
        <is>
          <t>逆5日线（收盘在5日线下，不追多）</t>
        </is>
      </c>
    </row>
    <row r="4630">
      <c r="A4630" t="inlineStr">
        <is>
          <t>2025-08-25</t>
        </is>
      </c>
      <c r="B4630" t="inlineStr">
        <is>
          <t>苯乙烯</t>
        </is>
      </c>
      <c r="C4630" t="inlineStr">
        <is>
          <t>空</t>
        </is>
      </c>
      <c r="D4630" t="n">
        <v>3</v>
      </c>
      <c r="E4630" t="n">
        <v>7</v>
      </c>
      <c r="F4630" t="inlineStr">
        <is>
          <t>观望</t>
        </is>
      </c>
      <c r="H4630" t="n">
        <v>7330</v>
      </c>
      <c r="J4630" t="n">
        <v>0</v>
      </c>
      <c r="K4630" t="inlineStr">
        <is>
          <t>逆5日线（收盘在5日线上，不追空）</t>
        </is>
      </c>
    </row>
    <row r="4631">
      <c r="A4631" t="inlineStr">
        <is>
          <t>2025-08-25</t>
        </is>
      </c>
      <c r="B4631" t="inlineStr">
        <is>
          <t>螺纹钢</t>
        </is>
      </c>
      <c r="C4631" t="inlineStr">
        <is>
          <t>空</t>
        </is>
      </c>
      <c r="D4631" t="n">
        <v>3</v>
      </c>
      <c r="E4631" t="n">
        <v>6</v>
      </c>
      <c r="F4631" t="inlineStr">
        <is>
          <t>观望</t>
        </is>
      </c>
      <c r="H4631" t="n">
        <v>3138</v>
      </c>
      <c r="J4631" t="n">
        <v>0</v>
      </c>
      <c r="K4631" t="inlineStr">
        <is>
          <t>逆5日线（收盘在5日线上，不追空）</t>
        </is>
      </c>
    </row>
    <row r="4632">
      <c r="A4632" t="inlineStr">
        <is>
          <t>2025-08-25</t>
        </is>
      </c>
      <c r="B4632" t="inlineStr">
        <is>
          <t>硅铁</t>
        </is>
      </c>
      <c r="C4632" t="inlineStr">
        <is>
          <t>空</t>
        </is>
      </c>
      <c r="D4632" t="n">
        <v>2</v>
      </c>
      <c r="E4632" t="n">
        <v>5</v>
      </c>
      <c r="F4632" t="inlineStr">
        <is>
          <t>观望</t>
        </is>
      </c>
      <c r="G4632" t="n">
        <v>5</v>
      </c>
      <c r="H4632" t="n">
        <v>5680</v>
      </c>
      <c r="I4632" t="n">
        <v>6055</v>
      </c>
      <c r="J4632" t="n">
        <v>1</v>
      </c>
      <c r="K4632" t="inlineStr">
        <is>
          <t>逆5日线（收盘在5日线上，不追空）</t>
        </is>
      </c>
    </row>
    <row r="4633">
      <c r="A4633" t="inlineStr">
        <is>
          <t>2025-08-26</t>
        </is>
      </c>
      <c r="B4633" t="inlineStr">
        <is>
          <t>PVC</t>
        </is>
      </c>
      <c r="C4633" t="inlineStr">
        <is>
          <t>空</t>
        </is>
      </c>
      <c r="D4633" t="n">
        <v>3</v>
      </c>
      <c r="E4633" t="n">
        <v>7</v>
      </c>
      <c r="F4633" t="inlineStr">
        <is>
          <t>不做</t>
        </is>
      </c>
      <c r="H4633" t="n">
        <v>4999</v>
      </c>
      <c r="J4633" t="n">
        <v>0</v>
      </c>
      <c r="K4633" t="inlineStr">
        <is>
          <t>与聚丙烯高度相关（同组≤3%），预算缩小</t>
        </is>
      </c>
    </row>
    <row r="4634">
      <c r="A4634" t="inlineStr">
        <is>
          <t>2025-08-26</t>
        </is>
      </c>
      <c r="B4634" t="inlineStr">
        <is>
          <t>硅铁</t>
        </is>
      </c>
      <c r="C4634" t="inlineStr">
        <is>
          <t>空</t>
        </is>
      </c>
      <c r="D4634" t="n">
        <v>2</v>
      </c>
      <c r="E4634" t="n">
        <v>5</v>
      </c>
      <c r="F4634" t="inlineStr">
        <is>
          <t>观望</t>
        </is>
      </c>
      <c r="G4634" t="n">
        <v>6</v>
      </c>
      <c r="H4634" t="n">
        <v>5656</v>
      </c>
      <c r="I4634" t="n">
        <v>5983</v>
      </c>
      <c r="J4634" t="n">
        <v>1</v>
      </c>
      <c r="K4634" t="inlineStr">
        <is>
          <t>逆5日线（收盘在5日线上，不追空）</t>
        </is>
      </c>
    </row>
    <row r="4635">
      <c r="A4635" t="inlineStr">
        <is>
          <t>2025-08-26</t>
        </is>
      </c>
      <c r="B4635" t="inlineStr">
        <is>
          <t>棉花</t>
        </is>
      </c>
      <c r="C4635" t="inlineStr">
        <is>
          <t>多</t>
        </is>
      </c>
      <c r="D4635" t="n">
        <v>2</v>
      </c>
      <c r="E4635" t="n">
        <v>4</v>
      </c>
      <c r="F4635" t="inlineStr">
        <is>
          <t>影子仓</t>
        </is>
      </c>
      <c r="G4635" t="n">
        <v>5</v>
      </c>
      <c r="H4635" t="n">
        <v>14100</v>
      </c>
      <c r="I4635" t="n">
        <v>13744.29</v>
      </c>
      <c r="J4635" t="n">
        <v>1</v>
      </c>
      <c r="K4635" t="inlineStr">
        <is>
          <t>凯利≤0，开1%影子仓（只统计，不计入组合）</t>
        </is>
      </c>
    </row>
    <row r="4636">
      <c r="A4636" t="inlineStr">
        <is>
          <t>2025-08-27</t>
        </is>
      </c>
      <c r="B4636" t="inlineStr">
        <is>
          <t>甲醇</t>
        </is>
      </c>
      <c r="C4636" t="inlineStr">
        <is>
          <t>空</t>
        </is>
      </c>
      <c r="D4636" t="n">
        <v>3</v>
      </c>
      <c r="E4636" t="n">
        <v>7</v>
      </c>
      <c r="F4636" t="inlineStr">
        <is>
          <t>不做</t>
        </is>
      </c>
      <c r="H4636" t="n">
        <v>2372</v>
      </c>
      <c r="J4636" t="n">
        <v>0</v>
      </c>
      <c r="K4636" t="inlineStr">
        <is>
          <t>与聚丙烯高度相关（同组≤3%），预算缩小</t>
        </is>
      </c>
    </row>
    <row r="4637">
      <c r="A4637" t="inlineStr">
        <is>
          <t>2025-08-27</t>
        </is>
      </c>
      <c r="B4637" t="inlineStr">
        <is>
          <t>PVC</t>
        </is>
      </c>
      <c r="C4637" t="inlineStr">
        <is>
          <t>空</t>
        </is>
      </c>
      <c r="D4637" t="n">
        <v>3</v>
      </c>
      <c r="E4637" t="n">
        <v>6</v>
      </c>
      <c r="F4637" t="inlineStr">
        <is>
          <t>不做</t>
        </is>
      </c>
      <c r="H4637" t="n">
        <v>4949</v>
      </c>
      <c r="J4637" t="n">
        <v>0</v>
      </c>
      <c r="K4637" t="inlineStr">
        <is>
          <t>与聚丙烯高度相关（同组≤3%），预算缩小</t>
        </is>
      </c>
    </row>
    <row r="4638">
      <c r="A4638" t="inlineStr">
        <is>
          <t>2025-08-27</t>
        </is>
      </c>
      <c r="B4638" t="inlineStr">
        <is>
          <t>锰硅</t>
        </is>
      </c>
      <c r="C4638" t="inlineStr">
        <is>
          <t>空</t>
        </is>
      </c>
      <c r="D4638" t="n">
        <v>3</v>
      </c>
      <c r="E4638" t="n">
        <v>6</v>
      </c>
      <c r="F4638" t="inlineStr">
        <is>
          <t>开仓</t>
        </is>
      </c>
      <c r="G4638" t="n">
        <v>20</v>
      </c>
      <c r="H4638" t="n">
        <v>5832</v>
      </c>
      <c r="I4638" t="n">
        <v>6119.14</v>
      </c>
      <c r="J4638" t="n">
        <v>3</v>
      </c>
      <c r="K4638" t="inlineStr">
        <is>
          <t>¼凯利超上限，取3%</t>
        </is>
      </c>
    </row>
    <row r="4639">
      <c r="A4639" t="inlineStr">
        <is>
          <t>2025-08-27</t>
        </is>
      </c>
      <c r="B4639" t="inlineStr">
        <is>
          <t>螺纹钢</t>
        </is>
      </c>
      <c r="C4639" t="inlineStr">
        <is>
          <t>空</t>
        </is>
      </c>
      <c r="D4639" t="n">
        <v>2</v>
      </c>
      <c r="E4639" t="n">
        <v>5</v>
      </c>
      <c r="F4639" t="inlineStr">
        <is>
          <t>影子仓</t>
        </is>
      </c>
      <c r="G4639" t="n">
        <v>8</v>
      </c>
      <c r="H4639" t="n">
        <v>3111</v>
      </c>
      <c r="I4639" t="n">
        <v>3233.57</v>
      </c>
      <c r="J4639" t="n">
        <v>1</v>
      </c>
      <c r="K4639" t="inlineStr">
        <is>
          <t>凯利≤0，开1%影子仓（只统计，不计入组合）</t>
        </is>
      </c>
    </row>
    <row r="4640">
      <c r="A4640" t="inlineStr">
        <is>
          <t>2025-08-27</t>
        </is>
      </c>
      <c r="B4640" t="inlineStr">
        <is>
          <t>硅铁</t>
        </is>
      </c>
      <c r="C4640" t="inlineStr">
        <is>
          <t>空</t>
        </is>
      </c>
      <c r="D4640" t="n">
        <v>2</v>
      </c>
      <c r="E4640" t="n">
        <v>5</v>
      </c>
      <c r="F4640" t="inlineStr">
        <is>
          <t>影子仓</t>
        </is>
      </c>
      <c r="G4640" t="n">
        <v>6</v>
      </c>
      <c r="H4640" t="n">
        <v>5634</v>
      </c>
      <c r="I4640" t="n">
        <v>5950.71</v>
      </c>
      <c r="J4640" t="n">
        <v>1</v>
      </c>
      <c r="K4640" t="inlineStr">
        <is>
          <t>凯利≤0，开1%影子仓（只统计，不计入组合）</t>
        </is>
      </c>
    </row>
    <row r="4641">
      <c r="A4641" t="inlineStr">
        <is>
          <t>2025-08-28</t>
        </is>
      </c>
      <c r="B4641" t="inlineStr">
        <is>
          <t>鸡蛋</t>
        </is>
      </c>
      <c r="C4641" t="inlineStr">
        <is>
          <t>空</t>
        </is>
      </c>
      <c r="D4641" t="n">
        <v>3</v>
      </c>
      <c r="E4641" t="n">
        <v>7</v>
      </c>
      <c r="F4641" t="inlineStr">
        <is>
          <t>开仓</t>
        </is>
      </c>
      <c r="G4641" t="n">
        <v>19</v>
      </c>
      <c r="H4641" t="n">
        <v>2930</v>
      </c>
      <c r="I4641" t="n">
        <v>3086.21</v>
      </c>
      <c r="J4641" t="n">
        <v>3</v>
      </c>
      <c r="K4641" t="inlineStr">
        <is>
          <t>¼凯利超上限，取3%</t>
        </is>
      </c>
    </row>
    <row r="4642">
      <c r="A4642" t="inlineStr">
        <is>
          <t>2025-08-28</t>
        </is>
      </c>
      <c r="B4642" t="inlineStr">
        <is>
          <t>热卷</t>
        </is>
      </c>
      <c r="C4642" t="inlineStr">
        <is>
          <t>空</t>
        </is>
      </c>
      <c r="D4642" t="n">
        <v>3</v>
      </c>
      <c r="E4642" t="n">
        <v>6</v>
      </c>
      <c r="F4642" t="inlineStr">
        <is>
          <t>观望</t>
        </is>
      </c>
      <c r="G4642" t="n">
        <v>23</v>
      </c>
      <c r="H4642" t="n">
        <v>3372</v>
      </c>
      <c r="I4642" t="n">
        <v>3501.86</v>
      </c>
      <c r="J4642" t="n">
        <v>3</v>
      </c>
      <c r="K4642" t="inlineStr">
        <is>
          <t>逆5日线（收盘在5日线上，不追空）</t>
        </is>
      </c>
    </row>
    <row r="4643">
      <c r="A4643" t="inlineStr">
        <is>
          <t>2025-08-28</t>
        </is>
      </c>
      <c r="B4643" t="inlineStr">
        <is>
          <t>甲醇</t>
        </is>
      </c>
      <c r="C4643" t="inlineStr">
        <is>
          <t>空</t>
        </is>
      </c>
      <c r="D4643" t="n">
        <v>3</v>
      </c>
      <c r="E4643" t="n">
        <v>6</v>
      </c>
      <c r="F4643" t="inlineStr">
        <is>
          <t>开仓</t>
        </is>
      </c>
      <c r="G4643" t="n">
        <v>30</v>
      </c>
      <c r="H4643" t="n">
        <v>2373</v>
      </c>
      <c r="I4643" t="n">
        <v>2470.93</v>
      </c>
      <c r="J4643" t="n">
        <v>3</v>
      </c>
      <c r="K4643" t="inlineStr">
        <is>
          <t>¼凯利超上限，取3%</t>
        </is>
      </c>
    </row>
    <row r="4644">
      <c r="A4644" t="inlineStr">
        <is>
          <t>2025-08-29</t>
        </is>
      </c>
      <c r="B4644" t="inlineStr">
        <is>
          <t>PVC</t>
        </is>
      </c>
      <c r="C4644" t="inlineStr">
        <is>
          <t>空</t>
        </is>
      </c>
      <c r="D4644" t="n">
        <v>3</v>
      </c>
      <c r="E4644" t="n">
        <v>7</v>
      </c>
      <c r="F4644" t="inlineStr">
        <is>
          <t>不做</t>
        </is>
      </c>
      <c r="H4644" t="n">
        <v>4907</v>
      </c>
      <c r="J4644" t="n">
        <v>0</v>
      </c>
      <c r="K4644" t="inlineStr">
        <is>
          <t>与甲醇高度相关（同组≤3%），预算缩小</t>
        </is>
      </c>
    </row>
    <row r="4645">
      <c r="A4645" t="inlineStr">
        <is>
          <t>2025-08-29</t>
        </is>
      </c>
      <c r="B4645" t="inlineStr">
        <is>
          <t>热卷</t>
        </is>
      </c>
      <c r="C4645" t="inlineStr">
        <is>
          <t>空</t>
        </is>
      </c>
      <c r="D4645" t="n">
        <v>3</v>
      </c>
      <c r="E4645" t="n">
        <v>7</v>
      </c>
      <c r="F4645" t="inlineStr">
        <is>
          <t>开仓</t>
        </is>
      </c>
      <c r="G4645" t="n">
        <v>23</v>
      </c>
      <c r="H4645" t="n">
        <v>3346</v>
      </c>
      <c r="I4645" t="n">
        <v>3471.14</v>
      </c>
      <c r="J4645" t="n">
        <v>3</v>
      </c>
      <c r="K4645" t="inlineStr">
        <is>
          <t>¼凯利超上限，取3%</t>
        </is>
      </c>
    </row>
    <row r="4646">
      <c r="A4646" t="inlineStr">
        <is>
          <t>2025-08-29</t>
        </is>
      </c>
      <c r="B4646" t="inlineStr">
        <is>
          <t>甲醇</t>
        </is>
      </c>
      <c r="C4646" t="inlineStr">
        <is>
          <t>空</t>
        </is>
      </c>
      <c r="D4646" t="n">
        <v>3</v>
      </c>
      <c r="E4646" t="n">
        <v>7</v>
      </c>
      <c r="F4646" t="inlineStr">
        <is>
          <t>续持</t>
        </is>
      </c>
      <c r="G4646" t="n">
        <v>30</v>
      </c>
      <c r="H4646" t="n">
        <v>2361</v>
      </c>
      <c r="I4646" t="n">
        <v>2456.21</v>
      </c>
      <c r="J4646" t="n">
        <v>3</v>
      </c>
      <c r="K4646" t="inlineStr">
        <is>
          <t>续持原仓（2025-08-28开）</t>
        </is>
      </c>
    </row>
    <row r="4647">
      <c r="A4647" t="inlineStr">
        <is>
          <t>2025-08-29</t>
        </is>
      </c>
      <c r="B4647" t="inlineStr">
        <is>
          <t>螺纹钢</t>
        </is>
      </c>
      <c r="C4647" t="inlineStr">
        <is>
          <t>空</t>
        </is>
      </c>
      <c r="D4647" t="n">
        <v>3</v>
      </c>
      <c r="E4647" t="n">
        <v>7</v>
      </c>
      <c r="F4647" t="inlineStr">
        <is>
          <t>续持</t>
        </is>
      </c>
      <c r="G4647" t="n">
        <v>8</v>
      </c>
      <c r="H4647" t="n">
        <v>3160</v>
      </c>
      <c r="I4647" t="n">
        <v>3274.79</v>
      </c>
      <c r="J4647" t="n">
        <v>1</v>
      </c>
      <c r="K4647" t="inlineStr">
        <is>
          <t>续持原仓（2025-08-27开）</t>
        </is>
      </c>
    </row>
    <row r="4648">
      <c r="A4648" t="inlineStr">
        <is>
          <t>2025-08-29</t>
        </is>
      </c>
      <c r="B4648" t="inlineStr">
        <is>
          <t>苯乙烯</t>
        </is>
      </c>
      <c r="C4648" t="inlineStr">
        <is>
          <t>空</t>
        </is>
      </c>
      <c r="D4648" t="n">
        <v>3</v>
      </c>
      <c r="E4648" t="n">
        <v>6</v>
      </c>
      <c r="F4648" t="inlineStr">
        <is>
          <t>开仓</t>
        </is>
      </c>
      <c r="G4648" t="n">
        <v>6</v>
      </c>
      <c r="H4648" t="n">
        <v>7084</v>
      </c>
      <c r="I4648" t="n">
        <v>7385.5</v>
      </c>
      <c r="J4648" t="n">
        <v>1</v>
      </c>
      <c r="K4648" t="inlineStr">
        <is>
          <t>组合风险已近10%，预算缩小</t>
        </is>
      </c>
    </row>
    <row r="4649">
      <c r="A4649" t="inlineStr">
        <is>
          <t>2025-08-29</t>
        </is>
      </c>
      <c r="B4649" t="inlineStr">
        <is>
          <t>棉花</t>
        </is>
      </c>
      <c r="C4649" t="inlineStr">
        <is>
          <t>多</t>
        </is>
      </c>
      <c r="D4649" t="n">
        <v>3</v>
      </c>
      <c r="E4649" t="n">
        <v>6</v>
      </c>
      <c r="F4649" t="inlineStr">
        <is>
          <t>续持</t>
        </is>
      </c>
      <c r="G4649" t="n">
        <v>5</v>
      </c>
      <c r="H4649" t="n">
        <v>14240</v>
      </c>
      <c r="I4649" t="n">
        <v>13939.29</v>
      </c>
      <c r="J4649" t="n">
        <v>1</v>
      </c>
      <c r="K4649" t="inlineStr">
        <is>
          <t>续持原仓（2025-08-26开）</t>
        </is>
      </c>
    </row>
    <row r="4650">
      <c r="A4650" t="inlineStr">
        <is>
          <t>2025-09-01</t>
        </is>
      </c>
      <c r="B4650" t="inlineStr">
        <is>
          <t>螺纹钢</t>
        </is>
      </c>
      <c r="C4650" t="inlineStr">
        <is>
          <t>空</t>
        </is>
      </c>
      <c r="D4650" t="n">
        <v>3</v>
      </c>
      <c r="E4650" t="n">
        <v>7</v>
      </c>
      <c r="F4650" t="inlineStr">
        <is>
          <t>续持</t>
        </is>
      </c>
      <c r="G4650" t="n">
        <v>8</v>
      </c>
      <c r="H4650" t="n">
        <v>3115</v>
      </c>
      <c r="I4650" t="n">
        <v>3223.86</v>
      </c>
      <c r="J4650" t="n">
        <v>1</v>
      </c>
      <c r="K4650" t="inlineStr">
        <is>
          <t>续持原仓（2025-08-27开）</t>
        </is>
      </c>
    </row>
    <row r="4651">
      <c r="A4651" t="inlineStr">
        <is>
          <t>2025-09-01</t>
        </is>
      </c>
      <c r="B4651" t="inlineStr">
        <is>
          <t>苯乙烯</t>
        </is>
      </c>
      <c r="C4651" t="inlineStr">
        <is>
          <t>空</t>
        </is>
      </c>
      <c r="D4651" t="n">
        <v>3</v>
      </c>
      <c r="E4651" t="n">
        <v>7</v>
      </c>
      <c r="F4651" t="inlineStr">
        <is>
          <t>续持</t>
        </is>
      </c>
      <c r="G4651" t="n">
        <v>6</v>
      </c>
      <c r="H4651" t="n">
        <v>7013</v>
      </c>
      <c r="I4651" t="n">
        <v>7260.36</v>
      </c>
      <c r="J4651" t="n">
        <v>1</v>
      </c>
      <c r="K4651" t="inlineStr">
        <is>
          <t>续持原仓（2025-08-29开）</t>
        </is>
      </c>
    </row>
    <row r="4652">
      <c r="A4652" t="inlineStr">
        <is>
          <t>2025-09-01</t>
        </is>
      </c>
      <c r="B4652" t="inlineStr">
        <is>
          <t>锰硅</t>
        </is>
      </c>
      <c r="C4652" t="inlineStr">
        <is>
          <t>空</t>
        </is>
      </c>
      <c r="D4652" t="n">
        <v>3</v>
      </c>
      <c r="E4652" t="n">
        <v>6</v>
      </c>
      <c r="F4652" t="inlineStr">
        <is>
          <t>开仓</t>
        </is>
      </c>
      <c r="G4652" t="n">
        <v>20</v>
      </c>
      <c r="H4652" t="n">
        <v>5736</v>
      </c>
      <c r="I4652" t="n">
        <v>6021.86</v>
      </c>
      <c r="J4652" t="n">
        <v>3</v>
      </c>
      <c r="K4652" t="inlineStr">
        <is>
          <t>¼凯利超上限，取3%</t>
        </is>
      </c>
    </row>
    <row r="4653">
      <c r="A4653" t="inlineStr">
        <is>
          <t>2025-09-01</t>
        </is>
      </c>
      <c r="B4653" t="inlineStr">
        <is>
          <t>PVC</t>
        </is>
      </c>
      <c r="C4653" t="inlineStr">
        <is>
          <t>空</t>
        </is>
      </c>
      <c r="D4653" t="n">
        <v>2</v>
      </c>
      <c r="E4653" t="n">
        <v>5</v>
      </c>
      <c r="F4653" t="inlineStr">
        <is>
          <t>影子仓</t>
        </is>
      </c>
      <c r="G4653" t="n">
        <v>11</v>
      </c>
      <c r="H4653" t="n">
        <v>4894</v>
      </c>
      <c r="I4653" t="n">
        <v>5075.5</v>
      </c>
      <c r="J4653" t="n">
        <v>1</v>
      </c>
      <c r="K4653" t="inlineStr">
        <is>
          <t>凯利≤0，开1%影子仓（只统计，不计入组合）</t>
        </is>
      </c>
    </row>
    <row r="4654">
      <c r="A4654" t="inlineStr">
        <is>
          <t>2025-09-01</t>
        </is>
      </c>
      <c r="B4654" t="inlineStr">
        <is>
          <t>聚丙烯</t>
        </is>
      </c>
      <c r="C4654" t="inlineStr">
        <is>
          <t>空</t>
        </is>
      </c>
      <c r="D4654" t="n">
        <v>2</v>
      </c>
      <c r="E4654" t="n">
        <v>4</v>
      </c>
      <c r="F4654" t="inlineStr">
        <is>
          <t>影子仓</t>
        </is>
      </c>
      <c r="G4654" t="n">
        <v>14</v>
      </c>
      <c r="H4654" t="n">
        <v>6965</v>
      </c>
      <c r="I4654" t="n">
        <v>7105.14</v>
      </c>
      <c r="J4654" t="n">
        <v>1</v>
      </c>
      <c r="K4654" t="inlineStr">
        <is>
          <t>凯利≤0，开1%影子仓（只统计，不计入组合）</t>
        </is>
      </c>
    </row>
    <row r="4655">
      <c r="A4655" t="inlineStr">
        <is>
          <t>2025-09-02</t>
        </is>
      </c>
      <c r="B4655" t="inlineStr">
        <is>
          <t>聚丙烯</t>
        </is>
      </c>
      <c r="C4655" t="inlineStr">
        <is>
          <t>空</t>
        </is>
      </c>
      <c r="D4655" t="n">
        <v>3</v>
      </c>
      <c r="E4655" t="n">
        <v>7</v>
      </c>
      <c r="F4655" t="inlineStr">
        <is>
          <t>续持</t>
        </is>
      </c>
      <c r="G4655" t="n">
        <v>14</v>
      </c>
      <c r="H4655" t="n">
        <v>6943</v>
      </c>
      <c r="I4655" t="n">
        <v>7079.43</v>
      </c>
      <c r="J4655" t="n">
        <v>1</v>
      </c>
      <c r="K4655" t="inlineStr">
        <is>
          <t>续持原仓（2025-09-01开）</t>
        </is>
      </c>
    </row>
    <row r="4656">
      <c r="A4656" t="inlineStr">
        <is>
          <t>2025-09-02</t>
        </is>
      </c>
      <c r="B4656" t="inlineStr">
        <is>
          <t>锰硅</t>
        </is>
      </c>
      <c r="C4656" t="inlineStr">
        <is>
          <t>空</t>
        </is>
      </c>
      <c r="D4656" t="n">
        <v>3</v>
      </c>
      <c r="E4656" t="n">
        <v>6</v>
      </c>
      <c r="F4656" t="inlineStr">
        <is>
          <t>续持</t>
        </is>
      </c>
      <c r="G4656" t="n">
        <v>20</v>
      </c>
      <c r="H4656" t="n">
        <v>5744</v>
      </c>
      <c r="I4656" t="n">
        <v>5994.57</v>
      </c>
      <c r="J4656" t="n">
        <v>3</v>
      </c>
      <c r="K4656" t="inlineStr">
        <is>
          <t>续持原仓（2025-09-01开）</t>
        </is>
      </c>
    </row>
    <row r="4657">
      <c r="A4657" t="inlineStr">
        <is>
          <t>2025-09-02</t>
        </is>
      </c>
      <c r="B4657" t="inlineStr">
        <is>
          <t>苯乙烯</t>
        </is>
      </c>
      <c r="C4657" t="inlineStr">
        <is>
          <t>空</t>
        </is>
      </c>
      <c r="D4657" t="n">
        <v>3</v>
      </c>
      <c r="E4657" t="n">
        <v>6</v>
      </c>
      <c r="F4657" t="inlineStr">
        <is>
          <t>续持</t>
        </is>
      </c>
      <c r="G4657" t="n">
        <v>6</v>
      </c>
      <c r="H4657" t="n">
        <v>6934</v>
      </c>
      <c r="I4657" t="n">
        <v>7247.5</v>
      </c>
      <c r="J4657" t="n">
        <v>1</v>
      </c>
      <c r="K4657" t="inlineStr">
        <is>
          <t>续持原仓（2025-08-29开）</t>
        </is>
      </c>
    </row>
    <row r="4658">
      <c r="A4658" t="inlineStr">
        <is>
          <t>2025-09-02</t>
        </is>
      </c>
      <c r="B4658" t="inlineStr">
        <is>
          <t>螺纹钢</t>
        </is>
      </c>
      <c r="C4658" t="inlineStr">
        <is>
          <t>空</t>
        </is>
      </c>
      <c r="D4658" t="n">
        <v>2</v>
      </c>
      <c r="E4658" t="n">
        <v>5</v>
      </c>
      <c r="F4658" t="inlineStr">
        <is>
          <t>续持</t>
        </is>
      </c>
      <c r="G4658" t="n">
        <v>8</v>
      </c>
      <c r="H4658" t="n">
        <v>3117</v>
      </c>
      <c r="I4658" t="n">
        <v>3219.79</v>
      </c>
      <c r="J4658" t="n">
        <v>1</v>
      </c>
      <c r="K4658" t="inlineStr">
        <is>
          <t>续持原仓（2025-08-27开）</t>
        </is>
      </c>
    </row>
    <row r="4659">
      <c r="A4659" t="inlineStr">
        <is>
          <t>2025-09-02</t>
        </is>
      </c>
      <c r="B4659" t="inlineStr">
        <is>
          <t>甲醇</t>
        </is>
      </c>
      <c r="C4659" t="inlineStr">
        <is>
          <t>空</t>
        </is>
      </c>
      <c r="D4659" t="n">
        <v>2</v>
      </c>
      <c r="E4659" t="n">
        <v>5</v>
      </c>
      <c r="F4659" t="inlineStr">
        <is>
          <t>影子仓</t>
        </is>
      </c>
      <c r="G4659" t="n">
        <v>9</v>
      </c>
      <c r="H4659" t="n">
        <v>2372</v>
      </c>
      <c r="I4659" t="n">
        <v>2478.71</v>
      </c>
      <c r="J4659" t="n">
        <v>1</v>
      </c>
      <c r="K4659" t="inlineStr">
        <is>
          <t>凯利≤0，开1%影子仓（只统计，不计入组合）</t>
        </is>
      </c>
    </row>
    <row r="4660">
      <c r="A4660" t="inlineStr">
        <is>
          <t>2025-09-03</t>
        </is>
      </c>
      <c r="B4660" t="inlineStr">
        <is>
          <t>PVC</t>
        </is>
      </c>
      <c r="C4660" t="inlineStr">
        <is>
          <t>空</t>
        </is>
      </c>
      <c r="D4660" t="n">
        <v>3</v>
      </c>
      <c r="E4660" t="n">
        <v>6</v>
      </c>
      <c r="F4660" t="inlineStr">
        <is>
          <t>开仓</t>
        </is>
      </c>
      <c r="G4660" t="n">
        <v>31</v>
      </c>
      <c r="H4660" t="n">
        <v>4878</v>
      </c>
      <c r="I4660" t="n">
        <v>5066.36</v>
      </c>
      <c r="J4660" t="n">
        <v>3</v>
      </c>
      <c r="K4660" t="inlineStr">
        <is>
          <t>¼凯利超上限，取3%</t>
        </is>
      </c>
    </row>
    <row r="4661">
      <c r="A4661" t="inlineStr">
        <is>
          <t>2025-09-03</t>
        </is>
      </c>
      <c r="B4661" t="inlineStr">
        <is>
          <t>锰硅</t>
        </is>
      </c>
      <c r="C4661" t="inlineStr">
        <is>
          <t>空</t>
        </is>
      </c>
      <c r="D4661" t="n">
        <v>2</v>
      </c>
      <c r="E4661" t="n">
        <v>5</v>
      </c>
      <c r="F4661" t="inlineStr">
        <is>
          <t>续持</t>
        </is>
      </c>
      <c r="G4661" t="n">
        <v>20</v>
      </c>
      <c r="H4661" t="n">
        <v>5732</v>
      </c>
      <c r="I4661" t="n">
        <v>5984</v>
      </c>
      <c r="J4661" t="n">
        <v>3</v>
      </c>
      <c r="K4661" t="inlineStr">
        <is>
          <t>续持原仓（2025-09-01开）</t>
        </is>
      </c>
    </row>
    <row r="4662">
      <c r="A4662" t="inlineStr">
        <is>
          <t>2025-09-03</t>
        </is>
      </c>
      <c r="B4662" t="inlineStr">
        <is>
          <t>聚丙烯</t>
        </is>
      </c>
      <c r="C4662" t="inlineStr">
        <is>
          <t>空</t>
        </is>
      </c>
      <c r="D4662" t="n">
        <v>2</v>
      </c>
      <c r="E4662" t="n">
        <v>5</v>
      </c>
      <c r="F4662" t="inlineStr">
        <is>
          <t>续持</t>
        </is>
      </c>
      <c r="G4662" t="n">
        <v>14</v>
      </c>
      <c r="H4662" t="n">
        <v>6954</v>
      </c>
      <c r="I4662" t="n">
        <v>7079.43</v>
      </c>
      <c r="J4662" t="n">
        <v>1</v>
      </c>
      <c r="K4662" t="inlineStr">
        <is>
          <t>续持原仓（2025-09-01开）</t>
        </is>
      </c>
    </row>
    <row r="4663">
      <c r="A4663" t="inlineStr">
        <is>
          <t>2025-09-03</t>
        </is>
      </c>
      <c r="B4663" t="inlineStr">
        <is>
          <t>硅铁</t>
        </is>
      </c>
      <c r="C4663" t="inlineStr">
        <is>
          <t>空</t>
        </is>
      </c>
      <c r="D4663" t="n">
        <v>2</v>
      </c>
      <c r="E4663" t="n">
        <v>5</v>
      </c>
      <c r="F4663" t="inlineStr">
        <is>
          <t>影子仓</t>
        </is>
      </c>
      <c r="G4663" t="n">
        <v>7</v>
      </c>
      <c r="H4663" t="n">
        <v>5520</v>
      </c>
      <c r="I4663" t="n">
        <v>5804.57</v>
      </c>
      <c r="J4663" t="n">
        <v>1</v>
      </c>
      <c r="K4663" t="inlineStr">
        <is>
          <t>凯利≤0，开1%影子仓（只统计，不计入组合）</t>
        </is>
      </c>
    </row>
    <row r="4664">
      <c r="A4664" t="inlineStr">
        <is>
          <t>2025-09-03</t>
        </is>
      </c>
      <c r="B4664" t="inlineStr">
        <is>
          <t>碳酸锂</t>
        </is>
      </c>
      <c r="C4664" t="inlineStr">
        <is>
          <t>空</t>
        </is>
      </c>
      <c r="D4664" t="n">
        <v>2</v>
      </c>
      <c r="E4664" t="n">
        <v>5</v>
      </c>
      <c r="F4664" t="inlineStr">
        <is>
          <t>影子仓</t>
        </is>
      </c>
      <c r="G4664" t="n">
        <v>1</v>
      </c>
      <c r="H4664" t="n">
        <v>71880</v>
      </c>
      <c r="I4664" t="n">
        <v>81017.14</v>
      </c>
      <c r="J4664" t="n">
        <v>1</v>
      </c>
      <c r="K4664" t="inlineStr">
        <is>
          <t>凯利≤0，开1%影子仓（只统计，不计入组合）</t>
        </is>
      </c>
    </row>
    <row r="4665">
      <c r="A4665" t="inlineStr">
        <is>
          <t>2025-09-04</t>
        </is>
      </c>
      <c r="B4665" t="inlineStr">
        <is>
          <t>苯乙烯</t>
        </is>
      </c>
      <c r="C4665" t="inlineStr">
        <is>
          <t>空</t>
        </is>
      </c>
      <c r="D4665" t="n">
        <v>3</v>
      </c>
      <c r="E4665" t="n">
        <v>7</v>
      </c>
      <c r="F4665" t="inlineStr">
        <is>
          <t>开仓</t>
        </is>
      </c>
      <c r="G4665" t="n">
        <v>18</v>
      </c>
      <c r="H4665" t="n">
        <v>6985</v>
      </c>
      <c r="I4665" t="n">
        <v>7305.57</v>
      </c>
      <c r="J4665" t="n">
        <v>3</v>
      </c>
      <c r="K4665" t="inlineStr">
        <is>
          <t>¼凯利超上限，取3%</t>
        </is>
      </c>
    </row>
    <row r="4666">
      <c r="A4666" t="inlineStr">
        <is>
          <t>2025-09-04</t>
        </is>
      </c>
      <c r="B4666" t="inlineStr">
        <is>
          <t>塑料</t>
        </is>
      </c>
      <c r="C4666" t="inlineStr">
        <is>
          <t>空</t>
        </is>
      </c>
      <c r="D4666" t="n">
        <v>3</v>
      </c>
      <c r="E4666" t="n">
        <v>6</v>
      </c>
      <c r="F4666" t="inlineStr">
        <is>
          <t>不做</t>
        </is>
      </c>
      <c r="H4666" t="n">
        <v>7225</v>
      </c>
      <c r="J4666" t="n">
        <v>0</v>
      </c>
      <c r="K4666" t="inlineStr">
        <is>
          <t>化工板块同方向已近6%，预算缩小</t>
        </is>
      </c>
    </row>
    <row r="4667">
      <c r="A4667" t="inlineStr">
        <is>
          <t>2025-09-04</t>
        </is>
      </c>
      <c r="B4667" t="inlineStr">
        <is>
          <t>PVC</t>
        </is>
      </c>
      <c r="C4667" t="inlineStr">
        <is>
          <t>空</t>
        </is>
      </c>
      <c r="D4667" t="n">
        <v>3</v>
      </c>
      <c r="E4667" t="n">
        <v>6</v>
      </c>
      <c r="F4667" t="inlineStr">
        <is>
          <t>续持</t>
        </is>
      </c>
      <c r="G4667" t="n">
        <v>31</v>
      </c>
      <c r="H4667" t="n">
        <v>4883</v>
      </c>
      <c r="I4667" t="n">
        <v>5031.57</v>
      </c>
      <c r="J4667" t="n">
        <v>3</v>
      </c>
      <c r="K4667" t="inlineStr">
        <is>
          <t>续持原仓（2025-09-03开）</t>
        </is>
      </c>
    </row>
    <row r="4668">
      <c r="A4668" t="inlineStr">
        <is>
          <t>2025-09-04</t>
        </is>
      </c>
      <c r="B4668" t="inlineStr">
        <is>
          <t>聚丙烯</t>
        </is>
      </c>
      <c r="C4668" t="inlineStr">
        <is>
          <t>空</t>
        </is>
      </c>
      <c r="D4668" t="n">
        <v>3</v>
      </c>
      <c r="E4668" t="n">
        <v>6</v>
      </c>
      <c r="F4668" t="inlineStr">
        <is>
          <t>续持</t>
        </is>
      </c>
      <c r="G4668" t="n">
        <v>14</v>
      </c>
      <c r="H4668" t="n">
        <v>6939</v>
      </c>
      <c r="I4668" t="n">
        <v>7060.93</v>
      </c>
      <c r="J4668" t="n">
        <v>1</v>
      </c>
      <c r="K4668" t="inlineStr">
        <is>
          <t>续持原仓（2025-09-01开）</t>
        </is>
      </c>
    </row>
    <row r="4669">
      <c r="A4669" t="inlineStr">
        <is>
          <t>2025-09-04</t>
        </is>
      </c>
      <c r="B4669" t="inlineStr">
        <is>
          <t>锰硅</t>
        </is>
      </c>
      <c r="C4669" t="inlineStr">
        <is>
          <t>空</t>
        </is>
      </c>
      <c r="D4669" t="n">
        <v>3</v>
      </c>
      <c r="E4669" t="n">
        <v>6</v>
      </c>
      <c r="F4669" t="inlineStr">
        <is>
          <t>续持</t>
        </is>
      </c>
      <c r="G4669" t="n">
        <v>20</v>
      </c>
      <c r="H4669" t="n">
        <v>5730</v>
      </c>
      <c r="I4669" t="n">
        <v>5943.14</v>
      </c>
      <c r="J4669" t="n">
        <v>3</v>
      </c>
      <c r="K4669" t="inlineStr">
        <is>
          <t>续持原仓（2025-09-01开）</t>
        </is>
      </c>
    </row>
    <row r="4670">
      <c r="A4670" t="inlineStr">
        <is>
          <t>2025-09-05</t>
        </is>
      </c>
      <c r="B4670" t="inlineStr">
        <is>
          <t>沪金</t>
        </is>
      </c>
      <c r="C4670" t="inlineStr">
        <is>
          <t>多</t>
        </is>
      </c>
      <c r="D4670" t="n">
        <v>3</v>
      </c>
      <c r="E4670" t="n">
        <v>7</v>
      </c>
      <c r="F4670" t="inlineStr">
        <is>
          <t>开仓</t>
        </is>
      </c>
      <c r="G4670" t="n">
        <v>1</v>
      </c>
      <c r="H4670" t="n">
        <v>817.52</v>
      </c>
      <c r="I4670" t="n">
        <v>793.84</v>
      </c>
      <c r="J4670" t="n">
        <v>3</v>
      </c>
      <c r="K4670" t="inlineStr">
        <is>
          <t>¼凯利超上限，取3%</t>
        </is>
      </c>
    </row>
    <row r="4671">
      <c r="A4671" t="inlineStr">
        <is>
          <t>2025-09-05</t>
        </is>
      </c>
      <c r="B4671" t="inlineStr">
        <is>
          <t>PVC</t>
        </is>
      </c>
      <c r="C4671" t="inlineStr">
        <is>
          <t>空</t>
        </is>
      </c>
      <c r="D4671" t="n">
        <v>2</v>
      </c>
      <c r="E4671" t="n">
        <v>5</v>
      </c>
      <c r="F4671" t="inlineStr">
        <is>
          <t>观望</t>
        </is>
      </c>
      <c r="G4671" t="n">
        <v>10</v>
      </c>
      <c r="H4671" t="n">
        <v>4913</v>
      </c>
      <c r="I4671" t="n">
        <v>5097.29</v>
      </c>
      <c r="J4671" t="n">
        <v>1</v>
      </c>
      <c r="K4671" t="inlineStr">
        <is>
          <t>逆5日线（收盘在5日线上，不追空）</t>
        </is>
      </c>
    </row>
    <row r="4672">
      <c r="A4672" t="inlineStr">
        <is>
          <t>2025-09-05</t>
        </is>
      </c>
      <c r="B4672" t="inlineStr">
        <is>
          <t>热卷</t>
        </is>
      </c>
      <c r="C4672" t="inlineStr">
        <is>
          <t>空</t>
        </is>
      </c>
      <c r="D4672" t="n">
        <v>2</v>
      </c>
      <c r="E4672" t="n">
        <v>5</v>
      </c>
      <c r="F4672" t="inlineStr">
        <is>
          <t>观望</t>
        </is>
      </c>
      <c r="G4672" t="n">
        <v>7</v>
      </c>
      <c r="H4672" t="n">
        <v>3340</v>
      </c>
      <c r="I4672" t="n">
        <v>3467.29</v>
      </c>
      <c r="J4672" t="n">
        <v>1</v>
      </c>
      <c r="K4672" t="inlineStr">
        <is>
          <t>逆5日线（收盘在5日线上，不追空）</t>
        </is>
      </c>
    </row>
    <row r="4673">
      <c r="A4673" t="inlineStr">
        <is>
          <t>2025-09-05</t>
        </is>
      </c>
      <c r="B4673" t="inlineStr">
        <is>
          <t>焦煤</t>
        </is>
      </c>
      <c r="C4673" t="inlineStr">
        <is>
          <t>空</t>
        </is>
      </c>
      <c r="D4673" t="n">
        <v>2</v>
      </c>
      <c r="E4673" t="n">
        <v>4</v>
      </c>
      <c r="F4673" t="inlineStr">
        <is>
          <t>观望</t>
        </is>
      </c>
      <c r="G4673" t="n">
        <v>1</v>
      </c>
      <c r="H4673" t="n">
        <v>1158.5</v>
      </c>
      <c r="I4673" t="n">
        <v>1307.11</v>
      </c>
      <c r="J4673" t="n">
        <v>1</v>
      </c>
      <c r="K4673" t="inlineStr">
        <is>
          <t>逆5日线（收盘在5日线上，不追空）</t>
        </is>
      </c>
    </row>
    <row r="4674">
      <c r="A4674" t="inlineStr">
        <is>
          <t>2025-09-05</t>
        </is>
      </c>
      <c r="B4674" t="inlineStr">
        <is>
          <t>硅铁</t>
        </is>
      </c>
      <c r="C4674" t="inlineStr">
        <is>
          <t>空</t>
        </is>
      </c>
      <c r="D4674" t="n">
        <v>2</v>
      </c>
      <c r="E4674" t="n">
        <v>4</v>
      </c>
      <c r="F4674" t="inlineStr">
        <is>
          <t>观望</t>
        </is>
      </c>
      <c r="G4674" t="n">
        <v>6</v>
      </c>
      <c r="H4674" t="n">
        <v>5598</v>
      </c>
      <c r="I4674" t="n">
        <v>5889.43</v>
      </c>
      <c r="J4674" t="n">
        <v>1</v>
      </c>
      <c r="K4674" t="inlineStr">
        <is>
          <t>逆5日线（收盘在5日线上，不追空）</t>
        </is>
      </c>
    </row>
    <row r="4675">
      <c r="A4675" t="inlineStr">
        <is>
          <t>2025-09-08</t>
        </is>
      </c>
      <c r="B4675" t="inlineStr">
        <is>
          <t>PVC</t>
        </is>
      </c>
      <c r="C4675" t="inlineStr">
        <is>
          <t>空</t>
        </is>
      </c>
      <c r="D4675" t="n">
        <v>3</v>
      </c>
      <c r="E4675" t="n">
        <v>7</v>
      </c>
      <c r="F4675" t="inlineStr">
        <is>
          <t>续持</t>
        </is>
      </c>
      <c r="G4675" t="n">
        <v>31</v>
      </c>
      <c r="H4675" t="n">
        <v>4890</v>
      </c>
      <c r="I4675" t="n">
        <v>5028.36</v>
      </c>
      <c r="J4675" t="n">
        <v>3</v>
      </c>
      <c r="K4675" t="inlineStr">
        <is>
          <t>续持原仓（2025-09-03开）</t>
        </is>
      </c>
    </row>
    <row r="4676">
      <c r="A4676" t="inlineStr">
        <is>
          <t>2025-09-08</t>
        </is>
      </c>
      <c r="B4676" t="inlineStr">
        <is>
          <t>聚丙烯</t>
        </is>
      </c>
      <c r="C4676" t="inlineStr">
        <is>
          <t>空</t>
        </is>
      </c>
      <c r="D4676" t="n">
        <v>3</v>
      </c>
      <c r="E4676" t="n">
        <v>6</v>
      </c>
      <c r="F4676" t="inlineStr">
        <is>
          <t>观望</t>
        </is>
      </c>
      <c r="H4676" t="n">
        <v>6968</v>
      </c>
      <c r="J4676" t="n">
        <v>0</v>
      </c>
      <c r="K4676" t="inlineStr">
        <is>
          <t>逆5日线（收盘在5日线上，不追空）</t>
        </is>
      </c>
    </row>
    <row r="4677">
      <c r="A4677" t="inlineStr">
        <is>
          <t>2025-09-08</t>
        </is>
      </c>
      <c r="B4677" t="inlineStr">
        <is>
          <t>沪金</t>
        </is>
      </c>
      <c r="C4677" t="inlineStr">
        <is>
          <t>多</t>
        </is>
      </c>
      <c r="D4677" t="n">
        <v>3</v>
      </c>
      <c r="E4677" t="n">
        <v>6</v>
      </c>
      <c r="F4677" t="inlineStr">
        <is>
          <t>续持</t>
        </is>
      </c>
      <c r="G4677" t="n">
        <v>1</v>
      </c>
      <c r="H4677" t="n">
        <v>825.1799999999999</v>
      </c>
      <c r="I4677" t="n">
        <v>801.76</v>
      </c>
      <c r="J4677" t="n">
        <v>3</v>
      </c>
      <c r="K4677" t="inlineStr">
        <is>
          <t>续持原仓（2025-09-05开）</t>
        </is>
      </c>
    </row>
    <row r="4678">
      <c r="A4678" t="inlineStr">
        <is>
          <t>2025-09-08</t>
        </is>
      </c>
      <c r="B4678" t="inlineStr">
        <is>
          <t>焦煤</t>
        </is>
      </c>
      <c r="C4678" t="inlineStr">
        <is>
          <t>空</t>
        </is>
      </c>
      <c r="D4678" t="n">
        <v>3</v>
      </c>
      <c r="E4678" t="n">
        <v>6</v>
      </c>
      <c r="F4678" t="inlineStr">
        <is>
          <t>观望</t>
        </is>
      </c>
      <c r="G4678" t="n">
        <v>3</v>
      </c>
      <c r="H4678" t="n">
        <v>1143.5</v>
      </c>
      <c r="I4678" t="n">
        <v>1293.71</v>
      </c>
      <c r="J4678" t="n">
        <v>3</v>
      </c>
      <c r="K4678" t="inlineStr">
        <is>
          <t>逆5日线（收盘在5日线上，不追空）</t>
        </is>
      </c>
    </row>
    <row r="4679">
      <c r="A4679" t="inlineStr">
        <is>
          <t>2025-09-08</t>
        </is>
      </c>
      <c r="B4679" t="inlineStr">
        <is>
          <t>锰硅</t>
        </is>
      </c>
      <c r="C4679" t="inlineStr">
        <is>
          <t>空</t>
        </is>
      </c>
      <c r="D4679" t="n">
        <v>2</v>
      </c>
      <c r="E4679" t="n">
        <v>5</v>
      </c>
      <c r="F4679" t="inlineStr">
        <is>
          <t>观望</t>
        </is>
      </c>
      <c r="G4679" t="n">
        <v>8</v>
      </c>
      <c r="H4679" t="n">
        <v>5840</v>
      </c>
      <c r="I4679" t="n">
        <v>6085.14</v>
      </c>
      <c r="J4679" t="n">
        <v>1</v>
      </c>
      <c r="K4679" t="inlineStr">
        <is>
          <t>逆5日线（收盘在5日线上，不追空）</t>
        </is>
      </c>
    </row>
    <row r="4680">
      <c r="A4680" t="inlineStr">
        <is>
          <t>2025-09-08</t>
        </is>
      </c>
      <c r="B4680" t="inlineStr">
        <is>
          <t>硅铁</t>
        </is>
      </c>
      <c r="C4680" t="inlineStr">
        <is>
          <t>空</t>
        </is>
      </c>
      <c r="D4680" t="n">
        <v>2</v>
      </c>
      <c r="E4680" t="n">
        <v>4</v>
      </c>
      <c r="F4680" t="inlineStr">
        <is>
          <t>观望</t>
        </is>
      </c>
      <c r="G4680" t="n">
        <v>7</v>
      </c>
      <c r="H4680" t="n">
        <v>5624</v>
      </c>
      <c r="I4680" t="n">
        <v>5879.43</v>
      </c>
      <c r="J4680" t="n">
        <v>1</v>
      </c>
      <c r="K4680" t="inlineStr">
        <is>
          <t>逆5日线（收盘在5日线上，不追空）</t>
        </is>
      </c>
    </row>
    <row r="4681">
      <c r="A4681" t="inlineStr">
        <is>
          <t>2025-09-08</t>
        </is>
      </c>
      <c r="B4681" t="inlineStr">
        <is>
          <t>玉米</t>
        </is>
      </c>
      <c r="C4681" t="inlineStr">
        <is>
          <t>多</t>
        </is>
      </c>
      <c r="D4681" t="n">
        <v>2</v>
      </c>
      <c r="E4681" t="n">
        <v>4</v>
      </c>
      <c r="F4681" t="inlineStr">
        <is>
          <t>影子仓</t>
        </is>
      </c>
      <c r="G4681" t="n">
        <v>17</v>
      </c>
      <c r="H4681" t="n">
        <v>2231</v>
      </c>
      <c r="I4681" t="n">
        <v>2174</v>
      </c>
      <c r="J4681" t="n">
        <v>1</v>
      </c>
      <c r="K4681" t="inlineStr">
        <is>
          <t>凯利≤0，开1%影子仓（只统计，不计入组合）</t>
        </is>
      </c>
    </row>
    <row r="4682">
      <c r="A4682" t="inlineStr">
        <is>
          <t>2025-09-09</t>
        </is>
      </c>
      <c r="B4682" t="inlineStr">
        <is>
          <t>聚丙烯</t>
        </is>
      </c>
      <c r="C4682" t="inlineStr">
        <is>
          <t>空</t>
        </is>
      </c>
      <c r="D4682" t="n">
        <v>3</v>
      </c>
      <c r="E4682" t="n">
        <v>7</v>
      </c>
      <c r="F4682" t="inlineStr">
        <is>
          <t>不做</t>
        </is>
      </c>
      <c r="H4682" t="n">
        <v>6949</v>
      </c>
      <c r="J4682" t="n">
        <v>0</v>
      </c>
      <c r="K4682" t="inlineStr">
        <is>
          <t>与PVC高度相关（同组≤3%），预算缩小</t>
        </is>
      </c>
    </row>
    <row r="4683">
      <c r="A4683" t="inlineStr">
        <is>
          <t>2025-09-09</t>
        </is>
      </c>
      <c r="B4683" t="inlineStr">
        <is>
          <t>焦煤</t>
        </is>
      </c>
      <c r="C4683" t="inlineStr">
        <is>
          <t>空</t>
        </is>
      </c>
      <c r="D4683" t="n">
        <v>3</v>
      </c>
      <c r="E4683" t="n">
        <v>7</v>
      </c>
      <c r="F4683" t="inlineStr">
        <is>
          <t>开仓</t>
        </is>
      </c>
      <c r="G4683" t="n">
        <v>3</v>
      </c>
      <c r="H4683" t="n">
        <v>1123.5</v>
      </c>
      <c r="I4683" t="n">
        <v>1260.96</v>
      </c>
      <c r="J4683" t="n">
        <v>3</v>
      </c>
      <c r="K4683" t="inlineStr">
        <is>
          <t>¼凯利超上限，取3%</t>
        </is>
      </c>
    </row>
    <row r="4684">
      <c r="A4684" t="inlineStr">
        <is>
          <t>2025-09-09</t>
        </is>
      </c>
      <c r="B4684" t="inlineStr">
        <is>
          <t>PVC</t>
        </is>
      </c>
      <c r="C4684" t="inlineStr">
        <is>
          <t>空</t>
        </is>
      </c>
      <c r="D4684" t="n">
        <v>3</v>
      </c>
      <c r="E4684" t="n">
        <v>7</v>
      </c>
      <c r="F4684" t="inlineStr">
        <is>
          <t>续持</t>
        </is>
      </c>
      <c r="G4684" t="n">
        <v>31</v>
      </c>
      <c r="H4684" t="n">
        <v>4847</v>
      </c>
      <c r="I4684" t="n">
        <v>5007.29</v>
      </c>
      <c r="J4684" t="n">
        <v>3</v>
      </c>
      <c r="K4684" t="inlineStr">
        <is>
          <t>续持原仓（2025-09-03开）</t>
        </is>
      </c>
    </row>
    <row r="4685">
      <c r="A4685" t="inlineStr">
        <is>
          <t>2025-09-09</t>
        </is>
      </c>
      <c r="B4685" t="inlineStr">
        <is>
          <t>纯碱</t>
        </is>
      </c>
      <c r="C4685" t="inlineStr">
        <is>
          <t>空</t>
        </is>
      </c>
      <c r="D4685" t="n">
        <v>3</v>
      </c>
      <c r="E4685" t="n">
        <v>7</v>
      </c>
      <c r="F4685" t="inlineStr">
        <is>
          <t>不做</t>
        </is>
      </c>
      <c r="H4685" t="n">
        <v>1278</v>
      </c>
      <c r="J4685" t="n">
        <v>0</v>
      </c>
      <c r="K4685" t="inlineStr">
        <is>
          <t>与PVC高度相关（同组≤3%），预算缩小</t>
        </is>
      </c>
    </row>
    <row r="4686">
      <c r="A4686" t="inlineStr">
        <is>
          <t>2025-09-09</t>
        </is>
      </c>
      <c r="B4686" t="inlineStr">
        <is>
          <t>沪金</t>
        </is>
      </c>
      <c r="C4686" t="inlineStr">
        <is>
          <t>多</t>
        </is>
      </c>
      <c r="D4686" t="n">
        <v>3</v>
      </c>
      <c r="E4686" t="n">
        <v>6</v>
      </c>
      <c r="F4686" t="inlineStr">
        <is>
          <t>续持</t>
        </is>
      </c>
      <c r="G4686" t="n">
        <v>1</v>
      </c>
      <c r="H4686" t="n">
        <v>837.1</v>
      </c>
      <c r="I4686" t="n">
        <v>812.61</v>
      </c>
      <c r="J4686" t="n">
        <v>3</v>
      </c>
      <c r="K4686" t="inlineStr">
        <is>
          <t>续持原仓（2025-09-05开）</t>
        </is>
      </c>
    </row>
    <row r="4687">
      <c r="A4687" t="inlineStr">
        <is>
          <t>2025-09-09</t>
        </is>
      </c>
      <c r="B4687" t="inlineStr">
        <is>
          <t>碳酸锂</t>
        </is>
      </c>
      <c r="C4687" t="inlineStr">
        <is>
          <t>空</t>
        </is>
      </c>
      <c r="D4687" t="n">
        <v>3</v>
      </c>
      <c r="E4687" t="n">
        <v>6</v>
      </c>
      <c r="F4687" t="inlineStr">
        <is>
          <t>续持</t>
        </is>
      </c>
      <c r="G4687" t="n">
        <v>1</v>
      </c>
      <c r="H4687" t="n">
        <v>72900</v>
      </c>
      <c r="I4687" t="n">
        <v>79755.71000000001</v>
      </c>
      <c r="J4687" t="n">
        <v>1</v>
      </c>
      <c r="K4687" t="inlineStr">
        <is>
          <t>续持原仓（2025-09-03开）</t>
        </is>
      </c>
    </row>
    <row r="4688">
      <c r="A4688" t="inlineStr">
        <is>
          <t>2025-09-10</t>
        </is>
      </c>
      <c r="B4688" t="inlineStr">
        <is>
          <t>焦煤</t>
        </is>
      </c>
      <c r="C4688" t="inlineStr">
        <is>
          <t>空</t>
        </is>
      </c>
      <c r="D4688" t="n">
        <v>3</v>
      </c>
      <c r="E4688" t="n">
        <v>6</v>
      </c>
      <c r="F4688" t="inlineStr">
        <is>
          <t>续持</t>
        </is>
      </c>
      <c r="G4688" t="n">
        <v>3</v>
      </c>
      <c r="H4688" t="n">
        <v>1117</v>
      </c>
      <c r="I4688" t="n">
        <v>1237.89</v>
      </c>
      <c r="J4688" t="n">
        <v>3</v>
      </c>
      <c r="K4688" t="inlineStr">
        <is>
          <t>续持原仓（2025-09-09开）</t>
        </is>
      </c>
    </row>
    <row r="4689">
      <c r="A4689" t="inlineStr">
        <is>
          <t>2025-09-10</t>
        </is>
      </c>
      <c r="B4689" t="inlineStr">
        <is>
          <t>聚丙烯</t>
        </is>
      </c>
      <c r="C4689" t="inlineStr">
        <is>
          <t>空</t>
        </is>
      </c>
      <c r="D4689" t="n">
        <v>2</v>
      </c>
      <c r="E4689" t="n">
        <v>5</v>
      </c>
      <c r="F4689" t="inlineStr">
        <is>
          <t>影子仓</t>
        </is>
      </c>
      <c r="G4689" t="n">
        <v>15</v>
      </c>
      <c r="H4689" t="n">
        <v>6948</v>
      </c>
      <c r="I4689" t="n">
        <v>7080</v>
      </c>
      <c r="J4689" t="n">
        <v>1</v>
      </c>
      <c r="K4689" t="inlineStr">
        <is>
          <t>凯利≤0，开1%影子仓（只统计，不计入组合）</t>
        </is>
      </c>
    </row>
    <row r="4690">
      <c r="A4690" t="inlineStr">
        <is>
          <t>2025-09-10</t>
        </is>
      </c>
      <c r="B4690" t="inlineStr">
        <is>
          <t>PVC</t>
        </is>
      </c>
      <c r="C4690" t="inlineStr">
        <is>
          <t>空</t>
        </is>
      </c>
      <c r="D4690" t="n">
        <v>2</v>
      </c>
      <c r="E4690" t="n">
        <v>5</v>
      </c>
      <c r="F4690" t="inlineStr">
        <is>
          <t>续持</t>
        </is>
      </c>
      <c r="G4690" t="n">
        <v>31</v>
      </c>
      <c r="H4690" t="n">
        <v>4857</v>
      </c>
      <c r="I4690" t="n">
        <v>5001</v>
      </c>
      <c r="J4690" t="n">
        <v>3</v>
      </c>
      <c r="K4690" t="inlineStr">
        <is>
          <t>续持原仓（2025-09-03开）</t>
        </is>
      </c>
    </row>
    <row r="4691">
      <c r="A4691" t="inlineStr">
        <is>
          <t>2025-09-10</t>
        </is>
      </c>
      <c r="B4691" t="inlineStr">
        <is>
          <t>苯乙烯</t>
        </is>
      </c>
      <c r="C4691" t="inlineStr">
        <is>
          <t>空</t>
        </is>
      </c>
      <c r="D4691" t="n">
        <v>2</v>
      </c>
      <c r="E4691" t="n">
        <v>5</v>
      </c>
      <c r="F4691" t="inlineStr">
        <is>
          <t>观望</t>
        </is>
      </c>
      <c r="G4691" t="n">
        <v>6</v>
      </c>
      <c r="H4691" t="n">
        <v>7065</v>
      </c>
      <c r="I4691" t="n">
        <v>7372.93</v>
      </c>
      <c r="J4691" t="n">
        <v>1</v>
      </c>
      <c r="K4691" t="inlineStr">
        <is>
          <t>逆5日线（收盘在5日线上，不追空）</t>
        </is>
      </c>
    </row>
    <row r="4692">
      <c r="A4692" t="inlineStr">
        <is>
          <t>2025-09-10</t>
        </is>
      </c>
      <c r="B4692" t="inlineStr">
        <is>
          <t>沪金</t>
        </is>
      </c>
      <c r="C4692" t="inlineStr">
        <is>
          <t>多</t>
        </is>
      </c>
      <c r="D4692" t="n">
        <v>2</v>
      </c>
      <c r="E4692" t="n">
        <v>5</v>
      </c>
      <c r="F4692" t="inlineStr">
        <is>
          <t>续持</t>
        </is>
      </c>
      <c r="G4692" t="n">
        <v>1</v>
      </c>
      <c r="H4692" t="n">
        <v>836.0599999999999</v>
      </c>
      <c r="I4692" t="n">
        <v>814.79</v>
      </c>
      <c r="J4692" t="n">
        <v>3</v>
      </c>
      <c r="K4692" t="inlineStr">
        <is>
          <t>续持原仓（2025-09-05开）</t>
        </is>
      </c>
    </row>
    <row r="4693">
      <c r="A4693" t="inlineStr">
        <is>
          <t>2025-09-10</t>
        </is>
      </c>
      <c r="B4693" t="inlineStr">
        <is>
          <t>硅铁</t>
        </is>
      </c>
      <c r="C4693" t="inlineStr">
        <is>
          <t>空</t>
        </is>
      </c>
      <c r="D4693" t="n">
        <v>2</v>
      </c>
      <c r="E4693" t="n">
        <v>5</v>
      </c>
      <c r="F4693" t="inlineStr">
        <is>
          <t>观望</t>
        </is>
      </c>
      <c r="G4693" t="n">
        <v>7</v>
      </c>
      <c r="H4693" t="n">
        <v>5628</v>
      </c>
      <c r="I4693" t="n">
        <v>5892.43</v>
      </c>
      <c r="J4693" t="n">
        <v>1</v>
      </c>
      <c r="K4693" t="inlineStr">
        <is>
          <t>逆5日线（收盘在5日线上，不追空）</t>
        </is>
      </c>
    </row>
    <row r="4694">
      <c r="A4694" t="inlineStr">
        <is>
          <t>2025-09-10</t>
        </is>
      </c>
      <c r="B4694" t="inlineStr">
        <is>
          <t>沪锌</t>
        </is>
      </c>
      <c r="C4694" t="inlineStr">
        <is>
          <t>多</t>
        </is>
      </c>
      <c r="D4694" t="n">
        <v>2</v>
      </c>
      <c r="E4694" t="n">
        <v>5</v>
      </c>
      <c r="F4694" t="inlineStr">
        <is>
          <t>影子仓</t>
        </is>
      </c>
      <c r="G4694" t="n">
        <v>3</v>
      </c>
      <c r="H4694" t="n">
        <v>22215</v>
      </c>
      <c r="I4694" t="n">
        <v>21661.07</v>
      </c>
      <c r="J4694" t="n">
        <v>1</v>
      </c>
      <c r="K4694" t="inlineStr">
        <is>
          <t>凯利≤0，开1%影子仓（只统计，不计入组合）</t>
        </is>
      </c>
    </row>
    <row r="4695">
      <c r="A4695" t="inlineStr">
        <is>
          <t>2025-09-10</t>
        </is>
      </c>
      <c r="B4695" t="inlineStr">
        <is>
          <t>铁矿石</t>
        </is>
      </c>
      <c r="C4695" t="inlineStr">
        <is>
          <t>多</t>
        </is>
      </c>
      <c r="D4695" t="n">
        <v>2</v>
      </c>
      <c r="E4695" t="n">
        <v>4</v>
      </c>
      <c r="F4695" t="inlineStr">
        <is>
          <t>影子仓</t>
        </is>
      </c>
      <c r="G4695" t="n">
        <v>2</v>
      </c>
      <c r="H4695" t="n">
        <v>805</v>
      </c>
      <c r="I4695" t="n">
        <v>760.75</v>
      </c>
      <c r="J4695" t="n">
        <v>1</v>
      </c>
      <c r="K4695" t="inlineStr">
        <is>
          <t>凯利≤0，开1%影子仓（只统计，不计入组合）</t>
        </is>
      </c>
    </row>
    <row r="4696">
      <c r="A4696" t="inlineStr">
        <is>
          <t>2025-09-11</t>
        </is>
      </c>
      <c r="B4696" t="inlineStr">
        <is>
          <t>螺纹钢</t>
        </is>
      </c>
      <c r="C4696" t="inlineStr">
        <is>
          <t>空</t>
        </is>
      </c>
      <c r="D4696" t="n">
        <v>3</v>
      </c>
      <c r="E4696" t="n">
        <v>7</v>
      </c>
      <c r="F4696" t="inlineStr">
        <is>
          <t>开仓</t>
        </is>
      </c>
      <c r="G4696" t="n">
        <v>23</v>
      </c>
      <c r="H4696" t="n">
        <v>3092</v>
      </c>
      <c r="I4696" t="n">
        <v>3221.21</v>
      </c>
      <c r="J4696" t="n">
        <v>3</v>
      </c>
      <c r="K4696" t="inlineStr">
        <is>
          <t>¼凯利超上限，取3%</t>
        </is>
      </c>
    </row>
    <row r="4697">
      <c r="A4697" t="inlineStr">
        <is>
          <t>2025-09-11</t>
        </is>
      </c>
      <c r="B4697" t="inlineStr">
        <is>
          <t>沪铝</t>
        </is>
      </c>
      <c r="C4697" t="inlineStr">
        <is>
          <t>多</t>
        </is>
      </c>
      <c r="D4697" t="n">
        <v>3</v>
      </c>
      <c r="E4697" t="n">
        <v>6</v>
      </c>
      <c r="F4697" t="inlineStr">
        <is>
          <t>开仓</t>
        </is>
      </c>
      <c r="G4697" t="n">
        <v>13</v>
      </c>
      <c r="H4697" t="n">
        <v>20915</v>
      </c>
      <c r="I4697" t="n">
        <v>20454.29</v>
      </c>
      <c r="J4697" t="n">
        <v>3</v>
      </c>
      <c r="K4697" t="inlineStr">
        <is>
          <t>¼凯利超上限，取3%</t>
        </is>
      </c>
    </row>
    <row r="4698">
      <c r="A4698" t="inlineStr">
        <is>
          <t>2025-09-11</t>
        </is>
      </c>
      <c r="B4698" t="inlineStr">
        <is>
          <t>硅铁</t>
        </is>
      </c>
      <c r="C4698" t="inlineStr">
        <is>
          <t>空</t>
        </is>
      </c>
      <c r="D4698" t="n">
        <v>3</v>
      </c>
      <c r="E4698" t="n">
        <v>6</v>
      </c>
      <c r="F4698" t="inlineStr">
        <is>
          <t>观望</t>
        </is>
      </c>
      <c r="H4698" t="n">
        <v>5626</v>
      </c>
      <c r="J4698" t="n">
        <v>0</v>
      </c>
      <c r="K4698" t="inlineStr">
        <is>
          <t>逆5日线（收盘在5日线上，不追空）</t>
        </is>
      </c>
    </row>
    <row r="4699">
      <c r="A4699" t="inlineStr">
        <is>
          <t>2025-09-11</t>
        </is>
      </c>
      <c r="B4699" t="inlineStr">
        <is>
          <t>玻璃</t>
        </is>
      </c>
      <c r="C4699" t="inlineStr">
        <is>
          <t>空</t>
        </is>
      </c>
      <c r="D4699" t="n">
        <v>3</v>
      </c>
      <c r="E4699" t="n">
        <v>6</v>
      </c>
      <c r="F4699" t="inlineStr">
        <is>
          <t>开仓</t>
        </is>
      </c>
      <c r="G4699" t="n">
        <v>4</v>
      </c>
      <c r="H4699" t="n">
        <v>1185</v>
      </c>
      <c r="I4699" t="n">
        <v>1287.64</v>
      </c>
      <c r="J4699" t="n">
        <v>1</v>
      </c>
      <c r="K4699" t="inlineStr">
        <is>
          <t>组合风险已近10%，预算缩小</t>
        </is>
      </c>
    </row>
    <row r="4700">
      <c r="A4700" t="inlineStr">
        <is>
          <t>2025-09-11</t>
        </is>
      </c>
      <c r="B4700" t="inlineStr">
        <is>
          <t>聚丙烯</t>
        </is>
      </c>
      <c r="C4700" t="inlineStr">
        <is>
          <t>空</t>
        </is>
      </c>
      <c r="D4700" t="n">
        <v>2</v>
      </c>
      <c r="E4700" t="n">
        <v>5</v>
      </c>
      <c r="F4700" t="inlineStr">
        <is>
          <t>续持</t>
        </is>
      </c>
      <c r="G4700" t="n">
        <v>15</v>
      </c>
      <c r="H4700" t="n">
        <v>6939</v>
      </c>
      <c r="I4700" t="n">
        <v>7059.21</v>
      </c>
      <c r="J4700" t="n">
        <v>1</v>
      </c>
      <c r="K4700" t="inlineStr">
        <is>
          <t>续持原仓（2025-09-10开）</t>
        </is>
      </c>
    </row>
    <row r="4701">
      <c r="A4701" t="inlineStr">
        <is>
          <t>2025-09-11</t>
        </is>
      </c>
      <c r="B4701" t="inlineStr">
        <is>
          <t>碳酸锂</t>
        </is>
      </c>
      <c r="C4701" t="inlineStr">
        <is>
          <t>空</t>
        </is>
      </c>
      <c r="D4701" t="n">
        <v>2</v>
      </c>
      <c r="E4701" t="n">
        <v>5</v>
      </c>
      <c r="F4701" t="inlineStr">
        <is>
          <t>影子仓</t>
        </is>
      </c>
      <c r="G4701" t="n">
        <v>1</v>
      </c>
      <c r="H4701" t="n">
        <v>71000</v>
      </c>
      <c r="I4701" t="n">
        <v>79177.14</v>
      </c>
      <c r="J4701" t="n">
        <v>1</v>
      </c>
      <c r="K4701" t="inlineStr">
        <is>
          <t>凯利≤0，开1%影子仓（只统计，不计入组合）</t>
        </is>
      </c>
    </row>
    <row r="4702">
      <c r="A4702" t="inlineStr">
        <is>
          <t>2025-09-11</t>
        </is>
      </c>
      <c r="B4702" t="inlineStr">
        <is>
          <t>菜油</t>
        </is>
      </c>
      <c r="C4702" t="inlineStr">
        <is>
          <t>多</t>
        </is>
      </c>
      <c r="D4702" t="n">
        <v>2</v>
      </c>
      <c r="E4702" t="n">
        <v>5</v>
      </c>
      <c r="F4702" t="inlineStr">
        <is>
          <t>影子仓</t>
        </is>
      </c>
      <c r="G4702" t="n">
        <v>2</v>
      </c>
      <c r="H4702" t="n">
        <v>9893</v>
      </c>
      <c r="I4702" t="n">
        <v>9553.790000000001</v>
      </c>
      <c r="J4702" t="n">
        <v>1</v>
      </c>
      <c r="K4702" t="inlineStr">
        <is>
          <t>凯利≤0，开1%影子仓（只统计，不计入组合）</t>
        </is>
      </c>
    </row>
    <row r="4703">
      <c r="A4703" t="inlineStr">
        <is>
          <t>2025-09-11</t>
        </is>
      </c>
      <c r="B4703" t="inlineStr">
        <is>
          <t>豆粕</t>
        </is>
      </c>
      <c r="C4703" t="inlineStr">
        <is>
          <t>多</t>
        </is>
      </c>
      <c r="D4703" t="n">
        <v>2</v>
      </c>
      <c r="E4703" t="n">
        <v>4</v>
      </c>
      <c r="F4703" t="inlineStr">
        <is>
          <t>影子仓</t>
        </is>
      </c>
      <c r="G4703" t="n">
        <v>10</v>
      </c>
      <c r="H4703" t="n">
        <v>3088</v>
      </c>
      <c r="I4703" t="n">
        <v>2994.14</v>
      </c>
      <c r="J4703" t="n">
        <v>1</v>
      </c>
      <c r="K4703" t="inlineStr">
        <is>
          <t>凯利≤0，开1%影子仓（只统计，不计入组合）</t>
        </is>
      </c>
    </row>
    <row r="4704">
      <c r="A4704" t="inlineStr">
        <is>
          <t>2025-09-11</t>
        </is>
      </c>
      <c r="B4704" t="inlineStr">
        <is>
          <t>沪锌</t>
        </is>
      </c>
      <c r="C4704" t="inlineStr">
        <is>
          <t>多</t>
        </is>
      </c>
      <c r="D4704" t="n">
        <v>2</v>
      </c>
      <c r="E4704" t="n">
        <v>4</v>
      </c>
      <c r="F4704" t="inlineStr">
        <is>
          <t>续持</t>
        </is>
      </c>
      <c r="G4704" t="n">
        <v>3</v>
      </c>
      <c r="H4704" t="n">
        <v>22250</v>
      </c>
      <c r="I4704" t="n">
        <v>21720.36</v>
      </c>
      <c r="J4704" t="n">
        <v>1</v>
      </c>
      <c r="K4704" t="inlineStr">
        <is>
          <t>续持原仓（2025-09-10开）</t>
        </is>
      </c>
    </row>
    <row r="4705">
      <c r="A4705" t="inlineStr">
        <is>
          <t>2025-09-12</t>
        </is>
      </c>
      <c r="B4705" t="inlineStr">
        <is>
          <t>苯乙烯</t>
        </is>
      </c>
      <c r="C4705" t="inlineStr">
        <is>
          <t>空</t>
        </is>
      </c>
      <c r="D4705" t="n">
        <v>3</v>
      </c>
      <c r="E4705" t="n">
        <v>7</v>
      </c>
      <c r="F4705" t="inlineStr">
        <is>
          <t>开仓</t>
        </is>
      </c>
      <c r="G4705" t="n">
        <v>21</v>
      </c>
      <c r="H4705" t="n">
        <v>7020</v>
      </c>
      <c r="I4705" t="n">
        <v>7303.93</v>
      </c>
      <c r="J4705" t="n">
        <v>3</v>
      </c>
      <c r="K4705" t="inlineStr">
        <is>
          <t>¼凯利超上限，取3%</t>
        </is>
      </c>
    </row>
    <row r="4706">
      <c r="A4706" t="inlineStr">
        <is>
          <t>2025-09-12</t>
        </is>
      </c>
      <c r="B4706" t="inlineStr">
        <is>
          <t>沪金</t>
        </is>
      </c>
      <c r="C4706" t="inlineStr">
        <is>
          <t>多</t>
        </is>
      </c>
      <c r="D4706" t="n">
        <v>3</v>
      </c>
      <c r="E4706" t="n">
        <v>7</v>
      </c>
      <c r="F4706" t="inlineStr">
        <is>
          <t>不做</t>
        </is>
      </c>
      <c r="H4706" t="n">
        <v>836.7</v>
      </c>
      <c r="J4706" t="n">
        <v>0</v>
      </c>
      <c r="K4706" t="inlineStr">
        <is>
          <t>组合风险已近10%，预算缩小</t>
        </is>
      </c>
    </row>
    <row r="4707">
      <c r="A4707" t="inlineStr">
        <is>
          <t>2025-09-12</t>
        </is>
      </c>
      <c r="B4707" t="inlineStr">
        <is>
          <t>聚丙烯</t>
        </is>
      </c>
      <c r="C4707" t="inlineStr">
        <is>
          <t>空</t>
        </is>
      </c>
      <c r="D4707" t="n">
        <v>3</v>
      </c>
      <c r="E4707" t="n">
        <v>6</v>
      </c>
      <c r="F4707" t="inlineStr">
        <is>
          <t>续持</t>
        </is>
      </c>
      <c r="G4707" t="n">
        <v>15</v>
      </c>
      <c r="H4707" t="n">
        <v>6913</v>
      </c>
      <c r="I4707" t="n">
        <v>7022.64</v>
      </c>
      <c r="J4707" t="n">
        <v>1</v>
      </c>
      <c r="K4707" t="inlineStr">
        <is>
          <t>续持原仓（2025-09-10开）</t>
        </is>
      </c>
    </row>
    <row r="4708">
      <c r="A4708" t="inlineStr">
        <is>
          <t>2025-09-12</t>
        </is>
      </c>
      <c r="B4708" t="inlineStr">
        <is>
          <t>沪铝</t>
        </is>
      </c>
      <c r="C4708" t="inlineStr">
        <is>
          <t>多</t>
        </is>
      </c>
      <c r="D4708" t="n">
        <v>3</v>
      </c>
      <c r="E4708" t="n">
        <v>6</v>
      </c>
      <c r="F4708" t="inlineStr">
        <is>
          <t>续持</t>
        </is>
      </c>
      <c r="G4708" t="n">
        <v>13</v>
      </c>
      <c r="H4708" t="n">
        <v>21120</v>
      </c>
      <c r="I4708" t="n">
        <v>20657.86</v>
      </c>
      <c r="J4708" t="n">
        <v>3</v>
      </c>
      <c r="K4708" t="inlineStr">
        <is>
          <t>续持原仓（2025-09-11开）</t>
        </is>
      </c>
    </row>
    <row r="4709">
      <c r="A4709" t="inlineStr">
        <is>
          <t>2025-09-12</t>
        </is>
      </c>
      <c r="B4709" t="inlineStr">
        <is>
          <t>硅铁</t>
        </is>
      </c>
      <c r="C4709" t="inlineStr">
        <is>
          <t>空</t>
        </is>
      </c>
      <c r="D4709" t="n">
        <v>3</v>
      </c>
      <c r="E4709" t="n">
        <v>6</v>
      </c>
      <c r="F4709" t="inlineStr">
        <is>
          <t>续持</t>
        </is>
      </c>
      <c r="G4709" t="n">
        <v>7</v>
      </c>
      <c r="H4709" t="n">
        <v>5608</v>
      </c>
      <c r="I4709" t="n">
        <v>5698.57</v>
      </c>
      <c r="J4709" t="n">
        <v>1</v>
      </c>
      <c r="K4709" t="inlineStr">
        <is>
          <t>续持原仓（2025-09-03开）</t>
        </is>
      </c>
    </row>
    <row r="4710">
      <c r="A4710" t="inlineStr">
        <is>
          <t>2025-09-12</t>
        </is>
      </c>
      <c r="B4710" t="inlineStr">
        <is>
          <t>菜粕</t>
        </is>
      </c>
      <c r="C4710" t="inlineStr">
        <is>
          <t>空</t>
        </is>
      </c>
      <c r="D4710" t="n">
        <v>3</v>
      </c>
      <c r="E4710" t="n">
        <v>6</v>
      </c>
      <c r="F4710" t="inlineStr">
        <is>
          <t>不做</t>
        </is>
      </c>
      <c r="H4710" t="n">
        <v>2531</v>
      </c>
      <c r="J4710" t="n">
        <v>0</v>
      </c>
      <c r="K4710" t="inlineStr">
        <is>
          <t>组合风险已近10%，预算缩小</t>
        </is>
      </c>
    </row>
    <row r="4711">
      <c r="A4711" t="inlineStr">
        <is>
          <t>2025-09-12</t>
        </is>
      </c>
      <c r="B4711" t="inlineStr">
        <is>
          <t>棉花</t>
        </is>
      </c>
      <c r="C4711" t="inlineStr">
        <is>
          <t>空</t>
        </is>
      </c>
      <c r="D4711" t="n">
        <v>2</v>
      </c>
      <c r="E4711" t="n">
        <v>5</v>
      </c>
      <c r="F4711" t="inlineStr">
        <is>
          <t>观望</t>
        </is>
      </c>
      <c r="G4711" t="n">
        <v>4</v>
      </c>
      <c r="H4711" t="n">
        <v>13860</v>
      </c>
      <c r="I4711" t="n">
        <v>14278.93</v>
      </c>
      <c r="J4711" t="n">
        <v>1</v>
      </c>
      <c r="K4711" t="inlineStr">
        <is>
          <t>逆5日线（收盘在5日线上，不追空）</t>
        </is>
      </c>
    </row>
    <row r="4712">
      <c r="A4712" t="inlineStr">
        <is>
          <t>2025-09-12</t>
        </is>
      </c>
      <c r="B4712" t="inlineStr">
        <is>
          <t>鸡蛋</t>
        </is>
      </c>
      <c r="C4712" t="inlineStr">
        <is>
          <t>多</t>
        </is>
      </c>
      <c r="D4712" t="n">
        <v>2</v>
      </c>
      <c r="E4712" t="n">
        <v>4</v>
      </c>
      <c r="F4712" t="inlineStr">
        <is>
          <t>观望</t>
        </is>
      </c>
      <c r="G4712" t="n">
        <v>6</v>
      </c>
      <c r="H4712" t="n">
        <v>3040</v>
      </c>
      <c r="I4712" t="n">
        <v>2874.36</v>
      </c>
      <c r="J4712" t="n">
        <v>1</v>
      </c>
      <c r="K4712" t="inlineStr">
        <is>
          <t>逆5日线（收盘在5日线下，不追多）</t>
        </is>
      </c>
    </row>
    <row r="4713">
      <c r="A4713" t="inlineStr">
        <is>
          <t>2025-09-15</t>
        </is>
      </c>
      <c r="B4713" t="inlineStr">
        <is>
          <t>菜粕</t>
        </is>
      </c>
      <c r="C4713" t="inlineStr">
        <is>
          <t>空</t>
        </is>
      </c>
      <c r="D4713" t="n">
        <v>3</v>
      </c>
      <c r="E4713" t="n">
        <v>7</v>
      </c>
      <c r="F4713" t="inlineStr">
        <is>
          <t>开仓</t>
        </is>
      </c>
      <c r="G4713" t="n">
        <v>22</v>
      </c>
      <c r="H4713" t="n">
        <v>2504</v>
      </c>
      <c r="I4713" t="n">
        <v>2637.93</v>
      </c>
      <c r="J4713" t="n">
        <v>3</v>
      </c>
      <c r="K4713" t="inlineStr">
        <is>
          <t>¼凯利超上限，取3%</t>
        </is>
      </c>
    </row>
    <row r="4714">
      <c r="A4714" t="inlineStr">
        <is>
          <t>2025-09-15</t>
        </is>
      </c>
      <c r="B4714" t="inlineStr">
        <is>
          <t>聚丙烯</t>
        </is>
      </c>
      <c r="C4714" t="inlineStr">
        <is>
          <t>空</t>
        </is>
      </c>
      <c r="D4714" t="n">
        <v>2</v>
      </c>
      <c r="E4714" t="n">
        <v>5</v>
      </c>
      <c r="F4714" t="inlineStr">
        <is>
          <t>观望</t>
        </is>
      </c>
      <c r="G4714" t="n">
        <v>14</v>
      </c>
      <c r="H4714" t="n">
        <v>6966</v>
      </c>
      <c r="I4714" t="n">
        <v>7102.5</v>
      </c>
      <c r="J4714" t="n">
        <v>1</v>
      </c>
      <c r="K4714" t="inlineStr">
        <is>
          <t>逆5日线（收盘在5日线上，不追空）</t>
        </is>
      </c>
    </row>
    <row r="4715">
      <c r="A4715" t="inlineStr">
        <is>
          <t>2025-09-15</t>
        </is>
      </c>
      <c r="B4715" t="inlineStr">
        <is>
          <t>沪金</t>
        </is>
      </c>
      <c r="C4715" t="inlineStr">
        <is>
          <t>多</t>
        </is>
      </c>
      <c r="D4715" t="n">
        <v>2</v>
      </c>
      <c r="E4715" t="n">
        <v>5</v>
      </c>
      <c r="F4715" t="inlineStr">
        <is>
          <t>观望</t>
        </is>
      </c>
      <c r="H4715" t="n">
        <v>834.1</v>
      </c>
      <c r="J4715" t="n">
        <v>1</v>
      </c>
      <c r="K4715" t="inlineStr">
        <is>
          <t>逆5日线（收盘在5日线下，不追多）</t>
        </is>
      </c>
    </row>
    <row r="4716">
      <c r="A4716" t="inlineStr">
        <is>
          <t>2025-09-15</t>
        </is>
      </c>
      <c r="B4716" t="inlineStr">
        <is>
          <t>棉花</t>
        </is>
      </c>
      <c r="C4716" t="inlineStr">
        <is>
          <t>空</t>
        </is>
      </c>
      <c r="D4716" t="n">
        <v>2</v>
      </c>
      <c r="E4716" t="n">
        <v>5</v>
      </c>
      <c r="F4716" t="inlineStr">
        <is>
          <t>观望</t>
        </is>
      </c>
      <c r="G4716" t="n">
        <v>4</v>
      </c>
      <c r="H4716" t="n">
        <v>13885</v>
      </c>
      <c r="I4716" t="n">
        <v>14312.5</v>
      </c>
      <c r="J4716" t="n">
        <v>1</v>
      </c>
      <c r="K4716" t="inlineStr">
        <is>
          <t>逆5日线（收盘在5日线上，不追空）</t>
        </is>
      </c>
    </row>
    <row r="4717">
      <c r="A4717" t="inlineStr">
        <is>
          <t>2025-09-15</t>
        </is>
      </c>
      <c r="B4717" t="inlineStr">
        <is>
          <t>沥青</t>
        </is>
      </c>
      <c r="C4717" t="inlineStr">
        <is>
          <t>多</t>
        </is>
      </c>
      <c r="D4717" t="n">
        <v>2</v>
      </c>
      <c r="E4717" t="n">
        <v>4</v>
      </c>
      <c r="F4717" t="inlineStr">
        <is>
          <t>观望</t>
        </is>
      </c>
      <c r="G4717" t="n">
        <v>6</v>
      </c>
      <c r="H4717" t="n">
        <v>3393</v>
      </c>
      <c r="I4717" t="n">
        <v>3232.5</v>
      </c>
      <c r="J4717" t="n">
        <v>1</v>
      </c>
      <c r="K4717" t="inlineStr">
        <is>
          <t>逆5日线（收盘在5日线下，不追多）</t>
        </is>
      </c>
    </row>
    <row r="4718">
      <c r="A4718" t="inlineStr">
        <is>
          <t>2025-09-15</t>
        </is>
      </c>
      <c r="B4718" t="inlineStr">
        <is>
          <t>玉米</t>
        </is>
      </c>
      <c r="C4718" t="inlineStr">
        <is>
          <t>空</t>
        </is>
      </c>
      <c r="D4718" t="n">
        <v>2</v>
      </c>
      <c r="E4718" t="n">
        <v>4</v>
      </c>
      <c r="F4718" t="inlineStr">
        <is>
          <t>影子仓</t>
        </is>
      </c>
      <c r="G4718" t="n">
        <v>17</v>
      </c>
      <c r="H4718" t="n">
        <v>2167</v>
      </c>
      <c r="I4718" t="n">
        <v>2225.71</v>
      </c>
      <c r="J4718" t="n">
        <v>1</v>
      </c>
      <c r="K4718" t="inlineStr">
        <is>
          <t>凯利≤0，开1%影子仓（只统计，不计入组合）</t>
        </is>
      </c>
    </row>
    <row r="4719">
      <c r="A4719" t="inlineStr">
        <is>
          <t>2025-09-16</t>
        </is>
      </c>
      <c r="B4719" t="inlineStr">
        <is>
          <t>沪银</t>
        </is>
      </c>
      <c r="C4719" t="inlineStr">
        <is>
          <t>多</t>
        </is>
      </c>
      <c r="D4719" t="n">
        <v>3</v>
      </c>
      <c r="E4719" t="n">
        <v>7</v>
      </c>
      <c r="F4719" t="inlineStr">
        <is>
          <t>开仓</t>
        </is>
      </c>
      <c r="G4719" t="n">
        <v>3</v>
      </c>
      <c r="H4719" t="n">
        <v>10134</v>
      </c>
      <c r="I4719" t="n">
        <v>9609.860000000001</v>
      </c>
      <c r="J4719" t="n">
        <v>3</v>
      </c>
      <c r="K4719" t="inlineStr">
        <is>
          <t>¼凯利超上限，取3%</t>
        </is>
      </c>
    </row>
    <row r="4720">
      <c r="A4720" t="inlineStr">
        <is>
          <t>2025-09-16</t>
        </is>
      </c>
      <c r="B4720" t="inlineStr">
        <is>
          <t>沪金</t>
        </is>
      </c>
      <c r="C4720" t="inlineStr">
        <is>
          <t>多</t>
        </is>
      </c>
      <c r="D4720" t="n">
        <v>3</v>
      </c>
      <c r="E4720" t="n">
        <v>6</v>
      </c>
      <c r="F4720" t="inlineStr">
        <is>
          <t>不做</t>
        </is>
      </c>
      <c r="H4720" t="n">
        <v>844.58</v>
      </c>
      <c r="J4720" t="n">
        <v>3</v>
      </c>
      <c r="K4720" t="inlineStr">
        <is>
          <t>1手风险31427元超过预算30000元</t>
        </is>
      </c>
    </row>
    <row r="4721">
      <c r="A4721" t="inlineStr">
        <is>
          <t>2025-09-16</t>
        </is>
      </c>
      <c r="B4721" t="inlineStr">
        <is>
          <t>沥青</t>
        </is>
      </c>
      <c r="C4721" t="inlineStr">
        <is>
          <t>多</t>
        </is>
      </c>
      <c r="D4721" t="n">
        <v>3</v>
      </c>
      <c r="E4721" t="n">
        <v>6</v>
      </c>
      <c r="F4721" t="inlineStr">
        <is>
          <t>观望</t>
        </is>
      </c>
      <c r="G4721" t="n">
        <v>19</v>
      </c>
      <c r="H4721" t="n">
        <v>3411</v>
      </c>
      <c r="I4721" t="n">
        <v>3254.57</v>
      </c>
      <c r="J4721" t="n">
        <v>3</v>
      </c>
      <c r="K4721" t="inlineStr">
        <is>
          <t>逆5日线（收盘在5日线下，不追多）</t>
        </is>
      </c>
    </row>
    <row r="4722">
      <c r="A4722" t="inlineStr">
        <is>
          <t>2025-09-16</t>
        </is>
      </c>
      <c r="B4722" t="inlineStr">
        <is>
          <t>聚丙烯</t>
        </is>
      </c>
      <c r="C4722" t="inlineStr">
        <is>
          <t>空</t>
        </is>
      </c>
      <c r="D4722" t="n">
        <v>2</v>
      </c>
      <c r="E4722" t="n">
        <v>4</v>
      </c>
      <c r="F4722" t="inlineStr">
        <is>
          <t>观望</t>
        </is>
      </c>
      <c r="G4722" t="n">
        <v>14</v>
      </c>
      <c r="H4722" t="n">
        <v>6970</v>
      </c>
      <c r="I4722" t="n">
        <v>7108.43</v>
      </c>
      <c r="J4722" t="n">
        <v>1</v>
      </c>
      <c r="K4722" t="inlineStr">
        <is>
          <t>逆5日线（收盘在5日线上，不追空）</t>
        </is>
      </c>
    </row>
    <row r="4723">
      <c r="A4723" t="inlineStr">
        <is>
          <t>2025-09-16</t>
        </is>
      </c>
      <c r="B4723" t="inlineStr">
        <is>
          <t>铁矿石</t>
        </is>
      </c>
      <c r="C4723" t="inlineStr">
        <is>
          <t>多</t>
        </is>
      </c>
      <c r="D4723" t="n">
        <v>2</v>
      </c>
      <c r="E4723" t="n">
        <v>4</v>
      </c>
      <c r="F4723" t="inlineStr">
        <is>
          <t>影子仓</t>
        </is>
      </c>
      <c r="G4723" t="n">
        <v>2</v>
      </c>
      <c r="H4723" t="n">
        <v>803.5</v>
      </c>
      <c r="I4723" t="n">
        <v>757.64</v>
      </c>
      <c r="J4723" t="n">
        <v>1</v>
      </c>
      <c r="K4723" t="inlineStr">
        <is>
          <t>凯利≤0，开1%影子仓（只统计，不计入组合）</t>
        </is>
      </c>
    </row>
    <row r="4724">
      <c r="A4724" t="inlineStr">
        <is>
          <t>2025-09-17</t>
        </is>
      </c>
      <c r="B4724" t="inlineStr">
        <is>
          <t>菜粕</t>
        </is>
      </c>
      <c r="C4724" t="inlineStr">
        <is>
          <t>空</t>
        </is>
      </c>
      <c r="D4724" t="n">
        <v>3</v>
      </c>
      <c r="E4724" t="n">
        <v>6</v>
      </c>
      <c r="F4724" t="inlineStr">
        <is>
          <t>开仓</t>
        </is>
      </c>
      <c r="G4724" t="n">
        <v>22</v>
      </c>
      <c r="H4724" t="n">
        <v>2460</v>
      </c>
      <c r="I4724" t="n">
        <v>2590.93</v>
      </c>
      <c r="J4724" t="n">
        <v>3</v>
      </c>
      <c r="K4724" t="inlineStr">
        <is>
          <t>¼凯利超上限，取3%</t>
        </is>
      </c>
    </row>
    <row r="4725">
      <c r="A4725" t="inlineStr">
        <is>
          <t>2025-09-17</t>
        </is>
      </c>
      <c r="B4725" t="inlineStr">
        <is>
          <t>棉花</t>
        </is>
      </c>
      <c r="C4725" t="inlineStr">
        <is>
          <t>空</t>
        </is>
      </c>
      <c r="D4725" t="n">
        <v>3</v>
      </c>
      <c r="E4725" t="n">
        <v>6</v>
      </c>
      <c r="F4725" t="inlineStr">
        <is>
          <t>观望</t>
        </is>
      </c>
      <c r="H4725" t="n">
        <v>13890</v>
      </c>
      <c r="J4725" t="n">
        <v>0</v>
      </c>
      <c r="K4725" t="inlineStr">
        <is>
          <t>逆5日线（收盘在5日线上，不追空）</t>
        </is>
      </c>
    </row>
    <row r="4726">
      <c r="A4726" t="inlineStr">
        <is>
          <t>2025-09-17</t>
        </is>
      </c>
      <c r="B4726" t="inlineStr">
        <is>
          <t>PTA</t>
        </is>
      </c>
      <c r="C4726" t="inlineStr">
        <is>
          <t>多</t>
        </is>
      </c>
      <c r="D4726" t="n">
        <v>2</v>
      </c>
      <c r="E4726" t="n">
        <v>5</v>
      </c>
      <c r="F4726" t="inlineStr">
        <is>
          <t>影子仓</t>
        </is>
      </c>
      <c r="G4726" t="n">
        <v>13</v>
      </c>
      <c r="H4726" t="n">
        <v>4712</v>
      </c>
      <c r="I4726" t="n">
        <v>4558.57</v>
      </c>
      <c r="J4726" t="n">
        <v>1</v>
      </c>
      <c r="K4726" t="inlineStr">
        <is>
          <t>凯利≤0，开1%影子仓（只统计，不计入组合）</t>
        </is>
      </c>
    </row>
    <row r="4727">
      <c r="A4727" t="inlineStr">
        <is>
          <t>2025-09-17</t>
        </is>
      </c>
      <c r="B4727" t="inlineStr">
        <is>
          <t>沥青</t>
        </is>
      </c>
      <c r="C4727" t="inlineStr">
        <is>
          <t>多</t>
        </is>
      </c>
      <c r="D4727" t="n">
        <v>2</v>
      </c>
      <c r="E4727" t="n">
        <v>5</v>
      </c>
      <c r="F4727" t="inlineStr">
        <is>
          <t>影子仓</t>
        </is>
      </c>
      <c r="G4727" t="n">
        <v>6</v>
      </c>
      <c r="H4727" t="n">
        <v>3445</v>
      </c>
      <c r="I4727" t="n">
        <v>3291.14</v>
      </c>
      <c r="J4727" t="n">
        <v>1</v>
      </c>
      <c r="K4727" t="inlineStr">
        <is>
          <t>凯利≤0，开1%影子仓（只统计，不计入组合）</t>
        </is>
      </c>
    </row>
    <row r="4728">
      <c r="A4728" t="inlineStr">
        <is>
          <t>2025-09-17</t>
        </is>
      </c>
      <c r="B4728" t="inlineStr">
        <is>
          <t>工业硅</t>
        </is>
      </c>
      <c r="C4728" t="inlineStr">
        <is>
          <t>多</t>
        </is>
      </c>
      <c r="D4728" t="n">
        <v>2</v>
      </c>
      <c r="E4728" t="n">
        <v>4</v>
      </c>
      <c r="F4728" t="inlineStr">
        <is>
          <t>影子仓</t>
        </is>
      </c>
      <c r="G4728" t="n">
        <v>2</v>
      </c>
      <c r="H4728" t="n">
        <v>8965</v>
      </c>
      <c r="I4728" t="n">
        <v>8140</v>
      </c>
      <c r="J4728" t="n">
        <v>1</v>
      </c>
      <c r="K4728" t="inlineStr">
        <is>
          <t>凯利≤0，开1%影子仓（只统计，不计入组合）</t>
        </is>
      </c>
    </row>
    <row r="4729">
      <c r="A4729" t="inlineStr">
        <is>
          <t>2025-09-18</t>
        </is>
      </c>
      <c r="B4729" t="inlineStr">
        <is>
          <t>甲醇</t>
        </is>
      </c>
      <c r="C4729" t="inlineStr">
        <is>
          <t>空</t>
        </is>
      </c>
      <c r="D4729" t="n">
        <v>3</v>
      </c>
      <c r="E4729" t="n">
        <v>6</v>
      </c>
      <c r="F4729" t="inlineStr">
        <is>
          <t>开仓</t>
        </is>
      </c>
      <c r="G4729" t="n">
        <v>10</v>
      </c>
      <c r="H4729" t="n">
        <v>2346</v>
      </c>
      <c r="I4729" t="n">
        <v>2437.5</v>
      </c>
      <c r="J4729" t="n">
        <v>1</v>
      </c>
      <c r="K4729" t="inlineStr">
        <is>
          <t>组合风险已近10%，预算缩小</t>
        </is>
      </c>
    </row>
    <row r="4730">
      <c r="A4730" t="inlineStr">
        <is>
          <t>2025-09-18</t>
        </is>
      </c>
      <c r="B4730" t="inlineStr">
        <is>
          <t>塑料</t>
        </is>
      </c>
      <c r="C4730" t="inlineStr">
        <is>
          <t>空</t>
        </is>
      </c>
      <c r="D4730" t="n">
        <v>3</v>
      </c>
      <c r="E4730" t="n">
        <v>6</v>
      </c>
      <c r="F4730" t="inlineStr">
        <is>
          <t>不做</t>
        </is>
      </c>
      <c r="H4730" t="n">
        <v>7188</v>
      </c>
      <c r="J4730" t="n">
        <v>0</v>
      </c>
      <c r="K4730" t="inlineStr">
        <is>
          <t>组合风险已近10%，预算缩小</t>
        </is>
      </c>
    </row>
    <row r="4731">
      <c r="A4731" t="inlineStr">
        <is>
          <t>2025-09-18</t>
        </is>
      </c>
      <c r="B4731" t="inlineStr">
        <is>
          <t>聚丙烯</t>
        </is>
      </c>
      <c r="C4731" t="inlineStr">
        <is>
          <t>空</t>
        </is>
      </c>
      <c r="D4731" t="n">
        <v>3</v>
      </c>
      <c r="E4731" t="n">
        <v>6</v>
      </c>
      <c r="F4731" t="inlineStr">
        <is>
          <t>不做</t>
        </is>
      </c>
      <c r="H4731" t="n">
        <v>6926</v>
      </c>
      <c r="J4731" t="n">
        <v>0</v>
      </c>
      <c r="K4731" t="inlineStr">
        <is>
          <t>组合风险已近10%，预算缩小</t>
        </is>
      </c>
    </row>
    <row r="4732">
      <c r="A4732" t="inlineStr">
        <is>
          <t>2025-09-18</t>
        </is>
      </c>
      <c r="B4732" t="inlineStr">
        <is>
          <t>沪金</t>
        </is>
      </c>
      <c r="C4732" t="inlineStr">
        <is>
          <t>多</t>
        </is>
      </c>
      <c r="D4732" t="n">
        <v>2</v>
      </c>
      <c r="E4732" t="n">
        <v>4</v>
      </c>
      <c r="F4732" t="inlineStr">
        <is>
          <t>观望</t>
        </is>
      </c>
      <c r="H4732" t="n">
        <v>826.8200000000001</v>
      </c>
      <c r="J4732" t="n">
        <v>1</v>
      </c>
      <c r="K4732" t="inlineStr">
        <is>
          <t>逆5日线（收盘在5日线下，不追多）</t>
        </is>
      </c>
    </row>
    <row r="4733">
      <c r="A4733" t="inlineStr">
        <is>
          <t>2025-09-19</t>
        </is>
      </c>
      <c r="B4733" t="inlineStr">
        <is>
          <t>沪金</t>
        </is>
      </c>
      <c r="C4733" t="inlineStr">
        <is>
          <t>多</t>
        </is>
      </c>
      <c r="D4733" t="n">
        <v>3</v>
      </c>
      <c r="E4733" t="n">
        <v>7</v>
      </c>
      <c r="F4733" t="inlineStr">
        <is>
          <t>观望</t>
        </is>
      </c>
      <c r="H4733" t="n">
        <v>830.5599999999999</v>
      </c>
      <c r="J4733" t="n">
        <v>0</v>
      </c>
      <c r="K4733" t="inlineStr">
        <is>
          <t>逆5日线（收盘在5日线下，不追多）</t>
        </is>
      </c>
    </row>
    <row r="4734">
      <c r="A4734" t="inlineStr">
        <is>
          <t>2025-09-19</t>
        </is>
      </c>
      <c r="B4734" t="inlineStr">
        <is>
          <t>苯乙烯</t>
        </is>
      </c>
      <c r="C4734" t="inlineStr">
        <is>
          <t>空</t>
        </is>
      </c>
      <c r="D4734" t="n">
        <v>3</v>
      </c>
      <c r="E4734" t="n">
        <v>7</v>
      </c>
      <c r="F4734" t="inlineStr">
        <is>
          <t>不做</t>
        </is>
      </c>
      <c r="H4734" t="n">
        <v>6992</v>
      </c>
      <c r="J4734" t="n">
        <v>0</v>
      </c>
      <c r="K4734" t="inlineStr">
        <is>
          <t>组合风险已近10%，预算缩小</t>
        </is>
      </c>
    </row>
    <row r="4735">
      <c r="A4735" t="inlineStr">
        <is>
          <t>2025-09-19</t>
        </is>
      </c>
      <c r="B4735" t="inlineStr">
        <is>
          <t>工业硅</t>
        </is>
      </c>
      <c r="C4735" t="inlineStr">
        <is>
          <t>多</t>
        </is>
      </c>
      <c r="D4735" t="n">
        <v>3</v>
      </c>
      <c r="E4735" t="n">
        <v>6</v>
      </c>
      <c r="F4735" t="inlineStr">
        <is>
          <t>不做</t>
        </is>
      </c>
      <c r="H4735" t="n">
        <v>9305</v>
      </c>
      <c r="J4735" t="n">
        <v>0</v>
      </c>
      <c r="K4735" t="inlineStr">
        <is>
          <t>组合风险已近10%，预算缩小</t>
        </is>
      </c>
    </row>
    <row r="4736">
      <c r="A4736" t="inlineStr">
        <is>
          <t>2025-09-19</t>
        </is>
      </c>
      <c r="B4736" t="inlineStr">
        <is>
          <t>白糖</t>
        </is>
      </c>
      <c r="C4736" t="inlineStr">
        <is>
          <t>空</t>
        </is>
      </c>
      <c r="D4736" t="n">
        <v>2</v>
      </c>
      <c r="E4736" t="n">
        <v>5</v>
      </c>
      <c r="F4736" t="inlineStr">
        <is>
          <t>影子仓</t>
        </is>
      </c>
      <c r="G4736" t="n">
        <v>9</v>
      </c>
      <c r="H4736" t="n">
        <v>5461</v>
      </c>
      <c r="I4736" t="n">
        <v>5569.64</v>
      </c>
      <c r="J4736" t="n">
        <v>1</v>
      </c>
      <c r="K4736" t="inlineStr">
        <is>
          <t>凯利≤0，开1%影子仓（只统计，不计入组合）</t>
        </is>
      </c>
    </row>
    <row r="4737">
      <c r="A4737" t="inlineStr">
        <is>
          <t>2025-09-19</t>
        </is>
      </c>
      <c r="B4737" t="inlineStr">
        <is>
          <t>聚丙烯</t>
        </is>
      </c>
      <c r="C4737" t="inlineStr">
        <is>
          <t>空</t>
        </is>
      </c>
      <c r="D4737" t="n">
        <v>2</v>
      </c>
      <c r="E4737" t="n">
        <v>5</v>
      </c>
      <c r="F4737" t="inlineStr">
        <is>
          <t>影子仓</t>
        </is>
      </c>
      <c r="G4737" t="n">
        <v>15</v>
      </c>
      <c r="H4737" t="n">
        <v>6914</v>
      </c>
      <c r="I4737" t="n">
        <v>7046</v>
      </c>
      <c r="J4737" t="n">
        <v>1</v>
      </c>
      <c r="K4737" t="inlineStr">
        <is>
          <t>凯利≤0，开1%影子仓（只统计，不计入组合）</t>
        </is>
      </c>
    </row>
    <row r="4738">
      <c r="A4738" t="inlineStr">
        <is>
          <t>2025-09-19</t>
        </is>
      </c>
      <c r="B4738" t="inlineStr">
        <is>
          <t>PVC</t>
        </is>
      </c>
      <c r="C4738" t="inlineStr">
        <is>
          <t>多</t>
        </is>
      </c>
      <c r="D4738" t="n">
        <v>2</v>
      </c>
      <c r="E4738" t="n">
        <v>4</v>
      </c>
      <c r="F4738" t="inlineStr">
        <is>
          <t>影子仓</t>
        </is>
      </c>
      <c r="G4738" t="n">
        <v>11</v>
      </c>
      <c r="H4738" t="n">
        <v>4950</v>
      </c>
      <c r="I4738" t="n">
        <v>4770.21</v>
      </c>
      <c r="J4738" t="n">
        <v>1</v>
      </c>
      <c r="K4738" t="inlineStr">
        <is>
          <t>凯利≤0，开1%影子仓（只统计，不计入组合）</t>
        </is>
      </c>
    </row>
    <row r="4739">
      <c r="A4739" t="inlineStr">
        <is>
          <t>2025-09-19</t>
        </is>
      </c>
      <c r="B4739" t="inlineStr">
        <is>
          <t>热卷</t>
        </is>
      </c>
      <c r="C4739" t="inlineStr">
        <is>
          <t>多</t>
        </is>
      </c>
      <c r="D4739" t="n">
        <v>2</v>
      </c>
      <c r="E4739" t="n">
        <v>4</v>
      </c>
      <c r="F4739" t="inlineStr">
        <is>
          <t>观望</t>
        </is>
      </c>
      <c r="G4739" t="n">
        <v>8</v>
      </c>
      <c r="H4739" t="n">
        <v>3374</v>
      </c>
      <c r="I4739" t="n">
        <v>3252.71</v>
      </c>
      <c r="J4739" t="n">
        <v>1</v>
      </c>
      <c r="K4739" t="inlineStr">
        <is>
          <t>逆5日线（收盘在5日线下，不追多）</t>
        </is>
      </c>
    </row>
    <row r="4740">
      <c r="A4740" t="inlineStr">
        <is>
          <t>2025-09-22</t>
        </is>
      </c>
      <c r="B4740" t="inlineStr">
        <is>
          <t>聚丙烯</t>
        </is>
      </c>
      <c r="C4740" t="inlineStr">
        <is>
          <t>空</t>
        </is>
      </c>
      <c r="D4740" t="n">
        <v>3</v>
      </c>
      <c r="E4740" t="n">
        <v>7</v>
      </c>
      <c r="F4740" t="inlineStr">
        <is>
          <t>续持</t>
        </is>
      </c>
      <c r="G4740" t="n">
        <v>15</v>
      </c>
      <c r="H4740" t="n">
        <v>6873</v>
      </c>
      <c r="I4740" t="n">
        <v>6998.71</v>
      </c>
      <c r="J4740" t="n">
        <v>1</v>
      </c>
      <c r="K4740" t="inlineStr">
        <is>
          <t>续持原仓（2025-09-19开）</t>
        </is>
      </c>
    </row>
    <row r="4741">
      <c r="A4741" t="inlineStr">
        <is>
          <t>2025-09-22</t>
        </is>
      </c>
      <c r="B4741" t="inlineStr">
        <is>
          <t>棉花</t>
        </is>
      </c>
      <c r="C4741" t="inlineStr">
        <is>
          <t>空</t>
        </is>
      </c>
      <c r="D4741" t="n">
        <v>2</v>
      </c>
      <c r="E4741" t="n">
        <v>5</v>
      </c>
      <c r="F4741" t="inlineStr">
        <is>
          <t>影子仓</t>
        </is>
      </c>
      <c r="G4741" t="n">
        <v>5</v>
      </c>
      <c r="H4741" t="n">
        <v>13610</v>
      </c>
      <c r="I4741" t="n">
        <v>13955</v>
      </c>
      <c r="J4741" t="n">
        <v>1</v>
      </c>
      <c r="K4741" t="inlineStr">
        <is>
          <t>凯利≤0，开1%影子仓（只统计，不计入组合）</t>
        </is>
      </c>
    </row>
    <row r="4742">
      <c r="A4742" t="inlineStr">
        <is>
          <t>2025-09-22</t>
        </is>
      </c>
      <c r="B4742" t="inlineStr">
        <is>
          <t>白糖</t>
        </is>
      </c>
      <c r="C4742" t="inlineStr">
        <is>
          <t>空</t>
        </is>
      </c>
      <c r="D4742" t="n">
        <v>2</v>
      </c>
      <c r="E4742" t="n">
        <v>4</v>
      </c>
      <c r="F4742" t="inlineStr">
        <is>
          <t>续持</t>
        </is>
      </c>
      <c r="G4742" t="n">
        <v>9</v>
      </c>
      <c r="H4742" t="n">
        <v>5452</v>
      </c>
      <c r="I4742" t="n">
        <v>5547.5</v>
      </c>
      <c r="J4742" t="n">
        <v>1</v>
      </c>
      <c r="K4742" t="inlineStr">
        <is>
          <t>续持原仓（2025-09-19开）</t>
        </is>
      </c>
    </row>
    <row r="4743">
      <c r="A4743" t="inlineStr">
        <is>
          <t>2025-09-23</t>
        </is>
      </c>
      <c r="B4743" t="inlineStr">
        <is>
          <t>聚丙烯</t>
        </is>
      </c>
      <c r="C4743" t="inlineStr">
        <is>
          <t>空</t>
        </is>
      </c>
      <c r="D4743" t="n">
        <v>3</v>
      </c>
      <c r="E4743" t="n">
        <v>6</v>
      </c>
      <c r="F4743" t="inlineStr">
        <is>
          <t>续持</t>
        </is>
      </c>
      <c r="G4743" t="n">
        <v>15</v>
      </c>
      <c r="H4743" t="n">
        <v>6842</v>
      </c>
      <c r="I4743" t="n">
        <v>6966.29</v>
      </c>
      <c r="J4743" t="n">
        <v>1</v>
      </c>
      <c r="K4743" t="inlineStr">
        <is>
          <t>续持原仓（2025-09-19开）</t>
        </is>
      </c>
    </row>
    <row r="4744">
      <c r="A4744" t="inlineStr">
        <is>
          <t>2025-09-23</t>
        </is>
      </c>
      <c r="B4744" t="inlineStr">
        <is>
          <t>沪金</t>
        </is>
      </c>
      <c r="C4744" t="inlineStr">
        <is>
          <t>多</t>
        </is>
      </c>
      <c r="D4744" t="n">
        <v>3</v>
      </c>
      <c r="E4744" t="n">
        <v>6</v>
      </c>
      <c r="F4744" t="inlineStr">
        <is>
          <t>不做</t>
        </is>
      </c>
      <c r="H4744" t="n">
        <v>855.4400000000001</v>
      </c>
      <c r="J4744" t="n">
        <v>3</v>
      </c>
      <c r="K4744" t="inlineStr">
        <is>
          <t>1手风险33819元超过预算30000元</t>
        </is>
      </c>
    </row>
    <row r="4745">
      <c r="A4745" t="inlineStr">
        <is>
          <t>2025-09-23</t>
        </is>
      </c>
      <c r="B4745" t="inlineStr">
        <is>
          <t>苯乙烯</t>
        </is>
      </c>
      <c r="C4745" t="inlineStr">
        <is>
          <t>空</t>
        </is>
      </c>
      <c r="D4745" t="n">
        <v>3</v>
      </c>
      <c r="E4745" t="n">
        <v>6</v>
      </c>
      <c r="F4745" t="inlineStr">
        <is>
          <t>开仓</t>
        </is>
      </c>
      <c r="G4745" t="n">
        <v>21</v>
      </c>
      <c r="H4745" t="n">
        <v>6870</v>
      </c>
      <c r="I4745" t="n">
        <v>7144.93</v>
      </c>
      <c r="J4745" t="n">
        <v>3</v>
      </c>
      <c r="K4745" t="inlineStr">
        <is>
          <t>¼凯利超上限，取3%</t>
        </is>
      </c>
    </row>
    <row r="4746">
      <c r="A4746" t="inlineStr">
        <is>
          <t>2025-09-23</t>
        </is>
      </c>
      <c r="B4746" t="inlineStr">
        <is>
          <t>棉花</t>
        </is>
      </c>
      <c r="C4746" t="inlineStr">
        <is>
          <t>空</t>
        </is>
      </c>
      <c r="D4746" t="n">
        <v>3</v>
      </c>
      <c r="E4746" t="n">
        <v>6</v>
      </c>
      <c r="F4746" t="inlineStr">
        <is>
          <t>续持</t>
        </is>
      </c>
      <c r="G4746" t="n">
        <v>5</v>
      </c>
      <c r="H4746" t="n">
        <v>13540</v>
      </c>
      <c r="I4746" t="n">
        <v>13860.36</v>
      </c>
      <c r="J4746" t="n">
        <v>1</v>
      </c>
      <c r="K4746" t="inlineStr">
        <is>
          <t>续持原仓（2025-09-22开）</t>
        </is>
      </c>
    </row>
    <row r="4747">
      <c r="A4747" t="inlineStr">
        <is>
          <t>2025-09-23</t>
        </is>
      </c>
      <c r="B4747" t="inlineStr">
        <is>
          <t>白糖</t>
        </is>
      </c>
      <c r="C4747" t="inlineStr">
        <is>
          <t>空</t>
        </is>
      </c>
      <c r="D4747" t="n">
        <v>2</v>
      </c>
      <c r="E4747" t="n">
        <v>5</v>
      </c>
      <c r="F4747" t="inlineStr">
        <is>
          <t>续持</t>
        </is>
      </c>
      <c r="G4747" t="n">
        <v>9</v>
      </c>
      <c r="H4747" t="n">
        <v>5444</v>
      </c>
      <c r="I4747" t="n">
        <v>5525.36</v>
      </c>
      <c r="J4747" t="n">
        <v>1</v>
      </c>
      <c r="K4747" t="inlineStr">
        <is>
          <t>续持原仓（2025-09-19开）</t>
        </is>
      </c>
    </row>
    <row r="4748">
      <c r="A4748" t="inlineStr">
        <is>
          <t>2025-09-23</t>
        </is>
      </c>
      <c r="B4748" t="inlineStr">
        <is>
          <t>焦煤</t>
        </is>
      </c>
      <c r="C4748" t="inlineStr">
        <is>
          <t>空</t>
        </is>
      </c>
      <c r="D4748" t="n">
        <v>2</v>
      </c>
      <c r="E4748" t="n">
        <v>5</v>
      </c>
      <c r="F4748" t="inlineStr">
        <is>
          <t>影子仓</t>
        </is>
      </c>
      <c r="G4748" t="n">
        <v>1</v>
      </c>
      <c r="H4748" t="n">
        <v>1217.5</v>
      </c>
      <c r="I4748" t="n">
        <v>1345.96</v>
      </c>
      <c r="J4748" t="n">
        <v>1</v>
      </c>
      <c r="K4748" t="inlineStr">
        <is>
          <t>凯利≤0，开1%影子仓（只统计，不计入组合）</t>
        </is>
      </c>
    </row>
    <row r="4749">
      <c r="A4749" t="inlineStr">
        <is>
          <t>2025-09-24</t>
        </is>
      </c>
      <c r="B4749" t="inlineStr">
        <is>
          <t>沪银</t>
        </is>
      </c>
      <c r="C4749" t="inlineStr">
        <is>
          <t>多</t>
        </is>
      </c>
      <c r="D4749" t="n">
        <v>3</v>
      </c>
      <c r="E4749" t="n">
        <v>7</v>
      </c>
      <c r="F4749" t="inlineStr">
        <is>
          <t>开仓</t>
        </is>
      </c>
      <c r="G4749" t="n">
        <v>3</v>
      </c>
      <c r="H4749" t="n">
        <v>10397</v>
      </c>
      <c r="I4749" t="n">
        <v>9836.209999999999</v>
      </c>
      <c r="J4749" t="n">
        <v>3</v>
      </c>
      <c r="K4749" t="inlineStr">
        <is>
          <t>¼凯利超上限，取3%</t>
        </is>
      </c>
    </row>
    <row r="4750">
      <c r="A4750" t="inlineStr">
        <is>
          <t>2025-09-24</t>
        </is>
      </c>
      <c r="B4750" t="inlineStr">
        <is>
          <t>塑料</t>
        </is>
      </c>
      <c r="C4750" t="inlineStr">
        <is>
          <t>空</t>
        </is>
      </c>
      <c r="D4750" t="n">
        <v>3</v>
      </c>
      <c r="E4750" t="n">
        <v>6</v>
      </c>
      <c r="F4750" t="inlineStr">
        <is>
          <t>开仓</t>
        </is>
      </c>
      <c r="G4750" t="n">
        <v>39</v>
      </c>
      <c r="H4750" t="n">
        <v>7142</v>
      </c>
      <c r="I4750" t="n">
        <v>7295.64</v>
      </c>
      <c r="J4750" t="n">
        <v>3</v>
      </c>
      <c r="K4750" t="inlineStr">
        <is>
          <t>¼凯利超上限，取3%</t>
        </is>
      </c>
    </row>
    <row r="4751">
      <c r="A4751" t="inlineStr">
        <is>
          <t>2025-09-24</t>
        </is>
      </c>
      <c r="B4751" t="inlineStr">
        <is>
          <t>沪金</t>
        </is>
      </c>
      <c r="C4751" t="inlineStr">
        <is>
          <t>多</t>
        </is>
      </c>
      <c r="D4751" t="n">
        <v>3</v>
      </c>
      <c r="E4751" t="n">
        <v>6</v>
      </c>
      <c r="F4751" t="inlineStr">
        <is>
          <t>不做</t>
        </is>
      </c>
      <c r="H4751" t="n">
        <v>860</v>
      </c>
      <c r="J4751" t="n">
        <v>1</v>
      </c>
      <c r="K4751" t="inlineStr">
        <is>
          <t>1手风险32169元超过预算10000元</t>
        </is>
      </c>
    </row>
    <row r="4752">
      <c r="A4752" t="inlineStr">
        <is>
          <t>2025-09-24</t>
        </is>
      </c>
      <c r="B4752" t="inlineStr">
        <is>
          <t>工业硅</t>
        </is>
      </c>
      <c r="C4752" t="inlineStr">
        <is>
          <t>多</t>
        </is>
      </c>
      <c r="D4752" t="n">
        <v>2</v>
      </c>
      <c r="E4752" t="n">
        <v>5</v>
      </c>
      <c r="F4752" t="inlineStr">
        <is>
          <t>观望</t>
        </is>
      </c>
      <c r="G4752" t="n">
        <v>2</v>
      </c>
      <c r="H4752" t="n">
        <v>9020</v>
      </c>
      <c r="I4752" t="n">
        <v>8111.43</v>
      </c>
      <c r="J4752" t="n">
        <v>1</v>
      </c>
      <c r="K4752" t="inlineStr">
        <is>
          <t>逆5日线（收盘在5日线下，不追多）</t>
        </is>
      </c>
    </row>
    <row r="4753">
      <c r="A4753" t="inlineStr">
        <is>
          <t>2025-09-25</t>
        </is>
      </c>
      <c r="B4753" t="inlineStr">
        <is>
          <t>沪金</t>
        </is>
      </c>
      <c r="C4753" t="inlineStr">
        <is>
          <t>多</t>
        </is>
      </c>
      <c r="D4753" t="n">
        <v>3</v>
      </c>
      <c r="E4753" t="n">
        <v>6</v>
      </c>
      <c r="F4753" t="inlineStr">
        <is>
          <t>不做</t>
        </is>
      </c>
      <c r="H4753" t="n">
        <v>854.72</v>
      </c>
      <c r="J4753" t="n">
        <v>1</v>
      </c>
      <c r="K4753" t="inlineStr">
        <is>
          <t>1手风险31903元超过预算10000元</t>
        </is>
      </c>
    </row>
    <row r="4754">
      <c r="A4754" t="inlineStr">
        <is>
          <t>2025-09-25</t>
        </is>
      </c>
      <c r="B4754" t="inlineStr">
        <is>
          <t>铁矿石</t>
        </is>
      </c>
      <c r="C4754" t="inlineStr">
        <is>
          <t>多</t>
        </is>
      </c>
      <c r="D4754" t="n">
        <v>3</v>
      </c>
      <c r="E4754" t="n">
        <v>6</v>
      </c>
      <c r="F4754" t="inlineStr">
        <is>
          <t>观望</t>
        </is>
      </c>
      <c r="G4754" t="n">
        <v>2</v>
      </c>
      <c r="H4754" t="n">
        <v>805.5</v>
      </c>
      <c r="I4754" t="n">
        <v>765</v>
      </c>
      <c r="J4754" t="n">
        <v>1</v>
      </c>
      <c r="K4754" t="inlineStr">
        <is>
          <t>逆5日线（收盘在5日线下，不追多）</t>
        </is>
      </c>
    </row>
    <row r="4755">
      <c r="A4755" t="inlineStr">
        <is>
          <t>2025-09-25</t>
        </is>
      </c>
      <c r="B4755" t="inlineStr">
        <is>
          <t>热卷</t>
        </is>
      </c>
      <c r="C4755" t="inlineStr">
        <is>
          <t>多</t>
        </is>
      </c>
      <c r="D4755" t="n">
        <v>3</v>
      </c>
      <c r="E4755" t="n">
        <v>6</v>
      </c>
      <c r="F4755" t="inlineStr">
        <is>
          <t>观望</t>
        </is>
      </c>
      <c r="G4755" t="n">
        <v>8</v>
      </c>
      <c r="H4755" t="n">
        <v>3358</v>
      </c>
      <c r="I4755" t="n">
        <v>3242.71</v>
      </c>
      <c r="J4755" t="n">
        <v>1</v>
      </c>
      <c r="K4755" t="inlineStr">
        <is>
          <t>逆5日线（收盘在5日线下，不追多）</t>
        </is>
      </c>
    </row>
    <row r="4756">
      <c r="A4756" t="inlineStr">
        <is>
          <t>2025-09-25</t>
        </is>
      </c>
      <c r="B4756" t="inlineStr">
        <is>
          <t>沪银</t>
        </is>
      </c>
      <c r="C4756" t="inlineStr">
        <is>
          <t>多</t>
        </is>
      </c>
      <c r="D4756" t="n">
        <v>2</v>
      </c>
      <c r="E4756" t="n">
        <v>5</v>
      </c>
      <c r="F4756" t="inlineStr">
        <is>
          <t>续持</t>
        </is>
      </c>
      <c r="G4756" t="n">
        <v>3</v>
      </c>
      <c r="H4756" t="n">
        <v>10411</v>
      </c>
      <c r="I4756" t="n">
        <v>9903.93</v>
      </c>
      <c r="J4756" t="n">
        <v>3</v>
      </c>
      <c r="K4756" t="inlineStr">
        <is>
          <t>续持原仓（2025-09-24开）</t>
        </is>
      </c>
    </row>
    <row r="4757">
      <c r="A4757" t="inlineStr">
        <is>
          <t>2025-09-25</t>
        </is>
      </c>
      <c r="B4757" t="inlineStr">
        <is>
          <t>棉花</t>
        </is>
      </c>
      <c r="C4757" t="inlineStr">
        <is>
          <t>空</t>
        </is>
      </c>
      <c r="D4757" t="n">
        <v>2</v>
      </c>
      <c r="E4757" t="n">
        <v>5</v>
      </c>
      <c r="F4757" t="inlineStr">
        <is>
          <t>续持</t>
        </is>
      </c>
      <c r="G4757" t="n">
        <v>5</v>
      </c>
      <c r="H4757" t="n">
        <v>13530</v>
      </c>
      <c r="I4757" t="n">
        <v>13796.79</v>
      </c>
      <c r="J4757" t="n">
        <v>1</v>
      </c>
      <c r="K4757" t="inlineStr">
        <is>
          <t>续持原仓（2025-09-22开）</t>
        </is>
      </c>
    </row>
    <row r="4758">
      <c r="A4758" t="inlineStr">
        <is>
          <t>2025-09-25</t>
        </is>
      </c>
      <c r="B4758" t="inlineStr">
        <is>
          <t>锰硅</t>
        </is>
      </c>
      <c r="C4758" t="inlineStr">
        <is>
          <t>多</t>
        </is>
      </c>
      <c r="D4758" t="n">
        <v>2</v>
      </c>
      <c r="E4758" t="n">
        <v>5</v>
      </c>
      <c r="F4758" t="inlineStr">
        <is>
          <t>影子仓</t>
        </is>
      </c>
      <c r="G4758" t="n">
        <v>7</v>
      </c>
      <c r="H4758" t="n">
        <v>5938</v>
      </c>
      <c r="I4758" t="n">
        <v>5659.43</v>
      </c>
      <c r="J4758" t="n">
        <v>1</v>
      </c>
      <c r="K4758" t="inlineStr">
        <is>
          <t>凯利≤0，开1%影子仓（只统计，不计入组合）</t>
        </is>
      </c>
    </row>
    <row r="4759">
      <c r="A4759" t="inlineStr">
        <is>
          <t>2025-09-26</t>
        </is>
      </c>
      <c r="B4759" t="inlineStr">
        <is>
          <t>沪银</t>
        </is>
      </c>
      <c r="C4759" t="inlineStr">
        <is>
          <t>多</t>
        </is>
      </c>
      <c r="D4759" t="n">
        <v>3</v>
      </c>
      <c r="E4759" t="n">
        <v>7</v>
      </c>
      <c r="F4759" t="inlineStr">
        <is>
          <t>续持</t>
        </is>
      </c>
      <c r="G4759" t="n">
        <v>3</v>
      </c>
      <c r="H4759" t="n">
        <v>10632</v>
      </c>
      <c r="I4759" t="n">
        <v>10077.07</v>
      </c>
      <c r="J4759" t="n">
        <v>3</v>
      </c>
      <c r="K4759" t="inlineStr">
        <is>
          <t>续持原仓（2025-09-24开）</t>
        </is>
      </c>
    </row>
    <row r="4760">
      <c r="A4760" t="inlineStr">
        <is>
          <t>2025-09-26</t>
        </is>
      </c>
      <c r="B4760" t="inlineStr">
        <is>
          <t>工业硅</t>
        </is>
      </c>
      <c r="C4760" t="inlineStr">
        <is>
          <t>多</t>
        </is>
      </c>
      <c r="D4760" t="n">
        <v>2</v>
      </c>
      <c r="E4760" t="n">
        <v>4</v>
      </c>
      <c r="F4760" t="inlineStr">
        <is>
          <t>观望</t>
        </is>
      </c>
      <c r="G4760" t="n">
        <v>2</v>
      </c>
      <c r="H4760" t="n">
        <v>8960</v>
      </c>
      <c r="I4760" t="n">
        <v>8133.93</v>
      </c>
      <c r="J4760" t="n">
        <v>1</v>
      </c>
      <c r="K4760" t="inlineStr">
        <is>
          <t>逆5日线（收盘在5日线下，不追多）</t>
        </is>
      </c>
    </row>
    <row r="4761">
      <c r="A4761" t="inlineStr">
        <is>
          <t>2025-09-29</t>
        </is>
      </c>
      <c r="B4761" t="inlineStr">
        <is>
          <t>沪金</t>
        </is>
      </c>
      <c r="C4761" t="inlineStr">
        <is>
          <t>多</t>
        </is>
      </c>
      <c r="D4761" t="n">
        <v>3</v>
      </c>
      <c r="E4761" t="n">
        <v>6</v>
      </c>
      <c r="F4761" t="inlineStr">
        <is>
          <t>不做</t>
        </is>
      </c>
      <c r="H4761" t="n">
        <v>866.52</v>
      </c>
      <c r="J4761" t="n">
        <v>3</v>
      </c>
      <c r="K4761" t="inlineStr">
        <is>
          <t>1手风险31161元超过预算30000元</t>
        </is>
      </c>
    </row>
    <row r="4762">
      <c r="A4762" t="inlineStr">
        <is>
          <t>2025-09-29</t>
        </is>
      </c>
      <c r="B4762" t="inlineStr">
        <is>
          <t>棉花</t>
        </is>
      </c>
      <c r="C4762" t="inlineStr">
        <is>
          <t>空</t>
        </is>
      </c>
      <c r="D4762" t="n">
        <v>3</v>
      </c>
      <c r="E4762" t="n">
        <v>6</v>
      </c>
      <c r="F4762" t="inlineStr">
        <is>
          <t>开仓</t>
        </is>
      </c>
      <c r="G4762" t="n">
        <v>17</v>
      </c>
      <c r="H4762" t="n">
        <v>13350</v>
      </c>
      <c r="I4762" t="n">
        <v>13684.29</v>
      </c>
      <c r="J4762" t="n">
        <v>3</v>
      </c>
      <c r="K4762" t="inlineStr">
        <is>
          <t>¼凯利超上限，取3%</t>
        </is>
      </c>
    </row>
    <row r="4763">
      <c r="A4763" t="inlineStr">
        <is>
          <t>2025-09-30</t>
        </is>
      </c>
      <c r="B4763" t="inlineStr">
        <is>
          <t>棉花</t>
        </is>
      </c>
      <c r="C4763" t="inlineStr">
        <is>
          <t>空</t>
        </is>
      </c>
      <c r="D4763" t="n">
        <v>3</v>
      </c>
      <c r="E4763" t="n">
        <v>7</v>
      </c>
      <c r="F4763" t="inlineStr">
        <is>
          <t>续持</t>
        </is>
      </c>
      <c r="G4763" t="n">
        <v>17</v>
      </c>
      <c r="H4763" t="n">
        <v>13215</v>
      </c>
      <c r="I4763" t="n">
        <v>13511.79</v>
      </c>
      <c r="J4763" t="n">
        <v>3</v>
      </c>
      <c r="K4763" t="inlineStr">
        <is>
          <t>续持原仓（2025-09-29开）</t>
        </is>
      </c>
    </row>
    <row r="4764">
      <c r="A4764" t="inlineStr">
        <is>
          <t>2025-09-30</t>
        </is>
      </c>
      <c r="B4764" t="inlineStr">
        <is>
          <t>沪银</t>
        </is>
      </c>
      <c r="C4764" t="inlineStr">
        <is>
          <t>多</t>
        </is>
      </c>
      <c r="D4764" t="n">
        <v>2</v>
      </c>
      <c r="E4764" t="n">
        <v>5</v>
      </c>
      <c r="F4764" t="inlineStr">
        <is>
          <t>影子仓</t>
        </is>
      </c>
      <c r="G4764" t="n">
        <v>1</v>
      </c>
      <c r="H4764" t="n">
        <v>10918</v>
      </c>
      <c r="I4764" t="n">
        <v>10281.57</v>
      </c>
      <c r="J4764" t="n">
        <v>1</v>
      </c>
      <c r="K4764" t="inlineStr">
        <is>
          <t>凯利≤0，开1%影子仓（只统计，不计入组合）</t>
        </is>
      </c>
    </row>
    <row r="4765">
      <c r="A4765" t="inlineStr">
        <is>
          <t>2025-10-09</t>
        </is>
      </c>
      <c r="B4765" t="inlineStr">
        <is>
          <t>沪金</t>
        </is>
      </c>
      <c r="C4765" t="inlineStr">
        <is>
          <t>多</t>
        </is>
      </c>
      <c r="D4765" t="n">
        <v>3</v>
      </c>
      <c r="E4765" t="n">
        <v>7</v>
      </c>
      <c r="F4765" t="inlineStr">
        <is>
          <t>不做</t>
        </is>
      </c>
      <c r="H4765" t="n">
        <v>914.3200000000001</v>
      </c>
      <c r="J4765" t="n">
        <v>3</v>
      </c>
      <c r="K4765" t="inlineStr">
        <is>
          <t>1手风险39214元超过预算30000元</t>
        </is>
      </c>
    </row>
    <row r="4766">
      <c r="A4766" t="inlineStr">
        <is>
          <t>2025-10-09</t>
        </is>
      </c>
      <c r="B4766" t="inlineStr">
        <is>
          <t>聚丙烯</t>
        </is>
      </c>
      <c r="C4766" t="inlineStr">
        <is>
          <t>空</t>
        </is>
      </c>
      <c r="D4766" t="n">
        <v>3</v>
      </c>
      <c r="E4766" t="n">
        <v>7</v>
      </c>
      <c r="F4766" t="inlineStr">
        <is>
          <t>不做</t>
        </is>
      </c>
      <c r="H4766" t="n">
        <v>6745</v>
      </c>
      <c r="J4766" t="n">
        <v>0</v>
      </c>
      <c r="K4766" t="inlineStr">
        <is>
          <t>与塑料高度相关（同组≤3%），预算缩小</t>
        </is>
      </c>
    </row>
    <row r="4767">
      <c r="A4767" t="inlineStr">
        <is>
          <t>2025-10-09</t>
        </is>
      </c>
      <c r="B4767" t="inlineStr">
        <is>
          <t>苯乙烯</t>
        </is>
      </c>
      <c r="C4767" t="inlineStr">
        <is>
          <t>空</t>
        </is>
      </c>
      <c r="D4767" t="n">
        <v>3</v>
      </c>
      <c r="E4767" t="n">
        <v>6</v>
      </c>
      <c r="F4767" t="inlineStr">
        <is>
          <t>开仓</t>
        </is>
      </c>
      <c r="G4767" t="n">
        <v>20</v>
      </c>
      <c r="H4767" t="n">
        <v>6818</v>
      </c>
      <c r="I4767" t="n">
        <v>7107.5</v>
      </c>
      <c r="J4767" t="n">
        <v>3</v>
      </c>
      <c r="K4767" t="inlineStr">
        <is>
          <t>¼凯利超上限，取3%</t>
        </is>
      </c>
    </row>
    <row r="4768">
      <c r="A4768" t="inlineStr">
        <is>
          <t>2025-10-09</t>
        </is>
      </c>
      <c r="B4768" t="inlineStr">
        <is>
          <t>白糖</t>
        </is>
      </c>
      <c r="C4768" t="inlineStr">
        <is>
          <t>多</t>
        </is>
      </c>
      <c r="D4768" t="n">
        <v>2</v>
      </c>
      <c r="E4768" t="n">
        <v>5</v>
      </c>
      <c r="F4768" t="inlineStr">
        <is>
          <t>影子仓</t>
        </is>
      </c>
      <c r="G4768" t="n">
        <v>8</v>
      </c>
      <c r="H4768" t="n">
        <v>5528</v>
      </c>
      <c r="I4768" t="n">
        <v>5409.93</v>
      </c>
      <c r="J4768" t="n">
        <v>1</v>
      </c>
      <c r="K4768" t="inlineStr">
        <is>
          <t>凯利≤0，开1%影子仓（只统计，不计入组合）</t>
        </is>
      </c>
    </row>
    <row r="4769">
      <c r="A4769" t="inlineStr">
        <is>
          <t>2025-10-09</t>
        </is>
      </c>
      <c r="B4769" t="inlineStr">
        <is>
          <t>菜粕</t>
        </is>
      </c>
      <c r="C4769" t="inlineStr">
        <is>
          <t>多</t>
        </is>
      </c>
      <c r="D4769" t="n">
        <v>2</v>
      </c>
      <c r="E4769" t="n">
        <v>4</v>
      </c>
      <c r="F4769" t="inlineStr">
        <is>
          <t>影子仓</t>
        </is>
      </c>
      <c r="G4769" t="n">
        <v>6</v>
      </c>
      <c r="H4769" t="n">
        <v>2435</v>
      </c>
      <c r="I4769" t="n">
        <v>2275.79</v>
      </c>
      <c r="J4769" t="n">
        <v>1</v>
      </c>
      <c r="K4769" t="inlineStr">
        <is>
          <t>凯利≤0，开1%影子仓（只统计，不计入组合）</t>
        </is>
      </c>
    </row>
    <row r="4770">
      <c r="A4770" t="inlineStr">
        <is>
          <t>2025-10-09</t>
        </is>
      </c>
      <c r="B4770" t="inlineStr">
        <is>
          <t>鸡蛋</t>
        </is>
      </c>
      <c r="C4770" t="inlineStr">
        <is>
          <t>空</t>
        </is>
      </c>
      <c r="D4770" t="n">
        <v>2</v>
      </c>
      <c r="E4770" t="n">
        <v>4</v>
      </c>
      <c r="F4770" t="inlineStr">
        <is>
          <t>影子仓</t>
        </is>
      </c>
      <c r="G4770" t="n">
        <v>5</v>
      </c>
      <c r="H4770" t="n">
        <v>2871</v>
      </c>
      <c r="I4770" t="n">
        <v>3056.14</v>
      </c>
      <c r="J4770" t="n">
        <v>1</v>
      </c>
      <c r="K4770" t="inlineStr">
        <is>
          <t>凯利≤0，开1%影子仓（只统计，不计入组合）</t>
        </is>
      </c>
    </row>
    <row r="4771">
      <c r="A4771" t="inlineStr">
        <is>
          <t>2025-10-10</t>
        </is>
      </c>
      <c r="B4771" t="inlineStr">
        <is>
          <t>塑料</t>
        </is>
      </c>
      <c r="C4771" t="inlineStr">
        <is>
          <t>空</t>
        </is>
      </c>
      <c r="D4771" t="n">
        <v>3</v>
      </c>
      <c r="E4771" t="n">
        <v>7</v>
      </c>
      <c r="F4771" t="inlineStr">
        <is>
          <t>续持</t>
        </is>
      </c>
      <c r="G4771" t="n">
        <v>39</v>
      </c>
      <c r="H4771" t="n">
        <v>7037</v>
      </c>
      <c r="I4771" t="n">
        <v>7203</v>
      </c>
      <c r="J4771" t="n">
        <v>3</v>
      </c>
      <c r="K4771" t="inlineStr">
        <is>
          <t>续持原仓（2025-09-24开）</t>
        </is>
      </c>
    </row>
    <row r="4772">
      <c r="A4772" t="inlineStr">
        <is>
          <t>2025-10-10</t>
        </is>
      </c>
      <c r="B4772" t="inlineStr">
        <is>
          <t>聚丙烯</t>
        </is>
      </c>
      <c r="C4772" t="inlineStr">
        <is>
          <t>空</t>
        </is>
      </c>
      <c r="D4772" t="n">
        <v>3</v>
      </c>
      <c r="E4772" t="n">
        <v>6</v>
      </c>
      <c r="F4772" t="inlineStr">
        <is>
          <t>不做</t>
        </is>
      </c>
      <c r="H4772" t="n">
        <v>6722</v>
      </c>
      <c r="J4772" t="n">
        <v>0</v>
      </c>
      <c r="K4772" t="inlineStr">
        <is>
          <t>与塑料高度相关（同组≤3%），预算缩小</t>
        </is>
      </c>
    </row>
    <row r="4773">
      <c r="A4773" t="inlineStr">
        <is>
          <t>2025-10-10</t>
        </is>
      </c>
      <c r="B4773" t="inlineStr">
        <is>
          <t>棉花</t>
        </is>
      </c>
      <c r="C4773" t="inlineStr">
        <is>
          <t>空</t>
        </is>
      </c>
      <c r="D4773" t="n">
        <v>2</v>
      </c>
      <c r="E4773" t="n">
        <v>5</v>
      </c>
      <c r="F4773" t="inlineStr">
        <is>
          <t>观望</t>
        </is>
      </c>
      <c r="G4773" t="n">
        <v>5</v>
      </c>
      <c r="H4773" t="n">
        <v>13325</v>
      </c>
      <c r="I4773" t="n">
        <v>13707.5</v>
      </c>
      <c r="J4773" t="n">
        <v>1</v>
      </c>
      <c r="K4773" t="inlineStr">
        <is>
          <t>逆5日线（收盘在5日线上，不追空）</t>
        </is>
      </c>
    </row>
    <row r="4774">
      <c r="A4774" t="inlineStr">
        <is>
          <t>2025-10-13</t>
        </is>
      </c>
      <c r="B4774" t="inlineStr">
        <is>
          <t>沪银</t>
        </is>
      </c>
      <c r="C4774" t="inlineStr">
        <is>
          <t>多</t>
        </is>
      </c>
      <c r="D4774" t="n">
        <v>3</v>
      </c>
      <c r="E4774" t="n">
        <v>7</v>
      </c>
      <c r="F4774" t="inlineStr">
        <is>
          <t>开仓</t>
        </is>
      </c>
      <c r="G4774" t="n">
        <v>2</v>
      </c>
      <c r="H4774" t="n">
        <v>11531</v>
      </c>
      <c r="I4774" t="n">
        <v>10664</v>
      </c>
      <c r="J4774" t="n">
        <v>3</v>
      </c>
      <c r="K4774" t="inlineStr">
        <is>
          <t>¼凯利超上限，取3%</t>
        </is>
      </c>
    </row>
    <row r="4775">
      <c r="A4775" t="inlineStr">
        <is>
          <t>2025-10-13</t>
        </is>
      </c>
      <c r="B4775" t="inlineStr">
        <is>
          <t>玻璃</t>
        </is>
      </c>
      <c r="C4775" t="inlineStr">
        <is>
          <t>空</t>
        </is>
      </c>
      <c r="D4775" t="n">
        <v>3</v>
      </c>
      <c r="E4775" t="n">
        <v>7</v>
      </c>
      <c r="F4775" t="inlineStr">
        <is>
          <t>开仓</t>
        </is>
      </c>
      <c r="G4775" t="n">
        <v>12</v>
      </c>
      <c r="H4775" t="n">
        <v>1179</v>
      </c>
      <c r="I4775" t="n">
        <v>1300.93</v>
      </c>
      <c r="J4775" t="n">
        <v>3</v>
      </c>
      <c r="K4775" t="inlineStr">
        <is>
          <t>¼凯利超上限，取3%</t>
        </is>
      </c>
    </row>
    <row r="4776">
      <c r="A4776" t="inlineStr">
        <is>
          <t>2025-10-13</t>
        </is>
      </c>
      <c r="B4776" t="inlineStr">
        <is>
          <t>塑料</t>
        </is>
      </c>
      <c r="C4776" t="inlineStr">
        <is>
          <t>空</t>
        </is>
      </c>
      <c r="D4776" t="n">
        <v>3</v>
      </c>
      <c r="E4776" t="n">
        <v>6</v>
      </c>
      <c r="F4776" t="inlineStr">
        <is>
          <t>续持</t>
        </is>
      </c>
      <c r="G4776" t="n">
        <v>39</v>
      </c>
      <c r="H4776" t="n">
        <v>6983</v>
      </c>
      <c r="I4776" t="n">
        <v>7144.5</v>
      </c>
      <c r="J4776" t="n">
        <v>3</v>
      </c>
      <c r="K4776" t="inlineStr">
        <is>
          <t>续持原仓（2025-09-24开）</t>
        </is>
      </c>
    </row>
    <row r="4777">
      <c r="A4777" t="inlineStr">
        <is>
          <t>2025-10-13</t>
        </is>
      </c>
      <c r="B4777" t="inlineStr">
        <is>
          <t>棉花</t>
        </is>
      </c>
      <c r="C4777" t="inlineStr">
        <is>
          <t>空</t>
        </is>
      </c>
      <c r="D4777" t="n">
        <v>3</v>
      </c>
      <c r="E4777" t="n">
        <v>6</v>
      </c>
      <c r="F4777" t="inlineStr">
        <is>
          <t>观望</t>
        </is>
      </c>
      <c r="G4777" t="n">
        <v>5</v>
      </c>
      <c r="H4777" t="n">
        <v>13300</v>
      </c>
      <c r="I4777" t="n">
        <v>13692.14</v>
      </c>
      <c r="J4777" t="n">
        <v>1</v>
      </c>
      <c r="K4777" t="inlineStr">
        <is>
          <t>逆5日线（收盘在5日线上，不追空）</t>
        </is>
      </c>
    </row>
    <row r="4778">
      <c r="A4778" t="inlineStr">
        <is>
          <t>2025-10-13</t>
        </is>
      </c>
      <c r="B4778" t="inlineStr">
        <is>
          <t>工业硅</t>
        </is>
      </c>
      <c r="C4778" t="inlineStr">
        <is>
          <t>多</t>
        </is>
      </c>
      <c r="D4778" t="n">
        <v>2</v>
      </c>
      <c r="E4778" t="n">
        <v>5</v>
      </c>
      <c r="F4778" t="inlineStr">
        <is>
          <t>影子仓</t>
        </is>
      </c>
      <c r="G4778" t="n">
        <v>2</v>
      </c>
      <c r="H4778" t="n">
        <v>8805</v>
      </c>
      <c r="I4778" t="n">
        <v>8021.79</v>
      </c>
      <c r="J4778" t="n">
        <v>1</v>
      </c>
      <c r="K4778" t="inlineStr">
        <is>
          <t>凯利≤0，开1%影子仓（只统计，不计入组合）</t>
        </is>
      </c>
    </row>
    <row r="4779">
      <c r="A4779" t="inlineStr">
        <is>
          <t>2025-10-14</t>
        </is>
      </c>
      <c r="B4779" t="inlineStr">
        <is>
          <t>玻璃</t>
        </is>
      </c>
      <c r="C4779" t="inlineStr">
        <is>
          <t>空</t>
        </is>
      </c>
      <c r="D4779" t="n">
        <v>3</v>
      </c>
      <c r="E4779" t="n">
        <v>7</v>
      </c>
      <c r="F4779" t="inlineStr">
        <is>
          <t>续持</t>
        </is>
      </c>
      <c r="G4779" t="n">
        <v>12</v>
      </c>
      <c r="H4779" t="n">
        <v>1138</v>
      </c>
      <c r="I4779" t="n">
        <v>1255.21</v>
      </c>
      <c r="J4779" t="n">
        <v>3</v>
      </c>
      <c r="K4779" t="inlineStr">
        <is>
          <t>续持原仓（2025-10-13开）</t>
        </is>
      </c>
    </row>
    <row r="4780">
      <c r="A4780" t="inlineStr">
        <is>
          <t>2025-10-14</t>
        </is>
      </c>
      <c r="B4780" t="inlineStr">
        <is>
          <t>塑料</t>
        </is>
      </c>
      <c r="C4780" t="inlineStr">
        <is>
          <t>空</t>
        </is>
      </c>
      <c r="D4780" t="n">
        <v>3</v>
      </c>
      <c r="E4780" t="n">
        <v>6</v>
      </c>
      <c r="F4780" t="inlineStr">
        <is>
          <t>续持</t>
        </is>
      </c>
      <c r="G4780" t="n">
        <v>39</v>
      </c>
      <c r="H4780" t="n">
        <v>6918</v>
      </c>
      <c r="I4780" t="n">
        <v>7071.43</v>
      </c>
      <c r="J4780" t="n">
        <v>3</v>
      </c>
      <c r="K4780" t="inlineStr">
        <is>
          <t>续持原仓（2025-09-24开）</t>
        </is>
      </c>
    </row>
    <row r="4781">
      <c r="A4781" t="inlineStr">
        <is>
          <t>2025-10-14</t>
        </is>
      </c>
      <c r="B4781" t="inlineStr">
        <is>
          <t>玉米</t>
        </is>
      </c>
      <c r="C4781" t="inlineStr">
        <is>
          <t>空</t>
        </is>
      </c>
      <c r="D4781" t="n">
        <v>3</v>
      </c>
      <c r="E4781" t="n">
        <v>6</v>
      </c>
      <c r="F4781" t="inlineStr">
        <is>
          <t>开仓</t>
        </is>
      </c>
      <c r="G4781" t="n">
        <v>42</v>
      </c>
      <c r="H4781" t="n">
        <v>2111</v>
      </c>
      <c r="I4781" t="n">
        <v>2182.14</v>
      </c>
      <c r="J4781" t="n">
        <v>3</v>
      </c>
      <c r="K4781" t="inlineStr">
        <is>
          <t>¼凯利超上限，取3%</t>
        </is>
      </c>
    </row>
    <row r="4782">
      <c r="A4782" t="inlineStr">
        <is>
          <t>2025-10-14</t>
        </is>
      </c>
      <c r="B4782" t="inlineStr">
        <is>
          <t>硅铁</t>
        </is>
      </c>
      <c r="C4782" t="inlineStr">
        <is>
          <t>空</t>
        </is>
      </c>
      <c r="D4782" t="n">
        <v>3</v>
      </c>
      <c r="E4782" t="n">
        <v>6</v>
      </c>
      <c r="F4782" t="inlineStr">
        <is>
          <t>开仓</t>
        </is>
      </c>
      <c r="G4782" t="n">
        <v>5</v>
      </c>
      <c r="H4782" t="n">
        <v>5322</v>
      </c>
      <c r="I4782" t="n">
        <v>5670.86</v>
      </c>
      <c r="J4782" t="n">
        <v>1</v>
      </c>
      <c r="K4782" t="inlineStr">
        <is>
          <t>组合风险已近10%，预算缩小</t>
        </is>
      </c>
    </row>
    <row r="4783">
      <c r="A4783" t="inlineStr">
        <is>
          <t>2025-10-14</t>
        </is>
      </c>
      <c r="B4783" t="inlineStr">
        <is>
          <t>棉花</t>
        </is>
      </c>
      <c r="C4783" t="inlineStr">
        <is>
          <t>空</t>
        </is>
      </c>
      <c r="D4783" t="n">
        <v>2</v>
      </c>
      <c r="E4783" t="n">
        <v>5</v>
      </c>
      <c r="F4783" t="inlineStr">
        <is>
          <t>影子仓</t>
        </is>
      </c>
      <c r="G4783" t="n">
        <v>5</v>
      </c>
      <c r="H4783" t="n">
        <v>13265</v>
      </c>
      <c r="I4783" t="n">
        <v>13655</v>
      </c>
      <c r="J4783" t="n">
        <v>1</v>
      </c>
      <c r="K4783" t="inlineStr">
        <is>
          <t>凯利≤0，开1%影子仓（只统计，不计入组合）</t>
        </is>
      </c>
    </row>
    <row r="4784">
      <c r="A4784" t="inlineStr">
        <is>
          <t>2025-10-15</t>
        </is>
      </c>
      <c r="B4784" t="inlineStr">
        <is>
          <t>沪银</t>
        </is>
      </c>
      <c r="C4784" t="inlineStr">
        <is>
          <t>多</t>
        </is>
      </c>
      <c r="D4784" t="n">
        <v>3</v>
      </c>
      <c r="E4784" t="n">
        <v>7</v>
      </c>
      <c r="F4784" t="inlineStr">
        <is>
          <t>开仓</t>
        </is>
      </c>
      <c r="G4784" t="n">
        <v>1</v>
      </c>
      <c r="H4784" t="n">
        <v>11966</v>
      </c>
      <c r="I4784" t="n">
        <v>10900.36</v>
      </c>
      <c r="J4784" t="n">
        <v>3</v>
      </c>
      <c r="K4784" t="inlineStr">
        <is>
          <t>¼凯利超上限，取3%</t>
        </is>
      </c>
    </row>
    <row r="4785">
      <c r="A4785" t="inlineStr">
        <is>
          <t>2025-10-15</t>
        </is>
      </c>
      <c r="B4785" t="inlineStr">
        <is>
          <t>沪锌</t>
        </is>
      </c>
      <c r="C4785" t="inlineStr">
        <is>
          <t>空</t>
        </is>
      </c>
      <c r="D4785" t="n">
        <v>3</v>
      </c>
      <c r="E4785" t="n">
        <v>6</v>
      </c>
      <c r="F4785" t="inlineStr">
        <is>
          <t>不做</t>
        </is>
      </c>
      <c r="H4785" t="n">
        <v>22015</v>
      </c>
      <c r="J4785" t="n">
        <v>0</v>
      </c>
      <c r="K4785" t="inlineStr">
        <is>
          <t>组合风险已近10%，预算缩小</t>
        </is>
      </c>
    </row>
    <row r="4786">
      <c r="A4786" t="inlineStr">
        <is>
          <t>2025-10-15</t>
        </is>
      </c>
      <c r="B4786" t="inlineStr">
        <is>
          <t>塑料</t>
        </is>
      </c>
      <c r="C4786" t="inlineStr">
        <is>
          <t>空</t>
        </is>
      </c>
      <c r="D4786" t="n">
        <v>2</v>
      </c>
      <c r="E4786" t="n">
        <v>5</v>
      </c>
      <c r="F4786" t="inlineStr">
        <is>
          <t>续持</t>
        </is>
      </c>
      <c r="G4786" t="n">
        <v>39</v>
      </c>
      <c r="H4786" t="n">
        <v>6910</v>
      </c>
      <c r="I4786" t="n">
        <v>7066.57</v>
      </c>
      <c r="J4786" t="n">
        <v>3</v>
      </c>
      <c r="K4786" t="inlineStr">
        <is>
          <t>续持原仓（2025-09-24开）</t>
        </is>
      </c>
    </row>
    <row r="4787">
      <c r="A4787" t="inlineStr">
        <is>
          <t>2025-10-15</t>
        </is>
      </c>
      <c r="B4787" t="inlineStr">
        <is>
          <t>聚丙烯</t>
        </is>
      </c>
      <c r="C4787" t="inlineStr">
        <is>
          <t>空</t>
        </is>
      </c>
      <c r="D4787" t="n">
        <v>2</v>
      </c>
      <c r="E4787" t="n">
        <v>5</v>
      </c>
      <c r="F4787" t="inlineStr">
        <is>
          <t>影子仓</t>
        </is>
      </c>
      <c r="G4787" t="n">
        <v>10</v>
      </c>
      <c r="H4787" t="n">
        <v>6595</v>
      </c>
      <c r="I4787" t="n">
        <v>6787</v>
      </c>
      <c r="J4787" t="n">
        <v>1</v>
      </c>
      <c r="K4787" t="inlineStr">
        <is>
          <t>凯利≤0，开1%影子仓（只统计，不计入组合）</t>
        </is>
      </c>
    </row>
    <row r="4788">
      <c r="A4788" t="inlineStr">
        <is>
          <t>2025-10-15</t>
        </is>
      </c>
      <c r="B4788" t="inlineStr">
        <is>
          <t>沪铝</t>
        </is>
      </c>
      <c r="C4788" t="inlineStr">
        <is>
          <t>空</t>
        </is>
      </c>
      <c r="D4788" t="n">
        <v>2</v>
      </c>
      <c r="E4788" t="n">
        <v>5</v>
      </c>
      <c r="F4788" t="inlineStr">
        <is>
          <t>影子仓</t>
        </is>
      </c>
      <c r="G4788" t="n">
        <v>3</v>
      </c>
      <c r="H4788" t="n">
        <v>20935</v>
      </c>
      <c r="I4788" t="n">
        <v>21460</v>
      </c>
      <c r="J4788" t="n">
        <v>1</v>
      </c>
      <c r="K4788" t="inlineStr">
        <is>
          <t>凯利≤0，开1%影子仓（只统计，不计入组合）</t>
        </is>
      </c>
    </row>
    <row r="4789">
      <c r="A4789" t="inlineStr">
        <is>
          <t>2025-10-15</t>
        </is>
      </c>
      <c r="B4789" t="inlineStr">
        <is>
          <t>苯乙烯</t>
        </is>
      </c>
      <c r="C4789" t="inlineStr">
        <is>
          <t>空</t>
        </is>
      </c>
      <c r="D4789" t="n">
        <v>2</v>
      </c>
      <c r="E4789" t="n">
        <v>5</v>
      </c>
      <c r="F4789" t="inlineStr">
        <is>
          <t>影子仓</t>
        </is>
      </c>
      <c r="G4789" t="n">
        <v>6</v>
      </c>
      <c r="H4789" t="n">
        <v>6540</v>
      </c>
      <c r="I4789" t="n">
        <v>6846</v>
      </c>
      <c r="J4789" t="n">
        <v>1</v>
      </c>
      <c r="K4789" t="inlineStr">
        <is>
          <t>凯利≤0，开1%影子仓（只统计，不计入组合）</t>
        </is>
      </c>
    </row>
    <row r="4790">
      <c r="A4790" t="inlineStr">
        <is>
          <t>2025-10-16</t>
        </is>
      </c>
      <c r="B4790" t="inlineStr">
        <is>
          <t>沪锌</t>
        </is>
      </c>
      <c r="C4790" t="inlineStr">
        <is>
          <t>空</t>
        </is>
      </c>
      <c r="D4790" t="n">
        <v>3</v>
      </c>
      <c r="E4790" t="n">
        <v>6</v>
      </c>
      <c r="F4790" t="inlineStr">
        <is>
          <t>开仓</t>
        </is>
      </c>
      <c r="G4790" t="n">
        <v>8</v>
      </c>
      <c r="H4790" t="n">
        <v>21940</v>
      </c>
      <c r="I4790" t="n">
        <v>22670.71</v>
      </c>
      <c r="J4790" t="n">
        <v>3</v>
      </c>
      <c r="K4790" t="inlineStr">
        <is>
          <t>¼凯利超上限，取3%</t>
        </is>
      </c>
    </row>
    <row r="4791">
      <c r="A4791" t="inlineStr">
        <is>
          <t>2025-10-16</t>
        </is>
      </c>
      <c r="B4791" t="inlineStr">
        <is>
          <t>工业硅</t>
        </is>
      </c>
      <c r="C4791" t="inlineStr">
        <is>
          <t>多</t>
        </is>
      </c>
      <c r="D4791" t="n">
        <v>3</v>
      </c>
      <c r="E4791" t="n">
        <v>6</v>
      </c>
      <c r="F4791" t="inlineStr">
        <is>
          <t>观望</t>
        </is>
      </c>
      <c r="H4791" t="n">
        <v>8605</v>
      </c>
      <c r="J4791" t="n">
        <v>0</v>
      </c>
      <c r="K4791" t="inlineStr">
        <is>
          <t>逆5日线（收盘在5日线下，不追多）</t>
        </is>
      </c>
    </row>
    <row r="4792">
      <c r="A4792" t="inlineStr">
        <is>
          <t>2025-10-16</t>
        </is>
      </c>
      <c r="B4792" t="inlineStr">
        <is>
          <t>棉花</t>
        </is>
      </c>
      <c r="C4792" t="inlineStr">
        <is>
          <t>空</t>
        </is>
      </c>
      <c r="D4792" t="n">
        <v>2</v>
      </c>
      <c r="E4792" t="n">
        <v>5</v>
      </c>
      <c r="F4792" t="inlineStr">
        <is>
          <t>观望</t>
        </is>
      </c>
      <c r="G4792" t="n">
        <v>5</v>
      </c>
      <c r="H4792" t="n">
        <v>13320</v>
      </c>
      <c r="I4792" t="n">
        <v>13695</v>
      </c>
      <c r="J4792" t="n">
        <v>1</v>
      </c>
      <c r="K4792" t="inlineStr">
        <is>
          <t>逆5日线（收盘在5日线上，不追空）</t>
        </is>
      </c>
    </row>
    <row r="4793">
      <c r="A4793" t="inlineStr">
        <is>
          <t>2025-10-16</t>
        </is>
      </c>
      <c r="B4793" t="inlineStr">
        <is>
          <t>苯乙烯</t>
        </is>
      </c>
      <c r="C4793" t="inlineStr">
        <is>
          <t>空</t>
        </is>
      </c>
      <c r="D4793" t="n">
        <v>2</v>
      </c>
      <c r="E4793" t="n">
        <v>4</v>
      </c>
      <c r="F4793" t="inlineStr">
        <is>
          <t>续持</t>
        </is>
      </c>
      <c r="G4793" t="n">
        <v>6</v>
      </c>
      <c r="H4793" t="n">
        <v>6600</v>
      </c>
      <c r="I4793" t="n">
        <v>6754.57</v>
      </c>
      <c r="J4793" t="n">
        <v>1</v>
      </c>
      <c r="K4793" t="inlineStr">
        <is>
          <t>续持原仓（2025-10-15开）</t>
        </is>
      </c>
    </row>
    <row r="4794">
      <c r="A4794" t="inlineStr">
        <is>
          <t>2025-10-16</t>
        </is>
      </c>
      <c r="B4794" t="inlineStr">
        <is>
          <t>菜粕</t>
        </is>
      </c>
      <c r="C4794" t="inlineStr">
        <is>
          <t>多</t>
        </is>
      </c>
      <c r="D4794" t="n">
        <v>2</v>
      </c>
      <c r="E4794" t="n">
        <v>4</v>
      </c>
      <c r="F4794" t="inlineStr">
        <is>
          <t>观望</t>
        </is>
      </c>
      <c r="G4794" t="n">
        <v>6</v>
      </c>
      <c r="H4794" t="n">
        <v>2364</v>
      </c>
      <c r="I4794" t="n">
        <v>2203.71</v>
      </c>
      <c r="J4794" t="n">
        <v>1</v>
      </c>
      <c r="K4794" t="inlineStr">
        <is>
          <t>逆5日线（收盘在5日线下，不追多）</t>
        </is>
      </c>
    </row>
    <row r="4795">
      <c r="A4795" t="inlineStr">
        <is>
          <t>2025-10-17</t>
        </is>
      </c>
      <c r="B4795" t="inlineStr">
        <is>
          <t>PTA</t>
        </is>
      </c>
      <c r="C4795" t="inlineStr">
        <is>
          <t>空</t>
        </is>
      </c>
      <c r="D4795" t="n">
        <v>3</v>
      </c>
      <c r="E4795" t="n">
        <v>7</v>
      </c>
      <c r="F4795" t="inlineStr">
        <is>
          <t>开仓</t>
        </is>
      </c>
      <c r="G4795" t="n">
        <v>31</v>
      </c>
      <c r="H4795" t="n">
        <v>4402</v>
      </c>
      <c r="I4795" t="n">
        <v>4591.86</v>
      </c>
      <c r="J4795" t="n">
        <v>3</v>
      </c>
      <c r="K4795" t="inlineStr">
        <is>
          <t>¼凯利超上限，取3%</t>
        </is>
      </c>
    </row>
    <row r="4796">
      <c r="A4796" t="inlineStr">
        <is>
          <t>2025-10-17</t>
        </is>
      </c>
      <c r="B4796" t="inlineStr">
        <is>
          <t>玻璃</t>
        </is>
      </c>
      <c r="C4796" t="inlineStr">
        <is>
          <t>空</t>
        </is>
      </c>
      <c r="D4796" t="n">
        <v>3</v>
      </c>
      <c r="E4796" t="n">
        <v>7</v>
      </c>
      <c r="F4796" t="inlineStr">
        <is>
          <t>开仓</t>
        </is>
      </c>
      <c r="G4796" t="n">
        <v>11</v>
      </c>
      <c r="H4796" t="n">
        <v>1095</v>
      </c>
      <c r="I4796" t="n">
        <v>1222.07</v>
      </c>
      <c r="J4796" t="n">
        <v>3</v>
      </c>
      <c r="K4796" t="inlineStr">
        <is>
          <t>¼凯利超上限，取3%</t>
        </is>
      </c>
    </row>
    <row r="4797">
      <c r="A4797" t="inlineStr">
        <is>
          <t>2025-10-17</t>
        </is>
      </c>
      <c r="B4797" t="inlineStr">
        <is>
          <t>鸡蛋</t>
        </is>
      </c>
      <c r="C4797" t="inlineStr">
        <is>
          <t>空</t>
        </is>
      </c>
      <c r="D4797" t="n">
        <v>3</v>
      </c>
      <c r="E4797" t="n">
        <v>7</v>
      </c>
      <c r="F4797" t="inlineStr">
        <is>
          <t>开仓</t>
        </is>
      </c>
      <c r="G4797" t="n">
        <v>5</v>
      </c>
      <c r="H4797" t="n">
        <v>2959</v>
      </c>
      <c r="I4797" t="n">
        <v>3135.79</v>
      </c>
      <c r="J4797" t="n">
        <v>1</v>
      </c>
      <c r="K4797" t="inlineStr">
        <is>
          <t>组合风险已近10%，预算缩小</t>
        </is>
      </c>
    </row>
    <row r="4798">
      <c r="A4798" t="inlineStr">
        <is>
          <t>2025-10-17</t>
        </is>
      </c>
      <c r="B4798" t="inlineStr">
        <is>
          <t>纯碱</t>
        </is>
      </c>
      <c r="C4798" t="inlineStr">
        <is>
          <t>空</t>
        </is>
      </c>
      <c r="D4798" t="n">
        <v>3</v>
      </c>
      <c r="E4798" t="n">
        <v>6</v>
      </c>
      <c r="F4798" t="inlineStr">
        <is>
          <t>不做</t>
        </is>
      </c>
      <c r="H4798" t="n">
        <v>1209</v>
      </c>
      <c r="J4798" t="n">
        <v>0</v>
      </c>
      <c r="K4798" t="inlineStr">
        <is>
          <t>与玻璃高度相关（同组≤3%），预算缩小</t>
        </is>
      </c>
    </row>
    <row r="4799">
      <c r="A4799" t="inlineStr">
        <is>
          <t>2025-10-17</t>
        </is>
      </c>
      <c r="B4799" t="inlineStr">
        <is>
          <t>热卷</t>
        </is>
      </c>
      <c r="C4799" t="inlineStr">
        <is>
          <t>空</t>
        </is>
      </c>
      <c r="D4799" t="n">
        <v>3</v>
      </c>
      <c r="E4799" t="n">
        <v>6</v>
      </c>
      <c r="F4799" t="inlineStr">
        <is>
          <t>不做</t>
        </is>
      </c>
      <c r="H4799" t="n">
        <v>3204</v>
      </c>
      <c r="J4799" t="n">
        <v>0</v>
      </c>
      <c r="K4799" t="inlineStr">
        <is>
          <t>组合风险已近10%，预算缩小</t>
        </is>
      </c>
    </row>
    <row r="4800">
      <c r="A4800" t="inlineStr">
        <is>
          <t>2025-10-20</t>
        </is>
      </c>
      <c r="B4800" t="inlineStr">
        <is>
          <t>沪镍</t>
        </is>
      </c>
      <c r="C4800" t="inlineStr">
        <is>
          <t>空</t>
        </is>
      </c>
      <c r="D4800" t="n">
        <v>3</v>
      </c>
      <c r="E4800" t="n">
        <v>6</v>
      </c>
      <c r="F4800" t="inlineStr">
        <is>
          <t>开仓</t>
        </is>
      </c>
      <c r="G4800" t="n">
        <v>6</v>
      </c>
      <c r="H4800" t="n">
        <v>120860</v>
      </c>
      <c r="I4800" t="n">
        <v>125417.86</v>
      </c>
      <c r="J4800" t="n">
        <v>3</v>
      </c>
      <c r="K4800" t="inlineStr">
        <is>
          <t>¼凯利超上限，取3%</t>
        </is>
      </c>
    </row>
    <row r="4801">
      <c r="A4801" t="inlineStr">
        <is>
          <t>2025-10-20</t>
        </is>
      </c>
      <c r="B4801" t="inlineStr">
        <is>
          <t>塑料</t>
        </is>
      </c>
      <c r="C4801" t="inlineStr">
        <is>
          <t>空</t>
        </is>
      </c>
      <c r="D4801" t="n">
        <v>2</v>
      </c>
      <c r="E4801" t="n">
        <v>5</v>
      </c>
      <c r="F4801" t="inlineStr">
        <is>
          <t>影子仓</t>
        </is>
      </c>
      <c r="G4801" t="n">
        <v>10</v>
      </c>
      <c r="H4801" t="n">
        <v>6879</v>
      </c>
      <c r="I4801" t="n">
        <v>7072.29</v>
      </c>
      <c r="J4801" t="n">
        <v>1</v>
      </c>
      <c r="K4801" t="inlineStr">
        <is>
          <t>凯利≤0，开1%影子仓（只统计，不计入组合）</t>
        </is>
      </c>
    </row>
    <row r="4802">
      <c r="A4802" t="inlineStr">
        <is>
          <t>2025-10-20</t>
        </is>
      </c>
      <c r="B4802" t="inlineStr">
        <is>
          <t>沪金</t>
        </is>
      </c>
      <c r="C4802" t="inlineStr">
        <is>
          <t>多</t>
        </is>
      </c>
      <c r="D4802" t="n">
        <v>2</v>
      </c>
      <c r="E4802" t="n">
        <v>5</v>
      </c>
      <c r="F4802" t="inlineStr">
        <is>
          <t>不做</t>
        </is>
      </c>
      <c r="H4802" t="n">
        <v>970.3200000000001</v>
      </c>
      <c r="J4802" t="n">
        <v>1</v>
      </c>
      <c r="K4802" t="inlineStr">
        <is>
          <t>1手风险65259元超过预算10000元</t>
        </is>
      </c>
    </row>
    <row r="4803">
      <c r="A4803" t="inlineStr">
        <is>
          <t>2025-10-20</t>
        </is>
      </c>
      <c r="B4803" t="inlineStr">
        <is>
          <t>PVC</t>
        </is>
      </c>
      <c r="C4803" t="inlineStr">
        <is>
          <t>空</t>
        </is>
      </c>
      <c r="D4803" t="n">
        <v>2</v>
      </c>
      <c r="E4803" t="n">
        <v>5</v>
      </c>
      <c r="F4803" t="inlineStr">
        <is>
          <t>观望</t>
        </is>
      </c>
      <c r="G4803" t="n">
        <v>11</v>
      </c>
      <c r="H4803" t="n">
        <v>4702</v>
      </c>
      <c r="I4803" t="n">
        <v>4882.64</v>
      </c>
      <c r="J4803" t="n">
        <v>1</v>
      </c>
      <c r="K4803" t="inlineStr">
        <is>
          <t>逆5日线（收盘在5日线上，不追空）</t>
        </is>
      </c>
    </row>
    <row r="4804">
      <c r="A4804" t="inlineStr">
        <is>
          <t>2025-10-20</t>
        </is>
      </c>
      <c r="B4804" t="inlineStr">
        <is>
          <t>纯碱</t>
        </is>
      </c>
      <c r="C4804" t="inlineStr">
        <is>
          <t>空</t>
        </is>
      </c>
      <c r="D4804" t="n">
        <v>2</v>
      </c>
      <c r="E4804" t="n">
        <v>5</v>
      </c>
      <c r="F4804" t="inlineStr">
        <is>
          <t>影子仓</t>
        </is>
      </c>
      <c r="G4804" t="n">
        <v>5</v>
      </c>
      <c r="H4804" t="n">
        <v>1219</v>
      </c>
      <c r="I4804" t="n">
        <v>1314.36</v>
      </c>
      <c r="J4804" t="n">
        <v>1</v>
      </c>
      <c r="K4804" t="inlineStr">
        <is>
          <t>凯利≤0，开1%影子仓（只统计，不计入组合）</t>
        </is>
      </c>
    </row>
    <row r="4805">
      <c r="A4805" t="inlineStr">
        <is>
          <t>2025-10-20</t>
        </is>
      </c>
      <c r="B4805" t="inlineStr">
        <is>
          <t>螺纹钢</t>
        </is>
      </c>
      <c r="C4805" t="inlineStr">
        <is>
          <t>空</t>
        </is>
      </c>
      <c r="D4805" t="n">
        <v>2</v>
      </c>
      <c r="E4805" t="n">
        <v>5</v>
      </c>
      <c r="F4805" t="inlineStr">
        <is>
          <t>影子仓</t>
        </is>
      </c>
      <c r="G4805" t="n">
        <v>8</v>
      </c>
      <c r="H4805" t="n">
        <v>3045</v>
      </c>
      <c r="I4805" t="n">
        <v>3156.43</v>
      </c>
      <c r="J4805" t="n">
        <v>1</v>
      </c>
      <c r="K4805" t="inlineStr">
        <is>
          <t>凯利≤0，开1%影子仓（只统计，不计入组合）</t>
        </is>
      </c>
    </row>
    <row r="4806">
      <c r="A4806" t="inlineStr">
        <is>
          <t>2025-10-20</t>
        </is>
      </c>
      <c r="B4806" t="inlineStr">
        <is>
          <t>豆油</t>
        </is>
      </c>
      <c r="C4806" t="inlineStr">
        <is>
          <t>多</t>
        </is>
      </c>
      <c r="D4806" t="n">
        <v>2</v>
      </c>
      <c r="E4806" t="n">
        <v>5</v>
      </c>
      <c r="F4806" t="inlineStr">
        <is>
          <t>影子仓</t>
        </is>
      </c>
      <c r="G4806" t="n">
        <v>3</v>
      </c>
      <c r="H4806" t="n">
        <v>8298</v>
      </c>
      <c r="I4806" t="n">
        <v>7974.43</v>
      </c>
      <c r="J4806" t="n">
        <v>1</v>
      </c>
      <c r="K4806" t="inlineStr">
        <is>
          <t>凯利≤0，开1%影子仓（只统计，不计入组合）</t>
        </is>
      </c>
    </row>
    <row r="4807">
      <c r="A4807" t="inlineStr">
        <is>
          <t>2025-10-20</t>
        </is>
      </c>
      <c r="B4807" t="inlineStr">
        <is>
          <t>沪银</t>
        </is>
      </c>
      <c r="C4807" t="inlineStr">
        <is>
          <t>多</t>
        </is>
      </c>
      <c r="D4807" t="n">
        <v>2</v>
      </c>
      <c r="E4807" t="n">
        <v>4</v>
      </c>
      <c r="F4807" t="inlineStr">
        <is>
          <t>观望</t>
        </is>
      </c>
      <c r="H4807" t="n">
        <v>11742</v>
      </c>
      <c r="J4807" t="n">
        <v>1</v>
      </c>
      <c r="K4807" t="inlineStr">
        <is>
          <t>逆5日线（收盘在5日线下，不追多）</t>
        </is>
      </c>
    </row>
    <row r="4808">
      <c r="A4808" t="inlineStr">
        <is>
          <t>2025-10-21</t>
        </is>
      </c>
      <c r="B4808" t="inlineStr">
        <is>
          <t>纯碱</t>
        </is>
      </c>
      <c r="C4808" t="inlineStr">
        <is>
          <t>空</t>
        </is>
      </c>
      <c r="D4808" t="n">
        <v>3</v>
      </c>
      <c r="E4808" t="n">
        <v>7</v>
      </c>
      <c r="F4808" t="inlineStr">
        <is>
          <t>续持</t>
        </is>
      </c>
      <c r="G4808" t="n">
        <v>5</v>
      </c>
      <c r="H4808" t="n">
        <v>1210</v>
      </c>
      <c r="I4808" t="n">
        <v>1289.14</v>
      </c>
      <c r="J4808" t="n">
        <v>1</v>
      </c>
      <c r="K4808" t="inlineStr">
        <is>
          <t>续持原仓（2025-10-20开）</t>
        </is>
      </c>
    </row>
    <row r="4809">
      <c r="A4809" t="inlineStr">
        <is>
          <t>2025-10-21</t>
        </is>
      </c>
      <c r="B4809" t="inlineStr">
        <is>
          <t>玻璃</t>
        </is>
      </c>
      <c r="C4809" t="inlineStr">
        <is>
          <t>空</t>
        </is>
      </c>
      <c r="D4809" t="n">
        <v>3</v>
      </c>
      <c r="E4809" t="n">
        <v>6</v>
      </c>
      <c r="F4809" t="inlineStr">
        <is>
          <t>开仓</t>
        </is>
      </c>
      <c r="G4809" t="n">
        <v>12</v>
      </c>
      <c r="H4809" t="n">
        <v>1087</v>
      </c>
      <c r="I4809" t="n">
        <v>1211.71</v>
      </c>
      <c r="J4809" t="n">
        <v>3</v>
      </c>
      <c r="K4809" t="inlineStr">
        <is>
          <t>¼凯利超上限，取3%</t>
        </is>
      </c>
    </row>
    <row r="4810">
      <c r="A4810" t="inlineStr">
        <is>
          <t>2025-10-21</t>
        </is>
      </c>
      <c r="B4810" t="inlineStr">
        <is>
          <t>PVC</t>
        </is>
      </c>
      <c r="C4810" t="inlineStr">
        <is>
          <t>空</t>
        </is>
      </c>
      <c r="D4810" t="n">
        <v>3</v>
      </c>
      <c r="E4810" t="n">
        <v>6</v>
      </c>
      <c r="F4810" t="inlineStr">
        <is>
          <t>观望</t>
        </is>
      </c>
      <c r="G4810" t="n">
        <v>11</v>
      </c>
      <c r="H4810" t="n">
        <v>4699</v>
      </c>
      <c r="I4810" t="n">
        <v>4876.43</v>
      </c>
      <c r="J4810" t="n">
        <v>1</v>
      </c>
      <c r="K4810" t="inlineStr">
        <is>
          <t>逆5日线（收盘在5日线上，不追空）</t>
        </is>
      </c>
    </row>
    <row r="4811">
      <c r="A4811" t="inlineStr">
        <is>
          <t>2025-10-21</t>
        </is>
      </c>
      <c r="B4811" t="inlineStr">
        <is>
          <t>锰硅</t>
        </is>
      </c>
      <c r="C4811" t="inlineStr">
        <is>
          <t>空</t>
        </is>
      </c>
      <c r="D4811" t="n">
        <v>3</v>
      </c>
      <c r="E4811" t="n">
        <v>6</v>
      </c>
      <c r="F4811" t="inlineStr">
        <is>
          <t>观望</t>
        </is>
      </c>
      <c r="G4811" t="n">
        <v>8</v>
      </c>
      <c r="H4811" t="n">
        <v>5746</v>
      </c>
      <c r="I4811" t="n">
        <v>5971.43</v>
      </c>
      <c r="J4811" t="n">
        <v>1</v>
      </c>
      <c r="K4811" t="inlineStr">
        <is>
          <t>逆5日线（收盘在5日线上，不追空）</t>
        </is>
      </c>
    </row>
    <row r="4812">
      <c r="A4812" t="inlineStr">
        <is>
          <t>2025-10-21</t>
        </is>
      </c>
      <c r="B4812" t="inlineStr">
        <is>
          <t>铁矿石</t>
        </is>
      </c>
      <c r="C4812" t="inlineStr">
        <is>
          <t>空</t>
        </is>
      </c>
      <c r="D4812" t="n">
        <v>3</v>
      </c>
      <c r="E4812" t="n">
        <v>6</v>
      </c>
      <c r="F4812" t="inlineStr">
        <is>
          <t>开仓</t>
        </is>
      </c>
      <c r="G4812" t="n">
        <v>2</v>
      </c>
      <c r="H4812" t="n">
        <v>769.5</v>
      </c>
      <c r="I4812" t="n">
        <v>811.71</v>
      </c>
      <c r="J4812" t="n">
        <v>1</v>
      </c>
      <c r="K4812" t="inlineStr">
        <is>
          <t>组合风险已近10%，预算缩小</t>
        </is>
      </c>
    </row>
    <row r="4813">
      <c r="A4813" t="inlineStr">
        <is>
          <t>2025-10-21</t>
        </is>
      </c>
      <c r="B4813" t="inlineStr">
        <is>
          <t>棉花</t>
        </is>
      </c>
      <c r="C4813" t="inlineStr">
        <is>
          <t>多</t>
        </is>
      </c>
      <c r="D4813" t="n">
        <v>2</v>
      </c>
      <c r="E4813" t="n">
        <v>4</v>
      </c>
      <c r="F4813" t="inlineStr">
        <is>
          <t>影子仓</t>
        </is>
      </c>
      <c r="G4813" t="n">
        <v>5</v>
      </c>
      <c r="H4813" t="n">
        <v>13540</v>
      </c>
      <c r="I4813" t="n">
        <v>13163.93</v>
      </c>
      <c r="J4813" t="n">
        <v>1</v>
      </c>
      <c r="K4813" t="inlineStr">
        <is>
          <t>凯利≤0，开1%影子仓（只统计，不计入组合）</t>
        </is>
      </c>
    </row>
    <row r="4814">
      <c r="A4814" t="inlineStr">
        <is>
          <t>2025-10-22</t>
        </is>
      </c>
      <c r="B4814" t="inlineStr">
        <is>
          <t>塑料</t>
        </is>
      </c>
      <c r="C4814" t="inlineStr">
        <is>
          <t>空</t>
        </is>
      </c>
      <c r="D4814" t="n">
        <v>2</v>
      </c>
      <c r="E4814" t="n">
        <v>5</v>
      </c>
      <c r="F4814" t="inlineStr">
        <is>
          <t>观望</t>
        </is>
      </c>
      <c r="G4814" t="n">
        <v>9</v>
      </c>
      <c r="H4814" t="n">
        <v>6936</v>
      </c>
      <c r="I4814" t="n">
        <v>7143.86</v>
      </c>
      <c r="J4814" t="n">
        <v>1</v>
      </c>
      <c r="K4814" t="inlineStr">
        <is>
          <t>逆5日线（收盘在5日线上，不追空）</t>
        </is>
      </c>
    </row>
    <row r="4815">
      <c r="A4815" t="inlineStr">
        <is>
          <t>2025-10-22</t>
        </is>
      </c>
      <c r="B4815" t="inlineStr">
        <is>
          <t>沪银</t>
        </is>
      </c>
      <c r="C4815" t="inlineStr">
        <is>
          <t>多</t>
        </is>
      </c>
      <c r="D4815" t="n">
        <v>2</v>
      </c>
      <c r="E4815" t="n">
        <v>5</v>
      </c>
      <c r="F4815" t="inlineStr">
        <is>
          <t>观望</t>
        </is>
      </c>
      <c r="H4815" t="n">
        <v>11404</v>
      </c>
      <c r="J4815" t="n">
        <v>1</v>
      </c>
      <c r="K4815" t="inlineStr">
        <is>
          <t>逆5日线（收盘在5日线下，不追多）</t>
        </is>
      </c>
    </row>
    <row r="4816">
      <c r="A4816" t="inlineStr">
        <is>
          <t>2025-10-22</t>
        </is>
      </c>
      <c r="B4816" t="inlineStr">
        <is>
          <t>沪金</t>
        </is>
      </c>
      <c r="C4816" t="inlineStr">
        <is>
          <t>多</t>
        </is>
      </c>
      <c r="D4816" t="n">
        <v>2</v>
      </c>
      <c r="E4816" t="n">
        <v>5</v>
      </c>
      <c r="F4816" t="inlineStr">
        <is>
          <t>观望</t>
        </is>
      </c>
      <c r="H4816" t="n">
        <v>952.5599999999999</v>
      </c>
      <c r="J4816" t="n">
        <v>1</v>
      </c>
      <c r="K4816" t="inlineStr">
        <is>
          <t>逆5日线（收盘在5日线下，不追多）</t>
        </is>
      </c>
    </row>
    <row r="4817">
      <c r="A4817" t="inlineStr">
        <is>
          <t>2025-10-23</t>
        </is>
      </c>
      <c r="B4817" t="inlineStr">
        <is>
          <t>沪银</t>
        </is>
      </c>
      <c r="C4817" t="inlineStr">
        <is>
          <t>多</t>
        </is>
      </c>
      <c r="D4817" t="n">
        <v>3</v>
      </c>
      <c r="E4817" t="n">
        <v>7</v>
      </c>
      <c r="F4817" t="inlineStr">
        <is>
          <t>观望</t>
        </is>
      </c>
      <c r="G4817" t="n">
        <v>1</v>
      </c>
      <c r="H4817" t="n">
        <v>11467</v>
      </c>
      <c r="I4817" t="n">
        <v>10112.5</v>
      </c>
      <c r="J4817" t="n">
        <v>3</v>
      </c>
      <c r="K4817" t="inlineStr">
        <is>
          <t>逆5日线（收盘在5日线下，不追多）</t>
        </is>
      </c>
    </row>
    <row r="4818">
      <c r="A4818" t="inlineStr">
        <is>
          <t>2025-10-23</t>
        </is>
      </c>
      <c r="B4818" t="inlineStr">
        <is>
          <t>螺纹钢</t>
        </is>
      </c>
      <c r="C4818" t="inlineStr">
        <is>
          <t>空</t>
        </is>
      </c>
      <c r="D4818" t="n">
        <v>3</v>
      </c>
      <c r="E4818" t="n">
        <v>6</v>
      </c>
      <c r="F4818" t="inlineStr">
        <is>
          <t>观望</t>
        </is>
      </c>
      <c r="G4818" t="n">
        <v>28</v>
      </c>
      <c r="H4818" t="n">
        <v>3071</v>
      </c>
      <c r="I4818" t="n">
        <v>3177.07</v>
      </c>
      <c r="J4818" t="n">
        <v>3</v>
      </c>
      <c r="K4818" t="inlineStr">
        <is>
          <t>逆5日线（收盘在5日线上，不追空）</t>
        </is>
      </c>
    </row>
    <row r="4819">
      <c r="A4819" t="inlineStr">
        <is>
          <t>2025-10-23</t>
        </is>
      </c>
      <c r="B4819" t="inlineStr">
        <is>
          <t>菜油</t>
        </is>
      </c>
      <c r="C4819" t="inlineStr">
        <is>
          <t>空</t>
        </is>
      </c>
      <c r="D4819" t="n">
        <v>3</v>
      </c>
      <c r="E4819" t="n">
        <v>6</v>
      </c>
      <c r="F4819" t="inlineStr">
        <is>
          <t>开仓</t>
        </is>
      </c>
      <c r="G4819" t="n">
        <v>9</v>
      </c>
      <c r="H4819" t="n">
        <v>9757</v>
      </c>
      <c r="I4819" t="n">
        <v>10086.14</v>
      </c>
      <c r="J4819" t="n">
        <v>3</v>
      </c>
      <c r="K4819" t="inlineStr">
        <is>
          <t>¼凯利超上限，取3%</t>
        </is>
      </c>
    </row>
    <row r="4820">
      <c r="A4820" t="inlineStr">
        <is>
          <t>2025-10-23</t>
        </is>
      </c>
      <c r="B4820" t="inlineStr">
        <is>
          <t>苯乙烯</t>
        </is>
      </c>
      <c r="C4820" t="inlineStr">
        <is>
          <t>空</t>
        </is>
      </c>
      <c r="D4820" t="n">
        <v>3</v>
      </c>
      <c r="E4820" t="n">
        <v>6</v>
      </c>
      <c r="F4820" t="inlineStr">
        <is>
          <t>观望</t>
        </is>
      </c>
      <c r="G4820" t="n">
        <v>16</v>
      </c>
      <c r="H4820" t="n">
        <v>6574</v>
      </c>
      <c r="I4820" t="n">
        <v>6928.86</v>
      </c>
      <c r="J4820" t="n">
        <v>3</v>
      </c>
      <c r="K4820" t="inlineStr">
        <is>
          <t>逆5日线（收盘在5日线上，不追空）</t>
        </is>
      </c>
    </row>
    <row r="4821">
      <c r="A4821" t="inlineStr">
        <is>
          <t>2025-10-23</t>
        </is>
      </c>
      <c r="B4821" t="inlineStr">
        <is>
          <t>玻璃</t>
        </is>
      </c>
      <c r="C4821" t="inlineStr">
        <is>
          <t>空</t>
        </is>
      </c>
      <c r="D4821" t="n">
        <v>2</v>
      </c>
      <c r="E4821" t="n">
        <v>5</v>
      </c>
      <c r="F4821" t="inlineStr">
        <is>
          <t>观望</t>
        </is>
      </c>
      <c r="G4821" t="n">
        <v>4</v>
      </c>
      <c r="H4821" t="n">
        <v>1108</v>
      </c>
      <c r="I4821" t="n">
        <v>1215.79</v>
      </c>
      <c r="J4821" t="n">
        <v>1</v>
      </c>
      <c r="K4821" t="inlineStr">
        <is>
          <t>逆5日线（收盘在5日线上，不追空）</t>
        </is>
      </c>
    </row>
    <row r="4822">
      <c r="A4822" t="inlineStr">
        <is>
          <t>2025-10-23</t>
        </is>
      </c>
      <c r="B4822" t="inlineStr">
        <is>
          <t>白糖</t>
        </is>
      </c>
      <c r="C4822" t="inlineStr">
        <is>
          <t>多</t>
        </is>
      </c>
      <c r="D4822" t="n">
        <v>2</v>
      </c>
      <c r="E4822" t="n">
        <v>4</v>
      </c>
      <c r="F4822" t="inlineStr">
        <is>
          <t>影子仓</t>
        </is>
      </c>
      <c r="G4822" t="n">
        <v>7</v>
      </c>
      <c r="H4822" t="n">
        <v>5457</v>
      </c>
      <c r="I4822" t="n">
        <v>5328.21</v>
      </c>
      <c r="J4822" t="n">
        <v>1</v>
      </c>
      <c r="K4822" t="inlineStr">
        <is>
          <t>凯利≤0，开1%影子仓（只统计，不计入组合）</t>
        </is>
      </c>
    </row>
    <row r="4823">
      <c r="A4823" t="inlineStr">
        <is>
          <t>2025-10-23</t>
        </is>
      </c>
      <c r="B4823" t="inlineStr">
        <is>
          <t>豆油</t>
        </is>
      </c>
      <c r="C4823" t="inlineStr">
        <is>
          <t>多</t>
        </is>
      </c>
      <c r="D4823" t="n">
        <v>2</v>
      </c>
      <c r="E4823" t="n">
        <v>4</v>
      </c>
      <c r="F4823" t="inlineStr">
        <is>
          <t>观望</t>
        </is>
      </c>
      <c r="G4823" t="n">
        <v>3</v>
      </c>
      <c r="H4823" t="n">
        <v>8188</v>
      </c>
      <c r="I4823" t="n">
        <v>7924.86</v>
      </c>
      <c r="J4823" t="n">
        <v>1</v>
      </c>
      <c r="K4823" t="inlineStr">
        <is>
          <t>逆5日线（收盘在5日线下，不追多）</t>
        </is>
      </c>
    </row>
    <row r="4824">
      <c r="A4824" t="inlineStr">
        <is>
          <t>2025-10-24</t>
        </is>
      </c>
      <c r="B4824" t="inlineStr">
        <is>
          <t>PVC</t>
        </is>
      </c>
      <c r="C4824" t="inlineStr">
        <is>
          <t>空</t>
        </is>
      </c>
      <c r="D4824" t="n">
        <v>3</v>
      </c>
      <c r="E4824" t="n">
        <v>7</v>
      </c>
      <c r="F4824" t="inlineStr">
        <is>
          <t>开仓</t>
        </is>
      </c>
      <c r="G4824" t="n">
        <v>35</v>
      </c>
      <c r="H4824" t="n">
        <v>4708</v>
      </c>
      <c r="I4824" t="n">
        <v>4875.79</v>
      </c>
      <c r="J4824" t="n">
        <v>3</v>
      </c>
      <c r="K4824" t="inlineStr">
        <is>
          <t>¼凯利超上限，取3%</t>
        </is>
      </c>
    </row>
    <row r="4825">
      <c r="A4825" t="inlineStr">
        <is>
          <t>2025-10-24</t>
        </is>
      </c>
      <c r="B4825" t="inlineStr">
        <is>
          <t>玻璃</t>
        </is>
      </c>
      <c r="C4825" t="inlineStr">
        <is>
          <t>空</t>
        </is>
      </c>
      <c r="D4825" t="n">
        <v>3</v>
      </c>
      <c r="E4825" t="n">
        <v>7</v>
      </c>
      <c r="F4825" t="inlineStr">
        <is>
          <t>开仓</t>
        </is>
      </c>
      <c r="G4825" t="n">
        <v>14</v>
      </c>
      <c r="H4825" t="n">
        <v>1092</v>
      </c>
      <c r="I4825" t="n">
        <v>1198.93</v>
      </c>
      <c r="J4825" t="n">
        <v>3</v>
      </c>
      <c r="K4825" t="inlineStr">
        <is>
          <t>¼凯利超上限，取3%</t>
        </is>
      </c>
    </row>
    <row r="4826">
      <c r="A4826" t="inlineStr">
        <is>
          <t>2025-10-24</t>
        </is>
      </c>
      <c r="B4826" t="inlineStr">
        <is>
          <t>螺纹钢</t>
        </is>
      </c>
      <c r="C4826" t="inlineStr">
        <is>
          <t>空</t>
        </is>
      </c>
      <c r="D4826" t="n">
        <v>3</v>
      </c>
      <c r="E4826" t="n">
        <v>7</v>
      </c>
      <c r="F4826" t="inlineStr">
        <is>
          <t>不做</t>
        </is>
      </c>
      <c r="H4826" t="n">
        <v>3046</v>
      </c>
      <c r="J4826" t="n">
        <v>0</v>
      </c>
      <c r="K4826" t="inlineStr">
        <is>
          <t>组合风险已近10%，预算缩小</t>
        </is>
      </c>
    </row>
    <row r="4827">
      <c r="A4827" t="inlineStr">
        <is>
          <t>2025-10-24</t>
        </is>
      </c>
      <c r="B4827" t="inlineStr">
        <is>
          <t>铁矿石</t>
        </is>
      </c>
      <c r="C4827" t="inlineStr">
        <is>
          <t>空</t>
        </is>
      </c>
      <c r="D4827" t="n">
        <v>3</v>
      </c>
      <c r="E4827" t="n">
        <v>7</v>
      </c>
      <c r="F4827" t="inlineStr">
        <is>
          <t>续持</t>
        </is>
      </c>
      <c r="G4827" t="n">
        <v>2</v>
      </c>
      <c r="H4827" t="n">
        <v>771</v>
      </c>
      <c r="I4827" t="n">
        <v>807.21</v>
      </c>
      <c r="J4827" t="n">
        <v>1</v>
      </c>
      <c r="K4827" t="inlineStr">
        <is>
          <t>续持原仓（2025-10-21开）</t>
        </is>
      </c>
    </row>
    <row r="4828">
      <c r="A4828" t="inlineStr">
        <is>
          <t>2025-10-24</t>
        </is>
      </c>
      <c r="B4828" t="inlineStr">
        <is>
          <t>苯乙烯</t>
        </is>
      </c>
      <c r="C4828" t="inlineStr">
        <is>
          <t>空</t>
        </is>
      </c>
      <c r="D4828" t="n">
        <v>3</v>
      </c>
      <c r="E4828" t="n">
        <v>6</v>
      </c>
      <c r="F4828" t="inlineStr">
        <is>
          <t>观望</t>
        </is>
      </c>
      <c r="H4828" t="n">
        <v>6539</v>
      </c>
      <c r="J4828" t="n">
        <v>0</v>
      </c>
      <c r="K4828" t="inlineStr">
        <is>
          <t>逆5日线（收盘在5日线上，不追空）</t>
        </is>
      </c>
    </row>
    <row r="4829">
      <c r="A4829" t="inlineStr">
        <is>
          <t>2025-10-24</t>
        </is>
      </c>
      <c r="B4829" t="inlineStr">
        <is>
          <t>沪金</t>
        </is>
      </c>
      <c r="C4829" t="inlineStr">
        <is>
          <t>多</t>
        </is>
      </c>
      <c r="D4829" t="n">
        <v>2</v>
      </c>
      <c r="E4829" t="n">
        <v>5</v>
      </c>
      <c r="F4829" t="inlineStr">
        <is>
          <t>观望</t>
        </is>
      </c>
      <c r="H4829" t="n">
        <v>938.1</v>
      </c>
      <c r="J4829" t="n">
        <v>1</v>
      </c>
      <c r="K4829" t="inlineStr">
        <is>
          <t>逆5日线（收盘在5日线下，不追多）</t>
        </is>
      </c>
    </row>
    <row r="4830">
      <c r="A4830" t="inlineStr">
        <is>
          <t>2025-10-27</t>
        </is>
      </c>
      <c r="B4830" t="inlineStr">
        <is>
          <t>螺纹钢</t>
        </is>
      </c>
      <c r="C4830" t="inlineStr">
        <is>
          <t>空</t>
        </is>
      </c>
      <c r="D4830" t="n">
        <v>2</v>
      </c>
      <c r="E4830" t="n">
        <v>5</v>
      </c>
      <c r="F4830" t="inlineStr">
        <is>
          <t>观望</t>
        </is>
      </c>
      <c r="G4830" t="n">
        <v>9</v>
      </c>
      <c r="H4830" t="n">
        <v>3100</v>
      </c>
      <c r="I4830" t="n">
        <v>3209.07</v>
      </c>
      <c r="J4830" t="n">
        <v>1</v>
      </c>
      <c r="K4830" t="inlineStr">
        <is>
          <t>逆5日线（收盘在5日线上，不追空）</t>
        </is>
      </c>
    </row>
    <row r="4831">
      <c r="A4831" t="inlineStr">
        <is>
          <t>2025-10-27</t>
        </is>
      </c>
      <c r="B4831" t="inlineStr">
        <is>
          <t>菜油</t>
        </is>
      </c>
      <c r="C4831" t="inlineStr">
        <is>
          <t>空</t>
        </is>
      </c>
      <c r="D4831" t="n">
        <v>2</v>
      </c>
      <c r="E4831" t="n">
        <v>5</v>
      </c>
      <c r="F4831" t="inlineStr">
        <is>
          <t>影子仓</t>
        </is>
      </c>
      <c r="G4831" t="n">
        <v>3</v>
      </c>
      <c r="H4831" t="n">
        <v>9748</v>
      </c>
      <c r="I4831" t="n">
        <v>10073.71</v>
      </c>
      <c r="J4831" t="n">
        <v>1</v>
      </c>
      <c r="K4831" t="inlineStr">
        <is>
          <t>凯利≤0，开1%影子仓（只统计，不计入组合）</t>
        </is>
      </c>
    </row>
    <row r="4832">
      <c r="A4832" t="inlineStr">
        <is>
          <t>2025-10-27</t>
        </is>
      </c>
      <c r="B4832" t="inlineStr">
        <is>
          <t>玉米</t>
        </is>
      </c>
      <c r="C4832" t="inlineStr">
        <is>
          <t>空</t>
        </is>
      </c>
      <c r="D4832" t="n">
        <v>2</v>
      </c>
      <c r="E4832" t="n">
        <v>5</v>
      </c>
      <c r="F4832" t="inlineStr">
        <is>
          <t>影子仓</t>
        </is>
      </c>
      <c r="G4832" t="n">
        <v>14</v>
      </c>
      <c r="H4832" t="n">
        <v>2112</v>
      </c>
      <c r="I4832" t="n">
        <v>2182.71</v>
      </c>
      <c r="J4832" t="n">
        <v>1</v>
      </c>
      <c r="K4832" t="inlineStr">
        <is>
          <t>凯利≤0，开1%影子仓（只统计，不计入组合）</t>
        </is>
      </c>
    </row>
    <row r="4833">
      <c r="A4833" t="inlineStr">
        <is>
          <t>2025-10-27</t>
        </is>
      </c>
      <c r="B4833" t="inlineStr">
        <is>
          <t>苯乙烯</t>
        </is>
      </c>
      <c r="C4833" t="inlineStr">
        <is>
          <t>空</t>
        </is>
      </c>
      <c r="D4833" t="n">
        <v>2</v>
      </c>
      <c r="E4833" t="n">
        <v>4</v>
      </c>
      <c r="F4833" t="inlineStr">
        <is>
          <t>影子仓</t>
        </is>
      </c>
      <c r="G4833" t="n">
        <v>5</v>
      </c>
      <c r="H4833" t="n">
        <v>6531</v>
      </c>
      <c r="I4833" t="n">
        <v>6897.43</v>
      </c>
      <c r="J4833" t="n">
        <v>1</v>
      </c>
      <c r="K4833" t="inlineStr">
        <is>
          <t>凯利≤0，开1%影子仓（只统计，不计入组合）</t>
        </is>
      </c>
    </row>
    <row r="4834">
      <c r="A4834" t="inlineStr">
        <is>
          <t>2025-10-28</t>
        </is>
      </c>
      <c r="B4834" t="inlineStr">
        <is>
          <t>PVC</t>
        </is>
      </c>
      <c r="C4834" t="inlineStr">
        <is>
          <t>空</t>
        </is>
      </c>
      <c r="D4834" t="n">
        <v>3</v>
      </c>
      <c r="E4834" t="n">
        <v>7</v>
      </c>
      <c r="F4834" t="inlineStr">
        <is>
          <t>续持</t>
        </is>
      </c>
      <c r="G4834" t="n">
        <v>35</v>
      </c>
      <c r="H4834" t="n">
        <v>4716</v>
      </c>
      <c r="I4834" t="n">
        <v>4862.21</v>
      </c>
      <c r="J4834" t="n">
        <v>3</v>
      </c>
      <c r="K4834" t="inlineStr">
        <is>
          <t>续持原仓（2025-10-24开）</t>
        </is>
      </c>
    </row>
    <row r="4835">
      <c r="A4835" t="inlineStr">
        <is>
          <t>2025-10-28</t>
        </is>
      </c>
      <c r="B4835" t="inlineStr">
        <is>
          <t>螺纹钢</t>
        </is>
      </c>
      <c r="C4835" t="inlineStr">
        <is>
          <t>空</t>
        </is>
      </c>
      <c r="D4835" t="n">
        <v>2</v>
      </c>
      <c r="E4835" t="n">
        <v>5</v>
      </c>
      <c r="F4835" t="inlineStr">
        <is>
          <t>观望</t>
        </is>
      </c>
      <c r="G4835" t="n">
        <v>9</v>
      </c>
      <c r="H4835" t="n">
        <v>3091</v>
      </c>
      <c r="I4835" t="n">
        <v>3197.71</v>
      </c>
      <c r="J4835" t="n">
        <v>1</v>
      </c>
      <c r="K4835" t="inlineStr">
        <is>
          <t>逆5日线（收盘在5日线上，不追空）</t>
        </is>
      </c>
    </row>
    <row r="4836">
      <c r="A4836" t="inlineStr">
        <is>
          <t>2025-10-28</t>
        </is>
      </c>
      <c r="B4836" t="inlineStr">
        <is>
          <t>菜油</t>
        </is>
      </c>
      <c r="C4836" t="inlineStr">
        <is>
          <t>空</t>
        </is>
      </c>
      <c r="D4836" t="n">
        <v>2</v>
      </c>
      <c r="E4836" t="n">
        <v>5</v>
      </c>
      <c r="F4836" t="inlineStr">
        <is>
          <t>续持</t>
        </is>
      </c>
      <c r="G4836" t="n">
        <v>3</v>
      </c>
      <c r="H4836" t="n">
        <v>9730</v>
      </c>
      <c r="I4836" t="n">
        <v>10012.29</v>
      </c>
      <c r="J4836" t="n">
        <v>1</v>
      </c>
      <c r="K4836" t="inlineStr">
        <is>
          <t>续持原仓（2025-10-27开）</t>
        </is>
      </c>
    </row>
    <row r="4837">
      <c r="A4837" t="inlineStr">
        <is>
          <t>2025-10-28</t>
        </is>
      </c>
      <c r="B4837" t="inlineStr">
        <is>
          <t>苯乙烯</t>
        </is>
      </c>
      <c r="C4837" t="inlineStr">
        <is>
          <t>空</t>
        </is>
      </c>
      <c r="D4837" t="n">
        <v>2</v>
      </c>
      <c r="E4837" t="n">
        <v>5</v>
      </c>
      <c r="F4837" t="inlineStr">
        <is>
          <t>续持</t>
        </is>
      </c>
      <c r="G4837" t="n">
        <v>5</v>
      </c>
      <c r="H4837" t="n">
        <v>6466</v>
      </c>
      <c r="I4837" t="n">
        <v>6811.64</v>
      </c>
      <c r="J4837" t="n">
        <v>1</v>
      </c>
      <c r="K4837" t="inlineStr">
        <is>
          <t>续持原仓（2025-10-27开）</t>
        </is>
      </c>
    </row>
    <row r="4838">
      <c r="A4838" t="inlineStr">
        <is>
          <t>2025-10-28</t>
        </is>
      </c>
      <c r="B4838" t="inlineStr">
        <is>
          <t>白糖</t>
        </is>
      </c>
      <c r="C4838" t="inlineStr">
        <is>
          <t>多</t>
        </is>
      </c>
      <c r="D4838" t="n">
        <v>2</v>
      </c>
      <c r="E4838" t="n">
        <v>5</v>
      </c>
      <c r="F4838" t="inlineStr">
        <is>
          <t>续持</t>
        </is>
      </c>
      <c r="G4838" t="n">
        <v>7</v>
      </c>
      <c r="H4838" t="n">
        <v>5483</v>
      </c>
      <c r="I4838" t="n">
        <v>5356.14</v>
      </c>
      <c r="J4838" t="n">
        <v>1</v>
      </c>
      <c r="K4838" t="inlineStr">
        <is>
          <t>续持原仓（2025-10-23开）</t>
        </is>
      </c>
    </row>
    <row r="4839">
      <c r="A4839" t="inlineStr">
        <is>
          <t>2025-10-28</t>
        </is>
      </c>
      <c r="B4839" t="inlineStr">
        <is>
          <t>沪银</t>
        </is>
      </c>
      <c r="C4839" t="inlineStr">
        <is>
          <t>多</t>
        </is>
      </c>
      <c r="D4839" t="n">
        <v>2</v>
      </c>
      <c r="E4839" t="n">
        <v>4</v>
      </c>
      <c r="F4839" t="inlineStr">
        <is>
          <t>观望</t>
        </is>
      </c>
      <c r="H4839" t="n">
        <v>11049</v>
      </c>
      <c r="J4839" t="n">
        <v>1</v>
      </c>
      <c r="K4839" t="inlineStr">
        <is>
          <t>逆5日线（收盘在5日线下，不追多）</t>
        </is>
      </c>
    </row>
    <row r="4840">
      <c r="A4840" t="inlineStr">
        <is>
          <t>2025-10-29</t>
        </is>
      </c>
      <c r="B4840" t="inlineStr">
        <is>
          <t>沪银</t>
        </is>
      </c>
      <c r="C4840" t="inlineStr">
        <is>
          <t>多</t>
        </is>
      </c>
      <c r="D4840" t="n">
        <v>3</v>
      </c>
      <c r="E4840" t="n">
        <v>6</v>
      </c>
      <c r="F4840" t="inlineStr">
        <is>
          <t>开仓</t>
        </is>
      </c>
      <c r="G4840" t="n">
        <v>1</v>
      </c>
      <c r="H4840" t="n">
        <v>11338</v>
      </c>
      <c r="I4840" t="n">
        <v>9980.07</v>
      </c>
      <c r="J4840" t="n">
        <v>3</v>
      </c>
      <c r="K4840" t="inlineStr">
        <is>
          <t>¼凯利超上限，取3%</t>
        </is>
      </c>
    </row>
    <row r="4841">
      <c r="A4841" t="inlineStr">
        <is>
          <t>2025-10-29</t>
        </is>
      </c>
      <c r="B4841" t="inlineStr">
        <is>
          <t>沪铝</t>
        </is>
      </c>
      <c r="C4841" t="inlineStr">
        <is>
          <t>多</t>
        </is>
      </c>
      <c r="D4841" t="n">
        <v>2</v>
      </c>
      <c r="E4841" t="n">
        <v>5</v>
      </c>
      <c r="F4841" t="inlineStr">
        <is>
          <t>影子仓</t>
        </is>
      </c>
      <c r="G4841" t="n">
        <v>3</v>
      </c>
      <c r="H4841" t="n">
        <v>21295</v>
      </c>
      <c r="I4841" t="n">
        <v>20740</v>
      </c>
      <c r="J4841" t="n">
        <v>1</v>
      </c>
      <c r="K4841" t="inlineStr">
        <is>
          <t>凯利≤0，开1%影子仓（只统计，不计入组合）</t>
        </is>
      </c>
    </row>
    <row r="4842">
      <c r="A4842" t="inlineStr">
        <is>
          <t>2025-10-29</t>
        </is>
      </c>
      <c r="B4842" t="inlineStr">
        <is>
          <t>鸡蛋</t>
        </is>
      </c>
      <c r="C4842" t="inlineStr">
        <is>
          <t>多</t>
        </is>
      </c>
      <c r="D4842" t="n">
        <v>2</v>
      </c>
      <c r="E4842" t="n">
        <v>4</v>
      </c>
      <c r="F4842" t="inlineStr">
        <is>
          <t>影子仓</t>
        </is>
      </c>
      <c r="G4842" t="n">
        <v>5</v>
      </c>
      <c r="H4842" t="n">
        <v>3165</v>
      </c>
      <c r="I4842" t="n">
        <v>2970.21</v>
      </c>
      <c r="J4842" t="n">
        <v>1</v>
      </c>
      <c r="K4842" t="inlineStr">
        <is>
          <t>凯利≤0，开1%影子仓（只统计，不计入组合）</t>
        </is>
      </c>
    </row>
    <row r="4843">
      <c r="A4843" t="inlineStr">
        <is>
          <t>2025-10-30</t>
        </is>
      </c>
      <c r="B4843" t="inlineStr">
        <is>
          <t>碳酸锂</t>
        </is>
      </c>
      <c r="C4843" t="inlineStr">
        <is>
          <t>多</t>
        </is>
      </c>
      <c r="D4843" t="n">
        <v>3</v>
      </c>
      <c r="E4843" t="n">
        <v>6</v>
      </c>
      <c r="F4843" t="inlineStr">
        <is>
          <t>开仓</t>
        </is>
      </c>
      <c r="G4843" t="n">
        <v>1</v>
      </c>
      <c r="H4843" t="n">
        <v>83400</v>
      </c>
      <c r="I4843" t="n">
        <v>77635.71000000001</v>
      </c>
      <c r="J4843" t="n">
        <v>1</v>
      </c>
      <c r="K4843" t="inlineStr">
        <is>
          <t>组合风险已近10%，预算缩小</t>
        </is>
      </c>
    </row>
    <row r="4844">
      <c r="A4844" t="inlineStr">
        <is>
          <t>2025-10-30</t>
        </is>
      </c>
      <c r="B4844" t="inlineStr">
        <is>
          <t>玻璃</t>
        </is>
      </c>
      <c r="C4844" t="inlineStr">
        <is>
          <t>空</t>
        </is>
      </c>
      <c r="D4844" t="n">
        <v>3</v>
      </c>
      <c r="E4844" t="n">
        <v>6</v>
      </c>
      <c r="F4844" t="inlineStr">
        <is>
          <t>续持</t>
        </is>
      </c>
      <c r="G4844" t="n">
        <v>14</v>
      </c>
      <c r="H4844" t="n">
        <v>1091</v>
      </c>
      <c r="I4844" t="n">
        <v>1182.64</v>
      </c>
      <c r="J4844" t="n">
        <v>3</v>
      </c>
      <c r="K4844" t="inlineStr">
        <is>
          <t>续持原仓（2025-10-24开）</t>
        </is>
      </c>
    </row>
    <row r="4845">
      <c r="A4845" t="inlineStr">
        <is>
          <t>2025-10-30</t>
        </is>
      </c>
      <c r="B4845" t="inlineStr">
        <is>
          <t>玉米</t>
        </is>
      </c>
      <c r="C4845" t="inlineStr">
        <is>
          <t>空</t>
        </is>
      </c>
      <c r="D4845" t="n">
        <v>2</v>
      </c>
      <c r="E4845" t="n">
        <v>4</v>
      </c>
      <c r="F4845" t="inlineStr">
        <is>
          <t>影子仓</t>
        </is>
      </c>
      <c r="G4845" t="n">
        <v>15</v>
      </c>
      <c r="H4845" t="n">
        <v>2111</v>
      </c>
      <c r="I4845" t="n">
        <v>2175.29</v>
      </c>
      <c r="J4845" t="n">
        <v>1</v>
      </c>
      <c r="K4845" t="inlineStr">
        <is>
          <t>凯利≤0，开1%影子仓（只统计，不计入组合）</t>
        </is>
      </c>
    </row>
    <row r="4846">
      <c r="A4846" t="inlineStr">
        <is>
          <t>2025-10-30</t>
        </is>
      </c>
      <c r="B4846" t="inlineStr">
        <is>
          <t>沪铝</t>
        </is>
      </c>
      <c r="C4846" t="inlineStr">
        <is>
          <t>多</t>
        </is>
      </c>
      <c r="D4846" t="n">
        <v>2</v>
      </c>
      <c r="E4846" t="n">
        <v>4</v>
      </c>
      <c r="F4846" t="inlineStr">
        <is>
          <t>观望</t>
        </is>
      </c>
      <c r="G4846" t="n">
        <v>3</v>
      </c>
      <c r="H4846" t="n">
        <v>21245</v>
      </c>
      <c r="I4846" t="n">
        <v>20713.57</v>
      </c>
      <c r="J4846" t="n">
        <v>1</v>
      </c>
      <c r="K4846" t="inlineStr">
        <is>
          <t>逆5日线（收盘在5日线下，不追多）</t>
        </is>
      </c>
    </row>
    <row r="4847">
      <c r="A4847" t="inlineStr">
        <is>
          <t>2025-10-30</t>
        </is>
      </c>
      <c r="B4847" t="inlineStr">
        <is>
          <t>纯碱</t>
        </is>
      </c>
      <c r="C4847" t="inlineStr">
        <is>
          <t>空</t>
        </is>
      </c>
      <c r="D4847" t="n">
        <v>2</v>
      </c>
      <c r="E4847" t="n">
        <v>4</v>
      </c>
      <c r="F4847" t="inlineStr">
        <is>
          <t>续持</t>
        </is>
      </c>
      <c r="G4847" t="n">
        <v>5</v>
      </c>
      <c r="H4847" t="n">
        <v>1235</v>
      </c>
      <c r="I4847" t="n">
        <v>1278.43</v>
      </c>
      <c r="J4847" t="n">
        <v>1</v>
      </c>
      <c r="K4847" t="inlineStr">
        <is>
          <t>续持原仓（2025-10-20开）</t>
        </is>
      </c>
    </row>
    <row r="4848">
      <c r="A4848" t="inlineStr">
        <is>
          <t>2025-10-31</t>
        </is>
      </c>
      <c r="B4848" t="inlineStr">
        <is>
          <t>塑料</t>
        </is>
      </c>
      <c r="C4848" t="inlineStr">
        <is>
          <t>空</t>
        </is>
      </c>
      <c r="D4848" t="n">
        <v>3</v>
      </c>
      <c r="E4848" t="n">
        <v>7</v>
      </c>
      <c r="F4848" t="inlineStr">
        <is>
          <t>开仓</t>
        </is>
      </c>
      <c r="G4848" t="n">
        <v>27</v>
      </c>
      <c r="H4848" t="n">
        <v>6899</v>
      </c>
      <c r="I4848" t="n">
        <v>7115</v>
      </c>
      <c r="J4848" t="n">
        <v>3</v>
      </c>
      <c r="K4848" t="inlineStr">
        <is>
          <t>¼凯利超上限，取3%</t>
        </is>
      </c>
    </row>
    <row r="4849">
      <c r="A4849" t="inlineStr">
        <is>
          <t>2025-10-31</t>
        </is>
      </c>
      <c r="B4849" t="inlineStr">
        <is>
          <t>豆粕</t>
        </is>
      </c>
      <c r="C4849" t="inlineStr">
        <is>
          <t>多</t>
        </is>
      </c>
      <c r="D4849" t="n">
        <v>3</v>
      </c>
      <c r="E4849" t="n">
        <v>7</v>
      </c>
      <c r="F4849" t="inlineStr">
        <is>
          <t>开仓</t>
        </is>
      </c>
      <c r="G4849" t="n">
        <v>25</v>
      </c>
      <c r="H4849" t="n">
        <v>3021</v>
      </c>
      <c r="I4849" t="n">
        <v>2901.86</v>
      </c>
      <c r="J4849" t="n">
        <v>3</v>
      </c>
      <c r="K4849" t="inlineStr">
        <is>
          <t>¼凯利超上限，取3%</t>
        </is>
      </c>
    </row>
    <row r="4850">
      <c r="A4850" t="inlineStr">
        <is>
          <t>2025-11-03</t>
        </is>
      </c>
      <c r="B4850" t="inlineStr">
        <is>
          <t>碳酸锂</t>
        </is>
      </c>
      <c r="C4850" t="inlineStr">
        <is>
          <t>多</t>
        </is>
      </c>
      <c r="D4850" t="n">
        <v>3</v>
      </c>
      <c r="E4850" t="n">
        <v>7</v>
      </c>
      <c r="F4850" t="inlineStr">
        <is>
          <t>续持</t>
        </is>
      </c>
      <c r="G4850" t="n">
        <v>1</v>
      </c>
      <c r="H4850" t="n">
        <v>82280</v>
      </c>
      <c r="I4850" t="n">
        <v>78052.86</v>
      </c>
      <c r="J4850" t="n">
        <v>1</v>
      </c>
      <c r="K4850" t="inlineStr">
        <is>
          <t>续持原仓（2025-10-30开）</t>
        </is>
      </c>
    </row>
    <row r="4851">
      <c r="A4851" t="inlineStr">
        <is>
          <t>2025-11-03</t>
        </is>
      </c>
      <c r="B4851" t="inlineStr">
        <is>
          <t>棕榈油</t>
        </is>
      </c>
      <c r="C4851" t="inlineStr">
        <is>
          <t>空</t>
        </is>
      </c>
      <c r="D4851" t="n">
        <v>3</v>
      </c>
      <c r="E4851" t="n">
        <v>7</v>
      </c>
      <c r="F4851" t="inlineStr">
        <is>
          <t>不做</t>
        </is>
      </c>
      <c r="H4851" t="n">
        <v>8664</v>
      </c>
      <c r="J4851" t="n">
        <v>0</v>
      </c>
      <c r="K4851" t="inlineStr">
        <is>
          <t>组合风险已近10%，预算缩小</t>
        </is>
      </c>
    </row>
    <row r="4852">
      <c r="A4852" t="inlineStr">
        <is>
          <t>2025-11-03</t>
        </is>
      </c>
      <c r="B4852" t="inlineStr">
        <is>
          <t>塑料</t>
        </is>
      </c>
      <c r="C4852" t="inlineStr">
        <is>
          <t>空</t>
        </is>
      </c>
      <c r="D4852" t="n">
        <v>3</v>
      </c>
      <c r="E4852" t="n">
        <v>6</v>
      </c>
      <c r="F4852" t="inlineStr">
        <is>
          <t>续持</t>
        </is>
      </c>
      <c r="G4852" t="n">
        <v>27</v>
      </c>
      <c r="H4852" t="n">
        <v>6888</v>
      </c>
      <c r="I4852" t="n">
        <v>7089.43</v>
      </c>
      <c r="J4852" t="n">
        <v>3</v>
      </c>
      <c r="K4852" t="inlineStr">
        <is>
          <t>续持原仓（2025-10-31开）</t>
        </is>
      </c>
    </row>
    <row r="4853">
      <c r="A4853" t="inlineStr">
        <is>
          <t>2025-11-03</t>
        </is>
      </c>
      <c r="B4853" t="inlineStr">
        <is>
          <t>甲醇</t>
        </is>
      </c>
      <c r="C4853" t="inlineStr">
        <is>
          <t>空</t>
        </is>
      </c>
      <c r="D4853" t="n">
        <v>3</v>
      </c>
      <c r="E4853" t="n">
        <v>6</v>
      </c>
      <c r="F4853" t="inlineStr">
        <is>
          <t>不做</t>
        </is>
      </c>
      <c r="H4853" t="n">
        <v>2143</v>
      </c>
      <c r="J4853" t="n">
        <v>0</v>
      </c>
      <c r="K4853" t="inlineStr">
        <is>
          <t>化工板块同方向已近6%，预算缩小</t>
        </is>
      </c>
    </row>
    <row r="4854">
      <c r="A4854" t="inlineStr">
        <is>
          <t>2025-11-03</t>
        </is>
      </c>
      <c r="B4854" t="inlineStr">
        <is>
          <t>豆粕</t>
        </is>
      </c>
      <c r="C4854" t="inlineStr">
        <is>
          <t>多</t>
        </is>
      </c>
      <c r="D4854" t="n">
        <v>2</v>
      </c>
      <c r="E4854" t="n">
        <v>5</v>
      </c>
      <c r="F4854" t="inlineStr">
        <is>
          <t>续持</t>
        </is>
      </c>
      <c r="G4854" t="n">
        <v>25</v>
      </c>
      <c r="H4854" t="n">
        <v>3026</v>
      </c>
      <c r="I4854" t="n">
        <v>2942.5</v>
      </c>
      <c r="J4854" t="n">
        <v>3</v>
      </c>
      <c r="K4854" t="inlineStr">
        <is>
          <t>续持原仓（2025-10-31开）</t>
        </is>
      </c>
    </row>
    <row r="4855">
      <c r="A4855" t="inlineStr">
        <is>
          <t>2025-11-03</t>
        </is>
      </c>
      <c r="B4855" t="inlineStr">
        <is>
          <t>沪锌</t>
        </is>
      </c>
      <c r="C4855" t="inlineStr">
        <is>
          <t>多</t>
        </is>
      </c>
      <c r="D4855" t="n">
        <v>2</v>
      </c>
      <c r="E4855" t="n">
        <v>4</v>
      </c>
      <c r="F4855" t="inlineStr">
        <is>
          <t>影子仓</t>
        </is>
      </c>
      <c r="G4855" t="n">
        <v>3</v>
      </c>
      <c r="H4855" t="n">
        <v>22565</v>
      </c>
      <c r="I4855" t="n">
        <v>21963.93</v>
      </c>
      <c r="J4855" t="n">
        <v>1</v>
      </c>
      <c r="K4855" t="inlineStr">
        <is>
          <t>凯利≤0，开1%影子仓（只统计，不计入组合）</t>
        </is>
      </c>
    </row>
    <row r="4856">
      <c r="A4856" t="inlineStr">
        <is>
          <t>2025-11-03</t>
        </is>
      </c>
      <c r="B4856" t="inlineStr">
        <is>
          <t>鸡蛋</t>
        </is>
      </c>
      <c r="C4856" t="inlineStr">
        <is>
          <t>多</t>
        </is>
      </c>
      <c r="D4856" t="n">
        <v>2</v>
      </c>
      <c r="E4856" t="n">
        <v>4</v>
      </c>
      <c r="F4856" t="inlineStr">
        <is>
          <t>影子仓</t>
        </is>
      </c>
      <c r="G4856" t="n">
        <v>5</v>
      </c>
      <c r="H4856" t="n">
        <v>3158</v>
      </c>
      <c r="I4856" t="n">
        <v>2966.86</v>
      </c>
      <c r="J4856" t="n">
        <v>1</v>
      </c>
      <c r="K4856" t="inlineStr">
        <is>
          <t>凯利≤0，开1%影子仓（只统计，不计入组合）</t>
        </is>
      </c>
    </row>
    <row r="4857">
      <c r="A4857" t="inlineStr">
        <is>
          <t>2025-11-04</t>
        </is>
      </c>
      <c r="B4857" t="inlineStr">
        <is>
          <t>苯乙烯</t>
        </is>
      </c>
      <c r="C4857" t="inlineStr">
        <is>
          <t>空</t>
        </is>
      </c>
      <c r="D4857" t="n">
        <v>3</v>
      </c>
      <c r="E4857" t="n">
        <v>6</v>
      </c>
      <c r="F4857" t="inlineStr">
        <is>
          <t>开仓</t>
        </is>
      </c>
      <c r="G4857" t="n">
        <v>16</v>
      </c>
      <c r="H4857" t="n">
        <v>6354</v>
      </c>
      <c r="I4857" t="n">
        <v>6711.21</v>
      </c>
      <c r="J4857" t="n">
        <v>3</v>
      </c>
      <c r="K4857" t="inlineStr">
        <is>
          <t>¼凯利超上限，取3%</t>
        </is>
      </c>
    </row>
    <row r="4858">
      <c r="A4858" t="inlineStr">
        <is>
          <t>2025-11-04</t>
        </is>
      </c>
      <c r="B4858" t="inlineStr">
        <is>
          <t>热卷</t>
        </is>
      </c>
      <c r="C4858" t="inlineStr">
        <is>
          <t>空</t>
        </is>
      </c>
      <c r="D4858" t="n">
        <v>3</v>
      </c>
      <c r="E4858" t="n">
        <v>6</v>
      </c>
      <c r="F4858" t="inlineStr">
        <is>
          <t>开仓</t>
        </is>
      </c>
      <c r="G4858" t="n">
        <v>9</v>
      </c>
      <c r="H4858" t="n">
        <v>3265</v>
      </c>
      <c r="I4858" t="n">
        <v>3372.14</v>
      </c>
      <c r="J4858" t="n">
        <v>1</v>
      </c>
      <c r="K4858" t="inlineStr">
        <is>
          <t>组合风险已近10%，预算缩小</t>
        </is>
      </c>
    </row>
    <row r="4859">
      <c r="A4859" t="inlineStr">
        <is>
          <t>2025-11-04</t>
        </is>
      </c>
      <c r="B4859" t="inlineStr">
        <is>
          <t>沪锌</t>
        </is>
      </c>
      <c r="C4859" t="inlineStr">
        <is>
          <t>多</t>
        </is>
      </c>
      <c r="D4859" t="n">
        <v>3</v>
      </c>
      <c r="E4859" t="n">
        <v>6</v>
      </c>
      <c r="F4859" t="inlineStr">
        <is>
          <t>续持</t>
        </is>
      </c>
      <c r="G4859" t="n">
        <v>3</v>
      </c>
      <c r="H4859" t="n">
        <v>22670</v>
      </c>
      <c r="I4859" t="n">
        <v>22245.36</v>
      </c>
      <c r="J4859" t="n">
        <v>1</v>
      </c>
      <c r="K4859" t="inlineStr">
        <is>
          <t>续持原仓（2025-11-03开）</t>
        </is>
      </c>
    </row>
    <row r="4860">
      <c r="A4860" t="inlineStr">
        <is>
          <t>2025-11-04</t>
        </is>
      </c>
      <c r="B4860" t="inlineStr">
        <is>
          <t>沪镍</t>
        </is>
      </c>
      <c r="C4860" t="inlineStr">
        <is>
          <t>空</t>
        </is>
      </c>
      <c r="D4860" t="n">
        <v>3</v>
      </c>
      <c r="E4860" t="n">
        <v>6</v>
      </c>
      <c r="F4860" t="inlineStr">
        <is>
          <t>不做</t>
        </is>
      </c>
      <c r="H4860" t="n">
        <v>119700</v>
      </c>
      <c r="J4860" t="n">
        <v>0</v>
      </c>
      <c r="K4860" t="inlineStr">
        <is>
          <t>组合风险已近10%，预算缩小</t>
        </is>
      </c>
    </row>
    <row r="4861">
      <c r="A4861" t="inlineStr">
        <is>
          <t>2025-11-04</t>
        </is>
      </c>
      <c r="B4861" t="inlineStr">
        <is>
          <t>铁矿石</t>
        </is>
      </c>
      <c r="C4861" t="inlineStr">
        <is>
          <t>空</t>
        </is>
      </c>
      <c r="D4861" t="n">
        <v>2</v>
      </c>
      <c r="E4861" t="n">
        <v>5</v>
      </c>
      <c r="F4861" t="inlineStr">
        <is>
          <t>影子仓</t>
        </is>
      </c>
      <c r="G4861" t="n">
        <v>2</v>
      </c>
      <c r="H4861" t="n">
        <v>775.5</v>
      </c>
      <c r="I4861" t="n">
        <v>816.11</v>
      </c>
      <c r="J4861" t="n">
        <v>1</v>
      </c>
      <c r="K4861" t="inlineStr">
        <is>
          <t>凯利≤0，开1%影子仓（只统计，不计入组合）</t>
        </is>
      </c>
    </row>
    <row r="4862">
      <c r="A4862" t="inlineStr">
        <is>
          <t>2025-11-04</t>
        </is>
      </c>
      <c r="B4862" t="inlineStr">
        <is>
          <t>豆油</t>
        </is>
      </c>
      <c r="C4862" t="inlineStr">
        <is>
          <t>空</t>
        </is>
      </c>
      <c r="D4862" t="n">
        <v>2</v>
      </c>
      <c r="E4862" t="n">
        <v>4</v>
      </c>
      <c r="F4862" t="inlineStr">
        <is>
          <t>影子仓</t>
        </is>
      </c>
      <c r="G4862" t="n">
        <v>3</v>
      </c>
      <c r="H4862" t="n">
        <v>8108</v>
      </c>
      <c r="I4862" t="n">
        <v>8369</v>
      </c>
      <c r="J4862" t="n">
        <v>1</v>
      </c>
      <c r="K4862" t="inlineStr">
        <is>
          <t>凯利≤0，开1%影子仓（只统计，不计入组合）</t>
        </is>
      </c>
    </row>
    <row r="4863">
      <c r="A4863" t="inlineStr">
        <is>
          <t>2025-11-04</t>
        </is>
      </c>
      <c r="B4863" t="inlineStr">
        <is>
          <t>豆粕</t>
        </is>
      </c>
      <c r="C4863" t="inlineStr">
        <is>
          <t>多</t>
        </is>
      </c>
      <c r="D4863" t="n">
        <v>2</v>
      </c>
      <c r="E4863" t="n">
        <v>4</v>
      </c>
      <c r="F4863" t="inlineStr">
        <is>
          <t>续持</t>
        </is>
      </c>
      <c r="G4863" t="n">
        <v>25</v>
      </c>
      <c r="H4863" t="n">
        <v>3015</v>
      </c>
      <c r="I4863" t="n">
        <v>2942.5</v>
      </c>
      <c r="J4863" t="n">
        <v>3</v>
      </c>
      <c r="K4863" t="inlineStr">
        <is>
          <t>续持原仓（2025-10-31开）</t>
        </is>
      </c>
    </row>
    <row r="4864">
      <c r="A4864" t="inlineStr">
        <is>
          <t>2025-11-05</t>
        </is>
      </c>
      <c r="B4864" t="inlineStr">
        <is>
          <t>塑料</t>
        </is>
      </c>
      <c r="C4864" t="inlineStr">
        <is>
          <t>空</t>
        </is>
      </c>
      <c r="D4864" t="n">
        <v>3</v>
      </c>
      <c r="E4864" t="n">
        <v>7</v>
      </c>
      <c r="F4864" t="inlineStr">
        <is>
          <t>不做</t>
        </is>
      </c>
      <c r="H4864" t="n">
        <v>6814</v>
      </c>
      <c r="J4864" t="n">
        <v>0</v>
      </c>
      <c r="K4864" t="inlineStr">
        <is>
          <t>化工板块同方向已近6%，预算缩小</t>
        </is>
      </c>
    </row>
    <row r="4865">
      <c r="A4865" t="inlineStr">
        <is>
          <t>2025-11-05</t>
        </is>
      </c>
      <c r="B4865" t="inlineStr">
        <is>
          <t>苯乙烯</t>
        </is>
      </c>
      <c r="C4865" t="inlineStr">
        <is>
          <t>空</t>
        </is>
      </c>
      <c r="D4865" t="n">
        <v>3</v>
      </c>
      <c r="E4865" t="n">
        <v>7</v>
      </c>
      <c r="F4865" t="inlineStr">
        <is>
          <t>续持</t>
        </is>
      </c>
      <c r="G4865" t="n">
        <v>16</v>
      </c>
      <c r="H4865" t="n">
        <v>6321</v>
      </c>
      <c r="I4865" t="n">
        <v>6598.79</v>
      </c>
      <c r="J4865" t="n">
        <v>3</v>
      </c>
      <c r="K4865" t="inlineStr">
        <is>
          <t>续持原仓（2025-11-04开）</t>
        </is>
      </c>
    </row>
    <row r="4866">
      <c r="A4866" t="inlineStr">
        <is>
          <t>2025-11-05</t>
        </is>
      </c>
      <c r="B4866" t="inlineStr">
        <is>
          <t>豆粕</t>
        </is>
      </c>
      <c r="C4866" t="inlineStr">
        <is>
          <t>多</t>
        </is>
      </c>
      <c r="D4866" t="n">
        <v>3</v>
      </c>
      <c r="E4866" t="n">
        <v>6</v>
      </c>
      <c r="F4866" t="inlineStr">
        <is>
          <t>续持</t>
        </is>
      </c>
      <c r="G4866" t="n">
        <v>25</v>
      </c>
      <c r="H4866" t="n">
        <v>3073</v>
      </c>
      <c r="I4866" t="n">
        <v>2951.43</v>
      </c>
      <c r="J4866" t="n">
        <v>3</v>
      </c>
      <c r="K4866" t="inlineStr">
        <is>
          <t>续持原仓（2025-10-31开）</t>
        </is>
      </c>
    </row>
    <row r="4867">
      <c r="A4867" t="inlineStr">
        <is>
          <t>2025-11-05</t>
        </is>
      </c>
      <c r="B4867" t="inlineStr">
        <is>
          <t>棕榈油</t>
        </is>
      </c>
      <c r="C4867" t="inlineStr">
        <is>
          <t>空</t>
        </is>
      </c>
      <c r="D4867" t="n">
        <v>2</v>
      </c>
      <c r="E4867" t="n">
        <v>5</v>
      </c>
      <c r="F4867" t="inlineStr">
        <is>
          <t>影子仓</t>
        </is>
      </c>
      <c r="G4867" t="n">
        <v>2</v>
      </c>
      <c r="H4867" t="n">
        <v>8590</v>
      </c>
      <c r="I4867" t="n">
        <v>8951.709999999999</v>
      </c>
      <c r="J4867" t="n">
        <v>1</v>
      </c>
      <c r="K4867" t="inlineStr">
        <is>
          <t>凯利≤0，开1%影子仓（只统计，不计入组合）</t>
        </is>
      </c>
    </row>
    <row r="4868">
      <c r="A4868" t="inlineStr">
        <is>
          <t>2025-11-05</t>
        </is>
      </c>
      <c r="B4868" t="inlineStr">
        <is>
          <t>棉花</t>
        </is>
      </c>
      <c r="C4868" t="inlineStr">
        <is>
          <t>多</t>
        </is>
      </c>
      <c r="D4868" t="n">
        <v>2</v>
      </c>
      <c r="E4868" t="n">
        <v>5</v>
      </c>
      <c r="F4868" t="inlineStr">
        <is>
          <t>续持</t>
        </is>
      </c>
      <c r="G4868" t="n">
        <v>5</v>
      </c>
      <c r="H4868" t="n">
        <v>13615</v>
      </c>
      <c r="I4868" t="n">
        <v>13376.07</v>
      </c>
      <c r="J4868" t="n">
        <v>1</v>
      </c>
      <c r="K4868" t="inlineStr">
        <is>
          <t>续持原仓（2025-10-21开）</t>
        </is>
      </c>
    </row>
    <row r="4869">
      <c r="A4869" t="inlineStr">
        <is>
          <t>2025-11-05</t>
        </is>
      </c>
      <c r="B4869" t="inlineStr">
        <is>
          <t>铁矿石</t>
        </is>
      </c>
      <c r="C4869" t="inlineStr">
        <is>
          <t>空</t>
        </is>
      </c>
      <c r="D4869" t="n">
        <v>2</v>
      </c>
      <c r="E4869" t="n">
        <v>4</v>
      </c>
      <c r="F4869" t="inlineStr">
        <is>
          <t>续持</t>
        </is>
      </c>
      <c r="G4869" t="n">
        <v>2</v>
      </c>
      <c r="H4869" t="n">
        <v>776</v>
      </c>
      <c r="I4869" t="n">
        <v>807.4299999999999</v>
      </c>
      <c r="J4869" t="n">
        <v>1</v>
      </c>
      <c r="K4869" t="inlineStr">
        <is>
          <t>续持原仓（2025-11-04开）</t>
        </is>
      </c>
    </row>
    <row r="4870">
      <c r="A4870" t="inlineStr">
        <is>
          <t>2025-11-05</t>
        </is>
      </c>
      <c r="B4870" t="inlineStr">
        <is>
          <t>沪银</t>
        </is>
      </c>
      <c r="C4870" t="inlineStr">
        <is>
          <t>多</t>
        </is>
      </c>
      <c r="D4870" t="n">
        <v>2</v>
      </c>
      <c r="E4870" t="n">
        <v>4</v>
      </c>
      <c r="F4870" t="inlineStr">
        <is>
          <t>观望</t>
        </is>
      </c>
      <c r="H4870" t="n">
        <v>11276</v>
      </c>
      <c r="J4870" t="n">
        <v>1</v>
      </c>
      <c r="K4870" t="inlineStr">
        <is>
          <t>逆5日线（收盘在5日线下，不追多）</t>
        </is>
      </c>
    </row>
    <row r="4871">
      <c r="A4871" t="inlineStr">
        <is>
          <t>2025-11-06</t>
        </is>
      </c>
      <c r="B4871" t="inlineStr">
        <is>
          <t>沪镍</t>
        </is>
      </c>
      <c r="C4871" t="inlineStr">
        <is>
          <t>空</t>
        </is>
      </c>
      <c r="D4871" t="n">
        <v>2</v>
      </c>
      <c r="E4871" t="n">
        <v>5</v>
      </c>
      <c r="F4871" t="inlineStr">
        <is>
          <t>影子仓</t>
        </is>
      </c>
      <c r="G4871" t="n">
        <v>3</v>
      </c>
      <c r="H4871" t="n">
        <v>119750</v>
      </c>
      <c r="I4871" t="n">
        <v>122882.86</v>
      </c>
      <c r="J4871" t="n">
        <v>1</v>
      </c>
      <c r="K4871" t="inlineStr">
        <is>
          <t>凯利≤0，开1%影子仓（只统计，不计入组合）</t>
        </is>
      </c>
    </row>
    <row r="4872">
      <c r="A4872" t="inlineStr">
        <is>
          <t>2025-11-06</t>
        </is>
      </c>
      <c r="B4872" t="inlineStr">
        <is>
          <t>白糖</t>
        </is>
      </c>
      <c r="C4872" t="inlineStr">
        <is>
          <t>空</t>
        </is>
      </c>
      <c r="D4872" t="n">
        <v>2</v>
      </c>
      <c r="E4872" t="n">
        <v>4</v>
      </c>
      <c r="F4872" t="inlineStr">
        <is>
          <t>影子仓</t>
        </is>
      </c>
      <c r="G4872" t="n">
        <v>8</v>
      </c>
      <c r="H4872" t="n">
        <v>5448</v>
      </c>
      <c r="I4872" t="n">
        <v>5569.71</v>
      </c>
      <c r="J4872" t="n">
        <v>1</v>
      </c>
      <c r="K4872" t="inlineStr">
        <is>
          <t>凯利≤0，开1%影子仓（只统计，不计入组合）</t>
        </is>
      </c>
    </row>
    <row r="4873">
      <c r="A4873" t="inlineStr">
        <is>
          <t>2025-11-06</t>
        </is>
      </c>
      <c r="B4873" t="inlineStr">
        <is>
          <t>棉花</t>
        </is>
      </c>
      <c r="C4873" t="inlineStr">
        <is>
          <t>多</t>
        </is>
      </c>
      <c r="D4873" t="n">
        <v>2</v>
      </c>
      <c r="E4873" t="n">
        <v>4</v>
      </c>
      <c r="F4873" t="inlineStr">
        <is>
          <t>续持</t>
        </is>
      </c>
      <c r="G4873" t="n">
        <v>5</v>
      </c>
      <c r="H4873" t="n">
        <v>13605</v>
      </c>
      <c r="I4873" t="n">
        <v>13376.07</v>
      </c>
      <c r="J4873" t="n">
        <v>1</v>
      </c>
      <c r="K4873" t="inlineStr">
        <is>
          <t>续持原仓（2025-10-21开）</t>
        </is>
      </c>
    </row>
    <row r="4874">
      <c r="A4874" t="inlineStr">
        <is>
          <t>2025-11-06</t>
        </is>
      </c>
      <c r="B4874" t="inlineStr">
        <is>
          <t>豆粕</t>
        </is>
      </c>
      <c r="C4874" t="inlineStr">
        <is>
          <t>多</t>
        </is>
      </c>
      <c r="D4874" t="n">
        <v>2</v>
      </c>
      <c r="E4874" t="n">
        <v>4</v>
      </c>
      <c r="F4874" t="inlineStr">
        <is>
          <t>续持</t>
        </is>
      </c>
      <c r="G4874" t="n">
        <v>25</v>
      </c>
      <c r="H4874" t="n">
        <v>3068</v>
      </c>
      <c r="I4874" t="n">
        <v>2963.64</v>
      </c>
      <c r="J4874" t="n">
        <v>3</v>
      </c>
      <c r="K4874" t="inlineStr">
        <is>
          <t>续持原仓（2025-10-31开）</t>
        </is>
      </c>
    </row>
    <row r="4875">
      <c r="A4875" t="inlineStr">
        <is>
          <t>2025-11-06</t>
        </is>
      </c>
      <c r="B4875" t="inlineStr">
        <is>
          <t>沪锌</t>
        </is>
      </c>
      <c r="C4875" t="inlineStr">
        <is>
          <t>多</t>
        </is>
      </c>
      <c r="D4875" t="n">
        <v>2</v>
      </c>
      <c r="E4875" t="n">
        <v>4</v>
      </c>
      <c r="F4875" t="inlineStr">
        <is>
          <t>影子仓</t>
        </is>
      </c>
      <c r="G4875" t="n">
        <v>3</v>
      </c>
      <c r="H4875" t="n">
        <v>22675</v>
      </c>
      <c r="I4875" t="n">
        <v>22100.71</v>
      </c>
      <c r="J4875" t="n">
        <v>1</v>
      </c>
      <c r="K4875" t="inlineStr">
        <is>
          <t>凯利≤0，开1%影子仓（只统计，不计入组合）</t>
        </is>
      </c>
    </row>
    <row r="4876">
      <c r="A4876" t="inlineStr">
        <is>
          <t>2025-11-06</t>
        </is>
      </c>
      <c r="B4876" t="inlineStr">
        <is>
          <t>苯乙烯</t>
        </is>
      </c>
      <c r="C4876" t="inlineStr">
        <is>
          <t>空</t>
        </is>
      </c>
      <c r="D4876" t="n">
        <v>2</v>
      </c>
      <c r="E4876" t="n">
        <v>4</v>
      </c>
      <c r="F4876" t="inlineStr">
        <is>
          <t>续持</t>
        </is>
      </c>
      <c r="G4876" t="n">
        <v>16</v>
      </c>
      <c r="H4876" t="n">
        <v>6300</v>
      </c>
      <c r="I4876" t="n">
        <v>6573.93</v>
      </c>
      <c r="J4876" t="n">
        <v>3</v>
      </c>
      <c r="K4876" t="inlineStr">
        <is>
          <t>续持原仓（2025-11-04开）</t>
        </is>
      </c>
    </row>
    <row r="4877">
      <c r="A4877" t="inlineStr">
        <is>
          <t>2025-11-07</t>
        </is>
      </c>
      <c r="B4877" t="inlineStr">
        <is>
          <t>碳酸锂</t>
        </is>
      </c>
      <c r="C4877" t="inlineStr">
        <is>
          <t>多</t>
        </is>
      </c>
      <c r="D4877" t="n">
        <v>3</v>
      </c>
      <c r="E4877" t="n">
        <v>7</v>
      </c>
      <c r="F4877" t="inlineStr">
        <is>
          <t>开仓</t>
        </is>
      </c>
      <c r="G4877" t="n">
        <v>1</v>
      </c>
      <c r="H4877" t="n">
        <v>82300</v>
      </c>
      <c r="I4877" t="n">
        <v>74491.42999999999</v>
      </c>
      <c r="J4877" t="n">
        <v>1</v>
      </c>
      <c r="K4877" t="inlineStr">
        <is>
          <t>组合风险已近10%，预算缩小</t>
        </is>
      </c>
    </row>
    <row r="4878">
      <c r="A4878" t="inlineStr">
        <is>
          <t>2025-11-07</t>
        </is>
      </c>
      <c r="B4878" t="inlineStr">
        <is>
          <t>棕榈油</t>
        </is>
      </c>
      <c r="C4878" t="inlineStr">
        <is>
          <t>空</t>
        </is>
      </c>
      <c r="D4878" t="n">
        <v>3</v>
      </c>
      <c r="E4878" t="n">
        <v>6</v>
      </c>
      <c r="F4878" t="inlineStr">
        <is>
          <t>观望</t>
        </is>
      </c>
      <c r="H4878" t="n">
        <v>8660</v>
      </c>
      <c r="J4878" t="n">
        <v>0</v>
      </c>
      <c r="K4878" t="inlineStr">
        <is>
          <t>逆5日线（收盘在5日线上，不追空）</t>
        </is>
      </c>
    </row>
    <row r="4879">
      <c r="A4879" t="inlineStr">
        <is>
          <t>2025-11-07</t>
        </is>
      </c>
      <c r="B4879" t="inlineStr">
        <is>
          <t>豆粕</t>
        </is>
      </c>
      <c r="C4879" t="inlineStr">
        <is>
          <t>多</t>
        </is>
      </c>
      <c r="D4879" t="n">
        <v>2</v>
      </c>
      <c r="E4879" t="n">
        <v>5</v>
      </c>
      <c r="F4879" t="inlineStr">
        <is>
          <t>续持</t>
        </is>
      </c>
      <c r="G4879" t="n">
        <v>25</v>
      </c>
      <c r="H4879" t="n">
        <v>3058</v>
      </c>
      <c r="I4879" t="n">
        <v>2965.36</v>
      </c>
      <c r="J4879" t="n">
        <v>3</v>
      </c>
      <c r="K4879" t="inlineStr">
        <is>
          <t>续持原仓（2025-10-31开）</t>
        </is>
      </c>
    </row>
    <row r="4880">
      <c r="A4880" t="inlineStr">
        <is>
          <t>2025-11-07</t>
        </is>
      </c>
      <c r="B4880" t="inlineStr">
        <is>
          <t>热卷</t>
        </is>
      </c>
      <c r="C4880" t="inlineStr">
        <is>
          <t>空</t>
        </is>
      </c>
      <c r="D4880" t="n">
        <v>2</v>
      </c>
      <c r="E4880" t="n">
        <v>5</v>
      </c>
      <c r="F4880" t="inlineStr">
        <is>
          <t>影子仓</t>
        </is>
      </c>
      <c r="G4880" t="n">
        <v>9</v>
      </c>
      <c r="H4880" t="n">
        <v>3245</v>
      </c>
      <c r="I4880" t="n">
        <v>3348.71</v>
      </c>
      <c r="J4880" t="n">
        <v>1</v>
      </c>
      <c r="K4880" t="inlineStr">
        <is>
          <t>凯利≤0，开1%影子仓（只统计，不计入组合）</t>
        </is>
      </c>
    </row>
    <row r="4881">
      <c r="A4881" t="inlineStr">
        <is>
          <t>2025-11-07</t>
        </is>
      </c>
      <c r="B4881" t="inlineStr">
        <is>
          <t>棉花</t>
        </is>
      </c>
      <c r="C4881" t="inlineStr">
        <is>
          <t>多</t>
        </is>
      </c>
      <c r="D4881" t="n">
        <v>2</v>
      </c>
      <c r="E4881" t="n">
        <v>4</v>
      </c>
      <c r="F4881" t="inlineStr">
        <is>
          <t>观望</t>
        </is>
      </c>
      <c r="G4881" t="n">
        <v>6</v>
      </c>
      <c r="H4881" t="n">
        <v>13580</v>
      </c>
      <c r="I4881" t="n">
        <v>13275.71</v>
      </c>
      <c r="J4881" t="n">
        <v>1</v>
      </c>
      <c r="K4881" t="inlineStr">
        <is>
          <t>逆5日线（收盘在5日线下，不追多）</t>
        </is>
      </c>
    </row>
    <row r="4882">
      <c r="A4882" t="inlineStr">
        <is>
          <t>2025-11-10</t>
        </is>
      </c>
      <c r="B4882" t="inlineStr">
        <is>
          <t>棕榈油</t>
        </is>
      </c>
      <c r="C4882" t="inlineStr">
        <is>
          <t>空</t>
        </is>
      </c>
      <c r="D4882" t="n">
        <v>3</v>
      </c>
      <c r="E4882" t="n">
        <v>6</v>
      </c>
      <c r="F4882" t="inlineStr">
        <is>
          <t>观望</t>
        </is>
      </c>
      <c r="G4882" t="n">
        <v>2</v>
      </c>
      <c r="H4882" t="n">
        <v>8690</v>
      </c>
      <c r="I4882" t="n">
        <v>9075.709999999999</v>
      </c>
      <c r="J4882" t="n">
        <v>1</v>
      </c>
      <c r="K4882" t="inlineStr">
        <is>
          <t>逆5日线（收盘在5日线上，不追空）</t>
        </is>
      </c>
    </row>
    <row r="4883">
      <c r="A4883" t="inlineStr">
        <is>
          <t>2025-11-10</t>
        </is>
      </c>
      <c r="B4883" t="inlineStr">
        <is>
          <t>甲醇</t>
        </is>
      </c>
      <c r="C4883" t="inlineStr">
        <is>
          <t>空</t>
        </is>
      </c>
      <c r="D4883" t="n">
        <v>3</v>
      </c>
      <c r="E4883" t="n">
        <v>6</v>
      </c>
      <c r="F4883" t="inlineStr">
        <is>
          <t>不做</t>
        </is>
      </c>
      <c r="H4883" t="n">
        <v>2101</v>
      </c>
      <c r="J4883" t="n">
        <v>0</v>
      </c>
      <c r="K4883" t="inlineStr">
        <is>
          <t>化工板块同方向已近6%，预算缩小</t>
        </is>
      </c>
    </row>
    <row r="4884">
      <c r="A4884" t="inlineStr">
        <is>
          <t>2025-11-10</t>
        </is>
      </c>
      <c r="B4884" t="inlineStr">
        <is>
          <t>豆粕</t>
        </is>
      </c>
      <c r="C4884" t="inlineStr">
        <is>
          <t>多</t>
        </is>
      </c>
      <c r="D4884" t="n">
        <v>2</v>
      </c>
      <c r="E4884" t="n">
        <v>5</v>
      </c>
      <c r="F4884" t="inlineStr">
        <is>
          <t>续持</t>
        </is>
      </c>
      <c r="G4884" t="n">
        <v>25</v>
      </c>
      <c r="H4884" t="n">
        <v>3063</v>
      </c>
      <c r="I4884" t="n">
        <v>2965.36</v>
      </c>
      <c r="J4884" t="n">
        <v>3</v>
      </c>
      <c r="K4884" t="inlineStr">
        <is>
          <t>续持原仓（2025-10-31开）</t>
        </is>
      </c>
    </row>
    <row r="4885">
      <c r="A4885" t="inlineStr">
        <is>
          <t>2025-11-10</t>
        </is>
      </c>
      <c r="B4885" t="inlineStr">
        <is>
          <t>沪锌</t>
        </is>
      </c>
      <c r="C4885" t="inlineStr">
        <is>
          <t>多</t>
        </is>
      </c>
      <c r="D4885" t="n">
        <v>2</v>
      </c>
      <c r="E4885" t="n">
        <v>5</v>
      </c>
      <c r="F4885" t="inlineStr">
        <is>
          <t>观望</t>
        </is>
      </c>
      <c r="G4885" t="n">
        <v>3</v>
      </c>
      <c r="H4885" t="n">
        <v>22670</v>
      </c>
      <c r="I4885" t="n">
        <v>22091.43</v>
      </c>
      <c r="J4885" t="n">
        <v>1</v>
      </c>
      <c r="K4885" t="inlineStr">
        <is>
          <t>逆5日线（收盘在5日线下，不追多）</t>
        </is>
      </c>
    </row>
    <row r="4886">
      <c r="A4886" t="inlineStr">
        <is>
          <t>2025-11-10</t>
        </is>
      </c>
      <c r="B4886" t="inlineStr">
        <is>
          <t>棉花</t>
        </is>
      </c>
      <c r="C4886" t="inlineStr">
        <is>
          <t>多</t>
        </is>
      </c>
      <c r="D4886" t="n">
        <v>2</v>
      </c>
      <c r="E4886" t="n">
        <v>4</v>
      </c>
      <c r="F4886" t="inlineStr">
        <is>
          <t>观望</t>
        </is>
      </c>
      <c r="G4886" t="n">
        <v>6</v>
      </c>
      <c r="H4886" t="n">
        <v>13580</v>
      </c>
      <c r="I4886" t="n">
        <v>13283.21</v>
      </c>
      <c r="J4886" t="n">
        <v>1</v>
      </c>
      <c r="K4886" t="inlineStr">
        <is>
          <t>逆5日线（收盘在5日线下，不追多）</t>
        </is>
      </c>
    </row>
    <row r="4887">
      <c r="A4887" t="inlineStr">
        <is>
          <t>2025-11-10</t>
        </is>
      </c>
      <c r="B4887" t="inlineStr">
        <is>
          <t>铁矿石</t>
        </is>
      </c>
      <c r="C4887" t="inlineStr">
        <is>
          <t>空</t>
        </is>
      </c>
      <c r="D4887" t="n">
        <v>2</v>
      </c>
      <c r="E4887" t="n">
        <v>4</v>
      </c>
      <c r="F4887" t="inlineStr">
        <is>
          <t>影子仓</t>
        </is>
      </c>
      <c r="G4887" t="n">
        <v>2</v>
      </c>
      <c r="H4887" t="n">
        <v>765</v>
      </c>
      <c r="I4887" t="n">
        <v>804.64</v>
      </c>
      <c r="J4887" t="n">
        <v>1</v>
      </c>
      <c r="K4887" t="inlineStr">
        <is>
          <t>凯利≤0，开1%影子仓（只统计，不计入组合）</t>
        </is>
      </c>
    </row>
    <row r="4888">
      <c r="A4888" t="inlineStr">
        <is>
          <t>2025-11-10</t>
        </is>
      </c>
      <c r="B4888" t="inlineStr">
        <is>
          <t>鸡蛋</t>
        </is>
      </c>
      <c r="C4888" t="inlineStr">
        <is>
          <t>多</t>
        </is>
      </c>
      <c r="D4888" t="n">
        <v>2</v>
      </c>
      <c r="E4888" t="n">
        <v>4</v>
      </c>
      <c r="F4888" t="inlineStr">
        <is>
          <t>续持</t>
        </is>
      </c>
      <c r="G4888" t="n">
        <v>5</v>
      </c>
      <c r="H4888" t="n">
        <v>3383</v>
      </c>
      <c r="I4888" t="n">
        <v>3208.93</v>
      </c>
      <c r="J4888" t="n">
        <v>1</v>
      </c>
      <c r="K4888" t="inlineStr">
        <is>
          <t>续持原仓（2025-11-03开）</t>
        </is>
      </c>
    </row>
    <row r="4889">
      <c r="A4889" t="inlineStr">
        <is>
          <t>2025-11-11</t>
        </is>
      </c>
      <c r="B4889" t="inlineStr">
        <is>
          <t>甲醇</t>
        </is>
      </c>
      <c r="C4889" t="inlineStr">
        <is>
          <t>空</t>
        </is>
      </c>
      <c r="D4889" t="n">
        <v>3</v>
      </c>
      <c r="E4889" t="n">
        <v>7</v>
      </c>
      <c r="F4889" t="inlineStr">
        <is>
          <t>不做</t>
        </is>
      </c>
      <c r="H4889" t="n">
        <v>2082</v>
      </c>
      <c r="J4889" t="n">
        <v>0</v>
      </c>
      <c r="K4889" t="inlineStr">
        <is>
          <t>化工板块同方向已近6%，预算缩小</t>
        </is>
      </c>
    </row>
    <row r="4890">
      <c r="A4890" t="inlineStr">
        <is>
          <t>2025-11-11</t>
        </is>
      </c>
      <c r="B4890" t="inlineStr">
        <is>
          <t>PVC</t>
        </is>
      </c>
      <c r="C4890" t="inlineStr">
        <is>
          <t>空</t>
        </is>
      </c>
      <c r="D4890" t="n">
        <v>3</v>
      </c>
      <c r="E4890" t="n">
        <v>7</v>
      </c>
      <c r="F4890" t="inlineStr">
        <is>
          <t>续持</t>
        </is>
      </c>
      <c r="G4890" t="n">
        <v>35</v>
      </c>
      <c r="H4890" t="n">
        <v>4572</v>
      </c>
      <c r="I4890" t="n">
        <v>4720</v>
      </c>
      <c r="J4890" t="n">
        <v>3</v>
      </c>
      <c r="K4890" t="inlineStr">
        <is>
          <t>续持原仓（2025-10-24开）</t>
        </is>
      </c>
    </row>
    <row r="4891">
      <c r="A4891" t="inlineStr">
        <is>
          <t>2025-11-11</t>
        </is>
      </c>
      <c r="B4891" t="inlineStr">
        <is>
          <t>聚丙烯</t>
        </is>
      </c>
      <c r="C4891" t="inlineStr">
        <is>
          <t>空</t>
        </is>
      </c>
      <c r="D4891" t="n">
        <v>3</v>
      </c>
      <c r="E4891" t="n">
        <v>7</v>
      </c>
      <c r="F4891" t="inlineStr">
        <is>
          <t>不做</t>
        </is>
      </c>
      <c r="H4891" t="n">
        <v>6429</v>
      </c>
      <c r="J4891" t="n">
        <v>0</v>
      </c>
      <c r="K4891" t="inlineStr">
        <is>
          <t>化工板块同方向已近6%，预算缩小</t>
        </is>
      </c>
    </row>
    <row r="4892">
      <c r="A4892" t="inlineStr">
        <is>
          <t>2025-11-11</t>
        </is>
      </c>
      <c r="B4892" t="inlineStr">
        <is>
          <t>苯乙烯</t>
        </is>
      </c>
      <c r="C4892" t="inlineStr">
        <is>
          <t>空</t>
        </is>
      </c>
      <c r="D4892" t="n">
        <v>3</v>
      </c>
      <c r="E4892" t="n">
        <v>7</v>
      </c>
      <c r="F4892" t="inlineStr">
        <is>
          <t>续持</t>
        </is>
      </c>
      <c r="G4892" t="n">
        <v>16</v>
      </c>
      <c r="H4892" t="n">
        <v>6231</v>
      </c>
      <c r="I4892" t="n">
        <v>6529.79</v>
      </c>
      <c r="J4892" t="n">
        <v>3</v>
      </c>
      <c r="K4892" t="inlineStr">
        <is>
          <t>续持原仓（2025-11-04开）</t>
        </is>
      </c>
    </row>
    <row r="4893">
      <c r="A4893" t="inlineStr">
        <is>
          <t>2025-11-11</t>
        </is>
      </c>
      <c r="B4893" t="inlineStr">
        <is>
          <t>塑料</t>
        </is>
      </c>
      <c r="C4893" t="inlineStr">
        <is>
          <t>空</t>
        </is>
      </c>
      <c r="D4893" t="n">
        <v>3</v>
      </c>
      <c r="E4893" t="n">
        <v>6</v>
      </c>
      <c r="F4893" t="inlineStr">
        <is>
          <t>不做</t>
        </is>
      </c>
      <c r="H4893" t="n">
        <v>6760</v>
      </c>
      <c r="J4893" t="n">
        <v>0</v>
      </c>
      <c r="K4893" t="inlineStr">
        <is>
          <t>化工板块同方向已近6%，预算缩小</t>
        </is>
      </c>
    </row>
    <row r="4894">
      <c r="A4894" t="inlineStr">
        <is>
          <t>2025-11-11</t>
        </is>
      </c>
      <c r="B4894" t="inlineStr">
        <is>
          <t>碳酸锂</t>
        </is>
      </c>
      <c r="C4894" t="inlineStr">
        <is>
          <t>多</t>
        </is>
      </c>
      <c r="D4894" t="n">
        <v>3</v>
      </c>
      <c r="E4894" t="n">
        <v>6</v>
      </c>
      <c r="F4894" t="inlineStr">
        <is>
          <t>开仓</t>
        </is>
      </c>
      <c r="G4894" t="n">
        <v>1</v>
      </c>
      <c r="H4894" t="n">
        <v>86540</v>
      </c>
      <c r="I4894" t="n">
        <v>77771.42999999999</v>
      </c>
      <c r="J4894" t="n">
        <v>1</v>
      </c>
      <c r="K4894" t="inlineStr">
        <is>
          <t>组合风险已近10%，预算缩小</t>
        </is>
      </c>
    </row>
    <row r="4895">
      <c r="A4895" t="inlineStr">
        <is>
          <t>2025-11-11</t>
        </is>
      </c>
      <c r="B4895" t="inlineStr">
        <is>
          <t>豆粕</t>
        </is>
      </c>
      <c r="C4895" t="inlineStr">
        <is>
          <t>多</t>
        </is>
      </c>
      <c r="D4895" t="n">
        <v>2</v>
      </c>
      <c r="E4895" t="n">
        <v>5</v>
      </c>
      <c r="F4895" t="inlineStr">
        <is>
          <t>观望</t>
        </is>
      </c>
      <c r="G4895" t="n">
        <v>8</v>
      </c>
      <c r="H4895" t="n">
        <v>3054</v>
      </c>
      <c r="I4895" t="n">
        <v>2930.79</v>
      </c>
      <c r="J4895" t="n">
        <v>1</v>
      </c>
      <c r="K4895" t="inlineStr">
        <is>
          <t>逆5日线（收盘在5日线下，不追多）</t>
        </is>
      </c>
    </row>
    <row r="4896">
      <c r="A4896" t="inlineStr">
        <is>
          <t>2025-11-11</t>
        </is>
      </c>
      <c r="B4896" t="inlineStr">
        <is>
          <t>沪锌</t>
        </is>
      </c>
      <c r="C4896" t="inlineStr">
        <is>
          <t>多</t>
        </is>
      </c>
      <c r="D4896" t="n">
        <v>2</v>
      </c>
      <c r="E4896" t="n">
        <v>5</v>
      </c>
      <c r="F4896" t="inlineStr">
        <is>
          <t>观望</t>
        </is>
      </c>
      <c r="G4896" t="n">
        <v>3</v>
      </c>
      <c r="H4896" t="n">
        <v>22675</v>
      </c>
      <c r="I4896" t="n">
        <v>22079.29</v>
      </c>
      <c r="J4896" t="n">
        <v>1</v>
      </c>
      <c r="K4896" t="inlineStr">
        <is>
          <t>逆5日线（收盘在5日线下，不追多）</t>
        </is>
      </c>
    </row>
    <row r="4897">
      <c r="A4897" t="inlineStr">
        <is>
          <t>2025-11-12</t>
        </is>
      </c>
      <c r="B4897" t="inlineStr">
        <is>
          <t>沪镍</t>
        </is>
      </c>
      <c r="C4897" t="inlineStr">
        <is>
          <t>空</t>
        </is>
      </c>
      <c r="D4897" t="n">
        <v>3</v>
      </c>
      <c r="E4897" t="n">
        <v>7</v>
      </c>
      <c r="F4897" t="inlineStr">
        <is>
          <t>续持</t>
        </is>
      </c>
      <c r="G4897" t="n">
        <v>3</v>
      </c>
      <c r="H4897" t="n">
        <v>118710</v>
      </c>
      <c r="I4897" t="n">
        <v>121654.29</v>
      </c>
      <c r="J4897" t="n">
        <v>1</v>
      </c>
      <c r="K4897" t="inlineStr">
        <is>
          <t>续持原仓（2025-11-06开）</t>
        </is>
      </c>
    </row>
    <row r="4898">
      <c r="A4898" t="inlineStr">
        <is>
          <t>2025-11-12</t>
        </is>
      </c>
      <c r="B4898" t="inlineStr">
        <is>
          <t>棕榈油</t>
        </is>
      </c>
      <c r="C4898" t="inlineStr">
        <is>
          <t>空</t>
        </is>
      </c>
      <c r="D4898" t="n">
        <v>3</v>
      </c>
      <c r="E4898" t="n">
        <v>6</v>
      </c>
      <c r="F4898" t="inlineStr">
        <is>
          <t>观望</t>
        </is>
      </c>
      <c r="G4898" t="n">
        <v>2</v>
      </c>
      <c r="H4898" t="n">
        <v>8744</v>
      </c>
      <c r="I4898" t="n">
        <v>9128.860000000001</v>
      </c>
      <c r="J4898" t="n">
        <v>1</v>
      </c>
      <c r="K4898" t="inlineStr">
        <is>
          <t>逆5日线（收盘在5日线上，不追空）</t>
        </is>
      </c>
    </row>
    <row r="4899">
      <c r="A4899" t="inlineStr">
        <is>
          <t>2025-11-12</t>
        </is>
      </c>
      <c r="B4899" t="inlineStr">
        <is>
          <t>沪银</t>
        </is>
      </c>
      <c r="C4899" t="inlineStr">
        <is>
          <t>多</t>
        </is>
      </c>
      <c r="D4899" t="n">
        <v>3</v>
      </c>
      <c r="E4899" t="n">
        <v>6</v>
      </c>
      <c r="F4899" t="inlineStr">
        <is>
          <t>不做</t>
        </is>
      </c>
      <c r="H4899" t="n">
        <v>12098</v>
      </c>
      <c r="J4899" t="n">
        <v>1</v>
      </c>
      <c r="K4899" t="inlineStr">
        <is>
          <t>1手风险12507元超过预算10000元</t>
        </is>
      </c>
    </row>
    <row r="4900">
      <c r="A4900" t="inlineStr">
        <is>
          <t>2025-11-12</t>
        </is>
      </c>
      <c r="B4900" t="inlineStr">
        <is>
          <t>PVC</t>
        </is>
      </c>
      <c r="C4900" t="inlineStr">
        <is>
          <t>空</t>
        </is>
      </c>
      <c r="D4900" t="n">
        <v>2</v>
      </c>
      <c r="E4900" t="n">
        <v>5</v>
      </c>
      <c r="F4900" t="inlineStr">
        <is>
          <t>续持</t>
        </is>
      </c>
      <c r="G4900" t="n">
        <v>35</v>
      </c>
      <c r="H4900" t="n">
        <v>4581</v>
      </c>
      <c r="I4900" t="n">
        <v>4717.64</v>
      </c>
      <c r="J4900" t="n">
        <v>3</v>
      </c>
      <c r="K4900" t="inlineStr">
        <is>
          <t>续持原仓（2025-10-24开）</t>
        </is>
      </c>
    </row>
    <row r="4901">
      <c r="A4901" t="inlineStr">
        <is>
          <t>2025-11-12</t>
        </is>
      </c>
      <c r="B4901" t="inlineStr">
        <is>
          <t>豆粕</t>
        </is>
      </c>
      <c r="C4901" t="inlineStr">
        <is>
          <t>多</t>
        </is>
      </c>
      <c r="D4901" t="n">
        <v>2</v>
      </c>
      <c r="E4901" t="n">
        <v>5</v>
      </c>
      <c r="F4901" t="inlineStr">
        <is>
          <t>观望</t>
        </is>
      </c>
      <c r="G4901" t="n">
        <v>8</v>
      </c>
      <c r="H4901" t="n">
        <v>3059</v>
      </c>
      <c r="I4901" t="n">
        <v>2941.57</v>
      </c>
      <c r="J4901" t="n">
        <v>1</v>
      </c>
      <c r="K4901" t="inlineStr">
        <is>
          <t>逆5日线（收盘在5日线下，不追多）</t>
        </is>
      </c>
    </row>
    <row r="4902">
      <c r="A4902" t="inlineStr">
        <is>
          <t>2025-11-12</t>
        </is>
      </c>
      <c r="B4902" t="inlineStr">
        <is>
          <t>棉花</t>
        </is>
      </c>
      <c r="C4902" t="inlineStr">
        <is>
          <t>多</t>
        </is>
      </c>
      <c r="D4902" t="n">
        <v>2</v>
      </c>
      <c r="E4902" t="n">
        <v>5</v>
      </c>
      <c r="F4902" t="inlineStr">
        <is>
          <t>观望</t>
        </is>
      </c>
      <c r="G4902" t="n">
        <v>6</v>
      </c>
      <c r="H4902" t="n">
        <v>13515</v>
      </c>
      <c r="I4902" t="n">
        <v>13208.57</v>
      </c>
      <c r="J4902" t="n">
        <v>1</v>
      </c>
      <c r="K4902" t="inlineStr">
        <is>
          <t>逆5日线（收盘在5日线下，不追多）</t>
        </is>
      </c>
    </row>
    <row r="4903">
      <c r="A4903" t="inlineStr">
        <is>
          <t>2025-11-12</t>
        </is>
      </c>
      <c r="B4903" t="inlineStr">
        <is>
          <t>玉米</t>
        </is>
      </c>
      <c r="C4903" t="inlineStr">
        <is>
          <t>多</t>
        </is>
      </c>
      <c r="D4903" t="n">
        <v>2</v>
      </c>
      <c r="E4903" t="n">
        <v>4</v>
      </c>
      <c r="F4903" t="inlineStr">
        <is>
          <t>影子仓</t>
        </is>
      </c>
      <c r="G4903" t="n">
        <v>19</v>
      </c>
      <c r="H4903" t="n">
        <v>2177</v>
      </c>
      <c r="I4903" t="n">
        <v>2126.64</v>
      </c>
      <c r="J4903" t="n">
        <v>1</v>
      </c>
      <c r="K4903" t="inlineStr">
        <is>
          <t>凯利≤0，开1%影子仓（只统计，不计入组合）</t>
        </is>
      </c>
    </row>
    <row r="4904">
      <c r="A4904" t="inlineStr">
        <is>
          <t>2025-11-12</t>
        </is>
      </c>
      <c r="B4904" t="inlineStr">
        <is>
          <t>对二甲苯</t>
        </is>
      </c>
      <c r="C4904" t="inlineStr">
        <is>
          <t>多</t>
        </is>
      </c>
      <c r="D4904" t="n">
        <v>2</v>
      </c>
      <c r="E4904" t="n">
        <v>4</v>
      </c>
      <c r="F4904" t="inlineStr">
        <is>
          <t>观望</t>
        </is>
      </c>
      <c r="G4904" t="n">
        <v>6</v>
      </c>
      <c r="H4904" t="n">
        <v>6774</v>
      </c>
      <c r="I4904" t="n">
        <v>6453.43</v>
      </c>
      <c r="J4904" t="n">
        <v>1</v>
      </c>
      <c r="K4904" t="inlineStr">
        <is>
          <t>逆5日线（收盘在5日线下，不追多）</t>
        </is>
      </c>
    </row>
    <row r="4905">
      <c r="A4905" t="inlineStr">
        <is>
          <t>2025-11-12</t>
        </is>
      </c>
      <c r="B4905" t="inlineStr">
        <is>
          <t>鸡蛋</t>
        </is>
      </c>
      <c r="C4905" t="inlineStr">
        <is>
          <t>空</t>
        </is>
      </c>
      <c r="D4905" t="n">
        <v>2</v>
      </c>
      <c r="E4905" t="n">
        <v>4</v>
      </c>
      <c r="F4905" t="inlineStr">
        <is>
          <t>影子仓</t>
        </is>
      </c>
      <c r="G4905" t="n">
        <v>5</v>
      </c>
      <c r="H4905" t="n">
        <v>3322</v>
      </c>
      <c r="I4905" t="n">
        <v>3505.21</v>
      </c>
      <c r="J4905" t="n">
        <v>1</v>
      </c>
      <c r="K4905" t="inlineStr">
        <is>
          <t>凯利≤0，开1%影子仓（只统计，不计入组合）</t>
        </is>
      </c>
    </row>
    <row r="4906">
      <c r="A4906" t="inlineStr">
        <is>
          <t>2025-11-13</t>
        </is>
      </c>
      <c r="B4906" t="inlineStr">
        <is>
          <t>豆粕</t>
        </is>
      </c>
      <c r="C4906" t="inlineStr">
        <is>
          <t>多</t>
        </is>
      </c>
      <c r="D4906" t="n">
        <v>3</v>
      </c>
      <c r="E4906" t="n">
        <v>7</v>
      </c>
      <c r="F4906" t="inlineStr">
        <is>
          <t>续持</t>
        </is>
      </c>
      <c r="G4906" t="n">
        <v>25</v>
      </c>
      <c r="H4906" t="n">
        <v>3071</v>
      </c>
      <c r="I4906" t="n">
        <v>2971.57</v>
      </c>
      <c r="J4906" t="n">
        <v>3</v>
      </c>
      <c r="K4906" t="inlineStr">
        <is>
          <t>续持原仓（2025-10-31开）</t>
        </is>
      </c>
    </row>
    <row r="4907">
      <c r="A4907" t="inlineStr">
        <is>
          <t>2025-11-13</t>
        </is>
      </c>
      <c r="B4907" t="inlineStr">
        <is>
          <t>玉米</t>
        </is>
      </c>
      <c r="C4907" t="inlineStr">
        <is>
          <t>多</t>
        </is>
      </c>
      <c r="D4907" t="n">
        <v>3</v>
      </c>
      <c r="E4907" t="n">
        <v>6</v>
      </c>
      <c r="F4907" t="inlineStr">
        <is>
          <t>续持</t>
        </is>
      </c>
      <c r="G4907" t="n">
        <v>19</v>
      </c>
      <c r="H4907" t="n">
        <v>2186</v>
      </c>
      <c r="I4907" t="n">
        <v>2137.43</v>
      </c>
      <c r="J4907" t="n">
        <v>1</v>
      </c>
      <c r="K4907" t="inlineStr">
        <is>
          <t>续持原仓（2025-11-12开）</t>
        </is>
      </c>
    </row>
    <row r="4908">
      <c r="A4908" t="inlineStr">
        <is>
          <t>2025-11-13</t>
        </is>
      </c>
      <c r="B4908" t="inlineStr">
        <is>
          <t>沪铝</t>
        </is>
      </c>
      <c r="C4908" t="inlineStr">
        <is>
          <t>多</t>
        </is>
      </c>
      <c r="D4908" t="n">
        <v>3</v>
      </c>
      <c r="E4908" t="n">
        <v>6</v>
      </c>
      <c r="F4908" t="inlineStr">
        <is>
          <t>开仓</t>
        </is>
      </c>
      <c r="G4908" t="n">
        <v>2</v>
      </c>
      <c r="H4908" t="n">
        <v>22050</v>
      </c>
      <c r="I4908" t="n">
        <v>21324.64</v>
      </c>
      <c r="J4908" t="n">
        <v>1</v>
      </c>
      <c r="K4908" t="inlineStr">
        <is>
          <t>组合风险已近10%，预算缩小</t>
        </is>
      </c>
    </row>
    <row r="4909">
      <c r="A4909" t="inlineStr">
        <is>
          <t>2025-11-13</t>
        </is>
      </c>
      <c r="B4909" t="inlineStr">
        <is>
          <t>棕榈油</t>
        </is>
      </c>
      <c r="C4909" t="inlineStr">
        <is>
          <t>空</t>
        </is>
      </c>
      <c r="D4909" t="n">
        <v>3</v>
      </c>
      <c r="E4909" t="n">
        <v>6</v>
      </c>
      <c r="F4909" t="inlineStr">
        <is>
          <t>观望</t>
        </is>
      </c>
      <c r="H4909" t="n">
        <v>8752</v>
      </c>
      <c r="J4909" t="n">
        <v>0</v>
      </c>
      <c r="K4909" t="inlineStr">
        <is>
          <t>逆5日线（收盘在5日线上，不追空）</t>
        </is>
      </c>
    </row>
    <row r="4910">
      <c r="A4910" t="inlineStr">
        <is>
          <t>2025-11-13</t>
        </is>
      </c>
      <c r="B4910" t="inlineStr">
        <is>
          <t>沪银</t>
        </is>
      </c>
      <c r="C4910" t="inlineStr">
        <is>
          <t>多</t>
        </is>
      </c>
      <c r="D4910" t="n">
        <v>3</v>
      </c>
      <c r="E4910" t="n">
        <v>6</v>
      </c>
      <c r="F4910" t="inlineStr">
        <is>
          <t>不做</t>
        </is>
      </c>
      <c r="H4910" t="n">
        <v>12610</v>
      </c>
      <c r="J4910" t="n">
        <v>0</v>
      </c>
      <c r="K4910" t="inlineStr">
        <is>
          <t>组合风险已近10%，预算缩小</t>
        </is>
      </c>
    </row>
    <row r="4911">
      <c r="A4911" t="inlineStr">
        <is>
          <t>2025-11-13</t>
        </is>
      </c>
      <c r="B4911" t="inlineStr">
        <is>
          <t>PTA</t>
        </is>
      </c>
      <c r="C4911" t="inlineStr">
        <is>
          <t>多</t>
        </is>
      </c>
      <c r="D4911" t="n">
        <v>3</v>
      </c>
      <c r="E4911" t="n">
        <v>6</v>
      </c>
      <c r="F4911" t="inlineStr">
        <is>
          <t>不做</t>
        </is>
      </c>
      <c r="H4911" t="n">
        <v>4700</v>
      </c>
      <c r="J4911" t="n">
        <v>0</v>
      </c>
      <c r="K4911" t="inlineStr">
        <is>
          <t>组合风险已近10%，预算缩小</t>
        </is>
      </c>
    </row>
    <row r="4912">
      <c r="A4912" t="inlineStr">
        <is>
          <t>2025-11-13</t>
        </is>
      </c>
      <c r="B4912" t="inlineStr">
        <is>
          <t>PVC</t>
        </is>
      </c>
      <c r="C4912" t="inlineStr">
        <is>
          <t>空</t>
        </is>
      </c>
      <c r="D4912" t="n">
        <v>2</v>
      </c>
      <c r="E4912" t="n">
        <v>5</v>
      </c>
      <c r="F4912" t="inlineStr">
        <is>
          <t>续持</t>
        </is>
      </c>
      <c r="G4912" t="n">
        <v>35</v>
      </c>
      <c r="H4912" t="n">
        <v>4586</v>
      </c>
      <c r="I4912" t="n">
        <v>4704</v>
      </c>
      <c r="J4912" t="n">
        <v>3</v>
      </c>
      <c r="K4912" t="inlineStr">
        <is>
          <t>续持原仓（2025-10-24开）</t>
        </is>
      </c>
    </row>
    <row r="4913">
      <c r="A4913" t="inlineStr">
        <is>
          <t>2025-11-14</t>
        </is>
      </c>
      <c r="B4913" t="inlineStr">
        <is>
          <t>沪镍</t>
        </is>
      </c>
      <c r="C4913" t="inlineStr">
        <is>
          <t>空</t>
        </is>
      </c>
      <c r="D4913" t="n">
        <v>3</v>
      </c>
      <c r="E4913" t="n">
        <v>7</v>
      </c>
      <c r="F4913" t="inlineStr">
        <is>
          <t>续持</t>
        </is>
      </c>
      <c r="G4913" t="n">
        <v>3</v>
      </c>
      <c r="H4913" t="n">
        <v>117080</v>
      </c>
      <c r="I4913" t="n">
        <v>120588.57</v>
      </c>
      <c r="J4913" t="n">
        <v>1</v>
      </c>
      <c r="K4913" t="inlineStr">
        <is>
          <t>续持原仓（2025-11-06开）</t>
        </is>
      </c>
    </row>
    <row r="4914">
      <c r="A4914" t="inlineStr">
        <is>
          <t>2025-11-14</t>
        </is>
      </c>
      <c r="B4914" t="inlineStr">
        <is>
          <t>棕榈油</t>
        </is>
      </c>
      <c r="C4914" t="inlineStr">
        <is>
          <t>空</t>
        </is>
      </c>
      <c r="D4914" t="n">
        <v>3</v>
      </c>
      <c r="E4914" t="n">
        <v>6</v>
      </c>
      <c r="F4914" t="inlineStr">
        <is>
          <t>不做</t>
        </is>
      </c>
      <c r="H4914" t="n">
        <v>8644</v>
      </c>
      <c r="J4914" t="n">
        <v>0</v>
      </c>
      <c r="K4914" t="inlineStr">
        <is>
          <t>组合风险已近10%，预算缩小</t>
        </is>
      </c>
    </row>
    <row r="4915">
      <c r="A4915" t="inlineStr">
        <is>
          <t>2025-11-14</t>
        </is>
      </c>
      <c r="B4915" t="inlineStr">
        <is>
          <t>玉米</t>
        </is>
      </c>
      <c r="C4915" t="inlineStr">
        <is>
          <t>多</t>
        </is>
      </c>
      <c r="D4915" t="n">
        <v>3</v>
      </c>
      <c r="E4915" t="n">
        <v>6</v>
      </c>
      <c r="F4915" t="inlineStr">
        <is>
          <t>续持</t>
        </is>
      </c>
      <c r="G4915" t="n">
        <v>19</v>
      </c>
      <c r="H4915" t="n">
        <v>2185</v>
      </c>
      <c r="I4915" t="n">
        <v>2142.36</v>
      </c>
      <c r="J4915" t="n">
        <v>1</v>
      </c>
      <c r="K4915" t="inlineStr">
        <is>
          <t>续持原仓（2025-11-12开）</t>
        </is>
      </c>
    </row>
    <row r="4916">
      <c r="A4916" t="inlineStr">
        <is>
          <t>2025-11-14</t>
        </is>
      </c>
      <c r="B4916" t="inlineStr">
        <is>
          <t>豆粕</t>
        </is>
      </c>
      <c r="C4916" t="inlineStr">
        <is>
          <t>多</t>
        </is>
      </c>
      <c r="D4916" t="n">
        <v>3</v>
      </c>
      <c r="E4916" t="n">
        <v>6</v>
      </c>
      <c r="F4916" t="inlineStr">
        <is>
          <t>续持</t>
        </is>
      </c>
      <c r="G4916" t="n">
        <v>25</v>
      </c>
      <c r="H4916" t="n">
        <v>3092</v>
      </c>
      <c r="I4916" t="n">
        <v>2978.14</v>
      </c>
      <c r="J4916" t="n">
        <v>3</v>
      </c>
      <c r="K4916" t="inlineStr">
        <is>
          <t>续持原仓（2025-10-31开）</t>
        </is>
      </c>
    </row>
    <row r="4917">
      <c r="A4917" t="inlineStr">
        <is>
          <t>2025-11-14</t>
        </is>
      </c>
      <c r="B4917" t="inlineStr">
        <is>
          <t>沪铝</t>
        </is>
      </c>
      <c r="C4917" t="inlineStr">
        <is>
          <t>多</t>
        </is>
      </c>
      <c r="D4917" t="n">
        <v>2</v>
      </c>
      <c r="E4917" t="n">
        <v>5</v>
      </c>
      <c r="F4917" t="inlineStr">
        <is>
          <t>续持</t>
        </is>
      </c>
      <c r="G4917" t="n">
        <v>2</v>
      </c>
      <c r="H4917" t="n">
        <v>21840</v>
      </c>
      <c r="I4917" t="n">
        <v>21414.29</v>
      </c>
      <c r="J4917" t="n">
        <v>1</v>
      </c>
      <c r="K4917" t="inlineStr">
        <is>
          <t>续持原仓（2025-11-13开）</t>
        </is>
      </c>
    </row>
    <row r="4918">
      <c r="A4918" t="inlineStr">
        <is>
          <t>2025-11-14</t>
        </is>
      </c>
      <c r="B4918" t="inlineStr">
        <is>
          <t>PTA</t>
        </is>
      </c>
      <c r="C4918" t="inlineStr">
        <is>
          <t>多</t>
        </is>
      </c>
      <c r="D4918" t="n">
        <v>2</v>
      </c>
      <c r="E4918" t="n">
        <v>5</v>
      </c>
      <c r="F4918" t="inlineStr">
        <is>
          <t>影子仓</t>
        </is>
      </c>
      <c r="G4918" t="n">
        <v>9</v>
      </c>
      <c r="H4918" t="n">
        <v>4700</v>
      </c>
      <c r="I4918" t="n">
        <v>4487.86</v>
      </c>
      <c r="J4918" t="n">
        <v>1</v>
      </c>
      <c r="K4918" t="inlineStr">
        <is>
          <t>凯利≤0，开1%影子仓（只统计，不计入组合）</t>
        </is>
      </c>
    </row>
    <row r="4919">
      <c r="A4919" t="inlineStr">
        <is>
          <t>2025-11-14</t>
        </is>
      </c>
      <c r="B4919" t="inlineStr">
        <is>
          <t>沪银</t>
        </is>
      </c>
      <c r="C4919" t="inlineStr">
        <is>
          <t>多</t>
        </is>
      </c>
      <c r="D4919" t="n">
        <v>2</v>
      </c>
      <c r="E4919" t="n">
        <v>4</v>
      </c>
      <c r="F4919" t="inlineStr">
        <is>
          <t>不做</t>
        </is>
      </c>
      <c r="H4919" t="n">
        <v>12375</v>
      </c>
      <c r="J4919" t="n">
        <v>1</v>
      </c>
      <c r="K4919" t="inlineStr">
        <is>
          <t>1手风险13744元超过预算10000元</t>
        </is>
      </c>
    </row>
    <row r="4920">
      <c r="A4920" t="inlineStr">
        <is>
          <t>2025-11-17</t>
        </is>
      </c>
      <c r="B4920" t="inlineStr">
        <is>
          <t>碳酸锂</t>
        </is>
      </c>
      <c r="C4920" t="inlineStr">
        <is>
          <t>多</t>
        </is>
      </c>
      <c r="D4920" t="n">
        <v>3</v>
      </c>
      <c r="E4920" t="n">
        <v>7</v>
      </c>
      <c r="F4920" t="inlineStr">
        <is>
          <t>开仓</t>
        </is>
      </c>
      <c r="G4920" t="n">
        <v>2</v>
      </c>
      <c r="H4920" t="n">
        <v>95200</v>
      </c>
      <c r="I4920" t="n">
        <v>85094.28999999999</v>
      </c>
      <c r="J4920" t="n">
        <v>3</v>
      </c>
      <c r="K4920" t="inlineStr">
        <is>
          <t>¼凯利超上限，取3%</t>
        </is>
      </c>
    </row>
    <row r="4921">
      <c r="A4921" t="inlineStr">
        <is>
          <t>2025-11-17</t>
        </is>
      </c>
      <c r="B4921" t="inlineStr">
        <is>
          <t>甲醇</t>
        </is>
      </c>
      <c r="C4921" t="inlineStr">
        <is>
          <t>空</t>
        </is>
      </c>
      <c r="D4921" t="n">
        <v>3</v>
      </c>
      <c r="E4921" t="n">
        <v>6</v>
      </c>
      <c r="F4921" t="inlineStr">
        <is>
          <t>开仓</t>
        </is>
      </c>
      <c r="G4921" t="n">
        <v>23</v>
      </c>
      <c r="H4921" t="n">
        <v>2029</v>
      </c>
      <c r="I4921" t="n">
        <v>2155.21</v>
      </c>
      <c r="J4921" t="n">
        <v>3</v>
      </c>
      <c r="K4921" t="inlineStr">
        <is>
          <t>¼凯利超上限，取3%</t>
        </is>
      </c>
    </row>
    <row r="4922">
      <c r="A4922" t="inlineStr">
        <is>
          <t>2025-11-17</t>
        </is>
      </c>
      <c r="B4922" t="inlineStr">
        <is>
          <t>玉米</t>
        </is>
      </c>
      <c r="C4922" t="inlineStr">
        <is>
          <t>多</t>
        </is>
      </c>
      <c r="D4922" t="n">
        <v>3</v>
      </c>
      <c r="E4922" t="n">
        <v>6</v>
      </c>
      <c r="F4922" t="inlineStr">
        <is>
          <t>续持</t>
        </is>
      </c>
      <c r="G4922" t="n">
        <v>19</v>
      </c>
      <c r="H4922" t="n">
        <v>2182</v>
      </c>
      <c r="I4922" t="n">
        <v>2142.36</v>
      </c>
      <c r="J4922" t="n">
        <v>1</v>
      </c>
      <c r="K4922" t="inlineStr">
        <is>
          <t>续持原仓（2025-11-12开）</t>
        </is>
      </c>
    </row>
    <row r="4923">
      <c r="A4923" t="inlineStr">
        <is>
          <t>2025-11-17</t>
        </is>
      </c>
      <c r="B4923" t="inlineStr">
        <is>
          <t>豆油</t>
        </is>
      </c>
      <c r="C4923" t="inlineStr">
        <is>
          <t>多</t>
        </is>
      </c>
      <c r="D4923" t="n">
        <v>3</v>
      </c>
      <c r="E4923" t="n">
        <v>6</v>
      </c>
      <c r="F4923" t="inlineStr">
        <is>
          <t>不做</t>
        </is>
      </c>
      <c r="H4923" t="n">
        <v>8282</v>
      </c>
      <c r="J4923" t="n">
        <v>0</v>
      </c>
      <c r="K4923" t="inlineStr">
        <is>
          <t>组合风险已近10%，预算缩小</t>
        </is>
      </c>
    </row>
    <row r="4924">
      <c r="A4924" t="inlineStr">
        <is>
          <t>2025-11-17</t>
        </is>
      </c>
      <c r="B4924" t="inlineStr">
        <is>
          <t>燃料油</t>
        </is>
      </c>
      <c r="C4924" t="inlineStr">
        <is>
          <t>空</t>
        </is>
      </c>
      <c r="D4924" t="n">
        <v>3</v>
      </c>
      <c r="E4924" t="n">
        <v>6</v>
      </c>
      <c r="F4924" t="inlineStr">
        <is>
          <t>不做</t>
        </is>
      </c>
      <c r="H4924" t="n">
        <v>2593</v>
      </c>
      <c r="J4924" t="n">
        <v>0</v>
      </c>
      <c r="K4924" t="inlineStr">
        <is>
          <t>组合风险已近10%，预算缩小</t>
        </is>
      </c>
    </row>
    <row r="4925">
      <c r="A4925" t="inlineStr">
        <is>
          <t>2025-11-17</t>
        </is>
      </c>
      <c r="B4925" t="inlineStr">
        <is>
          <t>PVC</t>
        </is>
      </c>
      <c r="C4925" t="inlineStr">
        <is>
          <t>空</t>
        </is>
      </c>
      <c r="D4925" t="n">
        <v>2</v>
      </c>
      <c r="E4925" t="n">
        <v>5</v>
      </c>
      <c r="F4925" t="inlineStr">
        <is>
          <t>观望</t>
        </is>
      </c>
      <c r="G4925" t="n">
        <v>13</v>
      </c>
      <c r="H4925" t="n">
        <v>4601</v>
      </c>
      <c r="I4925" t="n">
        <v>4744.36</v>
      </c>
      <c r="J4925" t="n">
        <v>1</v>
      </c>
      <c r="K4925" t="inlineStr">
        <is>
          <t>逆5日线（收盘在5日线上，不追空）</t>
        </is>
      </c>
    </row>
    <row r="4926">
      <c r="A4926" t="inlineStr">
        <is>
          <t>2025-11-17</t>
        </is>
      </c>
      <c r="B4926" t="inlineStr">
        <is>
          <t>沪镍</t>
        </is>
      </c>
      <c r="C4926" t="inlineStr">
        <is>
          <t>空</t>
        </is>
      </c>
      <c r="D4926" t="n">
        <v>2</v>
      </c>
      <c r="E4926" t="n">
        <v>5</v>
      </c>
      <c r="F4926" t="inlineStr">
        <is>
          <t>续持</t>
        </is>
      </c>
      <c r="G4926" t="n">
        <v>3</v>
      </c>
      <c r="H4926" t="n">
        <v>116750</v>
      </c>
      <c r="I4926" t="n">
        <v>119622.86</v>
      </c>
      <c r="J4926" t="n">
        <v>1</v>
      </c>
      <c r="K4926" t="inlineStr">
        <is>
          <t>续持原仓（2025-11-06开）</t>
        </is>
      </c>
    </row>
    <row r="4927">
      <c r="A4927" t="inlineStr">
        <is>
          <t>2025-11-17</t>
        </is>
      </c>
      <c r="B4927" t="inlineStr">
        <is>
          <t>玻璃</t>
        </is>
      </c>
      <c r="C4927" t="inlineStr">
        <is>
          <t>空</t>
        </is>
      </c>
      <c r="D4927" t="n">
        <v>2</v>
      </c>
      <c r="E4927" t="n">
        <v>5</v>
      </c>
      <c r="F4927" t="inlineStr">
        <is>
          <t>影子仓</t>
        </is>
      </c>
      <c r="G4927" t="n">
        <v>6</v>
      </c>
      <c r="H4927" t="n">
        <v>1029</v>
      </c>
      <c r="I4927" t="n">
        <v>1111.93</v>
      </c>
      <c r="J4927" t="n">
        <v>1</v>
      </c>
      <c r="K4927" t="inlineStr">
        <is>
          <t>凯利≤0，开1%影子仓（只统计，不计入组合）</t>
        </is>
      </c>
    </row>
    <row r="4928">
      <c r="A4928" t="inlineStr">
        <is>
          <t>2025-11-18</t>
        </is>
      </c>
      <c r="B4928" t="inlineStr">
        <is>
          <t>PVC</t>
        </is>
      </c>
      <c r="C4928" t="inlineStr">
        <is>
          <t>空</t>
        </is>
      </c>
      <c r="D4928" t="n">
        <v>3</v>
      </c>
      <c r="E4928" t="n">
        <v>7</v>
      </c>
      <c r="F4928" t="inlineStr">
        <is>
          <t>续持</t>
        </is>
      </c>
      <c r="G4928" t="n">
        <v>35</v>
      </c>
      <c r="H4928" t="n">
        <v>4520</v>
      </c>
      <c r="I4928" t="n">
        <v>4661.79</v>
      </c>
      <c r="J4928" t="n">
        <v>3</v>
      </c>
      <c r="K4928" t="inlineStr">
        <is>
          <t>续持原仓（2025-10-24开）</t>
        </is>
      </c>
    </row>
    <row r="4929">
      <c r="A4929" t="inlineStr">
        <is>
          <t>2025-11-18</t>
        </is>
      </c>
      <c r="B4929" t="inlineStr">
        <is>
          <t>豆油</t>
        </is>
      </c>
      <c r="C4929" t="inlineStr">
        <is>
          <t>多</t>
        </is>
      </c>
      <c r="D4929" t="n">
        <v>3</v>
      </c>
      <c r="E4929" t="n">
        <v>7</v>
      </c>
      <c r="F4929" t="inlineStr">
        <is>
          <t>开仓</t>
        </is>
      </c>
      <c r="G4929" t="n">
        <v>11</v>
      </c>
      <c r="H4929" t="n">
        <v>8320</v>
      </c>
      <c r="I4929" t="n">
        <v>8069.29</v>
      </c>
      <c r="J4929" t="n">
        <v>3</v>
      </c>
      <c r="K4929" t="inlineStr">
        <is>
          <t>¼凯利超上限，取3%</t>
        </is>
      </c>
    </row>
    <row r="4930">
      <c r="A4930" t="inlineStr">
        <is>
          <t>2025-11-18</t>
        </is>
      </c>
      <c r="B4930" t="inlineStr">
        <is>
          <t>豆粕</t>
        </is>
      </c>
      <c r="C4930" t="inlineStr">
        <is>
          <t>多</t>
        </is>
      </c>
      <c r="D4930" t="n">
        <v>2</v>
      </c>
      <c r="E4930" t="n">
        <v>5</v>
      </c>
      <c r="F4930" t="inlineStr">
        <is>
          <t>观望</t>
        </is>
      </c>
      <c r="G4930" t="n">
        <v>7</v>
      </c>
      <c r="H4930" t="n">
        <v>3041</v>
      </c>
      <c r="I4930" t="n">
        <v>2911.14</v>
      </c>
      <c r="J4930" t="n">
        <v>1</v>
      </c>
      <c r="K4930" t="inlineStr">
        <is>
          <t>逆5日线（收盘在5日线下，不追多）</t>
        </is>
      </c>
    </row>
    <row r="4931">
      <c r="A4931" t="inlineStr">
        <is>
          <t>2025-11-18</t>
        </is>
      </c>
      <c r="B4931" t="inlineStr">
        <is>
          <t>苯乙烯</t>
        </is>
      </c>
      <c r="C4931" t="inlineStr">
        <is>
          <t>空</t>
        </is>
      </c>
      <c r="D4931" t="n">
        <v>2</v>
      </c>
      <c r="E4931" t="n">
        <v>4</v>
      </c>
      <c r="F4931" t="inlineStr">
        <is>
          <t>观望</t>
        </is>
      </c>
      <c r="G4931" t="n">
        <v>6</v>
      </c>
      <c r="H4931" t="n">
        <v>6465</v>
      </c>
      <c r="I4931" t="n">
        <v>6789.21</v>
      </c>
      <c r="J4931" t="n">
        <v>1</v>
      </c>
      <c r="K4931" t="inlineStr">
        <is>
          <t>逆5日线（收盘在5日线上，不追空）</t>
        </is>
      </c>
    </row>
    <row r="4932">
      <c r="A4932" t="inlineStr">
        <is>
          <t>2025-11-18</t>
        </is>
      </c>
      <c r="B4932" t="inlineStr">
        <is>
          <t>热卷</t>
        </is>
      </c>
      <c r="C4932" t="inlineStr">
        <is>
          <t>空</t>
        </is>
      </c>
      <c r="D4932" t="n">
        <v>2</v>
      </c>
      <c r="E4932" t="n">
        <v>4</v>
      </c>
      <c r="F4932" t="inlineStr">
        <is>
          <t>观望</t>
        </is>
      </c>
      <c r="G4932" t="n">
        <v>10</v>
      </c>
      <c r="H4932" t="n">
        <v>3286</v>
      </c>
      <c r="I4932" t="n">
        <v>3384.36</v>
      </c>
      <c r="J4932" t="n">
        <v>1</v>
      </c>
      <c r="K4932" t="inlineStr">
        <is>
          <t>逆5日线（收盘在5日线上，不追空）</t>
        </is>
      </c>
    </row>
    <row r="4933">
      <c r="A4933" t="inlineStr">
        <is>
          <t>2025-11-18</t>
        </is>
      </c>
      <c r="B4933" t="inlineStr">
        <is>
          <t>白糖</t>
        </is>
      </c>
      <c r="C4933" t="inlineStr">
        <is>
          <t>空</t>
        </is>
      </c>
      <c r="D4933" t="n">
        <v>2</v>
      </c>
      <c r="E4933" t="n">
        <v>4</v>
      </c>
      <c r="F4933" t="inlineStr">
        <is>
          <t>影子仓</t>
        </is>
      </c>
      <c r="G4933" t="n">
        <v>9</v>
      </c>
      <c r="H4933" t="n">
        <v>5407</v>
      </c>
      <c r="I4933" t="n">
        <v>5518</v>
      </c>
      <c r="J4933" t="n">
        <v>1</v>
      </c>
      <c r="K4933" t="inlineStr">
        <is>
          <t>凯利≤0，开1%影子仓（只统计，不计入组合）</t>
        </is>
      </c>
    </row>
    <row r="4934">
      <c r="A4934" t="inlineStr">
        <is>
          <t>2025-11-19</t>
        </is>
      </c>
      <c r="B4934" t="inlineStr">
        <is>
          <t>PVC</t>
        </is>
      </c>
      <c r="C4934" t="inlineStr">
        <is>
          <t>空</t>
        </is>
      </c>
      <c r="D4934" t="n">
        <v>3</v>
      </c>
      <c r="E4934" t="n">
        <v>7</v>
      </c>
      <c r="F4934" t="inlineStr">
        <is>
          <t>续持</t>
        </is>
      </c>
      <c r="G4934" t="n">
        <v>35</v>
      </c>
      <c r="H4934" t="n">
        <v>4492</v>
      </c>
      <c r="I4934" t="n">
        <v>4624.29</v>
      </c>
      <c r="J4934" t="n">
        <v>3</v>
      </c>
      <c r="K4934" t="inlineStr">
        <is>
          <t>续持原仓（2025-10-24开）</t>
        </is>
      </c>
    </row>
    <row r="4935">
      <c r="A4935" t="inlineStr">
        <is>
          <t>2025-11-19</t>
        </is>
      </c>
      <c r="B4935" t="inlineStr">
        <is>
          <t>沪银</t>
        </is>
      </c>
      <c r="C4935" t="inlineStr">
        <is>
          <t>多</t>
        </is>
      </c>
      <c r="D4935" t="n">
        <v>3</v>
      </c>
      <c r="E4935" t="n">
        <v>7</v>
      </c>
      <c r="F4935" t="inlineStr">
        <is>
          <t>观望</t>
        </is>
      </c>
      <c r="G4935" t="n">
        <v>2</v>
      </c>
      <c r="H4935" t="n">
        <v>12148</v>
      </c>
      <c r="I4935" t="n">
        <v>11169.14</v>
      </c>
      <c r="J4935" t="n">
        <v>3</v>
      </c>
      <c r="K4935" t="inlineStr">
        <is>
          <t>逆5日线（收盘在5日线下，不追多）</t>
        </is>
      </c>
    </row>
    <row r="4936">
      <c r="A4936" t="inlineStr">
        <is>
          <t>2025-11-19</t>
        </is>
      </c>
      <c r="B4936" t="inlineStr">
        <is>
          <t>沪镍</t>
        </is>
      </c>
      <c r="C4936" t="inlineStr">
        <is>
          <t>空</t>
        </is>
      </c>
      <c r="D4936" t="n">
        <v>3</v>
      </c>
      <c r="E4936" t="n">
        <v>6</v>
      </c>
      <c r="F4936" t="inlineStr">
        <is>
          <t>开仓</t>
        </is>
      </c>
      <c r="G4936" t="n">
        <v>8</v>
      </c>
      <c r="H4936" t="n">
        <v>115830</v>
      </c>
      <c r="I4936" t="n">
        <v>119217.86</v>
      </c>
      <c r="J4936" t="n">
        <v>3</v>
      </c>
      <c r="K4936" t="inlineStr">
        <is>
          <t>¼凯利超上限，取3%</t>
        </is>
      </c>
    </row>
    <row r="4937">
      <c r="A4937" t="inlineStr">
        <is>
          <t>2025-11-19</t>
        </is>
      </c>
      <c r="B4937" t="inlineStr">
        <is>
          <t>燃料油</t>
        </is>
      </c>
      <c r="C4937" t="inlineStr">
        <is>
          <t>空</t>
        </is>
      </c>
      <c r="D4937" t="n">
        <v>2</v>
      </c>
      <c r="E4937" t="n">
        <v>5</v>
      </c>
      <c r="F4937" t="inlineStr">
        <is>
          <t>影子仓</t>
        </is>
      </c>
      <c r="G4937" t="n">
        <v>6</v>
      </c>
      <c r="H4937" t="n">
        <v>2560</v>
      </c>
      <c r="I4937" t="n">
        <v>2711.93</v>
      </c>
      <c r="J4937" t="n">
        <v>1</v>
      </c>
      <c r="K4937" t="inlineStr">
        <is>
          <t>凯利≤0，开1%影子仓（只统计，不计入组合）</t>
        </is>
      </c>
    </row>
    <row r="4938">
      <c r="A4938" t="inlineStr">
        <is>
          <t>2025-11-19</t>
        </is>
      </c>
      <c r="B4938" t="inlineStr">
        <is>
          <t>鸡蛋</t>
        </is>
      </c>
      <c r="C4938" t="inlineStr">
        <is>
          <t>空</t>
        </is>
      </c>
      <c r="D4938" t="n">
        <v>2</v>
      </c>
      <c r="E4938" t="n">
        <v>4</v>
      </c>
      <c r="F4938" t="inlineStr">
        <is>
          <t>影子仓</t>
        </is>
      </c>
      <c r="G4938" t="n">
        <v>5</v>
      </c>
      <c r="H4938" t="n">
        <v>3180</v>
      </c>
      <c r="I4938" t="n">
        <v>3352.5</v>
      </c>
      <c r="J4938" t="n">
        <v>1</v>
      </c>
      <c r="K4938" t="inlineStr">
        <is>
          <t>凯利≤0，开1%影子仓（只统计，不计入组合）</t>
        </is>
      </c>
    </row>
    <row r="4939">
      <c r="A4939" t="inlineStr">
        <is>
          <t>2025-11-20</t>
        </is>
      </c>
      <c r="B4939" t="inlineStr">
        <is>
          <t>PVC</t>
        </is>
      </c>
      <c r="C4939" t="inlineStr">
        <is>
          <t>空</t>
        </is>
      </c>
      <c r="D4939" t="n">
        <v>3</v>
      </c>
      <c r="E4939" t="n">
        <v>6</v>
      </c>
      <c r="F4939" t="inlineStr">
        <is>
          <t>续持</t>
        </is>
      </c>
      <c r="G4939" t="n">
        <v>35</v>
      </c>
      <c r="H4939" t="n">
        <v>4456</v>
      </c>
      <c r="I4939" t="n">
        <v>4560.21</v>
      </c>
      <c r="J4939" t="n">
        <v>3</v>
      </c>
      <c r="K4939" t="inlineStr">
        <is>
          <t>续持原仓（2025-10-24开）</t>
        </is>
      </c>
    </row>
    <row r="4940">
      <c r="A4940" t="inlineStr">
        <is>
          <t>2025-11-20</t>
        </is>
      </c>
      <c r="B4940" t="inlineStr">
        <is>
          <t>聚丙烯</t>
        </is>
      </c>
      <c r="C4940" t="inlineStr">
        <is>
          <t>空</t>
        </is>
      </c>
      <c r="D4940" t="n">
        <v>3</v>
      </c>
      <c r="E4940" t="n">
        <v>6</v>
      </c>
      <c r="F4940" t="inlineStr">
        <is>
          <t>开仓</t>
        </is>
      </c>
      <c r="G4940" t="n">
        <v>33</v>
      </c>
      <c r="H4940" t="n">
        <v>6400</v>
      </c>
      <c r="I4940" t="n">
        <v>6581.5</v>
      </c>
      <c r="J4940" t="n">
        <v>3</v>
      </c>
      <c r="K4940" t="inlineStr">
        <is>
          <t>¼凯利超上限，取3%</t>
        </is>
      </c>
    </row>
    <row r="4941">
      <c r="A4941" t="inlineStr">
        <is>
          <t>2025-11-20</t>
        </is>
      </c>
      <c r="B4941" t="inlineStr">
        <is>
          <t>热卷</t>
        </is>
      </c>
      <c r="C4941" t="inlineStr">
        <is>
          <t>空</t>
        </is>
      </c>
      <c r="D4941" t="n">
        <v>3</v>
      </c>
      <c r="E4941" t="n">
        <v>6</v>
      </c>
      <c r="F4941" t="inlineStr">
        <is>
          <t>续持</t>
        </is>
      </c>
      <c r="G4941" t="n">
        <v>9</v>
      </c>
      <c r="H4941" t="n">
        <v>3267</v>
      </c>
      <c r="I4941" t="n">
        <v>3324.64</v>
      </c>
      <c r="J4941" t="n">
        <v>1</v>
      </c>
      <c r="K4941" t="inlineStr">
        <is>
          <t>续持原仓（2025-11-07开）</t>
        </is>
      </c>
    </row>
    <row r="4942">
      <c r="A4942" t="inlineStr">
        <is>
          <t>2025-11-20</t>
        </is>
      </c>
      <c r="B4942" t="inlineStr">
        <is>
          <t>菜油</t>
        </is>
      </c>
      <c r="C4942" t="inlineStr">
        <is>
          <t>空</t>
        </is>
      </c>
      <c r="D4942" t="n">
        <v>2</v>
      </c>
      <c r="E4942" t="n">
        <v>4</v>
      </c>
      <c r="F4942" t="inlineStr">
        <is>
          <t>影子仓</t>
        </is>
      </c>
      <c r="G4942" t="n">
        <v>2</v>
      </c>
      <c r="H4942" t="n">
        <v>9779</v>
      </c>
      <c r="I4942" t="n">
        <v>10198.57</v>
      </c>
      <c r="J4942" t="n">
        <v>1</v>
      </c>
      <c r="K4942" t="inlineStr">
        <is>
          <t>凯利≤0，开1%影子仓（只统计，不计入组合）</t>
        </is>
      </c>
    </row>
    <row r="4943">
      <c r="A4943" t="inlineStr">
        <is>
          <t>2025-11-21</t>
        </is>
      </c>
      <c r="B4943" t="inlineStr">
        <is>
          <t>聚丙烯</t>
        </is>
      </c>
      <c r="C4943" t="inlineStr">
        <is>
          <t>空</t>
        </is>
      </c>
      <c r="D4943" t="n">
        <v>3</v>
      </c>
      <c r="E4943" t="n">
        <v>7</v>
      </c>
      <c r="F4943" t="inlineStr">
        <is>
          <t>续持</t>
        </is>
      </c>
      <c r="G4943" t="n">
        <v>33</v>
      </c>
      <c r="H4943" t="n">
        <v>6357</v>
      </c>
      <c r="I4943" t="n">
        <v>6539.43</v>
      </c>
      <c r="J4943" t="n">
        <v>3</v>
      </c>
      <c r="K4943" t="inlineStr">
        <is>
          <t>续持原仓（2025-11-20开）</t>
        </is>
      </c>
    </row>
    <row r="4944">
      <c r="A4944" t="inlineStr">
        <is>
          <t>2025-11-21</t>
        </is>
      </c>
      <c r="B4944" t="inlineStr">
        <is>
          <t>PVC</t>
        </is>
      </c>
      <c r="C4944" t="inlineStr">
        <is>
          <t>空</t>
        </is>
      </c>
      <c r="D4944" t="n">
        <v>3</v>
      </c>
      <c r="E4944" t="n">
        <v>6</v>
      </c>
      <c r="F4944" t="inlineStr">
        <is>
          <t>续持</t>
        </is>
      </c>
      <c r="G4944" t="n">
        <v>35</v>
      </c>
      <c r="H4944" t="n">
        <v>4456</v>
      </c>
      <c r="I4944" t="n">
        <v>4560.21</v>
      </c>
      <c r="J4944" t="n">
        <v>3</v>
      </c>
      <c r="K4944" t="inlineStr">
        <is>
          <t>续持原仓（2025-10-24开）</t>
        </is>
      </c>
    </row>
    <row r="4945">
      <c r="A4945" t="inlineStr">
        <is>
          <t>2025-11-21</t>
        </is>
      </c>
      <c r="B4945" t="inlineStr">
        <is>
          <t>玉米</t>
        </is>
      </c>
      <c r="C4945" t="inlineStr">
        <is>
          <t>多</t>
        </is>
      </c>
      <c r="D4945" t="n">
        <v>3</v>
      </c>
      <c r="E4945" t="n">
        <v>6</v>
      </c>
      <c r="F4945" t="inlineStr">
        <is>
          <t>开仓</t>
        </is>
      </c>
      <c r="G4945" t="n">
        <v>54</v>
      </c>
      <c r="H4945" t="n">
        <v>2195</v>
      </c>
      <c r="I4945" t="n">
        <v>2139.71</v>
      </c>
      <c r="J4945" t="n">
        <v>3</v>
      </c>
      <c r="K4945" t="inlineStr">
        <is>
          <t>¼凯利超上限，取3%</t>
        </is>
      </c>
    </row>
    <row r="4946">
      <c r="A4946" t="inlineStr">
        <is>
          <t>2025-11-21</t>
        </is>
      </c>
      <c r="B4946" t="inlineStr">
        <is>
          <t>白糖</t>
        </is>
      </c>
      <c r="C4946" t="inlineStr">
        <is>
          <t>空</t>
        </is>
      </c>
      <c r="D4946" t="n">
        <v>2</v>
      </c>
      <c r="E4946" t="n">
        <v>5</v>
      </c>
      <c r="F4946" t="inlineStr">
        <is>
          <t>影子仓</t>
        </is>
      </c>
      <c r="G4946" t="n">
        <v>9</v>
      </c>
      <c r="H4946" t="n">
        <v>5353</v>
      </c>
      <c r="I4946" t="n">
        <v>5464</v>
      </c>
      <c r="J4946" t="n">
        <v>1</v>
      </c>
      <c r="K4946" t="inlineStr">
        <is>
          <t>凯利≤0，开1%影子仓（只统计，不计入组合）</t>
        </is>
      </c>
    </row>
    <row r="4947">
      <c r="A4947" t="inlineStr">
        <is>
          <t>2025-11-21</t>
        </is>
      </c>
      <c r="B4947" t="inlineStr">
        <is>
          <t>热卷</t>
        </is>
      </c>
      <c r="C4947" t="inlineStr">
        <is>
          <t>空</t>
        </is>
      </c>
      <c r="D4947" t="n">
        <v>2</v>
      </c>
      <c r="E4947" t="n">
        <v>5</v>
      </c>
      <c r="F4947" t="inlineStr">
        <is>
          <t>续持</t>
        </is>
      </c>
      <c r="G4947" t="n">
        <v>9</v>
      </c>
      <c r="H4947" t="n">
        <v>3270</v>
      </c>
      <c r="I4947" t="n">
        <v>3324.43</v>
      </c>
      <c r="J4947" t="n">
        <v>1</v>
      </c>
      <c r="K4947" t="inlineStr">
        <is>
          <t>续持原仓（2025-11-07开）</t>
        </is>
      </c>
    </row>
    <row r="4948">
      <c r="A4948" t="inlineStr">
        <is>
          <t>2025-11-24</t>
        </is>
      </c>
      <c r="B4948" t="inlineStr">
        <is>
          <t>玉米</t>
        </is>
      </c>
      <c r="C4948" t="inlineStr">
        <is>
          <t>多</t>
        </is>
      </c>
      <c r="D4948" t="n">
        <v>3</v>
      </c>
      <c r="E4948" t="n">
        <v>7</v>
      </c>
      <c r="F4948" t="inlineStr">
        <is>
          <t>续持</t>
        </is>
      </c>
      <c r="G4948" t="n">
        <v>54</v>
      </c>
      <c r="H4948" t="n">
        <v>2220</v>
      </c>
      <c r="I4948" t="n">
        <v>2161.5</v>
      </c>
      <c r="J4948" t="n">
        <v>3</v>
      </c>
      <c r="K4948" t="inlineStr">
        <is>
          <t>续持原仓（2025-11-21开）</t>
        </is>
      </c>
    </row>
    <row r="4949">
      <c r="A4949" t="inlineStr">
        <is>
          <t>2025-11-24</t>
        </is>
      </c>
      <c r="B4949" t="inlineStr">
        <is>
          <t>燃料油</t>
        </is>
      </c>
      <c r="C4949" t="inlineStr">
        <is>
          <t>空</t>
        </is>
      </c>
      <c r="D4949" t="n">
        <v>3</v>
      </c>
      <c r="E4949" t="n">
        <v>6</v>
      </c>
      <c r="F4949" t="inlineStr">
        <is>
          <t>开仓</t>
        </is>
      </c>
      <c r="G4949" t="n">
        <v>17</v>
      </c>
      <c r="H4949" t="n">
        <v>2512</v>
      </c>
      <c r="I4949" t="n">
        <v>2683.43</v>
      </c>
      <c r="J4949" t="n">
        <v>3</v>
      </c>
      <c r="K4949" t="inlineStr">
        <is>
          <t>¼凯利超上限，取3%</t>
        </is>
      </c>
    </row>
    <row r="4950">
      <c r="A4950" t="inlineStr">
        <is>
          <t>2025-11-24</t>
        </is>
      </c>
      <c r="B4950" t="inlineStr">
        <is>
          <t>豆油</t>
        </is>
      </c>
      <c r="C4950" t="inlineStr">
        <is>
          <t>多</t>
        </is>
      </c>
      <c r="D4950" t="n">
        <v>3</v>
      </c>
      <c r="E4950" t="n">
        <v>6</v>
      </c>
      <c r="F4950" t="inlineStr">
        <is>
          <t>观望</t>
        </is>
      </c>
      <c r="G4950" t="n">
        <v>3</v>
      </c>
      <c r="H4950" t="n">
        <v>8168</v>
      </c>
      <c r="I4950" t="n">
        <v>7913.43</v>
      </c>
      <c r="J4950" t="n">
        <v>1</v>
      </c>
      <c r="K4950" t="inlineStr">
        <is>
          <t>逆5日线（收盘在5日线下，不追多）</t>
        </is>
      </c>
    </row>
    <row r="4951">
      <c r="A4951" t="inlineStr">
        <is>
          <t>2025-11-24</t>
        </is>
      </c>
      <c r="B4951" t="inlineStr">
        <is>
          <t>聚丙烯</t>
        </is>
      </c>
      <c r="C4951" t="inlineStr">
        <is>
          <t>空</t>
        </is>
      </c>
      <c r="D4951" t="n">
        <v>2</v>
      </c>
      <c r="E4951" t="n">
        <v>5</v>
      </c>
      <c r="F4951" t="inlineStr">
        <is>
          <t>续持</t>
        </is>
      </c>
      <c r="G4951" t="n">
        <v>33</v>
      </c>
      <c r="H4951" t="n">
        <v>6372</v>
      </c>
      <c r="I4951" t="n">
        <v>6507.43</v>
      </c>
      <c r="J4951" t="n">
        <v>3</v>
      </c>
      <c r="K4951" t="inlineStr">
        <is>
          <t>续持原仓（2025-11-20开）</t>
        </is>
      </c>
    </row>
    <row r="4952">
      <c r="A4952" t="inlineStr">
        <is>
          <t>2025-11-24</t>
        </is>
      </c>
      <c r="B4952" t="inlineStr">
        <is>
          <t>白糖</t>
        </is>
      </c>
      <c r="C4952" t="inlineStr">
        <is>
          <t>空</t>
        </is>
      </c>
      <c r="D4952" t="n">
        <v>2</v>
      </c>
      <c r="E4952" t="n">
        <v>5</v>
      </c>
      <c r="F4952" t="inlineStr">
        <is>
          <t>续持</t>
        </is>
      </c>
      <c r="G4952" t="n">
        <v>9</v>
      </c>
      <c r="H4952" t="n">
        <v>5370</v>
      </c>
      <c r="I4952" t="n">
        <v>5450.64</v>
      </c>
      <c r="J4952" t="n">
        <v>1</v>
      </c>
      <c r="K4952" t="inlineStr">
        <is>
          <t>续持原仓（2025-11-21开）</t>
        </is>
      </c>
    </row>
    <row r="4953">
      <c r="A4953" t="inlineStr">
        <is>
          <t>2025-11-24</t>
        </is>
      </c>
      <c r="B4953" t="inlineStr">
        <is>
          <t>塑料</t>
        </is>
      </c>
      <c r="C4953" t="inlineStr">
        <is>
          <t>多</t>
        </is>
      </c>
      <c r="D4953" t="n">
        <v>2</v>
      </c>
      <c r="E4953" t="n">
        <v>4</v>
      </c>
      <c r="F4953" t="inlineStr">
        <is>
          <t>观望</t>
        </is>
      </c>
      <c r="G4953" t="n">
        <v>10</v>
      </c>
      <c r="H4953" t="n">
        <v>6793</v>
      </c>
      <c r="I4953" t="n">
        <v>6595.86</v>
      </c>
      <c r="J4953" t="n">
        <v>1</v>
      </c>
      <c r="K4953" t="inlineStr">
        <is>
          <t>逆5日线（收盘在5日线下，不追多）</t>
        </is>
      </c>
    </row>
    <row r="4954">
      <c r="A4954" t="inlineStr">
        <is>
          <t>2025-11-25</t>
        </is>
      </c>
      <c r="B4954" t="inlineStr">
        <is>
          <t>甲醇</t>
        </is>
      </c>
      <c r="C4954" t="inlineStr">
        <is>
          <t>空</t>
        </is>
      </c>
      <c r="D4954" t="n">
        <v>3</v>
      </c>
      <c r="E4954" t="n">
        <v>7</v>
      </c>
      <c r="F4954" t="inlineStr">
        <is>
          <t>观望</t>
        </is>
      </c>
      <c r="G4954" t="n">
        <v>24</v>
      </c>
      <c r="H4954" t="n">
        <v>2067</v>
      </c>
      <c r="I4954" t="n">
        <v>2190.43</v>
      </c>
      <c r="J4954" t="n">
        <v>3</v>
      </c>
      <c r="K4954" t="inlineStr">
        <is>
          <t>逆5日线（收盘在5日线上，不追空）</t>
        </is>
      </c>
    </row>
    <row r="4955">
      <c r="A4955" t="inlineStr">
        <is>
          <t>2025-11-25</t>
        </is>
      </c>
      <c r="B4955" t="inlineStr">
        <is>
          <t>焦煤</t>
        </is>
      </c>
      <c r="C4955" t="inlineStr">
        <is>
          <t>空</t>
        </is>
      </c>
      <c r="D4955" t="n">
        <v>3</v>
      </c>
      <c r="E4955" t="n">
        <v>7</v>
      </c>
      <c r="F4955" t="inlineStr">
        <is>
          <t>开仓</t>
        </is>
      </c>
      <c r="G4955" t="n">
        <v>4</v>
      </c>
      <c r="H4955" t="n">
        <v>1086</v>
      </c>
      <c r="I4955" t="n">
        <v>1188.96</v>
      </c>
      <c r="J4955" t="n">
        <v>3</v>
      </c>
      <c r="K4955" t="inlineStr">
        <is>
          <t>¼凯利超上限，取3%</t>
        </is>
      </c>
    </row>
    <row r="4956">
      <c r="A4956" t="inlineStr">
        <is>
          <t>2025-11-25</t>
        </is>
      </c>
      <c r="B4956" t="inlineStr">
        <is>
          <t>棕榈油</t>
        </is>
      </c>
      <c r="C4956" t="inlineStr">
        <is>
          <t>空</t>
        </is>
      </c>
      <c r="D4956" t="n">
        <v>3</v>
      </c>
      <c r="E4956" t="n">
        <v>7</v>
      </c>
      <c r="F4956" t="inlineStr">
        <is>
          <t>开仓</t>
        </is>
      </c>
      <c r="G4956" t="n">
        <v>6</v>
      </c>
      <c r="H4956" t="n">
        <v>8360</v>
      </c>
      <c r="I4956" t="n">
        <v>8791.57</v>
      </c>
      <c r="J4956" t="n">
        <v>3</v>
      </c>
      <c r="K4956" t="inlineStr">
        <is>
          <t>¼凯利超上限，取3%</t>
        </is>
      </c>
    </row>
    <row r="4957">
      <c r="A4957" t="inlineStr">
        <is>
          <t>2025-11-25</t>
        </is>
      </c>
      <c r="B4957" t="inlineStr">
        <is>
          <t>沪银</t>
        </is>
      </c>
      <c r="C4957" t="inlineStr">
        <is>
          <t>多</t>
        </is>
      </c>
      <c r="D4957" t="n">
        <v>3</v>
      </c>
      <c r="E4957" t="n">
        <v>6</v>
      </c>
      <c r="F4957" t="inlineStr">
        <is>
          <t>不做</t>
        </is>
      </c>
      <c r="H4957" t="n">
        <v>12127</v>
      </c>
      <c r="J4957" t="n">
        <v>1</v>
      </c>
      <c r="K4957" t="inlineStr">
        <is>
          <t>1手风险16367元超过预算10000元</t>
        </is>
      </c>
    </row>
    <row r="4958">
      <c r="A4958" t="inlineStr">
        <is>
          <t>2025-11-25</t>
        </is>
      </c>
      <c r="B4958" t="inlineStr">
        <is>
          <t>玉米</t>
        </is>
      </c>
      <c r="C4958" t="inlineStr">
        <is>
          <t>多</t>
        </is>
      </c>
      <c r="D4958" t="n">
        <v>3</v>
      </c>
      <c r="E4958" t="n">
        <v>6</v>
      </c>
      <c r="F4958" t="inlineStr">
        <is>
          <t>续持</t>
        </is>
      </c>
      <c r="G4958" t="n">
        <v>54</v>
      </c>
      <c r="H4958" t="n">
        <v>2242</v>
      </c>
      <c r="I4958" t="n">
        <v>2182.36</v>
      </c>
      <c r="J4958" t="n">
        <v>3</v>
      </c>
      <c r="K4958" t="inlineStr">
        <is>
          <t>续持原仓（2025-11-21开）</t>
        </is>
      </c>
    </row>
    <row r="4959">
      <c r="A4959" t="inlineStr">
        <is>
          <t>2025-11-25</t>
        </is>
      </c>
      <c r="B4959" t="inlineStr">
        <is>
          <t>热卷</t>
        </is>
      </c>
      <c r="C4959" t="inlineStr">
        <is>
          <t>空</t>
        </is>
      </c>
      <c r="D4959" t="n">
        <v>2</v>
      </c>
      <c r="E4959" t="n">
        <v>5</v>
      </c>
      <c r="F4959" t="inlineStr">
        <is>
          <t>观望</t>
        </is>
      </c>
      <c r="G4959" t="n">
        <v>10</v>
      </c>
      <c r="H4959" t="n">
        <v>3309</v>
      </c>
      <c r="I4959" t="n">
        <v>3404.57</v>
      </c>
      <c r="J4959" t="n">
        <v>1</v>
      </c>
      <c r="K4959" t="inlineStr">
        <is>
          <t>逆5日线（收盘在5日线上，不追空）</t>
        </is>
      </c>
    </row>
    <row r="4960">
      <c r="A4960" t="inlineStr">
        <is>
          <t>2025-11-26</t>
        </is>
      </c>
      <c r="B4960" t="inlineStr">
        <is>
          <t>聚丙烯</t>
        </is>
      </c>
      <c r="C4960" t="inlineStr">
        <is>
          <t>空</t>
        </is>
      </c>
      <c r="D4960" t="n">
        <v>3</v>
      </c>
      <c r="E4960" t="n">
        <v>7</v>
      </c>
      <c r="F4960" t="inlineStr">
        <is>
          <t>开仓</t>
        </is>
      </c>
      <c r="G4960" t="n">
        <v>31</v>
      </c>
      <c r="H4960" t="n">
        <v>6265</v>
      </c>
      <c r="I4960" t="n">
        <v>6453.14</v>
      </c>
      <c r="J4960" t="n">
        <v>3</v>
      </c>
      <c r="K4960" t="inlineStr">
        <is>
          <t>¼凯利超上限，取3%</t>
        </is>
      </c>
    </row>
    <row r="4961">
      <c r="A4961" t="inlineStr">
        <is>
          <t>2025-11-26</t>
        </is>
      </c>
      <c r="B4961" t="inlineStr">
        <is>
          <t>燃料油</t>
        </is>
      </c>
      <c r="C4961" t="inlineStr">
        <is>
          <t>空</t>
        </is>
      </c>
      <c r="D4961" t="n">
        <v>3</v>
      </c>
      <c r="E4961" t="n">
        <v>7</v>
      </c>
      <c r="F4961" t="inlineStr">
        <is>
          <t>开仓</t>
        </is>
      </c>
      <c r="G4961" t="n">
        <v>5</v>
      </c>
      <c r="H4961" t="n">
        <v>2467</v>
      </c>
      <c r="I4961" t="n">
        <v>2639.71</v>
      </c>
      <c r="J4961" t="n">
        <v>1</v>
      </c>
      <c r="K4961" t="inlineStr">
        <is>
          <t>组合风险已近10%，预算缩小</t>
        </is>
      </c>
    </row>
    <row r="4962">
      <c r="A4962" t="inlineStr">
        <is>
          <t>2025-11-26</t>
        </is>
      </c>
      <c r="B4962" t="inlineStr">
        <is>
          <t>甲醇</t>
        </is>
      </c>
      <c r="C4962" t="inlineStr">
        <is>
          <t>空</t>
        </is>
      </c>
      <c r="D4962" t="n">
        <v>2</v>
      </c>
      <c r="E4962" t="n">
        <v>5</v>
      </c>
      <c r="F4962" t="inlineStr">
        <is>
          <t>观望</t>
        </is>
      </c>
      <c r="G4962" t="n">
        <v>8</v>
      </c>
      <c r="H4962" t="n">
        <v>2094</v>
      </c>
      <c r="I4962" t="n">
        <v>2217</v>
      </c>
      <c r="J4962" t="n">
        <v>1</v>
      </c>
      <c r="K4962" t="inlineStr">
        <is>
          <t>逆5日线（收盘在5日线上，不追空）</t>
        </is>
      </c>
    </row>
    <row r="4963">
      <c r="A4963" t="inlineStr">
        <is>
          <t>2025-11-26</t>
        </is>
      </c>
      <c r="B4963" t="inlineStr">
        <is>
          <t>玉米</t>
        </is>
      </c>
      <c r="C4963" t="inlineStr">
        <is>
          <t>多</t>
        </is>
      </c>
      <c r="D4963" t="n">
        <v>2</v>
      </c>
      <c r="E4963" t="n">
        <v>5</v>
      </c>
      <c r="F4963" t="inlineStr">
        <is>
          <t>续持</t>
        </is>
      </c>
      <c r="G4963" t="n">
        <v>54</v>
      </c>
      <c r="H4963" t="n">
        <v>2235</v>
      </c>
      <c r="I4963" t="n">
        <v>2196.57</v>
      </c>
      <c r="J4963" t="n">
        <v>3</v>
      </c>
      <c r="K4963" t="inlineStr">
        <is>
          <t>续持原仓（2025-11-21开）</t>
        </is>
      </c>
    </row>
    <row r="4964">
      <c r="A4964" t="inlineStr">
        <is>
          <t>2025-11-27</t>
        </is>
      </c>
      <c r="B4964" t="inlineStr">
        <is>
          <t>焦煤</t>
        </is>
      </c>
      <c r="C4964" t="inlineStr">
        <is>
          <t>空</t>
        </is>
      </c>
      <c r="D4964" t="n">
        <v>3</v>
      </c>
      <c r="E4964" t="n">
        <v>7</v>
      </c>
      <c r="F4964" t="inlineStr">
        <is>
          <t>开仓</t>
        </is>
      </c>
      <c r="G4964" t="n">
        <v>4</v>
      </c>
      <c r="H4964" t="n">
        <v>1071</v>
      </c>
      <c r="I4964" t="n">
        <v>1172.89</v>
      </c>
      <c r="J4964" t="n">
        <v>3</v>
      </c>
      <c r="K4964" t="inlineStr">
        <is>
          <t>¼凯利超上限，取3%</t>
        </is>
      </c>
    </row>
    <row r="4965">
      <c r="A4965" t="inlineStr">
        <is>
          <t>2025-11-27</t>
        </is>
      </c>
      <c r="B4965" t="inlineStr">
        <is>
          <t>玉米</t>
        </is>
      </c>
      <c r="C4965" t="inlineStr">
        <is>
          <t>多</t>
        </is>
      </c>
      <c r="D4965" t="n">
        <v>3</v>
      </c>
      <c r="E4965" t="n">
        <v>7</v>
      </c>
      <c r="F4965" t="inlineStr">
        <is>
          <t>续持</t>
        </is>
      </c>
      <c r="G4965" t="n">
        <v>54</v>
      </c>
      <c r="H4965" t="n">
        <v>2243</v>
      </c>
      <c r="I4965" t="n">
        <v>2196.57</v>
      </c>
      <c r="J4965" t="n">
        <v>3</v>
      </c>
      <c r="K4965" t="inlineStr">
        <is>
          <t>续持原仓（2025-11-21开）</t>
        </is>
      </c>
    </row>
    <row r="4966">
      <c r="A4966" t="inlineStr">
        <is>
          <t>2025-11-27</t>
        </is>
      </c>
      <c r="B4966" t="inlineStr">
        <is>
          <t>燃料油</t>
        </is>
      </c>
      <c r="C4966" t="inlineStr">
        <is>
          <t>空</t>
        </is>
      </c>
      <c r="D4966" t="n">
        <v>3</v>
      </c>
      <c r="E4966" t="n">
        <v>6</v>
      </c>
      <c r="F4966" t="inlineStr">
        <is>
          <t>续持</t>
        </is>
      </c>
      <c r="G4966" t="n">
        <v>5</v>
      </c>
      <c r="H4966" t="n">
        <v>2471</v>
      </c>
      <c r="I4966" t="n">
        <v>2607.43</v>
      </c>
      <c r="J4966" t="n">
        <v>1</v>
      </c>
      <c r="K4966" t="inlineStr">
        <is>
          <t>续持原仓（2025-11-26开）</t>
        </is>
      </c>
    </row>
    <row r="4967">
      <c r="A4967" t="inlineStr">
        <is>
          <t>2025-11-27</t>
        </is>
      </c>
      <c r="B4967" t="inlineStr">
        <is>
          <t>沪银</t>
        </is>
      </c>
      <c r="C4967" t="inlineStr">
        <is>
          <t>多</t>
        </is>
      </c>
      <c r="D4967" t="n">
        <v>3</v>
      </c>
      <c r="E4967" t="n">
        <v>6</v>
      </c>
      <c r="F4967" t="inlineStr">
        <is>
          <t>不做</t>
        </is>
      </c>
      <c r="H4967" t="n">
        <v>12525</v>
      </c>
      <c r="J4967" t="n">
        <v>0</v>
      </c>
      <c r="K4967" t="inlineStr">
        <is>
          <t>组合风险已近10%，预算缩小</t>
        </is>
      </c>
    </row>
    <row r="4968">
      <c r="A4968" t="inlineStr">
        <is>
          <t>2025-11-27</t>
        </is>
      </c>
      <c r="B4968" t="inlineStr">
        <is>
          <t>豆油</t>
        </is>
      </c>
      <c r="C4968" t="inlineStr">
        <is>
          <t>多</t>
        </is>
      </c>
      <c r="D4968" t="n">
        <v>2</v>
      </c>
      <c r="E4968" t="n">
        <v>5</v>
      </c>
      <c r="F4968" t="inlineStr">
        <is>
          <t>影子仓</t>
        </is>
      </c>
      <c r="G4968" t="n">
        <v>4</v>
      </c>
      <c r="H4968" t="n">
        <v>8002</v>
      </c>
      <c r="I4968" t="n">
        <v>7756</v>
      </c>
      <c r="J4968" t="n">
        <v>1</v>
      </c>
      <c r="K4968" t="inlineStr">
        <is>
          <t>凯利≤0，开1%影子仓（只统计，不计入组合）</t>
        </is>
      </c>
    </row>
    <row r="4969">
      <c r="A4969" t="inlineStr">
        <is>
          <t>2025-11-28</t>
        </is>
      </c>
      <c r="B4969" t="inlineStr">
        <is>
          <t>沪银</t>
        </is>
      </c>
      <c r="C4969" t="inlineStr">
        <is>
          <t>多</t>
        </is>
      </c>
      <c r="D4969" t="n">
        <v>3</v>
      </c>
      <c r="E4969" t="n">
        <v>6</v>
      </c>
      <c r="F4969" t="inlineStr">
        <is>
          <t>开仓</t>
        </is>
      </c>
      <c r="G4969" t="n">
        <v>1</v>
      </c>
      <c r="H4969" t="n">
        <v>12727</v>
      </c>
      <c r="I4969" t="n">
        <v>11573.29</v>
      </c>
      <c r="J4969" t="n">
        <v>3</v>
      </c>
      <c r="K4969" t="inlineStr">
        <is>
          <t>¼凯利超上限，取3%</t>
        </is>
      </c>
    </row>
    <row r="4970">
      <c r="A4970" t="inlineStr">
        <is>
          <t>2025-11-28</t>
        </is>
      </c>
      <c r="B4970" t="inlineStr">
        <is>
          <t>玉米</t>
        </is>
      </c>
      <c r="C4970" t="inlineStr">
        <is>
          <t>多</t>
        </is>
      </c>
      <c r="D4970" t="n">
        <v>3</v>
      </c>
      <c r="E4970" t="n">
        <v>6</v>
      </c>
      <c r="F4970" t="inlineStr">
        <is>
          <t>续持</t>
        </is>
      </c>
      <c r="G4970" t="n">
        <v>54</v>
      </c>
      <c r="H4970" t="n">
        <v>2244</v>
      </c>
      <c r="I4970" t="n">
        <v>2196.57</v>
      </c>
      <c r="J4970" t="n">
        <v>3</v>
      </c>
      <c r="K4970" t="inlineStr">
        <is>
          <t>续持原仓（2025-11-21开）</t>
        </is>
      </c>
    </row>
    <row r="4971">
      <c r="A4971" t="inlineStr">
        <is>
          <t>2025-11-28</t>
        </is>
      </c>
      <c r="B4971" t="inlineStr">
        <is>
          <t>沪铜</t>
        </is>
      </c>
      <c r="C4971" t="inlineStr">
        <is>
          <t>多</t>
        </is>
      </c>
      <c r="D4971" t="n">
        <v>2</v>
      </c>
      <c r="E4971" t="n">
        <v>4</v>
      </c>
      <c r="F4971" t="inlineStr">
        <is>
          <t>不做</t>
        </is>
      </c>
      <c r="H4971" t="n">
        <v>87430</v>
      </c>
      <c r="J4971" t="n">
        <v>1</v>
      </c>
      <c r="K4971" t="inlineStr">
        <is>
          <t>1手风险12889元超过预算10000元</t>
        </is>
      </c>
    </row>
    <row r="4972">
      <c r="A4972" t="inlineStr">
        <is>
          <t>2025-12-01</t>
        </is>
      </c>
      <c r="B4972" t="inlineStr">
        <is>
          <t>沪铝</t>
        </is>
      </c>
      <c r="C4972" t="inlineStr">
        <is>
          <t>多</t>
        </is>
      </c>
      <c r="D4972" t="n">
        <v>3</v>
      </c>
      <c r="E4972" t="n">
        <v>7</v>
      </c>
      <c r="F4972" t="inlineStr">
        <is>
          <t>开仓</t>
        </is>
      </c>
      <c r="G4972" t="n">
        <v>8</v>
      </c>
      <c r="H4972" t="n">
        <v>21865</v>
      </c>
      <c r="I4972" t="n">
        <v>21186.79</v>
      </c>
      <c r="J4972" t="n">
        <v>3</v>
      </c>
      <c r="K4972" t="inlineStr">
        <is>
          <t>¼凯利超上限，取3%</t>
        </is>
      </c>
    </row>
    <row r="4973">
      <c r="A4973" t="inlineStr">
        <is>
          <t>2025-12-01</t>
        </is>
      </c>
      <c r="B4973" t="inlineStr">
        <is>
          <t>螺纹钢</t>
        </is>
      </c>
      <c r="C4973" t="inlineStr">
        <is>
          <t>多</t>
        </is>
      </c>
      <c r="D4973" t="n">
        <v>3</v>
      </c>
      <c r="E4973" t="n">
        <v>6</v>
      </c>
      <c r="F4973" t="inlineStr">
        <is>
          <t>开仓</t>
        </is>
      </c>
      <c r="G4973" t="n">
        <v>10</v>
      </c>
      <c r="H4973" t="n">
        <v>3134</v>
      </c>
      <c r="I4973" t="n">
        <v>3034.57</v>
      </c>
      <c r="J4973" t="n">
        <v>1</v>
      </c>
      <c r="K4973" t="inlineStr">
        <is>
          <t>组合风险已近10%，预算缩小</t>
        </is>
      </c>
    </row>
    <row r="4974">
      <c r="A4974" t="inlineStr">
        <is>
          <t>2025-12-01</t>
        </is>
      </c>
      <c r="B4974" t="inlineStr">
        <is>
          <t>铁矿石</t>
        </is>
      </c>
      <c r="C4974" t="inlineStr">
        <is>
          <t>多</t>
        </is>
      </c>
      <c r="D4974" t="n">
        <v>3</v>
      </c>
      <c r="E4974" t="n">
        <v>6</v>
      </c>
      <c r="F4974" t="inlineStr">
        <is>
          <t>不做</t>
        </is>
      </c>
      <c r="H4974" t="n">
        <v>801</v>
      </c>
      <c r="J4974" t="n">
        <v>0</v>
      </c>
      <c r="K4974" t="inlineStr">
        <is>
          <t>组合风险已近10%，预算缩小</t>
        </is>
      </c>
    </row>
    <row r="4975">
      <c r="A4975" t="inlineStr">
        <is>
          <t>2025-12-01</t>
        </is>
      </c>
      <c r="B4975" t="inlineStr">
        <is>
          <t>玉米</t>
        </is>
      </c>
      <c r="C4975" t="inlineStr">
        <is>
          <t>多</t>
        </is>
      </c>
      <c r="D4975" t="n">
        <v>2</v>
      </c>
      <c r="E4975" t="n">
        <v>5</v>
      </c>
      <c r="F4975" t="inlineStr">
        <is>
          <t>观望</t>
        </is>
      </c>
      <c r="G4975" t="n">
        <v>15</v>
      </c>
      <c r="H4975" t="n">
        <v>2236</v>
      </c>
      <c r="I4975" t="n">
        <v>2171.93</v>
      </c>
      <c r="J4975" t="n">
        <v>1</v>
      </c>
      <c r="K4975" t="inlineStr">
        <is>
          <t>逆5日线（收盘在5日线下，不追多）</t>
        </is>
      </c>
    </row>
    <row r="4976">
      <c r="A4976" t="inlineStr">
        <is>
          <t>2025-12-01</t>
        </is>
      </c>
      <c r="B4976" t="inlineStr">
        <is>
          <t>氧化铝</t>
        </is>
      </c>
      <c r="C4976" t="inlineStr">
        <is>
          <t>空</t>
        </is>
      </c>
      <c r="D4976" t="n">
        <v>2</v>
      </c>
      <c r="E4976" t="n">
        <v>5</v>
      </c>
      <c r="F4976" t="inlineStr">
        <is>
          <t>影子仓</t>
        </is>
      </c>
      <c r="G4976" t="n">
        <v>4</v>
      </c>
      <c r="H4976" t="n">
        <v>2677</v>
      </c>
      <c r="I4976" t="n">
        <v>2793.57</v>
      </c>
      <c r="J4976" t="n">
        <v>1</v>
      </c>
      <c r="K4976" t="inlineStr">
        <is>
          <t>凯利≤0，开1%影子仓（只统计，不计入组合）</t>
        </is>
      </c>
    </row>
    <row r="4977">
      <c r="A4977" t="inlineStr">
        <is>
          <t>2025-12-01</t>
        </is>
      </c>
      <c r="B4977" t="inlineStr">
        <is>
          <t>沪铜</t>
        </is>
      </c>
      <c r="C4977" t="inlineStr">
        <is>
          <t>多</t>
        </is>
      </c>
      <c r="D4977" t="n">
        <v>2</v>
      </c>
      <c r="E4977" t="n">
        <v>5</v>
      </c>
      <c r="F4977" t="inlineStr">
        <is>
          <t>不做</t>
        </is>
      </c>
      <c r="H4977" t="n">
        <v>89280</v>
      </c>
      <c r="J4977" t="n">
        <v>1</v>
      </c>
      <c r="K4977" t="inlineStr">
        <is>
          <t>1手风险14475元超过预算10000元</t>
        </is>
      </c>
    </row>
    <row r="4978">
      <c r="A4978" t="inlineStr">
        <is>
          <t>2025-12-02</t>
        </is>
      </c>
      <c r="B4978" t="inlineStr">
        <is>
          <t>棉花</t>
        </is>
      </c>
      <c r="C4978" t="inlineStr">
        <is>
          <t>多</t>
        </is>
      </c>
      <c r="D4978" t="n">
        <v>3</v>
      </c>
      <c r="E4978" t="n">
        <v>6</v>
      </c>
      <c r="F4978" t="inlineStr">
        <is>
          <t>开仓</t>
        </is>
      </c>
      <c r="G4978" t="n">
        <v>24</v>
      </c>
      <c r="H4978" t="n">
        <v>13800</v>
      </c>
      <c r="I4978" t="n">
        <v>13557.86</v>
      </c>
      <c r="J4978" t="n">
        <v>3</v>
      </c>
      <c r="K4978" t="inlineStr">
        <is>
          <t>¼凯利超上限，取3%</t>
        </is>
      </c>
    </row>
    <row r="4979">
      <c r="A4979" t="inlineStr">
        <is>
          <t>2025-12-02</t>
        </is>
      </c>
      <c r="B4979" t="inlineStr">
        <is>
          <t>燃料油</t>
        </is>
      </c>
      <c r="C4979" t="inlineStr">
        <is>
          <t>空</t>
        </is>
      </c>
      <c r="D4979" t="n">
        <v>3</v>
      </c>
      <c r="E4979" t="n">
        <v>6</v>
      </c>
      <c r="F4979" t="inlineStr">
        <is>
          <t>开仓</t>
        </is>
      </c>
      <c r="G4979" t="n">
        <v>17</v>
      </c>
      <c r="H4979" t="n">
        <v>2469</v>
      </c>
      <c r="I4979" t="n">
        <v>2642.36</v>
      </c>
      <c r="J4979" t="n">
        <v>3</v>
      </c>
      <c r="K4979" t="inlineStr">
        <is>
          <t>¼凯利超上限，取3%</t>
        </is>
      </c>
    </row>
    <row r="4980">
      <c r="A4980" t="inlineStr">
        <is>
          <t>2025-12-02</t>
        </is>
      </c>
      <c r="B4980" t="inlineStr">
        <is>
          <t>氧化铝</t>
        </is>
      </c>
      <c r="C4980" t="inlineStr">
        <is>
          <t>空</t>
        </is>
      </c>
      <c r="D4980" t="n">
        <v>2</v>
      </c>
      <c r="E4980" t="n">
        <v>5</v>
      </c>
      <c r="F4980" t="inlineStr">
        <is>
          <t>续持</t>
        </is>
      </c>
      <c r="G4980" t="n">
        <v>4</v>
      </c>
      <c r="H4980" t="n">
        <v>2670</v>
      </c>
      <c r="I4980" t="n">
        <v>2777.57</v>
      </c>
      <c r="J4980" t="n">
        <v>1</v>
      </c>
      <c r="K4980" t="inlineStr">
        <is>
          <t>续持原仓（2025-12-01开）</t>
        </is>
      </c>
    </row>
    <row r="4981">
      <c r="A4981" t="inlineStr">
        <is>
          <t>2025-12-02</t>
        </is>
      </c>
      <c r="B4981" t="inlineStr">
        <is>
          <t>铁矿石</t>
        </is>
      </c>
      <c r="C4981" t="inlineStr">
        <is>
          <t>多</t>
        </is>
      </c>
      <c r="D4981" t="n">
        <v>2</v>
      </c>
      <c r="E4981" t="n">
        <v>4</v>
      </c>
      <c r="F4981" t="inlineStr">
        <is>
          <t>影子仓</t>
        </is>
      </c>
      <c r="G4981" t="n">
        <v>2</v>
      </c>
      <c r="H4981" t="n">
        <v>800.5</v>
      </c>
      <c r="I4981" t="n">
        <v>765.6799999999999</v>
      </c>
      <c r="J4981" t="n">
        <v>1</v>
      </c>
      <c r="K4981" t="inlineStr">
        <is>
          <t>凯利≤0，开1%影子仓（只统计，不计入组合）</t>
        </is>
      </c>
    </row>
    <row r="4982">
      <c r="A4982" t="inlineStr">
        <is>
          <t>2025-12-02</t>
        </is>
      </c>
      <c r="B4982" t="inlineStr">
        <is>
          <t>玻璃</t>
        </is>
      </c>
      <c r="C4982" t="inlineStr">
        <is>
          <t>空</t>
        </is>
      </c>
      <c r="D4982" t="n">
        <v>2</v>
      </c>
      <c r="E4982" t="n">
        <v>4</v>
      </c>
      <c r="F4982" t="inlineStr">
        <is>
          <t>影子仓</t>
        </is>
      </c>
      <c r="G4982" t="n">
        <v>6</v>
      </c>
      <c r="H4982" t="n">
        <v>1034</v>
      </c>
      <c r="I4982" t="n">
        <v>1110.29</v>
      </c>
      <c r="J4982" t="n">
        <v>1</v>
      </c>
      <c r="K4982" t="inlineStr">
        <is>
          <t>凯利≤0，开1%影子仓（只统计，不计入组合）</t>
        </is>
      </c>
    </row>
    <row r="4983">
      <c r="A4983" t="inlineStr">
        <is>
          <t>2025-12-03</t>
        </is>
      </c>
      <c r="B4983" t="inlineStr">
        <is>
          <t>氧化铝</t>
        </is>
      </c>
      <c r="C4983" t="inlineStr">
        <is>
          <t>空</t>
        </is>
      </c>
      <c r="D4983" t="n">
        <v>3</v>
      </c>
      <c r="E4983" t="n">
        <v>6</v>
      </c>
      <c r="F4983" t="inlineStr">
        <is>
          <t>续持</t>
        </is>
      </c>
      <c r="G4983" t="n">
        <v>4</v>
      </c>
      <c r="H4983" t="n">
        <v>2636</v>
      </c>
      <c r="I4983" t="n">
        <v>2745.36</v>
      </c>
      <c r="J4983" t="n">
        <v>1</v>
      </c>
      <c r="K4983" t="inlineStr">
        <is>
          <t>续持原仓（2025-12-01开）</t>
        </is>
      </c>
    </row>
    <row r="4984">
      <c r="A4984" t="inlineStr">
        <is>
          <t>2025-12-03</t>
        </is>
      </c>
      <c r="B4984" t="inlineStr">
        <is>
          <t>焦煤</t>
        </is>
      </c>
      <c r="C4984" t="inlineStr">
        <is>
          <t>空</t>
        </is>
      </c>
      <c r="D4984" t="n">
        <v>3</v>
      </c>
      <c r="E4984" t="n">
        <v>6</v>
      </c>
      <c r="F4984" t="inlineStr">
        <is>
          <t>开仓</t>
        </is>
      </c>
      <c r="G4984" t="n">
        <v>4</v>
      </c>
      <c r="H4984" t="n">
        <v>1070.5</v>
      </c>
      <c r="I4984" t="n">
        <v>1171.43</v>
      </c>
      <c r="J4984" t="n">
        <v>3</v>
      </c>
      <c r="K4984" t="inlineStr">
        <is>
          <t>¼凯利超上限，取3%</t>
        </is>
      </c>
    </row>
    <row r="4985">
      <c r="A4985" t="inlineStr">
        <is>
          <t>2025-12-03</t>
        </is>
      </c>
      <c r="B4985" t="inlineStr">
        <is>
          <t>沪铜</t>
        </is>
      </c>
      <c r="C4985" t="inlineStr">
        <is>
          <t>多</t>
        </is>
      </c>
      <c r="D4985" t="n">
        <v>3</v>
      </c>
      <c r="E4985" t="n">
        <v>6</v>
      </c>
      <c r="F4985" t="inlineStr">
        <is>
          <t>不做</t>
        </is>
      </c>
      <c r="H4985" t="n">
        <v>89210</v>
      </c>
      <c r="J4985" t="n">
        <v>1</v>
      </c>
      <c r="K4985" t="inlineStr">
        <is>
          <t>1手风险15471元超过预算10000元</t>
        </is>
      </c>
    </row>
    <row r="4986">
      <c r="A4986" t="inlineStr">
        <is>
          <t>2025-12-03</t>
        </is>
      </c>
      <c r="B4986" t="inlineStr">
        <is>
          <t>燃料油</t>
        </is>
      </c>
      <c r="C4986" t="inlineStr">
        <is>
          <t>空</t>
        </is>
      </c>
      <c r="D4986" t="n">
        <v>3</v>
      </c>
      <c r="E4986" t="n">
        <v>6</v>
      </c>
      <c r="F4986" t="inlineStr">
        <is>
          <t>续持</t>
        </is>
      </c>
      <c r="G4986" t="n">
        <v>17</v>
      </c>
      <c r="H4986" t="n">
        <v>2437</v>
      </c>
      <c r="I4986" t="n">
        <v>2560.71</v>
      </c>
      <c r="J4986" t="n">
        <v>3</v>
      </c>
      <c r="K4986" t="inlineStr">
        <is>
          <t>续持原仓（2025-12-02开）</t>
        </is>
      </c>
    </row>
    <row r="4987">
      <c r="A4987" t="inlineStr">
        <is>
          <t>2025-12-03</t>
        </is>
      </c>
      <c r="B4987" t="inlineStr">
        <is>
          <t>铁矿石</t>
        </is>
      </c>
      <c r="C4987" t="inlineStr">
        <is>
          <t>多</t>
        </is>
      </c>
      <c r="D4987" t="n">
        <v>2</v>
      </c>
      <c r="E4987" t="n">
        <v>5</v>
      </c>
      <c r="F4987" t="inlineStr">
        <is>
          <t>续持</t>
        </is>
      </c>
      <c r="G4987" t="n">
        <v>2</v>
      </c>
      <c r="H4987" t="n">
        <v>799.5</v>
      </c>
      <c r="I4987" t="n">
        <v>768.36</v>
      </c>
      <c r="J4987" t="n">
        <v>1</v>
      </c>
      <c r="K4987" t="inlineStr">
        <is>
          <t>续持原仓（2025-12-02开）</t>
        </is>
      </c>
    </row>
    <row r="4988">
      <c r="A4988" t="inlineStr">
        <is>
          <t>2025-12-03</t>
        </is>
      </c>
      <c r="B4988" t="inlineStr">
        <is>
          <t>螺纹钢</t>
        </is>
      </c>
      <c r="C4988" t="inlineStr">
        <is>
          <t>多</t>
        </is>
      </c>
      <c r="D4988" t="n">
        <v>2</v>
      </c>
      <c r="E4988" t="n">
        <v>4</v>
      </c>
      <c r="F4988" t="inlineStr">
        <is>
          <t>影子仓</t>
        </is>
      </c>
      <c r="G4988" t="n">
        <v>10</v>
      </c>
      <c r="H4988" t="n">
        <v>3169</v>
      </c>
      <c r="I4988" t="n">
        <v>3072.14</v>
      </c>
      <c r="J4988" t="n">
        <v>1</v>
      </c>
      <c r="K4988" t="inlineStr">
        <is>
          <t>凯利≤0，开1%影子仓（只统计，不计入组合）</t>
        </is>
      </c>
    </row>
    <row r="4989">
      <c r="A4989" t="inlineStr">
        <is>
          <t>2025-12-04</t>
        </is>
      </c>
      <c r="B4989" t="inlineStr">
        <is>
          <t>玉米</t>
        </is>
      </c>
      <c r="C4989" t="inlineStr">
        <is>
          <t>多</t>
        </is>
      </c>
      <c r="D4989" t="n">
        <v>3</v>
      </c>
      <c r="E4989" t="n">
        <v>7</v>
      </c>
      <c r="F4989" t="inlineStr">
        <is>
          <t>开仓</t>
        </is>
      </c>
      <c r="G4989" t="n">
        <v>41</v>
      </c>
      <c r="H4989" t="n">
        <v>2287</v>
      </c>
      <c r="I4989" t="n">
        <v>2214.36</v>
      </c>
      <c r="J4989" t="n">
        <v>3</v>
      </c>
      <c r="K4989" t="inlineStr">
        <is>
          <t>¼凯利超上限，取3%</t>
        </is>
      </c>
    </row>
    <row r="4990">
      <c r="A4990" t="inlineStr">
        <is>
          <t>2025-12-04</t>
        </is>
      </c>
      <c r="B4990" t="inlineStr">
        <is>
          <t>氧化铝</t>
        </is>
      </c>
      <c r="C4990" t="inlineStr">
        <is>
          <t>空</t>
        </is>
      </c>
      <c r="D4990" t="n">
        <v>3</v>
      </c>
      <c r="E4990" t="n">
        <v>6</v>
      </c>
      <c r="F4990" t="inlineStr">
        <is>
          <t>续持</t>
        </is>
      </c>
      <c r="G4990" t="n">
        <v>4</v>
      </c>
      <c r="H4990" t="n">
        <v>2615</v>
      </c>
      <c r="I4990" t="n">
        <v>2719.21</v>
      </c>
      <c r="J4990" t="n">
        <v>1</v>
      </c>
      <c r="K4990" t="inlineStr">
        <is>
          <t>续持原仓（2025-12-01开）</t>
        </is>
      </c>
    </row>
    <row r="4991">
      <c r="A4991" t="inlineStr">
        <is>
          <t>2025-12-04</t>
        </is>
      </c>
      <c r="B4991" t="inlineStr">
        <is>
          <t>沪铜</t>
        </is>
      </c>
      <c r="C4991" t="inlineStr">
        <is>
          <t>多</t>
        </is>
      </c>
      <c r="D4991" t="n">
        <v>3</v>
      </c>
      <c r="E4991" t="n">
        <v>6</v>
      </c>
      <c r="F4991" t="inlineStr">
        <is>
          <t>不做</t>
        </is>
      </c>
      <c r="H4991" t="n">
        <v>90980</v>
      </c>
      <c r="J4991" t="n">
        <v>1</v>
      </c>
      <c r="K4991" t="inlineStr">
        <is>
          <t>1手风险16575元超过预算10000元</t>
        </is>
      </c>
    </row>
    <row r="4992">
      <c r="A4992" t="inlineStr">
        <is>
          <t>2025-12-04</t>
        </is>
      </c>
      <c r="B4992" t="inlineStr">
        <is>
          <t>螺纹钢</t>
        </is>
      </c>
      <c r="C4992" t="inlineStr">
        <is>
          <t>多</t>
        </is>
      </c>
      <c r="D4992" t="n">
        <v>2</v>
      </c>
      <c r="E4992" t="n">
        <v>5</v>
      </c>
      <c r="F4992" t="inlineStr">
        <is>
          <t>续持</t>
        </is>
      </c>
      <c r="G4992" t="n">
        <v>10</v>
      </c>
      <c r="H4992" t="n">
        <v>3175</v>
      </c>
      <c r="I4992" t="n">
        <v>3077.71</v>
      </c>
      <c r="J4992" t="n">
        <v>1</v>
      </c>
      <c r="K4992" t="inlineStr">
        <is>
          <t>续持原仓（2025-12-03开）</t>
        </is>
      </c>
    </row>
    <row r="4993">
      <c r="A4993" t="inlineStr">
        <is>
          <t>2025-12-04</t>
        </is>
      </c>
      <c r="B4993" t="inlineStr">
        <is>
          <t>燃料油</t>
        </is>
      </c>
      <c r="C4993" t="inlineStr">
        <is>
          <t>空</t>
        </is>
      </c>
      <c r="D4993" t="n">
        <v>2</v>
      </c>
      <c r="E4993" t="n">
        <v>5</v>
      </c>
      <c r="F4993" t="inlineStr">
        <is>
          <t>续持</t>
        </is>
      </c>
      <c r="G4993" t="n">
        <v>17</v>
      </c>
      <c r="H4993" t="n">
        <v>2442</v>
      </c>
      <c r="I4993" t="n">
        <v>2557.29</v>
      </c>
      <c r="J4993" t="n">
        <v>3</v>
      </c>
      <c r="K4993" t="inlineStr">
        <is>
          <t>续持原仓（2025-12-02开）</t>
        </is>
      </c>
    </row>
    <row r="4994">
      <c r="A4994" t="inlineStr">
        <is>
          <t>2025-12-04</t>
        </is>
      </c>
      <c r="B4994" t="inlineStr">
        <is>
          <t>豆油</t>
        </is>
      </c>
      <c r="C4994" t="inlineStr">
        <is>
          <t>多</t>
        </is>
      </c>
      <c r="D4994" t="n">
        <v>2</v>
      </c>
      <c r="E4994" t="n">
        <v>5</v>
      </c>
      <c r="F4994" t="inlineStr">
        <is>
          <t>观望</t>
        </is>
      </c>
      <c r="G4994" t="n">
        <v>4</v>
      </c>
      <c r="H4994" t="n">
        <v>8070</v>
      </c>
      <c r="I4994" t="n">
        <v>7835.57</v>
      </c>
      <c r="J4994" t="n">
        <v>1</v>
      </c>
      <c r="K4994" t="inlineStr">
        <is>
          <t>逆5日线（收盘在5日线下，不追多）</t>
        </is>
      </c>
    </row>
    <row r="4995">
      <c r="A4995" t="inlineStr">
        <is>
          <t>2025-12-04</t>
        </is>
      </c>
      <c r="B4995" t="inlineStr">
        <is>
          <t>铁矿石</t>
        </is>
      </c>
      <c r="C4995" t="inlineStr">
        <is>
          <t>多</t>
        </is>
      </c>
      <c r="D4995" t="n">
        <v>2</v>
      </c>
      <c r="E4995" t="n">
        <v>4</v>
      </c>
      <c r="F4995" t="inlineStr">
        <is>
          <t>续持</t>
        </is>
      </c>
      <c r="G4995" t="n">
        <v>2</v>
      </c>
      <c r="H4995" t="n">
        <v>777</v>
      </c>
      <c r="I4995" t="n">
        <v>746.5</v>
      </c>
      <c r="J4995" t="n">
        <v>1</v>
      </c>
      <c r="K4995" t="inlineStr">
        <is>
          <t>续持原仓（2025-12-02开）</t>
        </is>
      </c>
    </row>
    <row r="4996">
      <c r="A4996" t="inlineStr">
        <is>
          <t>2025-12-04</t>
        </is>
      </c>
      <c r="B4996" t="inlineStr">
        <is>
          <t>聚丙烯</t>
        </is>
      </c>
      <c r="C4996" t="inlineStr">
        <is>
          <t>空</t>
        </is>
      </c>
      <c r="D4996" t="n">
        <v>2</v>
      </c>
      <c r="E4996" t="n">
        <v>4</v>
      </c>
      <c r="F4996" t="inlineStr">
        <is>
          <t>影子仓</t>
        </is>
      </c>
      <c r="G4996" t="n">
        <v>10</v>
      </c>
      <c r="H4996" t="n">
        <v>6359</v>
      </c>
      <c r="I4996" t="n">
        <v>6556.79</v>
      </c>
      <c r="J4996" t="n">
        <v>1</v>
      </c>
      <c r="K4996" t="inlineStr">
        <is>
          <t>凯利≤0，开1%影子仓（只统计，不计入组合）</t>
        </is>
      </c>
    </row>
    <row r="4997">
      <c r="A4997" t="inlineStr">
        <is>
          <t>2025-12-05</t>
        </is>
      </c>
      <c r="B4997" t="inlineStr">
        <is>
          <t>焦煤</t>
        </is>
      </c>
      <c r="C4997" t="inlineStr">
        <is>
          <t>空</t>
        </is>
      </c>
      <c r="D4997" t="n">
        <v>3</v>
      </c>
      <c r="E4997" t="n">
        <v>7</v>
      </c>
      <c r="F4997" t="inlineStr">
        <is>
          <t>开仓</t>
        </is>
      </c>
      <c r="G4997" t="n">
        <v>4</v>
      </c>
      <c r="H4997" t="n">
        <v>1140</v>
      </c>
      <c r="I4997" t="n">
        <v>1245.96</v>
      </c>
      <c r="J4997" t="n">
        <v>3</v>
      </c>
      <c r="K4997" t="inlineStr">
        <is>
          <t>¼凯利超上限，取3%</t>
        </is>
      </c>
    </row>
    <row r="4998">
      <c r="A4998" t="inlineStr">
        <is>
          <t>2025-12-05</t>
        </is>
      </c>
      <c r="B4998" t="inlineStr">
        <is>
          <t>沪铜</t>
        </is>
      </c>
      <c r="C4998" t="inlineStr">
        <is>
          <t>多</t>
        </is>
      </c>
      <c r="D4998" t="n">
        <v>3</v>
      </c>
      <c r="E4998" t="n">
        <v>7</v>
      </c>
      <c r="F4998" t="inlineStr">
        <is>
          <t>不做</t>
        </is>
      </c>
      <c r="H4998" t="n">
        <v>92780</v>
      </c>
      <c r="J4998" t="n">
        <v>1</v>
      </c>
      <c r="K4998" t="inlineStr">
        <is>
          <t>1手风险18193元超过预算10000元</t>
        </is>
      </c>
    </row>
    <row r="4999">
      <c r="A4999" t="inlineStr">
        <is>
          <t>2025-12-05</t>
        </is>
      </c>
      <c r="B4999" t="inlineStr">
        <is>
          <t>鸡蛋</t>
        </is>
      </c>
      <c r="C4999" t="inlineStr">
        <is>
          <t>空</t>
        </is>
      </c>
      <c r="D4999" t="n">
        <v>3</v>
      </c>
      <c r="E4999" t="n">
        <v>7</v>
      </c>
      <c r="F4999" t="inlineStr">
        <is>
          <t>开仓</t>
        </is>
      </c>
      <c r="G4999" t="n">
        <v>5</v>
      </c>
      <c r="H4999" t="n">
        <v>3117</v>
      </c>
      <c r="I4999" t="n">
        <v>3300.64</v>
      </c>
      <c r="J4999" t="n">
        <v>1</v>
      </c>
      <c r="K4999" t="inlineStr">
        <is>
          <t>组合风险已近10%，预算缩小</t>
        </is>
      </c>
    </row>
    <row r="5000">
      <c r="A5000" t="inlineStr">
        <is>
          <t>2025-12-05</t>
        </is>
      </c>
      <c r="B5000" t="inlineStr">
        <is>
          <t>玻璃</t>
        </is>
      </c>
      <c r="C5000" t="inlineStr">
        <is>
          <t>空</t>
        </is>
      </c>
      <c r="D5000" t="n">
        <v>3</v>
      </c>
      <c r="E5000" t="n">
        <v>7</v>
      </c>
      <c r="F5000" t="inlineStr">
        <is>
          <t>不做</t>
        </is>
      </c>
      <c r="H5000" t="n">
        <v>994</v>
      </c>
      <c r="J5000" t="n">
        <v>0</v>
      </c>
      <c r="K5000" t="inlineStr">
        <is>
          <t>组合风险已近10%，预算缩小</t>
        </is>
      </c>
    </row>
    <row r="5001">
      <c r="A5001" t="inlineStr">
        <is>
          <t>2025-12-05</t>
        </is>
      </c>
      <c r="B5001" t="inlineStr">
        <is>
          <t>氧化铝</t>
        </is>
      </c>
      <c r="C5001" t="inlineStr">
        <is>
          <t>空</t>
        </is>
      </c>
      <c r="D5001" t="n">
        <v>3</v>
      </c>
      <c r="E5001" t="n">
        <v>6</v>
      </c>
      <c r="F5001" t="inlineStr">
        <is>
          <t>续持</t>
        </is>
      </c>
      <c r="G5001" t="n">
        <v>4</v>
      </c>
      <c r="H5001" t="n">
        <v>2555</v>
      </c>
      <c r="I5001" t="n">
        <v>2668.43</v>
      </c>
      <c r="J5001" t="n">
        <v>1</v>
      </c>
      <c r="K5001" t="inlineStr">
        <is>
          <t>续持原仓（2025-12-01开）</t>
        </is>
      </c>
    </row>
    <row r="5002">
      <c r="A5002" t="inlineStr">
        <is>
          <t>2025-12-05</t>
        </is>
      </c>
      <c r="B5002" t="inlineStr">
        <is>
          <t>玉米</t>
        </is>
      </c>
      <c r="C5002" t="inlineStr">
        <is>
          <t>多</t>
        </is>
      </c>
      <c r="D5002" t="n">
        <v>3</v>
      </c>
      <c r="E5002" t="n">
        <v>6</v>
      </c>
      <c r="F5002" t="inlineStr">
        <is>
          <t>续持</t>
        </is>
      </c>
      <c r="G5002" t="n">
        <v>41</v>
      </c>
      <c r="H5002" t="n">
        <v>2295</v>
      </c>
      <c r="I5002" t="n">
        <v>2236.07</v>
      </c>
      <c r="J5002" t="n">
        <v>3</v>
      </c>
      <c r="K5002" t="inlineStr">
        <is>
          <t>续持原仓（2025-12-04开）</t>
        </is>
      </c>
    </row>
    <row r="5003">
      <c r="A5003" t="inlineStr">
        <is>
          <t>2025-12-05</t>
        </is>
      </c>
      <c r="B5003" t="inlineStr">
        <is>
          <t>棉花</t>
        </is>
      </c>
      <c r="C5003" t="inlineStr">
        <is>
          <t>多</t>
        </is>
      </c>
      <c r="D5003" t="n">
        <v>2</v>
      </c>
      <c r="E5003" t="n">
        <v>5</v>
      </c>
      <c r="F5003" t="inlineStr">
        <is>
          <t>观望</t>
        </is>
      </c>
      <c r="G5003" t="n">
        <v>7</v>
      </c>
      <c r="H5003" t="n">
        <v>13750</v>
      </c>
      <c r="I5003" t="n">
        <v>13491.79</v>
      </c>
      <c r="J5003" t="n">
        <v>1</v>
      </c>
      <c r="K5003" t="inlineStr">
        <is>
          <t>逆5日线（收盘在5日线下，不追多）</t>
        </is>
      </c>
    </row>
    <row r="5004">
      <c r="A5004" t="inlineStr">
        <is>
          <t>2025-12-05</t>
        </is>
      </c>
      <c r="B5004" t="inlineStr">
        <is>
          <t>聚丙烯</t>
        </is>
      </c>
      <c r="C5004" t="inlineStr">
        <is>
          <t>空</t>
        </is>
      </c>
      <c r="D5004" t="n">
        <v>2</v>
      </c>
      <c r="E5004" t="n">
        <v>5</v>
      </c>
      <c r="F5004" t="inlineStr">
        <is>
          <t>续持</t>
        </is>
      </c>
      <c r="G5004" t="n">
        <v>10</v>
      </c>
      <c r="H5004" t="n">
        <v>6287</v>
      </c>
      <c r="I5004" t="n">
        <v>6481.5</v>
      </c>
      <c r="J5004" t="n">
        <v>1</v>
      </c>
      <c r="K5004" t="inlineStr">
        <is>
          <t>续持原仓（2025-12-04开）</t>
        </is>
      </c>
    </row>
    <row r="5005">
      <c r="A5005" t="inlineStr">
        <is>
          <t>2025-12-05</t>
        </is>
      </c>
      <c r="B5005" t="inlineStr">
        <is>
          <t>铁矿石</t>
        </is>
      </c>
      <c r="C5005" t="inlineStr">
        <is>
          <t>多</t>
        </is>
      </c>
      <c r="D5005" t="n">
        <v>2</v>
      </c>
      <c r="E5005" t="n">
        <v>4</v>
      </c>
      <c r="F5005" t="inlineStr">
        <is>
          <t>观望</t>
        </is>
      </c>
      <c r="G5005" t="n">
        <v>3</v>
      </c>
      <c r="H5005" t="n">
        <v>769</v>
      </c>
      <c r="I5005" t="n">
        <v>736.75</v>
      </c>
      <c r="J5005" t="n">
        <v>1</v>
      </c>
      <c r="K5005" t="inlineStr">
        <is>
          <t>逆5日线（收盘在5日线下，不追多）</t>
        </is>
      </c>
    </row>
    <row r="5006">
      <c r="A5006" t="inlineStr">
        <is>
          <t>2025-12-05</t>
        </is>
      </c>
      <c r="B5006" t="inlineStr">
        <is>
          <t>豆油</t>
        </is>
      </c>
      <c r="C5006" t="inlineStr">
        <is>
          <t>多</t>
        </is>
      </c>
      <c r="D5006" t="n">
        <v>2</v>
      </c>
      <c r="E5006" t="n">
        <v>4</v>
      </c>
      <c r="F5006" t="inlineStr">
        <is>
          <t>观望</t>
        </is>
      </c>
      <c r="G5006" t="n">
        <v>4</v>
      </c>
      <c r="H5006" t="n">
        <v>8080</v>
      </c>
      <c r="I5006" t="n">
        <v>7850.71</v>
      </c>
      <c r="J5006" t="n">
        <v>1</v>
      </c>
      <c r="K5006" t="inlineStr">
        <is>
          <t>逆5日线（收盘在5日线下，不追多）</t>
        </is>
      </c>
    </row>
    <row r="5007">
      <c r="A5007" t="inlineStr">
        <is>
          <t>2025-12-08</t>
        </is>
      </c>
      <c r="B5007" t="inlineStr">
        <is>
          <t>沪银</t>
        </is>
      </c>
      <c r="C5007" t="inlineStr">
        <is>
          <t>多</t>
        </is>
      </c>
      <c r="D5007" t="n">
        <v>3</v>
      </c>
      <c r="E5007" t="n">
        <v>6</v>
      </c>
      <c r="F5007" t="inlineStr">
        <is>
          <t>开仓</t>
        </is>
      </c>
      <c r="G5007" t="n">
        <v>1</v>
      </c>
      <c r="H5007" t="n">
        <v>13706</v>
      </c>
      <c r="I5007" t="n">
        <v>12332.21</v>
      </c>
      <c r="J5007" t="n">
        <v>3</v>
      </c>
      <c r="K5007" t="inlineStr">
        <is>
          <t>¼凯利超上限，取3%</t>
        </is>
      </c>
    </row>
    <row r="5008">
      <c r="A5008" t="inlineStr">
        <is>
          <t>2025-12-08</t>
        </is>
      </c>
      <c r="B5008" t="inlineStr">
        <is>
          <t>聚丙烯</t>
        </is>
      </c>
      <c r="C5008" t="inlineStr">
        <is>
          <t>空</t>
        </is>
      </c>
      <c r="D5008" t="n">
        <v>3</v>
      </c>
      <c r="E5008" t="n">
        <v>6</v>
      </c>
      <c r="F5008" t="inlineStr">
        <is>
          <t>续持</t>
        </is>
      </c>
      <c r="G5008" t="n">
        <v>10</v>
      </c>
      <c r="H5008" t="n">
        <v>6275</v>
      </c>
      <c r="I5008" t="n">
        <v>6429.93</v>
      </c>
      <c r="J5008" t="n">
        <v>1</v>
      </c>
      <c r="K5008" t="inlineStr">
        <is>
          <t>续持原仓（2025-12-04开）</t>
        </is>
      </c>
    </row>
    <row r="5009">
      <c r="A5009" t="inlineStr">
        <is>
          <t>2025-12-08</t>
        </is>
      </c>
      <c r="B5009" t="inlineStr">
        <is>
          <t>氧化铝</t>
        </is>
      </c>
      <c r="C5009" t="inlineStr">
        <is>
          <t>空</t>
        </is>
      </c>
      <c r="D5009" t="n">
        <v>2</v>
      </c>
      <c r="E5009" t="n">
        <v>4</v>
      </c>
      <c r="F5009" t="inlineStr">
        <is>
          <t>续持</t>
        </is>
      </c>
      <c r="G5009" t="n">
        <v>4</v>
      </c>
      <c r="H5009" t="n">
        <v>2585</v>
      </c>
      <c r="I5009" t="n">
        <v>2666.93</v>
      </c>
      <c r="J5009" t="n">
        <v>1</v>
      </c>
      <c r="K5009" t="inlineStr">
        <is>
          <t>续持原仓（2025-12-01开）</t>
        </is>
      </c>
    </row>
    <row r="5010">
      <c r="A5010" t="inlineStr">
        <is>
          <t>2025-12-08</t>
        </is>
      </c>
      <c r="B5010" t="inlineStr">
        <is>
          <t>玉米</t>
        </is>
      </c>
      <c r="C5010" t="inlineStr">
        <is>
          <t>多</t>
        </is>
      </c>
      <c r="D5010" t="n">
        <v>2</v>
      </c>
      <c r="E5010" t="n">
        <v>4</v>
      </c>
      <c r="F5010" t="inlineStr">
        <is>
          <t>观望</t>
        </is>
      </c>
      <c r="G5010" t="n">
        <v>12</v>
      </c>
      <c r="H5010" t="n">
        <v>2261</v>
      </c>
      <c r="I5010" t="n">
        <v>2183.64</v>
      </c>
      <c r="J5010" t="n">
        <v>1</v>
      </c>
      <c r="K5010" t="inlineStr">
        <is>
          <t>逆5日线（收盘在5日线下，不追多）</t>
        </is>
      </c>
    </row>
    <row r="5011">
      <c r="A5011" t="inlineStr">
        <is>
          <t>2025-12-08</t>
        </is>
      </c>
      <c r="B5011" t="inlineStr">
        <is>
          <t>玻璃</t>
        </is>
      </c>
      <c r="C5011" t="inlineStr">
        <is>
          <t>空</t>
        </is>
      </c>
      <c r="D5011" t="n">
        <v>2</v>
      </c>
      <c r="E5011" t="n">
        <v>4</v>
      </c>
      <c r="F5011" t="inlineStr">
        <is>
          <t>影子仓</t>
        </is>
      </c>
      <c r="G5011" t="n">
        <v>6</v>
      </c>
      <c r="H5011" t="n">
        <v>1002</v>
      </c>
      <c r="I5011" t="n">
        <v>1079.57</v>
      </c>
      <c r="J5011" t="n">
        <v>1</v>
      </c>
      <c r="K5011" t="inlineStr">
        <is>
          <t>凯利≤0，开1%影子仓（只统计，不计入组合）</t>
        </is>
      </c>
    </row>
    <row r="5012">
      <c r="A5012" t="inlineStr">
        <is>
          <t>2025-12-09</t>
        </is>
      </c>
      <c r="B5012" t="inlineStr">
        <is>
          <t>碳酸锂</t>
        </is>
      </c>
      <c r="C5012" t="inlineStr">
        <is>
          <t>空</t>
        </is>
      </c>
      <c r="D5012" t="n">
        <v>3</v>
      </c>
      <c r="E5012" t="n">
        <v>7</v>
      </c>
      <c r="F5012" t="inlineStr">
        <is>
          <t>开仓</t>
        </is>
      </c>
      <c r="G5012" t="n">
        <v>2</v>
      </c>
      <c r="H5012" t="n">
        <v>92800</v>
      </c>
      <c r="I5012" t="n">
        <v>104332.86</v>
      </c>
      <c r="J5012" t="n">
        <v>3</v>
      </c>
      <c r="K5012" t="inlineStr">
        <is>
          <t>¼凯利超上限，取3%</t>
        </is>
      </c>
    </row>
    <row r="5013">
      <c r="A5013" t="inlineStr">
        <is>
          <t>2025-12-09</t>
        </is>
      </c>
      <c r="B5013" t="inlineStr">
        <is>
          <t>豆粕</t>
        </is>
      </c>
      <c r="C5013" t="inlineStr">
        <is>
          <t>空</t>
        </is>
      </c>
      <c r="D5013" t="n">
        <v>3</v>
      </c>
      <c r="E5013" t="n">
        <v>6</v>
      </c>
      <c r="F5013" t="inlineStr">
        <is>
          <t>开仓</t>
        </is>
      </c>
      <c r="G5013" t="n">
        <v>31</v>
      </c>
      <c r="H5013" t="n">
        <v>2763</v>
      </c>
      <c r="I5013" t="n">
        <v>2859.21</v>
      </c>
      <c r="J5013" t="n">
        <v>3</v>
      </c>
      <c r="K5013" t="inlineStr">
        <is>
          <t>¼凯利超上限，取3%</t>
        </is>
      </c>
    </row>
    <row r="5014">
      <c r="A5014" t="inlineStr">
        <is>
          <t>2025-12-09</t>
        </is>
      </c>
      <c r="B5014" t="inlineStr">
        <is>
          <t>聚丙烯</t>
        </is>
      </c>
      <c r="C5014" t="inlineStr">
        <is>
          <t>空</t>
        </is>
      </c>
      <c r="D5014" t="n">
        <v>3</v>
      </c>
      <c r="E5014" t="n">
        <v>6</v>
      </c>
      <c r="F5014" t="inlineStr">
        <is>
          <t>续持</t>
        </is>
      </c>
      <c r="G5014" t="n">
        <v>10</v>
      </c>
      <c r="H5014" t="n">
        <v>6192</v>
      </c>
      <c r="I5014" t="n">
        <v>6395.57</v>
      </c>
      <c r="J5014" t="n">
        <v>1</v>
      </c>
      <c r="K5014" t="inlineStr">
        <is>
          <t>续持原仓（2025-12-04开）</t>
        </is>
      </c>
    </row>
    <row r="5015">
      <c r="A5015" t="inlineStr">
        <is>
          <t>2025-12-09</t>
        </is>
      </c>
      <c r="B5015" t="inlineStr">
        <is>
          <t>铁矿石</t>
        </is>
      </c>
      <c r="C5015" t="inlineStr">
        <is>
          <t>空</t>
        </is>
      </c>
      <c r="D5015" t="n">
        <v>2</v>
      </c>
      <c r="E5015" t="n">
        <v>4</v>
      </c>
      <c r="F5015" t="inlineStr">
        <is>
          <t>影子仓</t>
        </is>
      </c>
      <c r="G5015" t="n">
        <v>3</v>
      </c>
      <c r="H5015" t="n">
        <v>757.5</v>
      </c>
      <c r="I5015" t="n">
        <v>789.3200000000001</v>
      </c>
      <c r="J5015" t="n">
        <v>1</v>
      </c>
      <c r="K5015" t="inlineStr">
        <is>
          <t>凯利≤0，开1%影子仓（只统计，不计入组合）</t>
        </is>
      </c>
    </row>
    <row r="5016">
      <c r="A5016" t="inlineStr">
        <is>
          <t>2025-12-09</t>
        </is>
      </c>
      <c r="B5016" t="inlineStr">
        <is>
          <t>对二甲苯</t>
        </is>
      </c>
      <c r="C5016" t="inlineStr">
        <is>
          <t>空</t>
        </is>
      </c>
      <c r="D5016" t="n">
        <v>2</v>
      </c>
      <c r="E5016" t="n">
        <v>4</v>
      </c>
      <c r="F5016" t="inlineStr">
        <is>
          <t>影子仓</t>
        </is>
      </c>
      <c r="G5016" t="n">
        <v>6</v>
      </c>
      <c r="H5016" t="n">
        <v>6780</v>
      </c>
      <c r="I5016" t="n">
        <v>7106.57</v>
      </c>
      <c r="J5016" t="n">
        <v>1</v>
      </c>
      <c r="K5016" t="inlineStr">
        <is>
          <t>凯利≤0，开1%影子仓（只统计，不计入组合）</t>
        </is>
      </c>
    </row>
    <row r="5017">
      <c r="A5017" t="inlineStr">
        <is>
          <t>2025-12-10</t>
        </is>
      </c>
      <c r="B5017" t="inlineStr">
        <is>
          <t>PVC</t>
        </is>
      </c>
      <c r="C5017" t="inlineStr">
        <is>
          <t>空</t>
        </is>
      </c>
      <c r="D5017" t="n">
        <v>3</v>
      </c>
      <c r="E5017" t="n">
        <v>7</v>
      </c>
      <c r="F5017" t="inlineStr">
        <is>
          <t>开仓</t>
        </is>
      </c>
      <c r="G5017" t="n">
        <v>34</v>
      </c>
      <c r="H5017" t="n">
        <v>4328</v>
      </c>
      <c r="I5017" t="n">
        <v>4499.64</v>
      </c>
      <c r="J5017" t="n">
        <v>3</v>
      </c>
      <c r="K5017" t="inlineStr">
        <is>
          <t>¼凯利超上限，取3%</t>
        </is>
      </c>
    </row>
    <row r="5018">
      <c r="A5018" t="inlineStr">
        <is>
          <t>2025-12-10</t>
        </is>
      </c>
      <c r="B5018" t="inlineStr">
        <is>
          <t>豆粕</t>
        </is>
      </c>
      <c r="C5018" t="inlineStr">
        <is>
          <t>空</t>
        </is>
      </c>
      <c r="D5018" t="n">
        <v>3</v>
      </c>
      <c r="E5018" t="n">
        <v>6</v>
      </c>
      <c r="F5018" t="inlineStr">
        <is>
          <t>续持</t>
        </is>
      </c>
      <c r="G5018" t="n">
        <v>31</v>
      </c>
      <c r="H5018" t="n">
        <v>2754</v>
      </c>
      <c r="I5018" t="n">
        <v>2832.21</v>
      </c>
      <c r="J5018" t="n">
        <v>3</v>
      </c>
      <c r="K5018" t="inlineStr">
        <is>
          <t>续持原仓（2025-12-09开）</t>
        </is>
      </c>
    </row>
    <row r="5019">
      <c r="A5019" t="inlineStr">
        <is>
          <t>2025-12-10</t>
        </is>
      </c>
      <c r="B5019" t="inlineStr">
        <is>
          <t>氧化铝</t>
        </is>
      </c>
      <c r="C5019" t="inlineStr">
        <is>
          <t>空</t>
        </is>
      </c>
      <c r="D5019" t="n">
        <v>3</v>
      </c>
      <c r="E5019" t="n">
        <v>6</v>
      </c>
      <c r="F5019" t="inlineStr">
        <is>
          <t>不做</t>
        </is>
      </c>
      <c r="H5019" t="n">
        <v>2477</v>
      </c>
      <c r="J5019" t="n">
        <v>0</v>
      </c>
      <c r="K5019" t="inlineStr">
        <is>
          <t>组合风险已近10%，预算缩小</t>
        </is>
      </c>
    </row>
    <row r="5020">
      <c r="A5020" t="inlineStr">
        <is>
          <t>2025-12-10</t>
        </is>
      </c>
      <c r="B5020" t="inlineStr">
        <is>
          <t>聚丙烯</t>
        </is>
      </c>
      <c r="C5020" t="inlineStr">
        <is>
          <t>空</t>
        </is>
      </c>
      <c r="D5020" t="n">
        <v>3</v>
      </c>
      <c r="E5020" t="n">
        <v>6</v>
      </c>
      <c r="F5020" t="inlineStr">
        <is>
          <t>续持</t>
        </is>
      </c>
      <c r="G5020" t="n">
        <v>10</v>
      </c>
      <c r="H5020" t="n">
        <v>6162</v>
      </c>
      <c r="I5020" t="n">
        <v>6363.07</v>
      </c>
      <c r="J5020" t="n">
        <v>1</v>
      </c>
      <c r="K5020" t="inlineStr">
        <is>
          <t>续持原仓（2025-12-04开）</t>
        </is>
      </c>
    </row>
    <row r="5021">
      <c r="A5021" t="inlineStr">
        <is>
          <t>2025-12-10</t>
        </is>
      </c>
      <c r="B5021" t="inlineStr">
        <is>
          <t>玉米</t>
        </is>
      </c>
      <c r="C5021" t="inlineStr">
        <is>
          <t>多</t>
        </is>
      </c>
      <c r="D5021" t="n">
        <v>2</v>
      </c>
      <c r="E5021" t="n">
        <v>5</v>
      </c>
      <c r="F5021" t="inlineStr">
        <is>
          <t>观望</t>
        </is>
      </c>
      <c r="G5021" t="n">
        <v>12</v>
      </c>
      <c r="H5021" t="n">
        <v>2236</v>
      </c>
      <c r="I5021" t="n">
        <v>2154.36</v>
      </c>
      <c r="J5021" t="n">
        <v>1</v>
      </c>
      <c r="K5021" t="inlineStr">
        <is>
          <t>逆5日线（收盘在5日线下，不追多）</t>
        </is>
      </c>
    </row>
    <row r="5022">
      <c r="A5022" t="inlineStr">
        <is>
          <t>2025-12-10</t>
        </is>
      </c>
      <c r="B5022" t="inlineStr">
        <is>
          <t>对二甲苯</t>
        </is>
      </c>
      <c r="C5022" t="inlineStr">
        <is>
          <t>空</t>
        </is>
      </c>
      <c r="D5022" t="n">
        <v>2</v>
      </c>
      <c r="E5022" t="n">
        <v>4</v>
      </c>
      <c r="F5022" t="inlineStr">
        <is>
          <t>续持</t>
        </is>
      </c>
      <c r="G5022" t="n">
        <v>6</v>
      </c>
      <c r="H5022" t="n">
        <v>6746</v>
      </c>
      <c r="I5022" t="n">
        <v>7048.43</v>
      </c>
      <c r="J5022" t="n">
        <v>1</v>
      </c>
      <c r="K5022" t="inlineStr">
        <is>
          <t>续持原仓（2025-12-09开）</t>
        </is>
      </c>
    </row>
    <row r="5023">
      <c r="A5023" t="inlineStr">
        <is>
          <t>2025-12-11</t>
        </is>
      </c>
      <c r="B5023" t="inlineStr">
        <is>
          <t>氧化铝</t>
        </is>
      </c>
      <c r="C5023" t="inlineStr">
        <is>
          <t>空</t>
        </is>
      </c>
      <c r="D5023" t="n">
        <v>3</v>
      </c>
      <c r="E5023" t="n">
        <v>6</v>
      </c>
      <c r="F5023" t="inlineStr">
        <is>
          <t>开仓</t>
        </is>
      </c>
      <c r="G5023" t="n">
        <v>11</v>
      </c>
      <c r="H5023" t="n">
        <v>2469</v>
      </c>
      <c r="I5023" t="n">
        <v>2595.86</v>
      </c>
      <c r="J5023" t="n">
        <v>3</v>
      </c>
      <c r="K5023" t="inlineStr">
        <is>
          <t>¼凯利超上限，取3%</t>
        </is>
      </c>
    </row>
    <row r="5024">
      <c r="A5024" t="inlineStr">
        <is>
          <t>2025-12-11</t>
        </is>
      </c>
      <c r="B5024" t="inlineStr">
        <is>
          <t>棉花</t>
        </is>
      </c>
      <c r="C5024" t="inlineStr">
        <is>
          <t>多</t>
        </is>
      </c>
      <c r="D5024" t="n">
        <v>3</v>
      </c>
      <c r="E5024" t="n">
        <v>6</v>
      </c>
      <c r="F5024" t="inlineStr">
        <is>
          <t>开仓</t>
        </is>
      </c>
      <c r="G5024" t="n">
        <v>21</v>
      </c>
      <c r="H5024" t="n">
        <v>13850</v>
      </c>
      <c r="I5024" t="n">
        <v>13576.79</v>
      </c>
      <c r="J5024" t="n">
        <v>3</v>
      </c>
      <c r="K5024" t="inlineStr">
        <is>
          <t>¼凯利超上限，取3%</t>
        </is>
      </c>
    </row>
    <row r="5025">
      <c r="A5025" t="inlineStr">
        <is>
          <t>2025-12-11</t>
        </is>
      </c>
      <c r="B5025" t="inlineStr">
        <is>
          <t>沪铝</t>
        </is>
      </c>
      <c r="C5025" t="inlineStr">
        <is>
          <t>多</t>
        </is>
      </c>
      <c r="D5025" t="n">
        <v>2</v>
      </c>
      <c r="E5025" t="n">
        <v>5</v>
      </c>
      <c r="F5025" t="inlineStr">
        <is>
          <t>观望</t>
        </is>
      </c>
      <c r="G5025" t="n">
        <v>2</v>
      </c>
      <c r="H5025" t="n">
        <v>21970</v>
      </c>
      <c r="I5025" t="n">
        <v>21199.64</v>
      </c>
      <c r="J5025" t="n">
        <v>1</v>
      </c>
      <c r="K5025" t="inlineStr">
        <is>
          <t>逆5日线（收盘在5日线下，不追多）</t>
        </is>
      </c>
    </row>
    <row r="5026">
      <c r="A5026" t="inlineStr">
        <is>
          <t>2025-12-11</t>
        </is>
      </c>
      <c r="B5026" t="inlineStr">
        <is>
          <t>鸡蛋</t>
        </is>
      </c>
      <c r="C5026" t="inlineStr">
        <is>
          <t>空</t>
        </is>
      </c>
      <c r="D5026" t="n">
        <v>2</v>
      </c>
      <c r="E5026" t="n">
        <v>5</v>
      </c>
      <c r="F5026" t="inlineStr">
        <is>
          <t>续持</t>
        </is>
      </c>
      <c r="G5026" t="n">
        <v>5</v>
      </c>
      <c r="H5026" t="n">
        <v>2968</v>
      </c>
      <c r="I5026" t="n">
        <v>3127.21</v>
      </c>
      <c r="J5026" t="n">
        <v>1</v>
      </c>
      <c r="K5026" t="inlineStr">
        <is>
          <t>续持原仓（2025-12-05开）</t>
        </is>
      </c>
    </row>
    <row r="5027">
      <c r="A5027" t="inlineStr">
        <is>
          <t>2025-12-11</t>
        </is>
      </c>
      <c r="B5027" t="inlineStr">
        <is>
          <t>甲醇</t>
        </is>
      </c>
      <c r="C5027" t="inlineStr">
        <is>
          <t>空</t>
        </is>
      </c>
      <c r="D5027" t="n">
        <v>2</v>
      </c>
      <c r="E5027" t="n">
        <v>5</v>
      </c>
      <c r="F5027" t="inlineStr">
        <is>
          <t>影子仓</t>
        </is>
      </c>
      <c r="G5027" t="n">
        <v>8</v>
      </c>
      <c r="H5027" t="n">
        <v>2120</v>
      </c>
      <c r="I5027" t="n">
        <v>2240.64</v>
      </c>
      <c r="J5027" t="n">
        <v>1</v>
      </c>
      <c r="K5027" t="inlineStr">
        <is>
          <t>凯利≤0，开1%影子仓（只统计，不计入组合）</t>
        </is>
      </c>
    </row>
    <row r="5028">
      <c r="A5028" t="inlineStr">
        <is>
          <t>2025-12-11</t>
        </is>
      </c>
      <c r="B5028" t="inlineStr">
        <is>
          <t>白糖</t>
        </is>
      </c>
      <c r="C5028" t="inlineStr">
        <is>
          <t>空</t>
        </is>
      </c>
      <c r="D5028" t="n">
        <v>2</v>
      </c>
      <c r="E5028" t="n">
        <v>4</v>
      </c>
      <c r="F5028" t="inlineStr">
        <is>
          <t>观望</t>
        </is>
      </c>
      <c r="G5028" t="n">
        <v>9</v>
      </c>
      <c r="H5028" t="n">
        <v>5245</v>
      </c>
      <c r="I5028" t="n">
        <v>5354.71</v>
      </c>
      <c r="J5028" t="n">
        <v>1</v>
      </c>
      <c r="K5028" t="inlineStr">
        <is>
          <t>逆5日线（收盘在5日线上，不追空）</t>
        </is>
      </c>
    </row>
    <row r="5029">
      <c r="A5029" t="inlineStr">
        <is>
          <t>2025-12-12</t>
        </is>
      </c>
      <c r="B5029" t="inlineStr">
        <is>
          <t>纯碱</t>
        </is>
      </c>
      <c r="C5029" t="inlineStr">
        <is>
          <t>空</t>
        </is>
      </c>
      <c r="D5029" t="n">
        <v>3</v>
      </c>
      <c r="E5029" t="n">
        <v>7</v>
      </c>
      <c r="F5029" t="inlineStr">
        <is>
          <t>开仓</t>
        </is>
      </c>
      <c r="G5029" t="n">
        <v>21</v>
      </c>
      <c r="H5029" t="n">
        <v>1126</v>
      </c>
      <c r="I5029" t="n">
        <v>1194.36</v>
      </c>
      <c r="J5029" t="n">
        <v>3</v>
      </c>
      <c r="K5029" t="inlineStr">
        <is>
          <t>¼凯利超上限，取3%</t>
        </is>
      </c>
    </row>
    <row r="5030">
      <c r="A5030" t="inlineStr">
        <is>
          <t>2025-12-12</t>
        </is>
      </c>
      <c r="B5030" t="inlineStr">
        <is>
          <t>PVC</t>
        </is>
      </c>
      <c r="C5030" t="inlineStr">
        <is>
          <t>空</t>
        </is>
      </c>
      <c r="D5030" t="n">
        <v>3</v>
      </c>
      <c r="E5030" t="n">
        <v>7</v>
      </c>
      <c r="F5030" t="inlineStr">
        <is>
          <t>开仓</t>
        </is>
      </c>
      <c r="G5030" t="n">
        <v>11</v>
      </c>
      <c r="H5030" t="n">
        <v>4220</v>
      </c>
      <c r="I5030" t="n">
        <v>4395.71</v>
      </c>
      <c r="J5030" t="n">
        <v>1</v>
      </c>
      <c r="K5030" t="inlineStr">
        <is>
          <t>组合风险已近10%，预算缩小</t>
        </is>
      </c>
    </row>
    <row r="5031">
      <c r="A5031" t="inlineStr">
        <is>
          <t>2025-12-12</t>
        </is>
      </c>
      <c r="B5031" t="inlineStr">
        <is>
          <t>沪铜</t>
        </is>
      </c>
      <c r="C5031" t="inlineStr">
        <is>
          <t>多</t>
        </is>
      </c>
      <c r="D5031" t="n">
        <v>3</v>
      </c>
      <c r="E5031" t="n">
        <v>7</v>
      </c>
      <c r="F5031" t="inlineStr">
        <is>
          <t>不做</t>
        </is>
      </c>
      <c r="H5031" t="n">
        <v>94170</v>
      </c>
      <c r="J5031" t="n">
        <v>0</v>
      </c>
      <c r="K5031" t="inlineStr">
        <is>
          <t>组合风险已近10%，预算缩小</t>
        </is>
      </c>
    </row>
    <row r="5032">
      <c r="A5032" t="inlineStr">
        <is>
          <t>2025-12-12</t>
        </is>
      </c>
      <c r="B5032" t="inlineStr">
        <is>
          <t>沪银</t>
        </is>
      </c>
      <c r="C5032" t="inlineStr">
        <is>
          <t>多</t>
        </is>
      </c>
      <c r="D5032" t="n">
        <v>3</v>
      </c>
      <c r="E5032" t="n">
        <v>6</v>
      </c>
      <c r="F5032" t="inlineStr">
        <is>
          <t>不做</t>
        </is>
      </c>
      <c r="H5032" t="n">
        <v>14892</v>
      </c>
      <c r="J5032" t="n">
        <v>0</v>
      </c>
      <c r="K5032" t="inlineStr">
        <is>
          <t>组合风险已近10%，预算缩小</t>
        </is>
      </c>
    </row>
    <row r="5033">
      <c r="A5033" t="inlineStr">
        <is>
          <t>2025-12-12</t>
        </is>
      </c>
      <c r="B5033" t="inlineStr">
        <is>
          <t>沪铝</t>
        </is>
      </c>
      <c r="C5033" t="inlineStr">
        <is>
          <t>多</t>
        </is>
      </c>
      <c r="D5033" t="n">
        <v>3</v>
      </c>
      <c r="E5033" t="n">
        <v>6</v>
      </c>
      <c r="F5033" t="inlineStr">
        <is>
          <t>不做</t>
        </is>
      </c>
      <c r="H5033" t="n">
        <v>22170</v>
      </c>
      <c r="J5033" t="n">
        <v>0</v>
      </c>
      <c r="K5033" t="inlineStr">
        <is>
          <t>组合风险已近10%，预算缩小</t>
        </is>
      </c>
    </row>
    <row r="5034">
      <c r="A5034" t="inlineStr">
        <is>
          <t>2025-12-12</t>
        </is>
      </c>
      <c r="B5034" t="inlineStr">
        <is>
          <t>玉米</t>
        </is>
      </c>
      <c r="C5034" t="inlineStr">
        <is>
          <t>多</t>
        </is>
      </c>
      <c r="D5034" t="n">
        <v>2</v>
      </c>
      <c r="E5034" t="n">
        <v>5</v>
      </c>
      <c r="F5034" t="inlineStr">
        <is>
          <t>观望</t>
        </is>
      </c>
      <c r="G5034" t="n">
        <v>13</v>
      </c>
      <c r="H5034" t="n">
        <v>2233</v>
      </c>
      <c r="I5034" t="n">
        <v>2160.14</v>
      </c>
      <c r="J5034" t="n">
        <v>1</v>
      </c>
      <c r="K5034" t="inlineStr">
        <is>
          <t>逆5日线（收盘在5日线下，不追多）</t>
        </is>
      </c>
    </row>
    <row r="5035">
      <c r="A5035" t="inlineStr">
        <is>
          <t>2025-12-12</t>
        </is>
      </c>
      <c r="B5035" t="inlineStr">
        <is>
          <t>工业硅</t>
        </is>
      </c>
      <c r="C5035" t="inlineStr">
        <is>
          <t>空</t>
        </is>
      </c>
      <c r="D5035" t="n">
        <v>2</v>
      </c>
      <c r="E5035" t="n">
        <v>4</v>
      </c>
      <c r="F5035" t="inlineStr">
        <is>
          <t>观望</t>
        </is>
      </c>
      <c r="G5035" t="n">
        <v>3</v>
      </c>
      <c r="H5035" t="n">
        <v>8390</v>
      </c>
      <c r="I5035" t="n">
        <v>8967.5</v>
      </c>
      <c r="J5035" t="n">
        <v>1</v>
      </c>
      <c r="K5035" t="inlineStr">
        <is>
          <t>逆5日线（收盘在5日线上，不追空）</t>
        </is>
      </c>
    </row>
    <row r="5036">
      <c r="A5036" t="inlineStr">
        <is>
          <t>2025-12-15</t>
        </is>
      </c>
      <c r="B5036" t="inlineStr">
        <is>
          <t>工业硅</t>
        </is>
      </c>
      <c r="C5036" t="inlineStr">
        <is>
          <t>空</t>
        </is>
      </c>
      <c r="D5036" t="n">
        <v>3</v>
      </c>
      <c r="E5036" t="n">
        <v>6</v>
      </c>
      <c r="F5036" t="inlineStr">
        <is>
          <t>观望</t>
        </is>
      </c>
      <c r="H5036" t="n">
        <v>8350</v>
      </c>
      <c r="J5036" t="n">
        <v>0</v>
      </c>
      <c r="K5036" t="inlineStr">
        <is>
          <t>逆5日线（收盘在5日线上，不追空）</t>
        </is>
      </c>
    </row>
    <row r="5037">
      <c r="A5037" t="inlineStr">
        <is>
          <t>2025-12-15</t>
        </is>
      </c>
      <c r="B5037" t="inlineStr">
        <is>
          <t>氧化铝</t>
        </is>
      </c>
      <c r="C5037" t="inlineStr">
        <is>
          <t>空</t>
        </is>
      </c>
      <c r="D5037" t="n">
        <v>2</v>
      </c>
      <c r="E5037" t="n">
        <v>5</v>
      </c>
      <c r="F5037" t="inlineStr">
        <is>
          <t>观望</t>
        </is>
      </c>
      <c r="G5037" t="n">
        <v>3</v>
      </c>
      <c r="H5037" t="n">
        <v>2537</v>
      </c>
      <c r="I5037" t="n">
        <v>2682.71</v>
      </c>
      <c r="J5037" t="n">
        <v>1</v>
      </c>
      <c r="K5037" t="inlineStr">
        <is>
          <t>逆5日线（收盘在5日线上，不追空）</t>
        </is>
      </c>
    </row>
    <row r="5038">
      <c r="A5038" t="inlineStr">
        <is>
          <t>2025-12-15</t>
        </is>
      </c>
      <c r="B5038" t="inlineStr">
        <is>
          <t>沪锌</t>
        </is>
      </c>
      <c r="C5038" t="inlineStr">
        <is>
          <t>空</t>
        </is>
      </c>
      <c r="D5038" t="n">
        <v>2</v>
      </c>
      <c r="E5038" t="n">
        <v>5</v>
      </c>
      <c r="F5038" t="inlineStr">
        <is>
          <t>观望</t>
        </is>
      </c>
      <c r="G5038" t="n">
        <v>2</v>
      </c>
      <c r="H5038" t="n">
        <v>23430</v>
      </c>
      <c r="I5038" t="n">
        <v>24296.79</v>
      </c>
      <c r="J5038" t="n">
        <v>1</v>
      </c>
      <c r="K5038" t="inlineStr">
        <is>
          <t>逆5日线（收盘在5日线上，不追空）</t>
        </is>
      </c>
    </row>
    <row r="5039">
      <c r="A5039" t="inlineStr">
        <is>
          <t>2025-12-15</t>
        </is>
      </c>
      <c r="B5039" t="inlineStr">
        <is>
          <t>沪铜</t>
        </is>
      </c>
      <c r="C5039" t="inlineStr">
        <is>
          <t>多</t>
        </is>
      </c>
      <c r="D5039" t="n">
        <v>2</v>
      </c>
      <c r="E5039" t="n">
        <v>4</v>
      </c>
      <c r="F5039" t="inlineStr">
        <is>
          <t>不做</t>
        </is>
      </c>
      <c r="H5039" t="n">
        <v>92490</v>
      </c>
      <c r="J5039" t="n">
        <v>1</v>
      </c>
      <c r="K5039" t="inlineStr">
        <is>
          <t>1手风险26979元超过预算10000元</t>
        </is>
      </c>
    </row>
    <row r="5040">
      <c r="A5040" t="inlineStr">
        <is>
          <t>2025-12-15</t>
        </is>
      </c>
      <c r="B5040" t="inlineStr">
        <is>
          <t>沪铝</t>
        </is>
      </c>
      <c r="C5040" t="inlineStr">
        <is>
          <t>多</t>
        </is>
      </c>
      <c r="D5040" t="n">
        <v>2</v>
      </c>
      <c r="E5040" t="n">
        <v>4</v>
      </c>
      <c r="F5040" t="inlineStr">
        <is>
          <t>观望</t>
        </is>
      </c>
      <c r="G5040" t="n">
        <v>2</v>
      </c>
      <c r="H5040" t="n">
        <v>21920</v>
      </c>
      <c r="I5040" t="n">
        <v>21027.5</v>
      </c>
      <c r="J5040" t="n">
        <v>1</v>
      </c>
      <c r="K5040" t="inlineStr">
        <is>
          <t>逆5日线（收盘在5日线下，不追多）</t>
        </is>
      </c>
    </row>
    <row r="5041">
      <c r="A5041" t="inlineStr">
        <is>
          <t>2025-12-16</t>
        </is>
      </c>
      <c r="B5041" t="inlineStr">
        <is>
          <t>氧化铝</t>
        </is>
      </c>
      <c r="C5041" t="inlineStr">
        <is>
          <t>空</t>
        </is>
      </c>
      <c r="D5041" t="n">
        <v>3</v>
      </c>
      <c r="E5041" t="n">
        <v>6</v>
      </c>
      <c r="F5041" t="inlineStr">
        <is>
          <t>观望</t>
        </is>
      </c>
      <c r="G5041" t="n">
        <v>9</v>
      </c>
      <c r="H5041" t="n">
        <v>2541</v>
      </c>
      <c r="I5041" t="n">
        <v>2694.43</v>
      </c>
      <c r="J5041" t="n">
        <v>3</v>
      </c>
      <c r="K5041" t="inlineStr">
        <is>
          <t>逆5日线（收盘在5日线上，不追空）</t>
        </is>
      </c>
    </row>
    <row r="5042">
      <c r="A5042" t="inlineStr">
        <is>
          <t>2025-12-16</t>
        </is>
      </c>
      <c r="B5042" t="inlineStr">
        <is>
          <t>焦煤</t>
        </is>
      </c>
      <c r="C5042" t="inlineStr">
        <is>
          <t>空</t>
        </is>
      </c>
      <c r="D5042" t="n">
        <v>3</v>
      </c>
      <c r="E5042" t="n">
        <v>6</v>
      </c>
      <c r="F5042" t="inlineStr">
        <is>
          <t>观望</t>
        </is>
      </c>
      <c r="G5042" t="n">
        <v>4</v>
      </c>
      <c r="H5042" t="n">
        <v>1067.5</v>
      </c>
      <c r="I5042" t="n">
        <v>1184.61</v>
      </c>
      <c r="J5042" t="n">
        <v>3</v>
      </c>
      <c r="K5042" t="inlineStr">
        <is>
          <t>逆5日线（收盘在5日线上，不追空）</t>
        </is>
      </c>
    </row>
    <row r="5043">
      <c r="A5043" t="inlineStr">
        <is>
          <t>2025-12-16</t>
        </is>
      </c>
      <c r="B5043" t="inlineStr">
        <is>
          <t>塑料</t>
        </is>
      </c>
      <c r="C5043" t="inlineStr">
        <is>
          <t>空</t>
        </is>
      </c>
      <c r="D5043" t="n">
        <v>2</v>
      </c>
      <c r="E5043" t="n">
        <v>5</v>
      </c>
      <c r="F5043" t="inlineStr">
        <is>
          <t>影子仓</t>
        </is>
      </c>
      <c r="G5043" t="n">
        <v>8</v>
      </c>
      <c r="H5043" t="n">
        <v>6543</v>
      </c>
      <c r="I5043" t="n">
        <v>6767.14</v>
      </c>
      <c r="J5043" t="n">
        <v>1</v>
      </c>
      <c r="K5043" t="inlineStr">
        <is>
          <t>凯利≤0，开1%影子仓（只统计，不计入组合）</t>
        </is>
      </c>
    </row>
    <row r="5044">
      <c r="A5044" t="inlineStr">
        <is>
          <t>2025-12-16</t>
        </is>
      </c>
      <c r="B5044" t="inlineStr">
        <is>
          <t>沪铜</t>
        </is>
      </c>
      <c r="C5044" t="inlineStr">
        <is>
          <t>多</t>
        </is>
      </c>
      <c r="D5044" t="n">
        <v>2</v>
      </c>
      <c r="E5044" t="n">
        <v>5</v>
      </c>
      <c r="F5044" t="inlineStr">
        <is>
          <t>观望</t>
        </is>
      </c>
      <c r="H5044" t="n">
        <v>91920</v>
      </c>
      <c r="J5044" t="n">
        <v>1</v>
      </c>
      <c r="K5044" t="inlineStr">
        <is>
          <t>逆5日线（收盘在5日线下，不追多）</t>
        </is>
      </c>
    </row>
    <row r="5045">
      <c r="A5045" t="inlineStr">
        <is>
          <t>2025-12-16</t>
        </is>
      </c>
      <c r="B5045" t="inlineStr">
        <is>
          <t>工业硅</t>
        </is>
      </c>
      <c r="C5045" t="inlineStr">
        <is>
          <t>空</t>
        </is>
      </c>
      <c r="D5045" t="n">
        <v>2</v>
      </c>
      <c r="E5045" t="n">
        <v>5</v>
      </c>
      <c r="F5045" t="inlineStr">
        <is>
          <t>观望</t>
        </is>
      </c>
      <c r="G5045" t="n">
        <v>3</v>
      </c>
      <c r="H5045" t="n">
        <v>8365</v>
      </c>
      <c r="I5045" t="n">
        <v>8947.860000000001</v>
      </c>
      <c r="J5045" t="n">
        <v>1</v>
      </c>
      <c r="K5045" t="inlineStr">
        <is>
          <t>逆5日线（收盘在5日线上，不追空）</t>
        </is>
      </c>
    </row>
    <row r="5046">
      <c r="A5046" t="inlineStr">
        <is>
          <t>2025-12-17</t>
        </is>
      </c>
      <c r="B5046" t="inlineStr">
        <is>
          <t>沪金</t>
        </is>
      </c>
      <c r="C5046" t="inlineStr">
        <is>
          <t>多</t>
        </is>
      </c>
      <c r="D5046" t="n">
        <v>3</v>
      </c>
      <c r="E5046" t="n">
        <v>7</v>
      </c>
      <c r="F5046" t="inlineStr">
        <is>
          <t>不做</t>
        </is>
      </c>
      <c r="H5046" t="n">
        <v>979.72</v>
      </c>
      <c r="J5046" t="n">
        <v>3</v>
      </c>
      <c r="K5046" t="inlineStr">
        <is>
          <t>1手风险40830元超过预算30000元</t>
        </is>
      </c>
    </row>
    <row r="5047">
      <c r="A5047" t="inlineStr">
        <is>
          <t>2025-12-17</t>
        </is>
      </c>
      <c r="B5047" t="inlineStr">
        <is>
          <t>沪铜</t>
        </is>
      </c>
      <c r="C5047" t="inlineStr">
        <is>
          <t>多</t>
        </is>
      </c>
      <c r="D5047" t="n">
        <v>3</v>
      </c>
      <c r="E5047" t="n">
        <v>7</v>
      </c>
      <c r="F5047" t="inlineStr">
        <is>
          <t>开仓</t>
        </is>
      </c>
      <c r="G5047" t="n">
        <v>1</v>
      </c>
      <c r="H5047" t="n">
        <v>92820</v>
      </c>
      <c r="I5047" t="n">
        <v>86892.86</v>
      </c>
      <c r="J5047" t="n">
        <v>3</v>
      </c>
      <c r="K5047" t="inlineStr">
        <is>
          <t>¼凯利超上限，取3%</t>
        </is>
      </c>
    </row>
    <row r="5048">
      <c r="A5048" t="inlineStr">
        <is>
          <t>2025-12-17</t>
        </is>
      </c>
      <c r="B5048" t="inlineStr">
        <is>
          <t>焦煤</t>
        </is>
      </c>
      <c r="C5048" t="inlineStr">
        <is>
          <t>空</t>
        </is>
      </c>
      <c r="D5048" t="n">
        <v>3</v>
      </c>
      <c r="E5048" t="n">
        <v>7</v>
      </c>
      <c r="F5048" t="inlineStr">
        <is>
          <t>观望</t>
        </is>
      </c>
      <c r="G5048" t="n">
        <v>4</v>
      </c>
      <c r="H5048" t="n">
        <v>1062</v>
      </c>
      <c r="I5048" t="n">
        <v>1180.61</v>
      </c>
      <c r="J5048" t="n">
        <v>3</v>
      </c>
      <c r="K5048" t="inlineStr">
        <is>
          <t>逆5日线（收盘在5日线上，不追空）</t>
        </is>
      </c>
    </row>
    <row r="5049">
      <c r="A5049" t="inlineStr">
        <is>
          <t>2025-12-17</t>
        </is>
      </c>
      <c r="B5049" t="inlineStr">
        <is>
          <t>塑料</t>
        </is>
      </c>
      <c r="C5049" t="inlineStr">
        <is>
          <t>空</t>
        </is>
      </c>
      <c r="D5049" t="n">
        <v>3</v>
      </c>
      <c r="E5049" t="n">
        <v>6</v>
      </c>
      <c r="F5049" t="inlineStr">
        <is>
          <t>续持</t>
        </is>
      </c>
      <c r="G5049" t="n">
        <v>8</v>
      </c>
      <c r="H5049" t="n">
        <v>6479</v>
      </c>
      <c r="I5049" t="n">
        <v>6699.5</v>
      </c>
      <c r="J5049" t="n">
        <v>1</v>
      </c>
      <c r="K5049" t="inlineStr">
        <is>
          <t>续持原仓（2025-12-16开）</t>
        </is>
      </c>
    </row>
    <row r="5050">
      <c r="A5050" t="inlineStr">
        <is>
          <t>2025-12-17</t>
        </is>
      </c>
      <c r="B5050" t="inlineStr">
        <is>
          <t>沪铝</t>
        </is>
      </c>
      <c r="C5050" t="inlineStr">
        <is>
          <t>多</t>
        </is>
      </c>
      <c r="D5050" t="n">
        <v>3</v>
      </c>
      <c r="E5050" t="n">
        <v>6</v>
      </c>
      <c r="F5050" t="inlineStr">
        <is>
          <t>观望</t>
        </is>
      </c>
      <c r="H5050" t="n">
        <v>21915</v>
      </c>
      <c r="J5050" t="n">
        <v>0</v>
      </c>
      <c r="K5050" t="inlineStr">
        <is>
          <t>逆5日线（收盘在5日线下，不追多）</t>
        </is>
      </c>
    </row>
    <row r="5051">
      <c r="A5051" t="inlineStr">
        <is>
          <t>2025-12-17</t>
        </is>
      </c>
      <c r="B5051" t="inlineStr">
        <is>
          <t>锰硅</t>
        </is>
      </c>
      <c r="C5051" t="inlineStr">
        <is>
          <t>多</t>
        </is>
      </c>
      <c r="D5051" t="n">
        <v>3</v>
      </c>
      <c r="E5051" t="n">
        <v>6</v>
      </c>
      <c r="F5051" t="inlineStr">
        <is>
          <t>开仓</t>
        </is>
      </c>
      <c r="G5051" t="n">
        <v>29</v>
      </c>
      <c r="H5051" t="n">
        <v>5758</v>
      </c>
      <c r="I5051" t="n">
        <v>5557.43</v>
      </c>
      <c r="J5051" t="n">
        <v>3</v>
      </c>
      <c r="K5051" t="inlineStr">
        <is>
          <t>¼凯利超上限，取3%</t>
        </is>
      </c>
    </row>
    <row r="5052">
      <c r="A5052" t="inlineStr">
        <is>
          <t>2025-12-17</t>
        </is>
      </c>
      <c r="B5052" t="inlineStr">
        <is>
          <t>豆油</t>
        </is>
      </c>
      <c r="C5052" t="inlineStr">
        <is>
          <t>空</t>
        </is>
      </c>
      <c r="D5052" t="n">
        <v>2</v>
      </c>
      <c r="E5052" t="n">
        <v>4</v>
      </c>
      <c r="F5052" t="inlineStr">
        <is>
          <t>影子仓</t>
        </is>
      </c>
      <c r="G5052" t="n">
        <v>4</v>
      </c>
      <c r="H5052" t="n">
        <v>7822</v>
      </c>
      <c r="I5052" t="n">
        <v>8029.43</v>
      </c>
      <c r="J5052" t="n">
        <v>1</v>
      </c>
      <c r="K5052" t="inlineStr">
        <is>
          <t>凯利≤0，开1%影子仓（只统计，不计入组合）</t>
        </is>
      </c>
    </row>
    <row r="5053">
      <c r="A5053" t="inlineStr">
        <is>
          <t>2025-12-18</t>
        </is>
      </c>
      <c r="B5053" t="inlineStr">
        <is>
          <t>沪金</t>
        </is>
      </c>
      <c r="C5053" t="inlineStr">
        <is>
          <t>多</t>
        </is>
      </c>
      <c r="D5053" t="n">
        <v>3</v>
      </c>
      <c r="E5053" t="n">
        <v>6</v>
      </c>
      <c r="F5053" t="inlineStr">
        <is>
          <t>不做</t>
        </is>
      </c>
      <c r="H5053" t="n">
        <v>980.5</v>
      </c>
      <c r="J5053" t="n">
        <v>3</v>
      </c>
      <c r="K5053" t="inlineStr">
        <is>
          <t>1手风险40106元超过预算30000元</t>
        </is>
      </c>
    </row>
    <row r="5054">
      <c r="A5054" t="inlineStr">
        <is>
          <t>2025-12-18</t>
        </is>
      </c>
      <c r="B5054" t="inlineStr">
        <is>
          <t>塑料</t>
        </is>
      </c>
      <c r="C5054" t="inlineStr">
        <is>
          <t>空</t>
        </is>
      </c>
      <c r="D5054" t="n">
        <v>3</v>
      </c>
      <c r="E5054" t="n">
        <v>6</v>
      </c>
      <c r="F5054" t="inlineStr">
        <is>
          <t>续持</t>
        </is>
      </c>
      <c r="G5054" t="n">
        <v>8</v>
      </c>
      <c r="H5054" t="n">
        <v>6476</v>
      </c>
      <c r="I5054" t="n">
        <v>6694.36</v>
      </c>
      <c r="J5054" t="n">
        <v>1</v>
      </c>
      <c r="K5054" t="inlineStr">
        <is>
          <t>续持原仓（2025-12-16开）</t>
        </is>
      </c>
    </row>
    <row r="5055">
      <c r="A5055" t="inlineStr">
        <is>
          <t>2025-12-18</t>
        </is>
      </c>
      <c r="B5055" t="inlineStr">
        <is>
          <t>沪银</t>
        </is>
      </c>
      <c r="C5055" t="inlineStr">
        <is>
          <t>多</t>
        </is>
      </c>
      <c r="D5055" t="n">
        <v>3</v>
      </c>
      <c r="E5055" t="n">
        <v>6</v>
      </c>
      <c r="F5055" t="inlineStr">
        <is>
          <t>开仓</t>
        </is>
      </c>
      <c r="G5055" t="n">
        <v>1</v>
      </c>
      <c r="H5055" t="n">
        <v>15521</v>
      </c>
      <c r="I5055" t="n">
        <v>13742.21</v>
      </c>
      <c r="J5055" t="n">
        <v>3</v>
      </c>
      <c r="K5055" t="inlineStr">
        <is>
          <t>¼凯利超上限，取3%</t>
        </is>
      </c>
    </row>
    <row r="5056">
      <c r="A5056" t="inlineStr">
        <is>
          <t>2025-12-18</t>
        </is>
      </c>
      <c r="B5056" t="inlineStr">
        <is>
          <t>锰硅</t>
        </is>
      </c>
      <c r="C5056" t="inlineStr">
        <is>
          <t>多</t>
        </is>
      </c>
      <c r="D5056" t="n">
        <v>3</v>
      </c>
      <c r="E5056" t="n">
        <v>6</v>
      </c>
      <c r="F5056" t="inlineStr">
        <is>
          <t>续持</t>
        </is>
      </c>
      <c r="G5056" t="n">
        <v>29</v>
      </c>
      <c r="H5056" t="n">
        <v>5780</v>
      </c>
      <c r="I5056" t="n">
        <v>5604.43</v>
      </c>
      <c r="J5056" t="n">
        <v>3</v>
      </c>
      <c r="K5056" t="inlineStr">
        <is>
          <t>续持原仓（2025-12-17开）</t>
        </is>
      </c>
    </row>
    <row r="5057">
      <c r="A5057" t="inlineStr">
        <is>
          <t>2025-12-18</t>
        </is>
      </c>
      <c r="B5057" t="inlineStr">
        <is>
          <t>鸡蛋</t>
        </is>
      </c>
      <c r="C5057" t="inlineStr">
        <is>
          <t>空</t>
        </is>
      </c>
      <c r="D5057" t="n">
        <v>3</v>
      </c>
      <c r="E5057" t="n">
        <v>6</v>
      </c>
      <c r="F5057" t="inlineStr">
        <is>
          <t>开仓</t>
        </is>
      </c>
      <c r="G5057" t="n">
        <v>6</v>
      </c>
      <c r="H5057" t="n">
        <v>2916</v>
      </c>
      <c r="I5057" t="n">
        <v>3068.36</v>
      </c>
      <c r="J5057" t="n">
        <v>1</v>
      </c>
      <c r="K5057" t="inlineStr">
        <is>
          <t>组合风险已近10%，预算缩小</t>
        </is>
      </c>
    </row>
    <row r="5058">
      <c r="A5058" t="inlineStr">
        <is>
          <t>2025-12-18</t>
        </is>
      </c>
      <c r="B5058" t="inlineStr">
        <is>
          <t>沪铝</t>
        </is>
      </c>
      <c r="C5058" t="inlineStr">
        <is>
          <t>多</t>
        </is>
      </c>
      <c r="D5058" t="n">
        <v>2</v>
      </c>
      <c r="E5058" t="n">
        <v>5</v>
      </c>
      <c r="F5058" t="inlineStr">
        <is>
          <t>观望</t>
        </is>
      </c>
      <c r="G5058" t="n">
        <v>2</v>
      </c>
      <c r="H5058" t="n">
        <v>21955</v>
      </c>
      <c r="I5058" t="n">
        <v>21013.21</v>
      </c>
      <c r="J5058" t="n">
        <v>1</v>
      </c>
      <c r="K5058" t="inlineStr">
        <is>
          <t>逆5日线（收盘在5日线下，不追多）</t>
        </is>
      </c>
    </row>
    <row r="5059">
      <c r="A5059" t="inlineStr">
        <is>
          <t>2025-12-18</t>
        </is>
      </c>
      <c r="B5059" t="inlineStr">
        <is>
          <t>沪铜</t>
        </is>
      </c>
      <c r="C5059" t="inlineStr">
        <is>
          <t>多</t>
        </is>
      </c>
      <c r="D5059" t="n">
        <v>2</v>
      </c>
      <c r="E5059" t="n">
        <v>5</v>
      </c>
      <c r="F5059" t="inlineStr">
        <is>
          <t>观望</t>
        </is>
      </c>
      <c r="H5059" t="n">
        <v>92600</v>
      </c>
      <c r="J5059" t="n">
        <v>1</v>
      </c>
      <c r="K5059" t="inlineStr">
        <is>
          <t>逆5日线（收盘在5日线下，不追多）</t>
        </is>
      </c>
    </row>
    <row r="5060">
      <c r="A5060" t="inlineStr">
        <is>
          <t>2025-12-18</t>
        </is>
      </c>
      <c r="B5060" t="inlineStr">
        <is>
          <t>氧化铝</t>
        </is>
      </c>
      <c r="C5060" t="inlineStr">
        <is>
          <t>空</t>
        </is>
      </c>
      <c r="D5060" t="n">
        <v>2</v>
      </c>
      <c r="E5060" t="n">
        <v>5</v>
      </c>
      <c r="F5060" t="inlineStr">
        <is>
          <t>观望</t>
        </is>
      </c>
      <c r="G5060" t="n">
        <v>3</v>
      </c>
      <c r="H5060" t="n">
        <v>2569</v>
      </c>
      <c r="I5060" t="n">
        <v>2729.29</v>
      </c>
      <c r="J5060" t="n">
        <v>1</v>
      </c>
      <c r="K5060" t="inlineStr">
        <is>
          <t>逆5日线（收盘在5日线上，不追空）</t>
        </is>
      </c>
    </row>
    <row r="5061">
      <c r="A5061" t="inlineStr">
        <is>
          <t>2025-12-18</t>
        </is>
      </c>
      <c r="B5061" t="inlineStr">
        <is>
          <t>沪镍</t>
        </is>
      </c>
      <c r="C5061" t="inlineStr">
        <is>
          <t>空</t>
        </is>
      </c>
      <c r="D5061" t="n">
        <v>2</v>
      </c>
      <c r="E5061" t="n">
        <v>4</v>
      </c>
      <c r="F5061" t="inlineStr">
        <is>
          <t>影子仓</t>
        </is>
      </c>
      <c r="G5061" t="n">
        <v>2</v>
      </c>
      <c r="H5061" t="n">
        <v>113940</v>
      </c>
      <c r="I5061" t="n">
        <v>118232.14</v>
      </c>
      <c r="J5061" t="n">
        <v>1</v>
      </c>
      <c r="K5061" t="inlineStr">
        <is>
          <t>凯利≤0，开1%影子仓（只统计，不计入组合）</t>
        </is>
      </c>
    </row>
    <row r="5062">
      <c r="A5062" t="inlineStr">
        <is>
          <t>2025-12-18</t>
        </is>
      </c>
      <c r="B5062" t="inlineStr">
        <is>
          <t>豆油</t>
        </is>
      </c>
      <c r="C5062" t="inlineStr">
        <is>
          <t>空</t>
        </is>
      </c>
      <c r="D5062" t="n">
        <v>2</v>
      </c>
      <c r="E5062" t="n">
        <v>4</v>
      </c>
      <c r="F5062" t="inlineStr">
        <is>
          <t>续持</t>
        </is>
      </c>
      <c r="G5062" t="n">
        <v>4</v>
      </c>
      <c r="H5062" t="n">
        <v>7802</v>
      </c>
      <c r="I5062" t="n">
        <v>8005.29</v>
      </c>
      <c r="J5062" t="n">
        <v>1</v>
      </c>
      <c r="K5062" t="inlineStr">
        <is>
          <t>续持原仓（2025-12-17开）</t>
        </is>
      </c>
    </row>
    <row r="5063">
      <c r="A5063" t="inlineStr">
        <is>
          <t>2025-12-19</t>
        </is>
      </c>
      <c r="B5063" t="inlineStr">
        <is>
          <t>沪铝</t>
        </is>
      </c>
      <c r="C5063" t="inlineStr">
        <is>
          <t>多</t>
        </is>
      </c>
      <c r="D5063" t="n">
        <v>3</v>
      </c>
      <c r="E5063" t="n">
        <v>7</v>
      </c>
      <c r="F5063" t="inlineStr">
        <is>
          <t>不做</t>
        </is>
      </c>
      <c r="H5063" t="n">
        <v>22185</v>
      </c>
      <c r="J5063" t="n">
        <v>0</v>
      </c>
      <c r="K5063" t="inlineStr">
        <is>
          <t>与沪铜高度相关（同组≤3%），预算缩小</t>
        </is>
      </c>
    </row>
    <row r="5064">
      <c r="A5064" t="inlineStr">
        <is>
          <t>2025-12-19</t>
        </is>
      </c>
      <c r="B5064" t="inlineStr">
        <is>
          <t>玻璃</t>
        </is>
      </c>
      <c r="C5064" t="inlineStr">
        <is>
          <t>空</t>
        </is>
      </c>
      <c r="D5064" t="n">
        <v>3</v>
      </c>
      <c r="E5064" t="n">
        <v>7</v>
      </c>
      <c r="F5064" t="inlineStr">
        <is>
          <t>开仓</t>
        </is>
      </c>
      <c r="G5064" t="n">
        <v>20</v>
      </c>
      <c r="H5064" t="n">
        <v>1041</v>
      </c>
      <c r="I5064" t="n">
        <v>1115.79</v>
      </c>
      <c r="J5064" t="n">
        <v>3</v>
      </c>
      <c r="K5064" t="inlineStr">
        <is>
          <t>¼凯利超上限，取3%</t>
        </is>
      </c>
    </row>
    <row r="5065">
      <c r="A5065" t="inlineStr">
        <is>
          <t>2025-12-19</t>
        </is>
      </c>
      <c r="B5065" t="inlineStr">
        <is>
          <t>塑料</t>
        </is>
      </c>
      <c r="C5065" t="inlineStr">
        <is>
          <t>空</t>
        </is>
      </c>
      <c r="D5065" t="n">
        <v>3</v>
      </c>
      <c r="E5065" t="n">
        <v>6</v>
      </c>
      <c r="F5065" t="inlineStr">
        <is>
          <t>续持</t>
        </is>
      </c>
      <c r="G5065" t="n">
        <v>8</v>
      </c>
      <c r="H5065" t="n">
        <v>6320</v>
      </c>
      <c r="I5065" t="n">
        <v>6561.71</v>
      </c>
      <c r="J5065" t="n">
        <v>1</v>
      </c>
      <c r="K5065" t="inlineStr">
        <is>
          <t>续持原仓（2025-12-16开）</t>
        </is>
      </c>
    </row>
    <row r="5066">
      <c r="A5066" t="inlineStr">
        <is>
          <t>2025-12-19</t>
        </is>
      </c>
      <c r="B5066" t="inlineStr">
        <is>
          <t>锰硅</t>
        </is>
      </c>
      <c r="C5066" t="inlineStr">
        <is>
          <t>多</t>
        </is>
      </c>
      <c r="D5066" t="n">
        <v>3</v>
      </c>
      <c r="E5066" t="n">
        <v>6</v>
      </c>
      <c r="F5066" t="inlineStr">
        <is>
          <t>续持</t>
        </is>
      </c>
      <c r="G5066" t="n">
        <v>29</v>
      </c>
      <c r="H5066" t="n">
        <v>5808</v>
      </c>
      <c r="I5066" t="n">
        <v>5645.86</v>
      </c>
      <c r="J5066" t="n">
        <v>3</v>
      </c>
      <c r="K5066" t="inlineStr">
        <is>
          <t>续持原仓（2025-12-17开）</t>
        </is>
      </c>
    </row>
    <row r="5067">
      <c r="A5067" t="inlineStr">
        <is>
          <t>2025-12-19</t>
        </is>
      </c>
      <c r="B5067" t="inlineStr">
        <is>
          <t>沪铜</t>
        </is>
      </c>
      <c r="C5067" t="inlineStr">
        <is>
          <t>多</t>
        </is>
      </c>
      <c r="D5067" t="n">
        <v>3</v>
      </c>
      <c r="E5067" t="n">
        <v>6</v>
      </c>
      <c r="F5067" t="inlineStr">
        <is>
          <t>续持</t>
        </is>
      </c>
      <c r="G5067" t="n">
        <v>1</v>
      </c>
      <c r="H5067" t="n">
        <v>93180</v>
      </c>
      <c r="I5067" t="n">
        <v>87647.86</v>
      </c>
      <c r="J5067" t="n">
        <v>3</v>
      </c>
      <c r="K5067" t="inlineStr">
        <is>
          <t>续持原仓（2025-12-17开）</t>
        </is>
      </c>
    </row>
    <row r="5068">
      <c r="A5068" t="inlineStr">
        <is>
          <t>2025-12-19</t>
        </is>
      </c>
      <c r="B5068" t="inlineStr">
        <is>
          <t>豆油</t>
        </is>
      </c>
      <c r="C5068" t="inlineStr">
        <is>
          <t>空</t>
        </is>
      </c>
      <c r="D5068" t="n">
        <v>2</v>
      </c>
      <c r="E5068" t="n">
        <v>4</v>
      </c>
      <c r="F5068" t="inlineStr">
        <is>
          <t>续持</t>
        </is>
      </c>
      <c r="G5068" t="n">
        <v>4</v>
      </c>
      <c r="H5068" t="n">
        <v>7712</v>
      </c>
      <c r="I5068" t="n">
        <v>7895.71</v>
      </c>
      <c r="J5068" t="n">
        <v>1</v>
      </c>
      <c r="K5068" t="inlineStr">
        <is>
          <t>续持原仓（2025-12-17开）</t>
        </is>
      </c>
    </row>
    <row r="5069">
      <c r="A5069" t="inlineStr">
        <is>
          <t>2025-12-22</t>
        </is>
      </c>
      <c r="B5069" t="inlineStr">
        <is>
          <t>沪金</t>
        </is>
      </c>
      <c r="C5069" t="inlineStr">
        <is>
          <t>多</t>
        </is>
      </c>
      <c r="D5069" t="n">
        <v>3</v>
      </c>
      <c r="E5069" t="n">
        <v>7</v>
      </c>
      <c r="F5069" t="inlineStr">
        <is>
          <t>不做</t>
        </is>
      </c>
      <c r="H5069" t="n">
        <v>1000.86</v>
      </c>
      <c r="J5069" t="n">
        <v>3</v>
      </c>
      <c r="K5069" t="inlineStr">
        <is>
          <t>1手风险40779元超过预算30000元</t>
        </is>
      </c>
    </row>
    <row r="5070">
      <c r="A5070" t="inlineStr">
        <is>
          <t>2025-12-22</t>
        </is>
      </c>
      <c r="B5070" t="inlineStr">
        <is>
          <t>氧化铝</t>
        </is>
      </c>
      <c r="C5070" t="inlineStr">
        <is>
          <t>空</t>
        </is>
      </c>
      <c r="D5070" t="n">
        <v>3</v>
      </c>
      <c r="E5070" t="n">
        <v>6</v>
      </c>
      <c r="F5070" t="inlineStr">
        <is>
          <t>开仓</t>
        </is>
      </c>
      <c r="G5070" t="n">
        <v>8</v>
      </c>
      <c r="H5070" t="n">
        <v>2508</v>
      </c>
      <c r="I5070" t="n">
        <v>2676.43</v>
      </c>
      <c r="J5070" t="n">
        <v>3</v>
      </c>
      <c r="K5070" t="inlineStr">
        <is>
          <t>¼凯利超上限，取3%</t>
        </is>
      </c>
    </row>
    <row r="5071">
      <c r="A5071" t="inlineStr">
        <is>
          <t>2025-12-22</t>
        </is>
      </c>
      <c r="B5071" t="inlineStr">
        <is>
          <t>沪银</t>
        </is>
      </c>
      <c r="C5071" t="inlineStr">
        <is>
          <t>多</t>
        </is>
      </c>
      <c r="D5071" t="n">
        <v>3</v>
      </c>
      <c r="E5071" t="n">
        <v>6</v>
      </c>
      <c r="F5071" t="inlineStr">
        <is>
          <t>不做</t>
        </is>
      </c>
      <c r="H5071" t="n">
        <v>16210</v>
      </c>
      <c r="J5071" t="n">
        <v>1</v>
      </c>
      <c r="K5071" t="inlineStr">
        <is>
          <t>1手风险26897元超过预算10000元</t>
        </is>
      </c>
    </row>
    <row r="5072">
      <c r="A5072" t="inlineStr">
        <is>
          <t>2025-12-22</t>
        </is>
      </c>
      <c r="B5072" t="inlineStr">
        <is>
          <t>玻璃</t>
        </is>
      </c>
      <c r="C5072" t="inlineStr">
        <is>
          <t>空</t>
        </is>
      </c>
      <c r="D5072" t="n">
        <v>3</v>
      </c>
      <c r="E5072" t="n">
        <v>6</v>
      </c>
      <c r="F5072" t="inlineStr">
        <is>
          <t>续持</t>
        </is>
      </c>
      <c r="G5072" t="n">
        <v>20</v>
      </c>
      <c r="H5072" t="n">
        <v>1031</v>
      </c>
      <c r="I5072" t="n">
        <v>1094.71</v>
      </c>
      <c r="J5072" t="n">
        <v>3</v>
      </c>
      <c r="K5072" t="inlineStr">
        <is>
          <t>续持原仓（2025-12-19开）</t>
        </is>
      </c>
    </row>
    <row r="5073">
      <c r="A5073" t="inlineStr">
        <is>
          <t>2025-12-22</t>
        </is>
      </c>
      <c r="B5073" t="inlineStr">
        <is>
          <t>豆粕</t>
        </is>
      </c>
      <c r="C5073" t="inlineStr">
        <is>
          <t>空</t>
        </is>
      </c>
      <c r="D5073" t="n">
        <v>2</v>
      </c>
      <c r="E5073" t="n">
        <v>5</v>
      </c>
      <c r="F5073" t="inlineStr">
        <is>
          <t>影子仓</t>
        </is>
      </c>
      <c r="G5073" t="n">
        <v>10</v>
      </c>
      <c r="H5073" t="n">
        <v>2741</v>
      </c>
      <c r="I5073" t="n">
        <v>2832.5</v>
      </c>
      <c r="J5073" t="n">
        <v>1</v>
      </c>
      <c r="K5073" t="inlineStr">
        <is>
          <t>凯利≤0，开1%影子仓（只统计，不计入组合）</t>
        </is>
      </c>
    </row>
    <row r="5074">
      <c r="A5074" t="inlineStr">
        <is>
          <t>2025-12-22</t>
        </is>
      </c>
      <c r="B5074" t="inlineStr">
        <is>
          <t>锰硅</t>
        </is>
      </c>
      <c r="C5074" t="inlineStr">
        <is>
          <t>多</t>
        </is>
      </c>
      <c r="D5074" t="n">
        <v>2</v>
      </c>
      <c r="E5074" t="n">
        <v>5</v>
      </c>
      <c r="F5074" t="inlineStr">
        <is>
          <t>续持</t>
        </is>
      </c>
      <c r="G5074" t="n">
        <v>29</v>
      </c>
      <c r="H5074" t="n">
        <v>5840</v>
      </c>
      <c r="I5074" t="n">
        <v>5681.43</v>
      </c>
      <c r="J5074" t="n">
        <v>3</v>
      </c>
      <c r="K5074" t="inlineStr">
        <is>
          <t>续持原仓（2025-12-17开）</t>
        </is>
      </c>
    </row>
    <row r="5075">
      <c r="A5075" t="inlineStr">
        <is>
          <t>2025-12-22</t>
        </is>
      </c>
      <c r="B5075" t="inlineStr">
        <is>
          <t>沪铝</t>
        </is>
      </c>
      <c r="C5075" t="inlineStr">
        <is>
          <t>多</t>
        </is>
      </c>
      <c r="D5075" t="n">
        <v>2</v>
      </c>
      <c r="E5075" t="n">
        <v>5</v>
      </c>
      <c r="F5075" t="inlineStr">
        <is>
          <t>影子仓</t>
        </is>
      </c>
      <c r="G5075" t="n">
        <v>2</v>
      </c>
      <c r="H5075" t="n">
        <v>22220</v>
      </c>
      <c r="I5075" t="n">
        <v>21262.14</v>
      </c>
      <c r="J5075" t="n">
        <v>1</v>
      </c>
      <c r="K5075" t="inlineStr">
        <is>
          <t>凯利≤0，开1%影子仓（只统计，不计入组合）</t>
        </is>
      </c>
    </row>
    <row r="5076">
      <c r="A5076" t="inlineStr">
        <is>
          <t>2025-12-22</t>
        </is>
      </c>
      <c r="B5076" t="inlineStr">
        <is>
          <t>鸡蛋</t>
        </is>
      </c>
      <c r="C5076" t="inlineStr">
        <is>
          <t>空</t>
        </is>
      </c>
      <c r="D5076" t="n">
        <v>2</v>
      </c>
      <c r="E5076" t="n">
        <v>5</v>
      </c>
      <c r="F5076" t="inlineStr">
        <is>
          <t>影子仓</t>
        </is>
      </c>
      <c r="G5076" t="n">
        <v>7</v>
      </c>
      <c r="H5076" t="n">
        <v>2888</v>
      </c>
      <c r="I5076" t="n">
        <v>3019.14</v>
      </c>
      <c r="J5076" t="n">
        <v>1</v>
      </c>
      <c r="K5076" t="inlineStr">
        <is>
          <t>凯利≤0，开1%影子仓（只统计，不计入组合）</t>
        </is>
      </c>
    </row>
    <row r="5077">
      <c r="A5077" t="inlineStr">
        <is>
          <t>2025-12-22</t>
        </is>
      </c>
      <c r="B5077" t="inlineStr">
        <is>
          <t>工业硅</t>
        </is>
      </c>
      <c r="C5077" t="inlineStr">
        <is>
          <t>空</t>
        </is>
      </c>
      <c r="D5077" t="n">
        <v>2</v>
      </c>
      <c r="E5077" t="n">
        <v>4</v>
      </c>
      <c r="F5077" t="inlineStr">
        <is>
          <t>观望</t>
        </is>
      </c>
      <c r="G5077" t="n">
        <v>3</v>
      </c>
      <c r="H5077" t="n">
        <v>8595</v>
      </c>
      <c r="I5077" t="n">
        <v>9222.860000000001</v>
      </c>
      <c r="J5077" t="n">
        <v>1</v>
      </c>
      <c r="K5077" t="inlineStr">
        <is>
          <t>逆5日线（收盘在5日线上，不追空）</t>
        </is>
      </c>
    </row>
    <row r="5078">
      <c r="A5078" t="inlineStr">
        <is>
          <t>2025-12-23</t>
        </is>
      </c>
      <c r="B5078" t="inlineStr">
        <is>
          <t>棉花</t>
        </is>
      </c>
      <c r="C5078" t="inlineStr">
        <is>
          <t>多</t>
        </is>
      </c>
      <c r="D5078" t="n">
        <v>3</v>
      </c>
      <c r="E5078" t="n">
        <v>7</v>
      </c>
      <c r="F5078" t="inlineStr">
        <is>
          <t>开仓</t>
        </is>
      </c>
      <c r="G5078" t="n">
        <v>18</v>
      </c>
      <c r="H5078" t="n">
        <v>14140</v>
      </c>
      <c r="I5078" t="n">
        <v>13813.21</v>
      </c>
      <c r="J5078" t="n">
        <v>3</v>
      </c>
      <c r="K5078" t="inlineStr">
        <is>
          <t>¼凯利超上限，取3%</t>
        </is>
      </c>
    </row>
    <row r="5079">
      <c r="A5079" t="inlineStr">
        <is>
          <t>2025-12-23</t>
        </is>
      </c>
      <c r="B5079" t="inlineStr">
        <is>
          <t>沪金</t>
        </is>
      </c>
      <c r="C5079" t="inlineStr">
        <is>
          <t>多</t>
        </is>
      </c>
      <c r="D5079" t="n">
        <v>3</v>
      </c>
      <c r="E5079" t="n">
        <v>6</v>
      </c>
      <c r="F5079" t="inlineStr">
        <is>
          <t>不做</t>
        </is>
      </c>
      <c r="H5079" t="n">
        <v>1014.24</v>
      </c>
      <c r="J5079" t="n">
        <v>1</v>
      </c>
      <c r="K5079" t="inlineStr">
        <is>
          <t>1手风险42210元超过预算10000元</t>
        </is>
      </c>
    </row>
    <row r="5080">
      <c r="A5080" t="inlineStr">
        <is>
          <t>2025-12-23</t>
        </is>
      </c>
      <c r="B5080" t="inlineStr">
        <is>
          <t>沪银</t>
        </is>
      </c>
      <c r="C5080" t="inlineStr">
        <is>
          <t>多</t>
        </is>
      </c>
      <c r="D5080" t="n">
        <v>3</v>
      </c>
      <c r="E5080" t="n">
        <v>6</v>
      </c>
      <c r="F5080" t="inlineStr">
        <is>
          <t>不做</t>
        </is>
      </c>
      <c r="H5080" t="n">
        <v>16441</v>
      </c>
      <c r="J5080" t="n">
        <v>1</v>
      </c>
      <c r="K5080" t="inlineStr">
        <is>
          <t>1手风险27032元超过预算10000元</t>
        </is>
      </c>
    </row>
    <row r="5081">
      <c r="A5081" t="inlineStr">
        <is>
          <t>2025-12-23</t>
        </is>
      </c>
      <c r="B5081" t="inlineStr">
        <is>
          <t>氧化铝</t>
        </is>
      </c>
      <c r="C5081" t="inlineStr">
        <is>
          <t>空</t>
        </is>
      </c>
      <c r="D5081" t="n">
        <v>2</v>
      </c>
      <c r="E5081" t="n">
        <v>5</v>
      </c>
      <c r="F5081" t="inlineStr">
        <is>
          <t>续持</t>
        </is>
      </c>
      <c r="G5081" t="n">
        <v>8</v>
      </c>
      <c r="H5081" t="n">
        <v>2530</v>
      </c>
      <c r="I5081" t="n">
        <v>2673.43</v>
      </c>
      <c r="J5081" t="n">
        <v>3</v>
      </c>
      <c r="K5081" t="inlineStr">
        <is>
          <t>续持原仓（2025-12-22开）</t>
        </is>
      </c>
    </row>
    <row r="5082">
      <c r="A5082" t="inlineStr">
        <is>
          <t>2025-12-23</t>
        </is>
      </c>
      <c r="B5082" t="inlineStr">
        <is>
          <t>锰硅</t>
        </is>
      </c>
      <c r="C5082" t="inlineStr">
        <is>
          <t>多</t>
        </is>
      </c>
      <c r="D5082" t="n">
        <v>2</v>
      </c>
      <c r="E5082" t="n">
        <v>5</v>
      </c>
      <c r="F5082" t="inlineStr">
        <is>
          <t>续持</t>
        </is>
      </c>
      <c r="G5082" t="n">
        <v>29</v>
      </c>
      <c r="H5082" t="n">
        <v>5822</v>
      </c>
      <c r="I5082" t="n">
        <v>5681.43</v>
      </c>
      <c r="J5082" t="n">
        <v>3</v>
      </c>
      <c r="K5082" t="inlineStr">
        <is>
          <t>续持原仓（2025-12-17开）</t>
        </is>
      </c>
    </row>
    <row r="5083">
      <c r="A5083" t="inlineStr">
        <is>
          <t>2025-12-23</t>
        </is>
      </c>
      <c r="B5083" t="inlineStr">
        <is>
          <t>沪锌</t>
        </is>
      </c>
      <c r="C5083" t="inlineStr">
        <is>
          <t>多</t>
        </is>
      </c>
      <c r="D5083" t="n">
        <v>2</v>
      </c>
      <c r="E5083" t="n">
        <v>4</v>
      </c>
      <c r="F5083" t="inlineStr">
        <is>
          <t>影子仓</t>
        </is>
      </c>
      <c r="G5083" t="n">
        <v>2</v>
      </c>
      <c r="H5083" t="n">
        <v>23090</v>
      </c>
      <c r="I5083" t="n">
        <v>22151.43</v>
      </c>
      <c r="J5083" t="n">
        <v>1</v>
      </c>
      <c r="K5083" t="inlineStr">
        <is>
          <t>凯利≤0，开1%影子仓（只统计，不计入组合）</t>
        </is>
      </c>
    </row>
    <row r="5084">
      <c r="A5084" t="inlineStr">
        <is>
          <t>2025-12-24</t>
        </is>
      </c>
      <c r="B5084" t="inlineStr">
        <is>
          <t>豆粕</t>
        </is>
      </c>
      <c r="C5084" t="inlineStr">
        <is>
          <t>空</t>
        </is>
      </c>
      <c r="D5084" t="n">
        <v>3</v>
      </c>
      <c r="E5084" t="n">
        <v>6</v>
      </c>
      <c r="F5084" t="inlineStr">
        <is>
          <t>开仓</t>
        </is>
      </c>
      <c r="G5084" t="n">
        <v>11</v>
      </c>
      <c r="H5084" t="n">
        <v>2728</v>
      </c>
      <c r="I5084" t="n">
        <v>2815</v>
      </c>
      <c r="J5084" t="n">
        <v>1</v>
      </c>
      <c r="K5084" t="inlineStr">
        <is>
          <t>组合风险已近10%，预算缩小</t>
        </is>
      </c>
    </row>
    <row r="5085">
      <c r="A5085" t="inlineStr">
        <is>
          <t>2025-12-24</t>
        </is>
      </c>
      <c r="B5085" t="inlineStr">
        <is>
          <t>棉花</t>
        </is>
      </c>
      <c r="C5085" t="inlineStr">
        <is>
          <t>多</t>
        </is>
      </c>
      <c r="D5085" t="n">
        <v>3</v>
      </c>
      <c r="E5085" t="n">
        <v>6</v>
      </c>
      <c r="F5085" t="inlineStr">
        <is>
          <t>续持</t>
        </is>
      </c>
      <c r="G5085" t="n">
        <v>18</v>
      </c>
      <c r="H5085" t="n">
        <v>14180</v>
      </c>
      <c r="I5085" t="n">
        <v>13860.71</v>
      </c>
      <c r="J5085" t="n">
        <v>3</v>
      </c>
      <c r="K5085" t="inlineStr">
        <is>
          <t>续持原仓（2025-12-23开）</t>
        </is>
      </c>
    </row>
    <row r="5086">
      <c r="A5086" t="inlineStr">
        <is>
          <t>2025-12-24</t>
        </is>
      </c>
      <c r="B5086" t="inlineStr">
        <is>
          <t>沪金</t>
        </is>
      </c>
      <c r="C5086" t="inlineStr">
        <is>
          <t>多</t>
        </is>
      </c>
      <c r="D5086" t="n">
        <v>2</v>
      </c>
      <c r="E5086" t="n">
        <v>5</v>
      </c>
      <c r="F5086" t="inlineStr">
        <is>
          <t>不做</t>
        </is>
      </c>
      <c r="H5086" t="n">
        <v>1014.68</v>
      </c>
      <c r="J5086" t="n">
        <v>1</v>
      </c>
      <c r="K5086" t="inlineStr">
        <is>
          <t>1手风险43933元超过预算10000元</t>
        </is>
      </c>
    </row>
    <row r="5087">
      <c r="A5087" t="inlineStr">
        <is>
          <t>2025-12-24</t>
        </is>
      </c>
      <c r="B5087" t="inlineStr">
        <is>
          <t>鸡蛋</t>
        </is>
      </c>
      <c r="C5087" t="inlineStr">
        <is>
          <t>空</t>
        </is>
      </c>
      <c r="D5087" t="n">
        <v>2</v>
      </c>
      <c r="E5087" t="n">
        <v>5</v>
      </c>
      <c r="F5087" t="inlineStr">
        <is>
          <t>观望</t>
        </is>
      </c>
      <c r="G5087" t="n">
        <v>7</v>
      </c>
      <c r="H5087" t="n">
        <v>2947</v>
      </c>
      <c r="I5087" t="n">
        <v>3075.36</v>
      </c>
      <c r="J5087" t="n">
        <v>1</v>
      </c>
      <c r="K5087" t="inlineStr">
        <is>
          <t>逆5日线（收盘在5日线上，不追空）</t>
        </is>
      </c>
    </row>
    <row r="5088">
      <c r="A5088" t="inlineStr">
        <is>
          <t>2025-12-24</t>
        </is>
      </c>
      <c r="B5088" t="inlineStr">
        <is>
          <t>锰硅</t>
        </is>
      </c>
      <c r="C5088" t="inlineStr">
        <is>
          <t>多</t>
        </is>
      </c>
      <c r="D5088" t="n">
        <v>2</v>
      </c>
      <c r="E5088" t="n">
        <v>5</v>
      </c>
      <c r="F5088" t="inlineStr">
        <is>
          <t>续持</t>
        </is>
      </c>
      <c r="G5088" t="n">
        <v>29</v>
      </c>
      <c r="H5088" t="n">
        <v>5832</v>
      </c>
      <c r="I5088" t="n">
        <v>5684</v>
      </c>
      <c r="J5088" t="n">
        <v>3</v>
      </c>
      <c r="K5088" t="inlineStr">
        <is>
          <t>续持原仓（2025-12-17开）</t>
        </is>
      </c>
    </row>
    <row r="5089">
      <c r="A5089" t="inlineStr">
        <is>
          <t>2025-12-24</t>
        </is>
      </c>
      <c r="B5089" t="inlineStr">
        <is>
          <t>PVC</t>
        </is>
      </c>
      <c r="C5089" t="inlineStr">
        <is>
          <t>多</t>
        </is>
      </c>
      <c r="D5089" t="n">
        <v>2</v>
      </c>
      <c r="E5089" t="n">
        <v>4</v>
      </c>
      <c r="F5089" t="inlineStr">
        <is>
          <t>影子仓</t>
        </is>
      </c>
      <c r="G5089" t="n">
        <v>7</v>
      </c>
      <c r="H5089" t="n">
        <v>4781</v>
      </c>
      <c r="I5089" t="n">
        <v>4522.36</v>
      </c>
      <c r="J5089" t="n">
        <v>1</v>
      </c>
      <c r="K5089" t="inlineStr">
        <is>
          <t>凯利≤0，开1%影子仓（只统计，不计入组合）</t>
        </is>
      </c>
    </row>
    <row r="5090">
      <c r="A5090" t="inlineStr">
        <is>
          <t>2025-12-24</t>
        </is>
      </c>
      <c r="B5090" t="inlineStr">
        <is>
          <t>工业硅</t>
        </is>
      </c>
      <c r="C5090" t="inlineStr">
        <is>
          <t>多</t>
        </is>
      </c>
      <c r="D5090" t="n">
        <v>2</v>
      </c>
      <c r="E5090" t="n">
        <v>4</v>
      </c>
      <c r="F5090" t="inlineStr">
        <is>
          <t>影子仓</t>
        </is>
      </c>
      <c r="G5090" t="n">
        <v>2</v>
      </c>
      <c r="H5090" t="n">
        <v>8860</v>
      </c>
      <c r="I5090" t="n">
        <v>8190.36</v>
      </c>
      <c r="J5090" t="n">
        <v>1</v>
      </c>
      <c r="K5090" t="inlineStr">
        <is>
          <t>凯利≤0，开1%影子仓（只统计，不计入组合）</t>
        </is>
      </c>
    </row>
    <row r="5091">
      <c r="A5091" t="inlineStr">
        <is>
          <t>2025-12-25</t>
        </is>
      </c>
      <c r="B5091" t="inlineStr">
        <is>
          <t>塑料</t>
        </is>
      </c>
      <c r="C5091" t="inlineStr">
        <is>
          <t>空</t>
        </is>
      </c>
      <c r="D5091" t="n">
        <v>3</v>
      </c>
      <c r="E5091" t="n">
        <v>7</v>
      </c>
      <c r="F5091" t="inlineStr">
        <is>
          <t>观望</t>
        </is>
      </c>
      <c r="H5091" t="n">
        <v>6390</v>
      </c>
      <c r="J5091" t="n">
        <v>0</v>
      </c>
      <c r="K5091" t="inlineStr">
        <is>
          <t>逆5日线（收盘在5日线上，不追空）</t>
        </is>
      </c>
    </row>
    <row r="5092">
      <c r="A5092" t="inlineStr">
        <is>
          <t>2025-12-25</t>
        </is>
      </c>
      <c r="B5092" t="inlineStr">
        <is>
          <t>棉花</t>
        </is>
      </c>
      <c r="C5092" t="inlineStr">
        <is>
          <t>多</t>
        </is>
      </c>
      <c r="D5092" t="n">
        <v>3</v>
      </c>
      <c r="E5092" t="n">
        <v>7</v>
      </c>
      <c r="F5092" t="inlineStr">
        <is>
          <t>续持</t>
        </is>
      </c>
      <c r="G5092" t="n">
        <v>18</v>
      </c>
      <c r="H5092" t="n">
        <v>14255</v>
      </c>
      <c r="I5092" t="n">
        <v>13921.07</v>
      </c>
      <c r="J5092" t="n">
        <v>3</v>
      </c>
      <c r="K5092" t="inlineStr">
        <is>
          <t>续持原仓（2025-12-23开）</t>
        </is>
      </c>
    </row>
    <row r="5093">
      <c r="A5093" t="inlineStr">
        <is>
          <t>2025-12-25</t>
        </is>
      </c>
      <c r="B5093" t="inlineStr">
        <is>
          <t>沪铜</t>
        </is>
      </c>
      <c r="C5093" t="inlineStr">
        <is>
          <t>多</t>
        </is>
      </c>
      <c r="D5093" t="n">
        <v>3</v>
      </c>
      <c r="E5093" t="n">
        <v>6</v>
      </c>
      <c r="F5093" t="inlineStr">
        <is>
          <t>不做</t>
        </is>
      </c>
      <c r="H5093" t="n">
        <v>96210</v>
      </c>
      <c r="J5093" t="n">
        <v>0</v>
      </c>
      <c r="K5093" t="inlineStr">
        <is>
          <t>组合风险已近10%，预算缩小</t>
        </is>
      </c>
    </row>
    <row r="5094">
      <c r="A5094" t="inlineStr">
        <is>
          <t>2025-12-25</t>
        </is>
      </c>
      <c r="B5094" t="inlineStr">
        <is>
          <t>沪铝</t>
        </is>
      </c>
      <c r="C5094" t="inlineStr">
        <is>
          <t>多</t>
        </is>
      </c>
      <c r="D5094" t="n">
        <v>3</v>
      </c>
      <c r="E5094" t="n">
        <v>6</v>
      </c>
      <c r="F5094" t="inlineStr">
        <is>
          <t>不做</t>
        </is>
      </c>
      <c r="H5094" t="n">
        <v>22275</v>
      </c>
      <c r="J5094" t="n">
        <v>0</v>
      </c>
      <c r="K5094" t="inlineStr">
        <is>
          <t>组合风险已近10%，预算缩小</t>
        </is>
      </c>
    </row>
    <row r="5095">
      <c r="A5095" t="inlineStr">
        <is>
          <t>2025-12-25</t>
        </is>
      </c>
      <c r="B5095" t="inlineStr">
        <is>
          <t>豆油</t>
        </is>
      </c>
      <c r="C5095" t="inlineStr">
        <is>
          <t>空</t>
        </is>
      </c>
      <c r="D5095" t="n">
        <v>2</v>
      </c>
      <c r="E5095" t="n">
        <v>5</v>
      </c>
      <c r="F5095" t="inlineStr">
        <is>
          <t>观望</t>
        </is>
      </c>
      <c r="G5095" t="n">
        <v>4</v>
      </c>
      <c r="H5095" t="n">
        <v>7824</v>
      </c>
      <c r="I5095" t="n">
        <v>8050.71</v>
      </c>
      <c r="J5095" t="n">
        <v>1</v>
      </c>
      <c r="K5095" t="inlineStr">
        <is>
          <t>逆5日线（收盘在5日线上，不追空）</t>
        </is>
      </c>
    </row>
    <row r="5096">
      <c r="A5096" t="inlineStr">
        <is>
          <t>2025-12-25</t>
        </is>
      </c>
      <c r="B5096" t="inlineStr">
        <is>
          <t>鸡蛋</t>
        </is>
      </c>
      <c r="C5096" t="inlineStr">
        <is>
          <t>空</t>
        </is>
      </c>
      <c r="D5096" t="n">
        <v>2</v>
      </c>
      <c r="E5096" t="n">
        <v>5</v>
      </c>
      <c r="F5096" t="inlineStr">
        <is>
          <t>观望</t>
        </is>
      </c>
      <c r="G5096" t="n">
        <v>7</v>
      </c>
      <c r="H5096" t="n">
        <v>2975</v>
      </c>
      <c r="I5096" t="n">
        <v>3105.29</v>
      </c>
      <c r="J5096" t="n">
        <v>1</v>
      </c>
      <c r="K5096" t="inlineStr">
        <is>
          <t>逆5日线（收盘在5日线上，不追空）</t>
        </is>
      </c>
    </row>
    <row r="5097">
      <c r="A5097" t="inlineStr">
        <is>
          <t>2025-12-26</t>
        </is>
      </c>
      <c r="B5097" t="inlineStr">
        <is>
          <t>沪金</t>
        </is>
      </c>
      <c r="C5097" t="inlineStr">
        <is>
          <t>多</t>
        </is>
      </c>
      <c r="D5097" t="n">
        <v>3</v>
      </c>
      <c r="E5097" t="n">
        <v>7</v>
      </c>
      <c r="F5097" t="inlineStr">
        <is>
          <t>不做</t>
        </is>
      </c>
      <c r="H5097" t="n">
        <v>1016.3</v>
      </c>
      <c r="J5097" t="n">
        <v>3</v>
      </c>
      <c r="K5097" t="inlineStr">
        <is>
          <t>1手风险45103元超过预算30000元</t>
        </is>
      </c>
    </row>
    <row r="5098">
      <c r="A5098" t="inlineStr">
        <is>
          <t>2025-12-26</t>
        </is>
      </c>
      <c r="B5098" t="inlineStr">
        <is>
          <t>PTA</t>
        </is>
      </c>
      <c r="C5098" t="inlineStr">
        <is>
          <t>多</t>
        </is>
      </c>
      <c r="D5098" t="n">
        <v>3</v>
      </c>
      <c r="E5098" t="n">
        <v>7</v>
      </c>
      <c r="F5098" t="inlineStr">
        <is>
          <t>开仓</t>
        </is>
      </c>
      <c r="G5098" t="n">
        <v>21</v>
      </c>
      <c r="H5098" t="n">
        <v>5280</v>
      </c>
      <c r="I5098" t="n">
        <v>5001</v>
      </c>
      <c r="J5098" t="n">
        <v>3</v>
      </c>
      <c r="K5098" t="inlineStr">
        <is>
          <t>¼凯利超上限，取3%</t>
        </is>
      </c>
    </row>
    <row r="5099">
      <c r="A5099" t="inlineStr">
        <is>
          <t>2025-12-26</t>
        </is>
      </c>
      <c r="B5099" t="inlineStr">
        <is>
          <t>豆油</t>
        </is>
      </c>
      <c r="C5099" t="inlineStr">
        <is>
          <t>空</t>
        </is>
      </c>
      <c r="D5099" t="n">
        <v>3</v>
      </c>
      <c r="E5099" t="n">
        <v>6</v>
      </c>
      <c r="F5099" t="inlineStr">
        <is>
          <t>观望</t>
        </is>
      </c>
      <c r="G5099" t="n">
        <v>13</v>
      </c>
      <c r="H5099" t="n">
        <v>7836</v>
      </c>
      <c r="I5099" t="n">
        <v>8051.57</v>
      </c>
      <c r="J5099" t="n">
        <v>3</v>
      </c>
      <c r="K5099" t="inlineStr">
        <is>
          <t>逆5日线（收盘在5日线上，不追空）</t>
        </is>
      </c>
    </row>
    <row r="5100">
      <c r="A5100" t="inlineStr">
        <is>
          <t>2025-12-26</t>
        </is>
      </c>
      <c r="B5100" t="inlineStr">
        <is>
          <t>鸡蛋</t>
        </is>
      </c>
      <c r="C5100" t="inlineStr">
        <is>
          <t>空</t>
        </is>
      </c>
      <c r="D5100" t="n">
        <v>2</v>
      </c>
      <c r="E5100" t="n">
        <v>5</v>
      </c>
      <c r="F5100" t="inlineStr">
        <is>
          <t>观望</t>
        </is>
      </c>
      <c r="G5100" t="n">
        <v>8</v>
      </c>
      <c r="H5100" t="n">
        <v>2988</v>
      </c>
      <c r="I5100" t="n">
        <v>3112.93</v>
      </c>
      <c r="J5100" t="n">
        <v>1</v>
      </c>
      <c r="K5100" t="inlineStr">
        <is>
          <t>逆5日线（收盘在5日线上，不追空）</t>
        </is>
      </c>
    </row>
    <row r="5101">
      <c r="A5101" t="inlineStr">
        <is>
          <t>2025-12-26</t>
        </is>
      </c>
      <c r="B5101" t="inlineStr">
        <is>
          <t>塑料</t>
        </is>
      </c>
      <c r="C5101" t="inlineStr">
        <is>
          <t>空</t>
        </is>
      </c>
      <c r="D5101" t="n">
        <v>2</v>
      </c>
      <c r="E5101" t="n">
        <v>4</v>
      </c>
      <c r="F5101" t="inlineStr">
        <is>
          <t>观望</t>
        </is>
      </c>
      <c r="G5101" t="n">
        <v>6</v>
      </c>
      <c r="H5101" t="n">
        <v>6465</v>
      </c>
      <c r="I5101" t="n">
        <v>6776.79</v>
      </c>
      <c r="J5101" t="n">
        <v>1</v>
      </c>
      <c r="K5101" t="inlineStr">
        <is>
          <t>逆5日线（收盘在5日线上，不追空）</t>
        </is>
      </c>
    </row>
    <row r="5102">
      <c r="A5102" t="inlineStr">
        <is>
          <t>2025-12-29</t>
        </is>
      </c>
      <c r="B5102" t="inlineStr">
        <is>
          <t>豆油</t>
        </is>
      </c>
      <c r="C5102" t="inlineStr">
        <is>
          <t>空</t>
        </is>
      </c>
      <c r="D5102" t="n">
        <v>3</v>
      </c>
      <c r="E5102" t="n">
        <v>6</v>
      </c>
      <c r="F5102" t="inlineStr">
        <is>
          <t>观望</t>
        </is>
      </c>
      <c r="G5102" t="n">
        <v>14</v>
      </c>
      <c r="H5102" t="n">
        <v>7818</v>
      </c>
      <c r="I5102" t="n">
        <v>8030.57</v>
      </c>
      <c r="J5102" t="n">
        <v>3</v>
      </c>
      <c r="K5102" t="inlineStr">
        <is>
          <t>逆5日线（收盘在5日线上，不追空）</t>
        </is>
      </c>
    </row>
    <row r="5103">
      <c r="A5103" t="inlineStr">
        <is>
          <t>2025-12-29</t>
        </is>
      </c>
      <c r="B5103" t="inlineStr">
        <is>
          <t>锰硅</t>
        </is>
      </c>
      <c r="C5103" t="inlineStr">
        <is>
          <t>多</t>
        </is>
      </c>
      <c r="D5103" t="n">
        <v>2</v>
      </c>
      <c r="E5103" t="n">
        <v>5</v>
      </c>
      <c r="F5103" t="inlineStr">
        <is>
          <t>续持</t>
        </is>
      </c>
      <c r="G5103" t="n">
        <v>29</v>
      </c>
      <c r="H5103" t="n">
        <v>5862</v>
      </c>
      <c r="I5103" t="n">
        <v>5752.57</v>
      </c>
      <c r="J5103" t="n">
        <v>3</v>
      </c>
      <c r="K5103" t="inlineStr">
        <is>
          <t>续持原仓（2025-12-17开）</t>
        </is>
      </c>
    </row>
    <row r="5104">
      <c r="A5104" t="inlineStr">
        <is>
          <t>2025-12-29</t>
        </is>
      </c>
      <c r="B5104" t="inlineStr">
        <is>
          <t>沪锌</t>
        </is>
      </c>
      <c r="C5104" t="inlineStr">
        <is>
          <t>多</t>
        </is>
      </c>
      <c r="D5104" t="n">
        <v>2</v>
      </c>
      <c r="E5104" t="n">
        <v>4</v>
      </c>
      <c r="F5104" t="inlineStr">
        <is>
          <t>续持</t>
        </is>
      </c>
      <c r="G5104" t="n">
        <v>2</v>
      </c>
      <c r="H5104" t="n">
        <v>23255</v>
      </c>
      <c r="I5104" t="n">
        <v>22570</v>
      </c>
      <c r="J5104" t="n">
        <v>1</v>
      </c>
      <c r="K5104" t="inlineStr">
        <is>
          <t>续持原仓（2025-12-23开）</t>
        </is>
      </c>
    </row>
    <row r="5105">
      <c r="A5105" t="inlineStr">
        <is>
          <t>2025-12-30</t>
        </is>
      </c>
      <c r="B5105" t="inlineStr">
        <is>
          <t>豆粕</t>
        </is>
      </c>
      <c r="C5105" t="inlineStr">
        <is>
          <t>空</t>
        </is>
      </c>
      <c r="D5105" t="n">
        <v>3</v>
      </c>
      <c r="E5105" t="n">
        <v>6</v>
      </c>
      <c r="F5105" t="inlineStr">
        <is>
          <t>观望</t>
        </is>
      </c>
      <c r="G5105" t="n">
        <v>34</v>
      </c>
      <c r="H5105" t="n">
        <v>2778</v>
      </c>
      <c r="I5105" t="n">
        <v>2865.21</v>
      </c>
      <c r="J5105" t="n">
        <v>3</v>
      </c>
      <c r="K5105" t="inlineStr">
        <is>
          <t>逆5日线（收盘在5日线上，不追空）</t>
        </is>
      </c>
    </row>
    <row r="5106">
      <c r="A5106" t="inlineStr">
        <is>
          <t>2025-12-30</t>
        </is>
      </c>
      <c r="B5106" t="inlineStr">
        <is>
          <t>塑料</t>
        </is>
      </c>
      <c r="C5106" t="inlineStr">
        <is>
          <t>空</t>
        </is>
      </c>
      <c r="D5106" t="n">
        <v>3</v>
      </c>
      <c r="E5106" t="n">
        <v>6</v>
      </c>
      <c r="F5106" t="inlineStr">
        <is>
          <t>观望</t>
        </is>
      </c>
      <c r="G5106" t="n">
        <v>19</v>
      </c>
      <c r="H5106" t="n">
        <v>6461</v>
      </c>
      <c r="I5106" t="n">
        <v>6762.93</v>
      </c>
      <c r="J5106" t="n">
        <v>3</v>
      </c>
      <c r="K5106" t="inlineStr">
        <is>
          <t>逆5日线（收盘在5日线上，不追空）</t>
        </is>
      </c>
    </row>
    <row r="5107">
      <c r="A5107" t="inlineStr">
        <is>
          <t>2025-12-30</t>
        </is>
      </c>
      <c r="B5107" t="inlineStr">
        <is>
          <t>棉花</t>
        </is>
      </c>
      <c r="C5107" t="inlineStr">
        <is>
          <t>多</t>
        </is>
      </c>
      <c r="D5107" t="n">
        <v>3</v>
      </c>
      <c r="E5107" t="n">
        <v>6</v>
      </c>
      <c r="F5107" t="inlineStr">
        <is>
          <t>开仓</t>
        </is>
      </c>
      <c r="G5107" t="n">
        <v>12</v>
      </c>
      <c r="H5107" t="n">
        <v>14560</v>
      </c>
      <c r="I5107" t="n">
        <v>14087.5</v>
      </c>
      <c r="J5107" t="n">
        <v>3</v>
      </c>
      <c r="K5107" t="inlineStr">
        <is>
          <t>¼凯利超上限，取3%</t>
        </is>
      </c>
    </row>
    <row r="5108">
      <c r="A5108" t="inlineStr">
        <is>
          <t>2025-12-30</t>
        </is>
      </c>
      <c r="B5108" t="inlineStr">
        <is>
          <t>对二甲苯</t>
        </is>
      </c>
      <c r="C5108" t="inlineStr">
        <is>
          <t>多</t>
        </is>
      </c>
      <c r="D5108" t="n">
        <v>3</v>
      </c>
      <c r="E5108" t="n">
        <v>6</v>
      </c>
      <c r="F5108" t="inlineStr">
        <is>
          <t>观望</t>
        </is>
      </c>
      <c r="H5108" t="n">
        <v>7316</v>
      </c>
      <c r="J5108" t="n">
        <v>0</v>
      </c>
      <c r="K5108" t="inlineStr">
        <is>
          <t>逆5日线（收盘在5日线下，不追多）</t>
        </is>
      </c>
    </row>
    <row r="5109">
      <c r="A5109" t="inlineStr">
        <is>
          <t>2025-12-30</t>
        </is>
      </c>
      <c r="B5109" t="inlineStr">
        <is>
          <t>鸡蛋</t>
        </is>
      </c>
      <c r="C5109" t="inlineStr">
        <is>
          <t>空</t>
        </is>
      </c>
      <c r="D5109" t="n">
        <v>2</v>
      </c>
      <c r="E5109" t="n">
        <v>5</v>
      </c>
      <c r="F5109" t="inlineStr">
        <is>
          <t>影子仓</t>
        </is>
      </c>
      <c r="G5109" t="n">
        <v>8</v>
      </c>
      <c r="H5109" t="n">
        <v>2962</v>
      </c>
      <c r="I5109" t="n">
        <v>3075.79</v>
      </c>
      <c r="J5109" t="n">
        <v>1</v>
      </c>
      <c r="K5109" t="inlineStr">
        <is>
          <t>凯利≤0，开1%影子仓（只统计，不计入组合）</t>
        </is>
      </c>
    </row>
    <row r="5110">
      <c r="A5110" t="inlineStr">
        <is>
          <t>2025-12-30</t>
        </is>
      </c>
      <c r="B5110" t="inlineStr">
        <is>
          <t>焦煤</t>
        </is>
      </c>
      <c r="C5110" t="inlineStr">
        <is>
          <t>多</t>
        </is>
      </c>
      <c r="D5110" t="n">
        <v>2</v>
      </c>
      <c r="E5110" t="n">
        <v>5</v>
      </c>
      <c r="F5110" t="inlineStr">
        <is>
          <t>影子仓</t>
        </is>
      </c>
      <c r="G5110" t="n">
        <v>1</v>
      </c>
      <c r="H5110" t="n">
        <v>1119.5</v>
      </c>
      <c r="I5110" t="n">
        <v>982.6799999999999</v>
      </c>
      <c r="J5110" t="n">
        <v>1</v>
      </c>
      <c r="K5110" t="inlineStr">
        <is>
          <t>凯利≤0，开1%影子仓（只统计，不计入组合）</t>
        </is>
      </c>
    </row>
    <row r="5111">
      <c r="A5111" t="inlineStr">
        <is>
          <t>2025-12-30</t>
        </is>
      </c>
      <c r="B5111" t="inlineStr">
        <is>
          <t>PTA</t>
        </is>
      </c>
      <c r="C5111" t="inlineStr">
        <is>
          <t>多</t>
        </is>
      </c>
      <c r="D5111" t="n">
        <v>2</v>
      </c>
      <c r="E5111" t="n">
        <v>5</v>
      </c>
      <c r="F5111" t="inlineStr">
        <is>
          <t>观望</t>
        </is>
      </c>
      <c r="G5111" t="n">
        <v>6</v>
      </c>
      <c r="H5111" t="n">
        <v>5144</v>
      </c>
      <c r="I5111" t="n">
        <v>4816.57</v>
      </c>
      <c r="J5111" t="n">
        <v>1</v>
      </c>
      <c r="K5111" t="inlineStr">
        <is>
          <t>逆5日线（收盘在5日线下，不追多）</t>
        </is>
      </c>
    </row>
    <row r="5112">
      <c r="A5112" t="inlineStr">
        <is>
          <t>2025-12-30</t>
        </is>
      </c>
      <c r="B5112" t="inlineStr">
        <is>
          <t>菜粕</t>
        </is>
      </c>
      <c r="C5112" t="inlineStr">
        <is>
          <t>多</t>
        </is>
      </c>
      <c r="D5112" t="n">
        <v>2</v>
      </c>
      <c r="E5112" t="n">
        <v>5</v>
      </c>
      <c r="F5112" t="inlineStr">
        <is>
          <t>影子仓</t>
        </is>
      </c>
      <c r="G5112" t="n">
        <v>10</v>
      </c>
      <c r="H5112" t="n">
        <v>2403</v>
      </c>
      <c r="I5112" t="n">
        <v>2305.93</v>
      </c>
      <c r="J5112" t="n">
        <v>1</v>
      </c>
      <c r="K5112" t="inlineStr">
        <is>
          <t>凯利≤0，开1%影子仓（只统计，不计入组合）</t>
        </is>
      </c>
    </row>
    <row r="5113">
      <c r="A5113" t="inlineStr">
        <is>
          <t>2025-12-30</t>
        </is>
      </c>
      <c r="B5113" t="inlineStr">
        <is>
          <t>沪银</t>
        </is>
      </c>
      <c r="C5113" t="inlineStr">
        <is>
          <t>空</t>
        </is>
      </c>
      <c r="D5113" t="n">
        <v>2</v>
      </c>
      <c r="E5113" t="n">
        <v>4</v>
      </c>
      <c r="F5113" t="inlineStr">
        <is>
          <t>观望</t>
        </is>
      </c>
      <c r="H5113" t="n">
        <v>18140</v>
      </c>
      <c r="J5113" t="n">
        <v>1</v>
      </c>
      <c r="K5113" t="inlineStr">
        <is>
          <t>逆5日线（收盘在5日线上，不追空）</t>
        </is>
      </c>
    </row>
    <row r="5114">
      <c r="A5114" t="inlineStr">
        <is>
          <t>2025-12-31</t>
        </is>
      </c>
      <c r="B5114" t="inlineStr">
        <is>
          <t>豆粕</t>
        </is>
      </c>
      <c r="C5114" t="inlineStr">
        <is>
          <t>空</t>
        </is>
      </c>
      <c r="D5114" t="n">
        <v>3</v>
      </c>
      <c r="E5114" t="n">
        <v>7</v>
      </c>
      <c r="F5114" t="inlineStr">
        <is>
          <t>开仓</t>
        </is>
      </c>
      <c r="G5114" t="n">
        <v>33</v>
      </c>
      <c r="H5114" t="n">
        <v>2749</v>
      </c>
      <c r="I5114" t="n">
        <v>2839.21</v>
      </c>
      <c r="J5114" t="n">
        <v>3</v>
      </c>
      <c r="K5114" t="inlineStr">
        <is>
          <t>¼凯利超上限，取3%</t>
        </is>
      </c>
    </row>
    <row r="5115">
      <c r="A5115" t="inlineStr">
        <is>
          <t>2025-12-31</t>
        </is>
      </c>
      <c r="B5115" t="inlineStr">
        <is>
          <t>棉花</t>
        </is>
      </c>
      <c r="C5115" t="inlineStr">
        <is>
          <t>多</t>
        </is>
      </c>
      <c r="D5115" t="n">
        <v>2</v>
      </c>
      <c r="E5115" t="n">
        <v>5</v>
      </c>
      <c r="F5115" t="inlineStr">
        <is>
          <t>续持</t>
        </is>
      </c>
      <c r="G5115" t="n">
        <v>12</v>
      </c>
      <c r="H5115" t="n">
        <v>14585</v>
      </c>
      <c r="I5115" t="n">
        <v>14166.43</v>
      </c>
      <c r="J5115" t="n">
        <v>3</v>
      </c>
      <c r="K5115" t="inlineStr">
        <is>
          <t>续持原仓（2025-12-30开）</t>
        </is>
      </c>
    </row>
    <row r="5116">
      <c r="A5116" t="inlineStr">
        <is>
          <t>2025-12-31</t>
        </is>
      </c>
      <c r="B5116" t="inlineStr">
        <is>
          <t>玻璃</t>
        </is>
      </c>
      <c r="C5116" t="inlineStr">
        <is>
          <t>多</t>
        </is>
      </c>
      <c r="D5116" t="n">
        <v>2</v>
      </c>
      <c r="E5116" t="n">
        <v>5</v>
      </c>
      <c r="F5116" t="inlineStr">
        <is>
          <t>影子仓</t>
        </is>
      </c>
      <c r="G5116" t="n">
        <v>6</v>
      </c>
      <c r="H5116" t="n">
        <v>1087</v>
      </c>
      <c r="I5116" t="n">
        <v>1006.86</v>
      </c>
      <c r="J5116" t="n">
        <v>1</v>
      </c>
      <c r="K5116" t="inlineStr">
        <is>
          <t>凯利≤0，开1%影子仓（只统计，不计入组合）</t>
        </is>
      </c>
    </row>
    <row r="5117">
      <c r="A5117" t="inlineStr">
        <is>
          <t>2025-12-31</t>
        </is>
      </c>
      <c r="B5117" t="inlineStr">
        <is>
          <t>沪银</t>
        </is>
      </c>
      <c r="C5117" t="inlineStr">
        <is>
          <t>空</t>
        </is>
      </c>
      <c r="D5117" t="n">
        <v>2</v>
      </c>
      <c r="E5117" t="n">
        <v>4</v>
      </c>
      <c r="F5117" t="inlineStr">
        <is>
          <t>不做</t>
        </is>
      </c>
      <c r="H5117" t="n">
        <v>17074</v>
      </c>
      <c r="J5117" t="n">
        <v>1</v>
      </c>
      <c r="K5117" t="inlineStr">
        <is>
          <t>1手风险47414元超过预算10000元</t>
        </is>
      </c>
    </row>
    <row r="5118">
      <c r="A5118" t="inlineStr">
        <is>
          <t>2026-01-05</t>
        </is>
      </c>
      <c r="B5118" t="inlineStr">
        <is>
          <t>棉花</t>
        </is>
      </c>
      <c r="C5118" t="inlineStr">
        <is>
          <t>多</t>
        </is>
      </c>
      <c r="D5118" t="n">
        <v>3</v>
      </c>
      <c r="E5118" t="n">
        <v>6</v>
      </c>
      <c r="F5118" t="inlineStr">
        <is>
          <t>续持</t>
        </is>
      </c>
      <c r="G5118" t="n">
        <v>12</v>
      </c>
      <c r="H5118" t="n">
        <v>14655</v>
      </c>
      <c r="I5118" t="n">
        <v>14335</v>
      </c>
      <c r="J5118" t="n">
        <v>3</v>
      </c>
      <c r="K5118" t="inlineStr">
        <is>
          <t>续持原仓（2025-12-30开）</t>
        </is>
      </c>
    </row>
    <row r="5119">
      <c r="A5119" t="inlineStr">
        <is>
          <t>2026-01-05</t>
        </is>
      </c>
      <c r="B5119" t="inlineStr">
        <is>
          <t>菜粕</t>
        </is>
      </c>
      <c r="C5119" t="inlineStr">
        <is>
          <t>多</t>
        </is>
      </c>
      <c r="D5119" t="n">
        <v>3</v>
      </c>
      <c r="E5119" t="n">
        <v>6</v>
      </c>
      <c r="F5119" t="inlineStr">
        <is>
          <t>观望</t>
        </is>
      </c>
      <c r="G5119" t="n">
        <v>29</v>
      </c>
      <c r="H5119" t="n">
        <v>2361</v>
      </c>
      <c r="I5119" t="n">
        <v>2259.64</v>
      </c>
      <c r="J5119" t="n">
        <v>3</v>
      </c>
      <c r="K5119" t="inlineStr">
        <is>
          <t>逆5日线（收盘在5日线下，不追多）</t>
        </is>
      </c>
    </row>
    <row r="5120">
      <c r="A5120" t="inlineStr">
        <is>
          <t>2026-01-05</t>
        </is>
      </c>
      <c r="B5120" t="inlineStr">
        <is>
          <t>豆粕</t>
        </is>
      </c>
      <c r="C5120" t="inlineStr">
        <is>
          <t>空</t>
        </is>
      </c>
      <c r="D5120" t="n">
        <v>2</v>
      </c>
      <c r="E5120" t="n">
        <v>5</v>
      </c>
      <c r="F5120" t="inlineStr">
        <is>
          <t>续持</t>
        </is>
      </c>
      <c r="G5120" t="n">
        <v>33</v>
      </c>
      <c r="H5120" t="n">
        <v>2754</v>
      </c>
      <c r="I5120" t="n">
        <v>2821.57</v>
      </c>
      <c r="J5120" t="n">
        <v>3</v>
      </c>
      <c r="K5120" t="inlineStr">
        <is>
          <t>续持原仓（2025-12-31开）</t>
        </is>
      </c>
    </row>
    <row r="5121">
      <c r="A5121" t="inlineStr">
        <is>
          <t>2026-01-05</t>
        </is>
      </c>
      <c r="B5121" t="inlineStr">
        <is>
          <t>鸡蛋</t>
        </is>
      </c>
      <c r="C5121" t="inlineStr">
        <is>
          <t>空</t>
        </is>
      </c>
      <c r="D5121" t="n">
        <v>2</v>
      </c>
      <c r="E5121" t="n">
        <v>5</v>
      </c>
      <c r="F5121" t="inlineStr">
        <is>
          <t>观望</t>
        </is>
      </c>
      <c r="G5121" t="n">
        <v>8</v>
      </c>
      <c r="H5121" t="n">
        <v>2992</v>
      </c>
      <c r="I5121" t="n">
        <v>3105.14</v>
      </c>
      <c r="J5121" t="n">
        <v>1</v>
      </c>
      <c r="K5121" t="inlineStr">
        <is>
          <t>逆5日线（收盘在5日线上，不追空）</t>
        </is>
      </c>
    </row>
    <row r="5122">
      <c r="A5122" t="inlineStr">
        <is>
          <t>2026-01-05</t>
        </is>
      </c>
      <c r="B5122" t="inlineStr">
        <is>
          <t>锰硅</t>
        </is>
      </c>
      <c r="C5122" t="inlineStr">
        <is>
          <t>多</t>
        </is>
      </c>
      <c r="D5122" t="n">
        <v>2</v>
      </c>
      <c r="E5122" t="n">
        <v>4</v>
      </c>
      <c r="F5122" t="inlineStr">
        <is>
          <t>观望</t>
        </is>
      </c>
      <c r="G5122" t="n">
        <v>10</v>
      </c>
      <c r="H5122" t="n">
        <v>5874</v>
      </c>
      <c r="I5122" t="n">
        <v>5680.29</v>
      </c>
      <c r="J5122" t="n">
        <v>1</v>
      </c>
      <c r="K5122" t="inlineStr">
        <is>
          <t>逆5日线（收盘在5日线下，不追多）</t>
        </is>
      </c>
    </row>
    <row r="5123">
      <c r="A5123" t="inlineStr">
        <is>
          <t>2026-01-06</t>
        </is>
      </c>
      <c r="B5123" t="inlineStr">
        <is>
          <t>菜粕</t>
        </is>
      </c>
      <c r="C5123" t="inlineStr">
        <is>
          <t>多</t>
        </is>
      </c>
      <c r="D5123" t="n">
        <v>3</v>
      </c>
      <c r="E5123" t="n">
        <v>7</v>
      </c>
      <c r="F5123" t="inlineStr">
        <is>
          <t>续持</t>
        </is>
      </c>
      <c r="G5123" t="n">
        <v>10</v>
      </c>
      <c r="H5123" t="n">
        <v>2390</v>
      </c>
      <c r="I5123" t="n">
        <v>2304.64</v>
      </c>
      <c r="J5123" t="n">
        <v>1</v>
      </c>
      <c r="K5123" t="inlineStr">
        <is>
          <t>续持原仓（2025-12-30开）</t>
        </is>
      </c>
    </row>
    <row r="5124">
      <c r="A5124" t="inlineStr">
        <is>
          <t>2026-01-06</t>
        </is>
      </c>
      <c r="B5124" t="inlineStr">
        <is>
          <t>棉花</t>
        </is>
      </c>
      <c r="C5124" t="inlineStr">
        <is>
          <t>多</t>
        </is>
      </c>
      <c r="D5124" t="n">
        <v>3</v>
      </c>
      <c r="E5124" t="n">
        <v>7</v>
      </c>
      <c r="F5124" t="inlineStr">
        <is>
          <t>续持</t>
        </is>
      </c>
      <c r="G5124" t="n">
        <v>12</v>
      </c>
      <c r="H5124" t="n">
        <v>14855</v>
      </c>
      <c r="I5124" t="n">
        <v>14340.71</v>
      </c>
      <c r="J5124" t="n">
        <v>3</v>
      </c>
      <c r="K5124" t="inlineStr">
        <is>
          <t>续持原仓（2025-12-30开）</t>
        </is>
      </c>
    </row>
    <row r="5125">
      <c r="A5125" t="inlineStr">
        <is>
          <t>2026-01-06</t>
        </is>
      </c>
      <c r="B5125" t="inlineStr">
        <is>
          <t>对二甲苯</t>
        </is>
      </c>
      <c r="C5125" t="inlineStr">
        <is>
          <t>多</t>
        </is>
      </c>
      <c r="D5125" t="n">
        <v>3</v>
      </c>
      <c r="E5125" t="n">
        <v>7</v>
      </c>
      <c r="F5125" t="inlineStr">
        <is>
          <t>开仓</t>
        </is>
      </c>
      <c r="G5125" t="n">
        <v>12</v>
      </c>
      <c r="H5125" t="n">
        <v>7336</v>
      </c>
      <c r="I5125" t="n">
        <v>6837.57</v>
      </c>
      <c r="J5125" t="n">
        <v>3</v>
      </c>
      <c r="K5125" t="inlineStr">
        <is>
          <t>¼凯利超上限，取3%</t>
        </is>
      </c>
    </row>
    <row r="5126">
      <c r="A5126" t="inlineStr">
        <is>
          <t>2026-01-06</t>
        </is>
      </c>
      <c r="B5126" t="inlineStr">
        <is>
          <t>铁矿石</t>
        </is>
      </c>
      <c r="C5126" t="inlineStr">
        <is>
          <t>多</t>
        </is>
      </c>
      <c r="D5126" t="n">
        <v>2</v>
      </c>
      <c r="E5126" t="n">
        <v>5</v>
      </c>
      <c r="F5126" t="inlineStr">
        <is>
          <t>影子仓</t>
        </is>
      </c>
      <c r="G5126" t="n">
        <v>2</v>
      </c>
      <c r="H5126" t="n">
        <v>801</v>
      </c>
      <c r="I5126" t="n">
        <v>765.3200000000001</v>
      </c>
      <c r="J5126" t="n">
        <v>1</v>
      </c>
      <c r="K5126" t="inlineStr">
        <is>
          <t>凯利≤0，开1%影子仓（只统计，不计入组合）</t>
        </is>
      </c>
    </row>
    <row r="5127">
      <c r="A5127" t="inlineStr">
        <is>
          <t>2026-01-06</t>
        </is>
      </c>
      <c r="B5127" t="inlineStr">
        <is>
          <t>鸡蛋</t>
        </is>
      </c>
      <c r="C5127" t="inlineStr">
        <is>
          <t>空</t>
        </is>
      </c>
      <c r="D5127" t="n">
        <v>2</v>
      </c>
      <c r="E5127" t="n">
        <v>5</v>
      </c>
      <c r="F5127" t="inlineStr">
        <is>
          <t>观望</t>
        </is>
      </c>
      <c r="G5127" t="n">
        <v>9</v>
      </c>
      <c r="H5127" t="n">
        <v>3000</v>
      </c>
      <c r="I5127" t="n">
        <v>3109.71</v>
      </c>
      <c r="J5127" t="n">
        <v>1</v>
      </c>
      <c r="K5127" t="inlineStr">
        <is>
          <t>逆5日线（收盘在5日线上，不追空）</t>
        </is>
      </c>
    </row>
    <row r="5128">
      <c r="A5128" t="inlineStr">
        <is>
          <t>2026-01-06</t>
        </is>
      </c>
      <c r="B5128" t="inlineStr">
        <is>
          <t>苯乙烯</t>
        </is>
      </c>
      <c r="C5128" t="inlineStr">
        <is>
          <t>多</t>
        </is>
      </c>
      <c r="D5128" t="n">
        <v>2</v>
      </c>
      <c r="E5128" t="n">
        <v>5</v>
      </c>
      <c r="F5128" t="inlineStr">
        <is>
          <t>影子仓</t>
        </is>
      </c>
      <c r="G5128" t="n">
        <v>5</v>
      </c>
      <c r="H5128" t="n">
        <v>6811</v>
      </c>
      <c r="I5128" t="n">
        <v>6444.36</v>
      </c>
      <c r="J5128" t="n">
        <v>1</v>
      </c>
      <c r="K5128" t="inlineStr">
        <is>
          <t>凯利≤0，开1%影子仓（只统计，不计入组合）</t>
        </is>
      </c>
    </row>
    <row r="5129">
      <c r="A5129" t="inlineStr">
        <is>
          <t>2026-01-06</t>
        </is>
      </c>
      <c r="B5129" t="inlineStr">
        <is>
          <t>白糖</t>
        </is>
      </c>
      <c r="C5129" t="inlineStr">
        <is>
          <t>空</t>
        </is>
      </c>
      <c r="D5129" t="n">
        <v>2</v>
      </c>
      <c r="E5129" t="n">
        <v>4</v>
      </c>
      <c r="F5129" t="inlineStr">
        <is>
          <t>观望</t>
        </is>
      </c>
      <c r="G5129" t="n">
        <v>6</v>
      </c>
      <c r="H5129" t="n">
        <v>5259</v>
      </c>
      <c r="I5129" t="n">
        <v>5406.64</v>
      </c>
      <c r="J5129" t="n">
        <v>1</v>
      </c>
      <c r="K5129" t="inlineStr">
        <is>
          <t>逆5日线（收盘在5日线上，不追空）</t>
        </is>
      </c>
    </row>
    <row r="5130">
      <c r="A5130" t="inlineStr">
        <is>
          <t>2026-01-07</t>
        </is>
      </c>
      <c r="B5130" t="inlineStr">
        <is>
          <t>铁矿石</t>
        </is>
      </c>
      <c r="C5130" t="inlineStr">
        <is>
          <t>多</t>
        </is>
      </c>
      <c r="D5130" t="n">
        <v>3</v>
      </c>
      <c r="E5130" t="n">
        <v>7</v>
      </c>
      <c r="F5130" t="inlineStr">
        <is>
          <t>续持</t>
        </is>
      </c>
      <c r="G5130" t="n">
        <v>2</v>
      </c>
      <c r="H5130" t="n">
        <v>828</v>
      </c>
      <c r="I5130" t="n">
        <v>789.5</v>
      </c>
      <c r="J5130" t="n">
        <v>1</v>
      </c>
      <c r="K5130" t="inlineStr">
        <is>
          <t>续持原仓（2026-01-06开）</t>
        </is>
      </c>
    </row>
    <row r="5131">
      <c r="A5131" t="inlineStr">
        <is>
          <t>2026-01-07</t>
        </is>
      </c>
      <c r="B5131" t="inlineStr">
        <is>
          <t>棉花</t>
        </is>
      </c>
      <c r="C5131" t="inlineStr">
        <is>
          <t>多</t>
        </is>
      </c>
      <c r="D5131" t="n">
        <v>3</v>
      </c>
      <c r="E5131" t="n">
        <v>6</v>
      </c>
      <c r="F5131" t="inlineStr">
        <is>
          <t>续持</t>
        </is>
      </c>
      <c r="G5131" t="n">
        <v>12</v>
      </c>
      <c r="H5131" t="n">
        <v>15035</v>
      </c>
      <c r="I5131" t="n">
        <v>14536.79</v>
      </c>
      <c r="J5131" t="n">
        <v>3</v>
      </c>
      <c r="K5131" t="inlineStr">
        <is>
          <t>续持原仓（2025-12-30开）</t>
        </is>
      </c>
    </row>
    <row r="5132">
      <c r="A5132" t="inlineStr">
        <is>
          <t>2026-01-07</t>
        </is>
      </c>
      <c r="B5132" t="inlineStr">
        <is>
          <t>对二甲苯</t>
        </is>
      </c>
      <c r="C5132" t="inlineStr">
        <is>
          <t>多</t>
        </is>
      </c>
      <c r="D5132" t="n">
        <v>2</v>
      </c>
      <c r="E5132" t="n">
        <v>5</v>
      </c>
      <c r="F5132" t="inlineStr">
        <is>
          <t>续持</t>
        </is>
      </c>
      <c r="G5132" t="n">
        <v>12</v>
      </c>
      <c r="H5132" t="n">
        <v>7286</v>
      </c>
      <c r="I5132" t="n">
        <v>6897</v>
      </c>
      <c r="J5132" t="n">
        <v>3</v>
      </c>
      <c r="K5132" t="inlineStr">
        <is>
          <t>续持原仓（2026-01-06开）</t>
        </is>
      </c>
    </row>
    <row r="5133">
      <c r="A5133" t="inlineStr">
        <is>
          <t>2026-01-07</t>
        </is>
      </c>
      <c r="B5133" t="inlineStr">
        <is>
          <t>焦煤</t>
        </is>
      </c>
      <c r="C5133" t="inlineStr">
        <is>
          <t>多</t>
        </is>
      </c>
      <c r="D5133" t="n">
        <v>2</v>
      </c>
      <c r="E5133" t="n">
        <v>5</v>
      </c>
      <c r="F5133" t="inlineStr">
        <is>
          <t>影子仓</t>
        </is>
      </c>
      <c r="G5133" t="n">
        <v>1</v>
      </c>
      <c r="H5133" t="n">
        <v>1164</v>
      </c>
      <c r="I5133" t="n">
        <v>1031.46</v>
      </c>
      <c r="J5133" t="n">
        <v>1</v>
      </c>
      <c r="K5133" t="inlineStr">
        <is>
          <t>凯利≤0，开1%影子仓（只统计，不计入组合）</t>
        </is>
      </c>
    </row>
    <row r="5134">
      <c r="A5134" t="inlineStr">
        <is>
          <t>2026-01-07</t>
        </is>
      </c>
      <c r="B5134" t="inlineStr">
        <is>
          <t>鸡蛋</t>
        </is>
      </c>
      <c r="C5134" t="inlineStr">
        <is>
          <t>空</t>
        </is>
      </c>
      <c r="D5134" t="n">
        <v>2</v>
      </c>
      <c r="E5134" t="n">
        <v>5</v>
      </c>
      <c r="F5134" t="inlineStr">
        <is>
          <t>观望</t>
        </is>
      </c>
      <c r="G5134" t="n">
        <v>8</v>
      </c>
      <c r="H5134" t="n">
        <v>3011</v>
      </c>
      <c r="I5134" t="n">
        <v>3123.93</v>
      </c>
      <c r="J5134" t="n">
        <v>1</v>
      </c>
      <c r="K5134" t="inlineStr">
        <is>
          <t>逆5日线（收盘在5日线上，不追空）</t>
        </is>
      </c>
    </row>
    <row r="5135">
      <c r="A5135" t="inlineStr">
        <is>
          <t>2026-01-07</t>
        </is>
      </c>
      <c r="B5135" t="inlineStr">
        <is>
          <t>甲醇</t>
        </is>
      </c>
      <c r="C5135" t="inlineStr">
        <is>
          <t>多</t>
        </is>
      </c>
      <c r="D5135" t="n">
        <v>2</v>
      </c>
      <c r="E5135" t="n">
        <v>4</v>
      </c>
      <c r="F5135" t="inlineStr">
        <is>
          <t>影子仓</t>
        </is>
      </c>
      <c r="G5135" t="n">
        <v>6</v>
      </c>
      <c r="H5135" t="n">
        <v>2267</v>
      </c>
      <c r="I5135" t="n">
        <v>2121.71</v>
      </c>
      <c r="J5135" t="n">
        <v>1</v>
      </c>
      <c r="K5135" t="inlineStr">
        <is>
          <t>凯利≤0，开1%影子仓（只统计，不计入组合）</t>
        </is>
      </c>
    </row>
    <row r="5136">
      <c r="A5136" t="inlineStr">
        <is>
          <t>2026-01-08</t>
        </is>
      </c>
      <c r="B5136" t="inlineStr">
        <is>
          <t>碳酸锂</t>
        </is>
      </c>
      <c r="C5136" t="inlineStr">
        <is>
          <t>多</t>
        </is>
      </c>
      <c r="D5136" t="n">
        <v>3</v>
      </c>
      <c r="E5136" t="n">
        <v>7</v>
      </c>
      <c r="F5136" t="inlineStr">
        <is>
          <t>开仓</t>
        </is>
      </c>
      <c r="G5136" t="n">
        <v>1</v>
      </c>
      <c r="H5136" t="n">
        <v>145000</v>
      </c>
      <c r="I5136" t="n">
        <v>118544.29</v>
      </c>
      <c r="J5136" t="n">
        <v>3</v>
      </c>
      <c r="K5136" t="inlineStr">
        <is>
          <t>¼凯利超上限，取3%</t>
        </is>
      </c>
    </row>
    <row r="5137">
      <c r="A5137" t="inlineStr">
        <is>
          <t>2026-01-08</t>
        </is>
      </c>
      <c r="B5137" t="inlineStr">
        <is>
          <t>铁矿石</t>
        </is>
      </c>
      <c r="C5137" t="inlineStr">
        <is>
          <t>多</t>
        </is>
      </c>
      <c r="D5137" t="n">
        <v>2</v>
      </c>
      <c r="E5137" t="n">
        <v>5</v>
      </c>
      <c r="F5137" t="inlineStr">
        <is>
          <t>续持</t>
        </is>
      </c>
      <c r="G5137" t="n">
        <v>2</v>
      </c>
      <c r="H5137" t="n">
        <v>813</v>
      </c>
      <c r="I5137" t="n">
        <v>789.71</v>
      </c>
      <c r="J5137" t="n">
        <v>1</v>
      </c>
      <c r="K5137" t="inlineStr">
        <is>
          <t>续持原仓（2026-01-06开）</t>
        </is>
      </c>
    </row>
    <row r="5138">
      <c r="A5138" t="inlineStr">
        <is>
          <t>2026-01-08</t>
        </is>
      </c>
      <c r="B5138" t="inlineStr">
        <is>
          <t>棉花</t>
        </is>
      </c>
      <c r="C5138" t="inlineStr">
        <is>
          <t>多</t>
        </is>
      </c>
      <c r="D5138" t="n">
        <v>2</v>
      </c>
      <c r="E5138" t="n">
        <v>5</v>
      </c>
      <c r="F5138" t="inlineStr">
        <is>
          <t>观望</t>
        </is>
      </c>
      <c r="G5138" t="n">
        <v>3</v>
      </c>
      <c r="H5138" t="n">
        <v>14740</v>
      </c>
      <c r="I5138" t="n">
        <v>14114.29</v>
      </c>
      <c r="J5138" t="n">
        <v>1</v>
      </c>
      <c r="K5138" t="inlineStr">
        <is>
          <t>逆5日线（收盘在5日线下，不追多）</t>
        </is>
      </c>
    </row>
    <row r="5139">
      <c r="A5139" t="inlineStr">
        <is>
          <t>2026-01-08</t>
        </is>
      </c>
      <c r="B5139" t="inlineStr">
        <is>
          <t>沪镍</t>
        </is>
      </c>
      <c r="C5139" t="inlineStr">
        <is>
          <t>多</t>
        </is>
      </c>
      <c r="D5139" t="n">
        <v>2</v>
      </c>
      <c r="E5139" t="n">
        <v>5</v>
      </c>
      <c r="F5139" t="inlineStr">
        <is>
          <t>观望</t>
        </is>
      </c>
      <c r="H5139" t="n">
        <v>136440</v>
      </c>
      <c r="J5139" t="n">
        <v>1</v>
      </c>
      <c r="K5139" t="inlineStr">
        <is>
          <t>逆5日线（收盘在5日线下，不追多）</t>
        </is>
      </c>
    </row>
    <row r="5140">
      <c r="A5140" t="inlineStr">
        <is>
          <t>2026-01-08</t>
        </is>
      </c>
      <c r="B5140" t="inlineStr">
        <is>
          <t>甲醇</t>
        </is>
      </c>
      <c r="C5140" t="inlineStr">
        <is>
          <t>多</t>
        </is>
      </c>
      <c r="D5140" t="n">
        <v>2</v>
      </c>
      <c r="E5140" t="n">
        <v>4</v>
      </c>
      <c r="F5140" t="inlineStr">
        <is>
          <t>观望</t>
        </is>
      </c>
      <c r="G5140" t="n">
        <v>6</v>
      </c>
      <c r="H5140" t="n">
        <v>2231</v>
      </c>
      <c r="I5140" t="n">
        <v>2086.14</v>
      </c>
      <c r="J5140" t="n">
        <v>1</v>
      </c>
      <c r="K5140" t="inlineStr">
        <is>
          <t>逆5日线（收盘在5日线下，不追多）</t>
        </is>
      </c>
    </row>
    <row r="5141">
      <c r="A5141" t="inlineStr">
        <is>
          <t>2026-01-09</t>
        </is>
      </c>
      <c r="B5141" t="inlineStr">
        <is>
          <t>聚丙烯</t>
        </is>
      </c>
      <c r="C5141" t="inlineStr">
        <is>
          <t>多</t>
        </is>
      </c>
      <c r="D5141" t="n">
        <v>3</v>
      </c>
      <c r="E5141" t="n">
        <v>7</v>
      </c>
      <c r="F5141" t="inlineStr">
        <is>
          <t>开仓</t>
        </is>
      </c>
      <c r="G5141" t="n">
        <v>23</v>
      </c>
      <c r="H5141" t="n">
        <v>6514</v>
      </c>
      <c r="I5141" t="n">
        <v>6254.29</v>
      </c>
      <c r="J5141" t="n">
        <v>3</v>
      </c>
      <c r="K5141" t="inlineStr">
        <is>
          <t>¼凯利超上限，取3%</t>
        </is>
      </c>
    </row>
    <row r="5142">
      <c r="A5142" t="inlineStr">
        <is>
          <t>2026-01-09</t>
        </is>
      </c>
      <c r="B5142" t="inlineStr">
        <is>
          <t>焦煤</t>
        </is>
      </c>
      <c r="C5142" t="inlineStr">
        <is>
          <t>多</t>
        </is>
      </c>
      <c r="D5142" t="n">
        <v>3</v>
      </c>
      <c r="E5142" t="n">
        <v>6</v>
      </c>
      <c r="F5142" t="inlineStr">
        <is>
          <t>开仓</t>
        </is>
      </c>
      <c r="G5142" t="n">
        <v>1</v>
      </c>
      <c r="H5142" t="n">
        <v>1195.5</v>
      </c>
      <c r="I5142" t="n">
        <v>1059.96</v>
      </c>
      <c r="J5142" t="n">
        <v>1</v>
      </c>
      <c r="K5142" t="inlineStr">
        <is>
          <t>组合风险已近10%，预算缩小</t>
        </is>
      </c>
    </row>
    <row r="5143">
      <c r="A5143" t="inlineStr">
        <is>
          <t>2026-01-09</t>
        </is>
      </c>
      <c r="B5143" t="inlineStr">
        <is>
          <t>沪镍</t>
        </is>
      </c>
      <c r="C5143" t="inlineStr">
        <is>
          <t>多</t>
        </is>
      </c>
      <c r="D5143" t="n">
        <v>3</v>
      </c>
      <c r="E5143" t="n">
        <v>6</v>
      </c>
      <c r="F5143" t="inlineStr">
        <is>
          <t>观望</t>
        </is>
      </c>
      <c r="H5143" t="n">
        <v>139090</v>
      </c>
      <c r="J5143" t="n">
        <v>0</v>
      </c>
      <c r="K5143" t="inlineStr">
        <is>
          <t>逆5日线（收盘在5日线下，不追多）</t>
        </is>
      </c>
    </row>
    <row r="5144">
      <c r="A5144" t="inlineStr">
        <is>
          <t>2026-01-09</t>
        </is>
      </c>
      <c r="B5144" t="inlineStr">
        <is>
          <t>铁矿石</t>
        </is>
      </c>
      <c r="C5144" t="inlineStr">
        <is>
          <t>多</t>
        </is>
      </c>
      <c r="D5144" t="n">
        <v>2</v>
      </c>
      <c r="E5144" t="n">
        <v>5</v>
      </c>
      <c r="F5144" t="inlineStr">
        <is>
          <t>续持</t>
        </is>
      </c>
      <c r="G5144" t="n">
        <v>2</v>
      </c>
      <c r="H5144" t="n">
        <v>814.5</v>
      </c>
      <c r="I5144" t="n">
        <v>790.79</v>
      </c>
      <c r="J5144" t="n">
        <v>1</v>
      </c>
      <c r="K5144" t="inlineStr">
        <is>
          <t>续持原仓（2026-01-06开）</t>
        </is>
      </c>
    </row>
    <row r="5145">
      <c r="A5145" t="inlineStr">
        <is>
          <t>2026-01-09</t>
        </is>
      </c>
      <c r="B5145" t="inlineStr">
        <is>
          <t>棉花</t>
        </is>
      </c>
      <c r="C5145" t="inlineStr">
        <is>
          <t>多</t>
        </is>
      </c>
      <c r="D5145" t="n">
        <v>2</v>
      </c>
      <c r="E5145" t="n">
        <v>5</v>
      </c>
      <c r="F5145" t="inlineStr">
        <is>
          <t>观望</t>
        </is>
      </c>
      <c r="G5145" t="n">
        <v>3</v>
      </c>
      <c r="H5145" t="n">
        <v>14675</v>
      </c>
      <c r="I5145" t="n">
        <v>14016.07</v>
      </c>
      <c r="J5145" t="n">
        <v>1</v>
      </c>
      <c r="K5145" t="inlineStr">
        <is>
          <t>逆5日线（收盘在5日线下，不追多）</t>
        </is>
      </c>
    </row>
    <row r="5146">
      <c r="A5146" t="inlineStr">
        <is>
          <t>2026-01-09</t>
        </is>
      </c>
      <c r="B5146" t="inlineStr">
        <is>
          <t>锰硅</t>
        </is>
      </c>
      <c r="C5146" t="inlineStr">
        <is>
          <t>空</t>
        </is>
      </c>
      <c r="D5146" t="n">
        <v>2</v>
      </c>
      <c r="E5146" t="n">
        <v>4</v>
      </c>
      <c r="F5146" t="inlineStr">
        <is>
          <t>影子仓</t>
        </is>
      </c>
      <c r="G5146" t="n">
        <v>7</v>
      </c>
      <c r="H5146" t="n">
        <v>5904</v>
      </c>
      <c r="I5146" t="n">
        <v>6157.71</v>
      </c>
      <c r="J5146" t="n">
        <v>1</v>
      </c>
      <c r="K5146" t="inlineStr">
        <is>
          <t>凯利≤0，开1%影子仓（只统计，不计入组合）</t>
        </is>
      </c>
    </row>
    <row r="5147">
      <c r="A5147" t="inlineStr">
        <is>
          <t>2026-01-09</t>
        </is>
      </c>
      <c r="B5147" t="inlineStr">
        <is>
          <t>螺纹钢</t>
        </is>
      </c>
      <c r="C5147" t="inlineStr">
        <is>
          <t>空</t>
        </is>
      </c>
      <c r="D5147" t="n">
        <v>2</v>
      </c>
      <c r="E5147" t="n">
        <v>4</v>
      </c>
      <c r="F5147" t="inlineStr">
        <is>
          <t>观望</t>
        </is>
      </c>
      <c r="G5147" t="n">
        <v>9</v>
      </c>
      <c r="H5147" t="n">
        <v>3144</v>
      </c>
      <c r="I5147" t="n">
        <v>3252.64</v>
      </c>
      <c r="J5147" t="n">
        <v>1</v>
      </c>
      <c r="K5147" t="inlineStr">
        <is>
          <t>逆5日线（收盘在5日线上，不追空）</t>
        </is>
      </c>
    </row>
    <row r="5148">
      <c r="A5148" t="inlineStr">
        <is>
          <t>2026-01-12</t>
        </is>
      </c>
      <c r="B5148" t="inlineStr">
        <is>
          <t>对二甲苯</t>
        </is>
      </c>
      <c r="C5148" t="inlineStr">
        <is>
          <t>多</t>
        </is>
      </c>
      <c r="D5148" t="n">
        <v>3</v>
      </c>
      <c r="E5148" t="n">
        <v>7</v>
      </c>
      <c r="F5148" t="inlineStr">
        <is>
          <t>开仓</t>
        </is>
      </c>
      <c r="G5148" t="n">
        <v>10</v>
      </c>
      <c r="H5148" t="n">
        <v>7308</v>
      </c>
      <c r="I5148" t="n">
        <v>6761.14</v>
      </c>
      <c r="J5148" t="n">
        <v>3</v>
      </c>
      <c r="K5148" t="inlineStr">
        <is>
          <t>¼凯利超上限，取3%</t>
        </is>
      </c>
    </row>
    <row r="5149">
      <c r="A5149" t="inlineStr">
        <is>
          <t>2026-01-12</t>
        </is>
      </c>
      <c r="B5149" t="inlineStr">
        <is>
          <t>铁矿石</t>
        </is>
      </c>
      <c r="C5149" t="inlineStr">
        <is>
          <t>多</t>
        </is>
      </c>
      <c r="D5149" t="n">
        <v>3</v>
      </c>
      <c r="E5149" t="n">
        <v>6</v>
      </c>
      <c r="F5149" t="inlineStr">
        <is>
          <t>续持</t>
        </is>
      </c>
      <c r="G5149" t="n">
        <v>2</v>
      </c>
      <c r="H5149" t="n">
        <v>822.5</v>
      </c>
      <c r="I5149" t="n">
        <v>790.79</v>
      </c>
      <c r="J5149" t="n">
        <v>1</v>
      </c>
      <c r="K5149" t="inlineStr">
        <is>
          <t>续持原仓（2026-01-06开）</t>
        </is>
      </c>
    </row>
    <row r="5150">
      <c r="A5150" t="inlineStr">
        <is>
          <t>2026-01-12</t>
        </is>
      </c>
      <c r="B5150" t="inlineStr">
        <is>
          <t>沪铝</t>
        </is>
      </c>
      <c r="C5150" t="inlineStr">
        <is>
          <t>多</t>
        </is>
      </c>
      <c r="D5150" t="n">
        <v>3</v>
      </c>
      <c r="E5150" t="n">
        <v>6</v>
      </c>
      <c r="F5150" t="inlineStr">
        <is>
          <t>开仓</t>
        </is>
      </c>
      <c r="G5150" t="n">
        <v>3</v>
      </c>
      <c r="H5150" t="n">
        <v>24650</v>
      </c>
      <c r="I5150" t="n">
        <v>22882.14</v>
      </c>
      <c r="J5150" t="n">
        <v>3</v>
      </c>
      <c r="K5150" t="inlineStr">
        <is>
          <t>¼凯利超上限，取3%</t>
        </is>
      </c>
    </row>
    <row r="5151">
      <c r="A5151" t="inlineStr">
        <is>
          <t>2026-01-12</t>
        </is>
      </c>
      <c r="B5151" t="inlineStr">
        <is>
          <t>碳酸锂</t>
        </is>
      </c>
      <c r="C5151" t="inlineStr">
        <is>
          <t>多</t>
        </is>
      </c>
      <c r="D5151" t="n">
        <v>3</v>
      </c>
      <c r="E5151" t="n">
        <v>6</v>
      </c>
      <c r="F5151" t="inlineStr">
        <is>
          <t>续持</t>
        </is>
      </c>
      <c r="G5151" t="n">
        <v>1</v>
      </c>
      <c r="H5151" t="n">
        <v>156060</v>
      </c>
      <c r="I5151" t="n">
        <v>128018.57</v>
      </c>
      <c r="J5151" t="n">
        <v>3</v>
      </c>
      <c r="K5151" t="inlineStr">
        <is>
          <t>续持原仓（2026-01-08开）</t>
        </is>
      </c>
    </row>
    <row r="5152">
      <c r="A5152" t="inlineStr">
        <is>
          <t>2026-01-12</t>
        </is>
      </c>
      <c r="B5152" t="inlineStr">
        <is>
          <t>豆油</t>
        </is>
      </c>
      <c r="C5152" t="inlineStr">
        <is>
          <t>多</t>
        </is>
      </c>
      <c r="D5152" t="n">
        <v>2</v>
      </c>
      <c r="E5152" t="n">
        <v>5</v>
      </c>
      <c r="F5152" t="inlineStr">
        <is>
          <t>影子仓</t>
        </is>
      </c>
      <c r="G5152" t="n">
        <v>4</v>
      </c>
      <c r="H5152" t="n">
        <v>7994</v>
      </c>
      <c r="I5152" t="n">
        <v>7783.14</v>
      </c>
      <c r="J5152" t="n">
        <v>1</v>
      </c>
      <c r="K5152" t="inlineStr">
        <is>
          <t>凯利≤0，开1%影子仓（只统计，不计入组合）</t>
        </is>
      </c>
    </row>
    <row r="5153">
      <c r="A5153" t="inlineStr">
        <is>
          <t>2026-01-13</t>
        </is>
      </c>
      <c r="B5153" t="inlineStr">
        <is>
          <t>棉花</t>
        </is>
      </c>
      <c r="C5153" t="inlineStr">
        <is>
          <t>多</t>
        </is>
      </c>
      <c r="D5153" t="n">
        <v>3</v>
      </c>
      <c r="E5153" t="n">
        <v>6</v>
      </c>
      <c r="F5153" t="inlineStr">
        <is>
          <t>观望</t>
        </is>
      </c>
      <c r="G5153" t="n">
        <v>8</v>
      </c>
      <c r="H5153" t="n">
        <v>14760</v>
      </c>
      <c r="I5153" t="n">
        <v>14038.93</v>
      </c>
      <c r="J5153" t="n">
        <v>3</v>
      </c>
      <c r="K5153" t="inlineStr">
        <is>
          <t>逆5日线（收盘在5日线下，不追多）</t>
        </is>
      </c>
    </row>
    <row r="5154">
      <c r="A5154" t="inlineStr">
        <is>
          <t>2026-01-13</t>
        </is>
      </c>
      <c r="B5154" t="inlineStr">
        <is>
          <t>棕榈油</t>
        </is>
      </c>
      <c r="C5154" t="inlineStr">
        <is>
          <t>多</t>
        </is>
      </c>
      <c r="D5154" t="n">
        <v>3</v>
      </c>
      <c r="E5154" t="n">
        <v>6</v>
      </c>
      <c r="F5154" t="inlineStr">
        <is>
          <t>开仓</t>
        </is>
      </c>
      <c r="G5154" t="n">
        <v>8</v>
      </c>
      <c r="H5154" t="n">
        <v>8778</v>
      </c>
      <c r="I5154" t="n">
        <v>8415.860000000001</v>
      </c>
      <c r="J5154" t="n">
        <v>3</v>
      </c>
      <c r="K5154" t="inlineStr">
        <is>
          <t>¼凯利超上限，取3%</t>
        </is>
      </c>
    </row>
    <row r="5155">
      <c r="A5155" t="inlineStr">
        <is>
          <t>2026-01-13</t>
        </is>
      </c>
      <c r="B5155" t="inlineStr">
        <is>
          <t>沪铝</t>
        </is>
      </c>
      <c r="C5155" t="inlineStr">
        <is>
          <t>多</t>
        </is>
      </c>
      <c r="D5155" t="n">
        <v>2</v>
      </c>
      <c r="E5155" t="n">
        <v>5</v>
      </c>
      <c r="F5155" t="inlineStr">
        <is>
          <t>续持</t>
        </is>
      </c>
      <c r="G5155" t="n">
        <v>3</v>
      </c>
      <c r="H5155" t="n">
        <v>24375</v>
      </c>
      <c r="I5155" t="n">
        <v>23190.36</v>
      </c>
      <c r="J5155" t="n">
        <v>3</v>
      </c>
      <c r="K5155" t="inlineStr">
        <is>
          <t>续持原仓（2026-01-12开）</t>
        </is>
      </c>
    </row>
    <row r="5156">
      <c r="A5156" t="inlineStr">
        <is>
          <t>2026-01-13</t>
        </is>
      </c>
      <c r="B5156" t="inlineStr">
        <is>
          <t>聚丙烯</t>
        </is>
      </c>
      <c r="C5156" t="inlineStr">
        <is>
          <t>多</t>
        </is>
      </c>
      <c r="D5156" t="n">
        <v>2</v>
      </c>
      <c r="E5156" t="n">
        <v>5</v>
      </c>
      <c r="F5156" t="inlineStr">
        <is>
          <t>影子仓</t>
        </is>
      </c>
      <c r="G5156" t="n">
        <v>7</v>
      </c>
      <c r="H5156" t="n">
        <v>6545</v>
      </c>
      <c r="I5156" t="n">
        <v>6280.36</v>
      </c>
      <c r="J5156" t="n">
        <v>1</v>
      </c>
      <c r="K5156" t="inlineStr">
        <is>
          <t>凯利≤0，开1%影子仓（只统计，不计入组合）</t>
        </is>
      </c>
    </row>
    <row r="5157">
      <c r="A5157" t="inlineStr">
        <is>
          <t>2026-01-13</t>
        </is>
      </c>
      <c r="B5157" t="inlineStr">
        <is>
          <t>对二甲苯</t>
        </is>
      </c>
      <c r="C5157" t="inlineStr">
        <is>
          <t>多</t>
        </is>
      </c>
      <c r="D5157" t="n">
        <v>2</v>
      </c>
      <c r="E5157" t="n">
        <v>5</v>
      </c>
      <c r="F5157" t="inlineStr">
        <is>
          <t>续持</t>
        </is>
      </c>
      <c r="G5157" t="n">
        <v>10</v>
      </c>
      <c r="H5157" t="n">
        <v>7282</v>
      </c>
      <c r="I5157" t="n">
        <v>6808.29</v>
      </c>
      <c r="J5157" t="n">
        <v>3</v>
      </c>
      <c r="K5157" t="inlineStr">
        <is>
          <t>续持原仓（2026-01-12开）</t>
        </is>
      </c>
    </row>
    <row r="5158">
      <c r="A5158" t="inlineStr">
        <is>
          <t>2026-01-13</t>
        </is>
      </c>
      <c r="B5158" t="inlineStr">
        <is>
          <t>白糖</t>
        </is>
      </c>
      <c r="C5158" t="inlineStr">
        <is>
          <t>空</t>
        </is>
      </c>
      <c r="D5158" t="n">
        <v>2</v>
      </c>
      <c r="E5158" t="n">
        <v>4</v>
      </c>
      <c r="F5158" t="inlineStr">
        <is>
          <t>影子仓</t>
        </is>
      </c>
      <c r="G5158" t="n">
        <v>7</v>
      </c>
      <c r="H5158" t="n">
        <v>5253</v>
      </c>
      <c r="I5158" t="n">
        <v>5384.79</v>
      </c>
      <c r="J5158" t="n">
        <v>1</v>
      </c>
      <c r="K5158" t="inlineStr">
        <is>
          <t>凯利≤0，开1%影子仓（只统计，不计入组合）</t>
        </is>
      </c>
    </row>
    <row r="5159">
      <c r="A5159" t="inlineStr">
        <is>
          <t>2026-01-14</t>
        </is>
      </c>
      <c r="B5159" t="inlineStr">
        <is>
          <t>棉花</t>
        </is>
      </c>
      <c r="C5159" t="inlineStr">
        <is>
          <t>多</t>
        </is>
      </c>
      <c r="D5159" t="n">
        <v>3</v>
      </c>
      <c r="E5159" t="n">
        <v>6</v>
      </c>
      <c r="F5159" t="inlineStr">
        <is>
          <t>开仓</t>
        </is>
      </c>
      <c r="G5159" t="n">
        <v>8</v>
      </c>
      <c r="H5159" t="n">
        <v>14810</v>
      </c>
      <c r="I5159" t="n">
        <v>14079.29</v>
      </c>
      <c r="J5159" t="n">
        <v>3</v>
      </c>
      <c r="K5159" t="inlineStr">
        <is>
          <t>¼凯利超上限，取3%</t>
        </is>
      </c>
    </row>
    <row r="5160">
      <c r="A5160" t="inlineStr">
        <is>
          <t>2026-01-14</t>
        </is>
      </c>
      <c r="B5160" t="inlineStr">
        <is>
          <t>玉米</t>
        </is>
      </c>
      <c r="C5160" t="inlineStr">
        <is>
          <t>多</t>
        </is>
      </c>
      <c r="D5160" t="n">
        <v>2</v>
      </c>
      <c r="E5160" t="n">
        <v>5</v>
      </c>
      <c r="F5160" t="inlineStr">
        <is>
          <t>观望</t>
        </is>
      </c>
      <c r="G5160" t="n">
        <v>14</v>
      </c>
      <c r="H5160" t="n">
        <v>2272</v>
      </c>
      <c r="I5160" t="n">
        <v>2201.07</v>
      </c>
      <c r="J5160" t="n">
        <v>1</v>
      </c>
      <c r="K5160" t="inlineStr">
        <is>
          <t>逆5日线（收盘在5日线下，不追多）</t>
        </is>
      </c>
    </row>
    <row r="5161">
      <c r="A5161" t="inlineStr">
        <is>
          <t>2026-01-14</t>
        </is>
      </c>
      <c r="B5161" t="inlineStr">
        <is>
          <t>豆油</t>
        </is>
      </c>
      <c r="C5161" t="inlineStr">
        <is>
          <t>多</t>
        </is>
      </c>
      <c r="D5161" t="n">
        <v>2</v>
      </c>
      <c r="E5161" t="n">
        <v>4</v>
      </c>
      <c r="F5161" t="inlineStr">
        <is>
          <t>续持</t>
        </is>
      </c>
      <c r="G5161" t="n">
        <v>4</v>
      </c>
      <c r="H5161" t="n">
        <v>8000</v>
      </c>
      <c r="I5161" t="n">
        <v>7834.43</v>
      </c>
      <c r="J5161" t="n">
        <v>1</v>
      </c>
      <c r="K5161" t="inlineStr">
        <is>
          <t>续持原仓（2026-01-12开）</t>
        </is>
      </c>
    </row>
    <row r="5162">
      <c r="A5162" t="inlineStr">
        <is>
          <t>2026-01-14</t>
        </is>
      </c>
      <c r="B5162" t="inlineStr">
        <is>
          <t>工业硅</t>
        </is>
      </c>
      <c r="C5162" t="inlineStr">
        <is>
          <t>多</t>
        </is>
      </c>
      <c r="D5162" t="n">
        <v>2</v>
      </c>
      <c r="E5162" t="n">
        <v>4</v>
      </c>
      <c r="F5162" t="inlineStr">
        <is>
          <t>影子仓</t>
        </is>
      </c>
      <c r="G5162" t="n">
        <v>2</v>
      </c>
      <c r="H5162" t="n">
        <v>8755</v>
      </c>
      <c r="I5162" t="n">
        <v>7961.07</v>
      </c>
      <c r="J5162" t="n">
        <v>1</v>
      </c>
      <c r="K5162" t="inlineStr">
        <is>
          <t>凯利≤0，开1%影子仓（只统计，不计入组合）</t>
        </is>
      </c>
    </row>
    <row r="5163">
      <c r="A5163" t="inlineStr">
        <is>
          <t>2026-01-14</t>
        </is>
      </c>
      <c r="B5163" t="inlineStr">
        <is>
          <t>螺纹钢</t>
        </is>
      </c>
      <c r="C5163" t="inlineStr">
        <is>
          <t>空</t>
        </is>
      </c>
      <c r="D5163" t="n">
        <v>2</v>
      </c>
      <c r="E5163" t="n">
        <v>4</v>
      </c>
      <c r="F5163" t="inlineStr">
        <is>
          <t>观望</t>
        </is>
      </c>
      <c r="G5163" t="n">
        <v>9</v>
      </c>
      <c r="H5163" t="n">
        <v>3162</v>
      </c>
      <c r="I5163" t="n">
        <v>3268.93</v>
      </c>
      <c r="J5163" t="n">
        <v>1</v>
      </c>
      <c r="K5163" t="inlineStr">
        <is>
          <t>逆5日线（收盘在5日线上，不追空）</t>
        </is>
      </c>
    </row>
    <row r="5164">
      <c r="A5164" t="inlineStr">
        <is>
          <t>2026-01-15</t>
        </is>
      </c>
      <c r="B5164" t="inlineStr">
        <is>
          <t>玉米</t>
        </is>
      </c>
      <c r="C5164" t="inlineStr">
        <is>
          <t>多</t>
        </is>
      </c>
      <c r="D5164" t="n">
        <v>3</v>
      </c>
      <c r="E5164" t="n">
        <v>6</v>
      </c>
      <c r="F5164" t="inlineStr">
        <is>
          <t>开仓</t>
        </is>
      </c>
      <c r="G5164" t="n">
        <v>13</v>
      </c>
      <c r="H5164" t="n">
        <v>2295</v>
      </c>
      <c r="I5164" t="n">
        <v>2222.14</v>
      </c>
      <c r="J5164" t="n">
        <v>1</v>
      </c>
      <c r="K5164" t="inlineStr">
        <is>
          <t>组合风险已近10%，预算缩小</t>
        </is>
      </c>
    </row>
    <row r="5165">
      <c r="A5165" t="inlineStr">
        <is>
          <t>2026-01-15</t>
        </is>
      </c>
      <c r="B5165" t="inlineStr">
        <is>
          <t>沪铝</t>
        </is>
      </c>
      <c r="C5165" t="inlineStr">
        <is>
          <t>多</t>
        </is>
      </c>
      <c r="D5165" t="n">
        <v>3</v>
      </c>
      <c r="E5165" t="n">
        <v>6</v>
      </c>
      <c r="F5165" t="inlineStr">
        <is>
          <t>观望</t>
        </is>
      </c>
      <c r="H5165" t="n">
        <v>24375</v>
      </c>
      <c r="J5165" t="n">
        <v>0</v>
      </c>
      <c r="K5165" t="inlineStr">
        <is>
          <t>逆5日线（收盘在5日线下，不追多）</t>
        </is>
      </c>
    </row>
    <row r="5166">
      <c r="A5166" t="inlineStr">
        <is>
          <t>2026-01-15</t>
        </is>
      </c>
      <c r="B5166" t="inlineStr">
        <is>
          <t>苯乙烯</t>
        </is>
      </c>
      <c r="C5166" t="inlineStr">
        <is>
          <t>多</t>
        </is>
      </c>
      <c r="D5166" t="n">
        <v>2</v>
      </c>
      <c r="E5166" t="n">
        <v>5</v>
      </c>
      <c r="F5166" t="inlineStr">
        <is>
          <t>影子仓</t>
        </is>
      </c>
      <c r="G5166" t="n">
        <v>4</v>
      </c>
      <c r="H5166" t="n">
        <v>7103</v>
      </c>
      <c r="I5166" t="n">
        <v>6700.79</v>
      </c>
      <c r="J5166" t="n">
        <v>1</v>
      </c>
      <c r="K5166" t="inlineStr">
        <is>
          <t>凯利≤0，开1%影子仓（只统计，不计入组合）</t>
        </is>
      </c>
    </row>
    <row r="5167">
      <c r="A5167" t="inlineStr">
        <is>
          <t>2026-01-15</t>
        </is>
      </c>
      <c r="B5167" t="inlineStr">
        <is>
          <t>棉花</t>
        </is>
      </c>
      <c r="C5167" t="inlineStr">
        <is>
          <t>多</t>
        </is>
      </c>
      <c r="D5167" t="n">
        <v>2</v>
      </c>
      <c r="E5167" t="n">
        <v>5</v>
      </c>
      <c r="F5167" t="inlineStr">
        <is>
          <t>观望</t>
        </is>
      </c>
      <c r="G5167" t="n">
        <v>2</v>
      </c>
      <c r="H5167" t="n">
        <v>14675</v>
      </c>
      <c r="I5167" t="n">
        <v>13921.79</v>
      </c>
      <c r="J5167" t="n">
        <v>1</v>
      </c>
      <c r="K5167" t="inlineStr">
        <is>
          <t>逆5日线（收盘在5日线下，不追多）</t>
        </is>
      </c>
    </row>
    <row r="5168">
      <c r="A5168" t="inlineStr">
        <is>
          <t>2026-01-15</t>
        </is>
      </c>
      <c r="B5168" t="inlineStr">
        <is>
          <t>聚丙烯</t>
        </is>
      </c>
      <c r="C5168" t="inlineStr">
        <is>
          <t>多</t>
        </is>
      </c>
      <c r="D5168" t="n">
        <v>2</v>
      </c>
      <c r="E5168" t="n">
        <v>5</v>
      </c>
      <c r="F5168" t="inlineStr">
        <is>
          <t>影子仓</t>
        </is>
      </c>
      <c r="G5168" t="n">
        <v>8</v>
      </c>
      <c r="H5168" t="n">
        <v>6592</v>
      </c>
      <c r="I5168" t="n">
        <v>6342.14</v>
      </c>
      <c r="J5168" t="n">
        <v>1</v>
      </c>
      <c r="K5168" t="inlineStr">
        <is>
          <t>凯利≤0，开1%影子仓（只统计，不计入组合）</t>
        </is>
      </c>
    </row>
    <row r="5169">
      <c r="A5169" t="inlineStr">
        <is>
          <t>2026-01-16</t>
        </is>
      </c>
      <c r="B5169" t="inlineStr">
        <is>
          <t>棕榈油</t>
        </is>
      </c>
      <c r="C5169" t="inlineStr">
        <is>
          <t>多</t>
        </is>
      </c>
      <c r="D5169" t="n">
        <v>3</v>
      </c>
      <c r="E5169" t="n">
        <v>7</v>
      </c>
      <c r="F5169" t="inlineStr">
        <is>
          <t>观望</t>
        </is>
      </c>
      <c r="H5169" t="n">
        <v>8674</v>
      </c>
      <c r="J5169" t="n">
        <v>0</v>
      </c>
      <c r="K5169" t="inlineStr">
        <is>
          <t>逆5日线（收盘在5日线下，不追多）</t>
        </is>
      </c>
    </row>
    <row r="5170">
      <c r="A5170" t="inlineStr">
        <is>
          <t>2026-01-16</t>
        </is>
      </c>
      <c r="B5170" t="inlineStr">
        <is>
          <t>豆油</t>
        </is>
      </c>
      <c r="C5170" t="inlineStr">
        <is>
          <t>多</t>
        </is>
      </c>
      <c r="D5170" t="n">
        <v>3</v>
      </c>
      <c r="E5170" t="n">
        <v>7</v>
      </c>
      <c r="F5170" t="inlineStr">
        <is>
          <t>续持</t>
        </is>
      </c>
      <c r="G5170" t="n">
        <v>4</v>
      </c>
      <c r="H5170" t="n">
        <v>8016</v>
      </c>
      <c r="I5170" t="n">
        <v>7834.43</v>
      </c>
      <c r="J5170" t="n">
        <v>1</v>
      </c>
      <c r="K5170" t="inlineStr">
        <is>
          <t>续持原仓（2026-01-12开）</t>
        </is>
      </c>
    </row>
    <row r="5171">
      <c r="A5171" t="inlineStr">
        <is>
          <t>2026-01-16</t>
        </is>
      </c>
      <c r="B5171" t="inlineStr">
        <is>
          <t>苯乙烯</t>
        </is>
      </c>
      <c r="C5171" t="inlineStr">
        <is>
          <t>多</t>
        </is>
      </c>
      <c r="D5171" t="n">
        <v>3</v>
      </c>
      <c r="E5171" t="n">
        <v>6</v>
      </c>
      <c r="F5171" t="inlineStr">
        <is>
          <t>续持</t>
        </is>
      </c>
      <c r="G5171" t="n">
        <v>4</v>
      </c>
      <c r="H5171" t="n">
        <v>7178</v>
      </c>
      <c r="I5171" t="n">
        <v>6822.36</v>
      </c>
      <c r="J5171" t="n">
        <v>1</v>
      </c>
      <c r="K5171" t="inlineStr">
        <is>
          <t>续持原仓（2026-01-15开）</t>
        </is>
      </c>
    </row>
    <row r="5172">
      <c r="A5172" t="inlineStr">
        <is>
          <t>2026-01-16</t>
        </is>
      </c>
      <c r="B5172" t="inlineStr">
        <is>
          <t>玉米</t>
        </is>
      </c>
      <c r="C5172" t="inlineStr">
        <is>
          <t>多</t>
        </is>
      </c>
      <c r="D5172" t="n">
        <v>2</v>
      </c>
      <c r="E5172" t="n">
        <v>5</v>
      </c>
      <c r="F5172" t="inlineStr">
        <is>
          <t>观望</t>
        </is>
      </c>
      <c r="G5172" t="n">
        <v>13</v>
      </c>
      <c r="H5172" t="n">
        <v>2281</v>
      </c>
      <c r="I5172" t="n">
        <v>2205.36</v>
      </c>
      <c r="J5172" t="n">
        <v>1</v>
      </c>
      <c r="K5172" t="inlineStr">
        <is>
          <t>逆5日线（收盘在5日线下，不追多）</t>
        </is>
      </c>
    </row>
    <row r="5173">
      <c r="A5173" t="inlineStr">
        <is>
          <t>2026-01-16</t>
        </is>
      </c>
      <c r="B5173" t="inlineStr">
        <is>
          <t>白糖</t>
        </is>
      </c>
      <c r="C5173" t="inlineStr">
        <is>
          <t>空</t>
        </is>
      </c>
      <c r="D5173" t="n">
        <v>2</v>
      </c>
      <c r="E5173" t="n">
        <v>5</v>
      </c>
      <c r="F5173" t="inlineStr">
        <is>
          <t>续持</t>
        </is>
      </c>
      <c r="G5173" t="n">
        <v>7</v>
      </c>
      <c r="H5173" t="n">
        <v>5258</v>
      </c>
      <c r="I5173" t="n">
        <v>5373.07</v>
      </c>
      <c r="J5173" t="n">
        <v>1</v>
      </c>
      <c r="K5173" t="inlineStr">
        <is>
          <t>续持原仓（2026-01-13开）</t>
        </is>
      </c>
    </row>
    <row r="5174">
      <c r="A5174" t="inlineStr">
        <is>
          <t>2026-01-16</t>
        </is>
      </c>
      <c r="B5174" t="inlineStr">
        <is>
          <t>聚丙烯</t>
        </is>
      </c>
      <c r="C5174" t="inlineStr">
        <is>
          <t>多</t>
        </is>
      </c>
      <c r="D5174" t="n">
        <v>2</v>
      </c>
      <c r="E5174" t="n">
        <v>5</v>
      </c>
      <c r="F5174" t="inlineStr">
        <is>
          <t>观望</t>
        </is>
      </c>
      <c r="G5174" t="n">
        <v>7</v>
      </c>
      <c r="H5174" t="n">
        <v>6496</v>
      </c>
      <c r="I5174" t="n">
        <v>6234.36</v>
      </c>
      <c r="J5174" t="n">
        <v>1</v>
      </c>
      <c r="K5174" t="inlineStr">
        <is>
          <t>逆5日线（收盘在5日线下，不追多）</t>
        </is>
      </c>
    </row>
    <row r="5175">
      <c r="A5175" t="inlineStr">
        <is>
          <t>2026-01-16</t>
        </is>
      </c>
      <c r="B5175" t="inlineStr">
        <is>
          <t>对二甲苯</t>
        </is>
      </c>
      <c r="C5175" t="inlineStr">
        <is>
          <t>空</t>
        </is>
      </c>
      <c r="D5175" t="n">
        <v>2</v>
      </c>
      <c r="E5175" t="n">
        <v>4</v>
      </c>
      <c r="F5175" t="inlineStr">
        <is>
          <t>影子仓</t>
        </is>
      </c>
      <c r="G5175" t="n">
        <v>3</v>
      </c>
      <c r="H5175" t="n">
        <v>7086</v>
      </c>
      <c r="I5175" t="n">
        <v>7639.71</v>
      </c>
      <c r="J5175" t="n">
        <v>1</v>
      </c>
      <c r="K5175" t="inlineStr">
        <is>
          <t>凯利≤0，开1%影子仓（只统计，不计入组合）</t>
        </is>
      </c>
    </row>
    <row r="5176">
      <c r="A5176" t="inlineStr">
        <is>
          <t>2026-01-19</t>
        </is>
      </c>
      <c r="B5176" t="inlineStr">
        <is>
          <t>沪镍</t>
        </is>
      </c>
      <c r="C5176" t="inlineStr">
        <is>
          <t>多</t>
        </is>
      </c>
      <c r="D5176" t="n">
        <v>3</v>
      </c>
      <c r="E5176" t="n">
        <v>7</v>
      </c>
      <c r="F5176" t="inlineStr">
        <is>
          <t>开仓</t>
        </is>
      </c>
      <c r="G5176" t="n">
        <v>1</v>
      </c>
      <c r="H5176" t="n">
        <v>142530</v>
      </c>
      <c r="I5176" t="n">
        <v>120411.43</v>
      </c>
      <c r="J5176" t="n">
        <v>3</v>
      </c>
      <c r="K5176" t="inlineStr">
        <is>
          <t>¼凯利超上限，取3%</t>
        </is>
      </c>
    </row>
    <row r="5177">
      <c r="A5177" t="inlineStr">
        <is>
          <t>2026-01-19</t>
        </is>
      </c>
      <c r="B5177" t="inlineStr">
        <is>
          <t>苯乙烯</t>
        </is>
      </c>
      <c r="C5177" t="inlineStr">
        <is>
          <t>多</t>
        </is>
      </c>
      <c r="D5177" t="n">
        <v>2</v>
      </c>
      <c r="E5177" t="n">
        <v>5</v>
      </c>
      <c r="F5177" t="inlineStr">
        <is>
          <t>续持</t>
        </is>
      </c>
      <c r="G5177" t="n">
        <v>4</v>
      </c>
      <c r="H5177" t="n">
        <v>7348</v>
      </c>
      <c r="I5177" t="n">
        <v>6962.86</v>
      </c>
      <c r="J5177" t="n">
        <v>1</v>
      </c>
      <c r="K5177" t="inlineStr">
        <is>
          <t>续持原仓（2026-01-15开）</t>
        </is>
      </c>
    </row>
    <row r="5178">
      <c r="A5178" t="inlineStr">
        <is>
          <t>2026-01-19</t>
        </is>
      </c>
      <c r="B5178" t="inlineStr">
        <is>
          <t>聚丙烯</t>
        </is>
      </c>
      <c r="C5178" t="inlineStr">
        <is>
          <t>多</t>
        </is>
      </c>
      <c r="D5178" t="n">
        <v>2</v>
      </c>
      <c r="E5178" t="n">
        <v>5</v>
      </c>
      <c r="F5178" t="inlineStr">
        <is>
          <t>观望</t>
        </is>
      </c>
      <c r="G5178" t="n">
        <v>7</v>
      </c>
      <c r="H5178" t="n">
        <v>6482</v>
      </c>
      <c r="I5178" t="n">
        <v>6231.71</v>
      </c>
      <c r="J5178" t="n">
        <v>1</v>
      </c>
      <c r="K5178" t="inlineStr">
        <is>
          <t>逆5日线（收盘在5日线下，不追多）</t>
        </is>
      </c>
    </row>
    <row r="5179">
      <c r="A5179" t="inlineStr">
        <is>
          <t>2026-01-19</t>
        </is>
      </c>
      <c r="B5179" t="inlineStr">
        <is>
          <t>玉米</t>
        </is>
      </c>
      <c r="C5179" t="inlineStr">
        <is>
          <t>多</t>
        </is>
      </c>
      <c r="D5179" t="n">
        <v>2</v>
      </c>
      <c r="E5179" t="n">
        <v>4</v>
      </c>
      <c r="F5179" t="inlineStr">
        <is>
          <t>观望</t>
        </is>
      </c>
      <c r="G5179" t="n">
        <v>14</v>
      </c>
      <c r="H5179" t="n">
        <v>2281</v>
      </c>
      <c r="I5179" t="n">
        <v>2210.07</v>
      </c>
      <c r="J5179" t="n">
        <v>1</v>
      </c>
      <c r="K5179" t="inlineStr">
        <is>
          <t>逆5日线（收盘在5日线下，不追多）</t>
        </is>
      </c>
    </row>
    <row r="5180">
      <c r="A5180" t="inlineStr">
        <is>
          <t>2026-01-19</t>
        </is>
      </c>
      <c r="B5180" t="inlineStr">
        <is>
          <t>氧化铝</t>
        </is>
      </c>
      <c r="C5180" t="inlineStr">
        <is>
          <t>空</t>
        </is>
      </c>
      <c r="D5180" t="n">
        <v>2</v>
      </c>
      <c r="E5180" t="n">
        <v>4</v>
      </c>
      <c r="F5180" t="inlineStr">
        <is>
          <t>影子仓</t>
        </is>
      </c>
      <c r="G5180" t="n">
        <v>1</v>
      </c>
      <c r="H5180" t="n">
        <v>2733</v>
      </c>
      <c r="I5180" t="n">
        <v>2990.79</v>
      </c>
      <c r="J5180" t="n">
        <v>1</v>
      </c>
      <c r="K5180" t="inlineStr">
        <is>
          <t>凯利≤0，开1%影子仓（只统计，不计入组合）</t>
        </is>
      </c>
    </row>
    <row r="5181">
      <c r="A5181" t="inlineStr">
        <is>
          <t>2026-01-19</t>
        </is>
      </c>
      <c r="B5181" t="inlineStr">
        <is>
          <t>玻璃</t>
        </is>
      </c>
      <c r="C5181" t="inlineStr">
        <is>
          <t>空</t>
        </is>
      </c>
      <c r="D5181" t="n">
        <v>2</v>
      </c>
      <c r="E5181" t="n">
        <v>4</v>
      </c>
      <c r="F5181" t="inlineStr">
        <is>
          <t>影子仓</t>
        </is>
      </c>
      <c r="G5181" t="n">
        <v>4</v>
      </c>
      <c r="H5181" t="n">
        <v>1070</v>
      </c>
      <c r="I5181" t="n">
        <v>1173.93</v>
      </c>
      <c r="J5181" t="n">
        <v>1</v>
      </c>
      <c r="K5181" t="inlineStr">
        <is>
          <t>凯利≤0，开1%影子仓（只统计，不计入组合）</t>
        </is>
      </c>
    </row>
    <row r="5182">
      <c r="A5182" t="inlineStr">
        <is>
          <t>2026-01-20</t>
        </is>
      </c>
      <c r="B5182" t="inlineStr">
        <is>
          <t>豆油</t>
        </is>
      </c>
      <c r="C5182" t="inlineStr">
        <is>
          <t>多</t>
        </is>
      </c>
      <c r="D5182" t="n">
        <v>3</v>
      </c>
      <c r="E5182" t="n">
        <v>7</v>
      </c>
      <c r="F5182" t="inlineStr">
        <is>
          <t>开仓</t>
        </is>
      </c>
      <c r="G5182" t="n">
        <v>12</v>
      </c>
      <c r="H5182" t="n">
        <v>8032</v>
      </c>
      <c r="I5182" t="n">
        <v>7787.71</v>
      </c>
      <c r="J5182" t="n">
        <v>3</v>
      </c>
      <c r="K5182" t="inlineStr">
        <is>
          <t>¼凯利超上限，取3%</t>
        </is>
      </c>
    </row>
    <row r="5183">
      <c r="A5183" t="inlineStr">
        <is>
          <t>2026-01-20</t>
        </is>
      </c>
      <c r="B5183" t="inlineStr">
        <is>
          <t>热卷</t>
        </is>
      </c>
      <c r="C5183" t="inlineStr">
        <is>
          <t>空</t>
        </is>
      </c>
      <c r="D5183" t="n">
        <v>3</v>
      </c>
      <c r="E5183" t="n">
        <v>6</v>
      </c>
      <c r="F5183" t="inlineStr">
        <is>
          <t>不做</t>
        </is>
      </c>
      <c r="H5183" t="n">
        <v>3276</v>
      </c>
      <c r="J5183" t="n">
        <v>0</v>
      </c>
      <c r="K5183" t="inlineStr">
        <is>
          <t>组合风险已近10%，预算缩小</t>
        </is>
      </c>
    </row>
    <row r="5184">
      <c r="A5184" t="inlineStr">
        <is>
          <t>2026-01-20</t>
        </is>
      </c>
      <c r="B5184" t="inlineStr">
        <is>
          <t>沪镍</t>
        </is>
      </c>
      <c r="C5184" t="inlineStr">
        <is>
          <t>多</t>
        </is>
      </c>
      <c r="D5184" t="n">
        <v>2</v>
      </c>
      <c r="E5184" t="n">
        <v>5</v>
      </c>
      <c r="F5184" t="inlineStr">
        <is>
          <t>观望</t>
        </is>
      </c>
      <c r="H5184" t="n">
        <v>141560</v>
      </c>
      <c r="J5184" t="n">
        <v>1</v>
      </c>
      <c r="K5184" t="inlineStr">
        <is>
          <t>逆5日线（收盘在5日线下，不追多）</t>
        </is>
      </c>
    </row>
    <row r="5185">
      <c r="A5185" t="inlineStr">
        <is>
          <t>2026-01-20</t>
        </is>
      </c>
      <c r="B5185" t="inlineStr">
        <is>
          <t>沪锌</t>
        </is>
      </c>
      <c r="C5185" t="inlineStr">
        <is>
          <t>多</t>
        </is>
      </c>
      <c r="D5185" t="n">
        <v>2</v>
      </c>
      <c r="E5185" t="n">
        <v>5</v>
      </c>
      <c r="F5185" t="inlineStr">
        <is>
          <t>观望</t>
        </is>
      </c>
      <c r="G5185" t="n">
        <v>1</v>
      </c>
      <c r="H5185" t="n">
        <v>24410</v>
      </c>
      <c r="I5185" t="n">
        <v>22897.14</v>
      </c>
      <c r="J5185" t="n">
        <v>1</v>
      </c>
      <c r="K5185" t="inlineStr">
        <is>
          <t>逆5日线（收盘在5日线下，不追多）</t>
        </is>
      </c>
    </row>
    <row r="5186">
      <c r="A5186" t="inlineStr">
        <is>
          <t>2026-01-20</t>
        </is>
      </c>
      <c r="B5186" t="inlineStr">
        <is>
          <t>沪铝</t>
        </is>
      </c>
      <c r="C5186" t="inlineStr">
        <is>
          <t>多</t>
        </is>
      </c>
      <c r="D5186" t="n">
        <v>2</v>
      </c>
      <c r="E5186" t="n">
        <v>5</v>
      </c>
      <c r="F5186" t="inlineStr">
        <is>
          <t>观望</t>
        </is>
      </c>
      <c r="H5186" t="n">
        <v>23950</v>
      </c>
      <c r="J5186" t="n">
        <v>1</v>
      </c>
      <c r="K5186" t="inlineStr">
        <is>
          <t>逆5日线（收盘在5日线下，不追多）</t>
        </is>
      </c>
    </row>
    <row r="5187">
      <c r="A5187" t="inlineStr">
        <is>
          <t>2026-01-20</t>
        </is>
      </c>
      <c r="B5187" t="inlineStr">
        <is>
          <t>玉米</t>
        </is>
      </c>
      <c r="C5187" t="inlineStr">
        <is>
          <t>多</t>
        </is>
      </c>
      <c r="D5187" t="n">
        <v>2</v>
      </c>
      <c r="E5187" t="n">
        <v>4</v>
      </c>
      <c r="F5187" t="inlineStr">
        <is>
          <t>观望</t>
        </is>
      </c>
      <c r="G5187" t="n">
        <v>14</v>
      </c>
      <c r="H5187" t="n">
        <v>2280</v>
      </c>
      <c r="I5187" t="n">
        <v>2211.64</v>
      </c>
      <c r="J5187" t="n">
        <v>1</v>
      </c>
      <c r="K5187" t="inlineStr">
        <is>
          <t>逆5日线（收盘在5日线下，不追多）</t>
        </is>
      </c>
    </row>
    <row r="5188">
      <c r="A5188" t="inlineStr">
        <is>
          <t>2026-01-20</t>
        </is>
      </c>
      <c r="B5188" t="inlineStr">
        <is>
          <t>白糖</t>
        </is>
      </c>
      <c r="C5188" t="inlineStr">
        <is>
          <t>空</t>
        </is>
      </c>
      <c r="D5188" t="n">
        <v>2</v>
      </c>
      <c r="E5188" t="n">
        <v>4</v>
      </c>
      <c r="F5188" t="inlineStr">
        <is>
          <t>续持</t>
        </is>
      </c>
      <c r="G5188" t="n">
        <v>7</v>
      </c>
      <c r="H5188" t="n">
        <v>5183</v>
      </c>
      <c r="I5188" t="n">
        <v>5306</v>
      </c>
      <c r="J5188" t="n">
        <v>1</v>
      </c>
      <c r="K5188" t="inlineStr">
        <is>
          <t>续持原仓（2026-01-13开）</t>
        </is>
      </c>
    </row>
    <row r="5189">
      <c r="A5189" t="inlineStr">
        <is>
          <t>2026-01-21</t>
        </is>
      </c>
      <c r="B5189" t="inlineStr">
        <is>
          <t>苯乙烯</t>
        </is>
      </c>
      <c r="C5189" t="inlineStr">
        <is>
          <t>多</t>
        </is>
      </c>
      <c r="D5189" t="n">
        <v>3</v>
      </c>
      <c r="E5189" t="n">
        <v>7</v>
      </c>
      <c r="F5189" t="inlineStr">
        <is>
          <t>不做</t>
        </is>
      </c>
      <c r="H5189" t="n">
        <v>7340</v>
      </c>
      <c r="J5189" t="n">
        <v>0</v>
      </c>
      <c r="K5189" t="inlineStr">
        <is>
          <t>组合风险已近10%，预算缩小</t>
        </is>
      </c>
    </row>
    <row r="5190">
      <c r="A5190" t="inlineStr">
        <is>
          <t>2026-01-21</t>
        </is>
      </c>
      <c r="B5190" t="inlineStr">
        <is>
          <t>白糖</t>
        </is>
      </c>
      <c r="C5190" t="inlineStr">
        <is>
          <t>空</t>
        </is>
      </c>
      <c r="D5190" t="n">
        <v>3</v>
      </c>
      <c r="E5190" t="n">
        <v>6</v>
      </c>
      <c r="F5190" t="inlineStr">
        <is>
          <t>续持</t>
        </is>
      </c>
      <c r="G5190" t="n">
        <v>7</v>
      </c>
      <c r="H5190" t="n">
        <v>5144</v>
      </c>
      <c r="I5190" t="n">
        <v>5274.71</v>
      </c>
      <c r="J5190" t="n">
        <v>1</v>
      </c>
      <c r="K5190" t="inlineStr">
        <is>
          <t>续持原仓（2026-01-13开）</t>
        </is>
      </c>
    </row>
    <row r="5191">
      <c r="A5191" t="inlineStr">
        <is>
          <t>2026-01-21</t>
        </is>
      </c>
      <c r="B5191" t="inlineStr">
        <is>
          <t>沪镍</t>
        </is>
      </c>
      <c r="C5191" t="inlineStr">
        <is>
          <t>多</t>
        </is>
      </c>
      <c r="D5191" t="n">
        <v>3</v>
      </c>
      <c r="E5191" t="n">
        <v>6</v>
      </c>
      <c r="F5191" t="inlineStr">
        <is>
          <t>观望</t>
        </is>
      </c>
      <c r="H5191" t="n">
        <v>143170</v>
      </c>
      <c r="J5191" t="n">
        <v>0</v>
      </c>
      <c r="K5191" t="inlineStr">
        <is>
          <t>逆5日线（收盘在5日线下，不追多）</t>
        </is>
      </c>
    </row>
    <row r="5192">
      <c r="A5192" t="inlineStr">
        <is>
          <t>2026-01-21</t>
        </is>
      </c>
      <c r="B5192" t="inlineStr">
        <is>
          <t>碳酸锂</t>
        </is>
      </c>
      <c r="C5192" t="inlineStr">
        <is>
          <t>多</t>
        </is>
      </c>
      <c r="D5192" t="n">
        <v>3</v>
      </c>
      <c r="E5192" t="n">
        <v>6</v>
      </c>
      <c r="F5192" t="inlineStr">
        <is>
          <t>不做</t>
        </is>
      </c>
      <c r="H5192" t="n">
        <v>166740</v>
      </c>
      <c r="J5192" t="n">
        <v>0</v>
      </c>
      <c r="K5192" t="inlineStr">
        <is>
          <t>组合风险已近10%，预算缩小</t>
        </is>
      </c>
    </row>
    <row r="5193">
      <c r="A5193" t="inlineStr">
        <is>
          <t>2026-01-21</t>
        </is>
      </c>
      <c r="B5193" t="inlineStr">
        <is>
          <t>玻璃</t>
        </is>
      </c>
      <c r="C5193" t="inlineStr">
        <is>
          <t>空</t>
        </is>
      </c>
      <c r="D5193" t="n">
        <v>3</v>
      </c>
      <c r="E5193" t="n">
        <v>6</v>
      </c>
      <c r="F5193" t="inlineStr">
        <is>
          <t>续持</t>
        </is>
      </c>
      <c r="G5193" t="n">
        <v>4</v>
      </c>
      <c r="H5193" t="n">
        <v>1039</v>
      </c>
      <c r="I5193" t="n">
        <v>1134.86</v>
      </c>
      <c r="J5193" t="n">
        <v>1</v>
      </c>
      <c r="K5193" t="inlineStr">
        <is>
          <t>续持原仓（2026-01-19开）</t>
        </is>
      </c>
    </row>
    <row r="5194">
      <c r="A5194" t="inlineStr">
        <is>
          <t>2026-01-21</t>
        </is>
      </c>
      <c r="B5194" t="inlineStr">
        <is>
          <t>豆油</t>
        </is>
      </c>
      <c r="C5194" t="inlineStr">
        <is>
          <t>多</t>
        </is>
      </c>
      <c r="D5194" t="n">
        <v>2</v>
      </c>
      <c r="E5194" t="n">
        <v>5</v>
      </c>
      <c r="F5194" t="inlineStr">
        <is>
          <t>续持</t>
        </is>
      </c>
      <c r="G5194" t="n">
        <v>12</v>
      </c>
      <c r="H5194" t="n">
        <v>8044</v>
      </c>
      <c r="I5194" t="n">
        <v>7829.86</v>
      </c>
      <c r="J5194" t="n">
        <v>3</v>
      </c>
      <c r="K5194" t="inlineStr">
        <is>
          <t>续持原仓（2026-01-20开）</t>
        </is>
      </c>
    </row>
    <row r="5195">
      <c r="A5195" t="inlineStr">
        <is>
          <t>2026-01-21</t>
        </is>
      </c>
      <c r="B5195" t="inlineStr">
        <is>
          <t>菜粕</t>
        </is>
      </c>
      <c r="C5195" t="inlineStr">
        <is>
          <t>空</t>
        </is>
      </c>
      <c r="D5195" t="n">
        <v>2</v>
      </c>
      <c r="E5195" t="n">
        <v>5</v>
      </c>
      <c r="F5195" t="inlineStr">
        <is>
          <t>影子仓</t>
        </is>
      </c>
      <c r="G5195" t="n">
        <v>8</v>
      </c>
      <c r="H5195" t="n">
        <v>2228</v>
      </c>
      <c r="I5195" t="n">
        <v>2345</v>
      </c>
      <c r="J5195" t="n">
        <v>1</v>
      </c>
      <c r="K5195" t="inlineStr">
        <is>
          <t>凯利≤0，开1%影子仓（只统计，不计入组合）</t>
        </is>
      </c>
    </row>
    <row r="5196">
      <c r="A5196" t="inlineStr">
        <is>
          <t>2026-01-21</t>
        </is>
      </c>
      <c r="B5196" t="inlineStr">
        <is>
          <t>聚丙烯</t>
        </is>
      </c>
      <c r="C5196" t="inlineStr">
        <is>
          <t>多</t>
        </is>
      </c>
      <c r="D5196" t="n">
        <v>2</v>
      </c>
      <c r="E5196" t="n">
        <v>5</v>
      </c>
      <c r="F5196" t="inlineStr">
        <is>
          <t>观望</t>
        </is>
      </c>
      <c r="G5196" t="n">
        <v>8</v>
      </c>
      <c r="H5196" t="n">
        <v>6485</v>
      </c>
      <c r="I5196" t="n">
        <v>6241.79</v>
      </c>
      <c r="J5196" t="n">
        <v>1</v>
      </c>
      <c r="K5196" t="inlineStr">
        <is>
          <t>逆5日线（收盘在5日线下，不追多）</t>
        </is>
      </c>
    </row>
    <row r="5197">
      <c r="A5197" t="inlineStr">
        <is>
          <t>2026-01-21</t>
        </is>
      </c>
      <c r="B5197" t="inlineStr">
        <is>
          <t>锰硅</t>
        </is>
      </c>
      <c r="C5197" t="inlineStr">
        <is>
          <t>空</t>
        </is>
      </c>
      <c r="D5197" t="n">
        <v>2</v>
      </c>
      <c r="E5197" t="n">
        <v>4</v>
      </c>
      <c r="F5197" t="inlineStr">
        <is>
          <t>影子仓</t>
        </is>
      </c>
      <c r="G5197" t="n">
        <v>7</v>
      </c>
      <c r="H5197" t="n">
        <v>5786</v>
      </c>
      <c r="I5197" t="n">
        <v>6043.57</v>
      </c>
      <c r="J5197" t="n">
        <v>1</v>
      </c>
      <c r="K5197" t="inlineStr">
        <is>
          <t>凯利≤0，开1%影子仓（只统计，不计入组合）</t>
        </is>
      </c>
    </row>
    <row r="5198">
      <c r="A5198" t="inlineStr">
        <is>
          <t>2026-01-22</t>
        </is>
      </c>
      <c r="B5198" t="inlineStr">
        <is>
          <t>苯乙烯</t>
        </is>
      </c>
      <c r="C5198" t="inlineStr">
        <is>
          <t>多</t>
        </is>
      </c>
      <c r="D5198" t="n">
        <v>3</v>
      </c>
      <c r="E5198" t="n">
        <v>7</v>
      </c>
      <c r="F5198" t="inlineStr">
        <is>
          <t>开仓</t>
        </is>
      </c>
      <c r="G5198" t="n">
        <v>4</v>
      </c>
      <c r="H5198" t="n">
        <v>7694</v>
      </c>
      <c r="I5198" t="n">
        <v>7194.29</v>
      </c>
      <c r="J5198" t="n">
        <v>1</v>
      </c>
      <c r="K5198" t="inlineStr">
        <is>
          <t>组合风险已近10%，预算缩小</t>
        </is>
      </c>
    </row>
    <row r="5199">
      <c r="A5199" t="inlineStr">
        <is>
          <t>2026-01-22</t>
        </is>
      </c>
      <c r="B5199" t="inlineStr">
        <is>
          <t>碳酸锂</t>
        </is>
      </c>
      <c r="C5199" t="inlineStr">
        <is>
          <t>多</t>
        </is>
      </c>
      <c r="D5199" t="n">
        <v>3</v>
      </c>
      <c r="E5199" t="n">
        <v>7</v>
      </c>
      <c r="F5199" t="inlineStr">
        <is>
          <t>不做</t>
        </is>
      </c>
      <c r="H5199" t="n">
        <v>168780</v>
      </c>
      <c r="J5199" t="n">
        <v>0</v>
      </c>
      <c r="K5199" t="inlineStr">
        <is>
          <t>组合风险已近10%，预算缩小</t>
        </is>
      </c>
    </row>
    <row r="5200">
      <c r="A5200" t="inlineStr">
        <is>
          <t>2026-01-22</t>
        </is>
      </c>
      <c r="B5200" t="inlineStr">
        <is>
          <t>豆油</t>
        </is>
      </c>
      <c r="C5200" t="inlineStr">
        <is>
          <t>多</t>
        </is>
      </c>
      <c r="D5200" t="n">
        <v>3</v>
      </c>
      <c r="E5200" t="n">
        <v>6</v>
      </c>
      <c r="F5200" t="inlineStr">
        <is>
          <t>续持</t>
        </is>
      </c>
      <c r="G5200" t="n">
        <v>12</v>
      </c>
      <c r="H5200" t="n">
        <v>8084</v>
      </c>
      <c r="I5200" t="n">
        <v>7879.71</v>
      </c>
      <c r="J5200" t="n">
        <v>3</v>
      </c>
      <c r="K5200" t="inlineStr">
        <is>
          <t>续持原仓（2026-01-20开）</t>
        </is>
      </c>
    </row>
    <row r="5201">
      <c r="A5201" t="inlineStr">
        <is>
          <t>2026-01-22</t>
        </is>
      </c>
      <c r="B5201" t="inlineStr">
        <is>
          <t>白糖</t>
        </is>
      </c>
      <c r="C5201" t="inlineStr">
        <is>
          <t>空</t>
        </is>
      </c>
      <c r="D5201" t="n">
        <v>2</v>
      </c>
      <c r="E5201" t="n">
        <v>5</v>
      </c>
      <c r="F5201" t="inlineStr">
        <is>
          <t>续持</t>
        </is>
      </c>
      <c r="G5201" t="n">
        <v>7</v>
      </c>
      <c r="H5201" t="n">
        <v>5158</v>
      </c>
      <c r="I5201" t="n">
        <v>5262.21</v>
      </c>
      <c r="J5201" t="n">
        <v>1</v>
      </c>
      <c r="K5201" t="inlineStr">
        <is>
          <t>续持原仓（2026-01-13开）</t>
        </is>
      </c>
    </row>
    <row r="5202">
      <c r="A5202" t="inlineStr">
        <is>
          <t>2026-01-22</t>
        </is>
      </c>
      <c r="B5202" t="inlineStr">
        <is>
          <t>沪镍</t>
        </is>
      </c>
      <c r="C5202" t="inlineStr">
        <is>
          <t>多</t>
        </is>
      </c>
      <c r="D5202" t="n">
        <v>2</v>
      </c>
      <c r="E5202" t="n">
        <v>5</v>
      </c>
      <c r="F5202" t="inlineStr">
        <is>
          <t>续持</t>
        </is>
      </c>
      <c r="G5202" t="n">
        <v>1</v>
      </c>
      <c r="H5202" t="n">
        <v>142740</v>
      </c>
      <c r="I5202" t="n">
        <v>123562.14</v>
      </c>
      <c r="J5202" t="n">
        <v>3</v>
      </c>
      <c r="K5202" t="inlineStr">
        <is>
          <t>续持原仓（2026-01-19开）</t>
        </is>
      </c>
    </row>
    <row r="5203">
      <c r="A5203" t="inlineStr">
        <is>
          <t>2026-01-22</t>
        </is>
      </c>
      <c r="B5203" t="inlineStr">
        <is>
          <t>沪锌</t>
        </is>
      </c>
      <c r="C5203" t="inlineStr">
        <is>
          <t>多</t>
        </is>
      </c>
      <c r="D5203" t="n">
        <v>2</v>
      </c>
      <c r="E5203" t="n">
        <v>5</v>
      </c>
      <c r="F5203" t="inlineStr">
        <is>
          <t>观望</t>
        </is>
      </c>
      <c r="G5203" t="n">
        <v>1</v>
      </c>
      <c r="H5203" t="n">
        <v>24400</v>
      </c>
      <c r="I5203" t="n">
        <v>22889.29</v>
      </c>
      <c r="J5203" t="n">
        <v>1</v>
      </c>
      <c r="K5203" t="inlineStr">
        <is>
          <t>逆5日线（收盘在5日线下，不追多）</t>
        </is>
      </c>
    </row>
    <row r="5204">
      <c r="A5204" t="inlineStr">
        <is>
          <t>2026-01-23</t>
        </is>
      </c>
      <c r="B5204" t="inlineStr">
        <is>
          <t>沪锌</t>
        </is>
      </c>
      <c r="C5204" t="inlineStr">
        <is>
          <t>多</t>
        </is>
      </c>
      <c r="D5204" t="n">
        <v>3</v>
      </c>
      <c r="E5204" t="n">
        <v>7</v>
      </c>
      <c r="F5204" t="inlineStr">
        <is>
          <t>开仓</t>
        </is>
      </c>
      <c r="G5204" t="n">
        <v>4</v>
      </c>
      <c r="H5204" t="n">
        <v>24585</v>
      </c>
      <c r="I5204" t="n">
        <v>23124.64</v>
      </c>
      <c r="J5204" t="n">
        <v>3</v>
      </c>
      <c r="K5204" t="inlineStr">
        <is>
          <t>¼凯利超上限，取3%</t>
        </is>
      </c>
    </row>
    <row r="5205">
      <c r="A5205" t="inlineStr">
        <is>
          <t>2026-01-23</t>
        </is>
      </c>
      <c r="B5205" t="inlineStr">
        <is>
          <t>碳酸锂</t>
        </is>
      </c>
      <c r="C5205" t="inlineStr">
        <is>
          <t>多</t>
        </is>
      </c>
      <c r="D5205" t="n">
        <v>3</v>
      </c>
      <c r="E5205" t="n">
        <v>7</v>
      </c>
      <c r="F5205" t="inlineStr">
        <is>
          <t>不做</t>
        </is>
      </c>
      <c r="H5205" t="n">
        <v>181520</v>
      </c>
      <c r="J5205" t="n">
        <v>1</v>
      </c>
      <c r="K5205" t="inlineStr">
        <is>
          <t>1手风险37119元超过预算10000元</t>
        </is>
      </c>
    </row>
    <row r="5206">
      <c r="A5206" t="inlineStr">
        <is>
          <t>2026-01-23</t>
        </is>
      </c>
      <c r="B5206" t="inlineStr">
        <is>
          <t>白糖</t>
        </is>
      </c>
      <c r="C5206" t="inlineStr">
        <is>
          <t>空</t>
        </is>
      </c>
      <c r="D5206" t="n">
        <v>2</v>
      </c>
      <c r="E5206" t="n">
        <v>5</v>
      </c>
      <c r="F5206" t="inlineStr">
        <is>
          <t>续持</t>
        </is>
      </c>
      <c r="G5206" t="n">
        <v>7</v>
      </c>
      <c r="H5206" t="n">
        <v>5180</v>
      </c>
      <c r="I5206" t="n">
        <v>5260.07</v>
      </c>
      <c r="J5206" t="n">
        <v>1</v>
      </c>
      <c r="K5206" t="inlineStr">
        <is>
          <t>续持原仓（2026-01-13开）</t>
        </is>
      </c>
    </row>
    <row r="5207">
      <c r="A5207" t="inlineStr">
        <is>
          <t>2026-01-23</t>
        </is>
      </c>
      <c r="B5207" t="inlineStr">
        <is>
          <t>豆油</t>
        </is>
      </c>
      <c r="C5207" t="inlineStr">
        <is>
          <t>多</t>
        </is>
      </c>
      <c r="D5207" t="n">
        <v>2</v>
      </c>
      <c r="E5207" t="n">
        <v>5</v>
      </c>
      <c r="F5207" t="inlineStr">
        <is>
          <t>续持</t>
        </is>
      </c>
      <c r="G5207" t="n">
        <v>12</v>
      </c>
      <c r="H5207" t="n">
        <v>8094</v>
      </c>
      <c r="I5207" t="n">
        <v>7885.71</v>
      </c>
      <c r="J5207" t="n">
        <v>3</v>
      </c>
      <c r="K5207" t="inlineStr">
        <is>
          <t>续持原仓（2026-01-20开）</t>
        </is>
      </c>
    </row>
    <row r="5208">
      <c r="A5208" t="inlineStr">
        <is>
          <t>2026-01-23</t>
        </is>
      </c>
      <c r="B5208" t="inlineStr">
        <is>
          <t>菜粕</t>
        </is>
      </c>
      <c r="C5208" t="inlineStr">
        <is>
          <t>空</t>
        </is>
      </c>
      <c r="D5208" t="n">
        <v>2</v>
      </c>
      <c r="E5208" t="n">
        <v>5</v>
      </c>
      <c r="F5208" t="inlineStr">
        <is>
          <t>观望</t>
        </is>
      </c>
      <c r="G5208" t="n">
        <v>8</v>
      </c>
      <c r="H5208" t="n">
        <v>2235</v>
      </c>
      <c r="I5208" t="n">
        <v>2347.5</v>
      </c>
      <c r="J5208" t="n">
        <v>1</v>
      </c>
      <c r="K5208" t="inlineStr">
        <is>
          <t>逆5日线（收盘在5日线上，不追空）</t>
        </is>
      </c>
    </row>
    <row r="5209">
      <c r="A5209" t="inlineStr">
        <is>
          <t>2026-01-23</t>
        </is>
      </c>
      <c r="B5209" t="inlineStr">
        <is>
          <t>玉米</t>
        </is>
      </c>
      <c r="C5209" t="inlineStr">
        <is>
          <t>多</t>
        </is>
      </c>
      <c r="D5209" t="n">
        <v>2</v>
      </c>
      <c r="E5209" t="n">
        <v>4</v>
      </c>
      <c r="F5209" t="inlineStr">
        <is>
          <t>影子仓</t>
        </is>
      </c>
      <c r="G5209" t="n">
        <v>15</v>
      </c>
      <c r="H5209" t="n">
        <v>2300</v>
      </c>
      <c r="I5209" t="n">
        <v>2233.57</v>
      </c>
      <c r="J5209" t="n">
        <v>1</v>
      </c>
      <c r="K5209" t="inlineStr">
        <is>
          <t>凯利≤0，开1%影子仓（只统计，不计入组合）</t>
        </is>
      </c>
    </row>
    <row r="5210">
      <c r="A5210" t="inlineStr">
        <is>
          <t>2026-01-23</t>
        </is>
      </c>
      <c r="B5210" t="inlineStr">
        <is>
          <t>PTA</t>
        </is>
      </c>
      <c r="C5210" t="inlineStr">
        <is>
          <t>多</t>
        </is>
      </c>
      <c r="D5210" t="n">
        <v>2</v>
      </c>
      <c r="E5210" t="n">
        <v>4</v>
      </c>
      <c r="F5210" t="inlineStr">
        <is>
          <t>影子仓</t>
        </is>
      </c>
      <c r="G5210" t="n">
        <v>5</v>
      </c>
      <c r="H5210" t="n">
        <v>5448</v>
      </c>
      <c r="I5210" t="n">
        <v>5088</v>
      </c>
      <c r="J5210" t="n">
        <v>1</v>
      </c>
      <c r="K5210" t="inlineStr">
        <is>
          <t>凯利≤0，开1%影子仓（只统计，不计入组合）</t>
        </is>
      </c>
    </row>
    <row r="5211">
      <c r="A5211" t="inlineStr">
        <is>
          <t>2026-01-26</t>
        </is>
      </c>
      <c r="B5211" t="inlineStr">
        <is>
          <t>沪金</t>
        </is>
      </c>
      <c r="C5211" t="inlineStr">
        <is>
          <t>多</t>
        </is>
      </c>
      <c r="D5211" t="n">
        <v>3</v>
      </c>
      <c r="E5211" t="n">
        <v>7</v>
      </c>
      <c r="F5211" t="inlineStr">
        <is>
          <t>不做</t>
        </is>
      </c>
      <c r="H5211" t="n">
        <v>1143.32</v>
      </c>
      <c r="J5211" t="n">
        <v>1</v>
      </c>
      <c r="K5211" t="inlineStr">
        <is>
          <t>1手风险65413元超过预算10000元</t>
        </is>
      </c>
    </row>
    <row r="5212">
      <c r="A5212" t="inlineStr">
        <is>
          <t>2026-01-26</t>
        </is>
      </c>
      <c r="B5212" t="inlineStr">
        <is>
          <t>豆油</t>
        </is>
      </c>
      <c r="C5212" t="inlineStr">
        <is>
          <t>多</t>
        </is>
      </c>
      <c r="D5212" t="n">
        <v>3</v>
      </c>
      <c r="E5212" t="n">
        <v>7</v>
      </c>
      <c r="F5212" t="inlineStr">
        <is>
          <t>续持</t>
        </is>
      </c>
      <c r="G5212" t="n">
        <v>12</v>
      </c>
      <c r="H5212" t="n">
        <v>8226</v>
      </c>
      <c r="I5212" t="n">
        <v>7987.14</v>
      </c>
      <c r="J5212" t="n">
        <v>3</v>
      </c>
      <c r="K5212" t="inlineStr">
        <is>
          <t>续持原仓（2026-01-20开）</t>
        </is>
      </c>
    </row>
    <row r="5213">
      <c r="A5213" t="inlineStr">
        <is>
          <t>2026-01-26</t>
        </is>
      </c>
      <c r="B5213" t="inlineStr">
        <is>
          <t>沪锌</t>
        </is>
      </c>
      <c r="C5213" t="inlineStr">
        <is>
          <t>多</t>
        </is>
      </c>
      <c r="D5213" t="n">
        <v>3</v>
      </c>
      <c r="E5213" t="n">
        <v>7</v>
      </c>
      <c r="F5213" t="inlineStr">
        <is>
          <t>续持</t>
        </is>
      </c>
      <c r="G5213" t="n">
        <v>4</v>
      </c>
      <c r="H5213" t="n">
        <v>24725</v>
      </c>
      <c r="I5213" t="n">
        <v>23494.64</v>
      </c>
      <c r="J5213" t="n">
        <v>3</v>
      </c>
      <c r="K5213" t="inlineStr">
        <is>
          <t>续持原仓（2026-01-23开）</t>
        </is>
      </c>
    </row>
    <row r="5214">
      <c r="A5214" t="inlineStr">
        <is>
          <t>2026-01-26</t>
        </is>
      </c>
      <c r="B5214" t="inlineStr">
        <is>
          <t>塑料</t>
        </is>
      </c>
      <c r="C5214" t="inlineStr">
        <is>
          <t>多</t>
        </is>
      </c>
      <c r="D5214" t="n">
        <v>3</v>
      </c>
      <c r="E5214" t="n">
        <v>7</v>
      </c>
      <c r="F5214" t="inlineStr">
        <is>
          <t>开仓</t>
        </is>
      </c>
      <c r="G5214" t="n">
        <v>6</v>
      </c>
      <c r="H5214" t="n">
        <v>6935</v>
      </c>
      <c r="I5214" t="n">
        <v>6615.29</v>
      </c>
      <c r="J5214" t="n">
        <v>1</v>
      </c>
      <c r="K5214" t="inlineStr">
        <is>
          <t>组合风险已近10%，预算缩小</t>
        </is>
      </c>
    </row>
    <row r="5215">
      <c r="A5215" t="inlineStr">
        <is>
          <t>2026-01-26</t>
        </is>
      </c>
      <c r="B5215" t="inlineStr">
        <is>
          <t>苯乙烯</t>
        </is>
      </c>
      <c r="C5215" t="inlineStr">
        <is>
          <t>多</t>
        </is>
      </c>
      <c r="D5215" t="n">
        <v>3</v>
      </c>
      <c r="E5215" t="n">
        <v>6</v>
      </c>
      <c r="F5215" t="inlineStr">
        <is>
          <t>不做</t>
        </is>
      </c>
      <c r="H5215" t="n">
        <v>7702</v>
      </c>
      <c r="J5215" t="n">
        <v>0</v>
      </c>
      <c r="K5215" t="inlineStr">
        <is>
          <t>组合风险已近10%，预算缩小</t>
        </is>
      </c>
    </row>
    <row r="5216">
      <c r="A5216" t="inlineStr">
        <is>
          <t>2026-01-26</t>
        </is>
      </c>
      <c r="B5216" t="inlineStr">
        <is>
          <t>螺纹钢</t>
        </is>
      </c>
      <c r="C5216" t="inlineStr">
        <is>
          <t>空</t>
        </is>
      </c>
      <c r="D5216" t="n">
        <v>3</v>
      </c>
      <c r="E5216" t="n">
        <v>6</v>
      </c>
      <c r="F5216" t="inlineStr">
        <is>
          <t>观望</t>
        </is>
      </c>
      <c r="H5216" t="n">
        <v>3143</v>
      </c>
      <c r="J5216" t="n">
        <v>0</v>
      </c>
      <c r="K5216" t="inlineStr">
        <is>
          <t>逆5日线（收盘在5日线上，不追空）</t>
        </is>
      </c>
    </row>
    <row r="5217">
      <c r="A5217" t="inlineStr">
        <is>
          <t>2026-01-26</t>
        </is>
      </c>
      <c r="B5217" t="inlineStr">
        <is>
          <t>铁矿石</t>
        </is>
      </c>
      <c r="C5217" t="inlineStr">
        <is>
          <t>空</t>
        </is>
      </c>
      <c r="D5217" t="n">
        <v>2</v>
      </c>
      <c r="E5217" t="n">
        <v>4</v>
      </c>
      <c r="F5217" t="inlineStr">
        <is>
          <t>影子仓</t>
        </is>
      </c>
      <c r="G5217" t="n">
        <v>2</v>
      </c>
      <c r="H5217" t="n">
        <v>784.5</v>
      </c>
      <c r="I5217" t="n">
        <v>828.75</v>
      </c>
      <c r="J5217" t="n">
        <v>1</v>
      </c>
      <c r="K5217" t="inlineStr">
        <is>
          <t>凯利≤0，开1%影子仓（只统计，不计入组合）</t>
        </is>
      </c>
    </row>
    <row r="5218">
      <c r="A5218" t="inlineStr">
        <is>
          <t>2026-01-27</t>
        </is>
      </c>
      <c r="B5218" t="inlineStr">
        <is>
          <t>沪金</t>
        </is>
      </c>
      <c r="C5218" t="inlineStr">
        <is>
          <t>多</t>
        </is>
      </c>
      <c r="D5218" t="n">
        <v>3</v>
      </c>
      <c r="E5218" t="n">
        <v>7</v>
      </c>
      <c r="F5218" t="inlineStr">
        <is>
          <t>不做</t>
        </is>
      </c>
      <c r="H5218" t="n">
        <v>1148.38</v>
      </c>
      <c r="J5218" t="n">
        <v>0</v>
      </c>
      <c r="K5218" t="inlineStr">
        <is>
          <t>组合风险已近10%，预算缩小</t>
        </is>
      </c>
    </row>
    <row r="5219">
      <c r="A5219" t="inlineStr">
        <is>
          <t>2026-01-27</t>
        </is>
      </c>
      <c r="B5219" t="inlineStr">
        <is>
          <t>豆油</t>
        </is>
      </c>
      <c r="C5219" t="inlineStr">
        <is>
          <t>多</t>
        </is>
      </c>
      <c r="D5219" t="n">
        <v>3</v>
      </c>
      <c r="E5219" t="n">
        <v>7</v>
      </c>
      <c r="F5219" t="inlineStr">
        <is>
          <t>续持</t>
        </is>
      </c>
      <c r="G5219" t="n">
        <v>12</v>
      </c>
      <c r="H5219" t="n">
        <v>8258</v>
      </c>
      <c r="I5219" t="n">
        <v>8019</v>
      </c>
      <c r="J5219" t="n">
        <v>3</v>
      </c>
      <c r="K5219" t="inlineStr">
        <is>
          <t>续持原仓（2026-01-20开）</t>
        </is>
      </c>
    </row>
    <row r="5220">
      <c r="A5220" t="inlineStr">
        <is>
          <t>2026-01-27</t>
        </is>
      </c>
      <c r="B5220" t="inlineStr">
        <is>
          <t>塑料</t>
        </is>
      </c>
      <c r="C5220" t="inlineStr">
        <is>
          <t>多</t>
        </is>
      </c>
      <c r="D5220" t="n">
        <v>3</v>
      </c>
      <c r="E5220" t="n">
        <v>6</v>
      </c>
      <c r="F5220" t="inlineStr">
        <is>
          <t>续持</t>
        </is>
      </c>
      <c r="G5220" t="n">
        <v>6</v>
      </c>
      <c r="H5220" t="n">
        <v>6899</v>
      </c>
      <c r="I5220" t="n">
        <v>6596.64</v>
      </c>
      <c r="J5220" t="n">
        <v>1</v>
      </c>
      <c r="K5220" t="inlineStr">
        <is>
          <t>续持原仓（2026-01-26开）</t>
        </is>
      </c>
    </row>
    <row r="5221">
      <c r="A5221" t="inlineStr">
        <is>
          <t>2026-01-27</t>
        </is>
      </c>
      <c r="B5221" t="inlineStr">
        <is>
          <t>碳酸锂</t>
        </is>
      </c>
      <c r="C5221" t="inlineStr">
        <is>
          <t>多</t>
        </is>
      </c>
      <c r="D5221" t="n">
        <v>3</v>
      </c>
      <c r="E5221" t="n">
        <v>6</v>
      </c>
      <c r="F5221" t="inlineStr">
        <is>
          <t>不做</t>
        </is>
      </c>
      <c r="H5221" t="n">
        <v>179600</v>
      </c>
      <c r="J5221" t="n">
        <v>0</v>
      </c>
      <c r="K5221" t="inlineStr">
        <is>
          <t>组合风险已近10%，预算缩小</t>
        </is>
      </c>
    </row>
    <row r="5222">
      <c r="A5222" t="inlineStr">
        <is>
          <t>2026-01-27</t>
        </is>
      </c>
      <c r="B5222" t="inlineStr">
        <is>
          <t>沪锌</t>
        </is>
      </c>
      <c r="C5222" t="inlineStr">
        <is>
          <t>多</t>
        </is>
      </c>
      <c r="D5222" t="n">
        <v>2</v>
      </c>
      <c r="E5222" t="n">
        <v>5</v>
      </c>
      <c r="F5222" t="inlineStr">
        <is>
          <t>续持</t>
        </is>
      </c>
      <c r="G5222" t="n">
        <v>4</v>
      </c>
      <c r="H5222" t="n">
        <v>24950</v>
      </c>
      <c r="I5222" t="n">
        <v>23851.79</v>
      </c>
      <c r="J5222" t="n">
        <v>3</v>
      </c>
      <c r="K5222" t="inlineStr">
        <is>
          <t>续持原仓（2026-01-23开）</t>
        </is>
      </c>
    </row>
    <row r="5223">
      <c r="A5223" t="inlineStr">
        <is>
          <t>2026-01-27</t>
        </is>
      </c>
      <c r="B5223" t="inlineStr">
        <is>
          <t>螺纹钢</t>
        </is>
      </c>
      <c r="C5223" t="inlineStr">
        <is>
          <t>空</t>
        </is>
      </c>
      <c r="D5223" t="n">
        <v>2</v>
      </c>
      <c r="E5223" t="n">
        <v>5</v>
      </c>
      <c r="F5223" t="inlineStr">
        <is>
          <t>影子仓</t>
        </is>
      </c>
      <c r="G5223" t="n">
        <v>11</v>
      </c>
      <c r="H5223" t="n">
        <v>3126</v>
      </c>
      <c r="I5223" t="n">
        <v>3214.93</v>
      </c>
      <c r="J5223" t="n">
        <v>1</v>
      </c>
      <c r="K5223" t="inlineStr">
        <is>
          <t>凯利≤0，开1%影子仓（只统计，不计入组合）</t>
        </is>
      </c>
    </row>
    <row r="5224">
      <c r="A5224" t="inlineStr">
        <is>
          <t>2026-01-28</t>
        </is>
      </c>
      <c r="B5224" t="inlineStr">
        <is>
          <t>沪锌</t>
        </is>
      </c>
      <c r="C5224" t="inlineStr">
        <is>
          <t>多</t>
        </is>
      </c>
      <c r="D5224" t="n">
        <v>3</v>
      </c>
      <c r="E5224" t="n">
        <v>7</v>
      </c>
      <c r="F5224" t="inlineStr">
        <is>
          <t>续持</t>
        </is>
      </c>
      <c r="G5224" t="n">
        <v>4</v>
      </c>
      <c r="H5224" t="n">
        <v>25605</v>
      </c>
      <c r="I5224" t="n">
        <v>24143.93</v>
      </c>
      <c r="J5224" t="n">
        <v>3</v>
      </c>
      <c r="K5224" t="inlineStr">
        <is>
          <t>续持原仓（2026-01-23开）</t>
        </is>
      </c>
    </row>
    <row r="5225">
      <c r="A5225" t="inlineStr">
        <is>
          <t>2026-01-28</t>
        </is>
      </c>
      <c r="B5225" t="inlineStr">
        <is>
          <t>豆油</t>
        </is>
      </c>
      <c r="C5225" t="inlineStr">
        <is>
          <t>多</t>
        </is>
      </c>
      <c r="D5225" t="n">
        <v>3</v>
      </c>
      <c r="E5225" t="n">
        <v>7</v>
      </c>
      <c r="F5225" t="inlineStr">
        <is>
          <t>续持</t>
        </is>
      </c>
      <c r="G5225" t="n">
        <v>12</v>
      </c>
      <c r="H5225" t="n">
        <v>8326</v>
      </c>
      <c r="I5225" t="n">
        <v>8085.14</v>
      </c>
      <c r="J5225" t="n">
        <v>3</v>
      </c>
      <c r="K5225" t="inlineStr">
        <is>
          <t>续持原仓（2026-01-20开）</t>
        </is>
      </c>
    </row>
    <row r="5226">
      <c r="A5226" t="inlineStr">
        <is>
          <t>2026-01-28</t>
        </is>
      </c>
      <c r="B5226" t="inlineStr">
        <is>
          <t>塑料</t>
        </is>
      </c>
      <c r="C5226" t="inlineStr">
        <is>
          <t>多</t>
        </is>
      </c>
      <c r="D5226" t="n">
        <v>3</v>
      </c>
      <c r="E5226" t="n">
        <v>7</v>
      </c>
      <c r="F5226" t="inlineStr">
        <is>
          <t>续持</t>
        </is>
      </c>
      <c r="G5226" t="n">
        <v>6</v>
      </c>
      <c r="H5226" t="n">
        <v>6967</v>
      </c>
      <c r="I5226" t="n">
        <v>6670.36</v>
      </c>
      <c r="J5226" t="n">
        <v>1</v>
      </c>
      <c r="K5226" t="inlineStr">
        <is>
          <t>续持原仓（2026-01-26开）</t>
        </is>
      </c>
    </row>
    <row r="5227">
      <c r="A5227" t="inlineStr">
        <is>
          <t>2026-01-28</t>
        </is>
      </c>
      <c r="B5227" t="inlineStr">
        <is>
          <t>沪金</t>
        </is>
      </c>
      <c r="C5227" t="inlineStr">
        <is>
          <t>多</t>
        </is>
      </c>
      <c r="D5227" t="n">
        <v>3</v>
      </c>
      <c r="E5227" t="n">
        <v>6</v>
      </c>
      <c r="F5227" t="inlineStr">
        <is>
          <t>不做</t>
        </is>
      </c>
      <c r="H5227" t="n">
        <v>1186.2</v>
      </c>
      <c r="J5227" t="n">
        <v>0</v>
      </c>
      <c r="K5227" t="inlineStr">
        <is>
          <t>组合风险已近10%，预算缩小</t>
        </is>
      </c>
    </row>
    <row r="5228">
      <c r="A5228" t="inlineStr">
        <is>
          <t>2026-01-28</t>
        </is>
      </c>
      <c r="B5228" t="inlineStr">
        <is>
          <t>聚丙烯</t>
        </is>
      </c>
      <c r="C5228" t="inlineStr">
        <is>
          <t>多</t>
        </is>
      </c>
      <c r="D5228" t="n">
        <v>3</v>
      </c>
      <c r="E5228" t="n">
        <v>6</v>
      </c>
      <c r="F5228" t="inlineStr">
        <is>
          <t>不做</t>
        </is>
      </c>
      <c r="H5228" t="n">
        <v>6778</v>
      </c>
      <c r="J5228" t="n">
        <v>0</v>
      </c>
      <c r="K5228" t="inlineStr">
        <is>
          <t>组合风险已近10%，预算缩小</t>
        </is>
      </c>
    </row>
    <row r="5229">
      <c r="A5229" t="inlineStr">
        <is>
          <t>2026-01-29</t>
        </is>
      </c>
      <c r="B5229" t="inlineStr">
        <is>
          <t>豆油</t>
        </is>
      </c>
      <c r="C5229" t="inlineStr">
        <is>
          <t>多</t>
        </is>
      </c>
      <c r="D5229" t="n">
        <v>3</v>
      </c>
      <c r="E5229" t="n">
        <v>7</v>
      </c>
      <c r="F5229" t="inlineStr">
        <is>
          <t>续持</t>
        </is>
      </c>
      <c r="G5229" t="n">
        <v>12</v>
      </c>
      <c r="H5229" t="n">
        <v>8382</v>
      </c>
      <c r="I5229" t="n">
        <v>8134.43</v>
      </c>
      <c r="J5229" t="n">
        <v>3</v>
      </c>
      <c r="K5229" t="inlineStr">
        <is>
          <t>续持原仓（2026-01-20开）</t>
        </is>
      </c>
    </row>
    <row r="5230">
      <c r="A5230" t="inlineStr">
        <is>
          <t>2026-01-29</t>
        </is>
      </c>
      <c r="B5230" t="inlineStr">
        <is>
          <t>沪锌</t>
        </is>
      </c>
      <c r="C5230" t="inlineStr">
        <is>
          <t>多</t>
        </is>
      </c>
      <c r="D5230" t="n">
        <v>3</v>
      </c>
      <c r="E5230" t="n">
        <v>7</v>
      </c>
      <c r="F5230" t="inlineStr">
        <is>
          <t>续持</t>
        </is>
      </c>
      <c r="G5230" t="n">
        <v>4</v>
      </c>
      <c r="H5230" t="n">
        <v>25950</v>
      </c>
      <c r="I5230" t="n">
        <v>24641.43</v>
      </c>
      <c r="J5230" t="n">
        <v>3</v>
      </c>
      <c r="K5230" t="inlineStr">
        <is>
          <t>续持原仓（2026-01-23开）</t>
        </is>
      </c>
    </row>
    <row r="5231">
      <c r="A5231" t="inlineStr">
        <is>
          <t>2026-01-29</t>
        </is>
      </c>
      <c r="B5231" t="inlineStr">
        <is>
          <t>沪银</t>
        </is>
      </c>
      <c r="C5231" t="inlineStr">
        <is>
          <t>多</t>
        </is>
      </c>
      <c r="D5231" t="n">
        <v>3</v>
      </c>
      <c r="E5231" t="n">
        <v>7</v>
      </c>
      <c r="F5231" t="inlineStr">
        <is>
          <t>不做</t>
        </is>
      </c>
      <c r="H5231" t="n">
        <v>30891</v>
      </c>
      <c r="J5231" t="n">
        <v>1</v>
      </c>
      <c r="K5231" t="inlineStr">
        <is>
          <t>1手风险86779元超过预算10000元</t>
        </is>
      </c>
    </row>
    <row r="5232">
      <c r="A5232" t="inlineStr">
        <is>
          <t>2026-01-29</t>
        </is>
      </c>
      <c r="B5232" t="inlineStr">
        <is>
          <t>苯乙烯</t>
        </is>
      </c>
      <c r="C5232" t="inlineStr">
        <is>
          <t>多</t>
        </is>
      </c>
      <c r="D5232" t="n">
        <v>3</v>
      </c>
      <c r="E5232" t="n">
        <v>7</v>
      </c>
      <c r="F5232" t="inlineStr">
        <is>
          <t>开仓</t>
        </is>
      </c>
      <c r="G5232" t="n">
        <v>3</v>
      </c>
      <c r="H5232" t="n">
        <v>7913</v>
      </c>
      <c r="I5232" t="n">
        <v>7301.64</v>
      </c>
      <c r="J5232" t="n">
        <v>1</v>
      </c>
      <c r="K5232" t="inlineStr">
        <is>
          <t>组合风险已近10%，预算缩小</t>
        </is>
      </c>
    </row>
    <row r="5233">
      <c r="A5233" t="inlineStr">
        <is>
          <t>2026-01-29</t>
        </is>
      </c>
      <c r="B5233" t="inlineStr">
        <is>
          <t>沥青</t>
        </is>
      </c>
      <c r="C5233" t="inlineStr">
        <is>
          <t>多</t>
        </is>
      </c>
      <c r="D5233" t="n">
        <v>3</v>
      </c>
      <c r="E5233" t="n">
        <v>6</v>
      </c>
      <c r="F5233" t="inlineStr">
        <is>
          <t>不做</t>
        </is>
      </c>
      <c r="H5233" t="n">
        <v>3478</v>
      </c>
      <c r="J5233" t="n">
        <v>0</v>
      </c>
      <c r="K5233" t="inlineStr">
        <is>
          <t>组合风险已近10%，预算缩小</t>
        </is>
      </c>
    </row>
    <row r="5234">
      <c r="A5234" t="inlineStr">
        <is>
          <t>2026-01-30</t>
        </is>
      </c>
      <c r="B5234" t="inlineStr">
        <is>
          <t>豆油</t>
        </is>
      </c>
      <c r="C5234" t="inlineStr">
        <is>
          <t>多</t>
        </is>
      </c>
      <c r="D5234" t="n">
        <v>2</v>
      </c>
      <c r="E5234" t="n">
        <v>5</v>
      </c>
      <c r="F5234" t="inlineStr">
        <is>
          <t>观望</t>
        </is>
      </c>
      <c r="G5234" t="n">
        <v>3</v>
      </c>
      <c r="H5234" t="n">
        <v>8282</v>
      </c>
      <c r="I5234" t="n">
        <v>7997.43</v>
      </c>
      <c r="J5234" t="n">
        <v>1</v>
      </c>
      <c r="K5234" t="inlineStr">
        <is>
          <t>逆5日线（收盘在5日线下，不追多）</t>
        </is>
      </c>
    </row>
    <row r="5235">
      <c r="A5235" t="inlineStr">
        <is>
          <t>2026-01-30</t>
        </is>
      </c>
      <c r="B5235" t="inlineStr">
        <is>
          <t>塑料</t>
        </is>
      </c>
      <c r="C5235" t="inlineStr">
        <is>
          <t>多</t>
        </is>
      </c>
      <c r="D5235" t="n">
        <v>2</v>
      </c>
      <c r="E5235" t="n">
        <v>5</v>
      </c>
      <c r="F5235" t="inlineStr">
        <is>
          <t>影子仓</t>
        </is>
      </c>
      <c r="G5235" t="n">
        <v>5</v>
      </c>
      <c r="H5235" t="n">
        <v>7014</v>
      </c>
      <c r="I5235" t="n">
        <v>6669.21</v>
      </c>
      <c r="J5235" t="n">
        <v>1</v>
      </c>
      <c r="K5235" t="inlineStr">
        <is>
          <t>凯利≤0，开1%影子仓（只统计，不计入组合）</t>
        </is>
      </c>
    </row>
    <row r="5236">
      <c r="A5236" t="inlineStr">
        <is>
          <t>2026-01-30</t>
        </is>
      </c>
      <c r="B5236" t="inlineStr">
        <is>
          <t>锰硅</t>
        </is>
      </c>
      <c r="C5236" t="inlineStr">
        <is>
          <t>空</t>
        </is>
      </c>
      <c r="D5236" t="n">
        <v>2</v>
      </c>
      <c r="E5236" t="n">
        <v>5</v>
      </c>
      <c r="F5236" t="inlineStr">
        <is>
          <t>观望</t>
        </is>
      </c>
      <c r="G5236" t="n">
        <v>9</v>
      </c>
      <c r="H5236" t="n">
        <v>5872</v>
      </c>
      <c r="I5236" t="n">
        <v>6082.43</v>
      </c>
      <c r="J5236" t="n">
        <v>1</v>
      </c>
      <c r="K5236" t="inlineStr">
        <is>
          <t>逆5日线（收盘在5日线上，不追空）</t>
        </is>
      </c>
    </row>
    <row r="5237">
      <c r="A5237" t="inlineStr">
        <is>
          <t>2026-01-30</t>
        </is>
      </c>
      <c r="B5237" t="inlineStr">
        <is>
          <t>苯乙烯</t>
        </is>
      </c>
      <c r="C5237" t="inlineStr">
        <is>
          <t>多</t>
        </is>
      </c>
      <c r="D5237" t="n">
        <v>2</v>
      </c>
      <c r="E5237" t="n">
        <v>4</v>
      </c>
      <c r="F5237" t="inlineStr">
        <is>
          <t>观望</t>
        </is>
      </c>
      <c r="G5237" t="n">
        <v>3</v>
      </c>
      <c r="H5237" t="n">
        <v>7714</v>
      </c>
      <c r="I5237" t="n">
        <v>7071.79</v>
      </c>
      <c r="J5237" t="n">
        <v>1</v>
      </c>
      <c r="K5237" t="inlineStr">
        <is>
          <t>逆5日线（收盘在5日线下，不追多）</t>
        </is>
      </c>
    </row>
    <row r="5238">
      <c r="A5238" t="inlineStr">
        <is>
          <t>2026-02-02</t>
        </is>
      </c>
      <c r="B5238" t="inlineStr">
        <is>
          <t>豆粕</t>
        </is>
      </c>
      <c r="C5238" t="inlineStr">
        <is>
          <t>空</t>
        </is>
      </c>
      <c r="D5238" t="n">
        <v>3</v>
      </c>
      <c r="E5238" t="n">
        <v>6</v>
      </c>
      <c r="F5238" t="inlineStr">
        <is>
          <t>开仓</t>
        </is>
      </c>
      <c r="G5238" t="n">
        <v>35</v>
      </c>
      <c r="H5238" t="n">
        <v>2750</v>
      </c>
      <c r="I5238" t="n">
        <v>2835.29</v>
      </c>
      <c r="J5238" t="n">
        <v>3</v>
      </c>
      <c r="K5238" t="inlineStr">
        <is>
          <t>¼凯利超上限，取3%</t>
        </is>
      </c>
    </row>
    <row r="5239">
      <c r="A5239" t="inlineStr">
        <is>
          <t>2026-02-02</t>
        </is>
      </c>
      <c r="B5239" t="inlineStr">
        <is>
          <t>铁矿石</t>
        </is>
      </c>
      <c r="C5239" t="inlineStr">
        <is>
          <t>空</t>
        </is>
      </c>
      <c r="D5239" t="n">
        <v>3</v>
      </c>
      <c r="E5239" t="n">
        <v>6</v>
      </c>
      <c r="F5239" t="inlineStr">
        <is>
          <t>续持</t>
        </is>
      </c>
      <c r="G5239" t="n">
        <v>2</v>
      </c>
      <c r="H5239" t="n">
        <v>783</v>
      </c>
      <c r="I5239" t="n">
        <v>817.79</v>
      </c>
      <c r="J5239" t="n">
        <v>1</v>
      </c>
      <c r="K5239" t="inlineStr">
        <is>
          <t>续持原仓（2026-01-26开）</t>
        </is>
      </c>
    </row>
    <row r="5240">
      <c r="A5240" t="inlineStr">
        <is>
          <t>2026-02-02</t>
        </is>
      </c>
      <c r="B5240" t="inlineStr">
        <is>
          <t>鸡蛋</t>
        </is>
      </c>
      <c r="C5240" t="inlineStr">
        <is>
          <t>空</t>
        </is>
      </c>
      <c r="D5240" t="n">
        <v>3</v>
      </c>
      <c r="E5240" t="n">
        <v>6</v>
      </c>
      <c r="F5240" t="inlineStr">
        <is>
          <t>开仓</t>
        </is>
      </c>
      <c r="G5240" t="n">
        <v>21</v>
      </c>
      <c r="H5240" t="n">
        <v>2975</v>
      </c>
      <c r="I5240" t="n">
        <v>3116</v>
      </c>
      <c r="J5240" t="n">
        <v>3</v>
      </c>
      <c r="K5240" t="inlineStr">
        <is>
          <t>¼凯利超上限，取3%</t>
        </is>
      </c>
    </row>
    <row r="5241">
      <c r="A5241" t="inlineStr">
        <is>
          <t>2026-02-02</t>
        </is>
      </c>
      <c r="B5241" t="inlineStr">
        <is>
          <t>热卷</t>
        </is>
      </c>
      <c r="C5241" t="inlineStr">
        <is>
          <t>空</t>
        </is>
      </c>
      <c r="D5241" t="n">
        <v>2</v>
      </c>
      <c r="E5241" t="n">
        <v>5</v>
      </c>
      <c r="F5241" t="inlineStr">
        <is>
          <t>影子仓</t>
        </is>
      </c>
      <c r="G5241" t="n">
        <v>11</v>
      </c>
      <c r="H5241" t="n">
        <v>3261</v>
      </c>
      <c r="I5241" t="n">
        <v>3344.79</v>
      </c>
      <c r="J5241" t="n">
        <v>1</v>
      </c>
      <c r="K5241" t="inlineStr">
        <is>
          <t>凯利≤0，开1%影子仓（只统计，不计入组合）</t>
        </is>
      </c>
    </row>
    <row r="5242">
      <c r="A5242" t="inlineStr">
        <is>
          <t>2026-02-02</t>
        </is>
      </c>
      <c r="B5242" t="inlineStr">
        <is>
          <t>对二甲苯</t>
        </is>
      </c>
      <c r="C5242" t="inlineStr">
        <is>
          <t>空</t>
        </is>
      </c>
      <c r="D5242" t="n">
        <v>2</v>
      </c>
      <c r="E5242" t="n">
        <v>4</v>
      </c>
      <c r="F5242" t="inlineStr">
        <is>
          <t>影子仓</t>
        </is>
      </c>
      <c r="G5242" t="n">
        <v>3</v>
      </c>
      <c r="H5242" t="n">
        <v>7150</v>
      </c>
      <c r="I5242" t="n">
        <v>7791.57</v>
      </c>
      <c r="J5242" t="n">
        <v>1</v>
      </c>
      <c r="K5242" t="inlineStr">
        <is>
          <t>凯利≤0，开1%影子仓（只统计，不计入组合）</t>
        </is>
      </c>
    </row>
    <row r="5243">
      <c r="A5243" t="inlineStr">
        <is>
          <t>2026-02-03</t>
        </is>
      </c>
      <c r="B5243" t="inlineStr">
        <is>
          <t>豆粕</t>
        </is>
      </c>
      <c r="C5243" t="inlineStr">
        <is>
          <t>空</t>
        </is>
      </c>
      <c r="D5243" t="n">
        <v>3</v>
      </c>
      <c r="E5243" t="n">
        <v>6</v>
      </c>
      <c r="F5243" t="inlineStr">
        <is>
          <t>续持</t>
        </is>
      </c>
      <c r="G5243" t="n">
        <v>35</v>
      </c>
      <c r="H5243" t="n">
        <v>2727</v>
      </c>
      <c r="I5243" t="n">
        <v>2809.29</v>
      </c>
      <c r="J5243" t="n">
        <v>3</v>
      </c>
      <c r="K5243" t="inlineStr">
        <is>
          <t>续持原仓（2026-02-02开）</t>
        </is>
      </c>
    </row>
    <row r="5244">
      <c r="A5244" t="inlineStr">
        <is>
          <t>2026-02-03</t>
        </is>
      </c>
      <c r="B5244" t="inlineStr">
        <is>
          <t>铁矿石</t>
        </is>
      </c>
      <c r="C5244" t="inlineStr">
        <is>
          <t>空</t>
        </is>
      </c>
      <c r="D5244" t="n">
        <v>3</v>
      </c>
      <c r="E5244" t="n">
        <v>6</v>
      </c>
      <c r="F5244" t="inlineStr">
        <is>
          <t>续持</t>
        </is>
      </c>
      <c r="G5244" t="n">
        <v>2</v>
      </c>
      <c r="H5244" t="n">
        <v>777.5</v>
      </c>
      <c r="I5244" t="n">
        <v>817.25</v>
      </c>
      <c r="J5244" t="n">
        <v>1</v>
      </c>
      <c r="K5244" t="inlineStr">
        <is>
          <t>续持原仓（2026-01-26开）</t>
        </is>
      </c>
    </row>
    <row r="5245">
      <c r="A5245" t="inlineStr">
        <is>
          <t>2026-02-03</t>
        </is>
      </c>
      <c r="B5245" t="inlineStr">
        <is>
          <t>鸡蛋</t>
        </is>
      </c>
      <c r="C5245" t="inlineStr">
        <is>
          <t>空</t>
        </is>
      </c>
      <c r="D5245" t="n">
        <v>3</v>
      </c>
      <c r="E5245" t="n">
        <v>6</v>
      </c>
      <c r="F5245" t="inlineStr">
        <is>
          <t>续持</t>
        </is>
      </c>
      <c r="G5245" t="n">
        <v>21</v>
      </c>
      <c r="H5245" t="n">
        <v>2953</v>
      </c>
      <c r="I5245" t="n">
        <v>3090.43</v>
      </c>
      <c r="J5245" t="n">
        <v>3</v>
      </c>
      <c r="K5245" t="inlineStr">
        <is>
          <t>续持原仓（2026-02-02开）</t>
        </is>
      </c>
    </row>
    <row r="5246">
      <c r="A5246" t="inlineStr">
        <is>
          <t>2026-02-04</t>
        </is>
      </c>
      <c r="B5246" t="inlineStr">
        <is>
          <t>沪银</t>
        </is>
      </c>
      <c r="C5246" t="inlineStr">
        <is>
          <t>多</t>
        </is>
      </c>
      <c r="D5246" t="n">
        <v>3</v>
      </c>
      <c r="E5246" t="n">
        <v>7</v>
      </c>
      <c r="F5246" t="inlineStr">
        <is>
          <t>观望</t>
        </is>
      </c>
      <c r="H5246" t="n">
        <v>23511</v>
      </c>
      <c r="J5246" t="n">
        <v>3</v>
      </c>
      <c r="K5246" t="inlineStr">
        <is>
          <t>逆5日线（收盘在5日线下，不追多）</t>
        </is>
      </c>
    </row>
    <row r="5247">
      <c r="A5247" t="inlineStr">
        <is>
          <t>2026-02-04</t>
        </is>
      </c>
      <c r="B5247" t="inlineStr">
        <is>
          <t>豆粕</t>
        </is>
      </c>
      <c r="C5247" t="inlineStr">
        <is>
          <t>空</t>
        </is>
      </c>
      <c r="D5247" t="n">
        <v>3</v>
      </c>
      <c r="E5247" t="n">
        <v>6</v>
      </c>
      <c r="F5247" t="inlineStr">
        <is>
          <t>续持</t>
        </is>
      </c>
      <c r="G5247" t="n">
        <v>35</v>
      </c>
      <c r="H5247" t="n">
        <v>2723</v>
      </c>
      <c r="I5247" t="n">
        <v>2804.43</v>
      </c>
      <c r="J5247" t="n">
        <v>3</v>
      </c>
      <c r="K5247" t="inlineStr">
        <is>
          <t>续持原仓（2026-02-02开）</t>
        </is>
      </c>
    </row>
    <row r="5248">
      <c r="A5248" t="inlineStr">
        <is>
          <t>2026-02-04</t>
        </is>
      </c>
      <c r="B5248" t="inlineStr">
        <is>
          <t>豆油</t>
        </is>
      </c>
      <c r="C5248" t="inlineStr">
        <is>
          <t>多</t>
        </is>
      </c>
      <c r="D5248" t="n">
        <v>3</v>
      </c>
      <c r="E5248" t="n">
        <v>6</v>
      </c>
      <c r="F5248" t="inlineStr">
        <is>
          <t>观望</t>
        </is>
      </c>
      <c r="G5248" t="n">
        <v>9</v>
      </c>
      <c r="H5248" t="n">
        <v>8140</v>
      </c>
      <c r="I5248" t="n">
        <v>7812.14</v>
      </c>
      <c r="J5248" t="n">
        <v>3</v>
      </c>
      <c r="K5248" t="inlineStr">
        <is>
          <t>逆5日线（收盘在5日线下，不追多）</t>
        </is>
      </c>
    </row>
    <row r="5249">
      <c r="A5249" t="inlineStr">
        <is>
          <t>2026-02-04</t>
        </is>
      </c>
      <c r="B5249" t="inlineStr">
        <is>
          <t>苯乙烯</t>
        </is>
      </c>
      <c r="C5249" t="inlineStr">
        <is>
          <t>多</t>
        </is>
      </c>
      <c r="D5249" t="n">
        <v>3</v>
      </c>
      <c r="E5249" t="n">
        <v>6</v>
      </c>
      <c r="F5249" t="inlineStr">
        <is>
          <t>开仓</t>
        </is>
      </c>
      <c r="G5249" t="n">
        <v>8</v>
      </c>
      <c r="H5249" t="n">
        <v>7777</v>
      </c>
      <c r="I5249" t="n">
        <v>7038.36</v>
      </c>
      <c r="J5249" t="n">
        <v>3</v>
      </c>
      <c r="K5249" t="inlineStr">
        <is>
          <t>¼凯利超上限，取3%</t>
        </is>
      </c>
    </row>
    <row r="5250">
      <c r="A5250" t="inlineStr">
        <is>
          <t>2026-02-05</t>
        </is>
      </c>
      <c r="B5250" t="inlineStr">
        <is>
          <t>热卷</t>
        </is>
      </c>
      <c r="C5250" t="inlineStr">
        <is>
          <t>空</t>
        </is>
      </c>
      <c r="D5250" t="n">
        <v>3</v>
      </c>
      <c r="E5250" t="n">
        <v>6</v>
      </c>
      <c r="F5250" t="inlineStr">
        <is>
          <t>续持</t>
        </is>
      </c>
      <c r="G5250" t="n">
        <v>11</v>
      </c>
      <c r="H5250" t="n">
        <v>3263</v>
      </c>
      <c r="I5250" t="n">
        <v>3337.5</v>
      </c>
      <c r="J5250" t="n">
        <v>1</v>
      </c>
      <c r="K5250" t="inlineStr">
        <is>
          <t>续持原仓（2026-02-02开）</t>
        </is>
      </c>
    </row>
    <row r="5251">
      <c r="A5251" t="inlineStr">
        <is>
          <t>2026-02-05</t>
        </is>
      </c>
      <c r="B5251" t="inlineStr">
        <is>
          <t>鸡蛋</t>
        </is>
      </c>
      <c r="C5251" t="inlineStr">
        <is>
          <t>空</t>
        </is>
      </c>
      <c r="D5251" t="n">
        <v>2</v>
      </c>
      <c r="E5251" t="n">
        <v>5</v>
      </c>
      <c r="F5251" t="inlineStr">
        <is>
          <t>影子仓</t>
        </is>
      </c>
      <c r="G5251" t="n">
        <v>7</v>
      </c>
      <c r="H5251" t="n">
        <v>2891</v>
      </c>
      <c r="I5251" t="n">
        <v>3023</v>
      </c>
      <c r="J5251" t="n">
        <v>1</v>
      </c>
      <c r="K5251" t="inlineStr">
        <is>
          <t>凯利≤0，开1%影子仓（只统计，不计入组合）</t>
        </is>
      </c>
    </row>
    <row r="5252">
      <c r="A5252" t="inlineStr">
        <is>
          <t>2026-02-05</t>
        </is>
      </c>
      <c r="B5252" t="inlineStr">
        <is>
          <t>PTA</t>
        </is>
      </c>
      <c r="C5252" t="inlineStr">
        <is>
          <t>空</t>
        </is>
      </c>
      <c r="D5252" t="n">
        <v>2</v>
      </c>
      <c r="E5252" t="n">
        <v>5</v>
      </c>
      <c r="F5252" t="inlineStr">
        <is>
          <t>影子仓</t>
        </is>
      </c>
      <c r="G5252" t="n">
        <v>4</v>
      </c>
      <c r="H5252" t="n">
        <v>5144</v>
      </c>
      <c r="I5252" t="n">
        <v>5594.86</v>
      </c>
      <c r="J5252" t="n">
        <v>1</v>
      </c>
      <c r="K5252" t="inlineStr">
        <is>
          <t>凯利≤0，开1%影子仓（只统计，不计入组合）</t>
        </is>
      </c>
    </row>
    <row r="5253">
      <c r="A5253" t="inlineStr">
        <is>
          <t>2026-02-05</t>
        </is>
      </c>
      <c r="B5253" t="inlineStr">
        <is>
          <t>螺纹钢</t>
        </is>
      </c>
      <c r="C5253" t="inlineStr">
        <is>
          <t>多</t>
        </is>
      </c>
      <c r="D5253" t="n">
        <v>2</v>
      </c>
      <c r="E5253" t="n">
        <v>4</v>
      </c>
      <c r="F5253" t="inlineStr">
        <is>
          <t>观望</t>
        </is>
      </c>
      <c r="G5253" t="n">
        <v>11</v>
      </c>
      <c r="H5253" t="n">
        <v>3101</v>
      </c>
      <c r="I5253" t="n">
        <v>3013.57</v>
      </c>
      <c r="J5253" t="n">
        <v>1</v>
      </c>
      <c r="K5253" t="inlineStr">
        <is>
          <t>逆5日线（收盘在5日线下，不追多）</t>
        </is>
      </c>
    </row>
    <row r="5254">
      <c r="A5254" t="inlineStr">
        <is>
          <t>2026-02-06</t>
        </is>
      </c>
      <c r="B5254" t="inlineStr">
        <is>
          <t>热卷</t>
        </is>
      </c>
      <c r="C5254" t="inlineStr">
        <is>
          <t>空</t>
        </is>
      </c>
      <c r="D5254" t="n">
        <v>3</v>
      </c>
      <c r="E5254" t="n">
        <v>6</v>
      </c>
      <c r="F5254" t="inlineStr">
        <is>
          <t>续持</t>
        </is>
      </c>
      <c r="G5254" t="n">
        <v>11</v>
      </c>
      <c r="H5254" t="n">
        <v>3251</v>
      </c>
      <c r="I5254" t="n">
        <v>3326.29</v>
      </c>
      <c r="J5254" t="n">
        <v>1</v>
      </c>
      <c r="K5254" t="inlineStr">
        <is>
          <t>续持原仓（2026-02-02开）</t>
        </is>
      </c>
    </row>
    <row r="5255">
      <c r="A5255" t="inlineStr">
        <is>
          <t>2026-02-06</t>
        </is>
      </c>
      <c r="B5255" t="inlineStr">
        <is>
          <t>锰硅</t>
        </is>
      </c>
      <c r="C5255" t="inlineStr">
        <is>
          <t>空</t>
        </is>
      </c>
      <c r="D5255" t="n">
        <v>3</v>
      </c>
      <c r="E5255" t="n">
        <v>6</v>
      </c>
      <c r="F5255" t="inlineStr">
        <is>
          <t>观望</t>
        </is>
      </c>
      <c r="G5255" t="n">
        <v>28</v>
      </c>
      <c r="H5255" t="n">
        <v>5856</v>
      </c>
      <c r="I5255" t="n">
        <v>6066.43</v>
      </c>
      <c r="J5255" t="n">
        <v>3</v>
      </c>
      <c r="K5255" t="inlineStr">
        <is>
          <t>逆5日线（收盘在5日线上，不追空）</t>
        </is>
      </c>
    </row>
    <row r="5256">
      <c r="A5256" t="inlineStr">
        <is>
          <t>2026-02-06</t>
        </is>
      </c>
      <c r="B5256" t="inlineStr">
        <is>
          <t>螺纹钢</t>
        </is>
      </c>
      <c r="C5256" t="inlineStr">
        <is>
          <t>空</t>
        </is>
      </c>
      <c r="D5256" t="n">
        <v>3</v>
      </c>
      <c r="E5256" t="n">
        <v>6</v>
      </c>
      <c r="F5256" t="inlineStr">
        <is>
          <t>开仓</t>
        </is>
      </c>
      <c r="G5256" t="n">
        <v>34</v>
      </c>
      <c r="H5256" t="n">
        <v>3077</v>
      </c>
      <c r="I5256" t="n">
        <v>3164.43</v>
      </c>
      <c r="J5256" t="n">
        <v>3</v>
      </c>
      <c r="K5256" t="inlineStr">
        <is>
          <t>¼凯利超上限，取3%</t>
        </is>
      </c>
    </row>
    <row r="5257">
      <c r="A5257" t="inlineStr">
        <is>
          <t>2026-02-06</t>
        </is>
      </c>
      <c r="B5257" t="inlineStr">
        <is>
          <t>工业硅</t>
        </is>
      </c>
      <c r="C5257" t="inlineStr">
        <is>
          <t>空</t>
        </is>
      </c>
      <c r="D5257" t="n">
        <v>2</v>
      </c>
      <c r="E5257" t="n">
        <v>5</v>
      </c>
      <c r="F5257" t="inlineStr">
        <is>
          <t>影子仓</t>
        </is>
      </c>
      <c r="G5257" t="n">
        <v>3</v>
      </c>
      <c r="H5257" t="n">
        <v>8500</v>
      </c>
      <c r="I5257" t="n">
        <v>9107.5</v>
      </c>
      <c r="J5257" t="n">
        <v>1</v>
      </c>
      <c r="K5257" t="inlineStr">
        <is>
          <t>凯利≤0，开1%影子仓（只统计，不计入组合）</t>
        </is>
      </c>
    </row>
    <row r="5258">
      <c r="A5258" t="inlineStr">
        <is>
          <t>2026-02-06</t>
        </is>
      </c>
      <c r="B5258" t="inlineStr">
        <is>
          <t>燃料油</t>
        </is>
      </c>
      <c r="C5258" t="inlineStr">
        <is>
          <t>多</t>
        </is>
      </c>
      <c r="D5258" t="n">
        <v>2</v>
      </c>
      <c r="E5258" t="n">
        <v>5</v>
      </c>
      <c r="F5258" t="inlineStr">
        <is>
          <t>影子仓</t>
        </is>
      </c>
      <c r="G5258" t="n">
        <v>3</v>
      </c>
      <c r="H5258" t="n">
        <v>2831</v>
      </c>
      <c r="I5258" t="n">
        <v>2518.36</v>
      </c>
      <c r="J5258" t="n">
        <v>1</v>
      </c>
      <c r="K5258" t="inlineStr">
        <is>
          <t>凯利≤0，开1%影子仓（只统计，不计入组合）</t>
        </is>
      </c>
    </row>
    <row r="5259">
      <c r="A5259" t="inlineStr">
        <is>
          <t>2026-02-06</t>
        </is>
      </c>
      <c r="B5259" t="inlineStr">
        <is>
          <t>硅铁</t>
        </is>
      </c>
      <c r="C5259" t="inlineStr">
        <is>
          <t>空</t>
        </is>
      </c>
      <c r="D5259" t="n">
        <v>2</v>
      </c>
      <c r="E5259" t="n">
        <v>4</v>
      </c>
      <c r="F5259" t="inlineStr">
        <is>
          <t>影子仓</t>
        </is>
      </c>
      <c r="G5259" t="n">
        <v>7</v>
      </c>
      <c r="H5259" t="n">
        <v>5624</v>
      </c>
      <c r="I5259" t="n">
        <v>5888</v>
      </c>
      <c r="J5259" t="n">
        <v>1</v>
      </c>
      <c r="K5259" t="inlineStr">
        <is>
          <t>凯利≤0，开1%影子仓（只统计，不计入组合）</t>
        </is>
      </c>
    </row>
    <row r="5260">
      <c r="A5260" t="inlineStr">
        <is>
          <t>2026-02-09</t>
        </is>
      </c>
      <c r="B5260" t="inlineStr">
        <is>
          <t>螺纹钢</t>
        </is>
      </c>
      <c r="C5260" t="inlineStr">
        <is>
          <t>空</t>
        </is>
      </c>
      <c r="D5260" t="n">
        <v>3</v>
      </c>
      <c r="E5260" t="n">
        <v>6</v>
      </c>
      <c r="F5260" t="inlineStr">
        <is>
          <t>续持</t>
        </is>
      </c>
      <c r="G5260" t="n">
        <v>34</v>
      </c>
      <c r="H5260" t="n">
        <v>3064</v>
      </c>
      <c r="I5260" t="n">
        <v>3144.43</v>
      </c>
      <c r="J5260" t="n">
        <v>3</v>
      </c>
      <c r="K5260" t="inlineStr">
        <is>
          <t>续持原仓（2026-02-06开）</t>
        </is>
      </c>
    </row>
    <row r="5261">
      <c r="A5261" t="inlineStr">
        <is>
          <t>2026-02-09</t>
        </is>
      </c>
      <c r="B5261" t="inlineStr">
        <is>
          <t>玉米</t>
        </is>
      </c>
      <c r="C5261" t="inlineStr">
        <is>
          <t>空</t>
        </is>
      </c>
      <c r="D5261" t="n">
        <v>2</v>
      </c>
      <c r="E5261" t="n">
        <v>5</v>
      </c>
      <c r="F5261" t="inlineStr">
        <is>
          <t>观望</t>
        </is>
      </c>
      <c r="G5261" t="n">
        <v>20</v>
      </c>
      <c r="H5261" t="n">
        <v>2274</v>
      </c>
      <c r="I5261" t="n">
        <v>2322.64</v>
      </c>
      <c r="J5261" t="n">
        <v>1</v>
      </c>
      <c r="K5261" t="inlineStr">
        <is>
          <t>逆5日线（收盘在5日线上，不追空）</t>
        </is>
      </c>
    </row>
    <row r="5262">
      <c r="A5262" t="inlineStr">
        <is>
          <t>2026-02-09</t>
        </is>
      </c>
      <c r="B5262" t="inlineStr">
        <is>
          <t>工业硅</t>
        </is>
      </c>
      <c r="C5262" t="inlineStr">
        <is>
          <t>空</t>
        </is>
      </c>
      <c r="D5262" t="n">
        <v>2</v>
      </c>
      <c r="E5262" t="n">
        <v>5</v>
      </c>
      <c r="F5262" t="inlineStr">
        <is>
          <t>续持</t>
        </is>
      </c>
      <c r="G5262" t="n">
        <v>3</v>
      </c>
      <c r="H5262" t="n">
        <v>8450</v>
      </c>
      <c r="I5262" t="n">
        <v>9030.709999999999</v>
      </c>
      <c r="J5262" t="n">
        <v>1</v>
      </c>
      <c r="K5262" t="inlineStr">
        <is>
          <t>续持原仓（2026-02-06开）</t>
        </is>
      </c>
    </row>
    <row r="5263">
      <c r="A5263" t="inlineStr">
        <is>
          <t>2026-02-09</t>
        </is>
      </c>
      <c r="B5263" t="inlineStr">
        <is>
          <t>铁矿石</t>
        </is>
      </c>
      <c r="C5263" t="inlineStr">
        <is>
          <t>空</t>
        </is>
      </c>
      <c r="D5263" t="n">
        <v>2</v>
      </c>
      <c r="E5263" t="n">
        <v>4</v>
      </c>
      <c r="F5263" t="inlineStr">
        <is>
          <t>影子仓</t>
        </is>
      </c>
      <c r="G5263" t="n">
        <v>2</v>
      </c>
      <c r="H5263" t="n">
        <v>761.5</v>
      </c>
      <c r="I5263" t="n">
        <v>800.0700000000001</v>
      </c>
      <c r="J5263" t="n">
        <v>1</v>
      </c>
      <c r="K5263" t="inlineStr">
        <is>
          <t>凯利≤0，开1%影子仓（只统计，不计入组合）</t>
        </is>
      </c>
    </row>
    <row r="5264">
      <c r="A5264" t="inlineStr">
        <is>
          <t>2026-02-09</t>
        </is>
      </c>
      <c r="B5264" t="inlineStr">
        <is>
          <t>燃料油</t>
        </is>
      </c>
      <c r="C5264" t="inlineStr">
        <is>
          <t>多</t>
        </is>
      </c>
      <c r="D5264" t="n">
        <v>2</v>
      </c>
      <c r="E5264" t="n">
        <v>4</v>
      </c>
      <c r="F5264" t="inlineStr">
        <is>
          <t>续持</t>
        </is>
      </c>
      <c r="G5264" t="n">
        <v>3</v>
      </c>
      <c r="H5264" t="n">
        <v>2794</v>
      </c>
      <c r="I5264" t="n">
        <v>2489</v>
      </c>
      <c r="J5264" t="n">
        <v>1</v>
      </c>
      <c r="K5264" t="inlineStr">
        <is>
          <t>续持原仓（2026-02-06开）</t>
        </is>
      </c>
    </row>
    <row r="5265">
      <c r="A5265" t="inlineStr">
        <is>
          <t>2026-02-09</t>
        </is>
      </c>
      <c r="B5265" t="inlineStr">
        <is>
          <t>棕榈油</t>
        </is>
      </c>
      <c r="C5265" t="inlineStr">
        <is>
          <t>空</t>
        </is>
      </c>
      <c r="D5265" t="n">
        <v>2</v>
      </c>
      <c r="E5265" t="n">
        <v>4</v>
      </c>
      <c r="F5265" t="inlineStr">
        <is>
          <t>影子仓</t>
        </is>
      </c>
      <c r="G5265" t="n">
        <v>2</v>
      </c>
      <c r="H5265" t="n">
        <v>9014</v>
      </c>
      <c r="I5265" t="n">
        <v>9476.43</v>
      </c>
      <c r="J5265" t="n">
        <v>1</v>
      </c>
      <c r="K5265" t="inlineStr">
        <is>
          <t>凯利≤0，开1%影子仓（只统计，不计入组合）</t>
        </is>
      </c>
    </row>
    <row r="5266">
      <c r="A5266" t="inlineStr">
        <is>
          <t>2026-02-09</t>
        </is>
      </c>
      <c r="B5266" t="inlineStr">
        <is>
          <t>沪锌</t>
        </is>
      </c>
      <c r="C5266" t="inlineStr">
        <is>
          <t>多</t>
        </is>
      </c>
      <c r="D5266" t="n">
        <v>2</v>
      </c>
      <c r="E5266" t="n">
        <v>4</v>
      </c>
      <c r="F5266" t="inlineStr">
        <is>
          <t>观望</t>
        </is>
      </c>
      <c r="G5266" t="n">
        <v>1</v>
      </c>
      <c r="H5266" t="n">
        <v>24565</v>
      </c>
      <c r="I5266" t="n">
        <v>22616.07</v>
      </c>
      <c r="J5266" t="n">
        <v>1</v>
      </c>
      <c r="K5266" t="inlineStr">
        <is>
          <t>逆5日线（收盘在5日线下，不追多）</t>
        </is>
      </c>
    </row>
    <row r="5267">
      <c r="A5267" t="inlineStr">
        <is>
          <t>2026-02-10</t>
        </is>
      </c>
      <c r="B5267" t="inlineStr">
        <is>
          <t>沪金</t>
        </is>
      </c>
      <c r="C5267" t="inlineStr">
        <is>
          <t>多</t>
        </is>
      </c>
      <c r="D5267" t="n">
        <v>3</v>
      </c>
      <c r="E5267" t="n">
        <v>6</v>
      </c>
      <c r="F5267" t="inlineStr">
        <is>
          <t>不做</t>
        </is>
      </c>
      <c r="H5267" t="n">
        <v>1121.22</v>
      </c>
      <c r="J5267" t="n">
        <v>1</v>
      </c>
      <c r="K5267" t="inlineStr">
        <is>
          <t>1手风险185079元超过预算10000元</t>
        </is>
      </c>
    </row>
    <row r="5268">
      <c r="A5268" t="inlineStr">
        <is>
          <t>2026-02-10</t>
        </is>
      </c>
      <c r="B5268" t="inlineStr">
        <is>
          <t>豆油</t>
        </is>
      </c>
      <c r="C5268" t="inlineStr">
        <is>
          <t>多</t>
        </is>
      </c>
      <c r="D5268" t="n">
        <v>3</v>
      </c>
      <c r="E5268" t="n">
        <v>6</v>
      </c>
      <c r="F5268" t="inlineStr">
        <is>
          <t>观望</t>
        </is>
      </c>
      <c r="G5268" t="n">
        <v>3</v>
      </c>
      <c r="H5268" t="n">
        <v>8098</v>
      </c>
      <c r="I5268" t="n">
        <v>7787.29</v>
      </c>
      <c r="J5268" t="n">
        <v>1</v>
      </c>
      <c r="K5268" t="inlineStr">
        <is>
          <t>逆5日线（收盘在5日线下，不追多）</t>
        </is>
      </c>
    </row>
    <row r="5269">
      <c r="A5269" t="inlineStr">
        <is>
          <t>2026-02-10</t>
        </is>
      </c>
      <c r="B5269" t="inlineStr">
        <is>
          <t>螺纹钢</t>
        </is>
      </c>
      <c r="C5269" t="inlineStr">
        <is>
          <t>空</t>
        </is>
      </c>
      <c r="D5269" t="n">
        <v>3</v>
      </c>
      <c r="E5269" t="n">
        <v>6</v>
      </c>
      <c r="F5269" t="inlineStr">
        <is>
          <t>续持</t>
        </is>
      </c>
      <c r="G5269" t="n">
        <v>34</v>
      </c>
      <c r="H5269" t="n">
        <v>3052</v>
      </c>
      <c r="I5269" t="n">
        <v>3132.93</v>
      </c>
      <c r="J5269" t="n">
        <v>3</v>
      </c>
      <c r="K5269" t="inlineStr">
        <is>
          <t>续持原仓（2026-02-06开）</t>
        </is>
      </c>
    </row>
    <row r="5270">
      <c r="A5270" t="inlineStr">
        <is>
          <t>2026-02-10</t>
        </is>
      </c>
      <c r="B5270" t="inlineStr">
        <is>
          <t>铁矿石</t>
        </is>
      </c>
      <c r="C5270" t="inlineStr">
        <is>
          <t>空</t>
        </is>
      </c>
      <c r="D5270" t="n">
        <v>2</v>
      </c>
      <c r="E5270" t="n">
        <v>5</v>
      </c>
      <c r="F5270" t="inlineStr">
        <is>
          <t>续持</t>
        </is>
      </c>
      <c r="G5270" t="n">
        <v>2</v>
      </c>
      <c r="H5270" t="n">
        <v>761.5</v>
      </c>
      <c r="I5270" t="n">
        <v>798.9299999999999</v>
      </c>
      <c r="J5270" t="n">
        <v>1</v>
      </c>
      <c r="K5270" t="inlineStr">
        <is>
          <t>续持原仓（2026-02-09开）</t>
        </is>
      </c>
    </row>
    <row r="5271">
      <c r="A5271" t="inlineStr">
        <is>
          <t>2026-02-10</t>
        </is>
      </c>
      <c r="B5271" t="inlineStr">
        <is>
          <t>棉花</t>
        </is>
      </c>
      <c r="C5271" t="inlineStr">
        <is>
          <t>空</t>
        </is>
      </c>
      <c r="D5271" t="n">
        <v>2</v>
      </c>
      <c r="E5271" t="n">
        <v>4</v>
      </c>
      <c r="F5271" t="inlineStr">
        <is>
          <t>观望</t>
        </is>
      </c>
      <c r="G5271" t="n">
        <v>3</v>
      </c>
      <c r="H5271" t="n">
        <v>14655</v>
      </c>
      <c r="I5271" t="n">
        <v>15267.86</v>
      </c>
      <c r="J5271" t="n">
        <v>1</v>
      </c>
      <c r="K5271" t="inlineStr">
        <is>
          <t>逆5日线（收盘在5日线上，不追空）</t>
        </is>
      </c>
    </row>
    <row r="5272">
      <c r="A5272" t="inlineStr">
        <is>
          <t>2026-02-11</t>
        </is>
      </c>
      <c r="B5272" t="inlineStr">
        <is>
          <t>沪金</t>
        </is>
      </c>
      <c r="C5272" t="inlineStr">
        <is>
          <t>多</t>
        </is>
      </c>
      <c r="D5272" t="n">
        <v>3</v>
      </c>
      <c r="E5272" t="n">
        <v>7</v>
      </c>
      <c r="F5272" t="inlineStr">
        <is>
          <t>不做</t>
        </is>
      </c>
      <c r="H5272" t="n">
        <v>1130.4</v>
      </c>
      <c r="J5272" t="n">
        <v>3</v>
      </c>
      <c r="K5272" t="inlineStr">
        <is>
          <t>1手风险182931元超过预算30000元</t>
        </is>
      </c>
    </row>
    <row r="5273">
      <c r="A5273" t="inlineStr">
        <is>
          <t>2026-02-11</t>
        </is>
      </c>
      <c r="B5273" t="inlineStr">
        <is>
          <t>PTA</t>
        </is>
      </c>
      <c r="C5273" t="inlineStr">
        <is>
          <t>多</t>
        </is>
      </c>
      <c r="D5273" t="n">
        <v>3</v>
      </c>
      <c r="E5273" t="n">
        <v>7</v>
      </c>
      <c r="F5273" t="inlineStr">
        <is>
          <t>开仓</t>
        </is>
      </c>
      <c r="G5273" t="n">
        <v>13</v>
      </c>
      <c r="H5273" t="n">
        <v>5260</v>
      </c>
      <c r="I5273" t="n">
        <v>4821.57</v>
      </c>
      <c r="J5273" t="n">
        <v>3</v>
      </c>
      <c r="K5273" t="inlineStr">
        <is>
          <t>¼凯利超上限，取3%</t>
        </is>
      </c>
    </row>
    <row r="5274">
      <c r="A5274" t="inlineStr">
        <is>
          <t>2026-02-11</t>
        </is>
      </c>
      <c r="B5274" t="inlineStr">
        <is>
          <t>沪锌</t>
        </is>
      </c>
      <c r="C5274" t="inlineStr">
        <is>
          <t>多</t>
        </is>
      </c>
      <c r="D5274" t="n">
        <v>3</v>
      </c>
      <c r="E5274" t="n">
        <v>6</v>
      </c>
      <c r="F5274" t="inlineStr">
        <is>
          <t>开仓</t>
        </is>
      </c>
      <c r="G5274" t="n">
        <v>1</v>
      </c>
      <c r="H5274" t="n">
        <v>24640</v>
      </c>
      <c r="I5274" t="n">
        <v>22698.57</v>
      </c>
      <c r="J5274" t="n">
        <v>1</v>
      </c>
      <c r="K5274" t="inlineStr">
        <is>
          <t>组合风险已近10%，预算缩小</t>
        </is>
      </c>
    </row>
    <row r="5275">
      <c r="A5275" t="inlineStr">
        <is>
          <t>2026-02-11</t>
        </is>
      </c>
      <c r="B5275" t="inlineStr">
        <is>
          <t>对二甲苯</t>
        </is>
      </c>
      <c r="C5275" t="inlineStr">
        <is>
          <t>多</t>
        </is>
      </c>
      <c r="D5275" t="n">
        <v>3</v>
      </c>
      <c r="E5275" t="n">
        <v>6</v>
      </c>
      <c r="F5275" t="inlineStr">
        <is>
          <t>不做</t>
        </is>
      </c>
      <c r="H5275" t="n">
        <v>7378</v>
      </c>
      <c r="J5275" t="n">
        <v>0</v>
      </c>
      <c r="K5275" t="inlineStr">
        <is>
          <t>化工板块同方向已近6%，预算缩小</t>
        </is>
      </c>
    </row>
    <row r="5276">
      <c r="A5276" t="inlineStr">
        <is>
          <t>2026-02-11</t>
        </is>
      </c>
      <c r="B5276" t="inlineStr">
        <is>
          <t>铁矿石</t>
        </is>
      </c>
      <c r="C5276" t="inlineStr">
        <is>
          <t>空</t>
        </is>
      </c>
      <c r="D5276" t="n">
        <v>2</v>
      </c>
      <c r="E5276" t="n">
        <v>5</v>
      </c>
      <c r="F5276" t="inlineStr">
        <is>
          <t>续持</t>
        </is>
      </c>
      <c r="G5276" t="n">
        <v>2</v>
      </c>
      <c r="H5276" t="n">
        <v>762.5</v>
      </c>
      <c r="I5276" t="n">
        <v>796.54</v>
      </c>
      <c r="J5276" t="n">
        <v>1</v>
      </c>
      <c r="K5276" t="inlineStr">
        <is>
          <t>续持原仓（2026-02-09开）</t>
        </is>
      </c>
    </row>
    <row r="5277">
      <c r="A5277" t="inlineStr">
        <is>
          <t>2026-02-11</t>
        </is>
      </c>
      <c r="B5277" t="inlineStr">
        <is>
          <t>热卷</t>
        </is>
      </c>
      <c r="C5277" t="inlineStr">
        <is>
          <t>空</t>
        </is>
      </c>
      <c r="D5277" t="n">
        <v>2</v>
      </c>
      <c r="E5277" t="n">
        <v>4</v>
      </c>
      <c r="F5277" t="inlineStr">
        <is>
          <t>影子仓</t>
        </is>
      </c>
      <c r="G5277" t="n">
        <v>13</v>
      </c>
      <c r="H5277" t="n">
        <v>3228</v>
      </c>
      <c r="I5277" t="n">
        <v>3304.71</v>
      </c>
      <c r="J5277" t="n">
        <v>1</v>
      </c>
      <c r="K5277" t="inlineStr">
        <is>
          <t>凯利≤0，开1%影子仓（只统计，不计入组合）</t>
        </is>
      </c>
    </row>
    <row r="5278">
      <c r="A5278" t="inlineStr">
        <is>
          <t>2026-02-11</t>
        </is>
      </c>
      <c r="B5278" t="inlineStr">
        <is>
          <t>燃料油</t>
        </is>
      </c>
      <c r="C5278" t="inlineStr">
        <is>
          <t>多</t>
        </is>
      </c>
      <c r="D5278" t="n">
        <v>2</v>
      </c>
      <c r="E5278" t="n">
        <v>4</v>
      </c>
      <c r="F5278" t="inlineStr">
        <is>
          <t>影子仓</t>
        </is>
      </c>
      <c r="G5278" t="n">
        <v>3</v>
      </c>
      <c r="H5278" t="n">
        <v>2860</v>
      </c>
      <c r="I5278" t="n">
        <v>2540.5</v>
      </c>
      <c r="J5278" t="n">
        <v>1</v>
      </c>
      <c r="K5278" t="inlineStr">
        <is>
          <t>凯利≤0，开1%影子仓（只统计，不计入组合）</t>
        </is>
      </c>
    </row>
    <row r="5279">
      <c r="A5279" t="inlineStr">
        <is>
          <t>2026-02-12</t>
        </is>
      </c>
      <c r="B5279" t="inlineStr">
        <is>
          <t>工业硅</t>
        </is>
      </c>
      <c r="C5279" t="inlineStr">
        <is>
          <t>空</t>
        </is>
      </c>
      <c r="D5279" t="n">
        <v>3</v>
      </c>
      <c r="E5279" t="n">
        <v>6</v>
      </c>
      <c r="F5279" t="inlineStr">
        <is>
          <t>不做</t>
        </is>
      </c>
      <c r="H5279" t="n">
        <v>8335</v>
      </c>
      <c r="J5279" t="n">
        <v>0</v>
      </c>
      <c r="K5279" t="inlineStr">
        <is>
          <t>组合风险已近10%，预算缩小</t>
        </is>
      </c>
    </row>
    <row r="5280">
      <c r="A5280" t="inlineStr">
        <is>
          <t>2026-02-12</t>
        </is>
      </c>
      <c r="B5280" t="inlineStr">
        <is>
          <t>螺纹钢</t>
        </is>
      </c>
      <c r="C5280" t="inlineStr">
        <is>
          <t>空</t>
        </is>
      </c>
      <c r="D5280" t="n">
        <v>3</v>
      </c>
      <c r="E5280" t="n">
        <v>6</v>
      </c>
      <c r="F5280" t="inlineStr">
        <is>
          <t>不做</t>
        </is>
      </c>
      <c r="H5280" t="n">
        <v>3050</v>
      </c>
      <c r="J5280" t="n">
        <v>0</v>
      </c>
      <c r="K5280" t="inlineStr">
        <is>
          <t>组合风险已近10%，预算缩小</t>
        </is>
      </c>
    </row>
    <row r="5281">
      <c r="A5281" t="inlineStr">
        <is>
          <t>2026-02-12</t>
        </is>
      </c>
      <c r="B5281" t="inlineStr">
        <is>
          <t>热卷</t>
        </is>
      </c>
      <c r="C5281" t="inlineStr">
        <is>
          <t>空</t>
        </is>
      </c>
      <c r="D5281" t="n">
        <v>2</v>
      </c>
      <c r="E5281" t="n">
        <v>5</v>
      </c>
      <c r="F5281" t="inlineStr">
        <is>
          <t>续持</t>
        </is>
      </c>
      <c r="G5281" t="n">
        <v>13</v>
      </c>
      <c r="H5281" t="n">
        <v>3218</v>
      </c>
      <c r="I5281" t="n">
        <v>3286.79</v>
      </c>
      <c r="J5281" t="n">
        <v>1</v>
      </c>
      <c r="K5281" t="inlineStr">
        <is>
          <t>续持原仓（2026-02-11开）</t>
        </is>
      </c>
    </row>
    <row r="5282">
      <c r="A5282" t="inlineStr">
        <is>
          <t>2026-02-12</t>
        </is>
      </c>
      <c r="B5282" t="inlineStr">
        <is>
          <t>沪锌</t>
        </is>
      </c>
      <c r="C5282" t="inlineStr">
        <is>
          <t>多</t>
        </is>
      </c>
      <c r="D5282" t="n">
        <v>2</v>
      </c>
      <c r="E5282" t="n">
        <v>4</v>
      </c>
      <c r="F5282" t="inlineStr">
        <is>
          <t>续持</t>
        </is>
      </c>
      <c r="G5282" t="n">
        <v>1</v>
      </c>
      <c r="H5282" t="n">
        <v>24670</v>
      </c>
      <c r="I5282" t="n">
        <v>22891.79</v>
      </c>
      <c r="J5282" t="n">
        <v>1</v>
      </c>
      <c r="K5282" t="inlineStr">
        <is>
          <t>续持原仓（2026-02-11开）</t>
        </is>
      </c>
    </row>
    <row r="5283">
      <c r="A5283" t="inlineStr">
        <is>
          <t>2026-02-12</t>
        </is>
      </c>
      <c r="B5283" t="inlineStr">
        <is>
          <t>铁矿石</t>
        </is>
      </c>
      <c r="C5283" t="inlineStr">
        <is>
          <t>空</t>
        </is>
      </c>
      <c r="D5283" t="n">
        <v>2</v>
      </c>
      <c r="E5283" t="n">
        <v>4</v>
      </c>
      <c r="F5283" t="inlineStr">
        <is>
          <t>观望</t>
        </is>
      </c>
      <c r="G5283" t="n">
        <v>2</v>
      </c>
      <c r="H5283" t="n">
        <v>762</v>
      </c>
      <c r="I5283" t="n">
        <v>798.64</v>
      </c>
      <c r="J5283" t="n">
        <v>1</v>
      </c>
      <c r="K5283" t="inlineStr">
        <is>
          <t>逆5日线（收盘在5日线上，不追空）</t>
        </is>
      </c>
    </row>
    <row r="5284">
      <c r="A5284" t="inlineStr">
        <is>
          <t>2026-02-12</t>
        </is>
      </c>
      <c r="B5284" t="inlineStr">
        <is>
          <t>聚丙烯</t>
        </is>
      </c>
      <c r="C5284" t="inlineStr">
        <is>
          <t>空</t>
        </is>
      </c>
      <c r="D5284" t="n">
        <v>2</v>
      </c>
      <c r="E5284" t="n">
        <v>4</v>
      </c>
      <c r="F5284" t="inlineStr">
        <is>
          <t>影子仓</t>
        </is>
      </c>
      <c r="G5284" t="n">
        <v>6</v>
      </c>
      <c r="H5284" t="n">
        <v>6648</v>
      </c>
      <c r="I5284" t="n">
        <v>6974.14</v>
      </c>
      <c r="J5284" t="n">
        <v>1</v>
      </c>
      <c r="K5284" t="inlineStr">
        <is>
          <t>凯利≤0，开1%影子仓（只统计，不计入组合）</t>
        </is>
      </c>
    </row>
    <row r="5285">
      <c r="A5285" t="inlineStr">
        <is>
          <t>2026-02-13</t>
        </is>
      </c>
      <c r="B5285" t="inlineStr">
        <is>
          <t>热卷</t>
        </is>
      </c>
      <c r="C5285" t="inlineStr">
        <is>
          <t>空</t>
        </is>
      </c>
      <c r="D5285" t="n">
        <v>3</v>
      </c>
      <c r="E5285" t="n">
        <v>6</v>
      </c>
      <c r="F5285" t="inlineStr">
        <is>
          <t>续持</t>
        </is>
      </c>
      <c r="G5285" t="n">
        <v>13</v>
      </c>
      <c r="H5285" t="n">
        <v>3222</v>
      </c>
      <c r="I5285" t="n">
        <v>3286.57</v>
      </c>
      <c r="J5285" t="n">
        <v>1</v>
      </c>
      <c r="K5285" t="inlineStr">
        <is>
          <t>续持原仓（2026-02-11开）</t>
        </is>
      </c>
    </row>
    <row r="5286">
      <c r="A5286" t="inlineStr">
        <is>
          <t>2026-02-13</t>
        </is>
      </c>
      <c r="B5286" t="inlineStr">
        <is>
          <t>铁矿石</t>
        </is>
      </c>
      <c r="C5286" t="inlineStr">
        <is>
          <t>空</t>
        </is>
      </c>
      <c r="D5286" t="n">
        <v>2</v>
      </c>
      <c r="E5286" t="n">
        <v>5</v>
      </c>
      <c r="F5286" t="inlineStr">
        <is>
          <t>续持</t>
        </is>
      </c>
      <c r="G5286" t="n">
        <v>2</v>
      </c>
      <c r="H5286" t="n">
        <v>746</v>
      </c>
      <c r="I5286" t="n">
        <v>782.46</v>
      </c>
      <c r="J5286" t="n">
        <v>1</v>
      </c>
      <c r="K5286" t="inlineStr">
        <is>
          <t>续持原仓（2026-02-09开）</t>
        </is>
      </c>
    </row>
    <row r="5287">
      <c r="A5287" t="inlineStr">
        <is>
          <t>2026-02-13</t>
        </is>
      </c>
      <c r="B5287" t="inlineStr">
        <is>
          <t>玻璃</t>
        </is>
      </c>
      <c r="C5287" t="inlineStr">
        <is>
          <t>空</t>
        </is>
      </c>
      <c r="D5287" t="n">
        <v>2</v>
      </c>
      <c r="E5287" t="n">
        <v>4</v>
      </c>
      <c r="F5287" t="inlineStr">
        <is>
          <t>影子仓</t>
        </is>
      </c>
      <c r="G5287" t="n">
        <v>5</v>
      </c>
      <c r="H5287" t="n">
        <v>1041</v>
      </c>
      <c r="I5287" t="n">
        <v>1132.07</v>
      </c>
      <c r="J5287" t="n">
        <v>1</v>
      </c>
      <c r="K5287" t="inlineStr">
        <is>
          <t>凯利≤0，开1%影子仓（只统计，不计入组合）</t>
        </is>
      </c>
    </row>
    <row r="5288">
      <c r="A5288" t="inlineStr">
        <is>
          <t>2026-02-24</t>
        </is>
      </c>
      <c r="B5288" t="inlineStr">
        <is>
          <t>沪锌</t>
        </is>
      </c>
      <c r="C5288" t="inlineStr">
        <is>
          <t>多</t>
        </is>
      </c>
      <c r="D5288" t="n">
        <v>3</v>
      </c>
      <c r="E5288" t="n">
        <v>7</v>
      </c>
      <c r="F5288" t="inlineStr">
        <is>
          <t>开仓</t>
        </is>
      </c>
      <c r="G5288" t="n">
        <v>3</v>
      </c>
      <c r="H5288" t="n">
        <v>24680</v>
      </c>
      <c r="I5288" t="n">
        <v>22691.43</v>
      </c>
      <c r="J5288" t="n">
        <v>3</v>
      </c>
      <c r="K5288" t="inlineStr">
        <is>
          <t>¼凯利超上限，取3%</t>
        </is>
      </c>
    </row>
    <row r="5289">
      <c r="A5289" t="inlineStr">
        <is>
          <t>2026-02-24</t>
        </is>
      </c>
      <c r="B5289" t="inlineStr">
        <is>
          <t>螺纹钢</t>
        </is>
      </c>
      <c r="C5289" t="inlineStr">
        <is>
          <t>空</t>
        </is>
      </c>
      <c r="D5289" t="n">
        <v>3</v>
      </c>
      <c r="E5289" t="n">
        <v>6</v>
      </c>
      <c r="F5289" t="inlineStr">
        <is>
          <t>开仓</t>
        </is>
      </c>
      <c r="G5289" t="n">
        <v>10</v>
      </c>
      <c r="H5289" t="n">
        <v>3027</v>
      </c>
      <c r="I5289" t="n">
        <v>3118.93</v>
      </c>
      <c r="J5289" t="n">
        <v>1</v>
      </c>
      <c r="K5289" t="inlineStr">
        <is>
          <t>组合风险已近10%，预算缩小</t>
        </is>
      </c>
    </row>
    <row r="5290">
      <c r="A5290" t="inlineStr">
        <is>
          <t>2026-02-24</t>
        </is>
      </c>
      <c r="B5290" t="inlineStr">
        <is>
          <t>沪银</t>
        </is>
      </c>
      <c r="C5290" t="inlineStr">
        <is>
          <t>多</t>
        </is>
      </c>
      <c r="D5290" t="n">
        <v>2</v>
      </c>
      <c r="E5290" t="n">
        <v>4</v>
      </c>
      <c r="F5290" t="inlineStr">
        <is>
          <t>不做</t>
        </is>
      </c>
      <c r="H5290" t="n">
        <v>22327</v>
      </c>
      <c r="J5290" t="n">
        <v>1</v>
      </c>
      <c r="K5290" t="inlineStr">
        <is>
          <t>1手风险122712元超过预算10000元</t>
        </is>
      </c>
    </row>
    <row r="5291">
      <c r="A5291" t="inlineStr">
        <is>
          <t>2026-02-25</t>
        </is>
      </c>
      <c r="B5291" t="inlineStr">
        <is>
          <t>白糖</t>
        </is>
      </c>
      <c r="C5291" t="inlineStr">
        <is>
          <t>多</t>
        </is>
      </c>
      <c r="D5291" t="n">
        <v>3</v>
      </c>
      <c r="E5291" t="n">
        <v>7</v>
      </c>
      <c r="F5291" t="inlineStr">
        <is>
          <t>开仓</t>
        </is>
      </c>
      <c r="G5291" t="n">
        <v>20</v>
      </c>
      <c r="H5291" t="n">
        <v>5248</v>
      </c>
      <c r="I5291" t="n">
        <v>5098</v>
      </c>
      <c r="J5291" t="n">
        <v>3</v>
      </c>
      <c r="K5291" t="inlineStr">
        <is>
          <t>¼凯利超上限，取3%</t>
        </is>
      </c>
    </row>
    <row r="5292">
      <c r="A5292" t="inlineStr">
        <is>
          <t>2026-02-25</t>
        </is>
      </c>
      <c r="B5292" t="inlineStr">
        <is>
          <t>塑料</t>
        </is>
      </c>
      <c r="C5292" t="inlineStr">
        <is>
          <t>空</t>
        </is>
      </c>
      <c r="D5292" t="n">
        <v>3</v>
      </c>
      <c r="E5292" t="n">
        <v>7</v>
      </c>
      <c r="F5292" t="inlineStr">
        <is>
          <t>观望</t>
        </is>
      </c>
      <c r="G5292" t="n">
        <v>15</v>
      </c>
      <c r="H5292" t="n">
        <v>6777</v>
      </c>
      <c r="I5292" t="n">
        <v>7162.71</v>
      </c>
      <c r="J5292" t="n">
        <v>3</v>
      </c>
      <c r="K5292" t="inlineStr">
        <is>
          <t>逆5日线（收盘在5日线上，不追空）</t>
        </is>
      </c>
    </row>
    <row r="5293">
      <c r="A5293" t="inlineStr">
        <is>
          <t>2026-02-25</t>
        </is>
      </c>
      <c r="B5293" t="inlineStr">
        <is>
          <t>工业硅</t>
        </is>
      </c>
      <c r="C5293" t="inlineStr">
        <is>
          <t>空</t>
        </is>
      </c>
      <c r="D5293" t="n">
        <v>3</v>
      </c>
      <c r="E5293" t="n">
        <v>6</v>
      </c>
      <c r="F5293" t="inlineStr">
        <is>
          <t>观望</t>
        </is>
      </c>
      <c r="G5293" t="n">
        <v>11</v>
      </c>
      <c r="H5293" t="n">
        <v>8430</v>
      </c>
      <c r="I5293" t="n">
        <v>8947.5</v>
      </c>
      <c r="J5293" t="n">
        <v>3</v>
      </c>
      <c r="K5293" t="inlineStr">
        <is>
          <t>逆5日线（收盘在5日线上，不追空）</t>
        </is>
      </c>
    </row>
    <row r="5294">
      <c r="A5294" t="inlineStr">
        <is>
          <t>2026-02-25</t>
        </is>
      </c>
      <c r="B5294" t="inlineStr">
        <is>
          <t>锰硅</t>
        </is>
      </c>
      <c r="C5294" t="inlineStr">
        <is>
          <t>空</t>
        </is>
      </c>
      <c r="D5294" t="n">
        <v>2</v>
      </c>
      <c r="E5294" t="n">
        <v>5</v>
      </c>
      <c r="F5294" t="inlineStr">
        <is>
          <t>影子仓</t>
        </is>
      </c>
      <c r="G5294" t="n">
        <v>9</v>
      </c>
      <c r="H5294" t="n">
        <v>5752</v>
      </c>
      <c r="I5294" t="n">
        <v>5955.57</v>
      </c>
      <c r="J5294" t="n">
        <v>1</v>
      </c>
      <c r="K5294" t="inlineStr">
        <is>
          <t>凯利≤0，开1%影子仓（只统计，不计入组合）</t>
        </is>
      </c>
    </row>
    <row r="5295">
      <c r="A5295" t="inlineStr">
        <is>
          <t>2026-02-25</t>
        </is>
      </c>
      <c r="B5295" t="inlineStr">
        <is>
          <t>热卷</t>
        </is>
      </c>
      <c r="C5295" t="inlineStr">
        <is>
          <t>空</t>
        </is>
      </c>
      <c r="D5295" t="n">
        <v>2</v>
      </c>
      <c r="E5295" t="n">
        <v>4</v>
      </c>
      <c r="F5295" t="inlineStr">
        <is>
          <t>观望</t>
        </is>
      </c>
      <c r="G5295" t="n">
        <v>11</v>
      </c>
      <c r="H5295" t="n">
        <v>3236</v>
      </c>
      <c r="I5295" t="n">
        <v>3325.14</v>
      </c>
      <c r="J5295" t="n">
        <v>1</v>
      </c>
      <c r="K5295" t="inlineStr">
        <is>
          <t>逆5日线（收盘在5日线上，不追空）</t>
        </is>
      </c>
    </row>
    <row r="5296">
      <c r="A5296" t="inlineStr">
        <is>
          <t>2026-02-25</t>
        </is>
      </c>
      <c r="B5296" t="inlineStr">
        <is>
          <t>沪铜</t>
        </is>
      </c>
      <c r="C5296" t="inlineStr">
        <is>
          <t>多</t>
        </is>
      </c>
      <c r="D5296" t="n">
        <v>2</v>
      </c>
      <c r="E5296" t="n">
        <v>4</v>
      </c>
      <c r="F5296" t="inlineStr">
        <is>
          <t>不做</t>
        </is>
      </c>
      <c r="H5296" t="n">
        <v>102890</v>
      </c>
      <c r="J5296" t="n">
        <v>1</v>
      </c>
      <c r="K5296" t="inlineStr">
        <is>
          <t>1手风险60782元超过预算10000元</t>
        </is>
      </c>
    </row>
    <row r="5297">
      <c r="A5297" t="inlineStr">
        <is>
          <t>2026-02-25</t>
        </is>
      </c>
      <c r="B5297" t="inlineStr">
        <is>
          <t>聚丙烯</t>
        </is>
      </c>
      <c r="C5297" t="inlineStr">
        <is>
          <t>空</t>
        </is>
      </c>
      <c r="D5297" t="n">
        <v>2</v>
      </c>
      <c r="E5297" t="n">
        <v>4</v>
      </c>
      <c r="F5297" t="inlineStr">
        <is>
          <t>观望</t>
        </is>
      </c>
      <c r="G5297" t="n">
        <v>5</v>
      </c>
      <c r="H5297" t="n">
        <v>6720</v>
      </c>
      <c r="I5297" t="n">
        <v>7061.79</v>
      </c>
      <c r="J5297" t="n">
        <v>1</v>
      </c>
      <c r="K5297" t="inlineStr">
        <is>
          <t>逆5日线（收盘在5日线上，不追空）</t>
        </is>
      </c>
    </row>
    <row r="5298">
      <c r="A5298" t="inlineStr">
        <is>
          <t>2026-02-26</t>
        </is>
      </c>
      <c r="B5298" t="inlineStr">
        <is>
          <t>棕榈油</t>
        </is>
      </c>
      <c r="C5298" t="inlineStr">
        <is>
          <t>空</t>
        </is>
      </c>
      <c r="D5298" t="n">
        <v>3</v>
      </c>
      <c r="E5298" t="n">
        <v>7</v>
      </c>
      <c r="F5298" t="inlineStr">
        <is>
          <t>开仓</t>
        </is>
      </c>
      <c r="G5298" t="n">
        <v>6</v>
      </c>
      <c r="H5298" t="n">
        <v>8714</v>
      </c>
      <c r="I5298" t="n">
        <v>9196.57</v>
      </c>
      <c r="J5298" t="n">
        <v>3</v>
      </c>
      <c r="K5298" t="inlineStr">
        <is>
          <t>¼凯利超上限，取3%</t>
        </is>
      </c>
    </row>
    <row r="5299">
      <c r="A5299" t="inlineStr">
        <is>
          <t>2026-02-26</t>
        </is>
      </c>
      <c r="B5299" t="inlineStr">
        <is>
          <t>塑料</t>
        </is>
      </c>
      <c r="C5299" t="inlineStr">
        <is>
          <t>空</t>
        </is>
      </c>
      <c r="D5299" t="n">
        <v>3</v>
      </c>
      <c r="E5299" t="n">
        <v>6</v>
      </c>
      <c r="F5299" t="inlineStr">
        <is>
          <t>开仓</t>
        </is>
      </c>
      <c r="G5299" t="n">
        <v>15</v>
      </c>
      <c r="H5299" t="n">
        <v>6668</v>
      </c>
      <c r="I5299" t="n">
        <v>7059.71</v>
      </c>
      <c r="J5299" t="n">
        <v>3</v>
      </c>
      <c r="K5299" t="inlineStr">
        <is>
          <t>¼凯利超上限，取3%</t>
        </is>
      </c>
    </row>
    <row r="5300">
      <c r="A5300" t="inlineStr">
        <is>
          <t>2026-02-26</t>
        </is>
      </c>
      <c r="B5300" t="inlineStr">
        <is>
          <t>螺纹钢</t>
        </is>
      </c>
      <c r="C5300" t="inlineStr">
        <is>
          <t>空</t>
        </is>
      </c>
      <c r="D5300" t="n">
        <v>3</v>
      </c>
      <c r="E5300" t="n">
        <v>6</v>
      </c>
      <c r="F5300" t="inlineStr">
        <is>
          <t>观望</t>
        </is>
      </c>
      <c r="H5300" t="n">
        <v>3063</v>
      </c>
      <c r="J5300" t="n">
        <v>0</v>
      </c>
      <c r="K5300" t="inlineStr">
        <is>
          <t>逆5日线（收盘在5日线上，不追空）</t>
        </is>
      </c>
    </row>
    <row r="5301">
      <c r="A5301" t="inlineStr">
        <is>
          <t>2026-02-26</t>
        </is>
      </c>
      <c r="B5301" t="inlineStr">
        <is>
          <t>热卷</t>
        </is>
      </c>
      <c r="C5301" t="inlineStr">
        <is>
          <t>空</t>
        </is>
      </c>
      <c r="D5301" t="n">
        <v>2</v>
      </c>
      <c r="E5301" t="n">
        <v>5</v>
      </c>
      <c r="F5301" t="inlineStr">
        <is>
          <t>观望</t>
        </is>
      </c>
      <c r="G5301" t="n">
        <v>11</v>
      </c>
      <c r="H5301" t="n">
        <v>3218</v>
      </c>
      <c r="I5301" t="n">
        <v>3307.14</v>
      </c>
      <c r="J5301" t="n">
        <v>1</v>
      </c>
      <c r="K5301" t="inlineStr">
        <is>
          <t>逆5日线（收盘在5日线上，不追空）</t>
        </is>
      </c>
    </row>
    <row r="5302">
      <c r="A5302" t="inlineStr">
        <is>
          <t>2026-02-26</t>
        </is>
      </c>
      <c r="B5302" t="inlineStr">
        <is>
          <t>PVC</t>
        </is>
      </c>
      <c r="C5302" t="inlineStr">
        <is>
          <t>空</t>
        </is>
      </c>
      <c r="D5302" t="n">
        <v>2</v>
      </c>
      <c r="E5302" t="n">
        <v>5</v>
      </c>
      <c r="F5302" t="inlineStr">
        <is>
          <t>影子仓</t>
        </is>
      </c>
      <c r="G5302" t="n">
        <v>5</v>
      </c>
      <c r="H5302" t="n">
        <v>4855</v>
      </c>
      <c r="I5302" t="n">
        <v>5198.5</v>
      </c>
      <c r="J5302" t="n">
        <v>1</v>
      </c>
      <c r="K5302" t="inlineStr">
        <is>
          <t>凯利≤0，开1%影子仓（只统计，不计入组合）</t>
        </is>
      </c>
    </row>
    <row r="5303">
      <c r="A5303" t="inlineStr">
        <is>
          <t>2026-02-26</t>
        </is>
      </c>
      <c r="B5303" t="inlineStr">
        <is>
          <t>沪铜</t>
        </is>
      </c>
      <c r="C5303" t="inlineStr">
        <is>
          <t>多</t>
        </is>
      </c>
      <c r="D5303" t="n">
        <v>2</v>
      </c>
      <c r="E5303" t="n">
        <v>4</v>
      </c>
      <c r="F5303" t="inlineStr">
        <is>
          <t>不做</t>
        </is>
      </c>
      <c r="H5303" t="n">
        <v>102670</v>
      </c>
      <c r="J5303" t="n">
        <v>1</v>
      </c>
      <c r="K5303" t="inlineStr">
        <is>
          <t>1手风险52875元超过预算10000元</t>
        </is>
      </c>
    </row>
    <row r="5304">
      <c r="A5304" t="inlineStr">
        <is>
          <t>2026-02-27</t>
        </is>
      </c>
      <c r="B5304" t="inlineStr">
        <is>
          <t>塑料</t>
        </is>
      </c>
      <c r="C5304" t="inlineStr">
        <is>
          <t>空</t>
        </is>
      </c>
      <c r="D5304" t="n">
        <v>3</v>
      </c>
      <c r="E5304" t="n">
        <v>7</v>
      </c>
      <c r="F5304" t="inlineStr">
        <is>
          <t>续持</t>
        </is>
      </c>
      <c r="G5304" t="n">
        <v>15</v>
      </c>
      <c r="H5304" t="n">
        <v>6597</v>
      </c>
      <c r="I5304" t="n">
        <v>6927.79</v>
      </c>
      <c r="J5304" t="n">
        <v>3</v>
      </c>
      <c r="K5304" t="inlineStr">
        <is>
          <t>续持原仓（2026-02-26开）</t>
        </is>
      </c>
    </row>
    <row r="5305">
      <c r="A5305" t="inlineStr">
        <is>
          <t>2026-02-27</t>
        </is>
      </c>
      <c r="B5305" t="inlineStr">
        <is>
          <t>热卷</t>
        </is>
      </c>
      <c r="C5305" t="inlineStr">
        <is>
          <t>空</t>
        </is>
      </c>
      <c r="D5305" t="n">
        <v>2</v>
      </c>
      <c r="E5305" t="n">
        <v>5</v>
      </c>
      <c r="F5305" t="inlineStr">
        <is>
          <t>影子仓</t>
        </is>
      </c>
      <c r="G5305" t="n">
        <v>11</v>
      </c>
      <c r="H5305" t="n">
        <v>3215</v>
      </c>
      <c r="I5305" t="n">
        <v>3300.5</v>
      </c>
      <c r="J5305" t="n">
        <v>1</v>
      </c>
      <c r="K5305" t="inlineStr">
        <is>
          <t>凯利≤0，开1%影子仓（只统计，不计入组合）</t>
        </is>
      </c>
    </row>
    <row r="5306">
      <c r="A5306" t="inlineStr">
        <is>
          <t>2026-02-27</t>
        </is>
      </c>
      <c r="B5306" t="inlineStr">
        <is>
          <t>碳酸锂</t>
        </is>
      </c>
      <c r="C5306" t="inlineStr">
        <is>
          <t>多</t>
        </is>
      </c>
      <c r="D5306" t="n">
        <v>2</v>
      </c>
      <c r="E5306" t="n">
        <v>5</v>
      </c>
      <c r="F5306" t="inlineStr">
        <is>
          <t>不做</t>
        </is>
      </c>
      <c r="H5306" t="n">
        <v>176040</v>
      </c>
      <c r="J5306" t="n">
        <v>1</v>
      </c>
      <c r="K5306" t="inlineStr">
        <is>
          <t>1手风险36973元超过预算10000元</t>
        </is>
      </c>
    </row>
    <row r="5307">
      <c r="A5307" t="inlineStr">
        <is>
          <t>2026-02-27</t>
        </is>
      </c>
      <c r="B5307" t="inlineStr">
        <is>
          <t>沪铜</t>
        </is>
      </c>
      <c r="C5307" t="inlineStr">
        <is>
          <t>多</t>
        </is>
      </c>
      <c r="D5307" t="n">
        <v>2</v>
      </c>
      <c r="E5307" t="n">
        <v>5</v>
      </c>
      <c r="F5307" t="inlineStr">
        <is>
          <t>不做</t>
        </is>
      </c>
      <c r="H5307" t="n">
        <v>103920</v>
      </c>
      <c r="J5307" t="n">
        <v>1</v>
      </c>
      <c r="K5307" t="inlineStr">
        <is>
          <t>1手风险43050元超过预算10000元</t>
        </is>
      </c>
    </row>
    <row r="5308">
      <c r="A5308" t="inlineStr">
        <is>
          <t>2026-02-27</t>
        </is>
      </c>
      <c r="B5308" t="inlineStr">
        <is>
          <t>螺纹钢</t>
        </is>
      </c>
      <c r="C5308" t="inlineStr">
        <is>
          <t>空</t>
        </is>
      </c>
      <c r="D5308" t="n">
        <v>2</v>
      </c>
      <c r="E5308" t="n">
        <v>4</v>
      </c>
      <c r="F5308" t="inlineStr">
        <is>
          <t>观望</t>
        </is>
      </c>
      <c r="G5308" t="n">
        <v>10</v>
      </c>
      <c r="H5308" t="n">
        <v>3067</v>
      </c>
      <c r="I5308" t="n">
        <v>3161.29</v>
      </c>
      <c r="J5308" t="n">
        <v>1</v>
      </c>
      <c r="K5308" t="inlineStr">
        <is>
          <t>逆5日线（收盘在5日线上，不追空）</t>
        </is>
      </c>
    </row>
    <row r="5309">
      <c r="A5309" t="inlineStr">
        <is>
          <t>2026-02-27</t>
        </is>
      </c>
      <c r="B5309" t="inlineStr">
        <is>
          <t>铁矿石</t>
        </is>
      </c>
      <c r="C5309" t="inlineStr">
        <is>
          <t>空</t>
        </is>
      </c>
      <c r="D5309" t="n">
        <v>2</v>
      </c>
      <c r="E5309" t="n">
        <v>4</v>
      </c>
      <c r="F5309" t="inlineStr">
        <is>
          <t>观望</t>
        </is>
      </c>
      <c r="G5309" t="n">
        <v>2</v>
      </c>
      <c r="H5309" t="n">
        <v>750.5</v>
      </c>
      <c r="I5309" t="n">
        <v>786.39</v>
      </c>
      <c r="J5309" t="n">
        <v>1</v>
      </c>
      <c r="K5309" t="inlineStr">
        <is>
          <t>逆5日线（收盘在5日线上，不追空）</t>
        </is>
      </c>
    </row>
    <row r="5310">
      <c r="A5310" t="inlineStr">
        <is>
          <t>2026-02-27</t>
        </is>
      </c>
      <c r="B5310" t="inlineStr">
        <is>
          <t>沪锌</t>
        </is>
      </c>
      <c r="C5310" t="inlineStr">
        <is>
          <t>多</t>
        </is>
      </c>
      <c r="D5310" t="n">
        <v>2</v>
      </c>
      <c r="E5310" t="n">
        <v>4</v>
      </c>
      <c r="F5310" t="inlineStr">
        <is>
          <t>影子仓</t>
        </is>
      </c>
      <c r="G5310" t="n">
        <v>1</v>
      </c>
      <c r="H5310" t="n">
        <v>24710</v>
      </c>
      <c r="I5310" t="n">
        <v>23246.43</v>
      </c>
      <c r="J5310" t="n">
        <v>1</v>
      </c>
      <c r="K5310" t="inlineStr">
        <is>
          <t>凯利≤0，开1%影子仓（只统计，不计入组合）</t>
        </is>
      </c>
    </row>
    <row r="5311">
      <c r="A5311" t="inlineStr">
        <is>
          <t>2026-03-02</t>
        </is>
      </c>
      <c r="B5311" t="inlineStr">
        <is>
          <t>工业硅</t>
        </is>
      </c>
      <c r="C5311" t="inlineStr">
        <is>
          <t>空</t>
        </is>
      </c>
      <c r="D5311" t="n">
        <v>3</v>
      </c>
      <c r="E5311" t="n">
        <v>6</v>
      </c>
      <c r="F5311" t="inlineStr">
        <is>
          <t>开仓</t>
        </is>
      </c>
      <c r="G5311" t="n">
        <v>12</v>
      </c>
      <c r="H5311" t="n">
        <v>8325</v>
      </c>
      <c r="I5311" t="n">
        <v>8793.209999999999</v>
      </c>
      <c r="J5311" t="n">
        <v>3</v>
      </c>
      <c r="K5311" t="inlineStr">
        <is>
          <t>¼凯利超上限，取3%</t>
        </is>
      </c>
    </row>
    <row r="5312">
      <c r="A5312" t="inlineStr">
        <is>
          <t>2026-03-02</t>
        </is>
      </c>
      <c r="B5312" t="inlineStr">
        <is>
          <t>热卷</t>
        </is>
      </c>
      <c r="C5312" t="inlineStr">
        <is>
          <t>空</t>
        </is>
      </c>
      <c r="D5312" t="n">
        <v>3</v>
      </c>
      <c r="E5312" t="n">
        <v>6</v>
      </c>
      <c r="F5312" t="inlineStr">
        <is>
          <t>观望</t>
        </is>
      </c>
      <c r="G5312" t="n">
        <v>23</v>
      </c>
      <c r="H5312" t="n">
        <v>3219</v>
      </c>
      <c r="I5312" t="n">
        <v>3303.43</v>
      </c>
      <c r="J5312" t="n">
        <v>2</v>
      </c>
      <c r="K5312" t="inlineStr">
        <is>
          <t>逆5日线（收盘在5日线上，不追空）</t>
        </is>
      </c>
    </row>
    <row r="5313">
      <c r="A5313" t="inlineStr">
        <is>
          <t>2026-03-02</t>
        </is>
      </c>
      <c r="B5313" t="inlineStr">
        <is>
          <t>沪铝</t>
        </is>
      </c>
      <c r="C5313" t="inlineStr">
        <is>
          <t>多</t>
        </is>
      </c>
      <c r="D5313" t="n">
        <v>3</v>
      </c>
      <c r="E5313" t="n">
        <v>6</v>
      </c>
      <c r="F5313" t="inlineStr">
        <is>
          <t>开仓</t>
        </is>
      </c>
      <c r="G5313" t="n">
        <v>4</v>
      </c>
      <c r="H5313" t="n">
        <v>24465</v>
      </c>
      <c r="I5313" t="n">
        <v>23071.07</v>
      </c>
      <c r="J5313" t="n">
        <v>3</v>
      </c>
      <c r="K5313" t="inlineStr">
        <is>
          <t>¼凯利超上限，取3%</t>
        </is>
      </c>
    </row>
    <row r="5314">
      <c r="A5314" t="inlineStr">
        <is>
          <t>2026-03-02</t>
        </is>
      </c>
      <c r="B5314" t="inlineStr">
        <is>
          <t>螺纹钢</t>
        </is>
      </c>
      <c r="C5314" t="inlineStr">
        <is>
          <t>空</t>
        </is>
      </c>
      <c r="D5314" t="n">
        <v>2</v>
      </c>
      <c r="E5314" t="n">
        <v>5</v>
      </c>
      <c r="F5314" t="inlineStr">
        <is>
          <t>观望</t>
        </is>
      </c>
      <c r="G5314" t="n">
        <v>10</v>
      </c>
      <c r="H5314" t="n">
        <v>3067</v>
      </c>
      <c r="I5314" t="n">
        <v>3161.71</v>
      </c>
      <c r="J5314" t="n">
        <v>1</v>
      </c>
      <c r="K5314" t="inlineStr">
        <is>
          <t>逆5日线（收盘在5日线上，不追空）</t>
        </is>
      </c>
    </row>
    <row r="5315">
      <c r="A5315" t="inlineStr">
        <is>
          <t>2026-03-02</t>
        </is>
      </c>
      <c r="B5315" t="inlineStr">
        <is>
          <t>聚丙烯</t>
        </is>
      </c>
      <c r="C5315" t="inlineStr">
        <is>
          <t>空</t>
        </is>
      </c>
      <c r="D5315" t="n">
        <v>2</v>
      </c>
      <c r="E5315" t="n">
        <v>4</v>
      </c>
      <c r="F5315" t="inlineStr">
        <is>
          <t>观望</t>
        </is>
      </c>
      <c r="G5315" t="n">
        <v>5</v>
      </c>
      <c r="H5315" t="n">
        <v>6998</v>
      </c>
      <c r="I5315" t="n">
        <v>7357.57</v>
      </c>
      <c r="J5315" t="n">
        <v>1</v>
      </c>
      <c r="K5315" t="inlineStr">
        <is>
          <t>逆5日线（收盘在5日线上，不追空）</t>
        </is>
      </c>
    </row>
    <row r="5316">
      <c r="A5316" t="inlineStr">
        <is>
          <t>2026-03-02</t>
        </is>
      </c>
      <c r="B5316" t="inlineStr">
        <is>
          <t>铁矿石</t>
        </is>
      </c>
      <c r="C5316" t="inlineStr">
        <is>
          <t>空</t>
        </is>
      </c>
      <c r="D5316" t="n">
        <v>2</v>
      </c>
      <c r="E5316" t="n">
        <v>4</v>
      </c>
      <c r="F5316" t="inlineStr">
        <is>
          <t>观望</t>
        </is>
      </c>
      <c r="G5316" t="n">
        <v>2</v>
      </c>
      <c r="H5316" t="n">
        <v>754.5</v>
      </c>
      <c r="I5316" t="n">
        <v>790.39</v>
      </c>
      <c r="J5316" t="n">
        <v>1</v>
      </c>
      <c r="K5316" t="inlineStr">
        <is>
          <t>逆5日线（收盘在5日线上，不追空）</t>
        </is>
      </c>
    </row>
    <row r="5317">
      <c r="A5317" t="inlineStr">
        <is>
          <t>2026-03-03</t>
        </is>
      </c>
      <c r="B5317" t="inlineStr">
        <is>
          <t>热卷</t>
        </is>
      </c>
      <c r="C5317" t="inlineStr">
        <is>
          <t>空</t>
        </is>
      </c>
      <c r="D5317" t="n">
        <v>2</v>
      </c>
      <c r="E5317" t="n">
        <v>5</v>
      </c>
      <c r="F5317" t="inlineStr">
        <is>
          <t>续持</t>
        </is>
      </c>
      <c r="G5317" t="n">
        <v>11</v>
      </c>
      <c r="H5317" t="n">
        <v>3219</v>
      </c>
      <c r="I5317" t="n">
        <v>3286.21</v>
      </c>
      <c r="J5317" t="n">
        <v>1</v>
      </c>
      <c r="K5317" t="inlineStr">
        <is>
          <t>续持原仓（2026-02-27开）</t>
        </is>
      </c>
    </row>
    <row r="5318">
      <c r="A5318" t="inlineStr">
        <is>
          <t>2026-03-03</t>
        </is>
      </c>
      <c r="B5318" t="inlineStr">
        <is>
          <t>螺纹钢</t>
        </is>
      </c>
      <c r="C5318" t="inlineStr">
        <is>
          <t>空</t>
        </is>
      </c>
      <c r="D5318" t="n">
        <v>2</v>
      </c>
      <c r="E5318" t="n">
        <v>5</v>
      </c>
      <c r="F5318" t="inlineStr">
        <is>
          <t>观望</t>
        </is>
      </c>
      <c r="G5318" t="n">
        <v>10</v>
      </c>
      <c r="H5318" t="n">
        <v>3074</v>
      </c>
      <c r="I5318" t="n">
        <v>3168.29</v>
      </c>
      <c r="J5318" t="n">
        <v>1</v>
      </c>
      <c r="K5318" t="inlineStr">
        <is>
          <t>逆5日线（收盘在5日线上，不追空）</t>
        </is>
      </c>
    </row>
    <row r="5319">
      <c r="A5319" t="inlineStr">
        <is>
          <t>2026-03-03</t>
        </is>
      </c>
      <c r="B5319" t="inlineStr">
        <is>
          <t>铁矿石</t>
        </is>
      </c>
      <c r="C5319" t="inlineStr">
        <is>
          <t>空</t>
        </is>
      </c>
      <c r="D5319" t="n">
        <v>2</v>
      </c>
      <c r="E5319" t="n">
        <v>4</v>
      </c>
      <c r="F5319" t="inlineStr">
        <is>
          <t>观望</t>
        </is>
      </c>
      <c r="G5319" t="n">
        <v>2</v>
      </c>
      <c r="H5319" t="n">
        <v>753.5</v>
      </c>
      <c r="I5319" t="n">
        <v>787.04</v>
      </c>
      <c r="J5319" t="n">
        <v>1</v>
      </c>
      <c r="K5319" t="inlineStr">
        <is>
          <t>逆5日线（收盘在5日线上，不追空）</t>
        </is>
      </c>
    </row>
    <row r="5320">
      <c r="A5320" t="inlineStr">
        <is>
          <t>2026-03-03</t>
        </is>
      </c>
      <c r="B5320" t="inlineStr">
        <is>
          <t>沪镍</t>
        </is>
      </c>
      <c r="C5320" t="inlineStr">
        <is>
          <t>空</t>
        </is>
      </c>
      <c r="D5320" t="n">
        <v>2</v>
      </c>
      <c r="E5320" t="n">
        <v>4</v>
      </c>
      <c r="F5320" t="inlineStr">
        <is>
          <t>不做</t>
        </is>
      </c>
      <c r="H5320" t="n">
        <v>135450</v>
      </c>
      <c r="J5320" t="n">
        <v>1</v>
      </c>
      <c r="K5320" t="inlineStr">
        <is>
          <t>1手风险12538元超过预算10000元</t>
        </is>
      </c>
    </row>
    <row r="5321">
      <c r="A5321" t="inlineStr">
        <is>
          <t>2026-03-04</t>
        </is>
      </c>
      <c r="B5321" t="inlineStr">
        <is>
          <t>热卷</t>
        </is>
      </c>
      <c r="C5321" t="inlineStr">
        <is>
          <t>空</t>
        </is>
      </c>
      <c r="D5321" t="n">
        <v>2</v>
      </c>
      <c r="E5321" t="n">
        <v>5</v>
      </c>
      <c r="F5321" t="inlineStr">
        <is>
          <t>续持</t>
        </is>
      </c>
      <c r="G5321" t="n">
        <v>11</v>
      </c>
      <c r="H5321" t="n">
        <v>3212</v>
      </c>
      <c r="I5321" t="n">
        <v>3286.21</v>
      </c>
      <c r="J5321" t="n">
        <v>1</v>
      </c>
      <c r="K5321" t="inlineStr">
        <is>
          <t>续持原仓（2026-02-27开）</t>
        </is>
      </c>
    </row>
    <row r="5322">
      <c r="A5322" t="inlineStr">
        <is>
          <t>2026-03-04</t>
        </is>
      </c>
      <c r="B5322" t="inlineStr">
        <is>
          <t>白糖</t>
        </is>
      </c>
      <c r="C5322" t="inlineStr">
        <is>
          <t>多</t>
        </is>
      </c>
      <c r="D5322" t="n">
        <v>2</v>
      </c>
      <c r="E5322" t="n">
        <v>5</v>
      </c>
      <c r="F5322" t="inlineStr">
        <is>
          <t>观望</t>
        </is>
      </c>
      <c r="G5322" t="n">
        <v>6</v>
      </c>
      <c r="H5322" t="n">
        <v>5308</v>
      </c>
      <c r="I5322" t="n">
        <v>5156.5</v>
      </c>
      <c r="J5322" t="n">
        <v>1</v>
      </c>
      <c r="K5322" t="inlineStr">
        <is>
          <t>逆5日线（收盘在5日线下，不追多）</t>
        </is>
      </c>
    </row>
    <row r="5323">
      <c r="A5323" t="inlineStr">
        <is>
          <t>2026-03-04</t>
        </is>
      </c>
      <c r="B5323" t="inlineStr">
        <is>
          <t>螺纹钢</t>
        </is>
      </c>
      <c r="C5323" t="inlineStr">
        <is>
          <t>空</t>
        </is>
      </c>
      <c r="D5323" t="n">
        <v>2</v>
      </c>
      <c r="E5323" t="n">
        <v>4</v>
      </c>
      <c r="F5323" t="inlineStr">
        <is>
          <t>观望</t>
        </is>
      </c>
      <c r="G5323" t="n">
        <v>10</v>
      </c>
      <c r="H5323" t="n">
        <v>3071</v>
      </c>
      <c r="I5323" t="n">
        <v>3166.14</v>
      </c>
      <c r="J5323" t="n">
        <v>1</v>
      </c>
      <c r="K5323" t="inlineStr">
        <is>
          <t>逆5日线（收盘在5日线上，不追空）</t>
        </is>
      </c>
    </row>
    <row r="5324">
      <c r="A5324" t="inlineStr">
        <is>
          <t>2026-03-04</t>
        </is>
      </c>
      <c r="B5324" t="inlineStr">
        <is>
          <t>铁矿石</t>
        </is>
      </c>
      <c r="C5324" t="inlineStr">
        <is>
          <t>空</t>
        </is>
      </c>
      <c r="D5324" t="n">
        <v>2</v>
      </c>
      <c r="E5324" t="n">
        <v>4</v>
      </c>
      <c r="F5324" t="inlineStr">
        <is>
          <t>观望</t>
        </is>
      </c>
      <c r="G5324" t="n">
        <v>2</v>
      </c>
      <c r="H5324" t="n">
        <v>752</v>
      </c>
      <c r="I5324" t="n">
        <v>785.54</v>
      </c>
      <c r="J5324" t="n">
        <v>1</v>
      </c>
      <c r="K5324" t="inlineStr">
        <is>
          <t>逆5日线（收盘在5日线上，不追空）</t>
        </is>
      </c>
    </row>
    <row r="5325">
      <c r="A5325" t="inlineStr">
        <is>
          <t>2026-03-04</t>
        </is>
      </c>
      <c r="B5325" t="inlineStr">
        <is>
          <t>碳酸锂</t>
        </is>
      </c>
      <c r="C5325" t="inlineStr">
        <is>
          <t>多</t>
        </is>
      </c>
      <c r="D5325" t="n">
        <v>2</v>
      </c>
      <c r="E5325" t="n">
        <v>4</v>
      </c>
      <c r="F5325" t="inlineStr">
        <is>
          <t>观望</t>
        </is>
      </c>
      <c r="H5325" t="n">
        <v>153060</v>
      </c>
      <c r="J5325" t="n">
        <v>1</v>
      </c>
      <c r="K5325" t="inlineStr">
        <is>
          <t>逆5日线（收盘在5日线下，不追多）</t>
        </is>
      </c>
    </row>
    <row r="5326">
      <c r="A5326" t="inlineStr">
        <is>
          <t>2026-03-04</t>
        </is>
      </c>
      <c r="B5326" t="inlineStr">
        <is>
          <t>PVC</t>
        </is>
      </c>
      <c r="C5326" t="inlineStr">
        <is>
          <t>多</t>
        </is>
      </c>
      <c r="D5326" t="n">
        <v>2</v>
      </c>
      <c r="E5326" t="n">
        <v>4</v>
      </c>
      <c r="F5326" t="inlineStr">
        <is>
          <t>影子仓</t>
        </is>
      </c>
      <c r="G5326" t="n">
        <v>6</v>
      </c>
      <c r="H5326" t="n">
        <v>4995</v>
      </c>
      <c r="I5326" t="n">
        <v>4687.93</v>
      </c>
      <c r="J5326" t="n">
        <v>1</v>
      </c>
      <c r="K5326" t="inlineStr">
        <is>
          <t>凯利≤0，开1%影子仓（只统计，不计入组合）</t>
        </is>
      </c>
    </row>
    <row r="5327">
      <c r="A5327" t="inlineStr">
        <is>
          <t>2026-03-04</t>
        </is>
      </c>
      <c r="B5327" t="inlineStr">
        <is>
          <t>沪银</t>
        </is>
      </c>
      <c r="C5327" t="inlineStr">
        <is>
          <t>多</t>
        </is>
      </c>
      <c r="D5327" t="n">
        <v>2</v>
      </c>
      <c r="E5327" t="n">
        <v>4</v>
      </c>
      <c r="F5327" t="inlineStr">
        <is>
          <t>观望</t>
        </is>
      </c>
      <c r="H5327" t="n">
        <v>21578</v>
      </c>
      <c r="J5327" t="n">
        <v>1</v>
      </c>
      <c r="K5327" t="inlineStr">
        <is>
          <t>逆5日线（收盘在5日线下，不追多）</t>
        </is>
      </c>
    </row>
    <row r="5328">
      <c r="A5328" t="inlineStr">
        <is>
          <t>2026-03-04</t>
        </is>
      </c>
      <c r="B5328" t="inlineStr">
        <is>
          <t>棕榈油</t>
        </is>
      </c>
      <c r="C5328" t="inlineStr">
        <is>
          <t>多</t>
        </is>
      </c>
      <c r="D5328" t="n">
        <v>2</v>
      </c>
      <c r="E5328" t="n">
        <v>4</v>
      </c>
      <c r="F5328" t="inlineStr">
        <is>
          <t>影子仓</t>
        </is>
      </c>
      <c r="G5328" t="n">
        <v>2</v>
      </c>
      <c r="H5328" t="n">
        <v>9002</v>
      </c>
      <c r="I5328" t="n">
        <v>8587.57</v>
      </c>
      <c r="J5328" t="n">
        <v>1</v>
      </c>
      <c r="K5328" t="inlineStr">
        <is>
          <t>凯利≤0，开1%影子仓（只统计，不计入组合）</t>
        </is>
      </c>
    </row>
    <row r="5329">
      <c r="A5329" t="inlineStr">
        <is>
          <t>2026-03-05</t>
        </is>
      </c>
      <c r="B5329" t="inlineStr">
        <is>
          <t>PTA</t>
        </is>
      </c>
      <c r="C5329" t="inlineStr">
        <is>
          <t>多</t>
        </is>
      </c>
      <c r="D5329" t="n">
        <v>3</v>
      </c>
      <c r="E5329" t="n">
        <v>7</v>
      </c>
      <c r="F5329" t="inlineStr">
        <is>
          <t>开仓</t>
        </is>
      </c>
      <c r="G5329" t="n">
        <v>11</v>
      </c>
      <c r="H5329" t="n">
        <v>5820</v>
      </c>
      <c r="I5329" t="n">
        <v>5314.71</v>
      </c>
      <c r="J5329" t="n">
        <v>3</v>
      </c>
      <c r="K5329" t="inlineStr">
        <is>
          <t>¼凯利超上限，取3%</t>
        </is>
      </c>
    </row>
    <row r="5330">
      <c r="A5330" t="inlineStr">
        <is>
          <t>2026-03-05</t>
        </is>
      </c>
      <c r="B5330" t="inlineStr">
        <is>
          <t>豆粕</t>
        </is>
      </c>
      <c r="C5330" t="inlineStr">
        <is>
          <t>多</t>
        </is>
      </c>
      <c r="D5330" t="n">
        <v>3</v>
      </c>
      <c r="E5330" t="n">
        <v>7</v>
      </c>
      <c r="F5330" t="inlineStr">
        <is>
          <t>开仓</t>
        </is>
      </c>
      <c r="G5330" t="n">
        <v>30</v>
      </c>
      <c r="H5330" t="n">
        <v>2843</v>
      </c>
      <c r="I5330" t="n">
        <v>2744.21</v>
      </c>
      <c r="J5330" t="n">
        <v>3</v>
      </c>
      <c r="K5330" t="inlineStr">
        <is>
          <t>¼凯利超上限，取3%</t>
        </is>
      </c>
    </row>
    <row r="5331">
      <c r="A5331" t="inlineStr">
        <is>
          <t>2026-03-05</t>
        </is>
      </c>
      <c r="B5331" t="inlineStr">
        <is>
          <t>热卷</t>
        </is>
      </c>
      <c r="C5331" t="inlineStr">
        <is>
          <t>空</t>
        </is>
      </c>
      <c r="D5331" t="n">
        <v>2</v>
      </c>
      <c r="E5331" t="n">
        <v>5</v>
      </c>
      <c r="F5331" t="inlineStr">
        <is>
          <t>续持</t>
        </is>
      </c>
      <c r="G5331" t="n">
        <v>11</v>
      </c>
      <c r="H5331" t="n">
        <v>3209</v>
      </c>
      <c r="I5331" t="n">
        <v>3286.21</v>
      </c>
      <c r="J5331" t="n">
        <v>1</v>
      </c>
      <c r="K5331" t="inlineStr">
        <is>
          <t>续持原仓（2026-02-27开）</t>
        </is>
      </c>
    </row>
    <row r="5332">
      <c r="A5332" t="inlineStr">
        <is>
          <t>2026-03-05</t>
        </is>
      </c>
      <c r="B5332" t="inlineStr">
        <is>
          <t>碳酸锂</t>
        </is>
      </c>
      <c r="C5332" t="inlineStr">
        <is>
          <t>多</t>
        </is>
      </c>
      <c r="D5332" t="n">
        <v>2</v>
      </c>
      <c r="E5332" t="n">
        <v>4</v>
      </c>
      <c r="F5332" t="inlineStr">
        <is>
          <t>观望</t>
        </is>
      </c>
      <c r="H5332" t="n">
        <v>155860</v>
      </c>
      <c r="J5332" t="n">
        <v>1</v>
      </c>
      <c r="K5332" t="inlineStr">
        <is>
          <t>逆5日线（收盘在5日线下，不追多）</t>
        </is>
      </c>
    </row>
    <row r="5333">
      <c r="A5333" t="inlineStr">
        <is>
          <t>2026-03-05</t>
        </is>
      </c>
      <c r="B5333" t="inlineStr">
        <is>
          <t>棕榈油</t>
        </is>
      </c>
      <c r="C5333" t="inlineStr">
        <is>
          <t>多</t>
        </is>
      </c>
      <c r="D5333" t="n">
        <v>2</v>
      </c>
      <c r="E5333" t="n">
        <v>4</v>
      </c>
      <c r="F5333" t="inlineStr">
        <is>
          <t>续持</t>
        </is>
      </c>
      <c r="G5333" t="n">
        <v>2</v>
      </c>
      <c r="H5333" t="n">
        <v>9070</v>
      </c>
      <c r="I5333" t="n">
        <v>8696.860000000001</v>
      </c>
      <c r="J5333" t="n">
        <v>1</v>
      </c>
      <c r="K5333" t="inlineStr">
        <is>
          <t>续持原仓（2026-03-04开）</t>
        </is>
      </c>
    </row>
    <row r="5334">
      <c r="A5334" t="inlineStr">
        <is>
          <t>2026-03-06</t>
        </is>
      </c>
      <c r="B5334" t="inlineStr">
        <is>
          <t>菜油</t>
        </is>
      </c>
      <c r="C5334" t="inlineStr">
        <is>
          <t>多</t>
        </is>
      </c>
      <c r="D5334" t="n">
        <v>3</v>
      </c>
      <c r="E5334" t="n">
        <v>7</v>
      </c>
      <c r="F5334" t="inlineStr">
        <is>
          <t>开仓</t>
        </is>
      </c>
      <c r="G5334" t="n">
        <v>7</v>
      </c>
      <c r="H5334" t="n">
        <v>9666</v>
      </c>
      <c r="I5334" t="n">
        <v>9259.93</v>
      </c>
      <c r="J5334" t="n">
        <v>3</v>
      </c>
      <c r="K5334" t="inlineStr">
        <is>
          <t>¼凯利超上限，取3%</t>
        </is>
      </c>
    </row>
    <row r="5335">
      <c r="A5335" t="inlineStr">
        <is>
          <t>2026-03-06</t>
        </is>
      </c>
      <c r="B5335" t="inlineStr">
        <is>
          <t>豆二</t>
        </is>
      </c>
      <c r="C5335" t="inlineStr">
        <is>
          <t>多</t>
        </is>
      </c>
      <c r="D5335" t="n">
        <v>3</v>
      </c>
      <c r="E5335" t="n">
        <v>7</v>
      </c>
      <c r="F5335" t="inlineStr">
        <is>
          <t>不做</t>
        </is>
      </c>
      <c r="H5335" t="n">
        <v>3682</v>
      </c>
      <c r="J5335" t="n">
        <v>0</v>
      </c>
      <c r="K5335" t="inlineStr">
        <is>
          <t>农产品板块同方向已近6%，预算缩小</t>
        </is>
      </c>
    </row>
    <row r="5336">
      <c r="A5336" t="inlineStr">
        <is>
          <t>2026-03-06</t>
        </is>
      </c>
      <c r="B5336" t="inlineStr">
        <is>
          <t>PTA</t>
        </is>
      </c>
      <c r="C5336" t="inlineStr">
        <is>
          <t>多</t>
        </is>
      </c>
      <c r="D5336" t="n">
        <v>3</v>
      </c>
      <c r="E5336" t="n">
        <v>7</v>
      </c>
      <c r="F5336" t="inlineStr">
        <is>
          <t>续持</t>
        </is>
      </c>
      <c r="G5336" t="n">
        <v>11</v>
      </c>
      <c r="H5336" t="n">
        <v>6070</v>
      </c>
      <c r="I5336" t="n">
        <v>5538.29</v>
      </c>
      <c r="J5336" t="n">
        <v>3</v>
      </c>
      <c r="K5336" t="inlineStr">
        <is>
          <t>续持原仓（2026-03-05开）</t>
        </is>
      </c>
    </row>
    <row r="5337">
      <c r="A5337" t="inlineStr">
        <is>
          <t>2026-03-06</t>
        </is>
      </c>
      <c r="B5337" t="inlineStr">
        <is>
          <t>玉米</t>
        </is>
      </c>
      <c r="C5337" t="inlineStr">
        <is>
          <t>多</t>
        </is>
      </c>
      <c r="D5337" t="n">
        <v>3</v>
      </c>
      <c r="E5337" t="n">
        <v>6</v>
      </c>
      <c r="F5337" t="inlineStr">
        <is>
          <t>不做</t>
        </is>
      </c>
      <c r="H5337" t="n">
        <v>2393</v>
      </c>
      <c r="J5337" t="n">
        <v>0</v>
      </c>
      <c r="K5337" t="inlineStr">
        <is>
          <t>农产品板块同方向已近6%，预算缩小</t>
        </is>
      </c>
    </row>
    <row r="5338">
      <c r="A5338" t="inlineStr">
        <is>
          <t>2026-03-06</t>
        </is>
      </c>
      <c r="B5338" t="inlineStr">
        <is>
          <t>豆粕</t>
        </is>
      </c>
      <c r="C5338" t="inlineStr">
        <is>
          <t>多</t>
        </is>
      </c>
      <c r="D5338" t="n">
        <v>3</v>
      </c>
      <c r="E5338" t="n">
        <v>6</v>
      </c>
      <c r="F5338" t="inlineStr">
        <is>
          <t>续持</t>
        </is>
      </c>
      <c r="G5338" t="n">
        <v>30</v>
      </c>
      <c r="H5338" t="n">
        <v>2915</v>
      </c>
      <c r="I5338" t="n">
        <v>2810.36</v>
      </c>
      <c r="J5338" t="n">
        <v>3</v>
      </c>
      <c r="K5338" t="inlineStr">
        <is>
          <t>续持原仓（2026-03-05开）</t>
        </is>
      </c>
    </row>
    <row r="5339">
      <c r="A5339" t="inlineStr">
        <is>
          <t>2026-03-06</t>
        </is>
      </c>
      <c r="B5339" t="inlineStr">
        <is>
          <t>热卷</t>
        </is>
      </c>
      <c r="C5339" t="inlineStr">
        <is>
          <t>空</t>
        </is>
      </c>
      <c r="D5339" t="n">
        <v>3</v>
      </c>
      <c r="E5339" t="n">
        <v>6</v>
      </c>
      <c r="F5339" t="inlineStr">
        <is>
          <t>观望</t>
        </is>
      </c>
      <c r="G5339" t="n">
        <v>11</v>
      </c>
      <c r="H5339" t="n">
        <v>3230</v>
      </c>
      <c r="I5339" t="n">
        <v>3316.14</v>
      </c>
      <c r="J5339" t="n">
        <v>1</v>
      </c>
      <c r="K5339" t="inlineStr">
        <is>
          <t>逆5日线（收盘在5日线上，不追空）</t>
        </is>
      </c>
    </row>
    <row r="5340">
      <c r="A5340" t="inlineStr">
        <is>
          <t>2026-03-09</t>
        </is>
      </c>
      <c r="B5340" t="inlineStr">
        <is>
          <t>豆二</t>
        </is>
      </c>
      <c r="C5340" t="inlineStr">
        <is>
          <t>多</t>
        </is>
      </c>
      <c r="D5340" t="n">
        <v>3</v>
      </c>
      <c r="E5340" t="n">
        <v>7</v>
      </c>
      <c r="F5340" t="inlineStr">
        <is>
          <t>开仓</t>
        </is>
      </c>
      <c r="G5340" t="n">
        <v>16</v>
      </c>
      <c r="H5340" t="n">
        <v>3792</v>
      </c>
      <c r="I5340" t="n">
        <v>3613.5</v>
      </c>
      <c r="J5340" t="n">
        <v>3</v>
      </c>
      <c r="K5340" t="inlineStr">
        <is>
          <t>¼凯利超上限，取3%</t>
        </is>
      </c>
    </row>
    <row r="5341">
      <c r="A5341" t="inlineStr">
        <is>
          <t>2026-03-09</t>
        </is>
      </c>
      <c r="B5341" t="inlineStr">
        <is>
          <t>菜油</t>
        </is>
      </c>
      <c r="C5341" t="inlineStr">
        <is>
          <t>多</t>
        </is>
      </c>
      <c r="D5341" t="n">
        <v>3</v>
      </c>
      <c r="E5341" t="n">
        <v>6</v>
      </c>
      <c r="F5341" t="inlineStr">
        <is>
          <t>续持</t>
        </is>
      </c>
      <c r="G5341" t="n">
        <v>7</v>
      </c>
      <c r="H5341" t="n">
        <v>9954</v>
      </c>
      <c r="I5341" t="n">
        <v>9666.639999999999</v>
      </c>
      <c r="J5341" t="n">
        <v>3</v>
      </c>
      <c r="K5341" t="inlineStr">
        <is>
          <t>续持原仓（2026-03-06开）</t>
        </is>
      </c>
    </row>
    <row r="5342">
      <c r="A5342" t="inlineStr">
        <is>
          <t>2026-03-09</t>
        </is>
      </c>
      <c r="B5342" t="inlineStr">
        <is>
          <t>碳酸锂</t>
        </is>
      </c>
      <c r="C5342" t="inlineStr">
        <is>
          <t>多</t>
        </is>
      </c>
      <c r="D5342" t="n">
        <v>3</v>
      </c>
      <c r="E5342" t="n">
        <v>6</v>
      </c>
      <c r="F5342" t="inlineStr">
        <is>
          <t>不做</t>
        </is>
      </c>
      <c r="H5342" t="n">
        <v>161060</v>
      </c>
      <c r="J5342" t="n">
        <v>1</v>
      </c>
      <c r="K5342" t="inlineStr">
        <is>
          <t>1手风险37269元超过预算10000元</t>
        </is>
      </c>
    </row>
    <row r="5343">
      <c r="A5343" t="inlineStr">
        <is>
          <t>2026-03-09</t>
        </is>
      </c>
      <c r="B5343" t="inlineStr">
        <is>
          <t>PTA</t>
        </is>
      </c>
      <c r="C5343" t="inlineStr">
        <is>
          <t>多</t>
        </is>
      </c>
      <c r="D5343" t="n">
        <v>3</v>
      </c>
      <c r="E5343" t="n">
        <v>6</v>
      </c>
      <c r="F5343" t="inlineStr">
        <is>
          <t>续持</t>
        </is>
      </c>
      <c r="G5343" t="n">
        <v>11</v>
      </c>
      <c r="H5343" t="n">
        <v>6316</v>
      </c>
      <c r="I5343" t="n">
        <v>5738.29</v>
      </c>
      <c r="J5343" t="n">
        <v>3</v>
      </c>
      <c r="K5343" t="inlineStr">
        <is>
          <t>续持原仓（2026-03-05开）</t>
        </is>
      </c>
    </row>
    <row r="5344">
      <c r="A5344" t="inlineStr">
        <is>
          <t>2026-03-09</t>
        </is>
      </c>
      <c r="B5344" t="inlineStr">
        <is>
          <t>棕榈油</t>
        </is>
      </c>
      <c r="C5344" t="inlineStr">
        <is>
          <t>多</t>
        </is>
      </c>
      <c r="D5344" t="n">
        <v>3</v>
      </c>
      <c r="E5344" t="n">
        <v>6</v>
      </c>
      <c r="F5344" t="inlineStr">
        <is>
          <t>续持</t>
        </is>
      </c>
      <c r="G5344" t="n">
        <v>2</v>
      </c>
      <c r="H5344" t="n">
        <v>9720</v>
      </c>
      <c r="I5344" t="n">
        <v>9236</v>
      </c>
      <c r="J5344" t="n">
        <v>1</v>
      </c>
      <c r="K5344" t="inlineStr">
        <is>
          <t>续持原仓（2026-03-04开）</t>
        </is>
      </c>
    </row>
    <row r="5345">
      <c r="A5345" t="inlineStr">
        <is>
          <t>2026-03-09</t>
        </is>
      </c>
      <c r="B5345" t="inlineStr">
        <is>
          <t>工业硅</t>
        </is>
      </c>
      <c r="C5345" t="inlineStr">
        <is>
          <t>空</t>
        </is>
      </c>
      <c r="D5345" t="n">
        <v>2</v>
      </c>
      <c r="E5345" t="n">
        <v>5</v>
      </c>
      <c r="F5345" t="inlineStr">
        <is>
          <t>观望</t>
        </is>
      </c>
      <c r="G5345" t="n">
        <v>3</v>
      </c>
      <c r="H5345" t="n">
        <v>8670</v>
      </c>
      <c r="I5345" t="n">
        <v>9219.639999999999</v>
      </c>
      <c r="J5345" t="n">
        <v>1</v>
      </c>
      <c r="K5345" t="inlineStr">
        <is>
          <t>逆5日线（收盘在5日线上，不追空）</t>
        </is>
      </c>
    </row>
    <row r="5346">
      <c r="A5346" t="inlineStr">
        <is>
          <t>2026-03-10</t>
        </is>
      </c>
      <c r="B5346" t="inlineStr">
        <is>
          <t>热卷</t>
        </is>
      </c>
      <c r="C5346" t="inlineStr">
        <is>
          <t>空</t>
        </is>
      </c>
      <c r="D5346" t="n">
        <v>3</v>
      </c>
      <c r="E5346" t="n">
        <v>7</v>
      </c>
      <c r="F5346" t="inlineStr">
        <is>
          <t>观望</t>
        </is>
      </c>
      <c r="G5346" t="n">
        <v>31</v>
      </c>
      <c r="H5346" t="n">
        <v>3256</v>
      </c>
      <c r="I5346" t="n">
        <v>3351.79</v>
      </c>
      <c r="J5346" t="n">
        <v>3</v>
      </c>
      <c r="K5346" t="inlineStr">
        <is>
          <t>逆5日线（收盘在5日线上，不追空）</t>
        </is>
      </c>
    </row>
    <row r="5347">
      <c r="A5347" t="inlineStr">
        <is>
          <t>2026-03-10</t>
        </is>
      </c>
      <c r="B5347" t="inlineStr">
        <is>
          <t>工业硅</t>
        </is>
      </c>
      <c r="C5347" t="inlineStr">
        <is>
          <t>空</t>
        </is>
      </c>
      <c r="D5347" t="n">
        <v>3</v>
      </c>
      <c r="E5347" t="n">
        <v>7</v>
      </c>
      <c r="F5347" t="inlineStr">
        <is>
          <t>观望</t>
        </is>
      </c>
      <c r="G5347" t="n">
        <v>10</v>
      </c>
      <c r="H5347" t="n">
        <v>8625</v>
      </c>
      <c r="I5347" t="n">
        <v>9181.07</v>
      </c>
      <c r="J5347" t="n">
        <v>3</v>
      </c>
      <c r="K5347" t="inlineStr">
        <is>
          <t>逆5日线（收盘在5日线上，不追空）</t>
        </is>
      </c>
    </row>
    <row r="5348">
      <c r="A5348" t="inlineStr">
        <is>
          <t>2026-03-10</t>
        </is>
      </c>
      <c r="B5348" t="inlineStr">
        <is>
          <t>碳酸锂</t>
        </is>
      </c>
      <c r="C5348" t="inlineStr">
        <is>
          <t>多</t>
        </is>
      </c>
      <c r="D5348" t="n">
        <v>3</v>
      </c>
      <c r="E5348" t="n">
        <v>6</v>
      </c>
      <c r="F5348" t="inlineStr">
        <is>
          <t>不做</t>
        </is>
      </c>
      <c r="H5348" t="n">
        <v>163000</v>
      </c>
      <c r="J5348" t="n">
        <v>3</v>
      </c>
      <c r="K5348" t="inlineStr">
        <is>
          <t>1手风险37200元超过预算30000元</t>
        </is>
      </c>
    </row>
    <row r="5349">
      <c r="A5349" t="inlineStr">
        <is>
          <t>2026-03-10</t>
        </is>
      </c>
      <c r="B5349" t="inlineStr">
        <is>
          <t>豆二</t>
        </is>
      </c>
      <c r="C5349" t="inlineStr">
        <is>
          <t>多</t>
        </is>
      </c>
      <c r="D5349" t="n">
        <v>2</v>
      </c>
      <c r="E5349" t="n">
        <v>5</v>
      </c>
      <c r="F5349" t="inlineStr">
        <is>
          <t>续持</t>
        </is>
      </c>
      <c r="G5349" t="n">
        <v>16</v>
      </c>
      <c r="H5349" t="n">
        <v>3737</v>
      </c>
      <c r="I5349" t="n">
        <v>3611.5</v>
      </c>
      <c r="J5349" t="n">
        <v>3</v>
      </c>
      <c r="K5349" t="inlineStr">
        <is>
          <t>续持原仓（2026-03-09开）</t>
        </is>
      </c>
    </row>
    <row r="5350">
      <c r="A5350" t="inlineStr">
        <is>
          <t>2026-03-10</t>
        </is>
      </c>
      <c r="B5350" t="inlineStr">
        <is>
          <t>玉米</t>
        </is>
      </c>
      <c r="C5350" t="inlineStr">
        <is>
          <t>多</t>
        </is>
      </c>
      <c r="D5350" t="n">
        <v>2</v>
      </c>
      <c r="E5350" t="n">
        <v>5</v>
      </c>
      <c r="F5350" t="inlineStr">
        <is>
          <t>观望</t>
        </is>
      </c>
      <c r="G5350" t="n">
        <v>12</v>
      </c>
      <c r="H5350" t="n">
        <v>2381</v>
      </c>
      <c r="I5350" t="n">
        <v>2303.86</v>
      </c>
      <c r="J5350" t="n">
        <v>1</v>
      </c>
      <c r="K5350" t="inlineStr">
        <is>
          <t>逆5日线（收盘在5日线下，不追多）</t>
        </is>
      </c>
    </row>
    <row r="5351">
      <c r="A5351" t="inlineStr">
        <is>
          <t>2026-03-10</t>
        </is>
      </c>
      <c r="B5351" t="inlineStr">
        <is>
          <t>棕榈油</t>
        </is>
      </c>
      <c r="C5351" t="inlineStr">
        <is>
          <t>多</t>
        </is>
      </c>
      <c r="D5351" t="n">
        <v>2</v>
      </c>
      <c r="E5351" t="n">
        <v>4</v>
      </c>
      <c r="F5351" t="inlineStr">
        <is>
          <t>续持</t>
        </is>
      </c>
      <c r="G5351" t="n">
        <v>2</v>
      </c>
      <c r="H5351" t="n">
        <v>9462</v>
      </c>
      <c r="I5351" t="n">
        <v>9236</v>
      </c>
      <c r="J5351" t="n">
        <v>1</v>
      </c>
      <c r="K5351" t="inlineStr">
        <is>
          <t>续持原仓（2026-03-04开）</t>
        </is>
      </c>
    </row>
    <row r="5352">
      <c r="A5352" t="inlineStr">
        <is>
          <t>2026-03-10</t>
        </is>
      </c>
      <c r="B5352" t="inlineStr">
        <is>
          <t>苯乙烯</t>
        </is>
      </c>
      <c r="C5352" t="inlineStr">
        <is>
          <t>多</t>
        </is>
      </c>
      <c r="D5352" t="n">
        <v>2</v>
      </c>
      <c r="E5352" t="n">
        <v>4</v>
      </c>
      <c r="F5352" t="inlineStr">
        <is>
          <t>影子仓</t>
        </is>
      </c>
      <c r="G5352" t="n">
        <v>1</v>
      </c>
      <c r="H5352" t="n">
        <v>9915</v>
      </c>
      <c r="I5352" t="n">
        <v>8741.360000000001</v>
      </c>
      <c r="J5352" t="n">
        <v>1</v>
      </c>
      <c r="K5352" t="inlineStr">
        <is>
          <t>凯利≤0，开1%影子仓（只统计，不计入组合）</t>
        </is>
      </c>
    </row>
    <row r="5353">
      <c r="A5353" t="inlineStr">
        <is>
          <t>2026-03-11</t>
        </is>
      </c>
      <c r="B5353" t="inlineStr">
        <is>
          <t>豆粕</t>
        </is>
      </c>
      <c r="C5353" t="inlineStr">
        <is>
          <t>多</t>
        </is>
      </c>
      <c r="D5353" t="n">
        <v>3</v>
      </c>
      <c r="E5353" t="n">
        <v>7</v>
      </c>
      <c r="F5353" t="inlineStr">
        <is>
          <t>开仓</t>
        </is>
      </c>
      <c r="G5353" t="n">
        <v>18</v>
      </c>
      <c r="H5353" t="n">
        <v>3068</v>
      </c>
      <c r="I5353" t="n">
        <v>2903.64</v>
      </c>
      <c r="J5353" t="n">
        <v>3</v>
      </c>
      <c r="K5353" t="inlineStr">
        <is>
          <t>¼凯利超上限，取3%</t>
        </is>
      </c>
    </row>
    <row r="5354">
      <c r="A5354" t="inlineStr">
        <is>
          <t>2026-03-11</t>
        </is>
      </c>
      <c r="B5354" t="inlineStr">
        <is>
          <t>沪铝</t>
        </is>
      </c>
      <c r="C5354" t="inlineStr">
        <is>
          <t>多</t>
        </is>
      </c>
      <c r="D5354" t="n">
        <v>3</v>
      </c>
      <c r="E5354" t="n">
        <v>6</v>
      </c>
      <c r="F5354" t="inlineStr">
        <is>
          <t>开仓</t>
        </is>
      </c>
      <c r="G5354" t="n">
        <v>3</v>
      </c>
      <c r="H5354" t="n">
        <v>25290</v>
      </c>
      <c r="I5354" t="n">
        <v>23466.43</v>
      </c>
      <c r="J5354" t="n">
        <v>3</v>
      </c>
      <c r="K5354" t="inlineStr">
        <is>
          <t>¼凯利超上限，取3%</t>
        </is>
      </c>
    </row>
    <row r="5355">
      <c r="A5355" t="inlineStr">
        <is>
          <t>2026-03-11</t>
        </is>
      </c>
      <c r="B5355" t="inlineStr">
        <is>
          <t>工业硅</t>
        </is>
      </c>
      <c r="C5355" t="inlineStr">
        <is>
          <t>空</t>
        </is>
      </c>
      <c r="D5355" t="n">
        <v>3</v>
      </c>
      <c r="E5355" t="n">
        <v>6</v>
      </c>
      <c r="F5355" t="inlineStr">
        <is>
          <t>开仓</t>
        </is>
      </c>
      <c r="G5355" t="n">
        <v>10</v>
      </c>
      <c r="H5355" t="n">
        <v>8620</v>
      </c>
      <c r="I5355" t="n">
        <v>9181.43</v>
      </c>
      <c r="J5355" t="n">
        <v>3</v>
      </c>
      <c r="K5355" t="inlineStr">
        <is>
          <t>¼凯利超上限，取3%</t>
        </is>
      </c>
    </row>
    <row r="5356">
      <c r="A5356" t="inlineStr">
        <is>
          <t>2026-03-11</t>
        </is>
      </c>
      <c r="B5356" t="inlineStr">
        <is>
          <t>锰硅</t>
        </is>
      </c>
      <c r="C5356" t="inlineStr">
        <is>
          <t>多</t>
        </is>
      </c>
      <c r="D5356" t="n">
        <v>3</v>
      </c>
      <c r="E5356" t="n">
        <v>6</v>
      </c>
      <c r="F5356" t="inlineStr">
        <is>
          <t>开仓</t>
        </is>
      </c>
      <c r="G5356" t="n">
        <v>5</v>
      </c>
      <c r="H5356" t="n">
        <v>6116</v>
      </c>
      <c r="I5356" t="n">
        <v>5779.57</v>
      </c>
      <c r="J5356" t="n">
        <v>1</v>
      </c>
      <c r="K5356" t="inlineStr">
        <is>
          <t>组合风险已近10%，预算缩小</t>
        </is>
      </c>
    </row>
    <row r="5357">
      <c r="A5357" t="inlineStr">
        <is>
          <t>2026-03-11</t>
        </is>
      </c>
      <c r="B5357" t="inlineStr">
        <is>
          <t>乙二醇</t>
        </is>
      </c>
      <c r="C5357" t="inlineStr">
        <is>
          <t>多</t>
        </is>
      </c>
      <c r="D5357" t="n">
        <v>2</v>
      </c>
      <c r="E5357" t="n">
        <v>5</v>
      </c>
      <c r="F5357" t="inlineStr">
        <is>
          <t>影子仓</t>
        </is>
      </c>
      <c r="G5357" t="n">
        <v>1</v>
      </c>
      <c r="H5357" t="n">
        <v>4577</v>
      </c>
      <c r="I5357" t="n">
        <v>3936.5</v>
      </c>
      <c r="J5357" t="n">
        <v>1</v>
      </c>
      <c r="K5357" t="inlineStr">
        <is>
          <t>凯利≤0，开1%影子仓（只统计，不计入组合）</t>
        </is>
      </c>
    </row>
    <row r="5358">
      <c r="A5358" t="inlineStr">
        <is>
          <t>2026-03-11</t>
        </is>
      </c>
      <c r="B5358" t="inlineStr">
        <is>
          <t>PVC</t>
        </is>
      </c>
      <c r="C5358" t="inlineStr">
        <is>
          <t>多</t>
        </is>
      </c>
      <c r="D5358" t="n">
        <v>2</v>
      </c>
      <c r="E5358" t="n">
        <v>4</v>
      </c>
      <c r="F5358" t="inlineStr">
        <is>
          <t>影子仓</t>
        </is>
      </c>
      <c r="G5358" t="n">
        <v>3</v>
      </c>
      <c r="H5358" t="n">
        <v>5571</v>
      </c>
      <c r="I5358" t="n">
        <v>4993.5</v>
      </c>
      <c r="J5358" t="n">
        <v>1</v>
      </c>
      <c r="K5358" t="inlineStr">
        <is>
          <t>凯利≤0，开1%影子仓（只统计，不计入组合）</t>
        </is>
      </c>
    </row>
    <row r="5359">
      <c r="A5359" t="inlineStr">
        <is>
          <t>2026-03-12</t>
        </is>
      </c>
      <c r="B5359" t="inlineStr">
        <is>
          <t>豆粕</t>
        </is>
      </c>
      <c r="C5359" t="inlineStr">
        <is>
          <t>多</t>
        </is>
      </c>
      <c r="D5359" t="n">
        <v>3</v>
      </c>
      <c r="E5359" t="n">
        <v>6</v>
      </c>
      <c r="F5359" t="inlineStr">
        <is>
          <t>续持</t>
        </is>
      </c>
      <c r="G5359" t="n">
        <v>18</v>
      </c>
      <c r="H5359" t="n">
        <v>3054</v>
      </c>
      <c r="I5359" t="n">
        <v>2949.14</v>
      </c>
      <c r="J5359" t="n">
        <v>3</v>
      </c>
      <c r="K5359" t="inlineStr">
        <is>
          <t>续持原仓（2026-03-11开）</t>
        </is>
      </c>
    </row>
    <row r="5360">
      <c r="A5360" t="inlineStr">
        <is>
          <t>2026-03-12</t>
        </is>
      </c>
      <c r="B5360" t="inlineStr">
        <is>
          <t>硅铁</t>
        </is>
      </c>
      <c r="C5360" t="inlineStr">
        <is>
          <t>多</t>
        </is>
      </c>
      <c r="D5360" t="n">
        <v>3</v>
      </c>
      <c r="E5360" t="n">
        <v>6</v>
      </c>
      <c r="F5360" t="inlineStr">
        <is>
          <t>不做</t>
        </is>
      </c>
      <c r="H5360" t="n">
        <v>5922</v>
      </c>
      <c r="J5360" t="n">
        <v>0</v>
      </c>
      <c r="K5360" t="inlineStr">
        <is>
          <t>组合风险已近10%，预算缩小</t>
        </is>
      </c>
    </row>
    <row r="5361">
      <c r="A5361" t="inlineStr">
        <is>
          <t>2026-03-12</t>
        </is>
      </c>
      <c r="B5361" t="inlineStr">
        <is>
          <t>铁矿石</t>
        </is>
      </c>
      <c r="C5361" t="inlineStr">
        <is>
          <t>多</t>
        </is>
      </c>
      <c r="D5361" t="n">
        <v>3</v>
      </c>
      <c r="E5361" t="n">
        <v>6</v>
      </c>
      <c r="F5361" t="inlineStr">
        <is>
          <t>不做</t>
        </is>
      </c>
      <c r="H5361" t="n">
        <v>795.5</v>
      </c>
      <c r="J5361" t="n">
        <v>0</v>
      </c>
      <c r="K5361" t="inlineStr">
        <is>
          <t>组合风险已近10%，预算缩小</t>
        </is>
      </c>
    </row>
    <row r="5362">
      <c r="A5362" t="inlineStr">
        <is>
          <t>2026-03-12</t>
        </is>
      </c>
      <c r="B5362" t="inlineStr">
        <is>
          <t>乙二醇</t>
        </is>
      </c>
      <c r="C5362" t="inlineStr">
        <is>
          <t>多</t>
        </is>
      </c>
      <c r="D5362" t="n">
        <v>2</v>
      </c>
      <c r="E5362" t="n">
        <v>5</v>
      </c>
      <c r="F5362" t="inlineStr">
        <is>
          <t>续持</t>
        </is>
      </c>
      <c r="G5362" t="n">
        <v>1</v>
      </c>
      <c r="H5362" t="n">
        <v>4653</v>
      </c>
      <c r="I5362" t="n">
        <v>4234.64</v>
      </c>
      <c r="J5362" t="n">
        <v>1</v>
      </c>
      <c r="K5362" t="inlineStr">
        <is>
          <t>续持原仓（2026-03-11开）</t>
        </is>
      </c>
    </row>
    <row r="5363">
      <c r="A5363" t="inlineStr">
        <is>
          <t>2026-03-12</t>
        </is>
      </c>
      <c r="B5363" t="inlineStr">
        <is>
          <t>沪铝</t>
        </is>
      </c>
      <c r="C5363" t="inlineStr">
        <is>
          <t>多</t>
        </is>
      </c>
      <c r="D5363" t="n">
        <v>2</v>
      </c>
      <c r="E5363" t="n">
        <v>5</v>
      </c>
      <c r="F5363" t="inlineStr">
        <is>
          <t>续持</t>
        </is>
      </c>
      <c r="G5363" t="n">
        <v>3</v>
      </c>
      <c r="H5363" t="n">
        <v>25325</v>
      </c>
      <c r="I5363" t="n">
        <v>23739.29</v>
      </c>
      <c r="J5363" t="n">
        <v>3</v>
      </c>
      <c r="K5363" t="inlineStr">
        <is>
          <t>续持原仓（2026-03-11开）</t>
        </is>
      </c>
    </row>
    <row r="5364">
      <c r="A5364" t="inlineStr">
        <is>
          <t>2026-03-13</t>
        </is>
      </c>
      <c r="B5364" t="inlineStr">
        <is>
          <t>菜油</t>
        </is>
      </c>
      <c r="C5364" t="inlineStr">
        <is>
          <t>多</t>
        </is>
      </c>
      <c r="D5364" t="n">
        <v>3</v>
      </c>
      <c r="E5364" t="n">
        <v>7</v>
      </c>
      <c r="F5364" t="inlineStr">
        <is>
          <t>不做</t>
        </is>
      </c>
      <c r="H5364" t="n">
        <v>9821</v>
      </c>
      <c r="J5364" t="n">
        <v>0</v>
      </c>
      <c r="K5364" t="inlineStr">
        <is>
          <t>组合风险已近10%，预算缩小</t>
        </is>
      </c>
    </row>
    <row r="5365">
      <c r="A5365" t="inlineStr">
        <is>
          <t>2026-03-13</t>
        </is>
      </c>
      <c r="B5365" t="inlineStr">
        <is>
          <t>豆粕</t>
        </is>
      </c>
      <c r="C5365" t="inlineStr">
        <is>
          <t>多</t>
        </is>
      </c>
      <c r="D5365" t="n">
        <v>3</v>
      </c>
      <c r="E5365" t="n">
        <v>7</v>
      </c>
      <c r="F5365" t="inlineStr">
        <is>
          <t>续持</t>
        </is>
      </c>
      <c r="G5365" t="n">
        <v>18</v>
      </c>
      <c r="H5365" t="n">
        <v>3128</v>
      </c>
      <c r="I5365" t="n">
        <v>3002.14</v>
      </c>
      <c r="J5365" t="n">
        <v>3</v>
      </c>
      <c r="K5365" t="inlineStr">
        <is>
          <t>续持原仓（2026-03-11开）</t>
        </is>
      </c>
    </row>
    <row r="5366">
      <c r="A5366" t="inlineStr">
        <is>
          <t>2026-03-13</t>
        </is>
      </c>
      <c r="B5366" t="inlineStr">
        <is>
          <t>菜粕</t>
        </is>
      </c>
      <c r="C5366" t="inlineStr">
        <is>
          <t>多</t>
        </is>
      </c>
      <c r="D5366" t="n">
        <v>3</v>
      </c>
      <c r="E5366" t="n">
        <v>6</v>
      </c>
      <c r="F5366" t="inlineStr">
        <is>
          <t>不做</t>
        </is>
      </c>
      <c r="H5366" t="n">
        <v>2591</v>
      </c>
      <c r="J5366" t="n">
        <v>0</v>
      </c>
      <c r="K5366" t="inlineStr">
        <is>
          <t>与豆粕高度相关（同组≤3%），预算缩小</t>
        </is>
      </c>
    </row>
    <row r="5367">
      <c r="A5367" t="inlineStr">
        <is>
          <t>2026-03-13</t>
        </is>
      </c>
      <c r="B5367" t="inlineStr">
        <is>
          <t>乙二醇</t>
        </is>
      </c>
      <c r="C5367" t="inlineStr">
        <is>
          <t>多</t>
        </is>
      </c>
      <c r="D5367" t="n">
        <v>3</v>
      </c>
      <c r="E5367" t="n">
        <v>6</v>
      </c>
      <c r="F5367" t="inlineStr">
        <is>
          <t>续持</t>
        </is>
      </c>
      <c r="G5367" t="n">
        <v>1</v>
      </c>
      <c r="H5367" t="n">
        <v>4729</v>
      </c>
      <c r="I5367" t="n">
        <v>4234.64</v>
      </c>
      <c r="J5367" t="n">
        <v>1</v>
      </c>
      <c r="K5367" t="inlineStr">
        <is>
          <t>续持原仓（2026-03-11开）</t>
        </is>
      </c>
    </row>
    <row r="5368">
      <c r="A5368" t="inlineStr">
        <is>
          <t>2026-03-13</t>
        </is>
      </c>
      <c r="B5368" t="inlineStr">
        <is>
          <t>白糖</t>
        </is>
      </c>
      <c r="C5368" t="inlineStr">
        <is>
          <t>多</t>
        </is>
      </c>
      <c r="D5368" t="n">
        <v>3</v>
      </c>
      <c r="E5368" t="n">
        <v>6</v>
      </c>
      <c r="F5368" t="inlineStr">
        <is>
          <t>不做</t>
        </is>
      </c>
      <c r="H5368" t="n">
        <v>5447</v>
      </c>
      <c r="J5368" t="n">
        <v>0</v>
      </c>
      <c r="K5368" t="inlineStr">
        <is>
          <t>组合风险已近10%，预算缩小</t>
        </is>
      </c>
    </row>
    <row r="5369">
      <c r="A5369" t="inlineStr">
        <is>
          <t>2026-03-16</t>
        </is>
      </c>
      <c r="B5369" t="inlineStr">
        <is>
          <t>菜油</t>
        </is>
      </c>
      <c r="C5369" t="inlineStr">
        <is>
          <t>多</t>
        </is>
      </c>
      <c r="D5369" t="n">
        <v>3</v>
      </c>
      <c r="E5369" t="n">
        <v>7</v>
      </c>
      <c r="F5369" t="inlineStr">
        <is>
          <t>不做</t>
        </is>
      </c>
      <c r="H5369" t="n">
        <v>9948</v>
      </c>
      <c r="J5369" t="n">
        <v>0</v>
      </c>
      <c r="K5369" t="inlineStr">
        <is>
          <t>组合风险已近10%，预算缩小</t>
        </is>
      </c>
    </row>
    <row r="5370">
      <c r="A5370" t="inlineStr">
        <is>
          <t>2026-03-16</t>
        </is>
      </c>
      <c r="B5370" t="inlineStr">
        <is>
          <t>乙二醇</t>
        </is>
      </c>
      <c r="C5370" t="inlineStr">
        <is>
          <t>多</t>
        </is>
      </c>
      <c r="D5370" t="n">
        <v>3</v>
      </c>
      <c r="E5370" t="n">
        <v>6</v>
      </c>
      <c r="F5370" t="inlineStr">
        <is>
          <t>续持</t>
        </is>
      </c>
      <c r="G5370" t="n">
        <v>1</v>
      </c>
      <c r="H5370" t="n">
        <v>4897</v>
      </c>
      <c r="I5370" t="n">
        <v>4257.64</v>
      </c>
      <c r="J5370" t="n">
        <v>1</v>
      </c>
      <c r="K5370" t="inlineStr">
        <is>
          <t>续持原仓（2026-03-11开）</t>
        </is>
      </c>
    </row>
    <row r="5371">
      <c r="A5371" t="inlineStr">
        <is>
          <t>2026-03-16</t>
        </is>
      </c>
      <c r="B5371" t="inlineStr">
        <is>
          <t>铁矿石</t>
        </is>
      </c>
      <c r="C5371" t="inlineStr">
        <is>
          <t>多</t>
        </is>
      </c>
      <c r="D5371" t="n">
        <v>3</v>
      </c>
      <c r="E5371" t="n">
        <v>6</v>
      </c>
      <c r="F5371" t="inlineStr">
        <is>
          <t>不做</t>
        </is>
      </c>
      <c r="H5371" t="n">
        <v>809</v>
      </c>
      <c r="J5371" t="n">
        <v>0</v>
      </c>
      <c r="K5371" t="inlineStr">
        <is>
          <t>组合风险已近10%，预算缩小</t>
        </is>
      </c>
    </row>
    <row r="5372">
      <c r="A5372" t="inlineStr">
        <is>
          <t>2026-03-16</t>
        </is>
      </c>
      <c r="B5372" t="inlineStr">
        <is>
          <t>白糖</t>
        </is>
      </c>
      <c r="C5372" t="inlineStr">
        <is>
          <t>多</t>
        </is>
      </c>
      <c r="D5372" t="n">
        <v>3</v>
      </c>
      <c r="E5372" t="n">
        <v>6</v>
      </c>
      <c r="F5372" t="inlineStr">
        <is>
          <t>不做</t>
        </is>
      </c>
      <c r="H5372" t="n">
        <v>5472</v>
      </c>
      <c r="J5372" t="n">
        <v>0</v>
      </c>
      <c r="K5372" t="inlineStr">
        <is>
          <t>组合风险已近10%，预算缩小</t>
        </is>
      </c>
    </row>
    <row r="5373">
      <c r="A5373" t="inlineStr">
        <is>
          <t>2026-03-16</t>
        </is>
      </c>
      <c r="B5373" t="inlineStr">
        <is>
          <t>沪铝</t>
        </is>
      </c>
      <c r="C5373" t="inlineStr">
        <is>
          <t>多</t>
        </is>
      </c>
      <c r="D5373" t="n">
        <v>3</v>
      </c>
      <c r="E5373" t="n">
        <v>6</v>
      </c>
      <c r="F5373" t="inlineStr">
        <is>
          <t>续持</t>
        </is>
      </c>
      <c r="G5373" t="n">
        <v>3</v>
      </c>
      <c r="H5373" t="n">
        <v>25170</v>
      </c>
      <c r="I5373" t="n">
        <v>23774.64</v>
      </c>
      <c r="J5373" t="n">
        <v>3</v>
      </c>
      <c r="K5373" t="inlineStr">
        <is>
          <t>续持原仓（2026-03-11开）</t>
        </is>
      </c>
    </row>
    <row r="5374">
      <c r="A5374" t="inlineStr">
        <is>
          <t>2026-03-16</t>
        </is>
      </c>
      <c r="B5374" t="inlineStr">
        <is>
          <t>沪锌</t>
        </is>
      </c>
      <c r="C5374" t="inlineStr">
        <is>
          <t>空</t>
        </is>
      </c>
      <c r="D5374" t="n">
        <v>3</v>
      </c>
      <c r="E5374" t="n">
        <v>6</v>
      </c>
      <c r="F5374" t="inlineStr">
        <is>
          <t>不做</t>
        </is>
      </c>
      <c r="H5374" t="n">
        <v>23905</v>
      </c>
      <c r="J5374" t="n">
        <v>0</v>
      </c>
      <c r="K5374" t="inlineStr">
        <is>
          <t>组合风险已近10%，预算缩小</t>
        </is>
      </c>
    </row>
    <row r="5375">
      <c r="A5375" t="inlineStr">
        <is>
          <t>2026-03-17</t>
        </is>
      </c>
      <c r="B5375" t="inlineStr">
        <is>
          <t>锰硅</t>
        </is>
      </c>
      <c r="C5375" t="inlineStr">
        <is>
          <t>多</t>
        </is>
      </c>
      <c r="D5375" t="n">
        <v>3</v>
      </c>
      <c r="E5375" t="n">
        <v>7</v>
      </c>
      <c r="F5375" t="inlineStr">
        <is>
          <t>续持</t>
        </is>
      </c>
      <c r="G5375" t="n">
        <v>5</v>
      </c>
      <c r="H5375" t="n">
        <v>6240</v>
      </c>
      <c r="I5375" t="n">
        <v>5899.29</v>
      </c>
      <c r="J5375" t="n">
        <v>1</v>
      </c>
      <c r="K5375" t="inlineStr">
        <is>
          <t>续持原仓（2026-03-11开）</t>
        </is>
      </c>
    </row>
    <row r="5376">
      <c r="A5376" t="inlineStr">
        <is>
          <t>2026-03-17</t>
        </is>
      </c>
      <c r="B5376" t="inlineStr">
        <is>
          <t>沪铜</t>
        </is>
      </c>
      <c r="C5376" t="inlineStr">
        <is>
          <t>空</t>
        </is>
      </c>
      <c r="D5376" t="n">
        <v>3</v>
      </c>
      <c r="E5376" t="n">
        <v>6</v>
      </c>
      <c r="F5376" t="inlineStr">
        <is>
          <t>开仓</t>
        </is>
      </c>
      <c r="G5376" t="n">
        <v>1</v>
      </c>
      <c r="H5376" t="n">
        <v>99340</v>
      </c>
      <c r="I5376" t="n">
        <v>104802.14</v>
      </c>
      <c r="J5376" t="n">
        <v>3</v>
      </c>
      <c r="K5376" t="inlineStr">
        <is>
          <t>¼凯利超上限，取3%</t>
        </is>
      </c>
    </row>
    <row r="5377">
      <c r="A5377" t="inlineStr">
        <is>
          <t>2026-03-17</t>
        </is>
      </c>
      <c r="B5377" t="inlineStr">
        <is>
          <t>铁矿石</t>
        </is>
      </c>
      <c r="C5377" t="inlineStr">
        <is>
          <t>多</t>
        </is>
      </c>
      <c r="D5377" t="n">
        <v>3</v>
      </c>
      <c r="E5377" t="n">
        <v>6</v>
      </c>
      <c r="F5377" t="inlineStr">
        <is>
          <t>不做</t>
        </is>
      </c>
      <c r="H5377" t="n">
        <v>816.5</v>
      </c>
      <c r="J5377" t="n">
        <v>0</v>
      </c>
      <c r="K5377" t="inlineStr">
        <is>
          <t>组合风险已近10%，预算缩小</t>
        </is>
      </c>
    </row>
    <row r="5378">
      <c r="A5378" t="inlineStr">
        <is>
          <t>2026-03-17</t>
        </is>
      </c>
      <c r="B5378" t="inlineStr">
        <is>
          <t>PVC</t>
        </is>
      </c>
      <c r="C5378" t="inlineStr">
        <is>
          <t>多</t>
        </is>
      </c>
      <c r="D5378" t="n">
        <v>3</v>
      </c>
      <c r="E5378" t="n">
        <v>6</v>
      </c>
      <c r="F5378" t="inlineStr">
        <is>
          <t>不做</t>
        </is>
      </c>
      <c r="H5378" t="n">
        <v>5901</v>
      </c>
      <c r="J5378" t="n">
        <v>0</v>
      </c>
      <c r="K5378" t="inlineStr">
        <is>
          <t>组合风险已近10%，预算缩小</t>
        </is>
      </c>
    </row>
    <row r="5379">
      <c r="A5379" t="inlineStr">
        <is>
          <t>2026-03-17</t>
        </is>
      </c>
      <c r="B5379" t="inlineStr">
        <is>
          <t>硅铁</t>
        </is>
      </c>
      <c r="C5379" t="inlineStr">
        <is>
          <t>多</t>
        </is>
      </c>
      <c r="D5379" t="n">
        <v>3</v>
      </c>
      <c r="E5379" t="n">
        <v>6</v>
      </c>
      <c r="F5379" t="inlineStr">
        <is>
          <t>不做</t>
        </is>
      </c>
      <c r="H5379" t="n">
        <v>5928</v>
      </c>
      <c r="J5379" t="n">
        <v>0</v>
      </c>
      <c r="K5379" t="inlineStr">
        <is>
          <t>组合风险已近10%，预算缩小</t>
        </is>
      </c>
    </row>
    <row r="5380">
      <c r="A5380" t="inlineStr">
        <is>
          <t>2026-03-17</t>
        </is>
      </c>
      <c r="B5380" t="inlineStr">
        <is>
          <t>豆二</t>
        </is>
      </c>
      <c r="C5380" t="inlineStr">
        <is>
          <t>多</t>
        </is>
      </c>
      <c r="D5380" t="n">
        <v>2</v>
      </c>
      <c r="E5380" t="n">
        <v>5</v>
      </c>
      <c r="F5380" t="inlineStr">
        <is>
          <t>观望</t>
        </is>
      </c>
      <c r="G5380" t="n">
        <v>3</v>
      </c>
      <c r="H5380" t="n">
        <v>3858</v>
      </c>
      <c r="I5380" t="n">
        <v>3598.29</v>
      </c>
      <c r="J5380" t="n">
        <v>1</v>
      </c>
      <c r="K5380" t="inlineStr">
        <is>
          <t>逆5日线（收盘在5日线下，不追多）</t>
        </is>
      </c>
    </row>
    <row r="5381">
      <c r="A5381" t="inlineStr">
        <is>
          <t>2026-03-18</t>
        </is>
      </c>
      <c r="B5381" t="inlineStr">
        <is>
          <t>沪锌</t>
        </is>
      </c>
      <c r="C5381" t="inlineStr">
        <is>
          <t>空</t>
        </is>
      </c>
      <c r="D5381" t="n">
        <v>3</v>
      </c>
      <c r="E5381" t="n">
        <v>7</v>
      </c>
      <c r="F5381" t="inlineStr">
        <is>
          <t>开仓</t>
        </is>
      </c>
      <c r="G5381" t="n">
        <v>5</v>
      </c>
      <c r="H5381" t="n">
        <v>23345</v>
      </c>
      <c r="I5381" t="n">
        <v>24433.57</v>
      </c>
      <c r="J5381" t="n">
        <v>3</v>
      </c>
      <c r="K5381" t="inlineStr">
        <is>
          <t>¼凯利超上限，取3%</t>
        </is>
      </c>
    </row>
    <row r="5382">
      <c r="A5382" t="inlineStr">
        <is>
          <t>2026-03-18</t>
        </is>
      </c>
      <c r="B5382" t="inlineStr">
        <is>
          <t>乙二醇</t>
        </is>
      </c>
      <c r="C5382" t="inlineStr">
        <is>
          <t>多</t>
        </is>
      </c>
      <c r="D5382" t="n">
        <v>3</v>
      </c>
      <c r="E5382" t="n">
        <v>6</v>
      </c>
      <c r="F5382" t="inlineStr">
        <is>
          <t>续持</t>
        </is>
      </c>
      <c r="G5382" t="n">
        <v>1</v>
      </c>
      <c r="H5382" t="n">
        <v>4849</v>
      </c>
      <c r="I5382" t="n">
        <v>4257.64</v>
      </c>
      <c r="J5382" t="n">
        <v>1</v>
      </c>
      <c r="K5382" t="inlineStr">
        <is>
          <t>续持原仓（2026-03-11开）</t>
        </is>
      </c>
    </row>
    <row r="5383">
      <c r="A5383" t="inlineStr">
        <is>
          <t>2026-03-18</t>
        </is>
      </c>
      <c r="B5383" t="inlineStr">
        <is>
          <t>沪铜</t>
        </is>
      </c>
      <c r="C5383" t="inlineStr">
        <is>
          <t>空</t>
        </is>
      </c>
      <c r="D5383" t="n">
        <v>3</v>
      </c>
      <c r="E5383" t="n">
        <v>6</v>
      </c>
      <c r="F5383" t="inlineStr">
        <is>
          <t>续持</t>
        </is>
      </c>
      <c r="G5383" t="n">
        <v>1</v>
      </c>
      <c r="H5383" t="n">
        <v>98610</v>
      </c>
      <c r="I5383" t="n">
        <v>103541.43</v>
      </c>
      <c r="J5383" t="n">
        <v>3</v>
      </c>
      <c r="K5383" t="inlineStr">
        <is>
          <t>续持原仓（2026-03-17开）</t>
        </is>
      </c>
    </row>
    <row r="5384">
      <c r="A5384" t="inlineStr">
        <is>
          <t>2026-03-18</t>
        </is>
      </c>
      <c r="B5384" t="inlineStr">
        <is>
          <t>菜油</t>
        </is>
      </c>
      <c r="C5384" t="inlineStr">
        <is>
          <t>多</t>
        </is>
      </c>
      <c r="D5384" t="n">
        <v>2</v>
      </c>
      <c r="E5384" t="n">
        <v>5</v>
      </c>
      <c r="F5384" t="inlineStr">
        <is>
          <t>观望</t>
        </is>
      </c>
      <c r="G5384" t="n">
        <v>1</v>
      </c>
      <c r="H5384" t="n">
        <v>9780</v>
      </c>
      <c r="I5384" t="n">
        <v>9171.209999999999</v>
      </c>
      <c r="J5384" t="n">
        <v>1</v>
      </c>
      <c r="K5384" t="inlineStr">
        <is>
          <t>逆5日线（收盘在5日线下，不追多）</t>
        </is>
      </c>
    </row>
    <row r="5385">
      <c r="A5385" t="inlineStr">
        <is>
          <t>2026-03-18</t>
        </is>
      </c>
      <c r="B5385" t="inlineStr">
        <is>
          <t>热卷</t>
        </is>
      </c>
      <c r="C5385" t="inlineStr">
        <is>
          <t>多</t>
        </is>
      </c>
      <c r="D5385" t="n">
        <v>2</v>
      </c>
      <c r="E5385" t="n">
        <v>5</v>
      </c>
      <c r="F5385" t="inlineStr">
        <is>
          <t>影子仓</t>
        </is>
      </c>
      <c r="G5385" t="n">
        <v>11</v>
      </c>
      <c r="H5385" t="n">
        <v>3310</v>
      </c>
      <c r="I5385" t="n">
        <v>3223</v>
      </c>
      <c r="J5385" t="n">
        <v>1</v>
      </c>
      <c r="K5385" t="inlineStr">
        <is>
          <t>凯利≤0，开1%影子仓（只统计，不计入组合）</t>
        </is>
      </c>
    </row>
    <row r="5386">
      <c r="A5386" t="inlineStr">
        <is>
          <t>2026-03-18</t>
        </is>
      </c>
      <c r="B5386" t="inlineStr">
        <is>
          <t>玉米</t>
        </is>
      </c>
      <c r="C5386" t="inlineStr">
        <is>
          <t>多</t>
        </is>
      </c>
      <c r="D5386" t="n">
        <v>2</v>
      </c>
      <c r="E5386" t="n">
        <v>5</v>
      </c>
      <c r="F5386" t="inlineStr">
        <is>
          <t>观望</t>
        </is>
      </c>
      <c r="G5386" t="n">
        <v>14</v>
      </c>
      <c r="H5386" t="n">
        <v>2382</v>
      </c>
      <c r="I5386" t="n">
        <v>2313.86</v>
      </c>
      <c r="J5386" t="n">
        <v>1</v>
      </c>
      <c r="K5386" t="inlineStr">
        <is>
          <t>逆5日线（收盘在5日线下，不追多）</t>
        </is>
      </c>
    </row>
    <row r="5387">
      <c r="A5387" t="inlineStr">
        <is>
          <t>2026-03-18</t>
        </is>
      </c>
      <c r="B5387" t="inlineStr">
        <is>
          <t>铁矿石</t>
        </is>
      </c>
      <c r="C5387" t="inlineStr">
        <is>
          <t>多</t>
        </is>
      </c>
      <c r="D5387" t="n">
        <v>2</v>
      </c>
      <c r="E5387" t="n">
        <v>5</v>
      </c>
      <c r="F5387" t="inlineStr">
        <is>
          <t>影子仓</t>
        </is>
      </c>
      <c r="G5387" t="n">
        <v>2</v>
      </c>
      <c r="H5387" t="n">
        <v>811</v>
      </c>
      <c r="I5387" t="n">
        <v>766.64</v>
      </c>
      <c r="J5387" t="n">
        <v>1</v>
      </c>
      <c r="K5387" t="inlineStr">
        <is>
          <t>凯利≤0，开1%影子仓（只统计，不计入组合）</t>
        </is>
      </c>
    </row>
    <row r="5388">
      <c r="A5388" t="inlineStr">
        <is>
          <t>2026-03-18</t>
        </is>
      </c>
      <c r="B5388" t="inlineStr">
        <is>
          <t>菜粕</t>
        </is>
      </c>
      <c r="C5388" t="inlineStr">
        <is>
          <t>空</t>
        </is>
      </c>
      <c r="D5388" t="n">
        <v>2</v>
      </c>
      <c r="E5388" t="n">
        <v>4</v>
      </c>
      <c r="F5388" t="inlineStr">
        <is>
          <t>影子仓</t>
        </is>
      </c>
      <c r="G5388" t="n">
        <v>4</v>
      </c>
      <c r="H5388" t="n">
        <v>2443</v>
      </c>
      <c r="I5388" t="n">
        <v>2656.43</v>
      </c>
      <c r="J5388" t="n">
        <v>1</v>
      </c>
      <c r="K5388" t="inlineStr">
        <is>
          <t>凯利≤0，开1%影子仓（只统计，不计入组合）</t>
        </is>
      </c>
    </row>
    <row r="5389">
      <c r="A5389" t="inlineStr">
        <is>
          <t>2026-03-19</t>
        </is>
      </c>
      <c r="B5389" t="inlineStr">
        <is>
          <t>豆二</t>
        </is>
      </c>
      <c r="C5389" t="inlineStr">
        <is>
          <t>多</t>
        </is>
      </c>
      <c r="D5389" t="n">
        <v>3</v>
      </c>
      <c r="E5389" t="n">
        <v>7</v>
      </c>
      <c r="F5389" t="inlineStr">
        <is>
          <t>观望</t>
        </is>
      </c>
      <c r="G5389" t="n">
        <v>10</v>
      </c>
      <c r="H5389" t="n">
        <v>3829</v>
      </c>
      <c r="I5389" t="n">
        <v>3551.07</v>
      </c>
      <c r="J5389" t="n">
        <v>3</v>
      </c>
      <c r="K5389" t="inlineStr">
        <is>
          <t>逆5日线（收盘在5日线下，不追多）</t>
        </is>
      </c>
    </row>
    <row r="5390">
      <c r="A5390" t="inlineStr">
        <is>
          <t>2026-03-19</t>
        </is>
      </c>
      <c r="B5390" t="inlineStr">
        <is>
          <t>菜油</t>
        </is>
      </c>
      <c r="C5390" t="inlineStr">
        <is>
          <t>多</t>
        </is>
      </c>
      <c r="D5390" t="n">
        <v>3</v>
      </c>
      <c r="E5390" t="n">
        <v>7</v>
      </c>
      <c r="F5390" t="inlineStr">
        <is>
          <t>开仓</t>
        </is>
      </c>
      <c r="G5390" t="n">
        <v>4</v>
      </c>
      <c r="H5390" t="n">
        <v>9854</v>
      </c>
      <c r="I5390" t="n">
        <v>9230.639999999999</v>
      </c>
      <c r="J5390" t="n">
        <v>3</v>
      </c>
      <c r="K5390" t="inlineStr">
        <is>
          <t>¼凯利超上限，取3%</t>
        </is>
      </c>
    </row>
    <row r="5391">
      <c r="A5391" t="inlineStr">
        <is>
          <t>2026-03-19</t>
        </is>
      </c>
      <c r="B5391" t="inlineStr">
        <is>
          <t>豆油</t>
        </is>
      </c>
      <c r="C5391" t="inlineStr">
        <is>
          <t>多</t>
        </is>
      </c>
      <c r="D5391" t="n">
        <v>3</v>
      </c>
      <c r="E5391" t="n">
        <v>6</v>
      </c>
      <c r="F5391" t="inlineStr">
        <is>
          <t>观望</t>
        </is>
      </c>
      <c r="H5391" t="n">
        <v>8616</v>
      </c>
      <c r="J5391" t="n">
        <v>0</v>
      </c>
      <c r="K5391" t="inlineStr">
        <is>
          <t>逆5日线（收盘在5日线下，不追多）</t>
        </is>
      </c>
    </row>
    <row r="5392">
      <c r="A5392" t="inlineStr">
        <is>
          <t>2026-03-19</t>
        </is>
      </c>
      <c r="B5392" t="inlineStr">
        <is>
          <t>沪锌</t>
        </is>
      </c>
      <c r="C5392" t="inlineStr">
        <is>
          <t>空</t>
        </is>
      </c>
      <c r="D5392" t="n">
        <v>3</v>
      </c>
      <c r="E5392" t="n">
        <v>6</v>
      </c>
      <c r="F5392" t="inlineStr">
        <is>
          <t>续持</t>
        </is>
      </c>
      <c r="G5392" t="n">
        <v>5</v>
      </c>
      <c r="H5392" t="n">
        <v>22705</v>
      </c>
      <c r="I5392" t="n">
        <v>23823.93</v>
      </c>
      <c r="J5392" t="n">
        <v>3</v>
      </c>
      <c r="K5392" t="inlineStr">
        <is>
          <t>续持原仓（2026-03-18开）</t>
        </is>
      </c>
    </row>
    <row r="5393">
      <c r="A5393" t="inlineStr">
        <is>
          <t>2026-03-19</t>
        </is>
      </c>
      <c r="B5393" t="inlineStr">
        <is>
          <t>PVC</t>
        </is>
      </c>
      <c r="C5393" t="inlineStr">
        <is>
          <t>多</t>
        </is>
      </c>
      <c r="D5393" t="n">
        <v>3</v>
      </c>
      <c r="E5393" t="n">
        <v>6</v>
      </c>
      <c r="F5393" t="inlineStr">
        <is>
          <t>开仓</t>
        </is>
      </c>
      <c r="G5393" t="n">
        <v>2</v>
      </c>
      <c r="H5393" t="n">
        <v>5860</v>
      </c>
      <c r="I5393" t="n">
        <v>4999.86</v>
      </c>
      <c r="J5393" t="n">
        <v>1</v>
      </c>
      <c r="K5393" t="inlineStr">
        <is>
          <t>组合风险已近10%，预算缩小</t>
        </is>
      </c>
    </row>
    <row r="5394">
      <c r="A5394" t="inlineStr">
        <is>
          <t>2026-03-19</t>
        </is>
      </c>
      <c r="B5394" t="inlineStr">
        <is>
          <t>PTA</t>
        </is>
      </c>
      <c r="C5394" t="inlineStr">
        <is>
          <t>多</t>
        </is>
      </c>
      <c r="D5394" t="n">
        <v>3</v>
      </c>
      <c r="E5394" t="n">
        <v>6</v>
      </c>
      <c r="F5394" t="inlineStr">
        <is>
          <t>观望</t>
        </is>
      </c>
      <c r="H5394" t="n">
        <v>6834</v>
      </c>
      <c r="J5394" t="n">
        <v>0</v>
      </c>
      <c r="K5394" t="inlineStr">
        <is>
          <t>逆5日线（收盘在5日线下，不追多）</t>
        </is>
      </c>
    </row>
    <row r="5395">
      <c r="A5395" t="inlineStr">
        <is>
          <t>2026-03-20</t>
        </is>
      </c>
      <c r="B5395" t="inlineStr">
        <is>
          <t>乙二醇</t>
        </is>
      </c>
      <c r="C5395" t="inlineStr">
        <is>
          <t>多</t>
        </is>
      </c>
      <c r="D5395" t="n">
        <v>3</v>
      </c>
      <c r="E5395" t="n">
        <v>7</v>
      </c>
      <c r="F5395" t="inlineStr">
        <is>
          <t>开仓</t>
        </is>
      </c>
      <c r="G5395" t="n">
        <v>2</v>
      </c>
      <c r="H5395" t="n">
        <v>5353</v>
      </c>
      <c r="I5395" t="n">
        <v>4309.64</v>
      </c>
      <c r="J5395" t="n">
        <v>3</v>
      </c>
      <c r="K5395" t="inlineStr">
        <is>
          <t>¼凯利超上限，取3%</t>
        </is>
      </c>
    </row>
    <row r="5396">
      <c r="A5396" t="inlineStr">
        <is>
          <t>2026-03-20</t>
        </is>
      </c>
      <c r="B5396" t="inlineStr">
        <is>
          <t>菜油</t>
        </is>
      </c>
      <c r="C5396" t="inlineStr">
        <is>
          <t>多</t>
        </is>
      </c>
      <c r="D5396" t="n">
        <v>3</v>
      </c>
      <c r="E5396" t="n">
        <v>6</v>
      </c>
      <c r="F5396" t="inlineStr">
        <is>
          <t>续持</t>
        </is>
      </c>
      <c r="G5396" t="n">
        <v>4</v>
      </c>
      <c r="H5396" t="n">
        <v>9876</v>
      </c>
      <c r="I5396" t="n">
        <v>9304.639999999999</v>
      </c>
      <c r="J5396" t="n">
        <v>3</v>
      </c>
      <c r="K5396" t="inlineStr">
        <is>
          <t>续持原仓（2026-03-19开）</t>
        </is>
      </c>
    </row>
    <row r="5397">
      <c r="A5397" t="inlineStr">
        <is>
          <t>2026-03-20</t>
        </is>
      </c>
      <c r="B5397" t="inlineStr">
        <is>
          <t>豆二</t>
        </is>
      </c>
      <c r="C5397" t="inlineStr">
        <is>
          <t>多</t>
        </is>
      </c>
      <c r="D5397" t="n">
        <v>3</v>
      </c>
      <c r="E5397" t="n">
        <v>6</v>
      </c>
      <c r="F5397" t="inlineStr">
        <is>
          <t>观望</t>
        </is>
      </c>
      <c r="G5397" t="n">
        <v>3</v>
      </c>
      <c r="H5397" t="n">
        <v>3813</v>
      </c>
      <c r="I5397" t="n">
        <v>3535.5</v>
      </c>
      <c r="J5397" t="n">
        <v>1</v>
      </c>
      <c r="K5397" t="inlineStr">
        <is>
          <t>逆5日线（收盘在5日线下，不追多）</t>
        </is>
      </c>
    </row>
    <row r="5398">
      <c r="A5398" t="inlineStr">
        <is>
          <t>2026-03-20</t>
        </is>
      </c>
      <c r="B5398" t="inlineStr">
        <is>
          <t>热卷</t>
        </is>
      </c>
      <c r="C5398" t="inlineStr">
        <is>
          <t>多</t>
        </is>
      </c>
      <c r="D5398" t="n">
        <v>3</v>
      </c>
      <c r="E5398" t="n">
        <v>6</v>
      </c>
      <c r="F5398" t="inlineStr">
        <is>
          <t>观望</t>
        </is>
      </c>
      <c r="G5398" t="n">
        <v>11</v>
      </c>
      <c r="H5398" t="n">
        <v>3297</v>
      </c>
      <c r="I5398" t="n">
        <v>3213</v>
      </c>
      <c r="J5398" t="n">
        <v>1</v>
      </c>
      <c r="K5398" t="inlineStr">
        <is>
          <t>逆5日线（收盘在5日线下，不追多）</t>
        </is>
      </c>
    </row>
    <row r="5399">
      <c r="A5399" t="inlineStr">
        <is>
          <t>2026-03-20</t>
        </is>
      </c>
      <c r="B5399" t="inlineStr">
        <is>
          <t>铁矿石</t>
        </is>
      </c>
      <c r="C5399" t="inlineStr">
        <is>
          <t>多</t>
        </is>
      </c>
      <c r="D5399" t="n">
        <v>3</v>
      </c>
      <c r="E5399" t="n">
        <v>6</v>
      </c>
      <c r="F5399" t="inlineStr">
        <is>
          <t>续持</t>
        </is>
      </c>
      <c r="G5399" t="n">
        <v>2</v>
      </c>
      <c r="H5399" t="n">
        <v>815.5</v>
      </c>
      <c r="I5399" t="n">
        <v>772.11</v>
      </c>
      <c r="J5399" t="n">
        <v>1</v>
      </c>
      <c r="K5399" t="inlineStr">
        <is>
          <t>续持原仓（2026-03-18开）</t>
        </is>
      </c>
    </row>
    <row r="5400">
      <c r="A5400" t="inlineStr">
        <is>
          <t>2026-03-20</t>
        </is>
      </c>
      <c r="B5400" t="inlineStr">
        <is>
          <t>沪锌</t>
        </is>
      </c>
      <c r="C5400" t="inlineStr">
        <is>
          <t>空</t>
        </is>
      </c>
      <c r="D5400" t="n">
        <v>2</v>
      </c>
      <c r="E5400" t="n">
        <v>5</v>
      </c>
      <c r="F5400" t="inlineStr">
        <is>
          <t>续持</t>
        </is>
      </c>
      <c r="G5400" t="n">
        <v>5</v>
      </c>
      <c r="H5400" t="n">
        <v>22935</v>
      </c>
      <c r="I5400" t="n">
        <v>23595</v>
      </c>
      <c r="J5400" t="n">
        <v>3</v>
      </c>
      <c r="K5400" t="inlineStr">
        <is>
          <t>续持原仓（2026-03-18开）</t>
        </is>
      </c>
    </row>
    <row r="5401">
      <c r="A5401" t="inlineStr">
        <is>
          <t>2026-03-20</t>
        </is>
      </c>
      <c r="B5401" t="inlineStr">
        <is>
          <t>纯碱</t>
        </is>
      </c>
      <c r="C5401" t="inlineStr">
        <is>
          <t>空</t>
        </is>
      </c>
      <c r="D5401" t="n">
        <v>2</v>
      </c>
      <c r="E5401" t="n">
        <v>4</v>
      </c>
      <c r="F5401" t="inlineStr">
        <is>
          <t>影子仓</t>
        </is>
      </c>
      <c r="G5401" t="n">
        <v>4</v>
      </c>
      <c r="H5401" t="n">
        <v>1202</v>
      </c>
      <c r="I5401" t="n">
        <v>1326.5</v>
      </c>
      <c r="J5401" t="n">
        <v>1</v>
      </c>
      <c r="K5401" t="inlineStr">
        <is>
          <t>凯利≤0，开1%影子仓（只统计，不计入组合）</t>
        </is>
      </c>
    </row>
    <row r="5402">
      <c r="A5402" t="inlineStr">
        <is>
          <t>2026-03-20</t>
        </is>
      </c>
      <c r="B5402" t="inlineStr">
        <is>
          <t>沪铝</t>
        </is>
      </c>
      <c r="C5402" t="inlineStr">
        <is>
          <t>空</t>
        </is>
      </c>
      <c r="D5402" t="n">
        <v>2</v>
      </c>
      <c r="E5402" t="n">
        <v>4</v>
      </c>
      <c r="F5402" t="inlineStr">
        <is>
          <t>不做</t>
        </is>
      </c>
      <c r="H5402" t="n">
        <v>24020</v>
      </c>
      <c r="J5402" t="n">
        <v>1</v>
      </c>
      <c r="K5402" t="inlineStr">
        <is>
          <t>1手风险10339元超过预算10000元</t>
        </is>
      </c>
    </row>
    <row r="5403">
      <c r="A5403" t="inlineStr">
        <is>
          <t>2026-03-20</t>
        </is>
      </c>
      <c r="B5403" t="inlineStr">
        <is>
          <t>对二甲苯</t>
        </is>
      </c>
      <c r="C5403" t="inlineStr">
        <is>
          <t>空</t>
        </is>
      </c>
      <c r="D5403" t="n">
        <v>2</v>
      </c>
      <c r="E5403" t="n">
        <v>4</v>
      </c>
      <c r="F5403" t="inlineStr">
        <is>
          <t>不做</t>
        </is>
      </c>
      <c r="H5403" t="n">
        <v>9682</v>
      </c>
      <c r="J5403" t="n">
        <v>1</v>
      </c>
      <c r="K5403" t="inlineStr">
        <is>
          <t>1手风险10515元超过预算10000元</t>
        </is>
      </c>
    </row>
    <row r="5404">
      <c r="A5404" t="inlineStr">
        <is>
          <t>2026-03-23</t>
        </is>
      </c>
      <c r="B5404" t="inlineStr">
        <is>
          <t>豆油</t>
        </is>
      </c>
      <c r="C5404" t="inlineStr">
        <is>
          <t>多</t>
        </is>
      </c>
      <c r="D5404" t="n">
        <v>3</v>
      </c>
      <c r="E5404" t="n">
        <v>7</v>
      </c>
      <c r="F5404" t="inlineStr">
        <is>
          <t>不做</t>
        </is>
      </c>
      <c r="H5404" t="n">
        <v>8740</v>
      </c>
      <c r="J5404" t="n">
        <v>0</v>
      </c>
      <c r="K5404" t="inlineStr">
        <is>
          <t>与菜油高度相关（同组≤3%），预算缩小</t>
        </is>
      </c>
    </row>
    <row r="5405">
      <c r="A5405" t="inlineStr">
        <is>
          <t>2026-03-23</t>
        </is>
      </c>
      <c r="B5405" t="inlineStr">
        <is>
          <t>菜油</t>
        </is>
      </c>
      <c r="C5405" t="inlineStr">
        <is>
          <t>多</t>
        </is>
      </c>
      <c r="D5405" t="n">
        <v>3</v>
      </c>
      <c r="E5405" t="n">
        <v>6</v>
      </c>
      <c r="F5405" t="inlineStr">
        <is>
          <t>续持</t>
        </is>
      </c>
      <c r="G5405" t="n">
        <v>4</v>
      </c>
      <c r="H5405" t="n">
        <v>9950</v>
      </c>
      <c r="I5405" t="n">
        <v>9382.790000000001</v>
      </c>
      <c r="J5405" t="n">
        <v>3</v>
      </c>
      <c r="K5405" t="inlineStr">
        <is>
          <t>续持原仓（2026-03-19开）</t>
        </is>
      </c>
    </row>
    <row r="5406">
      <c r="A5406" t="inlineStr">
        <is>
          <t>2026-03-23</t>
        </is>
      </c>
      <c r="B5406" t="inlineStr">
        <is>
          <t>玉米</t>
        </is>
      </c>
      <c r="C5406" t="inlineStr">
        <is>
          <t>多</t>
        </is>
      </c>
      <c r="D5406" t="n">
        <v>3</v>
      </c>
      <c r="E5406" t="n">
        <v>6</v>
      </c>
      <c r="F5406" t="inlineStr">
        <is>
          <t>开仓</t>
        </is>
      </c>
      <c r="G5406" t="n">
        <v>44</v>
      </c>
      <c r="H5406" t="n">
        <v>2415</v>
      </c>
      <c r="I5406" t="n">
        <v>2348.14</v>
      </c>
      <c r="J5406" t="n">
        <v>3</v>
      </c>
      <c r="K5406" t="inlineStr">
        <is>
          <t>¼凯利超上限，取3%</t>
        </is>
      </c>
    </row>
    <row r="5407">
      <c r="A5407" t="inlineStr">
        <is>
          <t>2026-03-23</t>
        </is>
      </c>
      <c r="B5407" t="inlineStr">
        <is>
          <t>沪锌</t>
        </is>
      </c>
      <c r="C5407" t="inlineStr">
        <is>
          <t>空</t>
        </is>
      </c>
      <c r="D5407" t="n">
        <v>3</v>
      </c>
      <c r="E5407" t="n">
        <v>6</v>
      </c>
      <c r="F5407" t="inlineStr">
        <is>
          <t>续持</t>
        </is>
      </c>
      <c r="G5407" t="n">
        <v>5</v>
      </c>
      <c r="H5407" t="n">
        <v>22800</v>
      </c>
      <c r="I5407" t="n">
        <v>23533.93</v>
      </c>
      <c r="J5407" t="n">
        <v>3</v>
      </c>
      <c r="K5407" t="inlineStr">
        <is>
          <t>续持原仓（2026-03-18开）</t>
        </is>
      </c>
    </row>
    <row r="5408">
      <c r="A5408" t="inlineStr">
        <is>
          <t>2026-03-23</t>
        </is>
      </c>
      <c r="B5408" t="inlineStr">
        <is>
          <t>铁矿石</t>
        </is>
      </c>
      <c r="C5408" t="inlineStr">
        <is>
          <t>多</t>
        </is>
      </c>
      <c r="D5408" t="n">
        <v>3</v>
      </c>
      <c r="E5408" t="n">
        <v>6</v>
      </c>
      <c r="F5408" t="inlineStr">
        <is>
          <t>续持</t>
        </is>
      </c>
      <c r="G5408" t="n">
        <v>2</v>
      </c>
      <c r="H5408" t="n">
        <v>819</v>
      </c>
      <c r="I5408" t="n">
        <v>779.1799999999999</v>
      </c>
      <c r="J5408" t="n">
        <v>1</v>
      </c>
      <c r="K5408" t="inlineStr">
        <is>
          <t>续持原仓（2026-03-18开）</t>
        </is>
      </c>
    </row>
    <row r="5409">
      <c r="A5409" t="inlineStr">
        <is>
          <t>2026-03-23</t>
        </is>
      </c>
      <c r="B5409" t="inlineStr">
        <is>
          <t>PTA</t>
        </is>
      </c>
      <c r="C5409" t="inlineStr">
        <is>
          <t>多</t>
        </is>
      </c>
      <c r="D5409" t="n">
        <v>3</v>
      </c>
      <c r="E5409" t="n">
        <v>6</v>
      </c>
      <c r="F5409" t="inlineStr">
        <is>
          <t>开仓</t>
        </is>
      </c>
      <c r="G5409" t="n">
        <v>1</v>
      </c>
      <c r="H5409" t="n">
        <v>7134</v>
      </c>
      <c r="I5409" t="n">
        <v>5688</v>
      </c>
      <c r="J5409" t="n">
        <v>1</v>
      </c>
      <c r="K5409" t="inlineStr">
        <is>
          <t>组合风险已近10%，预算缩小</t>
        </is>
      </c>
    </row>
    <row r="5410">
      <c r="A5410" t="inlineStr">
        <is>
          <t>2026-03-23</t>
        </is>
      </c>
      <c r="B5410" t="inlineStr">
        <is>
          <t>沪铝</t>
        </is>
      </c>
      <c r="C5410" t="inlineStr">
        <is>
          <t>空</t>
        </is>
      </c>
      <c r="D5410" t="n">
        <v>2</v>
      </c>
      <c r="E5410" t="n">
        <v>5</v>
      </c>
      <c r="F5410" t="inlineStr">
        <is>
          <t>不做</t>
        </is>
      </c>
      <c r="H5410" t="n">
        <v>23555</v>
      </c>
      <c r="J5410" t="n">
        <v>1</v>
      </c>
      <c r="K5410" t="inlineStr">
        <is>
          <t>1手风险10479元超过预算10000元</t>
        </is>
      </c>
    </row>
    <row r="5411">
      <c r="A5411" t="inlineStr">
        <is>
          <t>2026-03-24</t>
        </is>
      </c>
      <c r="B5411" t="inlineStr">
        <is>
          <t>热卷</t>
        </is>
      </c>
      <c r="C5411" t="inlineStr">
        <is>
          <t>多</t>
        </is>
      </c>
      <c r="D5411" t="n">
        <v>3</v>
      </c>
      <c r="E5411" t="n">
        <v>6</v>
      </c>
      <c r="F5411" t="inlineStr">
        <is>
          <t>开仓</t>
        </is>
      </c>
      <c r="G5411" t="n">
        <v>33</v>
      </c>
      <c r="H5411" t="n">
        <v>3324</v>
      </c>
      <c r="I5411" t="n">
        <v>3235.5</v>
      </c>
      <c r="J5411" t="n">
        <v>3</v>
      </c>
      <c r="K5411" t="inlineStr">
        <is>
          <t>¼凯利超上限，取3%</t>
        </is>
      </c>
    </row>
    <row r="5412">
      <c r="A5412" t="inlineStr">
        <is>
          <t>2026-03-24</t>
        </is>
      </c>
      <c r="B5412" t="inlineStr">
        <is>
          <t>PVC</t>
        </is>
      </c>
      <c r="C5412" t="inlineStr">
        <is>
          <t>多</t>
        </is>
      </c>
      <c r="D5412" t="n">
        <v>2</v>
      </c>
      <c r="E5412" t="n">
        <v>5</v>
      </c>
      <c r="F5412" t="inlineStr">
        <is>
          <t>观望</t>
        </is>
      </c>
      <c r="G5412" t="n">
        <v>1</v>
      </c>
      <c r="H5412" t="n">
        <v>5853</v>
      </c>
      <c r="I5412" t="n">
        <v>4848.86</v>
      </c>
      <c r="J5412" t="n">
        <v>1</v>
      </c>
      <c r="K5412" t="inlineStr">
        <is>
          <t>逆5日线（收盘在5日线下，不追多）</t>
        </is>
      </c>
    </row>
    <row r="5413">
      <c r="A5413" t="inlineStr">
        <is>
          <t>2026-03-24</t>
        </is>
      </c>
      <c r="B5413" t="inlineStr">
        <is>
          <t>沪锌</t>
        </is>
      </c>
      <c r="C5413" t="inlineStr">
        <is>
          <t>空</t>
        </is>
      </c>
      <c r="D5413" t="n">
        <v>2</v>
      </c>
      <c r="E5413" t="n">
        <v>5</v>
      </c>
      <c r="F5413" t="inlineStr">
        <is>
          <t>观望</t>
        </is>
      </c>
      <c r="G5413" t="n">
        <v>1</v>
      </c>
      <c r="H5413" t="n">
        <v>22975</v>
      </c>
      <c r="I5413" t="n">
        <v>24176.07</v>
      </c>
      <c r="J5413" t="n">
        <v>1</v>
      </c>
      <c r="K5413" t="inlineStr">
        <is>
          <t>逆5日线（收盘在5日线上，不追空）</t>
        </is>
      </c>
    </row>
    <row r="5414">
      <c r="A5414" t="inlineStr">
        <is>
          <t>2026-03-24</t>
        </is>
      </c>
      <c r="B5414" t="inlineStr">
        <is>
          <t>甲醇</t>
        </is>
      </c>
      <c r="C5414" t="inlineStr">
        <is>
          <t>多</t>
        </is>
      </c>
      <c r="D5414" t="n">
        <v>2</v>
      </c>
      <c r="E5414" t="n">
        <v>4</v>
      </c>
      <c r="F5414" t="inlineStr">
        <is>
          <t>观望</t>
        </is>
      </c>
      <c r="G5414" t="n">
        <v>1</v>
      </c>
      <c r="H5414" t="n">
        <v>3139</v>
      </c>
      <c r="I5414" t="n">
        <v>2451.14</v>
      </c>
      <c r="J5414" t="n">
        <v>1</v>
      </c>
      <c r="K5414" t="inlineStr">
        <is>
          <t>逆5日线（收盘在5日线下，不追多）</t>
        </is>
      </c>
    </row>
    <row r="5415">
      <c r="A5415" t="inlineStr">
        <is>
          <t>2026-03-24</t>
        </is>
      </c>
      <c r="B5415" t="inlineStr">
        <is>
          <t>豆油</t>
        </is>
      </c>
      <c r="C5415" t="inlineStr">
        <is>
          <t>多</t>
        </is>
      </c>
      <c r="D5415" t="n">
        <v>2</v>
      </c>
      <c r="E5415" t="n">
        <v>4</v>
      </c>
      <c r="F5415" t="inlineStr">
        <is>
          <t>观望</t>
        </is>
      </c>
      <c r="G5415" t="n">
        <v>1</v>
      </c>
      <c r="H5415" t="n">
        <v>8594</v>
      </c>
      <c r="I5415" t="n">
        <v>8065.57</v>
      </c>
      <c r="J5415" t="n">
        <v>1</v>
      </c>
      <c r="K5415" t="inlineStr">
        <is>
          <t>逆5日线（收盘在5日线下，不追多）</t>
        </is>
      </c>
    </row>
    <row r="5416">
      <c r="A5416" t="inlineStr">
        <is>
          <t>2026-03-25</t>
        </is>
      </c>
      <c r="B5416" t="inlineStr">
        <is>
          <t>沪铜</t>
        </is>
      </c>
      <c r="C5416" t="inlineStr">
        <is>
          <t>空</t>
        </is>
      </c>
      <c r="D5416" t="n">
        <v>2</v>
      </c>
      <c r="E5416" t="n">
        <v>5</v>
      </c>
      <c r="F5416" t="inlineStr">
        <is>
          <t>观望</t>
        </is>
      </c>
      <c r="H5416" t="n">
        <v>95590</v>
      </c>
      <c r="J5416" t="n">
        <v>1</v>
      </c>
      <c r="K5416" t="inlineStr">
        <is>
          <t>逆5日线（收盘在5日线上，不追空）</t>
        </is>
      </c>
    </row>
    <row r="5417">
      <c r="A5417" t="inlineStr">
        <is>
          <t>2026-03-25</t>
        </is>
      </c>
      <c r="B5417" t="inlineStr">
        <is>
          <t>热卷</t>
        </is>
      </c>
      <c r="C5417" t="inlineStr">
        <is>
          <t>多</t>
        </is>
      </c>
      <c r="D5417" t="n">
        <v>2</v>
      </c>
      <c r="E5417" t="n">
        <v>5</v>
      </c>
      <c r="F5417" t="inlineStr">
        <is>
          <t>观望</t>
        </is>
      </c>
      <c r="G5417" t="n">
        <v>11</v>
      </c>
      <c r="H5417" t="n">
        <v>3313</v>
      </c>
      <c r="I5417" t="n">
        <v>3222.14</v>
      </c>
      <c r="J5417" t="n">
        <v>1</v>
      </c>
      <c r="K5417" t="inlineStr">
        <is>
          <t>逆5日线（收盘在5日线下，不追多）</t>
        </is>
      </c>
    </row>
    <row r="5418">
      <c r="A5418" t="inlineStr">
        <is>
          <t>2026-03-25</t>
        </is>
      </c>
      <c r="B5418" t="inlineStr">
        <is>
          <t>玻璃</t>
        </is>
      </c>
      <c r="C5418" t="inlineStr">
        <is>
          <t>空</t>
        </is>
      </c>
      <c r="D5418" t="n">
        <v>2</v>
      </c>
      <c r="E5418" t="n">
        <v>5</v>
      </c>
      <c r="F5418" t="inlineStr">
        <is>
          <t>影子仓</t>
        </is>
      </c>
      <c r="G5418" t="n">
        <v>4</v>
      </c>
      <c r="H5418" t="n">
        <v>1057</v>
      </c>
      <c r="I5418" t="n">
        <v>1171.21</v>
      </c>
      <c r="J5418" t="n">
        <v>1</v>
      </c>
      <c r="K5418" t="inlineStr">
        <is>
          <t>凯利≤0，开1%影子仓（只统计，不计入组合）</t>
        </is>
      </c>
    </row>
    <row r="5419">
      <c r="A5419" t="inlineStr">
        <is>
          <t>2026-03-25</t>
        </is>
      </c>
      <c r="B5419" t="inlineStr">
        <is>
          <t>铁矿石</t>
        </is>
      </c>
      <c r="C5419" t="inlineStr">
        <is>
          <t>多</t>
        </is>
      </c>
      <c r="D5419" t="n">
        <v>2</v>
      </c>
      <c r="E5419" t="n">
        <v>4</v>
      </c>
      <c r="F5419" t="inlineStr">
        <is>
          <t>观望</t>
        </is>
      </c>
      <c r="G5419" t="n">
        <v>1</v>
      </c>
      <c r="H5419" t="n">
        <v>806.5</v>
      </c>
      <c r="I5419" t="n">
        <v>755.9299999999999</v>
      </c>
      <c r="J5419" t="n">
        <v>1</v>
      </c>
      <c r="K5419" t="inlineStr">
        <is>
          <t>逆5日线（收盘在5日线下，不追多）</t>
        </is>
      </c>
    </row>
    <row r="5420">
      <c r="A5420" t="inlineStr">
        <is>
          <t>2026-03-25</t>
        </is>
      </c>
      <c r="B5420" t="inlineStr">
        <is>
          <t>硅铁</t>
        </is>
      </c>
      <c r="C5420" t="inlineStr">
        <is>
          <t>多</t>
        </is>
      </c>
      <c r="D5420" t="n">
        <v>2</v>
      </c>
      <c r="E5420" t="n">
        <v>4</v>
      </c>
      <c r="F5420" t="inlineStr">
        <is>
          <t>影子仓</t>
        </is>
      </c>
      <c r="G5420" t="n">
        <v>4</v>
      </c>
      <c r="H5420" t="n">
        <v>6088</v>
      </c>
      <c r="I5420" t="n">
        <v>5636.29</v>
      </c>
      <c r="J5420" t="n">
        <v>1</v>
      </c>
      <c r="K5420" t="inlineStr">
        <is>
          <t>凯利≤0，开1%影子仓（只统计，不计入组合）</t>
        </is>
      </c>
    </row>
    <row r="5421">
      <c r="A5421" t="inlineStr">
        <is>
          <t>2026-03-26</t>
        </is>
      </c>
      <c r="B5421" t="inlineStr">
        <is>
          <t>乙二醇</t>
        </is>
      </c>
      <c r="C5421" t="inlineStr">
        <is>
          <t>多</t>
        </is>
      </c>
      <c r="D5421" t="n">
        <v>3</v>
      </c>
      <c r="E5421" t="n">
        <v>7</v>
      </c>
      <c r="F5421" t="inlineStr">
        <is>
          <t>观望</t>
        </is>
      </c>
      <c r="G5421" t="n">
        <v>2</v>
      </c>
      <c r="H5421" t="n">
        <v>5058</v>
      </c>
      <c r="I5421" t="n">
        <v>3910.93</v>
      </c>
      <c r="J5421" t="n">
        <v>3</v>
      </c>
      <c r="K5421" t="inlineStr">
        <is>
          <t>逆5日线（收盘在5日线下，不追多）</t>
        </is>
      </c>
    </row>
    <row r="5422">
      <c r="A5422" t="inlineStr">
        <is>
          <t>2026-03-26</t>
        </is>
      </c>
      <c r="B5422" t="inlineStr">
        <is>
          <t>甲醇</t>
        </is>
      </c>
      <c r="C5422" t="inlineStr">
        <is>
          <t>多</t>
        </is>
      </c>
      <c r="D5422" t="n">
        <v>3</v>
      </c>
      <c r="E5422" t="n">
        <v>7</v>
      </c>
      <c r="F5422" t="inlineStr">
        <is>
          <t>开仓</t>
        </is>
      </c>
      <c r="G5422" t="n">
        <v>4</v>
      </c>
      <c r="H5422" t="n">
        <v>3202</v>
      </c>
      <c r="I5422" t="n">
        <v>2487.36</v>
      </c>
      <c r="J5422" t="n">
        <v>3</v>
      </c>
      <c r="K5422" t="inlineStr">
        <is>
          <t>¼凯利超上限，取3%</t>
        </is>
      </c>
    </row>
    <row r="5423">
      <c r="A5423" t="inlineStr">
        <is>
          <t>2026-03-26</t>
        </is>
      </c>
      <c r="B5423" t="inlineStr">
        <is>
          <t>沪铜</t>
        </is>
      </c>
      <c r="C5423" t="inlineStr">
        <is>
          <t>空</t>
        </is>
      </c>
      <c r="D5423" t="n">
        <v>2</v>
      </c>
      <c r="E5423" t="n">
        <v>5</v>
      </c>
      <c r="F5423" t="inlineStr">
        <is>
          <t>观望</t>
        </is>
      </c>
      <c r="H5423" t="n">
        <v>95350</v>
      </c>
      <c r="J5423" t="n">
        <v>1</v>
      </c>
      <c r="K5423" t="inlineStr">
        <is>
          <t>逆5日线（收盘在5日线上，不追空）</t>
        </is>
      </c>
    </row>
    <row r="5424">
      <c r="A5424" t="inlineStr">
        <is>
          <t>2026-03-26</t>
        </is>
      </c>
      <c r="B5424" t="inlineStr">
        <is>
          <t>玻璃</t>
        </is>
      </c>
      <c r="C5424" t="inlineStr">
        <is>
          <t>空</t>
        </is>
      </c>
      <c r="D5424" t="n">
        <v>2</v>
      </c>
      <c r="E5424" t="n">
        <v>5</v>
      </c>
      <c r="F5424" t="inlineStr">
        <is>
          <t>续持</t>
        </is>
      </c>
      <c r="G5424" t="n">
        <v>4</v>
      </c>
      <c r="H5424" t="n">
        <v>1036</v>
      </c>
      <c r="I5424" t="n">
        <v>1136.14</v>
      </c>
      <c r="J5424" t="n">
        <v>1</v>
      </c>
      <c r="K5424" t="inlineStr">
        <is>
          <t>续持原仓（2026-03-25开）</t>
        </is>
      </c>
    </row>
    <row r="5425">
      <c r="A5425" t="inlineStr">
        <is>
          <t>2026-03-26</t>
        </is>
      </c>
      <c r="B5425" t="inlineStr">
        <is>
          <t>PVC</t>
        </is>
      </c>
      <c r="C5425" t="inlineStr">
        <is>
          <t>多</t>
        </is>
      </c>
      <c r="D5425" t="n">
        <v>2</v>
      </c>
      <c r="E5425" t="n">
        <v>4</v>
      </c>
      <c r="F5425" t="inlineStr">
        <is>
          <t>观望</t>
        </is>
      </c>
      <c r="G5425" t="n">
        <v>1</v>
      </c>
      <c r="H5425" t="n">
        <v>5650</v>
      </c>
      <c r="I5425" t="n">
        <v>4620.57</v>
      </c>
      <c r="J5425" t="n">
        <v>1</v>
      </c>
      <c r="K5425" t="inlineStr">
        <is>
          <t>逆5日线（收盘在5日线下，不追多）</t>
        </is>
      </c>
    </row>
    <row r="5426">
      <c r="A5426" t="inlineStr">
        <is>
          <t>2026-03-26</t>
        </is>
      </c>
      <c r="B5426" t="inlineStr">
        <is>
          <t>沪金</t>
        </is>
      </c>
      <c r="C5426" t="inlineStr">
        <is>
          <t>空</t>
        </is>
      </c>
      <c r="D5426" t="n">
        <v>2</v>
      </c>
      <c r="E5426" t="n">
        <v>4</v>
      </c>
      <c r="F5426" t="inlineStr">
        <is>
          <t>观望</t>
        </is>
      </c>
      <c r="H5426" t="n">
        <v>995.98</v>
      </c>
      <c r="J5426" t="n">
        <v>1</v>
      </c>
      <c r="K5426" t="inlineStr">
        <is>
          <t>逆5日线（收盘在5日线上，不追空）</t>
        </is>
      </c>
    </row>
    <row r="5427">
      <c r="A5427" t="inlineStr">
        <is>
          <t>2026-03-27</t>
        </is>
      </c>
      <c r="B5427" t="inlineStr">
        <is>
          <t>乙二醇</t>
        </is>
      </c>
      <c r="C5427" t="inlineStr">
        <is>
          <t>多</t>
        </is>
      </c>
      <c r="D5427" t="n">
        <v>3</v>
      </c>
      <c r="E5427" t="n">
        <v>7</v>
      </c>
      <c r="F5427" t="inlineStr">
        <is>
          <t>不做</t>
        </is>
      </c>
      <c r="H5427" t="n">
        <v>5279</v>
      </c>
      <c r="J5427" t="n">
        <v>0</v>
      </c>
      <c r="K5427" t="inlineStr">
        <is>
          <t>与甲醇高度相关（同组≤3%），预算缩小</t>
        </is>
      </c>
    </row>
    <row r="5428">
      <c r="A5428" t="inlineStr">
        <is>
          <t>2026-03-27</t>
        </is>
      </c>
      <c r="B5428" t="inlineStr">
        <is>
          <t>甲醇</t>
        </is>
      </c>
      <c r="C5428" t="inlineStr">
        <is>
          <t>多</t>
        </is>
      </c>
      <c r="D5428" t="n">
        <v>3</v>
      </c>
      <c r="E5428" t="n">
        <v>7</v>
      </c>
      <c r="F5428" t="inlineStr">
        <is>
          <t>续持</t>
        </is>
      </c>
      <c r="G5428" t="n">
        <v>4</v>
      </c>
      <c r="H5428" t="n">
        <v>3296</v>
      </c>
      <c r="I5428" t="n">
        <v>2623.57</v>
      </c>
      <c r="J5428" t="n">
        <v>3</v>
      </c>
      <c r="K5428" t="inlineStr">
        <is>
          <t>续持原仓（2026-03-26开）</t>
        </is>
      </c>
    </row>
    <row r="5429">
      <c r="A5429" t="inlineStr">
        <is>
          <t>2026-03-27</t>
        </is>
      </c>
      <c r="B5429" t="inlineStr">
        <is>
          <t>碳酸锂</t>
        </is>
      </c>
      <c r="C5429" t="inlineStr">
        <is>
          <t>多</t>
        </is>
      </c>
      <c r="D5429" t="n">
        <v>3</v>
      </c>
      <c r="E5429" t="n">
        <v>6</v>
      </c>
      <c r="F5429" t="inlineStr">
        <is>
          <t>开仓</t>
        </is>
      </c>
      <c r="G5429" t="n">
        <v>1</v>
      </c>
      <c r="H5429" t="n">
        <v>168440</v>
      </c>
      <c r="I5429" t="n">
        <v>141170</v>
      </c>
      <c r="J5429" t="n">
        <v>3</v>
      </c>
      <c r="K5429" t="inlineStr">
        <is>
          <t>¼凯利超上限，取3%</t>
        </is>
      </c>
    </row>
    <row r="5430">
      <c r="A5430" t="inlineStr">
        <is>
          <t>2026-03-27</t>
        </is>
      </c>
      <c r="B5430" t="inlineStr">
        <is>
          <t>硅铁</t>
        </is>
      </c>
      <c r="C5430" t="inlineStr">
        <is>
          <t>多</t>
        </is>
      </c>
      <c r="D5430" t="n">
        <v>3</v>
      </c>
      <c r="E5430" t="n">
        <v>6</v>
      </c>
      <c r="F5430" t="inlineStr">
        <is>
          <t>观望</t>
        </is>
      </c>
      <c r="G5430" t="n">
        <v>4</v>
      </c>
      <c r="H5430" t="n">
        <v>6012</v>
      </c>
      <c r="I5430" t="n">
        <v>5598.43</v>
      </c>
      <c r="J5430" t="n">
        <v>1</v>
      </c>
      <c r="K5430" t="inlineStr">
        <is>
          <t>逆5日线（收盘在5日线下，不追多）</t>
        </is>
      </c>
    </row>
    <row r="5431">
      <c r="A5431" t="inlineStr">
        <is>
          <t>2026-03-27</t>
        </is>
      </c>
      <c r="B5431" t="inlineStr">
        <is>
          <t>沪铜</t>
        </is>
      </c>
      <c r="C5431" t="inlineStr">
        <is>
          <t>空</t>
        </is>
      </c>
      <c r="D5431" t="n">
        <v>2</v>
      </c>
      <c r="E5431" t="n">
        <v>5</v>
      </c>
      <c r="F5431" t="inlineStr">
        <is>
          <t>观望</t>
        </is>
      </c>
      <c r="H5431" t="n">
        <v>95930</v>
      </c>
      <c r="J5431" t="n">
        <v>1</v>
      </c>
      <c r="K5431" t="inlineStr">
        <is>
          <t>逆5日线（收盘在5日线上，不追空）</t>
        </is>
      </c>
    </row>
    <row r="5432">
      <c r="A5432" t="inlineStr">
        <is>
          <t>2026-03-27</t>
        </is>
      </c>
      <c r="B5432" t="inlineStr">
        <is>
          <t>热卷</t>
        </is>
      </c>
      <c r="C5432" t="inlineStr">
        <is>
          <t>多</t>
        </is>
      </c>
      <c r="D5432" t="n">
        <v>2</v>
      </c>
      <c r="E5432" t="n">
        <v>5</v>
      </c>
      <c r="F5432" t="inlineStr">
        <is>
          <t>观望</t>
        </is>
      </c>
      <c r="G5432" t="n">
        <v>12</v>
      </c>
      <c r="H5432" t="n">
        <v>3299</v>
      </c>
      <c r="I5432" t="n">
        <v>3216.29</v>
      </c>
      <c r="J5432" t="n">
        <v>1</v>
      </c>
      <c r="K5432" t="inlineStr">
        <is>
          <t>逆5日线（收盘在5日线下，不追多）</t>
        </is>
      </c>
    </row>
    <row r="5433">
      <c r="A5433" t="inlineStr">
        <is>
          <t>2026-03-27</t>
        </is>
      </c>
      <c r="B5433" t="inlineStr">
        <is>
          <t>玻璃</t>
        </is>
      </c>
      <c r="C5433" t="inlineStr">
        <is>
          <t>空</t>
        </is>
      </c>
      <c r="D5433" t="n">
        <v>2</v>
      </c>
      <c r="E5433" t="n">
        <v>4</v>
      </c>
      <c r="F5433" t="inlineStr">
        <is>
          <t>续持</t>
        </is>
      </c>
      <c r="G5433" t="n">
        <v>4</v>
      </c>
      <c r="H5433" t="n">
        <v>1041</v>
      </c>
      <c r="I5433" t="n">
        <v>1124.36</v>
      </c>
      <c r="J5433" t="n">
        <v>1</v>
      </c>
      <c r="K5433" t="inlineStr">
        <is>
          <t>续持原仓（2026-03-25开）</t>
        </is>
      </c>
    </row>
    <row r="5434">
      <c r="A5434" t="inlineStr">
        <is>
          <t>2026-03-30</t>
        </is>
      </c>
      <c r="B5434" t="inlineStr">
        <is>
          <t>乙二醇</t>
        </is>
      </c>
      <c r="C5434" t="inlineStr">
        <is>
          <t>多</t>
        </is>
      </c>
      <c r="D5434" t="n">
        <v>3</v>
      </c>
      <c r="E5434" t="n">
        <v>6</v>
      </c>
      <c r="F5434" t="inlineStr">
        <is>
          <t>不做</t>
        </is>
      </c>
      <c r="H5434" t="n">
        <v>5359</v>
      </c>
      <c r="J5434" t="n">
        <v>0</v>
      </c>
      <c r="K5434" t="inlineStr">
        <is>
          <t>与甲醇高度相关（同组≤3%），预算缩小</t>
        </is>
      </c>
    </row>
    <row r="5435">
      <c r="A5435" t="inlineStr">
        <is>
          <t>2026-03-30</t>
        </is>
      </c>
      <c r="B5435" t="inlineStr">
        <is>
          <t>碳酸锂</t>
        </is>
      </c>
      <c r="C5435" t="inlineStr">
        <is>
          <t>多</t>
        </is>
      </c>
      <c r="D5435" t="n">
        <v>3</v>
      </c>
      <c r="E5435" t="n">
        <v>6</v>
      </c>
      <c r="F5435" t="inlineStr">
        <is>
          <t>续持</t>
        </is>
      </c>
      <c r="G5435" t="n">
        <v>1</v>
      </c>
      <c r="H5435" t="n">
        <v>171620</v>
      </c>
      <c r="I5435" t="n">
        <v>146274.29</v>
      </c>
      <c r="J5435" t="n">
        <v>3</v>
      </c>
      <c r="K5435" t="inlineStr">
        <is>
          <t>续持原仓（2026-03-27开）</t>
        </is>
      </c>
    </row>
    <row r="5436">
      <c r="A5436" t="inlineStr">
        <is>
          <t>2026-03-30</t>
        </is>
      </c>
      <c r="B5436" t="inlineStr">
        <is>
          <t>甲醇</t>
        </is>
      </c>
      <c r="C5436" t="inlineStr">
        <is>
          <t>多</t>
        </is>
      </c>
      <c r="D5436" t="n">
        <v>3</v>
      </c>
      <c r="E5436" t="n">
        <v>6</v>
      </c>
      <c r="F5436" t="inlineStr">
        <is>
          <t>续持</t>
        </is>
      </c>
      <c r="G5436" t="n">
        <v>4</v>
      </c>
      <c r="H5436" t="n">
        <v>3319</v>
      </c>
      <c r="I5436" t="n">
        <v>2879.14</v>
      </c>
      <c r="J5436" t="n">
        <v>3</v>
      </c>
      <c r="K5436" t="inlineStr">
        <is>
          <t>续持原仓（2026-03-26开）</t>
        </is>
      </c>
    </row>
    <row r="5437">
      <c r="A5437" t="inlineStr">
        <is>
          <t>2026-03-30</t>
        </is>
      </c>
      <c r="B5437" t="inlineStr">
        <is>
          <t>沪银</t>
        </is>
      </c>
      <c r="C5437" t="inlineStr">
        <is>
          <t>空</t>
        </is>
      </c>
      <c r="D5437" t="n">
        <v>2</v>
      </c>
      <c r="E5437" t="n">
        <v>5</v>
      </c>
      <c r="F5437" t="inlineStr">
        <is>
          <t>观望</t>
        </is>
      </c>
      <c r="H5437" t="n">
        <v>17707</v>
      </c>
      <c r="J5437" t="n">
        <v>1</v>
      </c>
      <c r="K5437" t="inlineStr">
        <is>
          <t>逆5日线（收盘在5日线上，不追空）</t>
        </is>
      </c>
    </row>
    <row r="5438">
      <c r="A5438" t="inlineStr">
        <is>
          <t>2026-03-30</t>
        </is>
      </c>
      <c r="B5438" t="inlineStr">
        <is>
          <t>铁矿石</t>
        </is>
      </c>
      <c r="C5438" t="inlineStr">
        <is>
          <t>多</t>
        </is>
      </c>
      <c r="D5438" t="n">
        <v>2</v>
      </c>
      <c r="E5438" t="n">
        <v>5</v>
      </c>
      <c r="F5438" t="inlineStr">
        <is>
          <t>观望</t>
        </is>
      </c>
      <c r="G5438" t="n">
        <v>2</v>
      </c>
      <c r="H5438" t="n">
        <v>813</v>
      </c>
      <c r="I5438" t="n">
        <v>765.4299999999999</v>
      </c>
      <c r="J5438" t="n">
        <v>1</v>
      </c>
      <c r="K5438" t="inlineStr">
        <is>
          <t>逆5日线（收盘在5日线下，不追多）</t>
        </is>
      </c>
    </row>
    <row r="5439">
      <c r="A5439" t="inlineStr">
        <is>
          <t>2026-03-30</t>
        </is>
      </c>
      <c r="B5439" t="inlineStr">
        <is>
          <t>热卷</t>
        </is>
      </c>
      <c r="C5439" t="inlineStr">
        <is>
          <t>多</t>
        </is>
      </c>
      <c r="D5439" t="n">
        <v>2</v>
      </c>
      <c r="E5439" t="n">
        <v>5</v>
      </c>
      <c r="F5439" t="inlineStr">
        <is>
          <t>观望</t>
        </is>
      </c>
      <c r="G5439" t="n">
        <v>12</v>
      </c>
      <c r="H5439" t="n">
        <v>3308</v>
      </c>
      <c r="I5439" t="n">
        <v>3227.64</v>
      </c>
      <c r="J5439" t="n">
        <v>1</v>
      </c>
      <c r="K5439" t="inlineStr">
        <is>
          <t>逆5日线（收盘在5日线下，不追多）</t>
        </is>
      </c>
    </row>
    <row r="5440">
      <c r="A5440" t="inlineStr">
        <is>
          <t>2026-03-31</t>
        </is>
      </c>
      <c r="B5440" t="inlineStr">
        <is>
          <t>菜粕</t>
        </is>
      </c>
      <c r="C5440" t="inlineStr">
        <is>
          <t>空</t>
        </is>
      </c>
      <c r="D5440" t="n">
        <v>3</v>
      </c>
      <c r="E5440" t="n">
        <v>6</v>
      </c>
      <c r="F5440" t="inlineStr">
        <is>
          <t>开仓</t>
        </is>
      </c>
      <c r="G5440" t="n">
        <v>16</v>
      </c>
      <c r="H5440" t="n">
        <v>2299</v>
      </c>
      <c r="I5440" t="n">
        <v>2477.07</v>
      </c>
      <c r="J5440" t="n">
        <v>3</v>
      </c>
      <c r="K5440" t="inlineStr">
        <is>
          <t>¼凯利超上限，取3%</t>
        </is>
      </c>
    </row>
    <row r="5441">
      <c r="A5441" t="inlineStr">
        <is>
          <t>2026-04-01</t>
        </is>
      </c>
      <c r="B5441" t="inlineStr">
        <is>
          <t>菜粕</t>
        </is>
      </c>
      <c r="C5441" t="inlineStr">
        <is>
          <t>空</t>
        </is>
      </c>
      <c r="D5441" t="n">
        <v>3</v>
      </c>
      <c r="E5441" t="n">
        <v>7</v>
      </c>
      <c r="F5441" t="inlineStr">
        <is>
          <t>续持</t>
        </is>
      </c>
      <c r="G5441" t="n">
        <v>16</v>
      </c>
      <c r="H5441" t="n">
        <v>2265</v>
      </c>
      <c r="I5441" t="n">
        <v>2432.64</v>
      </c>
      <c r="J5441" t="n">
        <v>3</v>
      </c>
      <c r="K5441" t="inlineStr">
        <is>
          <t>续持原仓（2026-03-31开）</t>
        </is>
      </c>
    </row>
    <row r="5442">
      <c r="A5442" t="inlineStr">
        <is>
          <t>2026-04-01</t>
        </is>
      </c>
      <c r="B5442" t="inlineStr">
        <is>
          <t>焦煤</t>
        </is>
      </c>
      <c r="C5442" t="inlineStr">
        <is>
          <t>空</t>
        </is>
      </c>
      <c r="D5442" t="n">
        <v>3</v>
      </c>
      <c r="E5442" t="n">
        <v>7</v>
      </c>
      <c r="F5442" t="inlineStr">
        <is>
          <t>开仓</t>
        </is>
      </c>
      <c r="G5442" t="n">
        <v>3</v>
      </c>
      <c r="H5442" t="n">
        <v>1114.5</v>
      </c>
      <c r="I5442" t="n">
        <v>1267.29</v>
      </c>
      <c r="J5442" t="n">
        <v>3</v>
      </c>
      <c r="K5442" t="inlineStr">
        <is>
          <t>¼凯利超上限，取3%</t>
        </is>
      </c>
    </row>
    <row r="5443">
      <c r="A5443" t="inlineStr">
        <is>
          <t>2026-04-01</t>
        </is>
      </c>
      <c r="B5443" t="inlineStr">
        <is>
          <t>碳酸锂</t>
        </is>
      </c>
      <c r="C5443" t="inlineStr">
        <is>
          <t>多</t>
        </is>
      </c>
      <c r="D5443" t="n">
        <v>3</v>
      </c>
      <c r="E5443" t="n">
        <v>6</v>
      </c>
      <c r="F5443" t="inlineStr">
        <is>
          <t>观望</t>
        </is>
      </c>
      <c r="H5443" t="n">
        <v>158620</v>
      </c>
      <c r="J5443" t="n">
        <v>0</v>
      </c>
      <c r="K5443" t="inlineStr">
        <is>
          <t>逆5日线（收盘在5日线下，不追多）</t>
        </is>
      </c>
    </row>
    <row r="5444">
      <c r="A5444" t="inlineStr">
        <is>
          <t>2026-04-01</t>
        </is>
      </c>
      <c r="B5444" t="inlineStr">
        <is>
          <t>豆粕</t>
        </is>
      </c>
      <c r="C5444" t="inlineStr">
        <is>
          <t>空</t>
        </is>
      </c>
      <c r="D5444" t="n">
        <v>2</v>
      </c>
      <c r="E5444" t="n">
        <v>5</v>
      </c>
      <c r="F5444" t="inlineStr">
        <is>
          <t>影子仓</t>
        </is>
      </c>
      <c r="G5444" t="n">
        <v>5</v>
      </c>
      <c r="H5444" t="n">
        <v>2875</v>
      </c>
      <c r="I5444" t="n">
        <v>3062.71</v>
      </c>
      <c r="J5444" t="n">
        <v>1</v>
      </c>
      <c r="K5444" t="inlineStr">
        <is>
          <t>凯利≤0，开1%影子仓（只统计，不计入组合）</t>
        </is>
      </c>
    </row>
    <row r="5445">
      <c r="A5445" t="inlineStr">
        <is>
          <t>2026-04-02</t>
        </is>
      </c>
      <c r="B5445" t="inlineStr">
        <is>
          <t>碳酸锂</t>
        </is>
      </c>
      <c r="C5445" t="inlineStr">
        <is>
          <t>多</t>
        </is>
      </c>
      <c r="D5445" t="n">
        <v>3</v>
      </c>
      <c r="E5445" t="n">
        <v>7</v>
      </c>
      <c r="F5445" t="inlineStr">
        <is>
          <t>观望</t>
        </is>
      </c>
      <c r="H5445" t="n">
        <v>159140</v>
      </c>
      <c r="J5445" t="n">
        <v>0</v>
      </c>
      <c r="K5445" t="inlineStr">
        <is>
          <t>逆5日线（收盘在5日线下，不追多）</t>
        </is>
      </c>
    </row>
    <row r="5446">
      <c r="A5446" t="inlineStr">
        <is>
          <t>2026-04-02</t>
        </is>
      </c>
      <c r="B5446" t="inlineStr">
        <is>
          <t>豆粕</t>
        </is>
      </c>
      <c r="C5446" t="inlineStr">
        <is>
          <t>空</t>
        </is>
      </c>
      <c r="D5446" t="n">
        <v>2</v>
      </c>
      <c r="E5446" t="n">
        <v>5</v>
      </c>
      <c r="F5446" t="inlineStr">
        <is>
          <t>续持</t>
        </is>
      </c>
      <c r="G5446" t="n">
        <v>5</v>
      </c>
      <c r="H5446" t="n">
        <v>2964</v>
      </c>
      <c r="I5446" t="n">
        <v>3113</v>
      </c>
      <c r="J5446" t="n">
        <v>1</v>
      </c>
      <c r="K5446" t="inlineStr">
        <is>
          <t>续持原仓（2026-04-01开）</t>
        </is>
      </c>
    </row>
    <row r="5447">
      <c r="A5447" t="inlineStr">
        <is>
          <t>2026-04-02</t>
        </is>
      </c>
      <c r="B5447" t="inlineStr">
        <is>
          <t>热卷</t>
        </is>
      </c>
      <c r="C5447" t="inlineStr">
        <is>
          <t>空</t>
        </is>
      </c>
      <c r="D5447" t="n">
        <v>2</v>
      </c>
      <c r="E5447" t="n">
        <v>5</v>
      </c>
      <c r="F5447" t="inlineStr">
        <is>
          <t>影子仓</t>
        </is>
      </c>
      <c r="G5447" t="n">
        <v>12</v>
      </c>
      <c r="H5447" t="n">
        <v>3295</v>
      </c>
      <c r="I5447" t="n">
        <v>3374.07</v>
      </c>
      <c r="J5447" t="n">
        <v>1</v>
      </c>
      <c r="K5447" t="inlineStr">
        <is>
          <t>凯利≤0，开1%影子仓（只统计，不计入组合）</t>
        </is>
      </c>
    </row>
    <row r="5448">
      <c r="A5448" t="inlineStr">
        <is>
          <t>2026-04-02</t>
        </is>
      </c>
      <c r="B5448" t="inlineStr">
        <is>
          <t>沪银</t>
        </is>
      </c>
      <c r="C5448" t="inlineStr">
        <is>
          <t>空</t>
        </is>
      </c>
      <c r="D5448" t="n">
        <v>2</v>
      </c>
      <c r="E5448" t="n">
        <v>5</v>
      </c>
      <c r="F5448" t="inlineStr">
        <is>
          <t>不做</t>
        </is>
      </c>
      <c r="H5448" t="n">
        <v>17621</v>
      </c>
      <c r="J5448" t="n">
        <v>1</v>
      </c>
      <c r="K5448" t="inlineStr">
        <is>
          <t>1手风险68512元超过预算10000元</t>
        </is>
      </c>
    </row>
    <row r="5449">
      <c r="A5449" t="inlineStr">
        <is>
          <t>2026-04-02</t>
        </is>
      </c>
      <c r="B5449" t="inlineStr">
        <is>
          <t>硅铁</t>
        </is>
      </c>
      <c r="C5449" t="inlineStr">
        <is>
          <t>多</t>
        </is>
      </c>
      <c r="D5449" t="n">
        <v>2</v>
      </c>
      <c r="E5449" t="n">
        <v>4</v>
      </c>
      <c r="F5449" t="inlineStr">
        <is>
          <t>观望</t>
        </is>
      </c>
      <c r="G5449" t="n">
        <v>4</v>
      </c>
      <c r="H5449" t="n">
        <v>5900</v>
      </c>
      <c r="I5449" t="n">
        <v>5456</v>
      </c>
      <c r="J5449" t="n">
        <v>1</v>
      </c>
      <c r="K5449" t="inlineStr">
        <is>
          <t>逆5日线（收盘在5日线下，不追多）</t>
        </is>
      </c>
    </row>
    <row r="5450">
      <c r="A5450" t="inlineStr">
        <is>
          <t>2026-04-03</t>
        </is>
      </c>
      <c r="B5450" t="inlineStr">
        <is>
          <t>菜粕</t>
        </is>
      </c>
      <c r="C5450" t="inlineStr">
        <is>
          <t>空</t>
        </is>
      </c>
      <c r="D5450" t="n">
        <v>3</v>
      </c>
      <c r="E5450" t="n">
        <v>7</v>
      </c>
      <c r="F5450" t="inlineStr">
        <is>
          <t>开仓</t>
        </is>
      </c>
      <c r="G5450" t="n">
        <v>23</v>
      </c>
      <c r="H5450" t="n">
        <v>2215</v>
      </c>
      <c r="I5450" t="n">
        <v>2344.86</v>
      </c>
      <c r="J5450" t="n">
        <v>3</v>
      </c>
      <c r="K5450" t="inlineStr">
        <is>
          <t>¼凯利超上限，取3%</t>
        </is>
      </c>
    </row>
    <row r="5451">
      <c r="A5451" t="inlineStr">
        <is>
          <t>2026-04-03</t>
        </is>
      </c>
      <c r="B5451" t="inlineStr">
        <is>
          <t>豆粕</t>
        </is>
      </c>
      <c r="C5451" t="inlineStr">
        <is>
          <t>空</t>
        </is>
      </c>
      <c r="D5451" t="n">
        <v>3</v>
      </c>
      <c r="E5451" t="n">
        <v>6</v>
      </c>
      <c r="F5451" t="inlineStr">
        <is>
          <t>续持</t>
        </is>
      </c>
      <c r="G5451" t="n">
        <v>5</v>
      </c>
      <c r="H5451" t="n">
        <v>2949</v>
      </c>
      <c r="I5451" t="n">
        <v>3095.07</v>
      </c>
      <c r="J5451" t="n">
        <v>1</v>
      </c>
      <c r="K5451" t="inlineStr">
        <is>
          <t>续持原仓（2026-04-01开）</t>
        </is>
      </c>
    </row>
    <row r="5452">
      <c r="A5452" t="inlineStr">
        <is>
          <t>2026-04-03</t>
        </is>
      </c>
      <c r="B5452" t="inlineStr">
        <is>
          <t>热卷</t>
        </is>
      </c>
      <c r="C5452" t="inlineStr">
        <is>
          <t>空</t>
        </is>
      </c>
      <c r="D5452" t="n">
        <v>2</v>
      </c>
      <c r="E5452" t="n">
        <v>4</v>
      </c>
      <c r="F5452" t="inlineStr">
        <is>
          <t>续持</t>
        </is>
      </c>
      <c r="G5452" t="n">
        <v>12</v>
      </c>
      <c r="H5452" t="n">
        <v>3285</v>
      </c>
      <c r="I5452" t="n">
        <v>3358.79</v>
      </c>
      <c r="J5452" t="n">
        <v>1</v>
      </c>
      <c r="K5452" t="inlineStr">
        <is>
          <t>续持原仓（2026-04-02开）</t>
        </is>
      </c>
    </row>
    <row r="5453">
      <c r="A5453" t="inlineStr">
        <is>
          <t>2026-04-07</t>
        </is>
      </c>
      <c r="B5453" t="inlineStr">
        <is>
          <t>玻璃</t>
        </is>
      </c>
      <c r="C5453" t="inlineStr">
        <is>
          <t>空</t>
        </is>
      </c>
      <c r="D5453" t="n">
        <v>3</v>
      </c>
      <c r="E5453" t="n">
        <v>7</v>
      </c>
      <c r="F5453" t="inlineStr">
        <is>
          <t>开仓</t>
        </is>
      </c>
      <c r="G5453" t="n">
        <v>18</v>
      </c>
      <c r="H5453" t="n">
        <v>969</v>
      </c>
      <c r="I5453" t="n">
        <v>1048.29</v>
      </c>
      <c r="J5453" t="n">
        <v>3</v>
      </c>
      <c r="K5453" t="inlineStr">
        <is>
          <t>¼凯利超上限，取3%</t>
        </is>
      </c>
    </row>
    <row r="5454">
      <c r="A5454" t="inlineStr">
        <is>
          <t>2026-04-07</t>
        </is>
      </c>
      <c r="B5454" t="inlineStr">
        <is>
          <t>乙二醇</t>
        </is>
      </c>
      <c r="C5454" t="inlineStr">
        <is>
          <t>多</t>
        </is>
      </c>
      <c r="D5454" t="n">
        <v>3</v>
      </c>
      <c r="E5454" t="n">
        <v>7</v>
      </c>
      <c r="F5454" t="inlineStr">
        <is>
          <t>开仓</t>
        </is>
      </c>
      <c r="G5454" t="n">
        <v>2</v>
      </c>
      <c r="H5454" t="n">
        <v>5706</v>
      </c>
      <c r="I5454" t="n">
        <v>4559.14</v>
      </c>
      <c r="J5454" t="n">
        <v>3</v>
      </c>
      <c r="K5454" t="inlineStr">
        <is>
          <t>¼凯利超上限，取3%</t>
        </is>
      </c>
    </row>
    <row r="5455">
      <c r="A5455" t="inlineStr">
        <is>
          <t>2026-04-07</t>
        </is>
      </c>
      <c r="B5455" t="inlineStr">
        <is>
          <t>纯碱</t>
        </is>
      </c>
      <c r="C5455" t="inlineStr">
        <is>
          <t>空</t>
        </is>
      </c>
      <c r="D5455" t="n">
        <v>3</v>
      </c>
      <c r="E5455" t="n">
        <v>6</v>
      </c>
      <c r="F5455" t="inlineStr">
        <is>
          <t>不做</t>
        </is>
      </c>
      <c r="H5455" t="n">
        <v>1145</v>
      </c>
      <c r="J5455" t="n">
        <v>0</v>
      </c>
      <c r="K5455" t="inlineStr">
        <is>
          <t>与玻璃高度相关（同组≤3%），预算缩小</t>
        </is>
      </c>
    </row>
    <row r="5456">
      <c r="A5456" t="inlineStr">
        <is>
          <t>2026-04-07</t>
        </is>
      </c>
      <c r="B5456" t="inlineStr">
        <is>
          <t>碳酸锂</t>
        </is>
      </c>
      <c r="C5456" t="inlineStr">
        <is>
          <t>多</t>
        </is>
      </c>
      <c r="D5456" t="n">
        <v>3</v>
      </c>
      <c r="E5456" t="n">
        <v>6</v>
      </c>
      <c r="F5456" t="inlineStr">
        <is>
          <t>续持</t>
        </is>
      </c>
      <c r="G5456" t="n">
        <v>1</v>
      </c>
      <c r="H5456" t="n">
        <v>160860</v>
      </c>
      <c r="I5456" t="n">
        <v>148390</v>
      </c>
      <c r="J5456" t="n">
        <v>3</v>
      </c>
      <c r="K5456" t="inlineStr">
        <is>
          <t>续持原仓（2026-03-27开）</t>
        </is>
      </c>
    </row>
    <row r="5457">
      <c r="A5457" t="inlineStr">
        <is>
          <t>2026-04-07</t>
        </is>
      </c>
      <c r="B5457" t="inlineStr">
        <is>
          <t>鸡蛋</t>
        </is>
      </c>
      <c r="C5457" t="inlineStr">
        <is>
          <t>空</t>
        </is>
      </c>
      <c r="D5457" t="n">
        <v>3</v>
      </c>
      <c r="E5457" t="n">
        <v>6</v>
      </c>
      <c r="F5457" t="inlineStr">
        <is>
          <t>开仓</t>
        </is>
      </c>
      <c r="G5457" t="n">
        <v>6</v>
      </c>
      <c r="H5457" t="n">
        <v>3206</v>
      </c>
      <c r="I5457" t="n">
        <v>3363.93</v>
      </c>
      <c r="J5457" t="n">
        <v>1</v>
      </c>
      <c r="K5457" t="inlineStr">
        <is>
          <t>组合风险已近10%，预算缩小</t>
        </is>
      </c>
    </row>
    <row r="5458">
      <c r="A5458" t="inlineStr">
        <is>
          <t>2026-04-07</t>
        </is>
      </c>
      <c r="B5458" t="inlineStr">
        <is>
          <t>甲醇</t>
        </is>
      </c>
      <c r="C5458" t="inlineStr">
        <is>
          <t>多</t>
        </is>
      </c>
      <c r="D5458" t="n">
        <v>3</v>
      </c>
      <c r="E5458" t="n">
        <v>6</v>
      </c>
      <c r="F5458" t="inlineStr">
        <is>
          <t>不做</t>
        </is>
      </c>
      <c r="H5458" t="n">
        <v>3553</v>
      </c>
      <c r="J5458" t="n">
        <v>0</v>
      </c>
      <c r="K5458" t="inlineStr">
        <is>
          <t>与乙二醇高度相关（同组≤3%），预算缩小</t>
        </is>
      </c>
    </row>
    <row r="5459">
      <c r="A5459" t="inlineStr">
        <is>
          <t>2026-04-07</t>
        </is>
      </c>
      <c r="B5459" t="inlineStr">
        <is>
          <t>豆粕</t>
        </is>
      </c>
      <c r="C5459" t="inlineStr">
        <is>
          <t>空</t>
        </is>
      </c>
      <c r="D5459" t="n">
        <v>2</v>
      </c>
      <c r="E5459" t="n">
        <v>5</v>
      </c>
      <c r="F5459" t="inlineStr">
        <is>
          <t>续持</t>
        </is>
      </c>
      <c r="G5459" t="n">
        <v>5</v>
      </c>
      <c r="H5459" t="n">
        <v>2963</v>
      </c>
      <c r="I5459" t="n">
        <v>3073.57</v>
      </c>
      <c r="J5459" t="n">
        <v>1</v>
      </c>
      <c r="K5459" t="inlineStr">
        <is>
          <t>续持原仓（2026-04-01开）</t>
        </is>
      </c>
    </row>
    <row r="5460">
      <c r="A5460" t="inlineStr">
        <is>
          <t>2026-04-07</t>
        </is>
      </c>
      <c r="B5460" t="inlineStr">
        <is>
          <t>锰硅</t>
        </is>
      </c>
      <c r="C5460" t="inlineStr">
        <is>
          <t>空</t>
        </is>
      </c>
      <c r="D5460" t="n">
        <v>2</v>
      </c>
      <c r="E5460" t="n">
        <v>4</v>
      </c>
      <c r="F5460" t="inlineStr">
        <is>
          <t>影子仓</t>
        </is>
      </c>
      <c r="G5460" t="n">
        <v>3</v>
      </c>
      <c r="H5460" t="n">
        <v>6392</v>
      </c>
      <c r="I5460" t="n">
        <v>6927.71</v>
      </c>
      <c r="J5460" t="n">
        <v>1</v>
      </c>
      <c r="K5460" t="inlineStr">
        <is>
          <t>凯利≤0，开1%影子仓（只统计，不计入组合）</t>
        </is>
      </c>
    </row>
    <row r="5461">
      <c r="A5461" t="inlineStr">
        <is>
          <t>2026-04-07</t>
        </is>
      </c>
      <c r="B5461" t="inlineStr">
        <is>
          <t>聚丙烯</t>
        </is>
      </c>
      <c r="C5461" t="inlineStr">
        <is>
          <t>多</t>
        </is>
      </c>
      <c r="D5461" t="n">
        <v>2</v>
      </c>
      <c r="E5461" t="n">
        <v>4</v>
      </c>
      <c r="F5461" t="inlineStr">
        <is>
          <t>影子仓</t>
        </is>
      </c>
      <c r="G5461" t="n">
        <v>1</v>
      </c>
      <c r="H5461" t="n">
        <v>9865</v>
      </c>
      <c r="I5461" t="n">
        <v>8315.290000000001</v>
      </c>
      <c r="J5461" t="n">
        <v>1</v>
      </c>
      <c r="K5461" t="inlineStr">
        <is>
          <t>凯利≤0，开1%影子仓（只统计，不计入组合）</t>
        </is>
      </c>
    </row>
    <row r="5462">
      <c r="A5462" t="inlineStr">
        <is>
          <t>2026-04-08</t>
        </is>
      </c>
      <c r="B5462" t="inlineStr">
        <is>
          <t>菜粕</t>
        </is>
      </c>
      <c r="C5462" t="inlineStr">
        <is>
          <t>空</t>
        </is>
      </c>
      <c r="D5462" t="n">
        <v>3</v>
      </c>
      <c r="E5462" t="n">
        <v>7</v>
      </c>
      <c r="F5462" t="inlineStr">
        <is>
          <t>不做</t>
        </is>
      </c>
      <c r="H5462" t="n">
        <v>2231</v>
      </c>
      <c r="J5462" t="n">
        <v>0</v>
      </c>
      <c r="K5462" t="inlineStr">
        <is>
          <t>组合风险已近10%，预算缩小</t>
        </is>
      </c>
    </row>
    <row r="5463">
      <c r="A5463" t="inlineStr">
        <is>
          <t>2026-04-08</t>
        </is>
      </c>
      <c r="B5463" t="inlineStr">
        <is>
          <t>纯碱</t>
        </is>
      </c>
      <c r="C5463" t="inlineStr">
        <is>
          <t>空</t>
        </is>
      </c>
      <c r="D5463" t="n">
        <v>2</v>
      </c>
      <c r="E5463" t="n">
        <v>5</v>
      </c>
      <c r="F5463" t="inlineStr">
        <is>
          <t>影子仓</t>
        </is>
      </c>
      <c r="G5463" t="n">
        <v>5</v>
      </c>
      <c r="H5463" t="n">
        <v>1149</v>
      </c>
      <c r="I5463" t="n">
        <v>1232.57</v>
      </c>
      <c r="J5463" t="n">
        <v>1</v>
      </c>
      <c r="K5463" t="inlineStr">
        <is>
          <t>凯利≤0，开1%影子仓（只统计，不计入组合）</t>
        </is>
      </c>
    </row>
    <row r="5464">
      <c r="A5464" t="inlineStr">
        <is>
          <t>2026-04-08</t>
        </is>
      </c>
      <c r="B5464" t="inlineStr">
        <is>
          <t>玻璃</t>
        </is>
      </c>
      <c r="C5464" t="inlineStr">
        <is>
          <t>空</t>
        </is>
      </c>
      <c r="D5464" t="n">
        <v>2</v>
      </c>
      <c r="E5464" t="n">
        <v>5</v>
      </c>
      <c r="F5464" t="inlineStr">
        <is>
          <t>续持</t>
        </is>
      </c>
      <c r="G5464" t="n">
        <v>18</v>
      </c>
      <c r="H5464" t="n">
        <v>978</v>
      </c>
      <c r="I5464" t="n">
        <v>1039.79</v>
      </c>
      <c r="J5464" t="n">
        <v>3</v>
      </c>
      <c r="K5464" t="inlineStr">
        <is>
          <t>续持原仓（2026-04-07开）</t>
        </is>
      </c>
    </row>
    <row r="5465">
      <c r="A5465" t="inlineStr">
        <is>
          <t>2026-04-08</t>
        </is>
      </c>
      <c r="B5465" t="inlineStr">
        <is>
          <t>甲醇</t>
        </is>
      </c>
      <c r="C5465" t="inlineStr">
        <is>
          <t>多</t>
        </is>
      </c>
      <c r="D5465" t="n">
        <v>2</v>
      </c>
      <c r="E5465" t="n">
        <v>5</v>
      </c>
      <c r="F5465" t="inlineStr">
        <is>
          <t>观望</t>
        </is>
      </c>
      <c r="G5465" t="n">
        <v>1</v>
      </c>
      <c r="H5465" t="n">
        <v>3122</v>
      </c>
      <c r="I5465" t="n">
        <v>2346.71</v>
      </c>
      <c r="J5465" t="n">
        <v>1</v>
      </c>
      <c r="K5465" t="inlineStr">
        <is>
          <t>逆5日线（收盘在5日线下，不追多）</t>
        </is>
      </c>
    </row>
    <row r="5466">
      <c r="A5466" t="inlineStr">
        <is>
          <t>2026-04-08</t>
        </is>
      </c>
      <c r="B5466" t="inlineStr">
        <is>
          <t>豆粕</t>
        </is>
      </c>
      <c r="C5466" t="inlineStr">
        <is>
          <t>空</t>
        </is>
      </c>
      <c r="D5466" t="n">
        <v>2</v>
      </c>
      <c r="E5466" t="n">
        <v>5</v>
      </c>
      <c r="F5466" t="inlineStr">
        <is>
          <t>观望</t>
        </is>
      </c>
      <c r="G5466" t="n">
        <v>7</v>
      </c>
      <c r="H5466" t="n">
        <v>2962</v>
      </c>
      <c r="I5466" t="n">
        <v>3091.64</v>
      </c>
      <c r="J5466" t="n">
        <v>1</v>
      </c>
      <c r="K5466" t="inlineStr">
        <is>
          <t>逆5日线（收盘在5日线上，不追空）</t>
        </is>
      </c>
    </row>
    <row r="5467">
      <c r="A5467" t="inlineStr">
        <is>
          <t>2026-04-08</t>
        </is>
      </c>
      <c r="B5467" t="inlineStr">
        <is>
          <t>PVC</t>
        </is>
      </c>
      <c r="C5467" t="inlineStr">
        <is>
          <t>空</t>
        </is>
      </c>
      <c r="D5467" t="n">
        <v>2</v>
      </c>
      <c r="E5467" t="n">
        <v>5</v>
      </c>
      <c r="F5467" t="inlineStr">
        <is>
          <t>影子仓</t>
        </is>
      </c>
      <c r="G5467" t="n">
        <v>2</v>
      </c>
      <c r="H5467" t="n">
        <v>5160</v>
      </c>
      <c r="I5467" t="n">
        <v>6008.57</v>
      </c>
      <c r="J5467" t="n">
        <v>1</v>
      </c>
      <c r="K5467" t="inlineStr">
        <is>
          <t>凯利≤0，开1%影子仓（只统计，不计入组合）</t>
        </is>
      </c>
    </row>
    <row r="5468">
      <c r="A5468" t="inlineStr">
        <is>
          <t>2026-04-08</t>
        </is>
      </c>
      <c r="B5468" t="inlineStr">
        <is>
          <t>沪锌</t>
        </is>
      </c>
      <c r="C5468" t="inlineStr">
        <is>
          <t>多</t>
        </is>
      </c>
      <c r="D5468" t="n">
        <v>2</v>
      </c>
      <c r="E5468" t="n">
        <v>5</v>
      </c>
      <c r="F5468" t="inlineStr">
        <is>
          <t>影子仓</t>
        </is>
      </c>
      <c r="G5468" t="n">
        <v>1</v>
      </c>
      <c r="H5468" t="n">
        <v>23815</v>
      </c>
      <c r="I5468" t="n">
        <v>22732.86</v>
      </c>
      <c r="J5468" t="n">
        <v>1</v>
      </c>
      <c r="K5468" t="inlineStr">
        <is>
          <t>凯利≤0，开1%影子仓（只统计，不计入组合）</t>
        </is>
      </c>
    </row>
    <row r="5469">
      <c r="A5469" t="inlineStr">
        <is>
          <t>2026-04-09</t>
        </is>
      </c>
      <c r="B5469" t="inlineStr">
        <is>
          <t>玻璃</t>
        </is>
      </c>
      <c r="C5469" t="inlineStr">
        <is>
          <t>空</t>
        </is>
      </c>
      <c r="D5469" t="n">
        <v>3</v>
      </c>
      <c r="E5469" t="n">
        <v>7</v>
      </c>
      <c r="F5469" t="inlineStr">
        <is>
          <t>续持</t>
        </is>
      </c>
      <c r="G5469" t="n">
        <v>18</v>
      </c>
      <c r="H5469" t="n">
        <v>970</v>
      </c>
      <c r="I5469" t="n">
        <v>1036.36</v>
      </c>
      <c r="J5469" t="n">
        <v>3</v>
      </c>
      <c r="K5469" t="inlineStr">
        <is>
          <t>续持原仓（2026-04-07开）</t>
        </is>
      </c>
    </row>
    <row r="5470">
      <c r="A5470" t="inlineStr">
        <is>
          <t>2026-04-09</t>
        </is>
      </c>
      <c r="B5470" t="inlineStr">
        <is>
          <t>PVC</t>
        </is>
      </c>
      <c r="C5470" t="inlineStr">
        <is>
          <t>空</t>
        </is>
      </c>
      <c r="D5470" t="n">
        <v>3</v>
      </c>
      <c r="E5470" t="n">
        <v>7</v>
      </c>
      <c r="F5470" t="inlineStr">
        <is>
          <t>续持</t>
        </is>
      </c>
      <c r="G5470" t="n">
        <v>2</v>
      </c>
      <c r="H5470" t="n">
        <v>5093</v>
      </c>
      <c r="I5470" t="n">
        <v>5884.71</v>
      </c>
      <c r="J5470" t="n">
        <v>1</v>
      </c>
      <c r="K5470" t="inlineStr">
        <is>
          <t>续持原仓（2026-04-08开）</t>
        </is>
      </c>
    </row>
    <row r="5471">
      <c r="A5471" t="inlineStr">
        <is>
          <t>2026-04-09</t>
        </is>
      </c>
      <c r="B5471" t="inlineStr">
        <is>
          <t>菜粕</t>
        </is>
      </c>
      <c r="C5471" t="inlineStr">
        <is>
          <t>空</t>
        </is>
      </c>
      <c r="D5471" t="n">
        <v>3</v>
      </c>
      <c r="E5471" t="n">
        <v>6</v>
      </c>
      <c r="F5471" t="inlineStr">
        <is>
          <t>观望</t>
        </is>
      </c>
      <c r="H5471" t="n">
        <v>2241</v>
      </c>
      <c r="J5471" t="n">
        <v>0</v>
      </c>
      <c r="K5471" t="inlineStr">
        <is>
          <t>逆5日线（收盘在5日线上，不追空）</t>
        </is>
      </c>
    </row>
    <row r="5472">
      <c r="A5472" t="inlineStr">
        <is>
          <t>2026-04-09</t>
        </is>
      </c>
      <c r="B5472" t="inlineStr">
        <is>
          <t>纯碱</t>
        </is>
      </c>
      <c r="C5472" t="inlineStr">
        <is>
          <t>空</t>
        </is>
      </c>
      <c r="D5472" t="n">
        <v>3</v>
      </c>
      <c r="E5472" t="n">
        <v>6</v>
      </c>
      <c r="F5472" t="inlineStr">
        <is>
          <t>续持</t>
        </is>
      </c>
      <c r="G5472" t="n">
        <v>5</v>
      </c>
      <c r="H5472" t="n">
        <v>1136</v>
      </c>
      <c r="I5472" t="n">
        <v>1217.07</v>
      </c>
      <c r="J5472" t="n">
        <v>1</v>
      </c>
      <c r="K5472" t="inlineStr">
        <is>
          <t>续持原仓（2026-04-08开）</t>
        </is>
      </c>
    </row>
    <row r="5473">
      <c r="A5473" t="inlineStr">
        <is>
          <t>2026-04-09</t>
        </is>
      </c>
      <c r="B5473" t="inlineStr">
        <is>
          <t>热卷</t>
        </is>
      </c>
      <c r="C5473" t="inlineStr">
        <is>
          <t>空</t>
        </is>
      </c>
      <c r="D5473" t="n">
        <v>3</v>
      </c>
      <c r="E5473" t="n">
        <v>6</v>
      </c>
      <c r="F5473" t="inlineStr">
        <is>
          <t>续持</t>
        </is>
      </c>
      <c r="G5473" t="n">
        <v>12</v>
      </c>
      <c r="H5473" t="n">
        <v>3270</v>
      </c>
      <c r="I5473" t="n">
        <v>3339.57</v>
      </c>
      <c r="J5473" t="n">
        <v>1</v>
      </c>
      <c r="K5473" t="inlineStr">
        <is>
          <t>续持原仓（2026-04-02开）</t>
        </is>
      </c>
    </row>
    <row r="5474">
      <c r="A5474" t="inlineStr">
        <is>
          <t>2026-04-09</t>
        </is>
      </c>
      <c r="B5474" t="inlineStr">
        <is>
          <t>沪锌</t>
        </is>
      </c>
      <c r="C5474" t="inlineStr">
        <is>
          <t>多</t>
        </is>
      </c>
      <c r="D5474" t="n">
        <v>2</v>
      </c>
      <c r="E5474" t="n">
        <v>4</v>
      </c>
      <c r="F5474" t="inlineStr">
        <is>
          <t>续持</t>
        </is>
      </c>
      <c r="G5474" t="n">
        <v>1</v>
      </c>
      <c r="H5474" t="n">
        <v>23765</v>
      </c>
      <c r="I5474" t="n">
        <v>22922.5</v>
      </c>
      <c r="J5474" t="n">
        <v>1</v>
      </c>
      <c r="K5474" t="inlineStr">
        <is>
          <t>续持原仓（2026-04-08开）</t>
        </is>
      </c>
    </row>
    <row r="5475">
      <c r="A5475" t="inlineStr">
        <is>
          <t>2026-04-10</t>
        </is>
      </c>
      <c r="B5475" t="inlineStr">
        <is>
          <t>白糖</t>
        </is>
      </c>
      <c r="C5475" t="inlineStr">
        <is>
          <t>空</t>
        </is>
      </c>
      <c r="D5475" t="n">
        <v>3</v>
      </c>
      <c r="E5475" t="n">
        <v>6</v>
      </c>
      <c r="F5475" t="inlineStr">
        <is>
          <t>观望</t>
        </is>
      </c>
      <c r="G5475" t="n">
        <v>16</v>
      </c>
      <c r="H5475" t="n">
        <v>5325</v>
      </c>
      <c r="I5475" t="n">
        <v>5509.07</v>
      </c>
      <c r="J5475" t="n">
        <v>3</v>
      </c>
      <c r="K5475" t="inlineStr">
        <is>
          <t>逆5日线（收盘在5日线上，不追空）</t>
        </is>
      </c>
    </row>
    <row r="5476">
      <c r="A5476" t="inlineStr">
        <is>
          <t>2026-04-10</t>
        </is>
      </c>
      <c r="B5476" t="inlineStr">
        <is>
          <t>菜粕</t>
        </is>
      </c>
      <c r="C5476" t="inlineStr">
        <is>
          <t>空</t>
        </is>
      </c>
      <c r="D5476" t="n">
        <v>3</v>
      </c>
      <c r="E5476" t="n">
        <v>6</v>
      </c>
      <c r="F5476" t="inlineStr">
        <is>
          <t>观望</t>
        </is>
      </c>
      <c r="G5476" t="n">
        <v>26</v>
      </c>
      <c r="H5476" t="n">
        <v>2241</v>
      </c>
      <c r="I5476" t="n">
        <v>2354.79</v>
      </c>
      <c r="J5476" t="n">
        <v>3</v>
      </c>
      <c r="K5476" t="inlineStr">
        <is>
          <t>逆5日线（收盘在5日线上，不追空）</t>
        </is>
      </c>
    </row>
    <row r="5477">
      <c r="A5477" t="inlineStr">
        <is>
          <t>2026-04-10</t>
        </is>
      </c>
      <c r="B5477" t="inlineStr">
        <is>
          <t>热卷</t>
        </is>
      </c>
      <c r="C5477" t="inlineStr">
        <is>
          <t>空</t>
        </is>
      </c>
      <c r="D5477" t="n">
        <v>3</v>
      </c>
      <c r="E5477" t="n">
        <v>6</v>
      </c>
      <c r="F5477" t="inlineStr">
        <is>
          <t>续持</t>
        </is>
      </c>
      <c r="G5477" t="n">
        <v>12</v>
      </c>
      <c r="H5477" t="n">
        <v>3273</v>
      </c>
      <c r="I5477" t="n">
        <v>3335.36</v>
      </c>
      <c r="J5477" t="n">
        <v>1</v>
      </c>
      <c r="K5477" t="inlineStr">
        <is>
          <t>续持原仓（2026-04-02开）</t>
        </is>
      </c>
    </row>
    <row r="5478">
      <c r="A5478" t="inlineStr">
        <is>
          <t>2026-04-10</t>
        </is>
      </c>
      <c r="B5478" t="inlineStr">
        <is>
          <t>豆粕</t>
        </is>
      </c>
      <c r="C5478" t="inlineStr">
        <is>
          <t>空</t>
        </is>
      </c>
      <c r="D5478" t="n">
        <v>2</v>
      </c>
      <c r="E5478" t="n">
        <v>5</v>
      </c>
      <c r="F5478" t="inlineStr">
        <is>
          <t>观望</t>
        </is>
      </c>
      <c r="G5478" t="n">
        <v>8</v>
      </c>
      <c r="H5478" t="n">
        <v>2977</v>
      </c>
      <c r="I5478" t="n">
        <v>3098.29</v>
      </c>
      <c r="J5478" t="n">
        <v>1</v>
      </c>
      <c r="K5478" t="inlineStr">
        <is>
          <t>逆5日线（收盘在5日线上，不追空）</t>
        </is>
      </c>
    </row>
    <row r="5479">
      <c r="A5479" t="inlineStr">
        <is>
          <t>2026-04-10</t>
        </is>
      </c>
      <c r="B5479" t="inlineStr">
        <is>
          <t>PVC</t>
        </is>
      </c>
      <c r="C5479" t="inlineStr">
        <is>
          <t>空</t>
        </is>
      </c>
      <c r="D5479" t="n">
        <v>2</v>
      </c>
      <c r="E5479" t="n">
        <v>5</v>
      </c>
      <c r="F5479" t="inlineStr">
        <is>
          <t>续持</t>
        </is>
      </c>
      <c r="G5479" t="n">
        <v>2</v>
      </c>
      <c r="H5479" t="n">
        <v>4952</v>
      </c>
      <c r="I5479" t="n">
        <v>5741.57</v>
      </c>
      <c r="J5479" t="n">
        <v>1</v>
      </c>
      <c r="K5479" t="inlineStr">
        <is>
          <t>续持原仓（2026-04-08开）</t>
        </is>
      </c>
    </row>
    <row r="5480">
      <c r="A5480" t="inlineStr">
        <is>
          <t>2026-04-10</t>
        </is>
      </c>
      <c r="B5480" t="inlineStr">
        <is>
          <t>沪银</t>
        </is>
      </c>
      <c r="C5480" t="inlineStr">
        <is>
          <t>多</t>
        </is>
      </c>
      <c r="D5480" t="n">
        <v>2</v>
      </c>
      <c r="E5480" t="n">
        <v>5</v>
      </c>
      <c r="F5480" t="inlineStr">
        <is>
          <t>不做</t>
        </is>
      </c>
      <c r="H5480" t="n">
        <v>18583</v>
      </c>
      <c r="J5480" t="n">
        <v>1</v>
      </c>
      <c r="K5480" t="inlineStr">
        <is>
          <t>1手风险59159元超过预算10000元</t>
        </is>
      </c>
    </row>
    <row r="5481">
      <c r="A5481" t="inlineStr">
        <is>
          <t>2026-04-10</t>
        </is>
      </c>
      <c r="B5481" t="inlineStr">
        <is>
          <t>豆一</t>
        </is>
      </c>
      <c r="C5481" t="inlineStr">
        <is>
          <t>多</t>
        </is>
      </c>
      <c r="D5481" t="n">
        <v>2</v>
      </c>
      <c r="E5481" t="n">
        <v>5</v>
      </c>
      <c r="F5481" t="inlineStr">
        <is>
          <t>影子仓</t>
        </is>
      </c>
      <c r="G5481" t="n">
        <v>4</v>
      </c>
      <c r="H5481" t="n">
        <v>4889</v>
      </c>
      <c r="I5481" t="n">
        <v>4646.86</v>
      </c>
      <c r="J5481" t="n">
        <v>1</v>
      </c>
      <c r="K5481" t="inlineStr">
        <is>
          <t>凯利≤0，开1%影子仓（只统计，不计入组合）</t>
        </is>
      </c>
    </row>
    <row r="5482">
      <c r="A5482" t="inlineStr">
        <is>
          <t>2026-04-13</t>
        </is>
      </c>
      <c r="B5482" t="inlineStr">
        <is>
          <t>玻璃</t>
        </is>
      </c>
      <c r="C5482" t="inlineStr">
        <is>
          <t>空</t>
        </is>
      </c>
      <c r="D5482" t="n">
        <v>3</v>
      </c>
      <c r="E5482" t="n">
        <v>7</v>
      </c>
      <c r="F5482" t="inlineStr">
        <is>
          <t>开仓</t>
        </is>
      </c>
      <c r="G5482" t="n">
        <v>21</v>
      </c>
      <c r="H5482" t="n">
        <v>957</v>
      </c>
      <c r="I5482" t="n">
        <v>1026.21</v>
      </c>
      <c r="J5482" t="n">
        <v>3</v>
      </c>
      <c r="K5482" t="inlineStr">
        <is>
          <t>¼凯利超上限，取3%</t>
        </is>
      </c>
    </row>
    <row r="5483">
      <c r="A5483" t="inlineStr">
        <is>
          <t>2026-04-13</t>
        </is>
      </c>
      <c r="B5483" t="inlineStr">
        <is>
          <t>乙二醇</t>
        </is>
      </c>
      <c r="C5483" t="inlineStr">
        <is>
          <t>多</t>
        </is>
      </c>
      <c r="D5483" t="n">
        <v>3</v>
      </c>
      <c r="E5483" t="n">
        <v>7</v>
      </c>
      <c r="F5483" t="inlineStr">
        <is>
          <t>观望</t>
        </is>
      </c>
      <c r="H5483" t="n">
        <v>4969</v>
      </c>
      <c r="J5483" t="n">
        <v>0</v>
      </c>
      <c r="K5483" t="inlineStr">
        <is>
          <t>逆5日线（收盘在5日线下，不追多）</t>
        </is>
      </c>
    </row>
    <row r="5484">
      <c r="A5484" t="inlineStr">
        <is>
          <t>2026-04-13</t>
        </is>
      </c>
      <c r="B5484" t="inlineStr">
        <is>
          <t>碳酸锂</t>
        </is>
      </c>
      <c r="C5484" t="inlineStr">
        <is>
          <t>多</t>
        </is>
      </c>
      <c r="D5484" t="n">
        <v>3</v>
      </c>
      <c r="E5484" t="n">
        <v>7</v>
      </c>
      <c r="F5484" t="inlineStr">
        <is>
          <t>续持</t>
        </is>
      </c>
      <c r="G5484" t="n">
        <v>1</v>
      </c>
      <c r="H5484" t="n">
        <v>166500</v>
      </c>
      <c r="I5484" t="n">
        <v>149054.29</v>
      </c>
      <c r="J5484" t="n">
        <v>3</v>
      </c>
      <c r="K5484" t="inlineStr">
        <is>
          <t>续持原仓（2026-03-27开）</t>
        </is>
      </c>
    </row>
    <row r="5485">
      <c r="A5485" t="inlineStr">
        <is>
          <t>2026-04-13</t>
        </is>
      </c>
      <c r="B5485" t="inlineStr">
        <is>
          <t>菜粕</t>
        </is>
      </c>
      <c r="C5485" t="inlineStr">
        <is>
          <t>空</t>
        </is>
      </c>
      <c r="D5485" t="n">
        <v>3</v>
      </c>
      <c r="E5485" t="n">
        <v>6</v>
      </c>
      <c r="F5485" t="inlineStr">
        <is>
          <t>观望</t>
        </is>
      </c>
      <c r="H5485" t="n">
        <v>2347</v>
      </c>
      <c r="J5485" t="n">
        <v>0</v>
      </c>
      <c r="K5485" t="inlineStr">
        <is>
          <t>逆5日线（收盘在5日线上，不追空）</t>
        </is>
      </c>
    </row>
    <row r="5486">
      <c r="A5486" t="inlineStr">
        <is>
          <t>2026-04-13</t>
        </is>
      </c>
      <c r="B5486" t="inlineStr">
        <is>
          <t>氧化铝</t>
        </is>
      </c>
      <c r="C5486" t="inlineStr">
        <is>
          <t>空</t>
        </is>
      </c>
      <c r="D5486" t="n">
        <v>3</v>
      </c>
      <c r="E5486" t="n">
        <v>6</v>
      </c>
      <c r="F5486" t="inlineStr">
        <is>
          <t>不做</t>
        </is>
      </c>
      <c r="H5486" t="n">
        <v>2641</v>
      </c>
      <c r="J5486" t="n">
        <v>0</v>
      </c>
      <c r="K5486" t="inlineStr">
        <is>
          <t>组合风险已近10%，预算缩小</t>
        </is>
      </c>
    </row>
    <row r="5487">
      <c r="A5487" t="inlineStr">
        <is>
          <t>2026-04-13</t>
        </is>
      </c>
      <c r="B5487" t="inlineStr">
        <is>
          <t>纯碱</t>
        </is>
      </c>
      <c r="C5487" t="inlineStr">
        <is>
          <t>空</t>
        </is>
      </c>
      <c r="D5487" t="n">
        <v>2</v>
      </c>
      <c r="E5487" t="n">
        <v>5</v>
      </c>
      <c r="F5487" t="inlineStr">
        <is>
          <t>影子仓</t>
        </is>
      </c>
      <c r="G5487" t="n">
        <v>6</v>
      </c>
      <c r="H5487" t="n">
        <v>1143</v>
      </c>
      <c r="I5487" t="n">
        <v>1218.21</v>
      </c>
      <c r="J5487" t="n">
        <v>1</v>
      </c>
      <c r="K5487" t="inlineStr">
        <is>
          <t>凯利≤0，开1%影子仓（只统计，不计入组合）</t>
        </is>
      </c>
    </row>
    <row r="5488">
      <c r="A5488" t="inlineStr">
        <is>
          <t>2026-04-13</t>
        </is>
      </c>
      <c r="B5488" t="inlineStr">
        <is>
          <t>豆粕</t>
        </is>
      </c>
      <c r="C5488" t="inlineStr">
        <is>
          <t>空</t>
        </is>
      </c>
      <c r="D5488" t="n">
        <v>2</v>
      </c>
      <c r="E5488" t="n">
        <v>5</v>
      </c>
      <c r="F5488" t="inlineStr">
        <is>
          <t>观望</t>
        </is>
      </c>
      <c r="G5488" t="n">
        <v>8</v>
      </c>
      <c r="H5488" t="n">
        <v>2980</v>
      </c>
      <c r="I5488" t="n">
        <v>3093.57</v>
      </c>
      <c r="J5488" t="n">
        <v>1</v>
      </c>
      <c r="K5488" t="inlineStr">
        <is>
          <t>逆5日线（收盘在5日线上，不追空）</t>
        </is>
      </c>
    </row>
    <row r="5489">
      <c r="A5489" t="inlineStr">
        <is>
          <t>2026-04-13</t>
        </is>
      </c>
      <c r="B5489" t="inlineStr">
        <is>
          <t>沪锌</t>
        </is>
      </c>
      <c r="C5489" t="inlineStr">
        <is>
          <t>多</t>
        </is>
      </c>
      <c r="D5489" t="n">
        <v>2</v>
      </c>
      <c r="E5489" t="n">
        <v>4</v>
      </c>
      <c r="F5489" t="inlineStr">
        <is>
          <t>观望</t>
        </is>
      </c>
      <c r="G5489" t="n">
        <v>2</v>
      </c>
      <c r="H5489" t="n">
        <v>23575</v>
      </c>
      <c r="I5489" t="n">
        <v>22709.29</v>
      </c>
      <c r="J5489" t="n">
        <v>1</v>
      </c>
      <c r="K5489" t="inlineStr">
        <is>
          <t>逆5日线（收盘在5日线下，不追多）</t>
        </is>
      </c>
    </row>
    <row r="5490">
      <c r="A5490" t="inlineStr">
        <is>
          <t>2026-04-13</t>
        </is>
      </c>
      <c r="B5490" t="inlineStr">
        <is>
          <t>鸡蛋</t>
        </is>
      </c>
      <c r="C5490" t="inlineStr">
        <is>
          <t>多</t>
        </is>
      </c>
      <c r="D5490" t="n">
        <v>2</v>
      </c>
      <c r="E5490" t="n">
        <v>4</v>
      </c>
      <c r="F5490" t="inlineStr">
        <is>
          <t>影子仓</t>
        </is>
      </c>
      <c r="G5490" t="n">
        <v>6</v>
      </c>
      <c r="H5490" t="n">
        <v>3273</v>
      </c>
      <c r="I5490" t="n">
        <v>3110.57</v>
      </c>
      <c r="J5490" t="n">
        <v>1</v>
      </c>
      <c r="K5490" t="inlineStr">
        <is>
          <t>凯利≤0，开1%影子仓（只统计，不计入组合）</t>
        </is>
      </c>
    </row>
    <row r="5491">
      <c r="A5491" t="inlineStr">
        <is>
          <t>2026-04-14</t>
        </is>
      </c>
      <c r="B5491" t="inlineStr">
        <is>
          <t>沪铜</t>
        </is>
      </c>
      <c r="C5491" t="inlineStr">
        <is>
          <t>多</t>
        </is>
      </c>
      <c r="D5491" t="n">
        <v>3</v>
      </c>
      <c r="E5491" t="n">
        <v>7</v>
      </c>
      <c r="F5491" t="inlineStr">
        <is>
          <t>不做</t>
        </is>
      </c>
      <c r="H5491" t="n">
        <v>101190</v>
      </c>
      <c r="J5491" t="n">
        <v>1</v>
      </c>
      <c r="K5491" t="inlineStr">
        <is>
          <t>1手风险24268元超过预算10000元</t>
        </is>
      </c>
    </row>
    <row r="5492">
      <c r="A5492" t="inlineStr">
        <is>
          <t>2026-04-14</t>
        </is>
      </c>
      <c r="B5492" t="inlineStr">
        <is>
          <t>氧化铝</t>
        </is>
      </c>
      <c r="C5492" t="inlineStr">
        <is>
          <t>空</t>
        </is>
      </c>
      <c r="D5492" t="n">
        <v>3</v>
      </c>
      <c r="E5492" t="n">
        <v>6</v>
      </c>
      <c r="F5492" t="inlineStr">
        <is>
          <t>开仓</t>
        </is>
      </c>
      <c r="G5492" t="n">
        <v>2</v>
      </c>
      <c r="H5492" t="n">
        <v>2641</v>
      </c>
      <c r="I5492" t="n">
        <v>2821.21</v>
      </c>
      <c r="J5492" t="n">
        <v>1</v>
      </c>
      <c r="K5492" t="inlineStr">
        <is>
          <t>组合风险已近10%，预算缩小</t>
        </is>
      </c>
    </row>
    <row r="5493">
      <c r="A5493" t="inlineStr">
        <is>
          <t>2026-04-14</t>
        </is>
      </c>
      <c r="B5493" t="inlineStr">
        <is>
          <t>PVC</t>
        </is>
      </c>
      <c r="C5493" t="inlineStr">
        <is>
          <t>空</t>
        </is>
      </c>
      <c r="D5493" t="n">
        <v>3</v>
      </c>
      <c r="E5493" t="n">
        <v>6</v>
      </c>
      <c r="F5493" t="inlineStr">
        <is>
          <t>续持</t>
        </is>
      </c>
      <c r="G5493" t="n">
        <v>2</v>
      </c>
      <c r="H5493" t="n">
        <v>5039</v>
      </c>
      <c r="I5493" t="n">
        <v>5657.71</v>
      </c>
      <c r="J5493" t="n">
        <v>1</v>
      </c>
      <c r="K5493" t="inlineStr">
        <is>
          <t>续持原仓（2026-04-08开）</t>
        </is>
      </c>
    </row>
    <row r="5494">
      <c r="A5494" t="inlineStr">
        <is>
          <t>2026-04-14</t>
        </is>
      </c>
      <c r="B5494" t="inlineStr">
        <is>
          <t>沪锌</t>
        </is>
      </c>
      <c r="C5494" t="inlineStr">
        <is>
          <t>多</t>
        </is>
      </c>
      <c r="D5494" t="n">
        <v>3</v>
      </c>
      <c r="E5494" t="n">
        <v>6</v>
      </c>
      <c r="F5494" t="inlineStr">
        <is>
          <t>续持</t>
        </is>
      </c>
      <c r="G5494" t="n">
        <v>1</v>
      </c>
      <c r="H5494" t="n">
        <v>23790</v>
      </c>
      <c r="I5494" t="n">
        <v>23044.64</v>
      </c>
      <c r="J5494" t="n">
        <v>1</v>
      </c>
      <c r="K5494" t="inlineStr">
        <is>
          <t>续持原仓（2026-04-08开）</t>
        </is>
      </c>
    </row>
    <row r="5495">
      <c r="A5495" t="inlineStr">
        <is>
          <t>2026-04-14</t>
        </is>
      </c>
      <c r="B5495" t="inlineStr">
        <is>
          <t>玻璃</t>
        </is>
      </c>
      <c r="C5495" t="inlineStr">
        <is>
          <t>空</t>
        </is>
      </c>
      <c r="D5495" t="n">
        <v>2</v>
      </c>
      <c r="E5495" t="n">
        <v>5</v>
      </c>
      <c r="F5495" t="inlineStr">
        <is>
          <t>续持</t>
        </is>
      </c>
      <c r="G5495" t="n">
        <v>21</v>
      </c>
      <c r="H5495" t="n">
        <v>963</v>
      </c>
      <c r="I5495" t="n">
        <v>1023.64</v>
      </c>
      <c r="J5495" t="n">
        <v>3</v>
      </c>
      <c r="K5495" t="inlineStr">
        <is>
          <t>续持原仓（2026-04-13开）</t>
        </is>
      </c>
    </row>
    <row r="5496">
      <c r="A5496" t="inlineStr">
        <is>
          <t>2026-04-14</t>
        </is>
      </c>
      <c r="B5496" t="inlineStr">
        <is>
          <t>碳酸锂</t>
        </is>
      </c>
      <c r="C5496" t="inlineStr">
        <is>
          <t>多</t>
        </is>
      </c>
      <c r="D5496" t="n">
        <v>2</v>
      </c>
      <c r="E5496" t="n">
        <v>5</v>
      </c>
      <c r="F5496" t="inlineStr">
        <is>
          <t>续持</t>
        </is>
      </c>
      <c r="G5496" t="n">
        <v>1</v>
      </c>
      <c r="H5496" t="n">
        <v>166840</v>
      </c>
      <c r="I5496" t="n">
        <v>149054.29</v>
      </c>
      <c r="J5496" t="n">
        <v>3</v>
      </c>
      <c r="K5496" t="inlineStr">
        <is>
          <t>续持原仓（2026-03-27开）</t>
        </is>
      </c>
    </row>
    <row r="5497">
      <c r="A5497" t="inlineStr">
        <is>
          <t>2026-04-14</t>
        </is>
      </c>
      <c r="B5497" t="inlineStr">
        <is>
          <t>豆粕</t>
        </is>
      </c>
      <c r="C5497" t="inlineStr">
        <is>
          <t>空</t>
        </is>
      </c>
      <c r="D5497" t="n">
        <v>2</v>
      </c>
      <c r="E5497" t="n">
        <v>5</v>
      </c>
      <c r="F5497" t="inlineStr">
        <is>
          <t>观望</t>
        </is>
      </c>
      <c r="G5497" t="n">
        <v>9</v>
      </c>
      <c r="H5497" t="n">
        <v>2977</v>
      </c>
      <c r="I5497" t="n">
        <v>3087.14</v>
      </c>
      <c r="J5497" t="n">
        <v>1</v>
      </c>
      <c r="K5497" t="inlineStr">
        <is>
          <t>逆5日线（收盘在5日线上，不追空）</t>
        </is>
      </c>
    </row>
    <row r="5498">
      <c r="A5498" t="inlineStr">
        <is>
          <t>2026-04-14</t>
        </is>
      </c>
      <c r="B5498" t="inlineStr">
        <is>
          <t>螺纹钢</t>
        </is>
      </c>
      <c r="C5498" t="inlineStr">
        <is>
          <t>空</t>
        </is>
      </c>
      <c r="D5498" t="n">
        <v>2</v>
      </c>
      <c r="E5498" t="n">
        <v>5</v>
      </c>
      <c r="F5498" t="inlineStr">
        <is>
          <t>影子仓</t>
        </is>
      </c>
      <c r="G5498" t="n">
        <v>13</v>
      </c>
      <c r="H5498" t="n">
        <v>3094</v>
      </c>
      <c r="I5498" t="n">
        <v>3168.14</v>
      </c>
      <c r="J5498" t="n">
        <v>1</v>
      </c>
      <c r="K5498" t="inlineStr">
        <is>
          <t>凯利≤0，开1%影子仓（只统计，不计入组合）</t>
        </is>
      </c>
    </row>
    <row r="5499">
      <c r="A5499" t="inlineStr">
        <is>
          <t>2026-04-14</t>
        </is>
      </c>
      <c r="B5499" t="inlineStr">
        <is>
          <t>沪银</t>
        </is>
      </c>
      <c r="C5499" t="inlineStr">
        <is>
          <t>多</t>
        </is>
      </c>
      <c r="D5499" t="n">
        <v>2</v>
      </c>
      <c r="E5499" t="n">
        <v>4</v>
      </c>
      <c r="F5499" t="inlineStr">
        <is>
          <t>不做</t>
        </is>
      </c>
      <c r="H5499" t="n">
        <v>19210</v>
      </c>
      <c r="J5499" t="n">
        <v>1</v>
      </c>
      <c r="K5499" t="inlineStr">
        <is>
          <t>1手风险48407元超过预算10000元</t>
        </is>
      </c>
    </row>
    <row r="5500">
      <c r="A5500" t="inlineStr">
        <is>
          <t>2026-04-15</t>
        </is>
      </c>
      <c r="B5500" t="inlineStr">
        <is>
          <t>氧化铝</t>
        </is>
      </c>
      <c r="C5500" t="inlineStr">
        <is>
          <t>空</t>
        </is>
      </c>
      <c r="D5500" t="n">
        <v>3</v>
      </c>
      <c r="E5500" t="n">
        <v>7</v>
      </c>
      <c r="F5500" t="inlineStr">
        <is>
          <t>续持</t>
        </is>
      </c>
      <c r="G5500" t="n">
        <v>2</v>
      </c>
      <c r="H5500" t="n">
        <v>2763</v>
      </c>
      <c r="I5500" t="n">
        <v>2913.64</v>
      </c>
      <c r="J5500" t="n">
        <v>1</v>
      </c>
      <c r="K5500" t="inlineStr">
        <is>
          <t>续持原仓（2026-04-14开）</t>
        </is>
      </c>
    </row>
    <row r="5501">
      <c r="A5501" t="inlineStr">
        <is>
          <t>2026-04-15</t>
        </is>
      </c>
      <c r="B5501" t="inlineStr">
        <is>
          <t>沪镍</t>
        </is>
      </c>
      <c r="C5501" t="inlineStr">
        <is>
          <t>多</t>
        </is>
      </c>
      <c r="D5501" t="n">
        <v>3</v>
      </c>
      <c r="E5501" t="n">
        <v>7</v>
      </c>
      <c r="F5501" t="inlineStr">
        <is>
          <t>开仓</t>
        </is>
      </c>
      <c r="G5501" t="n">
        <v>3</v>
      </c>
      <c r="H5501" t="n">
        <v>141400</v>
      </c>
      <c r="I5501" t="n">
        <v>133443.57</v>
      </c>
      <c r="J5501" t="n">
        <v>3</v>
      </c>
      <c r="K5501" t="inlineStr">
        <is>
          <t>¼凯利超上限，取3%</t>
        </is>
      </c>
    </row>
    <row r="5502">
      <c r="A5502" t="inlineStr">
        <is>
          <t>2026-04-15</t>
        </is>
      </c>
      <c r="B5502" t="inlineStr">
        <is>
          <t>乙二醇</t>
        </is>
      </c>
      <c r="C5502" t="inlineStr">
        <is>
          <t>多</t>
        </is>
      </c>
      <c r="D5502" t="n">
        <v>3</v>
      </c>
      <c r="E5502" t="n">
        <v>6</v>
      </c>
      <c r="F5502" t="inlineStr">
        <is>
          <t>观望</t>
        </is>
      </c>
      <c r="H5502" t="n">
        <v>4939</v>
      </c>
      <c r="J5502" t="n">
        <v>0</v>
      </c>
      <c r="K5502" t="inlineStr">
        <is>
          <t>逆5日线（收盘在5日线下，不追多）</t>
        </is>
      </c>
    </row>
    <row r="5503">
      <c r="A5503" t="inlineStr">
        <is>
          <t>2026-04-15</t>
        </is>
      </c>
      <c r="B5503" t="inlineStr">
        <is>
          <t>玻璃</t>
        </is>
      </c>
      <c r="C5503" t="inlineStr">
        <is>
          <t>空</t>
        </is>
      </c>
      <c r="D5503" t="n">
        <v>2</v>
      </c>
      <c r="E5503" t="n">
        <v>5</v>
      </c>
      <c r="F5503" t="inlineStr">
        <is>
          <t>观望</t>
        </is>
      </c>
      <c r="G5503" t="n">
        <v>7</v>
      </c>
      <c r="H5503" t="n">
        <v>971</v>
      </c>
      <c r="I5503" t="n">
        <v>1035.71</v>
      </c>
      <c r="J5503" t="n">
        <v>1</v>
      </c>
      <c r="K5503" t="inlineStr">
        <is>
          <t>逆5日线（收盘在5日线上，不追空）</t>
        </is>
      </c>
    </row>
    <row r="5504">
      <c r="A5504" t="inlineStr">
        <is>
          <t>2026-04-15</t>
        </is>
      </c>
      <c r="B5504" t="inlineStr">
        <is>
          <t>热卷</t>
        </is>
      </c>
      <c r="C5504" t="inlineStr">
        <is>
          <t>空</t>
        </is>
      </c>
      <c r="D5504" t="n">
        <v>2</v>
      </c>
      <c r="E5504" t="n">
        <v>5</v>
      </c>
      <c r="F5504" t="inlineStr">
        <is>
          <t>观望</t>
        </is>
      </c>
      <c r="G5504" t="n">
        <v>15</v>
      </c>
      <c r="H5504" t="n">
        <v>3290</v>
      </c>
      <c r="I5504" t="n">
        <v>3352.79</v>
      </c>
      <c r="J5504" t="n">
        <v>1</v>
      </c>
      <c r="K5504" t="inlineStr">
        <is>
          <t>逆5日线（收盘在5日线上，不追空）</t>
        </is>
      </c>
    </row>
    <row r="5505">
      <c r="A5505" t="inlineStr">
        <is>
          <t>2026-04-15</t>
        </is>
      </c>
      <c r="B5505" t="inlineStr">
        <is>
          <t>沪锌</t>
        </is>
      </c>
      <c r="C5505" t="inlineStr">
        <is>
          <t>多</t>
        </is>
      </c>
      <c r="D5505" t="n">
        <v>2</v>
      </c>
      <c r="E5505" t="n">
        <v>5</v>
      </c>
      <c r="F5505" t="inlineStr">
        <is>
          <t>续持</t>
        </is>
      </c>
      <c r="G5505" t="n">
        <v>1</v>
      </c>
      <c r="H5505" t="n">
        <v>23715</v>
      </c>
      <c r="I5505" t="n">
        <v>23061.79</v>
      </c>
      <c r="J5505" t="n">
        <v>1</v>
      </c>
      <c r="K5505" t="inlineStr">
        <is>
          <t>续持原仓（2026-04-08开）</t>
        </is>
      </c>
    </row>
    <row r="5506">
      <c r="A5506" t="inlineStr">
        <is>
          <t>2026-04-15</t>
        </is>
      </c>
      <c r="B5506" t="inlineStr">
        <is>
          <t>锰硅</t>
        </is>
      </c>
      <c r="C5506" t="inlineStr">
        <is>
          <t>空</t>
        </is>
      </c>
      <c r="D5506" t="n">
        <v>2</v>
      </c>
      <c r="E5506" t="n">
        <v>5</v>
      </c>
      <c r="F5506" t="inlineStr">
        <is>
          <t>观望</t>
        </is>
      </c>
      <c r="G5506" t="n">
        <v>5</v>
      </c>
      <c r="H5506" t="n">
        <v>6204</v>
      </c>
      <c r="I5506" t="n">
        <v>6582.86</v>
      </c>
      <c r="J5506" t="n">
        <v>1</v>
      </c>
      <c r="K5506" t="inlineStr">
        <is>
          <t>逆5日线（收盘在5日线上，不追空）</t>
        </is>
      </c>
    </row>
    <row r="5507">
      <c r="A5507" t="inlineStr">
        <is>
          <t>2026-04-15</t>
        </is>
      </c>
      <c r="B5507" t="inlineStr">
        <is>
          <t>沪金</t>
        </is>
      </c>
      <c r="C5507" t="inlineStr">
        <is>
          <t>多</t>
        </is>
      </c>
      <c r="D5507" t="n">
        <v>2</v>
      </c>
      <c r="E5507" t="n">
        <v>5</v>
      </c>
      <c r="F5507" t="inlineStr">
        <is>
          <t>不做</t>
        </is>
      </c>
      <c r="H5507" t="n">
        <v>1058.24</v>
      </c>
      <c r="J5507" t="n">
        <v>1</v>
      </c>
      <c r="K5507" t="inlineStr">
        <is>
          <t>1手风险81999元超过预算10000元</t>
        </is>
      </c>
    </row>
    <row r="5508">
      <c r="A5508" t="inlineStr">
        <is>
          <t>2026-04-15</t>
        </is>
      </c>
      <c r="B5508" t="inlineStr">
        <is>
          <t>豆粕</t>
        </is>
      </c>
      <c r="C5508" t="inlineStr">
        <is>
          <t>空</t>
        </is>
      </c>
      <c r="D5508" t="n">
        <v>2</v>
      </c>
      <c r="E5508" t="n">
        <v>4</v>
      </c>
      <c r="F5508" t="inlineStr">
        <is>
          <t>观望</t>
        </is>
      </c>
      <c r="G5508" t="n">
        <v>9</v>
      </c>
      <c r="H5508" t="n">
        <v>2977</v>
      </c>
      <c r="I5508" t="n">
        <v>3084.14</v>
      </c>
      <c r="J5508" t="n">
        <v>1</v>
      </c>
      <c r="K5508" t="inlineStr">
        <is>
          <t>逆5日线（收盘在5日线上，不追空）</t>
        </is>
      </c>
    </row>
    <row r="5509">
      <c r="A5509" t="inlineStr">
        <is>
          <t>2026-04-16</t>
        </is>
      </c>
      <c r="B5509" t="inlineStr">
        <is>
          <t>玻璃</t>
        </is>
      </c>
      <c r="C5509" t="inlineStr">
        <is>
          <t>空</t>
        </is>
      </c>
      <c r="D5509" t="n">
        <v>3</v>
      </c>
      <c r="E5509" t="n">
        <v>7</v>
      </c>
      <c r="F5509" t="inlineStr">
        <is>
          <t>续持</t>
        </is>
      </c>
      <c r="G5509" t="n">
        <v>21</v>
      </c>
      <c r="H5509" t="n">
        <v>1062</v>
      </c>
      <c r="I5509" t="n">
        <v>1113.71</v>
      </c>
      <c r="J5509" t="n">
        <v>3</v>
      </c>
      <c r="K5509" t="inlineStr">
        <is>
          <t>续持原仓（2026-04-13开）</t>
        </is>
      </c>
    </row>
    <row r="5510">
      <c r="A5510" t="inlineStr">
        <is>
          <t>2026-04-16</t>
        </is>
      </c>
      <c r="B5510" t="inlineStr">
        <is>
          <t>菜粕</t>
        </is>
      </c>
      <c r="C5510" t="inlineStr">
        <is>
          <t>空</t>
        </is>
      </c>
      <c r="D5510" t="n">
        <v>3</v>
      </c>
      <c r="E5510" t="n">
        <v>6</v>
      </c>
      <c r="F5510" t="inlineStr">
        <is>
          <t>不做</t>
        </is>
      </c>
      <c r="H5510" t="n">
        <v>2344</v>
      </c>
      <c r="J5510" t="n">
        <v>0</v>
      </c>
      <c r="K5510" t="inlineStr">
        <is>
          <t>组合风险已近10%，预算缩小</t>
        </is>
      </c>
    </row>
    <row r="5511">
      <c r="A5511" t="inlineStr">
        <is>
          <t>2026-04-16</t>
        </is>
      </c>
      <c r="B5511" t="inlineStr">
        <is>
          <t>沪金</t>
        </is>
      </c>
      <c r="C5511" t="inlineStr">
        <is>
          <t>多</t>
        </is>
      </c>
      <c r="D5511" t="n">
        <v>3</v>
      </c>
      <c r="E5511" t="n">
        <v>6</v>
      </c>
      <c r="F5511" t="inlineStr">
        <is>
          <t>不做</t>
        </is>
      </c>
      <c r="H5511" t="n">
        <v>1061.5</v>
      </c>
      <c r="J5511" t="n">
        <v>0</v>
      </c>
      <c r="K5511" t="inlineStr">
        <is>
          <t>组合风险已近10%，预算缩小</t>
        </is>
      </c>
    </row>
    <row r="5512">
      <c r="A5512" t="inlineStr">
        <is>
          <t>2026-04-16</t>
        </is>
      </c>
      <c r="B5512" t="inlineStr">
        <is>
          <t>氧化铝</t>
        </is>
      </c>
      <c r="C5512" t="inlineStr">
        <is>
          <t>空</t>
        </is>
      </c>
      <c r="D5512" t="n">
        <v>3</v>
      </c>
      <c r="E5512" t="n">
        <v>6</v>
      </c>
      <c r="F5512" t="inlineStr">
        <is>
          <t>续持</t>
        </is>
      </c>
      <c r="G5512" t="n">
        <v>2</v>
      </c>
      <c r="H5512" t="n">
        <v>2782</v>
      </c>
      <c r="I5512" t="n">
        <v>2909.93</v>
      </c>
      <c r="J5512" t="n">
        <v>1</v>
      </c>
      <c r="K5512" t="inlineStr">
        <is>
          <t>续持原仓（2026-04-14开）</t>
        </is>
      </c>
    </row>
    <row r="5513">
      <c r="A5513" t="inlineStr">
        <is>
          <t>2026-04-16</t>
        </is>
      </c>
      <c r="B5513" t="inlineStr">
        <is>
          <t>沪镍</t>
        </is>
      </c>
      <c r="C5513" t="inlineStr">
        <is>
          <t>多</t>
        </is>
      </c>
      <c r="D5513" t="n">
        <v>3</v>
      </c>
      <c r="E5513" t="n">
        <v>6</v>
      </c>
      <c r="F5513" t="inlineStr">
        <is>
          <t>续持</t>
        </is>
      </c>
      <c r="G5513" t="n">
        <v>3</v>
      </c>
      <c r="H5513" t="n">
        <v>141900</v>
      </c>
      <c r="I5513" t="n">
        <v>135007.14</v>
      </c>
      <c r="J5513" t="n">
        <v>3</v>
      </c>
      <c r="K5513" t="inlineStr">
        <is>
          <t>续持原仓（2026-04-15开）</t>
        </is>
      </c>
    </row>
    <row r="5514">
      <c r="A5514" t="inlineStr">
        <is>
          <t>2026-04-16</t>
        </is>
      </c>
      <c r="B5514" t="inlineStr">
        <is>
          <t>豆粕</t>
        </is>
      </c>
      <c r="C5514" t="inlineStr">
        <is>
          <t>空</t>
        </is>
      </c>
      <c r="D5514" t="n">
        <v>3</v>
      </c>
      <c r="E5514" t="n">
        <v>6</v>
      </c>
      <c r="F5514" t="inlineStr">
        <is>
          <t>观望</t>
        </is>
      </c>
      <c r="H5514" t="n">
        <v>2991</v>
      </c>
      <c r="J5514" t="n">
        <v>0</v>
      </c>
      <c r="K5514" t="inlineStr">
        <is>
          <t>逆5日线（收盘在5日线上，不追空）</t>
        </is>
      </c>
    </row>
    <row r="5515">
      <c r="A5515" t="inlineStr">
        <is>
          <t>2026-04-16</t>
        </is>
      </c>
      <c r="B5515" t="inlineStr">
        <is>
          <t>沪铜</t>
        </is>
      </c>
      <c r="C5515" t="inlineStr">
        <is>
          <t>多</t>
        </is>
      </c>
      <c r="D5515" t="n">
        <v>3</v>
      </c>
      <c r="E5515" t="n">
        <v>6</v>
      </c>
      <c r="F5515" t="inlineStr">
        <is>
          <t>不做</t>
        </is>
      </c>
      <c r="H5515" t="n">
        <v>102720</v>
      </c>
      <c r="J5515" t="n">
        <v>0</v>
      </c>
      <c r="K5515" t="inlineStr">
        <is>
          <t>组合风险已近10%，预算缩小</t>
        </is>
      </c>
    </row>
    <row r="5516">
      <c r="A5516" t="inlineStr">
        <is>
          <t>2026-04-16</t>
        </is>
      </c>
      <c r="B5516" t="inlineStr">
        <is>
          <t>沪锌</t>
        </is>
      </c>
      <c r="C5516" t="inlineStr">
        <is>
          <t>多</t>
        </is>
      </c>
      <c r="D5516" t="n">
        <v>3</v>
      </c>
      <c r="E5516" t="n">
        <v>6</v>
      </c>
      <c r="F5516" t="inlineStr">
        <is>
          <t>续持</t>
        </is>
      </c>
      <c r="G5516" t="n">
        <v>1</v>
      </c>
      <c r="H5516" t="n">
        <v>23905</v>
      </c>
      <c r="I5516" t="n">
        <v>23147.14</v>
      </c>
      <c r="J5516" t="n">
        <v>1</v>
      </c>
      <c r="K5516" t="inlineStr">
        <is>
          <t>续持原仓（2026-04-08开）</t>
        </is>
      </c>
    </row>
    <row r="5517">
      <c r="A5517" t="inlineStr">
        <is>
          <t>2026-04-16</t>
        </is>
      </c>
      <c r="B5517" t="inlineStr">
        <is>
          <t>焦煤</t>
        </is>
      </c>
      <c r="C5517" t="inlineStr">
        <is>
          <t>空</t>
        </is>
      </c>
      <c r="D5517" t="n">
        <v>2</v>
      </c>
      <c r="E5517" t="n">
        <v>5</v>
      </c>
      <c r="F5517" t="inlineStr">
        <is>
          <t>观望</t>
        </is>
      </c>
      <c r="G5517" t="n">
        <v>1</v>
      </c>
      <c r="H5517" t="n">
        <v>1248</v>
      </c>
      <c r="I5517" t="n">
        <v>1356.54</v>
      </c>
      <c r="J5517" t="n">
        <v>1</v>
      </c>
      <c r="K5517" t="inlineStr">
        <is>
          <t>逆5日线（收盘在5日线上，不追空）</t>
        </is>
      </c>
    </row>
    <row r="5518">
      <c r="A5518" t="inlineStr">
        <is>
          <t>2026-04-16</t>
        </is>
      </c>
      <c r="B5518" t="inlineStr">
        <is>
          <t>硅铁</t>
        </is>
      </c>
      <c r="C5518" t="inlineStr">
        <is>
          <t>多</t>
        </is>
      </c>
      <c r="D5518" t="n">
        <v>2</v>
      </c>
      <c r="E5518" t="n">
        <v>4</v>
      </c>
      <c r="F5518" t="inlineStr">
        <is>
          <t>影子仓</t>
        </is>
      </c>
      <c r="G5518" t="n">
        <v>6</v>
      </c>
      <c r="H5518" t="n">
        <v>5726</v>
      </c>
      <c r="I5518" t="n">
        <v>5424.29</v>
      </c>
      <c r="J5518" t="n">
        <v>1</v>
      </c>
      <c r="K5518" t="inlineStr">
        <is>
          <t>凯利≤0，开1%影子仓（只统计，不计入组合）</t>
        </is>
      </c>
    </row>
    <row r="5519">
      <c r="A5519" t="inlineStr">
        <is>
          <t>2026-04-17</t>
        </is>
      </c>
      <c r="B5519" t="inlineStr">
        <is>
          <t>菜粕</t>
        </is>
      </c>
      <c r="C5519" t="inlineStr">
        <is>
          <t>空</t>
        </is>
      </c>
      <c r="D5519" t="n">
        <v>3</v>
      </c>
      <c r="E5519" t="n">
        <v>7</v>
      </c>
      <c r="F5519" t="inlineStr">
        <is>
          <t>开仓</t>
        </is>
      </c>
      <c r="G5519" t="n">
        <v>30</v>
      </c>
      <c r="H5519" t="n">
        <v>2320</v>
      </c>
      <c r="I5519" t="n">
        <v>2419</v>
      </c>
      <c r="J5519" t="n">
        <v>3</v>
      </c>
      <c r="K5519" t="inlineStr">
        <is>
          <t>¼凯利超上限，取3%</t>
        </is>
      </c>
    </row>
    <row r="5520">
      <c r="A5520" t="inlineStr">
        <is>
          <t>2026-04-17</t>
        </is>
      </c>
      <c r="B5520" t="inlineStr">
        <is>
          <t>焦煤</t>
        </is>
      </c>
      <c r="C5520" t="inlineStr">
        <is>
          <t>空</t>
        </is>
      </c>
      <c r="D5520" t="n">
        <v>3</v>
      </c>
      <c r="E5520" t="n">
        <v>7</v>
      </c>
      <c r="F5520" t="inlineStr">
        <is>
          <t>不做</t>
        </is>
      </c>
      <c r="H5520" t="n">
        <v>1226</v>
      </c>
      <c r="J5520" t="n">
        <v>0</v>
      </c>
      <c r="K5520" t="inlineStr">
        <is>
          <t>组合风险已近10%，预算缩小</t>
        </is>
      </c>
    </row>
    <row r="5521">
      <c r="A5521" t="inlineStr">
        <is>
          <t>2026-04-17</t>
        </is>
      </c>
      <c r="B5521" t="inlineStr">
        <is>
          <t>氧化铝</t>
        </is>
      </c>
      <c r="C5521" t="inlineStr">
        <is>
          <t>空</t>
        </is>
      </c>
      <c r="D5521" t="n">
        <v>3</v>
      </c>
      <c r="E5521" t="n">
        <v>7</v>
      </c>
      <c r="F5521" t="inlineStr">
        <is>
          <t>续持</t>
        </is>
      </c>
      <c r="G5521" t="n">
        <v>2</v>
      </c>
      <c r="H5521" t="n">
        <v>2772</v>
      </c>
      <c r="I5521" t="n">
        <v>2905</v>
      </c>
      <c r="J5521" t="n">
        <v>1</v>
      </c>
      <c r="K5521" t="inlineStr">
        <is>
          <t>续持原仓（2026-04-14开）</t>
        </is>
      </c>
    </row>
    <row r="5522">
      <c r="A5522" t="inlineStr">
        <is>
          <t>2026-04-17</t>
        </is>
      </c>
      <c r="B5522" t="inlineStr">
        <is>
          <t>碳酸锂</t>
        </is>
      </c>
      <c r="C5522" t="inlineStr">
        <is>
          <t>多</t>
        </is>
      </c>
      <c r="D5522" t="n">
        <v>3</v>
      </c>
      <c r="E5522" t="n">
        <v>7</v>
      </c>
      <c r="F5522" t="inlineStr">
        <is>
          <t>不做</t>
        </is>
      </c>
      <c r="H5522" t="n">
        <v>177560</v>
      </c>
      <c r="J5522" t="n">
        <v>0</v>
      </c>
      <c r="K5522" t="inlineStr">
        <is>
          <t>组合风险已近10%，预算缩小</t>
        </is>
      </c>
    </row>
    <row r="5523">
      <c r="A5523" t="inlineStr">
        <is>
          <t>2026-04-17</t>
        </is>
      </c>
      <c r="B5523" t="inlineStr">
        <is>
          <t>白糖</t>
        </is>
      </c>
      <c r="C5523" t="inlineStr">
        <is>
          <t>空</t>
        </is>
      </c>
      <c r="D5523" t="n">
        <v>3</v>
      </c>
      <c r="E5523" t="n">
        <v>7</v>
      </c>
      <c r="F5523" t="inlineStr">
        <is>
          <t>观望</t>
        </is>
      </c>
      <c r="H5523" t="n">
        <v>5352</v>
      </c>
      <c r="J5523" t="n">
        <v>0</v>
      </c>
      <c r="K5523" t="inlineStr">
        <is>
          <t>逆5日线（收盘在5日线上，不追空）</t>
        </is>
      </c>
    </row>
    <row r="5524">
      <c r="A5524" t="inlineStr">
        <is>
          <t>2026-04-17</t>
        </is>
      </c>
      <c r="B5524" t="inlineStr">
        <is>
          <t>沪镍</t>
        </is>
      </c>
      <c r="C5524" t="inlineStr">
        <is>
          <t>多</t>
        </is>
      </c>
      <c r="D5524" t="n">
        <v>3</v>
      </c>
      <c r="E5524" t="n">
        <v>6</v>
      </c>
      <c r="F5524" t="inlineStr">
        <is>
          <t>续持</t>
        </is>
      </c>
      <c r="G5524" t="n">
        <v>3</v>
      </c>
      <c r="H5524" t="n">
        <v>144240</v>
      </c>
      <c r="I5524" t="n">
        <v>137586.43</v>
      </c>
      <c r="J5524" t="n">
        <v>3</v>
      </c>
      <c r="K5524" t="inlineStr">
        <is>
          <t>续持原仓（2026-04-15开）</t>
        </is>
      </c>
    </row>
    <row r="5525">
      <c r="A5525" t="inlineStr">
        <is>
          <t>2026-04-17</t>
        </is>
      </c>
      <c r="B5525" t="inlineStr">
        <is>
          <t>沪锌</t>
        </is>
      </c>
      <c r="C5525" t="inlineStr">
        <is>
          <t>多</t>
        </is>
      </c>
      <c r="D5525" t="n">
        <v>3</v>
      </c>
      <c r="E5525" t="n">
        <v>6</v>
      </c>
      <c r="F5525" t="inlineStr">
        <is>
          <t>续持</t>
        </is>
      </c>
      <c r="G5525" t="n">
        <v>1</v>
      </c>
      <c r="H5525" t="n">
        <v>24020</v>
      </c>
      <c r="I5525" t="n">
        <v>23252.5</v>
      </c>
      <c r="J5525" t="n">
        <v>1</v>
      </c>
      <c r="K5525" t="inlineStr">
        <is>
          <t>续持原仓（2026-04-08开）</t>
        </is>
      </c>
    </row>
    <row r="5526">
      <c r="A5526" t="inlineStr">
        <is>
          <t>2026-04-17</t>
        </is>
      </c>
      <c r="B5526" t="inlineStr">
        <is>
          <t>豆粕</t>
        </is>
      </c>
      <c r="C5526" t="inlineStr">
        <is>
          <t>空</t>
        </is>
      </c>
      <c r="D5526" t="n">
        <v>3</v>
      </c>
      <c r="E5526" t="n">
        <v>6</v>
      </c>
      <c r="F5526" t="inlineStr">
        <is>
          <t>续持</t>
        </is>
      </c>
      <c r="G5526" t="n">
        <v>5</v>
      </c>
      <c r="H5526" t="n">
        <v>2958</v>
      </c>
      <c r="I5526" t="n">
        <v>3040.36</v>
      </c>
      <c r="J5526" t="n">
        <v>1</v>
      </c>
      <c r="K5526" t="inlineStr">
        <is>
          <t>续持原仓（2026-04-01开）</t>
        </is>
      </c>
    </row>
    <row r="5527">
      <c r="A5527" t="inlineStr">
        <is>
          <t>2026-04-17</t>
        </is>
      </c>
      <c r="B5527" t="inlineStr">
        <is>
          <t>沪金</t>
        </is>
      </c>
      <c r="C5527" t="inlineStr">
        <is>
          <t>多</t>
        </is>
      </c>
      <c r="D5527" t="n">
        <v>2</v>
      </c>
      <c r="E5527" t="n">
        <v>5</v>
      </c>
      <c r="F5527" t="inlineStr">
        <is>
          <t>不做</t>
        </is>
      </c>
      <c r="H5527" t="n">
        <v>1054.02</v>
      </c>
      <c r="J5527" t="n">
        <v>1</v>
      </c>
      <c r="K5527" t="inlineStr">
        <is>
          <t>1手风险73980元超过预算10000元</t>
        </is>
      </c>
    </row>
    <row r="5528">
      <c r="A5528" t="inlineStr">
        <is>
          <t>2026-04-17</t>
        </is>
      </c>
      <c r="B5528" t="inlineStr">
        <is>
          <t>沪铝</t>
        </is>
      </c>
      <c r="C5528" t="inlineStr">
        <is>
          <t>多</t>
        </is>
      </c>
      <c r="D5528" t="n">
        <v>2</v>
      </c>
      <c r="E5528" t="n">
        <v>5</v>
      </c>
      <c r="F5528" t="inlineStr">
        <is>
          <t>影子仓</t>
        </is>
      </c>
      <c r="G5528" t="n">
        <v>1</v>
      </c>
      <c r="H5528" t="n">
        <v>25520</v>
      </c>
      <c r="I5528" t="n">
        <v>24283.57</v>
      </c>
      <c r="J5528" t="n">
        <v>1</v>
      </c>
      <c r="K5528" t="inlineStr">
        <is>
          <t>凯利≤0，开1%影子仓（只统计，不计入组合）</t>
        </is>
      </c>
    </row>
    <row r="5529">
      <c r="A5529" t="inlineStr">
        <is>
          <t>2026-04-20</t>
        </is>
      </c>
      <c r="B5529" t="inlineStr">
        <is>
          <t>碳酸锂</t>
        </is>
      </c>
      <c r="C5529" t="inlineStr">
        <is>
          <t>多</t>
        </is>
      </c>
      <c r="D5529" t="n">
        <v>3</v>
      </c>
      <c r="E5529" t="n">
        <v>7</v>
      </c>
      <c r="F5529" t="inlineStr">
        <is>
          <t>开仓</t>
        </is>
      </c>
      <c r="G5529" t="n">
        <v>1</v>
      </c>
      <c r="H5529" t="n">
        <v>180200</v>
      </c>
      <c r="I5529" t="n">
        <v>156980</v>
      </c>
      <c r="J5529" t="n">
        <v>3</v>
      </c>
      <c r="K5529" t="inlineStr">
        <is>
          <t>¼凯利超上限，取3%</t>
        </is>
      </c>
    </row>
    <row r="5530">
      <c r="A5530" t="inlineStr">
        <is>
          <t>2026-04-20</t>
        </is>
      </c>
      <c r="B5530" t="inlineStr">
        <is>
          <t>白糖</t>
        </is>
      </c>
      <c r="C5530" t="inlineStr">
        <is>
          <t>空</t>
        </is>
      </c>
      <c r="D5530" t="n">
        <v>3</v>
      </c>
      <c r="E5530" t="n">
        <v>6</v>
      </c>
      <c r="F5530" t="inlineStr">
        <is>
          <t>开仓</t>
        </is>
      </c>
      <c r="G5530" t="n">
        <v>17</v>
      </c>
      <c r="H5530" t="n">
        <v>5321</v>
      </c>
      <c r="I5530" t="n">
        <v>5487.71</v>
      </c>
      <c r="J5530" t="n">
        <v>3</v>
      </c>
      <c r="K5530" t="inlineStr">
        <is>
          <t>¼凯利超上限，取3%</t>
        </is>
      </c>
    </row>
    <row r="5531">
      <c r="A5531" t="inlineStr">
        <is>
          <t>2026-04-20</t>
        </is>
      </c>
      <c r="B5531" t="inlineStr">
        <is>
          <t>沪金</t>
        </is>
      </c>
      <c r="C5531" t="inlineStr">
        <is>
          <t>多</t>
        </is>
      </c>
      <c r="D5531" t="n">
        <v>3</v>
      </c>
      <c r="E5531" t="n">
        <v>6</v>
      </c>
      <c r="F5531" t="inlineStr">
        <is>
          <t>观望</t>
        </is>
      </c>
      <c r="H5531" t="n">
        <v>1054.96</v>
      </c>
      <c r="J5531" t="n">
        <v>1</v>
      </c>
      <c r="K5531" t="inlineStr">
        <is>
          <t>逆5日线（收盘在5日线下，不追多）</t>
        </is>
      </c>
    </row>
    <row r="5532">
      <c r="A5532" t="inlineStr">
        <is>
          <t>2026-04-20</t>
        </is>
      </c>
      <c r="B5532" t="inlineStr">
        <is>
          <t>沪铜</t>
        </is>
      </c>
      <c r="C5532" t="inlineStr">
        <is>
          <t>多</t>
        </is>
      </c>
      <c r="D5532" t="n">
        <v>3</v>
      </c>
      <c r="E5532" t="n">
        <v>6</v>
      </c>
      <c r="F5532" t="inlineStr">
        <is>
          <t>不做</t>
        </is>
      </c>
      <c r="H5532" t="n">
        <v>102620</v>
      </c>
      <c r="J5532" t="n">
        <v>1</v>
      </c>
      <c r="K5532" t="inlineStr">
        <is>
          <t>1手风险21857元超过预算10000元</t>
        </is>
      </c>
    </row>
    <row r="5533">
      <c r="A5533" t="inlineStr">
        <is>
          <t>2026-04-20</t>
        </is>
      </c>
      <c r="B5533" t="inlineStr">
        <is>
          <t>玉米</t>
        </is>
      </c>
      <c r="C5533" t="inlineStr">
        <is>
          <t>多</t>
        </is>
      </c>
      <c r="D5533" t="n">
        <v>3</v>
      </c>
      <c r="E5533" t="n">
        <v>6</v>
      </c>
      <c r="F5533" t="inlineStr">
        <is>
          <t>开仓</t>
        </is>
      </c>
      <c r="G5533" t="n">
        <v>19</v>
      </c>
      <c r="H5533" t="n">
        <v>2414</v>
      </c>
      <c r="I5533" t="n">
        <v>2362.14</v>
      </c>
      <c r="J5533" t="n">
        <v>1</v>
      </c>
      <c r="K5533" t="inlineStr">
        <is>
          <t>组合风险已近10%，预算缩小</t>
        </is>
      </c>
    </row>
    <row r="5534">
      <c r="A5534" t="inlineStr">
        <is>
          <t>2026-04-20</t>
        </is>
      </c>
      <c r="B5534" t="inlineStr">
        <is>
          <t>菜粕</t>
        </is>
      </c>
      <c r="C5534" t="inlineStr">
        <is>
          <t>空</t>
        </is>
      </c>
      <c r="D5534" t="n">
        <v>2</v>
      </c>
      <c r="E5534" t="n">
        <v>5</v>
      </c>
      <c r="F5534" t="inlineStr">
        <is>
          <t>续持</t>
        </is>
      </c>
      <c r="G5534" t="n">
        <v>30</v>
      </c>
      <c r="H5534" t="n">
        <v>2336</v>
      </c>
      <c r="I5534" t="n">
        <v>2395.79</v>
      </c>
      <c r="J5534" t="n">
        <v>3</v>
      </c>
      <c r="K5534" t="inlineStr">
        <is>
          <t>续持原仓（2026-04-17开）</t>
        </is>
      </c>
    </row>
    <row r="5535">
      <c r="A5535" t="inlineStr">
        <is>
          <t>2026-04-20</t>
        </is>
      </c>
      <c r="B5535" t="inlineStr">
        <is>
          <t>豆粕</t>
        </is>
      </c>
      <c r="C5535" t="inlineStr">
        <is>
          <t>空</t>
        </is>
      </c>
      <c r="D5535" t="n">
        <v>2</v>
      </c>
      <c r="E5535" t="n">
        <v>5</v>
      </c>
      <c r="F5535" t="inlineStr">
        <is>
          <t>续持</t>
        </is>
      </c>
      <c r="G5535" t="n">
        <v>5</v>
      </c>
      <c r="H5535" t="n">
        <v>2967</v>
      </c>
      <c r="I5535" t="n">
        <v>3035.86</v>
      </c>
      <c r="J5535" t="n">
        <v>1</v>
      </c>
      <c r="K5535" t="inlineStr">
        <is>
          <t>续持原仓（2026-04-01开）</t>
        </is>
      </c>
    </row>
    <row r="5536">
      <c r="A5536" t="inlineStr">
        <is>
          <t>2026-04-20</t>
        </is>
      </c>
      <c r="B5536" t="inlineStr">
        <is>
          <t>锰硅</t>
        </is>
      </c>
      <c r="C5536" t="inlineStr">
        <is>
          <t>空</t>
        </is>
      </c>
      <c r="D5536" t="n">
        <v>2</v>
      </c>
      <c r="E5536" t="n">
        <v>5</v>
      </c>
      <c r="F5536" t="inlineStr">
        <is>
          <t>影子仓</t>
        </is>
      </c>
      <c r="G5536" t="n">
        <v>5</v>
      </c>
      <c r="H5536" t="n">
        <v>6200</v>
      </c>
      <c r="I5536" t="n">
        <v>6533.43</v>
      </c>
      <c r="J5536" t="n">
        <v>1</v>
      </c>
      <c r="K5536" t="inlineStr">
        <is>
          <t>凯利≤0，开1%影子仓（只统计，不计入组合）</t>
        </is>
      </c>
    </row>
    <row r="5537">
      <c r="A5537" t="inlineStr">
        <is>
          <t>2026-04-20</t>
        </is>
      </c>
      <c r="B5537" t="inlineStr">
        <is>
          <t>沪银</t>
        </is>
      </c>
      <c r="C5537" t="inlineStr">
        <is>
          <t>多</t>
        </is>
      </c>
      <c r="D5537" t="n">
        <v>2</v>
      </c>
      <c r="E5537" t="n">
        <v>5</v>
      </c>
      <c r="F5537" t="inlineStr">
        <is>
          <t>不做</t>
        </is>
      </c>
      <c r="H5537" t="n">
        <v>19853</v>
      </c>
      <c r="J5537" t="n">
        <v>1</v>
      </c>
      <c r="K5537" t="inlineStr">
        <is>
          <t>1手风险43126元超过预算10000元</t>
        </is>
      </c>
    </row>
    <row r="5538">
      <c r="A5538" t="inlineStr">
        <is>
          <t>2026-04-20</t>
        </is>
      </c>
      <c r="B5538" t="inlineStr">
        <is>
          <t>PVC</t>
        </is>
      </c>
      <c r="C5538" t="inlineStr">
        <is>
          <t>空</t>
        </is>
      </c>
      <c r="D5538" t="n">
        <v>2</v>
      </c>
      <c r="E5538" t="n">
        <v>4</v>
      </c>
      <c r="F5538" t="inlineStr">
        <is>
          <t>观望</t>
        </is>
      </c>
      <c r="G5538" t="n">
        <v>3</v>
      </c>
      <c r="H5538" t="n">
        <v>5147</v>
      </c>
      <c r="I5538" t="n">
        <v>5705.21</v>
      </c>
      <c r="J5538" t="n">
        <v>1</v>
      </c>
      <c r="K5538" t="inlineStr">
        <is>
          <t>逆5日线（收盘在5日线上，不追空）</t>
        </is>
      </c>
    </row>
    <row r="5539">
      <c r="A5539" t="inlineStr">
        <is>
          <t>2026-04-21</t>
        </is>
      </c>
      <c r="B5539" t="inlineStr">
        <is>
          <t>PVC</t>
        </is>
      </c>
      <c r="C5539" t="inlineStr">
        <is>
          <t>空</t>
        </is>
      </c>
      <c r="D5539" t="n">
        <v>3</v>
      </c>
      <c r="E5539" t="n">
        <v>6</v>
      </c>
      <c r="F5539" t="inlineStr">
        <is>
          <t>观望</t>
        </is>
      </c>
      <c r="H5539" t="n">
        <v>5134</v>
      </c>
      <c r="J5539" t="n">
        <v>0</v>
      </c>
      <c r="K5539" t="inlineStr">
        <is>
          <t>逆5日线（收盘在5日线上，不追空）</t>
        </is>
      </c>
    </row>
    <row r="5540">
      <c r="A5540" t="inlineStr">
        <is>
          <t>2026-04-21</t>
        </is>
      </c>
      <c r="B5540" t="inlineStr">
        <is>
          <t>玉米</t>
        </is>
      </c>
      <c r="C5540" t="inlineStr">
        <is>
          <t>多</t>
        </is>
      </c>
      <c r="D5540" t="n">
        <v>3</v>
      </c>
      <c r="E5540" t="n">
        <v>6</v>
      </c>
      <c r="F5540" t="inlineStr">
        <is>
          <t>续持</t>
        </is>
      </c>
      <c r="G5540" t="n">
        <v>19</v>
      </c>
      <c r="H5540" t="n">
        <v>2432</v>
      </c>
      <c r="I5540" t="n">
        <v>2382.14</v>
      </c>
      <c r="J5540" t="n">
        <v>1</v>
      </c>
      <c r="K5540" t="inlineStr">
        <is>
          <t>续持原仓（2026-04-20开）</t>
        </is>
      </c>
    </row>
    <row r="5541">
      <c r="A5541" t="inlineStr">
        <is>
          <t>2026-04-21</t>
        </is>
      </c>
      <c r="B5541" t="inlineStr">
        <is>
          <t>菜粕</t>
        </is>
      </c>
      <c r="C5541" t="inlineStr">
        <is>
          <t>空</t>
        </is>
      </c>
      <c r="D5541" t="n">
        <v>2</v>
      </c>
      <c r="E5541" t="n">
        <v>5</v>
      </c>
      <c r="F5541" t="inlineStr">
        <is>
          <t>观望</t>
        </is>
      </c>
      <c r="G5541" t="n">
        <v>10</v>
      </c>
      <c r="H5541" t="n">
        <v>2356</v>
      </c>
      <c r="I5541" t="n">
        <v>2454.79</v>
      </c>
      <c r="J5541" t="n">
        <v>1</v>
      </c>
      <c r="K5541" t="inlineStr">
        <is>
          <t>逆5日线（收盘在5日线上，不追空）</t>
        </is>
      </c>
    </row>
    <row r="5542">
      <c r="A5542" t="inlineStr">
        <is>
          <t>2026-04-21</t>
        </is>
      </c>
      <c r="B5542" t="inlineStr">
        <is>
          <t>沪锌</t>
        </is>
      </c>
      <c r="C5542" t="inlineStr">
        <is>
          <t>多</t>
        </is>
      </c>
      <c r="D5542" t="n">
        <v>2</v>
      </c>
      <c r="E5542" t="n">
        <v>5</v>
      </c>
      <c r="F5542" t="inlineStr">
        <is>
          <t>影子仓</t>
        </is>
      </c>
      <c r="G5542" t="n">
        <v>2</v>
      </c>
      <c r="H5542" t="n">
        <v>24115</v>
      </c>
      <c r="I5542" t="n">
        <v>23308.21</v>
      </c>
      <c r="J5542" t="n">
        <v>1</v>
      </c>
      <c r="K5542" t="inlineStr">
        <is>
          <t>凯利≤0，开1%影子仓（只统计，不计入组合）</t>
        </is>
      </c>
    </row>
    <row r="5543">
      <c r="A5543" t="inlineStr">
        <is>
          <t>2026-04-21</t>
        </is>
      </c>
      <c r="B5543" t="inlineStr">
        <is>
          <t>沪铜</t>
        </is>
      </c>
      <c r="C5543" t="inlineStr">
        <is>
          <t>多</t>
        </is>
      </c>
      <c r="D5543" t="n">
        <v>2</v>
      </c>
      <c r="E5543" t="n">
        <v>5</v>
      </c>
      <c r="F5543" t="inlineStr">
        <is>
          <t>观望</t>
        </is>
      </c>
      <c r="H5543" t="n">
        <v>102140</v>
      </c>
      <c r="J5543" t="n">
        <v>1</v>
      </c>
      <c r="K5543" t="inlineStr">
        <is>
          <t>逆5日线（收盘在5日线下，不追多）</t>
        </is>
      </c>
    </row>
    <row r="5544">
      <c r="A5544" t="inlineStr">
        <is>
          <t>2026-04-21</t>
        </is>
      </c>
      <c r="B5544" t="inlineStr">
        <is>
          <t>沪银</t>
        </is>
      </c>
      <c r="C5544" t="inlineStr">
        <is>
          <t>多</t>
        </is>
      </c>
      <c r="D5544" t="n">
        <v>2</v>
      </c>
      <c r="E5544" t="n">
        <v>5</v>
      </c>
      <c r="F5544" t="inlineStr">
        <is>
          <t>观望</t>
        </is>
      </c>
      <c r="H5544" t="n">
        <v>19653</v>
      </c>
      <c r="J5544" t="n">
        <v>1</v>
      </c>
      <c r="K5544" t="inlineStr">
        <is>
          <t>逆5日线（收盘在5日线下，不追多）</t>
        </is>
      </c>
    </row>
    <row r="5545">
      <c r="A5545" t="inlineStr">
        <is>
          <t>2026-04-21</t>
        </is>
      </c>
      <c r="B5545" t="inlineStr">
        <is>
          <t>碳酸锂</t>
        </is>
      </c>
      <c r="C5545" t="inlineStr">
        <is>
          <t>多</t>
        </is>
      </c>
      <c r="D5545" t="n">
        <v>2</v>
      </c>
      <c r="E5545" t="n">
        <v>4</v>
      </c>
      <c r="F5545" t="inlineStr">
        <is>
          <t>观望</t>
        </is>
      </c>
      <c r="H5545" t="n">
        <v>174260</v>
      </c>
      <c r="J5545" t="n">
        <v>1</v>
      </c>
      <c r="K5545" t="inlineStr">
        <is>
          <t>逆5日线（收盘在5日线下，不追多）</t>
        </is>
      </c>
    </row>
    <row r="5546">
      <c r="A5546" t="inlineStr">
        <is>
          <t>2026-04-22</t>
        </is>
      </c>
      <c r="B5546" t="inlineStr">
        <is>
          <t>沪铜</t>
        </is>
      </c>
      <c r="C5546" t="inlineStr">
        <is>
          <t>多</t>
        </is>
      </c>
      <c r="D5546" t="n">
        <v>3</v>
      </c>
      <c r="E5546" t="n">
        <v>6</v>
      </c>
      <c r="F5546" t="inlineStr">
        <is>
          <t>开仓</t>
        </is>
      </c>
      <c r="G5546" t="n">
        <v>1</v>
      </c>
      <c r="H5546" t="n">
        <v>102640</v>
      </c>
      <c r="I5546" t="n">
        <v>98557.86</v>
      </c>
      <c r="J5546" t="n">
        <v>3</v>
      </c>
      <c r="K5546" t="inlineStr">
        <is>
          <t>¼凯利超上限，取3%</t>
        </is>
      </c>
    </row>
    <row r="5547">
      <c r="A5547" t="inlineStr">
        <is>
          <t>2026-04-22</t>
        </is>
      </c>
      <c r="B5547" t="inlineStr">
        <is>
          <t>沪银</t>
        </is>
      </c>
      <c r="C5547" t="inlineStr">
        <is>
          <t>多</t>
        </is>
      </c>
      <c r="D5547" t="n">
        <v>3</v>
      </c>
      <c r="E5547" t="n">
        <v>6</v>
      </c>
      <c r="F5547" t="inlineStr">
        <is>
          <t>观望</t>
        </is>
      </c>
      <c r="H5547" t="n">
        <v>19586</v>
      </c>
      <c r="J5547" t="n">
        <v>0</v>
      </c>
      <c r="K5547" t="inlineStr">
        <is>
          <t>逆5日线（收盘在5日线下，不追多）</t>
        </is>
      </c>
    </row>
    <row r="5548">
      <c r="A5548" t="inlineStr">
        <is>
          <t>2026-04-22</t>
        </is>
      </c>
      <c r="B5548" t="inlineStr">
        <is>
          <t>碳酸锂</t>
        </is>
      </c>
      <c r="C5548" t="inlineStr">
        <is>
          <t>多</t>
        </is>
      </c>
      <c r="D5548" t="n">
        <v>2</v>
      </c>
      <c r="E5548" t="n">
        <v>5</v>
      </c>
      <c r="F5548" t="inlineStr">
        <is>
          <t>观望</t>
        </is>
      </c>
      <c r="H5548" t="n">
        <v>175240</v>
      </c>
      <c r="J5548" t="n">
        <v>1</v>
      </c>
      <c r="K5548" t="inlineStr">
        <is>
          <t>逆5日线（收盘在5日线下，不追多）</t>
        </is>
      </c>
    </row>
    <row r="5549">
      <c r="A5549" t="inlineStr">
        <is>
          <t>2026-04-22</t>
        </is>
      </c>
      <c r="B5549" t="inlineStr">
        <is>
          <t>锰硅</t>
        </is>
      </c>
      <c r="C5549" t="inlineStr">
        <is>
          <t>空</t>
        </is>
      </c>
      <c r="D5549" t="n">
        <v>2</v>
      </c>
      <c r="E5549" t="n">
        <v>5</v>
      </c>
      <c r="F5549" t="inlineStr">
        <is>
          <t>影子仓</t>
        </is>
      </c>
      <c r="G5549" t="n">
        <v>6</v>
      </c>
      <c r="H5549" t="n">
        <v>6200</v>
      </c>
      <c r="I5549" t="n">
        <v>6493.14</v>
      </c>
      <c r="J5549" t="n">
        <v>1</v>
      </c>
      <c r="K5549" t="inlineStr">
        <is>
          <t>凯利≤0，开1%影子仓（只统计，不计入组合）</t>
        </is>
      </c>
    </row>
    <row r="5550">
      <c r="A5550" t="inlineStr">
        <is>
          <t>2026-04-22</t>
        </is>
      </c>
      <c r="B5550" t="inlineStr">
        <is>
          <t>棉花</t>
        </is>
      </c>
      <c r="C5550" t="inlineStr">
        <is>
          <t>多</t>
        </is>
      </c>
      <c r="D5550" t="n">
        <v>2</v>
      </c>
      <c r="E5550" t="n">
        <v>5</v>
      </c>
      <c r="F5550" t="inlineStr">
        <is>
          <t>影子仓</t>
        </is>
      </c>
      <c r="G5550" t="n">
        <v>2</v>
      </c>
      <c r="H5550" t="n">
        <v>16230</v>
      </c>
      <c r="I5550" t="n">
        <v>15504.64</v>
      </c>
      <c r="J5550" t="n">
        <v>1</v>
      </c>
      <c r="K5550" t="inlineStr">
        <is>
          <t>凯利≤0，开1%影子仓（只统计，不计入组合）</t>
        </is>
      </c>
    </row>
    <row r="5551">
      <c r="A5551" t="inlineStr">
        <is>
          <t>2026-04-22</t>
        </is>
      </c>
      <c r="B5551" t="inlineStr">
        <is>
          <t>PTA</t>
        </is>
      </c>
      <c r="C5551" t="inlineStr">
        <is>
          <t>多</t>
        </is>
      </c>
      <c r="D5551" t="n">
        <v>2</v>
      </c>
      <c r="E5551" t="n">
        <v>4</v>
      </c>
      <c r="F5551" t="inlineStr">
        <is>
          <t>影子仓</t>
        </is>
      </c>
      <c r="G5551" t="n">
        <v>2</v>
      </c>
      <c r="H5551" t="n">
        <v>6370</v>
      </c>
      <c r="I5551" t="n">
        <v>5405.29</v>
      </c>
      <c r="J5551" t="n">
        <v>1</v>
      </c>
      <c r="K5551" t="inlineStr">
        <is>
          <t>凯利≤0，开1%影子仓（只统计，不计入组合）</t>
        </is>
      </c>
    </row>
    <row r="5552">
      <c r="A5552" t="inlineStr">
        <is>
          <t>2026-04-23</t>
        </is>
      </c>
      <c r="B5552" t="inlineStr">
        <is>
          <t>沪锌</t>
        </is>
      </c>
      <c r="C5552" t="inlineStr">
        <is>
          <t>多</t>
        </is>
      </c>
      <c r="D5552" t="n">
        <v>3</v>
      </c>
      <c r="E5552" t="n">
        <v>7</v>
      </c>
      <c r="F5552" t="inlineStr">
        <is>
          <t>不做</t>
        </is>
      </c>
      <c r="H5552" t="n">
        <v>24340</v>
      </c>
      <c r="J5552" t="n">
        <v>0</v>
      </c>
      <c r="K5552" t="inlineStr">
        <is>
          <t>有色板块同方向已近6%，预算缩小</t>
        </is>
      </c>
    </row>
    <row r="5553">
      <c r="A5553" t="inlineStr">
        <is>
          <t>2026-04-23</t>
        </is>
      </c>
      <c r="B5553" t="inlineStr">
        <is>
          <t>棉花</t>
        </is>
      </c>
      <c r="C5553" t="inlineStr">
        <is>
          <t>多</t>
        </is>
      </c>
      <c r="D5553" t="n">
        <v>3</v>
      </c>
      <c r="E5553" t="n">
        <v>7</v>
      </c>
      <c r="F5553" t="inlineStr">
        <is>
          <t>续持</t>
        </is>
      </c>
      <c r="G5553" t="n">
        <v>2</v>
      </c>
      <c r="H5553" t="n">
        <v>16285</v>
      </c>
      <c r="I5553" t="n">
        <v>15681.07</v>
      </c>
      <c r="J5553" t="n">
        <v>1</v>
      </c>
      <c r="K5553" t="inlineStr">
        <is>
          <t>续持原仓（2026-04-22开）</t>
        </is>
      </c>
    </row>
    <row r="5554">
      <c r="A5554" t="inlineStr">
        <is>
          <t>2026-04-23</t>
        </is>
      </c>
      <c r="B5554" t="inlineStr">
        <is>
          <t>碳酸锂</t>
        </is>
      </c>
      <c r="C5554" t="inlineStr">
        <is>
          <t>多</t>
        </is>
      </c>
      <c r="D5554" t="n">
        <v>3</v>
      </c>
      <c r="E5554" t="n">
        <v>6</v>
      </c>
      <c r="F5554" t="inlineStr">
        <is>
          <t>续持</t>
        </is>
      </c>
      <c r="G5554" t="n">
        <v>1</v>
      </c>
      <c r="H5554" t="n">
        <v>177960</v>
      </c>
      <c r="I5554" t="n">
        <v>159600</v>
      </c>
      <c r="J5554" t="n">
        <v>3</v>
      </c>
      <c r="K5554" t="inlineStr">
        <is>
          <t>续持原仓（2026-04-20开）</t>
        </is>
      </c>
    </row>
    <row r="5555">
      <c r="A5555" t="inlineStr">
        <is>
          <t>2026-04-23</t>
        </is>
      </c>
      <c r="B5555" t="inlineStr">
        <is>
          <t>沪铜</t>
        </is>
      </c>
      <c r="C5555" t="inlineStr">
        <is>
          <t>多</t>
        </is>
      </c>
      <c r="D5555" t="n">
        <v>3</v>
      </c>
      <c r="E5555" t="n">
        <v>6</v>
      </c>
      <c r="F5555" t="inlineStr">
        <is>
          <t>续持</t>
        </is>
      </c>
      <c r="G5555" t="n">
        <v>1</v>
      </c>
      <c r="H5555" t="n">
        <v>102780</v>
      </c>
      <c r="I5555" t="n">
        <v>99964.28999999999</v>
      </c>
      <c r="J5555" t="n">
        <v>3</v>
      </c>
      <c r="K5555" t="inlineStr">
        <is>
          <t>续持原仓（2026-04-22开）</t>
        </is>
      </c>
    </row>
    <row r="5556">
      <c r="A5556" t="inlineStr">
        <is>
          <t>2026-04-23</t>
        </is>
      </c>
      <c r="B5556" t="inlineStr">
        <is>
          <t>乙二醇</t>
        </is>
      </c>
      <c r="C5556" t="inlineStr">
        <is>
          <t>多</t>
        </is>
      </c>
      <c r="D5556" t="n">
        <v>2</v>
      </c>
      <c r="E5556" t="n">
        <v>5</v>
      </c>
      <c r="F5556" t="inlineStr">
        <is>
          <t>影子仓</t>
        </is>
      </c>
      <c r="G5556" t="n">
        <v>1</v>
      </c>
      <c r="H5556" t="n">
        <v>4842</v>
      </c>
      <c r="I5556" t="n">
        <v>3995.14</v>
      </c>
      <c r="J5556" t="n">
        <v>1</v>
      </c>
      <c r="K5556" t="inlineStr">
        <is>
          <t>凯利≤0，开1%影子仓（只统计，不计入组合）</t>
        </is>
      </c>
    </row>
    <row r="5557">
      <c r="A5557" t="inlineStr">
        <is>
          <t>2026-04-24</t>
        </is>
      </c>
      <c r="B5557" t="inlineStr">
        <is>
          <t>玻璃</t>
        </is>
      </c>
      <c r="C5557" t="inlineStr">
        <is>
          <t>空</t>
        </is>
      </c>
      <c r="D5557" t="n">
        <v>3</v>
      </c>
      <c r="E5557" t="n">
        <v>6</v>
      </c>
      <c r="F5557" t="inlineStr">
        <is>
          <t>开仓</t>
        </is>
      </c>
      <c r="G5557" t="n">
        <v>8</v>
      </c>
      <c r="H5557" t="n">
        <v>1079</v>
      </c>
      <c r="I5557" t="n">
        <v>1141.14</v>
      </c>
      <c r="J5557" t="n">
        <v>1</v>
      </c>
      <c r="K5557" t="inlineStr">
        <is>
          <t>组合风险已近10%，预算缩小</t>
        </is>
      </c>
    </row>
    <row r="5558">
      <c r="A5558" t="inlineStr">
        <is>
          <t>2026-04-24</t>
        </is>
      </c>
      <c r="B5558" t="inlineStr">
        <is>
          <t>碳酸锂</t>
        </is>
      </c>
      <c r="C5558" t="inlineStr">
        <is>
          <t>多</t>
        </is>
      </c>
      <c r="D5558" t="n">
        <v>3</v>
      </c>
      <c r="E5558" t="n">
        <v>6</v>
      </c>
      <c r="F5558" t="inlineStr">
        <is>
          <t>续持</t>
        </is>
      </c>
      <c r="G5558" t="n">
        <v>1</v>
      </c>
      <c r="H5558" t="n">
        <v>177900</v>
      </c>
      <c r="I5558" t="n">
        <v>159690</v>
      </c>
      <c r="J5558" t="n">
        <v>3</v>
      </c>
      <c r="K5558" t="inlineStr">
        <is>
          <t>续持原仓（2026-04-20开）</t>
        </is>
      </c>
    </row>
    <row r="5559">
      <c r="A5559" t="inlineStr">
        <is>
          <t>2026-04-24</t>
        </is>
      </c>
      <c r="B5559" t="inlineStr">
        <is>
          <t>玉米淀粉</t>
        </is>
      </c>
      <c r="C5559" t="inlineStr">
        <is>
          <t>多</t>
        </is>
      </c>
      <c r="D5559" t="n">
        <v>3</v>
      </c>
      <c r="E5559" t="n">
        <v>6</v>
      </c>
      <c r="F5559" t="inlineStr">
        <is>
          <t>观望</t>
        </is>
      </c>
      <c r="H5559" t="n">
        <v>2793</v>
      </c>
      <c r="J5559" t="n">
        <v>0</v>
      </c>
      <c r="K5559" t="inlineStr">
        <is>
          <t>逆5日线（收盘在5日线下，不追多）</t>
        </is>
      </c>
    </row>
    <row r="5560">
      <c r="A5560" t="inlineStr">
        <is>
          <t>2026-04-24</t>
        </is>
      </c>
      <c r="B5560" t="inlineStr">
        <is>
          <t>沪锌</t>
        </is>
      </c>
      <c r="C5560" t="inlineStr">
        <is>
          <t>多</t>
        </is>
      </c>
      <c r="D5560" t="n">
        <v>2</v>
      </c>
      <c r="E5560" t="n">
        <v>5</v>
      </c>
      <c r="F5560" t="inlineStr">
        <is>
          <t>观望</t>
        </is>
      </c>
      <c r="G5560" t="n">
        <v>2</v>
      </c>
      <c r="H5560" t="n">
        <v>24225</v>
      </c>
      <c r="I5560" t="n">
        <v>23473.93</v>
      </c>
      <c r="J5560" t="n">
        <v>1</v>
      </c>
      <c r="K5560" t="inlineStr">
        <is>
          <t>逆5日线（收盘在5日线下，不追多）</t>
        </is>
      </c>
    </row>
    <row r="5561">
      <c r="A5561" t="inlineStr">
        <is>
          <t>2026-04-24</t>
        </is>
      </c>
      <c r="B5561" t="inlineStr">
        <is>
          <t>锰硅</t>
        </is>
      </c>
      <c r="C5561" t="inlineStr">
        <is>
          <t>空</t>
        </is>
      </c>
      <c r="D5561" t="n">
        <v>2</v>
      </c>
      <c r="E5561" t="n">
        <v>5</v>
      </c>
      <c r="F5561" t="inlineStr">
        <is>
          <t>影子仓</t>
        </is>
      </c>
      <c r="G5561" t="n">
        <v>7</v>
      </c>
      <c r="H5561" t="n">
        <v>6146</v>
      </c>
      <c r="I5561" t="n">
        <v>6398.86</v>
      </c>
      <c r="J5561" t="n">
        <v>1</v>
      </c>
      <c r="K5561" t="inlineStr">
        <is>
          <t>凯利≤0，开1%影子仓（只统计，不计入组合）</t>
        </is>
      </c>
    </row>
    <row r="5562">
      <c r="A5562" t="inlineStr">
        <is>
          <t>2026-04-24</t>
        </is>
      </c>
      <c r="B5562" t="inlineStr">
        <is>
          <t>氧化铝</t>
        </is>
      </c>
      <c r="C5562" t="inlineStr">
        <is>
          <t>空</t>
        </is>
      </c>
      <c r="D5562" t="n">
        <v>2</v>
      </c>
      <c r="E5562" t="n">
        <v>4</v>
      </c>
      <c r="F5562" t="inlineStr">
        <is>
          <t>影子仓</t>
        </is>
      </c>
      <c r="G5562" t="n">
        <v>3</v>
      </c>
      <c r="H5562" t="n">
        <v>2807</v>
      </c>
      <c r="I5562" t="n">
        <v>2951.86</v>
      </c>
      <c r="J5562" t="n">
        <v>1</v>
      </c>
      <c r="K5562" t="inlineStr">
        <is>
          <t>凯利≤0，开1%影子仓（只统计，不计入组合）</t>
        </is>
      </c>
    </row>
    <row r="5563">
      <c r="A5563" t="inlineStr">
        <is>
          <t>2026-04-24</t>
        </is>
      </c>
      <c r="B5563" t="inlineStr">
        <is>
          <t>甲醇</t>
        </is>
      </c>
      <c r="C5563" t="inlineStr">
        <is>
          <t>多</t>
        </is>
      </c>
      <c r="D5563" t="n">
        <v>2</v>
      </c>
      <c r="E5563" t="n">
        <v>4</v>
      </c>
      <c r="F5563" t="inlineStr">
        <is>
          <t>影子仓</t>
        </is>
      </c>
      <c r="G5563" t="n">
        <v>2</v>
      </c>
      <c r="H5563" t="n">
        <v>2895</v>
      </c>
      <c r="I5563" t="n">
        <v>2418.64</v>
      </c>
      <c r="J5563" t="n">
        <v>1</v>
      </c>
      <c r="K5563" t="inlineStr">
        <is>
          <t>凯利≤0，开1%影子仓（只统计，不计入组合）</t>
        </is>
      </c>
    </row>
    <row r="5564">
      <c r="A5564" t="inlineStr">
        <is>
          <t>2026-04-27</t>
        </is>
      </c>
      <c r="B5564" t="inlineStr">
        <is>
          <t>碳酸锂</t>
        </is>
      </c>
      <c r="C5564" t="inlineStr">
        <is>
          <t>多</t>
        </is>
      </c>
      <c r="D5564" t="n">
        <v>3</v>
      </c>
      <c r="E5564" t="n">
        <v>7</v>
      </c>
      <c r="F5564" t="inlineStr">
        <is>
          <t>续持</t>
        </is>
      </c>
      <c r="G5564" t="n">
        <v>1</v>
      </c>
      <c r="H5564" t="n">
        <v>180560</v>
      </c>
      <c r="I5564" t="n">
        <v>164040</v>
      </c>
      <c r="J5564" t="n">
        <v>3</v>
      </c>
      <c r="K5564" t="inlineStr">
        <is>
          <t>续持原仓（2026-04-20开）</t>
        </is>
      </c>
    </row>
    <row r="5565">
      <c r="A5565" t="inlineStr">
        <is>
          <t>2026-04-27</t>
        </is>
      </c>
      <c r="B5565" t="inlineStr">
        <is>
          <t>玻璃</t>
        </is>
      </c>
      <c r="C5565" t="inlineStr">
        <is>
          <t>空</t>
        </is>
      </c>
      <c r="D5565" t="n">
        <v>3</v>
      </c>
      <c r="E5565" t="n">
        <v>7</v>
      </c>
      <c r="F5565" t="inlineStr">
        <is>
          <t>续持</t>
        </is>
      </c>
      <c r="G5565" t="n">
        <v>8</v>
      </c>
      <c r="H5565" t="n">
        <v>1073</v>
      </c>
      <c r="I5565" t="n">
        <v>1133.14</v>
      </c>
      <c r="J5565" t="n">
        <v>1</v>
      </c>
      <c r="K5565" t="inlineStr">
        <is>
          <t>续持原仓（2026-04-24开）</t>
        </is>
      </c>
    </row>
    <row r="5566">
      <c r="A5566" t="inlineStr">
        <is>
          <t>2026-04-27</t>
        </is>
      </c>
      <c r="B5566" t="inlineStr">
        <is>
          <t>沪锌</t>
        </is>
      </c>
      <c r="C5566" t="inlineStr">
        <is>
          <t>多</t>
        </is>
      </c>
      <c r="D5566" t="n">
        <v>3</v>
      </c>
      <c r="E5566" t="n">
        <v>6</v>
      </c>
      <c r="F5566" t="inlineStr">
        <is>
          <t>不做</t>
        </is>
      </c>
      <c r="H5566" t="n">
        <v>24450</v>
      </c>
      <c r="J5566" t="n">
        <v>0</v>
      </c>
      <c r="K5566" t="inlineStr">
        <is>
          <t>有色板块同方向已近6%，预算缩小</t>
        </is>
      </c>
    </row>
    <row r="5567">
      <c r="A5567" t="inlineStr">
        <is>
          <t>2026-04-27</t>
        </is>
      </c>
      <c r="B5567" t="inlineStr">
        <is>
          <t>沪铜</t>
        </is>
      </c>
      <c r="C5567" t="inlineStr">
        <is>
          <t>多</t>
        </is>
      </c>
      <c r="D5567" t="n">
        <v>3</v>
      </c>
      <c r="E5567" t="n">
        <v>6</v>
      </c>
      <c r="F5567" t="inlineStr">
        <is>
          <t>续持</t>
        </is>
      </c>
      <c r="G5567" t="n">
        <v>1</v>
      </c>
      <c r="H5567" t="n">
        <v>102800</v>
      </c>
      <c r="I5567" t="n">
        <v>99966.42999999999</v>
      </c>
      <c r="J5567" t="n">
        <v>3</v>
      </c>
      <c r="K5567" t="inlineStr">
        <is>
          <t>续持原仓（2026-04-22开）</t>
        </is>
      </c>
    </row>
    <row r="5568">
      <c r="A5568" t="inlineStr">
        <is>
          <t>2026-04-27</t>
        </is>
      </c>
      <c r="B5568" t="inlineStr">
        <is>
          <t>聚丙烯</t>
        </is>
      </c>
      <c r="C5568" t="inlineStr">
        <is>
          <t>多</t>
        </is>
      </c>
      <c r="D5568" t="n">
        <v>3</v>
      </c>
      <c r="E5568" t="n">
        <v>6</v>
      </c>
      <c r="F5568" t="inlineStr">
        <is>
          <t>不做</t>
        </is>
      </c>
      <c r="H5568" t="n">
        <v>8553</v>
      </c>
      <c r="J5568" t="n">
        <v>0</v>
      </c>
      <c r="K5568" t="inlineStr">
        <is>
          <t>组合风险已近10%，预算缩小</t>
        </is>
      </c>
    </row>
    <row r="5569">
      <c r="A5569" t="inlineStr">
        <is>
          <t>2026-04-27</t>
        </is>
      </c>
      <c r="B5569" t="inlineStr">
        <is>
          <t>棉花</t>
        </is>
      </c>
      <c r="C5569" t="inlineStr">
        <is>
          <t>多</t>
        </is>
      </c>
      <c r="D5569" t="n">
        <v>2</v>
      </c>
      <c r="E5569" t="n">
        <v>5</v>
      </c>
      <c r="F5569" t="inlineStr">
        <is>
          <t>续持</t>
        </is>
      </c>
      <c r="G5569" t="n">
        <v>2</v>
      </c>
      <c r="H5569" t="n">
        <v>16420</v>
      </c>
      <c r="I5569" t="n">
        <v>15683.21</v>
      </c>
      <c r="J5569" t="n">
        <v>1</v>
      </c>
      <c r="K5569" t="inlineStr">
        <is>
          <t>续持原仓（2026-04-22开）</t>
        </is>
      </c>
    </row>
    <row r="5570">
      <c r="A5570" t="inlineStr">
        <is>
          <t>2026-04-27</t>
        </is>
      </c>
      <c r="B5570" t="inlineStr">
        <is>
          <t>锰硅</t>
        </is>
      </c>
      <c r="C5570" t="inlineStr">
        <is>
          <t>空</t>
        </is>
      </c>
      <c r="D5570" t="n">
        <v>2</v>
      </c>
      <c r="E5570" t="n">
        <v>5</v>
      </c>
      <c r="F5570" t="inlineStr">
        <is>
          <t>续持</t>
        </is>
      </c>
      <c r="G5570" t="n">
        <v>7</v>
      </c>
      <c r="H5570" t="n">
        <v>6152</v>
      </c>
      <c r="I5570" t="n">
        <v>6367.14</v>
      </c>
      <c r="J5570" t="n">
        <v>1</v>
      </c>
      <c r="K5570" t="inlineStr">
        <is>
          <t>续持原仓（2026-04-24开）</t>
        </is>
      </c>
    </row>
    <row r="5571">
      <c r="A5571" t="inlineStr">
        <is>
          <t>2026-04-27</t>
        </is>
      </c>
      <c r="B5571" t="inlineStr">
        <is>
          <t>沪铝</t>
        </is>
      </c>
      <c r="C5571" t="inlineStr">
        <is>
          <t>空</t>
        </is>
      </c>
      <c r="D5571" t="n">
        <v>2</v>
      </c>
      <c r="E5571" t="n">
        <v>4</v>
      </c>
      <c r="F5571" t="inlineStr">
        <is>
          <t>影子仓</t>
        </is>
      </c>
      <c r="G5571" t="n">
        <v>1</v>
      </c>
      <c r="H5571" t="n">
        <v>24855</v>
      </c>
      <c r="I5571" t="n">
        <v>25917.86</v>
      </c>
      <c r="J5571" t="n">
        <v>1</v>
      </c>
      <c r="K5571" t="inlineStr">
        <is>
          <t>凯利≤0，开1%影子仓（只统计，不计入组合）</t>
        </is>
      </c>
    </row>
    <row r="5572">
      <c r="A5572" t="inlineStr">
        <is>
          <t>2026-04-28</t>
        </is>
      </c>
      <c r="B5572" t="inlineStr">
        <is>
          <t>玻璃</t>
        </is>
      </c>
      <c r="C5572" t="inlineStr">
        <is>
          <t>空</t>
        </is>
      </c>
      <c r="D5572" t="n">
        <v>3</v>
      </c>
      <c r="E5572" t="n">
        <v>7</v>
      </c>
      <c r="F5572" t="inlineStr">
        <is>
          <t>续持</t>
        </is>
      </c>
      <c r="G5572" t="n">
        <v>8</v>
      </c>
      <c r="H5572" t="n">
        <v>1042</v>
      </c>
      <c r="I5572" t="n">
        <v>1101.29</v>
      </c>
      <c r="J5572" t="n">
        <v>1</v>
      </c>
      <c r="K5572" t="inlineStr">
        <is>
          <t>续持原仓（2026-04-24开）</t>
        </is>
      </c>
    </row>
    <row r="5573">
      <c r="A5573" t="inlineStr">
        <is>
          <t>2026-04-28</t>
        </is>
      </c>
      <c r="B5573" t="inlineStr">
        <is>
          <t>工业硅</t>
        </is>
      </c>
      <c r="C5573" t="inlineStr">
        <is>
          <t>多</t>
        </is>
      </c>
      <c r="D5573" t="n">
        <v>3</v>
      </c>
      <c r="E5573" t="n">
        <v>7</v>
      </c>
      <c r="F5573" t="inlineStr">
        <is>
          <t>不做</t>
        </is>
      </c>
      <c r="H5573" t="n">
        <v>8680</v>
      </c>
      <c r="J5573" t="n">
        <v>0</v>
      </c>
      <c r="K5573" t="inlineStr">
        <is>
          <t>有色板块同方向已近6%，预算缩小</t>
        </is>
      </c>
    </row>
    <row r="5574">
      <c r="A5574" t="inlineStr">
        <is>
          <t>2026-04-28</t>
        </is>
      </c>
      <c r="B5574" t="inlineStr">
        <is>
          <t>棉花</t>
        </is>
      </c>
      <c r="C5574" t="inlineStr">
        <is>
          <t>多</t>
        </is>
      </c>
      <c r="D5574" t="n">
        <v>2</v>
      </c>
      <c r="E5574" t="n">
        <v>5</v>
      </c>
      <c r="F5574" t="inlineStr">
        <is>
          <t>续持</t>
        </is>
      </c>
      <c r="G5574" t="n">
        <v>2</v>
      </c>
      <c r="H5574" t="n">
        <v>16420</v>
      </c>
      <c r="I5574" t="n">
        <v>15683.21</v>
      </c>
      <c r="J5574" t="n">
        <v>1</v>
      </c>
      <c r="K5574" t="inlineStr">
        <is>
          <t>续持原仓（2026-04-22开）</t>
        </is>
      </c>
    </row>
    <row r="5575">
      <c r="A5575" t="inlineStr">
        <is>
          <t>2026-04-28</t>
        </is>
      </c>
      <c r="B5575" t="inlineStr">
        <is>
          <t>玉米淀粉</t>
        </is>
      </c>
      <c r="C5575" t="inlineStr">
        <is>
          <t>多</t>
        </is>
      </c>
      <c r="D5575" t="n">
        <v>2</v>
      </c>
      <c r="E5575" t="n">
        <v>5</v>
      </c>
      <c r="F5575" t="inlineStr">
        <is>
          <t>观望</t>
        </is>
      </c>
      <c r="G5575" t="n">
        <v>12</v>
      </c>
      <c r="H5575" t="n">
        <v>2798</v>
      </c>
      <c r="I5575" t="n">
        <v>2718.71</v>
      </c>
      <c r="J5575" t="n">
        <v>1</v>
      </c>
      <c r="K5575" t="inlineStr">
        <is>
          <t>逆5日线（收盘在5日线下，不追多）</t>
        </is>
      </c>
    </row>
    <row r="5576">
      <c r="A5576" t="inlineStr">
        <is>
          <t>2026-04-28</t>
        </is>
      </c>
      <c r="B5576" t="inlineStr">
        <is>
          <t>聚丙烯</t>
        </is>
      </c>
      <c r="C5576" t="inlineStr">
        <is>
          <t>多</t>
        </is>
      </c>
      <c r="D5576" t="n">
        <v>2</v>
      </c>
      <c r="E5576" t="n">
        <v>5</v>
      </c>
      <c r="F5576" t="inlineStr">
        <is>
          <t>影子仓</t>
        </is>
      </c>
      <c r="G5576" t="n">
        <v>3</v>
      </c>
      <c r="H5576" t="n">
        <v>8752</v>
      </c>
      <c r="I5576" t="n">
        <v>8096.5</v>
      </c>
      <c r="J5576" t="n">
        <v>1</v>
      </c>
      <c r="K5576" t="inlineStr">
        <is>
          <t>凯利≤0，开1%影子仓（只统计，不计入组合）</t>
        </is>
      </c>
    </row>
    <row r="5577">
      <c r="A5577" t="inlineStr">
        <is>
          <t>2026-04-28</t>
        </is>
      </c>
      <c r="B5577" t="inlineStr">
        <is>
          <t>碳酸锂</t>
        </is>
      </c>
      <c r="C5577" t="inlineStr">
        <is>
          <t>多</t>
        </is>
      </c>
      <c r="D5577" t="n">
        <v>2</v>
      </c>
      <c r="E5577" t="n">
        <v>4</v>
      </c>
      <c r="F5577" t="inlineStr">
        <is>
          <t>续持</t>
        </is>
      </c>
      <c r="G5577" t="n">
        <v>1</v>
      </c>
      <c r="H5577" t="n">
        <v>178620</v>
      </c>
      <c r="I5577" t="n">
        <v>164155.71</v>
      </c>
      <c r="J5577" t="n">
        <v>3</v>
      </c>
      <c r="K5577" t="inlineStr">
        <is>
          <t>续持原仓（2026-04-20开）</t>
        </is>
      </c>
    </row>
    <row r="5578">
      <c r="A5578" t="inlineStr">
        <is>
          <t>2026-04-29</t>
        </is>
      </c>
      <c r="B5578" t="inlineStr">
        <is>
          <t>玻璃</t>
        </is>
      </c>
      <c r="C5578" t="inlineStr">
        <is>
          <t>空</t>
        </is>
      </c>
      <c r="D5578" t="n">
        <v>3</v>
      </c>
      <c r="E5578" t="n">
        <v>7</v>
      </c>
      <c r="F5578" t="inlineStr">
        <is>
          <t>续持</t>
        </is>
      </c>
      <c r="G5578" t="n">
        <v>8</v>
      </c>
      <c r="H5578" t="n">
        <v>1036</v>
      </c>
      <c r="I5578" t="n">
        <v>1095.86</v>
      </c>
      <c r="J5578" t="n">
        <v>1</v>
      </c>
      <c r="K5578" t="inlineStr">
        <is>
          <t>续持原仓（2026-04-24开）</t>
        </is>
      </c>
    </row>
    <row r="5579">
      <c r="A5579" t="inlineStr">
        <is>
          <t>2026-04-29</t>
        </is>
      </c>
      <c r="B5579" t="inlineStr">
        <is>
          <t>鸡蛋</t>
        </is>
      </c>
      <c r="C5579" t="inlineStr">
        <is>
          <t>多</t>
        </is>
      </c>
      <c r="D5579" t="n">
        <v>3</v>
      </c>
      <c r="E5579" t="n">
        <v>7</v>
      </c>
      <c r="F5579" t="inlineStr">
        <is>
          <t>不做</t>
        </is>
      </c>
      <c r="H5579" t="n">
        <v>3398</v>
      </c>
      <c r="J5579" t="n">
        <v>0</v>
      </c>
      <c r="K5579" t="inlineStr">
        <is>
          <t>组合风险已近10%，预算缩小</t>
        </is>
      </c>
    </row>
    <row r="5580">
      <c r="A5580" t="inlineStr">
        <is>
          <t>2026-04-29</t>
        </is>
      </c>
      <c r="B5580" t="inlineStr">
        <is>
          <t>沪锌</t>
        </is>
      </c>
      <c r="C5580" t="inlineStr">
        <is>
          <t>多</t>
        </is>
      </c>
      <c r="D5580" t="n">
        <v>3</v>
      </c>
      <c r="E5580" t="n">
        <v>6</v>
      </c>
      <c r="F5580" t="inlineStr">
        <is>
          <t>观望</t>
        </is>
      </c>
      <c r="H5580" t="n">
        <v>23935</v>
      </c>
      <c r="J5580" t="n">
        <v>0</v>
      </c>
      <c r="K5580" t="inlineStr">
        <is>
          <t>逆5日线（收盘在5日线下，不追多）</t>
        </is>
      </c>
    </row>
    <row r="5581">
      <c r="A5581" t="inlineStr">
        <is>
          <t>2026-04-29</t>
        </is>
      </c>
      <c r="B5581" t="inlineStr">
        <is>
          <t>豆粕</t>
        </is>
      </c>
      <c r="C5581" t="inlineStr">
        <is>
          <t>多</t>
        </is>
      </c>
      <c r="D5581" t="n">
        <v>3</v>
      </c>
      <c r="E5581" t="n">
        <v>6</v>
      </c>
      <c r="F5581" t="inlineStr">
        <is>
          <t>不做</t>
        </is>
      </c>
      <c r="H5581" t="n">
        <v>3020</v>
      </c>
      <c r="J5581" t="n">
        <v>0</v>
      </c>
      <c r="K5581" t="inlineStr">
        <is>
          <t>组合风险已近10%，预算缩小</t>
        </is>
      </c>
    </row>
    <row r="5582">
      <c r="A5582" t="inlineStr">
        <is>
          <t>2026-04-29</t>
        </is>
      </c>
      <c r="B5582" t="inlineStr">
        <is>
          <t>碳酸锂</t>
        </is>
      </c>
      <c r="C5582" t="inlineStr">
        <is>
          <t>多</t>
        </is>
      </c>
      <c r="D5582" t="n">
        <v>2</v>
      </c>
      <c r="E5582" t="n">
        <v>5</v>
      </c>
      <c r="F5582" t="inlineStr">
        <is>
          <t>续持</t>
        </is>
      </c>
      <c r="G5582" t="n">
        <v>1</v>
      </c>
      <c r="H5582" t="n">
        <v>183880</v>
      </c>
      <c r="I5582" t="n">
        <v>164155.71</v>
      </c>
      <c r="J5582" t="n">
        <v>3</v>
      </c>
      <c r="K5582" t="inlineStr">
        <is>
          <t>续持原仓（2026-04-20开）</t>
        </is>
      </c>
    </row>
    <row r="5583">
      <c r="A5583" t="inlineStr">
        <is>
          <t>2026-04-29</t>
        </is>
      </c>
      <c r="B5583" t="inlineStr">
        <is>
          <t>沪镍</t>
        </is>
      </c>
      <c r="C5583" t="inlineStr">
        <is>
          <t>多</t>
        </is>
      </c>
      <c r="D5583" t="n">
        <v>2</v>
      </c>
      <c r="E5583" t="n">
        <v>5</v>
      </c>
      <c r="F5583" t="inlineStr">
        <is>
          <t>不做</t>
        </is>
      </c>
      <c r="H5583" t="n">
        <v>150550</v>
      </c>
      <c r="J5583" t="n">
        <v>1</v>
      </c>
      <c r="K5583" t="inlineStr">
        <is>
          <t>1手风险10616元超过预算10000元</t>
        </is>
      </c>
    </row>
    <row r="5584">
      <c r="A5584" t="inlineStr">
        <is>
          <t>2026-04-30</t>
        </is>
      </c>
      <c r="B5584" t="inlineStr">
        <is>
          <t>热卷</t>
        </is>
      </c>
      <c r="C5584" t="inlineStr">
        <is>
          <t>多</t>
        </is>
      </c>
      <c r="D5584" t="n">
        <v>3</v>
      </c>
      <c r="E5584" t="n">
        <v>7</v>
      </c>
      <c r="F5584" t="inlineStr">
        <is>
          <t>开仓</t>
        </is>
      </c>
      <c r="G5584" t="n">
        <v>33</v>
      </c>
      <c r="H5584" t="n">
        <v>3425</v>
      </c>
      <c r="I5584" t="n">
        <v>3335.43</v>
      </c>
      <c r="J5584" t="n">
        <v>3</v>
      </c>
      <c r="K5584" t="inlineStr">
        <is>
          <t>¼凯利超上限，取3%</t>
        </is>
      </c>
    </row>
    <row r="5585">
      <c r="A5585" t="inlineStr">
        <is>
          <t>2026-04-30</t>
        </is>
      </c>
      <c r="B5585" t="inlineStr">
        <is>
          <t>棉花</t>
        </is>
      </c>
      <c r="C5585" t="inlineStr">
        <is>
          <t>多</t>
        </is>
      </c>
      <c r="D5585" t="n">
        <v>3</v>
      </c>
      <c r="E5585" t="n">
        <v>7</v>
      </c>
      <c r="F5585" t="inlineStr">
        <is>
          <t>续持</t>
        </is>
      </c>
      <c r="G5585" t="n">
        <v>2</v>
      </c>
      <c r="H5585" t="n">
        <v>16555</v>
      </c>
      <c r="I5585" t="n">
        <v>15802.14</v>
      </c>
      <c r="J5585" t="n">
        <v>1</v>
      </c>
      <c r="K5585" t="inlineStr">
        <is>
          <t>续持原仓（2026-04-22开）</t>
        </is>
      </c>
    </row>
    <row r="5586">
      <c r="A5586" t="inlineStr">
        <is>
          <t>2026-04-30</t>
        </is>
      </c>
      <c r="B5586" t="inlineStr">
        <is>
          <t>焦煤</t>
        </is>
      </c>
      <c r="C5586" t="inlineStr">
        <is>
          <t>多</t>
        </is>
      </c>
      <c r="D5586" t="n">
        <v>3</v>
      </c>
      <c r="E5586" t="n">
        <v>7</v>
      </c>
      <c r="F5586" t="inlineStr">
        <is>
          <t>不做</t>
        </is>
      </c>
      <c r="H5586" t="n">
        <v>1287</v>
      </c>
      <c r="J5586" t="n">
        <v>0</v>
      </c>
      <c r="K5586" t="inlineStr">
        <is>
          <t>组合风险已近10%，预算缩小</t>
        </is>
      </c>
    </row>
    <row r="5587">
      <c r="A5587" t="inlineStr">
        <is>
          <t>2026-04-30</t>
        </is>
      </c>
      <c r="B5587" t="inlineStr">
        <is>
          <t>尿素</t>
        </is>
      </c>
      <c r="C5587" t="inlineStr">
        <is>
          <t>多</t>
        </is>
      </c>
      <c r="D5587" t="n">
        <v>3</v>
      </c>
      <c r="E5587" t="n">
        <v>6</v>
      </c>
      <c r="F5587" t="inlineStr">
        <is>
          <t>观望</t>
        </is>
      </c>
      <c r="H5587" t="n">
        <v>2017</v>
      </c>
      <c r="J5587" t="n">
        <v>0</v>
      </c>
      <c r="K5587" t="inlineStr">
        <is>
          <t>逆5日线（收盘在5日线下，不追多）</t>
        </is>
      </c>
    </row>
    <row r="5588">
      <c r="A5588" t="inlineStr">
        <is>
          <t>2026-04-30</t>
        </is>
      </c>
      <c r="B5588" t="inlineStr">
        <is>
          <t>聚丙烯</t>
        </is>
      </c>
      <c r="C5588" t="inlineStr">
        <is>
          <t>多</t>
        </is>
      </c>
      <c r="D5588" t="n">
        <v>3</v>
      </c>
      <c r="E5588" t="n">
        <v>6</v>
      </c>
      <c r="F5588" t="inlineStr">
        <is>
          <t>续持</t>
        </is>
      </c>
      <c r="G5588" t="n">
        <v>3</v>
      </c>
      <c r="H5588" t="n">
        <v>8822</v>
      </c>
      <c r="I5588" t="n">
        <v>8274.639999999999</v>
      </c>
      <c r="J5588" t="n">
        <v>1</v>
      </c>
      <c r="K5588" t="inlineStr">
        <is>
          <t>续持原仓（2026-04-28开）</t>
        </is>
      </c>
    </row>
    <row r="5589">
      <c r="A5589" t="inlineStr">
        <is>
          <t>2026-04-30</t>
        </is>
      </c>
      <c r="B5589" t="inlineStr">
        <is>
          <t>沪铝</t>
        </is>
      </c>
      <c r="C5589" t="inlineStr">
        <is>
          <t>空</t>
        </is>
      </c>
      <c r="D5589" t="n">
        <v>3</v>
      </c>
      <c r="E5589" t="n">
        <v>6</v>
      </c>
      <c r="F5589" t="inlineStr">
        <is>
          <t>不做</t>
        </is>
      </c>
      <c r="H5589" t="n">
        <v>24430</v>
      </c>
      <c r="J5589" t="n">
        <v>0</v>
      </c>
      <c r="K5589" t="inlineStr">
        <is>
          <t>组合风险已近10%，预算缩小</t>
        </is>
      </c>
    </row>
    <row r="5590">
      <c r="A5590" t="inlineStr">
        <is>
          <t>2026-05-06</t>
        </is>
      </c>
      <c r="B5590" t="inlineStr">
        <is>
          <t>热卷</t>
        </is>
      </c>
      <c r="C5590" t="inlineStr">
        <is>
          <t>多</t>
        </is>
      </c>
      <c r="D5590" t="n">
        <v>3</v>
      </c>
      <c r="E5590" t="n">
        <v>7</v>
      </c>
      <c r="F5590" t="inlineStr">
        <is>
          <t>续持</t>
        </is>
      </c>
      <c r="G5590" t="n">
        <v>33</v>
      </c>
      <c r="H5590" t="n">
        <v>3493</v>
      </c>
      <c r="I5590" t="n">
        <v>3393.29</v>
      </c>
      <c r="J5590" t="n">
        <v>3</v>
      </c>
      <c r="K5590" t="inlineStr">
        <is>
          <t>续持原仓（2026-04-30开）</t>
        </is>
      </c>
    </row>
    <row r="5591">
      <c r="A5591" t="inlineStr">
        <is>
          <t>2026-05-06</t>
        </is>
      </c>
      <c r="B5591" t="inlineStr">
        <is>
          <t>碳酸锂</t>
        </is>
      </c>
      <c r="C5591" t="inlineStr">
        <is>
          <t>多</t>
        </is>
      </c>
      <c r="D5591" t="n">
        <v>3</v>
      </c>
      <c r="E5591" t="n">
        <v>6</v>
      </c>
      <c r="F5591" t="inlineStr">
        <is>
          <t>开仓</t>
        </is>
      </c>
      <c r="G5591" t="n">
        <v>1</v>
      </c>
      <c r="H5591" t="n">
        <v>199400</v>
      </c>
      <c r="I5591" t="n">
        <v>178262.86</v>
      </c>
      <c r="J5591" t="n">
        <v>3</v>
      </c>
      <c r="K5591" t="inlineStr">
        <is>
          <t>¼凯利超上限，取3%</t>
        </is>
      </c>
    </row>
    <row r="5592">
      <c r="A5592" t="inlineStr">
        <is>
          <t>2026-05-06</t>
        </is>
      </c>
      <c r="B5592" t="inlineStr">
        <is>
          <t>螺纹钢</t>
        </is>
      </c>
      <c r="C5592" t="inlineStr">
        <is>
          <t>多</t>
        </is>
      </c>
      <c r="D5592" t="n">
        <v>3</v>
      </c>
      <c r="E5592" t="n">
        <v>6</v>
      </c>
      <c r="F5592" t="inlineStr">
        <is>
          <t>不做</t>
        </is>
      </c>
      <c r="H5592" t="n">
        <v>3264</v>
      </c>
      <c r="J5592" t="n">
        <v>0</v>
      </c>
      <c r="K5592" t="inlineStr">
        <is>
          <t>与热卷高度相关（同组≤3%），预算缩小</t>
        </is>
      </c>
    </row>
    <row r="5593">
      <c r="A5593" t="inlineStr">
        <is>
          <t>2026-05-06</t>
        </is>
      </c>
      <c r="B5593" t="inlineStr">
        <is>
          <t>棉花</t>
        </is>
      </c>
      <c r="C5593" t="inlineStr">
        <is>
          <t>多</t>
        </is>
      </c>
      <c r="D5593" t="n">
        <v>3</v>
      </c>
      <c r="E5593" t="n">
        <v>6</v>
      </c>
      <c r="F5593" t="inlineStr">
        <is>
          <t>续持</t>
        </is>
      </c>
      <c r="G5593" t="n">
        <v>2</v>
      </c>
      <c r="H5593" t="n">
        <v>16715</v>
      </c>
      <c r="I5593" t="n">
        <v>16192.14</v>
      </c>
      <c r="J5593" t="n">
        <v>1</v>
      </c>
      <c r="K5593" t="inlineStr">
        <is>
          <t>续持原仓（2026-04-22开）</t>
        </is>
      </c>
    </row>
    <row r="5594">
      <c r="A5594" t="inlineStr">
        <is>
          <t>2026-05-06</t>
        </is>
      </c>
      <c r="B5594" t="inlineStr">
        <is>
          <t>白糖</t>
        </is>
      </c>
      <c r="C5594" t="inlineStr">
        <is>
          <t>多</t>
        </is>
      </c>
      <c r="D5594" t="n">
        <v>3</v>
      </c>
      <c r="E5594" t="n">
        <v>6</v>
      </c>
      <c r="F5594" t="inlineStr">
        <is>
          <t>不做</t>
        </is>
      </c>
      <c r="H5594" t="n">
        <v>5425</v>
      </c>
      <c r="J5594" t="n">
        <v>0</v>
      </c>
      <c r="K5594" t="inlineStr">
        <is>
          <t>组合风险已近10%，预算缩小</t>
        </is>
      </c>
    </row>
    <row r="5595">
      <c r="A5595" t="inlineStr">
        <is>
          <t>2026-05-07</t>
        </is>
      </c>
      <c r="B5595" t="inlineStr">
        <is>
          <t>菜油</t>
        </is>
      </c>
      <c r="C5595" t="inlineStr">
        <is>
          <t>多</t>
        </is>
      </c>
      <c r="D5595" t="n">
        <v>3</v>
      </c>
      <c r="E5595" t="n">
        <v>6</v>
      </c>
      <c r="F5595" t="inlineStr">
        <is>
          <t>观望</t>
        </is>
      </c>
      <c r="G5595" t="n">
        <v>8</v>
      </c>
      <c r="H5595" t="n">
        <v>9882</v>
      </c>
      <c r="I5595" t="n">
        <v>9524.790000000001</v>
      </c>
      <c r="J5595" t="n">
        <v>3</v>
      </c>
      <c r="K5595" t="inlineStr">
        <is>
          <t>逆5日线（收盘在5日线下，不追多）</t>
        </is>
      </c>
    </row>
    <row r="5596">
      <c r="A5596" t="inlineStr">
        <is>
          <t>2026-05-07</t>
        </is>
      </c>
      <c r="B5596" t="inlineStr">
        <is>
          <t>螺纹钢</t>
        </is>
      </c>
      <c r="C5596" t="inlineStr">
        <is>
          <t>多</t>
        </is>
      </c>
      <c r="D5596" t="n">
        <v>3</v>
      </c>
      <c r="E5596" t="n">
        <v>6</v>
      </c>
      <c r="F5596" t="inlineStr">
        <is>
          <t>不做</t>
        </is>
      </c>
      <c r="H5596" t="n">
        <v>3273</v>
      </c>
      <c r="J5596" t="n">
        <v>0</v>
      </c>
      <c r="K5596" t="inlineStr">
        <is>
          <t>与热卷高度相关（同组≤3%），预算缩小</t>
        </is>
      </c>
    </row>
    <row r="5597">
      <c r="A5597" t="inlineStr">
        <is>
          <t>2026-05-07</t>
        </is>
      </c>
      <c r="B5597" t="inlineStr">
        <is>
          <t>白糖</t>
        </is>
      </c>
      <c r="C5597" t="inlineStr">
        <is>
          <t>多</t>
        </is>
      </c>
      <c r="D5597" t="n">
        <v>3</v>
      </c>
      <c r="E5597" t="n">
        <v>6</v>
      </c>
      <c r="F5597" t="inlineStr">
        <is>
          <t>开仓</t>
        </is>
      </c>
      <c r="G5597" t="n">
        <v>18</v>
      </c>
      <c r="H5597" t="n">
        <v>5447</v>
      </c>
      <c r="I5597" t="n">
        <v>5281.79</v>
      </c>
      <c r="J5597" t="n">
        <v>3</v>
      </c>
      <c r="K5597" t="inlineStr">
        <is>
          <t>¼凯利超上限，取3%</t>
        </is>
      </c>
    </row>
    <row r="5598">
      <c r="A5598" t="inlineStr">
        <is>
          <t>2026-05-07</t>
        </is>
      </c>
      <c r="B5598" t="inlineStr">
        <is>
          <t>热卷</t>
        </is>
      </c>
      <c r="C5598" t="inlineStr">
        <is>
          <t>多</t>
        </is>
      </c>
      <c r="D5598" t="n">
        <v>2</v>
      </c>
      <c r="E5598" t="n">
        <v>5</v>
      </c>
      <c r="F5598" t="inlineStr">
        <is>
          <t>续持</t>
        </is>
      </c>
      <c r="G5598" t="n">
        <v>33</v>
      </c>
      <c r="H5598" t="n">
        <v>3492</v>
      </c>
      <c r="I5598" t="n">
        <v>3397.21</v>
      </c>
      <c r="J5598" t="n">
        <v>3</v>
      </c>
      <c r="K5598" t="inlineStr">
        <is>
          <t>续持原仓（2026-04-30开）</t>
        </is>
      </c>
    </row>
    <row r="5599">
      <c r="A5599" t="inlineStr">
        <is>
          <t>2026-05-07</t>
        </is>
      </c>
      <c r="B5599" t="inlineStr">
        <is>
          <t>棉花</t>
        </is>
      </c>
      <c r="C5599" t="inlineStr">
        <is>
          <t>多</t>
        </is>
      </c>
      <c r="D5599" t="n">
        <v>2</v>
      </c>
      <c r="E5599" t="n">
        <v>5</v>
      </c>
      <c r="F5599" t="inlineStr">
        <is>
          <t>续持</t>
        </is>
      </c>
      <c r="G5599" t="n">
        <v>2</v>
      </c>
      <c r="H5599" t="n">
        <v>16640</v>
      </c>
      <c r="I5599" t="n">
        <v>16192.14</v>
      </c>
      <c r="J5599" t="n">
        <v>1</v>
      </c>
      <c r="K5599" t="inlineStr">
        <is>
          <t>续持原仓（2026-04-22开）</t>
        </is>
      </c>
    </row>
    <row r="5600">
      <c r="A5600" t="inlineStr">
        <is>
          <t>2026-05-08</t>
        </is>
      </c>
      <c r="B5600" t="inlineStr">
        <is>
          <t>铁矿石</t>
        </is>
      </c>
      <c r="C5600" t="inlineStr">
        <is>
          <t>多</t>
        </is>
      </c>
      <c r="D5600" t="n">
        <v>3</v>
      </c>
      <c r="E5600" t="n">
        <v>6</v>
      </c>
      <c r="F5600" t="inlineStr">
        <is>
          <t>不做</t>
        </is>
      </c>
      <c r="H5600" t="n">
        <v>814.5</v>
      </c>
      <c r="J5600" t="n">
        <v>0</v>
      </c>
      <c r="K5600" t="inlineStr">
        <is>
          <t>组合风险已近10%，预算缩小</t>
        </is>
      </c>
    </row>
    <row r="5601">
      <c r="A5601" t="inlineStr">
        <is>
          <t>2026-05-08</t>
        </is>
      </c>
      <c r="B5601" t="inlineStr">
        <is>
          <t>锰硅</t>
        </is>
      </c>
      <c r="C5601" t="inlineStr">
        <is>
          <t>空</t>
        </is>
      </c>
      <c r="D5601" t="n">
        <v>3</v>
      </c>
      <c r="E5601" t="n">
        <v>6</v>
      </c>
      <c r="F5601" t="inlineStr">
        <is>
          <t>不做</t>
        </is>
      </c>
      <c r="H5601" t="n">
        <v>6008</v>
      </c>
      <c r="J5601" t="n">
        <v>0</v>
      </c>
      <c r="K5601" t="inlineStr">
        <is>
          <t>组合风险已近10%，预算缩小</t>
        </is>
      </c>
    </row>
    <row r="5602">
      <c r="A5602" t="inlineStr">
        <is>
          <t>2026-05-08</t>
        </is>
      </c>
      <c r="B5602" t="inlineStr">
        <is>
          <t>热卷</t>
        </is>
      </c>
      <c r="C5602" t="inlineStr">
        <is>
          <t>多</t>
        </is>
      </c>
      <c r="D5602" t="n">
        <v>2</v>
      </c>
      <c r="E5602" t="n">
        <v>5</v>
      </c>
      <c r="F5602" t="inlineStr">
        <is>
          <t>续持</t>
        </is>
      </c>
      <c r="G5602" t="n">
        <v>33</v>
      </c>
      <c r="H5602" t="n">
        <v>3473</v>
      </c>
      <c r="I5602" t="n">
        <v>3397.21</v>
      </c>
      <c r="J5602" t="n">
        <v>3</v>
      </c>
      <c r="K5602" t="inlineStr">
        <is>
          <t>续持原仓（2026-04-30开）</t>
        </is>
      </c>
    </row>
    <row r="5603">
      <c r="A5603" t="inlineStr">
        <is>
          <t>2026-05-08</t>
        </is>
      </c>
      <c r="B5603" t="inlineStr">
        <is>
          <t>螺纹钢</t>
        </is>
      </c>
      <c r="C5603" t="inlineStr">
        <is>
          <t>多</t>
        </is>
      </c>
      <c r="D5603" t="n">
        <v>2</v>
      </c>
      <c r="E5603" t="n">
        <v>5</v>
      </c>
      <c r="F5603" t="inlineStr">
        <is>
          <t>影子仓</t>
        </is>
      </c>
      <c r="G5603" t="n">
        <v>11</v>
      </c>
      <c r="H5603" t="n">
        <v>3263</v>
      </c>
      <c r="I5603" t="n">
        <v>3176</v>
      </c>
      <c r="J5603" t="n">
        <v>1</v>
      </c>
      <c r="K5603" t="inlineStr">
        <is>
          <t>凯利≤0，开1%影子仓（只统计，不计入组合）</t>
        </is>
      </c>
    </row>
    <row r="5604">
      <c r="A5604" t="inlineStr">
        <is>
          <t>2026-05-08</t>
        </is>
      </c>
      <c r="B5604" t="inlineStr">
        <is>
          <t>棉花</t>
        </is>
      </c>
      <c r="C5604" t="inlineStr">
        <is>
          <t>多</t>
        </is>
      </c>
      <c r="D5604" t="n">
        <v>2</v>
      </c>
      <c r="E5604" t="n">
        <v>5</v>
      </c>
      <c r="F5604" t="inlineStr">
        <is>
          <t>观望</t>
        </is>
      </c>
      <c r="G5604" t="n">
        <v>2</v>
      </c>
      <c r="H5604" t="n">
        <v>16310</v>
      </c>
      <c r="I5604" t="n">
        <v>15474.29</v>
      </c>
      <c r="J5604" t="n">
        <v>1</v>
      </c>
      <c r="K5604" t="inlineStr">
        <is>
          <t>逆5日线（收盘在5日线下，不追多）</t>
        </is>
      </c>
    </row>
    <row r="5605">
      <c r="A5605" t="inlineStr">
        <is>
          <t>2026-05-08</t>
        </is>
      </c>
      <c r="B5605" t="inlineStr">
        <is>
          <t>白糖</t>
        </is>
      </c>
      <c r="C5605" t="inlineStr">
        <is>
          <t>多</t>
        </is>
      </c>
      <c r="D5605" t="n">
        <v>2</v>
      </c>
      <c r="E5605" t="n">
        <v>5</v>
      </c>
      <c r="F5605" t="inlineStr">
        <is>
          <t>续持</t>
        </is>
      </c>
      <c r="G5605" t="n">
        <v>18</v>
      </c>
      <c r="H5605" t="n">
        <v>5442</v>
      </c>
      <c r="I5605" t="n">
        <v>5314.79</v>
      </c>
      <c r="J5605" t="n">
        <v>3</v>
      </c>
      <c r="K5605" t="inlineStr">
        <is>
          <t>续持原仓（2026-05-07开）</t>
        </is>
      </c>
    </row>
    <row r="5606">
      <c r="A5606" t="inlineStr">
        <is>
          <t>2026-05-11</t>
        </is>
      </c>
      <c r="B5606" t="inlineStr">
        <is>
          <t>铁矿石</t>
        </is>
      </c>
      <c r="C5606" t="inlineStr">
        <is>
          <t>多</t>
        </is>
      </c>
      <c r="D5606" t="n">
        <v>3</v>
      </c>
      <c r="E5606" t="n">
        <v>7</v>
      </c>
      <c r="F5606" t="inlineStr">
        <is>
          <t>开仓</t>
        </is>
      </c>
      <c r="G5606" t="n">
        <v>8</v>
      </c>
      <c r="H5606" t="n">
        <v>822.5</v>
      </c>
      <c r="I5606" t="n">
        <v>787.14</v>
      </c>
      <c r="J5606" t="n">
        <v>3</v>
      </c>
      <c r="K5606" t="inlineStr">
        <is>
          <t>¼凯利超上限，取3%</t>
        </is>
      </c>
    </row>
    <row r="5607">
      <c r="A5607" t="inlineStr">
        <is>
          <t>2026-05-11</t>
        </is>
      </c>
      <c r="B5607" t="inlineStr">
        <is>
          <t>焦煤</t>
        </is>
      </c>
      <c r="C5607" t="inlineStr">
        <is>
          <t>多</t>
        </is>
      </c>
      <c r="D5607" t="n">
        <v>3</v>
      </c>
      <c r="E5607" t="n">
        <v>7</v>
      </c>
      <c r="F5607" t="inlineStr">
        <is>
          <t>不做</t>
        </is>
      </c>
      <c r="H5607" t="n">
        <v>1309</v>
      </c>
      <c r="J5607" t="n">
        <v>0</v>
      </c>
      <c r="K5607" t="inlineStr">
        <is>
          <t>组合风险已近10%，预算缩小</t>
        </is>
      </c>
    </row>
    <row r="5608">
      <c r="A5608" t="inlineStr">
        <is>
          <t>2026-05-11</t>
        </is>
      </c>
      <c r="B5608" t="inlineStr">
        <is>
          <t>碳酸锂</t>
        </is>
      </c>
      <c r="C5608" t="inlineStr">
        <is>
          <t>多</t>
        </is>
      </c>
      <c r="D5608" t="n">
        <v>3</v>
      </c>
      <c r="E5608" t="n">
        <v>6</v>
      </c>
      <c r="F5608" t="inlineStr">
        <is>
          <t>不做</t>
        </is>
      </c>
      <c r="H5608" t="n">
        <v>205020</v>
      </c>
      <c r="J5608" t="n">
        <v>0</v>
      </c>
      <c r="K5608" t="inlineStr">
        <is>
          <t>组合风险已近10%，预算缩小</t>
        </is>
      </c>
    </row>
    <row r="5609">
      <c r="A5609" t="inlineStr">
        <is>
          <t>2026-05-11</t>
        </is>
      </c>
      <c r="B5609" t="inlineStr">
        <is>
          <t>甲醇</t>
        </is>
      </c>
      <c r="C5609" t="inlineStr">
        <is>
          <t>多</t>
        </is>
      </c>
      <c r="D5609" t="n">
        <v>3</v>
      </c>
      <c r="E5609" t="n">
        <v>6</v>
      </c>
      <c r="F5609" t="inlineStr">
        <is>
          <t>观望</t>
        </is>
      </c>
      <c r="H5609" t="n">
        <v>2882</v>
      </c>
      <c r="J5609" t="n">
        <v>0</v>
      </c>
      <c r="K5609" t="inlineStr">
        <is>
          <t>逆5日线（收盘在5日线下，不追多）</t>
        </is>
      </c>
    </row>
    <row r="5610">
      <c r="A5610" t="inlineStr">
        <is>
          <t>2026-05-11</t>
        </is>
      </c>
      <c r="B5610" t="inlineStr">
        <is>
          <t>聚丙烯</t>
        </is>
      </c>
      <c r="C5610" t="inlineStr">
        <is>
          <t>多</t>
        </is>
      </c>
      <c r="D5610" t="n">
        <v>3</v>
      </c>
      <c r="E5610" t="n">
        <v>6</v>
      </c>
      <c r="F5610" t="inlineStr">
        <is>
          <t>观望</t>
        </is>
      </c>
      <c r="H5610" t="n">
        <v>8685</v>
      </c>
      <c r="J5610" t="n">
        <v>0</v>
      </c>
      <c r="K5610" t="inlineStr">
        <is>
          <t>逆5日线（收盘在5日线下，不追多）</t>
        </is>
      </c>
    </row>
    <row r="5611">
      <c r="A5611" t="inlineStr">
        <is>
          <t>2026-05-11</t>
        </is>
      </c>
      <c r="B5611" t="inlineStr">
        <is>
          <t>玉米</t>
        </is>
      </c>
      <c r="C5611" t="inlineStr">
        <is>
          <t>空</t>
        </is>
      </c>
      <c r="D5611" t="n">
        <v>2</v>
      </c>
      <c r="E5611" t="n">
        <v>5</v>
      </c>
      <c r="F5611" t="inlineStr">
        <is>
          <t>影子仓</t>
        </is>
      </c>
      <c r="G5611" t="n">
        <v>14</v>
      </c>
      <c r="H5611" t="n">
        <v>2353</v>
      </c>
      <c r="I5611" t="n">
        <v>2422</v>
      </c>
      <c r="J5611" t="n">
        <v>1</v>
      </c>
      <c r="K5611" t="inlineStr">
        <is>
          <t>凯利≤0，开1%影子仓（只统计，不计入组合）</t>
        </is>
      </c>
    </row>
    <row r="5612">
      <c r="A5612" t="inlineStr">
        <is>
          <t>2026-05-11</t>
        </is>
      </c>
      <c r="B5612" t="inlineStr">
        <is>
          <t>锰硅</t>
        </is>
      </c>
      <c r="C5612" t="inlineStr">
        <is>
          <t>空</t>
        </is>
      </c>
      <c r="D5612" t="n">
        <v>2</v>
      </c>
      <c r="E5612" t="n">
        <v>5</v>
      </c>
      <c r="F5612" t="inlineStr">
        <is>
          <t>影子仓</t>
        </is>
      </c>
      <c r="G5612" t="n">
        <v>8</v>
      </c>
      <c r="H5612" t="n">
        <v>5912</v>
      </c>
      <c r="I5612" t="n">
        <v>6157.14</v>
      </c>
      <c r="J5612" t="n">
        <v>1</v>
      </c>
      <c r="K5612" t="inlineStr">
        <is>
          <t>凯利≤0，开1%影子仓（只统计，不计入组合）</t>
        </is>
      </c>
    </row>
    <row r="5613">
      <c r="A5613" t="inlineStr">
        <is>
          <t>2026-05-11</t>
        </is>
      </c>
      <c r="B5613" t="inlineStr">
        <is>
          <t>沪铝</t>
        </is>
      </c>
      <c r="C5613" t="inlineStr">
        <is>
          <t>空</t>
        </is>
      </c>
      <c r="D5613" t="n">
        <v>2</v>
      </c>
      <c r="E5613" t="n">
        <v>4</v>
      </c>
      <c r="F5613" t="inlineStr">
        <is>
          <t>观望</t>
        </is>
      </c>
      <c r="G5613" t="n">
        <v>1</v>
      </c>
      <c r="H5613" t="n">
        <v>24525</v>
      </c>
      <c r="I5613" t="n">
        <v>25552.5</v>
      </c>
      <c r="J5613" t="n">
        <v>1</v>
      </c>
      <c r="K5613" t="inlineStr">
        <is>
          <t>逆5日线（收盘在5日线上，不追空）</t>
        </is>
      </c>
    </row>
    <row r="5614">
      <c r="A5614" t="inlineStr">
        <is>
          <t>2026-05-12</t>
        </is>
      </c>
      <c r="B5614" t="inlineStr">
        <is>
          <t>沥青</t>
        </is>
      </c>
      <c r="C5614" t="inlineStr">
        <is>
          <t>多</t>
        </is>
      </c>
      <c r="D5614" t="n">
        <v>3</v>
      </c>
      <c r="E5614" t="n">
        <v>7</v>
      </c>
      <c r="F5614" t="inlineStr">
        <is>
          <t>开仓</t>
        </is>
      </c>
      <c r="G5614" t="n">
        <v>8</v>
      </c>
      <c r="H5614" t="n">
        <v>4477</v>
      </c>
      <c r="I5614" t="n">
        <v>4142.71</v>
      </c>
      <c r="J5614" t="n">
        <v>3</v>
      </c>
      <c r="K5614" t="inlineStr">
        <is>
          <t>¼凯利超上限，取3%</t>
        </is>
      </c>
    </row>
    <row r="5615">
      <c r="A5615" t="inlineStr">
        <is>
          <t>2026-05-12</t>
        </is>
      </c>
      <c r="B5615" t="inlineStr">
        <is>
          <t>螺纹钢</t>
        </is>
      </c>
      <c r="C5615" t="inlineStr">
        <is>
          <t>多</t>
        </is>
      </c>
      <c r="D5615" t="n">
        <v>3</v>
      </c>
      <c r="E5615" t="n">
        <v>6</v>
      </c>
      <c r="F5615" t="inlineStr">
        <is>
          <t>观望</t>
        </is>
      </c>
      <c r="H5615" t="n">
        <v>3255</v>
      </c>
      <c r="J5615" t="n">
        <v>0</v>
      </c>
      <c r="K5615" t="inlineStr">
        <is>
          <t>逆5日线（收盘在5日线下，不追多）</t>
        </is>
      </c>
    </row>
    <row r="5616">
      <c r="A5616" t="inlineStr">
        <is>
          <t>2026-05-12</t>
        </is>
      </c>
      <c r="B5616" t="inlineStr">
        <is>
          <t>白糖</t>
        </is>
      </c>
      <c r="C5616" t="inlineStr">
        <is>
          <t>多</t>
        </is>
      </c>
      <c r="D5616" t="n">
        <v>3</v>
      </c>
      <c r="E5616" t="n">
        <v>6</v>
      </c>
      <c r="F5616" t="inlineStr">
        <is>
          <t>续持</t>
        </is>
      </c>
      <c r="G5616" t="n">
        <v>18</v>
      </c>
      <c r="H5616" t="n">
        <v>5504</v>
      </c>
      <c r="I5616" t="n">
        <v>5355.21</v>
      </c>
      <c r="J5616" t="n">
        <v>3</v>
      </c>
      <c r="K5616" t="inlineStr">
        <is>
          <t>续持原仓（2026-05-07开）</t>
        </is>
      </c>
    </row>
    <row r="5617">
      <c r="A5617" t="inlineStr">
        <is>
          <t>2026-05-12</t>
        </is>
      </c>
      <c r="B5617" t="inlineStr">
        <is>
          <t>焦煤</t>
        </is>
      </c>
      <c r="C5617" t="inlineStr">
        <is>
          <t>多</t>
        </is>
      </c>
      <c r="D5617" t="n">
        <v>2</v>
      </c>
      <c r="E5617" t="n">
        <v>5</v>
      </c>
      <c r="F5617" t="inlineStr">
        <is>
          <t>观望</t>
        </is>
      </c>
      <c r="G5617" t="n">
        <v>1</v>
      </c>
      <c r="H5617" t="n">
        <v>1241</v>
      </c>
      <c r="I5617" t="n">
        <v>1134.29</v>
      </c>
      <c r="J5617" t="n">
        <v>1</v>
      </c>
      <c r="K5617" t="inlineStr">
        <is>
          <t>逆5日线（收盘在5日线下，不追多）</t>
        </is>
      </c>
    </row>
    <row r="5618">
      <c r="A5618" t="inlineStr">
        <is>
          <t>2026-05-12</t>
        </is>
      </c>
      <c r="B5618" t="inlineStr">
        <is>
          <t>锰硅</t>
        </is>
      </c>
      <c r="C5618" t="inlineStr">
        <is>
          <t>空</t>
        </is>
      </c>
      <c r="D5618" t="n">
        <v>2</v>
      </c>
      <c r="E5618" t="n">
        <v>5</v>
      </c>
      <c r="F5618" t="inlineStr">
        <is>
          <t>续持</t>
        </is>
      </c>
      <c r="G5618" t="n">
        <v>8</v>
      </c>
      <c r="H5618" t="n">
        <v>5878</v>
      </c>
      <c r="I5618" t="n">
        <v>6122.71</v>
      </c>
      <c r="J5618" t="n">
        <v>1</v>
      </c>
      <c r="K5618" t="inlineStr">
        <is>
          <t>续持原仓（2026-05-11开）</t>
        </is>
      </c>
    </row>
    <row r="5619">
      <c r="A5619" t="inlineStr">
        <is>
          <t>2026-05-12</t>
        </is>
      </c>
      <c r="B5619" t="inlineStr">
        <is>
          <t>碳酸锂</t>
        </is>
      </c>
      <c r="C5619" t="inlineStr">
        <is>
          <t>多</t>
        </is>
      </c>
      <c r="D5619" t="n">
        <v>2</v>
      </c>
      <c r="E5619" t="n">
        <v>4</v>
      </c>
      <c r="F5619" t="inlineStr">
        <is>
          <t>不做</t>
        </is>
      </c>
      <c r="H5619" t="n">
        <v>205260</v>
      </c>
      <c r="J5619" t="n">
        <v>1</v>
      </c>
      <c r="K5619" t="inlineStr">
        <is>
          <t>1手风险22466元超过预算10000元</t>
        </is>
      </c>
    </row>
    <row r="5620">
      <c r="A5620" t="inlineStr">
        <is>
          <t>2026-05-12</t>
        </is>
      </c>
      <c r="B5620" t="inlineStr">
        <is>
          <t>玉米</t>
        </is>
      </c>
      <c r="C5620" t="inlineStr">
        <is>
          <t>空</t>
        </is>
      </c>
      <c r="D5620" t="n">
        <v>2</v>
      </c>
      <c r="E5620" t="n">
        <v>4</v>
      </c>
      <c r="F5620" t="inlineStr">
        <is>
          <t>续持</t>
        </is>
      </c>
      <c r="G5620" t="n">
        <v>14</v>
      </c>
      <c r="H5620" t="n">
        <v>2359</v>
      </c>
      <c r="I5620" t="n">
        <v>2415.79</v>
      </c>
      <c r="J5620" t="n">
        <v>1</v>
      </c>
      <c r="K5620" t="inlineStr">
        <is>
          <t>续持原仓（2026-05-11开）</t>
        </is>
      </c>
    </row>
    <row r="5621">
      <c r="A5621" t="inlineStr">
        <is>
          <t>2026-05-13</t>
        </is>
      </c>
      <c r="B5621" t="inlineStr">
        <is>
          <t>棉花</t>
        </is>
      </c>
      <c r="C5621" t="inlineStr">
        <is>
          <t>多</t>
        </is>
      </c>
      <c r="D5621" t="n">
        <v>3</v>
      </c>
      <c r="E5621" t="n">
        <v>7</v>
      </c>
      <c r="F5621" t="inlineStr">
        <is>
          <t>不做</t>
        </is>
      </c>
      <c r="H5621" t="n">
        <v>16495</v>
      </c>
      <c r="J5621" t="n">
        <v>0</v>
      </c>
      <c r="K5621" t="inlineStr">
        <is>
          <t>组合风险已近10%，预算缩小</t>
        </is>
      </c>
    </row>
    <row r="5622">
      <c r="A5622" t="inlineStr">
        <is>
          <t>2026-05-13</t>
        </is>
      </c>
      <c r="B5622" t="inlineStr">
        <is>
          <t>热卷</t>
        </is>
      </c>
      <c r="C5622" t="inlineStr">
        <is>
          <t>多</t>
        </is>
      </c>
      <c r="D5622" t="n">
        <v>3</v>
      </c>
      <c r="E5622" t="n">
        <v>6</v>
      </c>
      <c r="F5622" t="inlineStr">
        <is>
          <t>观望</t>
        </is>
      </c>
      <c r="H5622" t="n">
        <v>3481</v>
      </c>
      <c r="J5622" t="n">
        <v>0</v>
      </c>
      <c r="K5622" t="inlineStr">
        <is>
          <t>逆5日线（收盘在5日线下，不追多）</t>
        </is>
      </c>
    </row>
    <row r="5623">
      <c r="A5623" t="inlineStr">
        <is>
          <t>2026-05-13</t>
        </is>
      </c>
      <c r="B5623" t="inlineStr">
        <is>
          <t>螺纹钢</t>
        </is>
      </c>
      <c r="C5623" t="inlineStr">
        <is>
          <t>多</t>
        </is>
      </c>
      <c r="D5623" t="n">
        <v>3</v>
      </c>
      <c r="E5623" t="n">
        <v>6</v>
      </c>
      <c r="F5623" t="inlineStr">
        <is>
          <t>观望</t>
        </is>
      </c>
      <c r="H5623" t="n">
        <v>3257</v>
      </c>
      <c r="J5623" t="n">
        <v>0</v>
      </c>
      <c r="K5623" t="inlineStr">
        <is>
          <t>逆5日线（收盘在5日线下，不追多）</t>
        </is>
      </c>
    </row>
    <row r="5624">
      <c r="A5624" t="inlineStr">
        <is>
          <t>2026-05-13</t>
        </is>
      </c>
      <c r="B5624" t="inlineStr">
        <is>
          <t>铁矿石</t>
        </is>
      </c>
      <c r="C5624" t="inlineStr">
        <is>
          <t>多</t>
        </is>
      </c>
      <c r="D5624" t="n">
        <v>3</v>
      </c>
      <c r="E5624" t="n">
        <v>6</v>
      </c>
      <c r="F5624" t="inlineStr">
        <is>
          <t>续持</t>
        </is>
      </c>
      <c r="G5624" t="n">
        <v>8</v>
      </c>
      <c r="H5624" t="n">
        <v>820</v>
      </c>
      <c r="I5624" t="n">
        <v>790.04</v>
      </c>
      <c r="J5624" t="n">
        <v>3</v>
      </c>
      <c r="K5624" t="inlineStr">
        <is>
          <t>续持原仓（2026-05-11开）</t>
        </is>
      </c>
    </row>
    <row r="5625">
      <c r="A5625" t="inlineStr">
        <is>
          <t>2026-05-13</t>
        </is>
      </c>
      <c r="B5625" t="inlineStr">
        <is>
          <t>豆粕</t>
        </is>
      </c>
      <c r="C5625" t="inlineStr">
        <is>
          <t>多</t>
        </is>
      </c>
      <c r="D5625" t="n">
        <v>3</v>
      </c>
      <c r="E5625" t="n">
        <v>6</v>
      </c>
      <c r="F5625" t="inlineStr">
        <is>
          <t>不做</t>
        </is>
      </c>
      <c r="H5625" t="n">
        <v>3048</v>
      </c>
      <c r="J5625" t="n">
        <v>0</v>
      </c>
      <c r="K5625" t="inlineStr">
        <is>
          <t>组合风险已近10%，预算缩小</t>
        </is>
      </c>
    </row>
    <row r="5626">
      <c r="A5626" t="inlineStr">
        <is>
          <t>2026-05-13</t>
        </is>
      </c>
      <c r="B5626" t="inlineStr">
        <is>
          <t>玉米</t>
        </is>
      </c>
      <c r="C5626" t="inlineStr">
        <is>
          <t>空</t>
        </is>
      </c>
      <c r="D5626" t="n">
        <v>2</v>
      </c>
      <c r="E5626" t="n">
        <v>4</v>
      </c>
      <c r="F5626" t="inlineStr">
        <is>
          <t>观望</t>
        </is>
      </c>
      <c r="G5626" t="n">
        <v>15</v>
      </c>
      <c r="H5626" t="n">
        <v>2378</v>
      </c>
      <c r="I5626" t="n">
        <v>2443.36</v>
      </c>
      <c r="J5626" t="n">
        <v>1</v>
      </c>
      <c r="K5626" t="inlineStr">
        <is>
          <t>逆5日线（收盘在5日线上，不追空）</t>
        </is>
      </c>
    </row>
    <row r="5627">
      <c r="A5627" t="inlineStr">
        <is>
          <t>2026-05-13</t>
        </is>
      </c>
      <c r="B5627" t="inlineStr">
        <is>
          <t>锰硅</t>
        </is>
      </c>
      <c r="C5627" t="inlineStr">
        <is>
          <t>空</t>
        </is>
      </c>
      <c r="D5627" t="n">
        <v>2</v>
      </c>
      <c r="E5627" t="n">
        <v>4</v>
      </c>
      <c r="F5627" t="inlineStr">
        <is>
          <t>续持</t>
        </is>
      </c>
      <c r="G5627" t="n">
        <v>8</v>
      </c>
      <c r="H5627" t="n">
        <v>5928</v>
      </c>
      <c r="I5627" t="n">
        <v>6113</v>
      </c>
      <c r="J5627" t="n">
        <v>1</v>
      </c>
      <c r="K5627" t="inlineStr">
        <is>
          <t>续持原仓（2026-05-11开）</t>
        </is>
      </c>
    </row>
    <row r="5628">
      <c r="A5628" t="inlineStr">
        <is>
          <t>2026-05-14</t>
        </is>
      </c>
      <c r="B5628" t="inlineStr">
        <is>
          <t>白糖</t>
        </is>
      </c>
      <c r="C5628" t="inlineStr">
        <is>
          <t>多</t>
        </is>
      </c>
      <c r="D5628" t="n">
        <v>3</v>
      </c>
      <c r="E5628" t="n">
        <v>7</v>
      </c>
      <c r="F5628" t="inlineStr">
        <is>
          <t>续持</t>
        </is>
      </c>
      <c r="G5628" t="n">
        <v>18</v>
      </c>
      <c r="H5628" t="n">
        <v>5497</v>
      </c>
      <c r="I5628" t="n">
        <v>5377.07</v>
      </c>
      <c r="J5628" t="n">
        <v>3</v>
      </c>
      <c r="K5628" t="inlineStr">
        <is>
          <t>续持原仓（2026-05-07开）</t>
        </is>
      </c>
    </row>
    <row r="5629">
      <c r="A5629" t="inlineStr">
        <is>
          <t>2026-05-14</t>
        </is>
      </c>
      <c r="B5629" t="inlineStr">
        <is>
          <t>螺纹钢</t>
        </is>
      </c>
      <c r="C5629" t="inlineStr">
        <is>
          <t>多</t>
        </is>
      </c>
      <c r="D5629" t="n">
        <v>3</v>
      </c>
      <c r="E5629" t="n">
        <v>6</v>
      </c>
      <c r="F5629" t="inlineStr">
        <is>
          <t>观望</t>
        </is>
      </c>
      <c r="H5629" t="n">
        <v>3255</v>
      </c>
      <c r="J5629" t="n">
        <v>0</v>
      </c>
      <c r="K5629" t="inlineStr">
        <is>
          <t>逆5日线（收盘在5日线下，不追多）</t>
        </is>
      </c>
    </row>
    <row r="5630">
      <c r="A5630" t="inlineStr">
        <is>
          <t>2026-05-14</t>
        </is>
      </c>
      <c r="B5630" t="inlineStr">
        <is>
          <t>沥青</t>
        </is>
      </c>
      <c r="C5630" t="inlineStr">
        <is>
          <t>多</t>
        </is>
      </c>
      <c r="D5630" t="n">
        <v>3</v>
      </c>
      <c r="E5630" t="n">
        <v>6</v>
      </c>
      <c r="F5630" t="inlineStr">
        <is>
          <t>续持</t>
        </is>
      </c>
      <c r="G5630" t="n">
        <v>8</v>
      </c>
      <c r="H5630" t="n">
        <v>4387</v>
      </c>
      <c r="I5630" t="n">
        <v>4164.36</v>
      </c>
      <c r="J5630" t="n">
        <v>3</v>
      </c>
      <c r="K5630" t="inlineStr">
        <is>
          <t>续持原仓（2026-05-12开）</t>
        </is>
      </c>
    </row>
    <row r="5631">
      <c r="A5631" t="inlineStr">
        <is>
          <t>2026-05-14</t>
        </is>
      </c>
      <c r="B5631" t="inlineStr">
        <is>
          <t>锰硅</t>
        </is>
      </c>
      <c r="C5631" t="inlineStr">
        <is>
          <t>空</t>
        </is>
      </c>
      <c r="D5631" t="n">
        <v>3</v>
      </c>
      <c r="E5631" t="n">
        <v>6</v>
      </c>
      <c r="F5631" t="inlineStr">
        <is>
          <t>续持</t>
        </is>
      </c>
      <c r="G5631" t="n">
        <v>8</v>
      </c>
      <c r="H5631" t="n">
        <v>5910</v>
      </c>
      <c r="I5631" t="n">
        <v>6110.86</v>
      </c>
      <c r="J5631" t="n">
        <v>1</v>
      </c>
      <c r="K5631" t="inlineStr">
        <is>
          <t>续持原仓（2026-05-11开）</t>
        </is>
      </c>
    </row>
    <row r="5632">
      <c r="A5632" t="inlineStr">
        <is>
          <t>2026-05-14</t>
        </is>
      </c>
      <c r="B5632" t="inlineStr">
        <is>
          <t>沪铝</t>
        </is>
      </c>
      <c r="C5632" t="inlineStr">
        <is>
          <t>空</t>
        </is>
      </c>
      <c r="D5632" t="n">
        <v>3</v>
      </c>
      <c r="E5632" t="n">
        <v>6</v>
      </c>
      <c r="F5632" t="inlineStr">
        <is>
          <t>观望</t>
        </is>
      </c>
      <c r="H5632" t="n">
        <v>24670</v>
      </c>
      <c r="J5632" t="n">
        <v>0</v>
      </c>
      <c r="K5632" t="inlineStr">
        <is>
          <t>逆5日线（收盘在5日线上，不追空）</t>
        </is>
      </c>
    </row>
    <row r="5633">
      <c r="A5633" t="inlineStr">
        <is>
          <t>2026-05-14</t>
        </is>
      </c>
      <c r="B5633" t="inlineStr">
        <is>
          <t>热卷</t>
        </is>
      </c>
      <c r="C5633" t="inlineStr">
        <is>
          <t>多</t>
        </is>
      </c>
      <c r="D5633" t="n">
        <v>2</v>
      </c>
      <c r="E5633" t="n">
        <v>5</v>
      </c>
      <c r="F5633" t="inlineStr">
        <is>
          <t>观望</t>
        </is>
      </c>
      <c r="G5633" t="n">
        <v>8</v>
      </c>
      <c r="H5633" t="n">
        <v>3478</v>
      </c>
      <c r="I5633" t="n">
        <v>3363.14</v>
      </c>
      <c r="J5633" t="n">
        <v>1</v>
      </c>
      <c r="K5633" t="inlineStr">
        <is>
          <t>逆5日线（收盘在5日线下，不追多）</t>
        </is>
      </c>
    </row>
    <row r="5634">
      <c r="A5634" t="inlineStr">
        <is>
          <t>2026-05-14</t>
        </is>
      </c>
      <c r="B5634" t="inlineStr">
        <is>
          <t>棉花</t>
        </is>
      </c>
      <c r="C5634" t="inlineStr">
        <is>
          <t>多</t>
        </is>
      </c>
      <c r="D5634" t="n">
        <v>2</v>
      </c>
      <c r="E5634" t="n">
        <v>5</v>
      </c>
      <c r="F5634" t="inlineStr">
        <is>
          <t>影子仓</t>
        </is>
      </c>
      <c r="G5634" t="n">
        <v>2</v>
      </c>
      <c r="H5634" t="n">
        <v>16435</v>
      </c>
      <c r="I5634" t="n">
        <v>15611.07</v>
      </c>
      <c r="J5634" t="n">
        <v>1</v>
      </c>
      <c r="K5634" t="inlineStr">
        <is>
          <t>凯利≤0，开1%影子仓（只统计，不计入组合）</t>
        </is>
      </c>
    </row>
    <row r="5635">
      <c r="A5635" t="inlineStr">
        <is>
          <t>2026-05-14</t>
        </is>
      </c>
      <c r="B5635" t="inlineStr">
        <is>
          <t>玉米</t>
        </is>
      </c>
      <c r="C5635" t="inlineStr">
        <is>
          <t>空</t>
        </is>
      </c>
      <c r="D5635" t="n">
        <v>2</v>
      </c>
      <c r="E5635" t="n">
        <v>5</v>
      </c>
      <c r="F5635" t="inlineStr">
        <is>
          <t>观望</t>
        </is>
      </c>
      <c r="G5635" t="n">
        <v>15</v>
      </c>
      <c r="H5635" t="n">
        <v>2367</v>
      </c>
      <c r="I5635" t="n">
        <v>2431.29</v>
      </c>
      <c r="J5635" t="n">
        <v>1</v>
      </c>
      <c r="K5635" t="inlineStr">
        <is>
          <t>逆5日线（收盘在5日线上，不追空）</t>
        </is>
      </c>
    </row>
    <row r="5636">
      <c r="A5636" t="inlineStr">
        <is>
          <t>2026-05-15</t>
        </is>
      </c>
      <c r="B5636" t="inlineStr">
        <is>
          <t>沥青</t>
        </is>
      </c>
      <c r="C5636" t="inlineStr">
        <is>
          <t>多</t>
        </is>
      </c>
      <c r="D5636" t="n">
        <v>3</v>
      </c>
      <c r="E5636" t="n">
        <v>7</v>
      </c>
      <c r="F5636" t="inlineStr">
        <is>
          <t>续持</t>
        </is>
      </c>
      <c r="G5636" t="n">
        <v>8</v>
      </c>
      <c r="H5636" t="n">
        <v>4448</v>
      </c>
      <c r="I5636" t="n">
        <v>4164.36</v>
      </c>
      <c r="J5636" t="n">
        <v>3</v>
      </c>
      <c r="K5636" t="inlineStr">
        <is>
          <t>续持原仓（2026-05-12开）</t>
        </is>
      </c>
    </row>
    <row r="5637">
      <c r="A5637" t="inlineStr">
        <is>
          <t>2026-05-15</t>
        </is>
      </c>
      <c r="B5637" t="inlineStr">
        <is>
          <t>工业硅</t>
        </is>
      </c>
      <c r="C5637" t="inlineStr">
        <is>
          <t>空</t>
        </is>
      </c>
      <c r="D5637" t="n">
        <v>2</v>
      </c>
      <c r="E5637" t="n">
        <v>4</v>
      </c>
      <c r="F5637" t="inlineStr">
        <is>
          <t>影子仓</t>
        </is>
      </c>
      <c r="G5637" t="n">
        <v>3</v>
      </c>
      <c r="H5637" t="n">
        <v>8480</v>
      </c>
      <c r="I5637" t="n">
        <v>9116.43</v>
      </c>
      <c r="J5637" t="n">
        <v>1</v>
      </c>
      <c r="K5637" t="inlineStr">
        <is>
          <t>凯利≤0，开1%影子仓（只统计，不计入组合）</t>
        </is>
      </c>
    </row>
    <row r="5638">
      <c r="A5638" t="inlineStr">
        <is>
          <t>2026-05-15</t>
        </is>
      </c>
      <c r="B5638" t="inlineStr">
        <is>
          <t>玉米</t>
        </is>
      </c>
      <c r="C5638" t="inlineStr">
        <is>
          <t>空</t>
        </is>
      </c>
      <c r="D5638" t="n">
        <v>2</v>
      </c>
      <c r="E5638" t="n">
        <v>4</v>
      </c>
      <c r="F5638" t="inlineStr">
        <is>
          <t>续持</t>
        </is>
      </c>
      <c r="G5638" t="n">
        <v>14</v>
      </c>
      <c r="H5638" t="n">
        <v>2355</v>
      </c>
      <c r="I5638" t="n">
        <v>2414.29</v>
      </c>
      <c r="J5638" t="n">
        <v>1</v>
      </c>
      <c r="K5638" t="inlineStr">
        <is>
          <t>续持原仓（2026-05-11开）</t>
        </is>
      </c>
    </row>
    <row r="5639">
      <c r="A5639" t="inlineStr">
        <is>
          <t>2026-05-15</t>
        </is>
      </c>
      <c r="B5639" t="inlineStr">
        <is>
          <t>纯碱</t>
        </is>
      </c>
      <c r="C5639" t="inlineStr">
        <is>
          <t>空</t>
        </is>
      </c>
      <c r="D5639" t="n">
        <v>2</v>
      </c>
      <c r="E5639" t="n">
        <v>4</v>
      </c>
      <c r="F5639" t="inlineStr">
        <is>
          <t>影子仓</t>
        </is>
      </c>
      <c r="G5639" t="n">
        <v>7</v>
      </c>
      <c r="H5639" t="n">
        <v>1190</v>
      </c>
      <c r="I5639" t="n">
        <v>1260.29</v>
      </c>
      <c r="J5639" t="n">
        <v>1</v>
      </c>
      <c r="K5639" t="inlineStr">
        <is>
          <t>凯利≤0，开1%影子仓（只统计，不计入组合）</t>
        </is>
      </c>
    </row>
    <row r="5640">
      <c r="A5640" t="inlineStr">
        <is>
          <t>2026-05-18</t>
        </is>
      </c>
      <c r="B5640" t="inlineStr">
        <is>
          <t>尿素</t>
        </is>
      </c>
      <c r="C5640" t="inlineStr">
        <is>
          <t>空</t>
        </is>
      </c>
      <c r="D5640" t="n">
        <v>3</v>
      </c>
      <c r="E5640" t="n">
        <v>7</v>
      </c>
      <c r="F5640" t="inlineStr">
        <is>
          <t>开仓</t>
        </is>
      </c>
      <c r="G5640" t="n">
        <v>13</v>
      </c>
      <c r="H5640" t="n">
        <v>1834</v>
      </c>
      <c r="I5640" t="n">
        <v>1942.64</v>
      </c>
      <c r="J5640" t="n">
        <v>3</v>
      </c>
      <c r="K5640" t="inlineStr">
        <is>
          <t>¼凯利超上限，取3%</t>
        </is>
      </c>
    </row>
    <row r="5641">
      <c r="A5641" t="inlineStr">
        <is>
          <t>2026-05-18</t>
        </is>
      </c>
      <c r="B5641" t="inlineStr">
        <is>
          <t>锰硅</t>
        </is>
      </c>
      <c r="C5641" t="inlineStr">
        <is>
          <t>空</t>
        </is>
      </c>
      <c r="D5641" t="n">
        <v>3</v>
      </c>
      <c r="E5641" t="n">
        <v>6</v>
      </c>
      <c r="F5641" t="inlineStr">
        <is>
          <t>观望</t>
        </is>
      </c>
      <c r="G5641" t="n">
        <v>22</v>
      </c>
      <c r="H5641" t="n">
        <v>5892</v>
      </c>
      <c r="I5641" t="n">
        <v>6158.57</v>
      </c>
      <c r="J5641" t="n">
        <v>3</v>
      </c>
      <c r="K5641" t="inlineStr">
        <is>
          <t>逆5日线（收盘在5日线上，不追空）</t>
        </is>
      </c>
    </row>
    <row r="5642">
      <c r="A5642" t="inlineStr">
        <is>
          <t>2026-05-18</t>
        </is>
      </c>
      <c r="B5642" t="inlineStr">
        <is>
          <t>玉米</t>
        </is>
      </c>
      <c r="C5642" t="inlineStr">
        <is>
          <t>空</t>
        </is>
      </c>
      <c r="D5642" t="n">
        <v>2</v>
      </c>
      <c r="E5642" t="n">
        <v>5</v>
      </c>
      <c r="F5642" t="inlineStr">
        <is>
          <t>续持</t>
        </is>
      </c>
      <c r="G5642" t="n">
        <v>14</v>
      </c>
      <c r="H5642" t="n">
        <v>2353</v>
      </c>
      <c r="I5642" t="n">
        <v>2409.07</v>
      </c>
      <c r="J5642" t="n">
        <v>1</v>
      </c>
      <c r="K5642" t="inlineStr">
        <is>
          <t>续持原仓（2026-05-11开）</t>
        </is>
      </c>
    </row>
    <row r="5643">
      <c r="A5643" t="inlineStr">
        <is>
          <t>2026-05-18</t>
        </is>
      </c>
      <c r="B5643" t="inlineStr">
        <is>
          <t>聚丙烯</t>
        </is>
      </c>
      <c r="C5643" t="inlineStr">
        <is>
          <t>多</t>
        </is>
      </c>
      <c r="D5643" t="n">
        <v>2</v>
      </c>
      <c r="E5643" t="n">
        <v>5</v>
      </c>
      <c r="F5643" t="inlineStr">
        <is>
          <t>影子仓</t>
        </is>
      </c>
      <c r="G5643" t="n">
        <v>3</v>
      </c>
      <c r="H5643" t="n">
        <v>8940</v>
      </c>
      <c r="I5643" t="n">
        <v>8345.139999999999</v>
      </c>
      <c r="J5643" t="n">
        <v>1</v>
      </c>
      <c r="K5643" t="inlineStr">
        <is>
          <t>凯利≤0，开1%影子仓（只统计，不计入组合）</t>
        </is>
      </c>
    </row>
    <row r="5644">
      <c r="A5644" t="inlineStr">
        <is>
          <t>2026-05-18</t>
        </is>
      </c>
      <c r="B5644" t="inlineStr">
        <is>
          <t>甲醇</t>
        </is>
      </c>
      <c r="C5644" t="inlineStr">
        <is>
          <t>多</t>
        </is>
      </c>
      <c r="D5644" t="n">
        <v>2</v>
      </c>
      <c r="E5644" t="n">
        <v>4</v>
      </c>
      <c r="F5644" t="inlineStr">
        <is>
          <t>影子仓</t>
        </is>
      </c>
      <c r="G5644" t="n">
        <v>4</v>
      </c>
      <c r="H5644" t="n">
        <v>2979</v>
      </c>
      <c r="I5644" t="n">
        <v>2731.93</v>
      </c>
      <c r="J5644" t="n">
        <v>1</v>
      </c>
      <c r="K5644" t="inlineStr">
        <is>
          <t>凯利≤0，开1%影子仓（只统计，不计入组合）</t>
        </is>
      </c>
    </row>
    <row r="5645">
      <c r="A5645" t="inlineStr">
        <is>
          <t>2026-05-19</t>
        </is>
      </c>
      <c r="B5645" t="inlineStr">
        <is>
          <t>纯碱</t>
        </is>
      </c>
      <c r="C5645" t="inlineStr">
        <is>
          <t>空</t>
        </is>
      </c>
      <c r="D5645" t="n">
        <v>3</v>
      </c>
      <c r="E5645" t="n">
        <v>7</v>
      </c>
      <c r="F5645" t="inlineStr">
        <is>
          <t>续持</t>
        </is>
      </c>
      <c r="G5645" t="n">
        <v>7</v>
      </c>
      <c r="H5645" t="n">
        <v>1193</v>
      </c>
      <c r="I5645" t="n">
        <v>1254.21</v>
      </c>
      <c r="J5645" t="n">
        <v>1</v>
      </c>
      <c r="K5645" t="inlineStr">
        <is>
          <t>续持原仓（2026-05-15开）</t>
        </is>
      </c>
    </row>
    <row r="5646">
      <c r="A5646" t="inlineStr">
        <is>
          <t>2026-05-19</t>
        </is>
      </c>
      <c r="B5646" t="inlineStr">
        <is>
          <t>沥青</t>
        </is>
      </c>
      <c r="C5646" t="inlineStr">
        <is>
          <t>多</t>
        </is>
      </c>
      <c r="D5646" t="n">
        <v>3</v>
      </c>
      <c r="E5646" t="n">
        <v>7</v>
      </c>
      <c r="F5646" t="inlineStr">
        <is>
          <t>开仓</t>
        </is>
      </c>
      <c r="G5646" t="n">
        <v>9</v>
      </c>
      <c r="H5646" t="n">
        <v>4360</v>
      </c>
      <c r="I5646" t="n">
        <v>4030.86</v>
      </c>
      <c r="J5646" t="n">
        <v>3</v>
      </c>
      <c r="K5646" t="inlineStr">
        <is>
          <t>¼凯利超上限，取3%</t>
        </is>
      </c>
    </row>
    <row r="5647">
      <c r="A5647" t="inlineStr">
        <is>
          <t>2026-05-19</t>
        </is>
      </c>
      <c r="B5647" t="inlineStr">
        <is>
          <t>尿素</t>
        </is>
      </c>
      <c r="C5647" t="inlineStr">
        <is>
          <t>空</t>
        </is>
      </c>
      <c r="D5647" t="n">
        <v>2</v>
      </c>
      <c r="E5647" t="n">
        <v>5</v>
      </c>
      <c r="F5647" t="inlineStr">
        <is>
          <t>续持</t>
        </is>
      </c>
      <c r="G5647" t="n">
        <v>13</v>
      </c>
      <c r="H5647" t="n">
        <v>1817</v>
      </c>
      <c r="I5647" t="n">
        <v>1916.21</v>
      </c>
      <c r="J5647" t="n">
        <v>3</v>
      </c>
      <c r="K5647" t="inlineStr">
        <is>
          <t>续持原仓（2026-05-18开）</t>
        </is>
      </c>
    </row>
    <row r="5648">
      <c r="A5648" t="inlineStr">
        <is>
          <t>2026-05-19</t>
        </is>
      </c>
      <c r="B5648" t="inlineStr">
        <is>
          <t>锰硅</t>
        </is>
      </c>
      <c r="C5648" t="inlineStr">
        <is>
          <t>空</t>
        </is>
      </c>
      <c r="D5648" t="n">
        <v>2</v>
      </c>
      <c r="E5648" t="n">
        <v>5</v>
      </c>
      <c r="F5648" t="inlineStr">
        <is>
          <t>观望</t>
        </is>
      </c>
      <c r="G5648" t="n">
        <v>7</v>
      </c>
      <c r="H5648" t="n">
        <v>5908</v>
      </c>
      <c r="I5648" t="n">
        <v>6170.71</v>
      </c>
      <c r="J5648" t="n">
        <v>1</v>
      </c>
      <c r="K5648" t="inlineStr">
        <is>
          <t>逆5日线（收盘在5日线上，不追空）</t>
        </is>
      </c>
    </row>
    <row r="5649">
      <c r="A5649" t="inlineStr">
        <is>
          <t>2026-05-19</t>
        </is>
      </c>
      <c r="B5649" t="inlineStr">
        <is>
          <t>聚丙烯</t>
        </is>
      </c>
      <c r="C5649" t="inlineStr">
        <is>
          <t>多</t>
        </is>
      </c>
      <c r="D5649" t="n">
        <v>2</v>
      </c>
      <c r="E5649" t="n">
        <v>4</v>
      </c>
      <c r="F5649" t="inlineStr">
        <is>
          <t>续持</t>
        </is>
      </c>
      <c r="G5649" t="n">
        <v>3</v>
      </c>
      <c r="H5649" t="n">
        <v>8944</v>
      </c>
      <c r="I5649" t="n">
        <v>8352.07</v>
      </c>
      <c r="J5649" t="n">
        <v>1</v>
      </c>
      <c r="K5649" t="inlineStr">
        <is>
          <t>续持原仓（2026-05-18开）</t>
        </is>
      </c>
    </row>
    <row r="5650">
      <c r="A5650" t="inlineStr">
        <is>
          <t>2026-05-19</t>
        </is>
      </c>
      <c r="B5650" t="inlineStr">
        <is>
          <t>氧化铝</t>
        </is>
      </c>
      <c r="C5650" t="inlineStr">
        <is>
          <t>空</t>
        </is>
      </c>
      <c r="D5650" t="n">
        <v>2</v>
      </c>
      <c r="E5650" t="n">
        <v>4</v>
      </c>
      <c r="F5650" t="inlineStr">
        <is>
          <t>续持</t>
        </is>
      </c>
      <c r="G5650" t="n">
        <v>3</v>
      </c>
      <c r="H5650" t="n">
        <v>2724</v>
      </c>
      <c r="I5650" t="n">
        <v>2880.43</v>
      </c>
      <c r="J5650" t="n">
        <v>1</v>
      </c>
      <c r="K5650" t="inlineStr">
        <is>
          <t>续持原仓（2026-04-24开）</t>
        </is>
      </c>
    </row>
    <row r="5651">
      <c r="A5651" t="inlineStr">
        <is>
          <t>2026-05-20</t>
        </is>
      </c>
      <c r="B5651" t="inlineStr">
        <is>
          <t>氧化铝</t>
        </is>
      </c>
      <c r="C5651" t="inlineStr">
        <is>
          <t>空</t>
        </is>
      </c>
      <c r="D5651" t="n">
        <v>3</v>
      </c>
      <c r="E5651" t="n">
        <v>7</v>
      </c>
      <c r="F5651" t="inlineStr">
        <is>
          <t>续持</t>
        </is>
      </c>
      <c r="G5651" t="n">
        <v>3</v>
      </c>
      <c r="H5651" t="n">
        <v>2713</v>
      </c>
      <c r="I5651" t="n">
        <v>2859.21</v>
      </c>
      <c r="J5651" t="n">
        <v>1</v>
      </c>
      <c r="K5651" t="inlineStr">
        <is>
          <t>续持原仓（2026-04-24开）</t>
        </is>
      </c>
    </row>
    <row r="5652">
      <c r="A5652" t="inlineStr">
        <is>
          <t>2026-05-20</t>
        </is>
      </c>
      <c r="B5652" t="inlineStr">
        <is>
          <t>玻璃</t>
        </is>
      </c>
      <c r="C5652" t="inlineStr">
        <is>
          <t>空</t>
        </is>
      </c>
      <c r="D5652" t="n">
        <v>3</v>
      </c>
      <c r="E5652" t="n">
        <v>7</v>
      </c>
      <c r="F5652" t="inlineStr">
        <is>
          <t>开仓</t>
        </is>
      </c>
      <c r="G5652" t="n">
        <v>20</v>
      </c>
      <c r="H5652" t="n">
        <v>1013</v>
      </c>
      <c r="I5652" t="n">
        <v>1085.86</v>
      </c>
      <c r="J5652" t="n">
        <v>3</v>
      </c>
      <c r="K5652" t="inlineStr">
        <is>
          <t>¼凯利超上限，取3%</t>
        </is>
      </c>
    </row>
    <row r="5653">
      <c r="A5653" t="inlineStr">
        <is>
          <t>2026-05-20</t>
        </is>
      </c>
      <c r="B5653" t="inlineStr">
        <is>
          <t>纯碱</t>
        </is>
      </c>
      <c r="C5653" t="inlineStr">
        <is>
          <t>空</t>
        </is>
      </c>
      <c r="D5653" t="n">
        <v>3</v>
      </c>
      <c r="E5653" t="n">
        <v>7</v>
      </c>
      <c r="F5653" t="inlineStr">
        <is>
          <t>续持</t>
        </is>
      </c>
      <c r="G5653" t="n">
        <v>7</v>
      </c>
      <c r="H5653" t="n">
        <v>1178</v>
      </c>
      <c r="I5653" t="n">
        <v>1243.79</v>
      </c>
      <c r="J5653" t="n">
        <v>1</v>
      </c>
      <c r="K5653" t="inlineStr">
        <is>
          <t>续持原仓（2026-05-15开）</t>
        </is>
      </c>
    </row>
    <row r="5654">
      <c r="A5654" t="inlineStr">
        <is>
          <t>2026-05-20</t>
        </is>
      </c>
      <c r="B5654" t="inlineStr">
        <is>
          <t>玉米淀粉</t>
        </is>
      </c>
      <c r="C5654" t="inlineStr">
        <is>
          <t>空</t>
        </is>
      </c>
      <c r="D5654" t="n">
        <v>3</v>
      </c>
      <c r="E5654" t="n">
        <v>6</v>
      </c>
      <c r="F5654" t="inlineStr">
        <is>
          <t>开仓</t>
        </is>
      </c>
      <c r="G5654" t="n">
        <v>13</v>
      </c>
      <c r="H5654" t="n">
        <v>2672</v>
      </c>
      <c r="I5654" t="n">
        <v>2748.71</v>
      </c>
      <c r="J5654" t="n">
        <v>1</v>
      </c>
      <c r="K5654" t="inlineStr">
        <is>
          <t>组合风险已近10%，预算缩小</t>
        </is>
      </c>
    </row>
    <row r="5655">
      <c r="A5655" t="inlineStr">
        <is>
          <t>2026-05-20</t>
        </is>
      </c>
      <c r="B5655" t="inlineStr">
        <is>
          <t>玉米</t>
        </is>
      </c>
      <c r="C5655" t="inlineStr">
        <is>
          <t>空</t>
        </is>
      </c>
      <c r="D5655" t="n">
        <v>3</v>
      </c>
      <c r="E5655" t="n">
        <v>6</v>
      </c>
      <c r="F5655" t="inlineStr">
        <is>
          <t>不做</t>
        </is>
      </c>
      <c r="H5655" t="n">
        <v>2351</v>
      </c>
      <c r="J5655" t="n">
        <v>0</v>
      </c>
      <c r="K5655" t="inlineStr">
        <is>
          <t>组合风险已近10%，预算缩小</t>
        </is>
      </c>
    </row>
    <row r="5656">
      <c r="A5656" t="inlineStr">
        <is>
          <t>2026-05-20</t>
        </is>
      </c>
      <c r="B5656" t="inlineStr">
        <is>
          <t>聚丙烯</t>
        </is>
      </c>
      <c r="C5656" t="inlineStr">
        <is>
          <t>多</t>
        </is>
      </c>
      <c r="D5656" t="n">
        <v>2</v>
      </c>
      <c r="E5656" t="n">
        <v>5</v>
      </c>
      <c r="F5656" t="inlineStr">
        <is>
          <t>续持</t>
        </is>
      </c>
      <c r="G5656" t="n">
        <v>3</v>
      </c>
      <c r="H5656" t="n">
        <v>8920</v>
      </c>
      <c r="I5656" t="n">
        <v>8491.43</v>
      </c>
      <c r="J5656" t="n">
        <v>1</v>
      </c>
      <c r="K5656" t="inlineStr">
        <is>
          <t>续持原仓（2026-05-18开）</t>
        </is>
      </c>
    </row>
    <row r="5657">
      <c r="A5657" t="inlineStr">
        <is>
          <t>2026-05-20</t>
        </is>
      </c>
      <c r="B5657" t="inlineStr">
        <is>
          <t>鸡蛋</t>
        </is>
      </c>
      <c r="C5657" t="inlineStr">
        <is>
          <t>多</t>
        </is>
      </c>
      <c r="D5657" t="n">
        <v>2</v>
      </c>
      <c r="E5657" t="n">
        <v>4</v>
      </c>
      <c r="F5657" t="inlineStr">
        <is>
          <t>影子仓</t>
        </is>
      </c>
      <c r="G5657" t="n">
        <v>4</v>
      </c>
      <c r="H5657" t="n">
        <v>4482</v>
      </c>
      <c r="I5657" t="n">
        <v>4244.57</v>
      </c>
      <c r="J5657" t="n">
        <v>1</v>
      </c>
      <c r="K5657" t="inlineStr">
        <is>
          <t>凯利≤0，开1%影子仓（只统计，不计入组合）</t>
        </is>
      </c>
    </row>
    <row r="5658">
      <c r="A5658" t="inlineStr">
        <is>
          <t>2026-05-21</t>
        </is>
      </c>
      <c r="B5658" t="inlineStr">
        <is>
          <t>PVC</t>
        </is>
      </c>
      <c r="C5658" t="inlineStr">
        <is>
          <t>空</t>
        </is>
      </c>
      <c r="D5658" t="n">
        <v>3</v>
      </c>
      <c r="E5658" t="n">
        <v>6</v>
      </c>
      <c r="F5658" t="inlineStr">
        <is>
          <t>开仓</t>
        </is>
      </c>
      <c r="G5658" t="n">
        <v>17</v>
      </c>
      <c r="H5658" t="n">
        <v>4865</v>
      </c>
      <c r="I5658" t="n">
        <v>5207.21</v>
      </c>
      <c r="J5658" t="n">
        <v>3</v>
      </c>
      <c r="K5658" t="inlineStr">
        <is>
          <t>¼凯利超上限，取3%</t>
        </is>
      </c>
    </row>
    <row r="5659">
      <c r="A5659" t="inlineStr">
        <is>
          <t>2026-05-21</t>
        </is>
      </c>
      <c r="B5659" t="inlineStr">
        <is>
          <t>玉米</t>
        </is>
      </c>
      <c r="C5659" t="inlineStr">
        <is>
          <t>空</t>
        </is>
      </c>
      <c r="D5659" t="n">
        <v>3</v>
      </c>
      <c r="E5659" t="n">
        <v>6</v>
      </c>
      <c r="F5659" t="inlineStr">
        <is>
          <t>开仓</t>
        </is>
      </c>
      <c r="G5659" t="n">
        <v>29</v>
      </c>
      <c r="H5659" t="n">
        <v>2324</v>
      </c>
      <c r="I5659" t="n">
        <v>2391.93</v>
      </c>
      <c r="J5659" t="n">
        <v>2</v>
      </c>
      <c r="K5659" t="inlineStr">
        <is>
          <t>与玉米淀粉高度相关（同组≤3%），预算缩小</t>
        </is>
      </c>
    </row>
    <row r="5660">
      <c r="A5660" t="inlineStr">
        <is>
          <t>2026-05-21</t>
        </is>
      </c>
      <c r="B5660" t="inlineStr">
        <is>
          <t>锰硅</t>
        </is>
      </c>
      <c r="C5660" t="inlineStr">
        <is>
          <t>空</t>
        </is>
      </c>
      <c r="D5660" t="n">
        <v>3</v>
      </c>
      <c r="E5660" t="n">
        <v>6</v>
      </c>
      <c r="F5660" t="inlineStr">
        <is>
          <t>观望</t>
        </is>
      </c>
      <c r="G5660" t="n">
        <v>23</v>
      </c>
      <c r="H5660" t="n">
        <v>5908</v>
      </c>
      <c r="I5660" t="n">
        <v>6160.86</v>
      </c>
      <c r="J5660" t="n">
        <v>3</v>
      </c>
      <c r="K5660" t="inlineStr">
        <is>
          <t>逆5日线（收盘在5日线上，不追空）</t>
        </is>
      </c>
    </row>
    <row r="5661">
      <c r="A5661" t="inlineStr">
        <is>
          <t>2026-05-21</t>
        </is>
      </c>
      <c r="B5661" t="inlineStr">
        <is>
          <t>螺纹钢</t>
        </is>
      </c>
      <c r="C5661" t="inlineStr">
        <is>
          <t>空</t>
        </is>
      </c>
      <c r="D5661" t="n">
        <v>3</v>
      </c>
      <c r="E5661" t="n">
        <v>6</v>
      </c>
      <c r="F5661" t="inlineStr">
        <is>
          <t>开仓</t>
        </is>
      </c>
      <c r="G5661" t="n">
        <v>30</v>
      </c>
      <c r="H5661" t="n">
        <v>3175</v>
      </c>
      <c r="I5661" t="n">
        <v>3274.86</v>
      </c>
      <c r="J5661" t="n">
        <v>3</v>
      </c>
      <c r="K5661" t="inlineStr">
        <is>
          <t>¼凯利超上限，取3%</t>
        </is>
      </c>
    </row>
    <row r="5662">
      <c r="A5662" t="inlineStr">
        <is>
          <t>2026-05-21</t>
        </is>
      </c>
      <c r="B5662" t="inlineStr">
        <is>
          <t>氧化铝</t>
        </is>
      </c>
      <c r="C5662" t="inlineStr">
        <is>
          <t>空</t>
        </is>
      </c>
      <c r="D5662" t="n">
        <v>2</v>
      </c>
      <c r="E5662" t="n">
        <v>5</v>
      </c>
      <c r="F5662" t="inlineStr">
        <is>
          <t>续持</t>
        </is>
      </c>
      <c r="G5662" t="n">
        <v>3</v>
      </c>
      <c r="H5662" t="n">
        <v>2709</v>
      </c>
      <c r="I5662" t="n">
        <v>2846.93</v>
      </c>
      <c r="J5662" t="n">
        <v>1</v>
      </c>
      <c r="K5662" t="inlineStr">
        <is>
          <t>续持原仓（2026-04-24开）</t>
        </is>
      </c>
    </row>
    <row r="5663">
      <c r="A5663" t="inlineStr">
        <is>
          <t>2026-05-21</t>
        </is>
      </c>
      <c r="B5663" t="inlineStr">
        <is>
          <t>沥青</t>
        </is>
      </c>
      <c r="C5663" t="inlineStr">
        <is>
          <t>多</t>
        </is>
      </c>
      <c r="D5663" t="n">
        <v>2</v>
      </c>
      <c r="E5663" t="n">
        <v>5</v>
      </c>
      <c r="F5663" t="inlineStr">
        <is>
          <t>影子仓</t>
        </is>
      </c>
      <c r="G5663" t="n">
        <v>3</v>
      </c>
      <c r="H5663" t="n">
        <v>4381</v>
      </c>
      <c r="I5663" t="n">
        <v>4071.79</v>
      </c>
      <c r="J5663" t="n">
        <v>1</v>
      </c>
      <c r="K5663" t="inlineStr">
        <is>
          <t>凯利≤0，开1%影子仓（只统计，不计入组合）</t>
        </is>
      </c>
    </row>
    <row r="5664">
      <c r="A5664" t="inlineStr">
        <is>
          <t>2026-05-22</t>
        </is>
      </c>
      <c r="B5664" t="inlineStr">
        <is>
          <t>玻璃</t>
        </is>
      </c>
      <c r="C5664" t="inlineStr">
        <is>
          <t>空</t>
        </is>
      </c>
      <c r="D5664" t="n">
        <v>3</v>
      </c>
      <c r="E5664" t="n">
        <v>7</v>
      </c>
      <c r="F5664" t="inlineStr">
        <is>
          <t>开仓</t>
        </is>
      </c>
      <c r="G5664" t="n">
        <v>20</v>
      </c>
      <c r="H5664" t="n">
        <v>1020</v>
      </c>
      <c r="I5664" t="n">
        <v>1092.21</v>
      </c>
      <c r="J5664" t="n">
        <v>3</v>
      </c>
      <c r="K5664" t="inlineStr">
        <is>
          <t>¼凯利超上限，取3%</t>
        </is>
      </c>
    </row>
    <row r="5665">
      <c r="A5665" t="inlineStr">
        <is>
          <t>2026-05-22</t>
        </is>
      </c>
      <c r="B5665" t="inlineStr">
        <is>
          <t>氧化铝</t>
        </is>
      </c>
      <c r="C5665" t="inlineStr">
        <is>
          <t>空</t>
        </is>
      </c>
      <c r="D5665" t="n">
        <v>3</v>
      </c>
      <c r="E5665" t="n">
        <v>6</v>
      </c>
      <c r="F5665" t="inlineStr">
        <is>
          <t>续持</t>
        </is>
      </c>
      <c r="G5665" t="n">
        <v>3</v>
      </c>
      <c r="H5665" t="n">
        <v>2717</v>
      </c>
      <c r="I5665" t="n">
        <v>2835</v>
      </c>
      <c r="J5665" t="n">
        <v>1</v>
      </c>
      <c r="K5665" t="inlineStr">
        <is>
          <t>续持原仓（2026-04-24开）</t>
        </is>
      </c>
    </row>
    <row r="5666">
      <c r="A5666" t="inlineStr">
        <is>
          <t>2026-05-22</t>
        </is>
      </c>
      <c r="B5666" t="inlineStr">
        <is>
          <t>锰硅</t>
        </is>
      </c>
      <c r="C5666" t="inlineStr">
        <is>
          <t>空</t>
        </is>
      </c>
      <c r="D5666" t="n">
        <v>3</v>
      </c>
      <c r="E5666" t="n">
        <v>6</v>
      </c>
      <c r="F5666" t="inlineStr">
        <is>
          <t>开仓</t>
        </is>
      </c>
      <c r="G5666" t="n">
        <v>7</v>
      </c>
      <c r="H5666" t="n">
        <v>5876</v>
      </c>
      <c r="I5666" t="n">
        <v>6126.71</v>
      </c>
      <c r="J5666" t="n">
        <v>1</v>
      </c>
      <c r="K5666" t="inlineStr">
        <is>
          <t>组合风险已近10%，预算缩小</t>
        </is>
      </c>
    </row>
    <row r="5667">
      <c r="A5667" t="inlineStr">
        <is>
          <t>2026-05-22</t>
        </is>
      </c>
      <c r="B5667" t="inlineStr">
        <is>
          <t>纯碱</t>
        </is>
      </c>
      <c r="C5667" t="inlineStr">
        <is>
          <t>空</t>
        </is>
      </c>
      <c r="D5667" t="n">
        <v>2</v>
      </c>
      <c r="E5667" t="n">
        <v>5</v>
      </c>
      <c r="F5667" t="inlineStr">
        <is>
          <t>影子仓</t>
        </is>
      </c>
      <c r="G5667" t="n">
        <v>7</v>
      </c>
      <c r="H5667" t="n">
        <v>1181</v>
      </c>
      <c r="I5667" t="n">
        <v>1247</v>
      </c>
      <c r="J5667" t="n">
        <v>1</v>
      </c>
      <c r="K5667" t="inlineStr">
        <is>
          <t>凯利≤0，开1%影子仓（只统计，不计入组合）</t>
        </is>
      </c>
    </row>
    <row r="5668">
      <c r="A5668" t="inlineStr">
        <is>
          <t>2026-05-22</t>
        </is>
      </c>
      <c r="B5668" t="inlineStr">
        <is>
          <t>玉米淀粉</t>
        </is>
      </c>
      <c r="C5668" t="inlineStr">
        <is>
          <t>空</t>
        </is>
      </c>
      <c r="D5668" t="n">
        <v>2</v>
      </c>
      <c r="E5668" t="n">
        <v>5</v>
      </c>
      <c r="F5668" t="inlineStr">
        <is>
          <t>续持</t>
        </is>
      </c>
      <c r="G5668" t="n">
        <v>13</v>
      </c>
      <c r="H5668" t="n">
        <v>2661</v>
      </c>
      <c r="I5668" t="n">
        <v>2724.21</v>
      </c>
      <c r="J5668" t="n">
        <v>1</v>
      </c>
      <c r="K5668" t="inlineStr">
        <is>
          <t>续持原仓（2026-05-20开）</t>
        </is>
      </c>
    </row>
    <row r="5669">
      <c r="A5669" t="inlineStr">
        <is>
          <t>2026-05-22</t>
        </is>
      </c>
      <c r="B5669" t="inlineStr">
        <is>
          <t>鸡蛋</t>
        </is>
      </c>
      <c r="C5669" t="inlineStr">
        <is>
          <t>多</t>
        </is>
      </c>
      <c r="D5669" t="n">
        <v>2</v>
      </c>
      <c r="E5669" t="n">
        <v>4</v>
      </c>
      <c r="F5669" t="inlineStr">
        <is>
          <t>续持</t>
        </is>
      </c>
      <c r="G5669" t="n">
        <v>4</v>
      </c>
      <c r="H5669" t="n">
        <v>4505</v>
      </c>
      <c r="I5669" t="n">
        <v>4279.21</v>
      </c>
      <c r="J5669" t="n">
        <v>1</v>
      </c>
      <c r="K5669" t="inlineStr">
        <is>
          <t>续持原仓（2026-05-20开）</t>
        </is>
      </c>
    </row>
    <row r="5670">
      <c r="A5670" t="inlineStr">
        <is>
          <t>2026-05-25</t>
        </is>
      </c>
      <c r="B5670" t="inlineStr">
        <is>
          <t>沪银</t>
        </is>
      </c>
      <c r="C5670" t="inlineStr">
        <is>
          <t>多</t>
        </is>
      </c>
      <c r="D5670" t="n">
        <v>3</v>
      </c>
      <c r="E5670" t="n">
        <v>6</v>
      </c>
      <c r="F5670" t="inlineStr">
        <is>
          <t>不做</t>
        </is>
      </c>
      <c r="H5670" t="n">
        <v>18995</v>
      </c>
      <c r="J5670" t="n">
        <v>0</v>
      </c>
      <c r="K5670" t="inlineStr">
        <is>
          <t>组合风险已近10%，预算缩小</t>
        </is>
      </c>
    </row>
    <row r="5671">
      <c r="A5671" t="inlineStr">
        <is>
          <t>2026-05-25</t>
        </is>
      </c>
      <c r="B5671" t="inlineStr">
        <is>
          <t>玉米</t>
        </is>
      </c>
      <c r="C5671" t="inlineStr">
        <is>
          <t>空</t>
        </is>
      </c>
      <c r="D5671" t="n">
        <v>2</v>
      </c>
      <c r="E5671" t="n">
        <v>5</v>
      </c>
      <c r="F5671" t="inlineStr">
        <is>
          <t>续持</t>
        </is>
      </c>
      <c r="G5671" t="n">
        <v>29</v>
      </c>
      <c r="H5671" t="n">
        <v>2327</v>
      </c>
      <c r="I5671" t="n">
        <v>2391.79</v>
      </c>
      <c r="J5671" t="n">
        <v>2</v>
      </c>
      <c r="K5671" t="inlineStr">
        <is>
          <t>续持原仓（2026-05-21开）</t>
        </is>
      </c>
    </row>
    <row r="5672">
      <c r="A5672" t="inlineStr">
        <is>
          <t>2026-05-25</t>
        </is>
      </c>
      <c r="B5672" t="inlineStr">
        <is>
          <t>沥青</t>
        </is>
      </c>
      <c r="C5672" t="inlineStr">
        <is>
          <t>多</t>
        </is>
      </c>
      <c r="D5672" t="n">
        <v>2</v>
      </c>
      <c r="E5672" t="n">
        <v>5</v>
      </c>
      <c r="F5672" t="inlineStr">
        <is>
          <t>观望</t>
        </is>
      </c>
      <c r="G5672" t="n">
        <v>2</v>
      </c>
      <c r="H5672" t="n">
        <v>4146</v>
      </c>
      <c r="I5672" t="n">
        <v>3790.5</v>
      </c>
      <c r="J5672" t="n">
        <v>1</v>
      </c>
      <c r="K5672" t="inlineStr">
        <is>
          <t>逆5日线（收盘在5日线下，不追多）</t>
        </is>
      </c>
    </row>
    <row r="5673">
      <c r="A5673" t="inlineStr">
        <is>
          <t>2026-05-25</t>
        </is>
      </c>
      <c r="B5673" t="inlineStr">
        <is>
          <t>玉米淀粉</t>
        </is>
      </c>
      <c r="C5673" t="inlineStr">
        <is>
          <t>空</t>
        </is>
      </c>
      <c r="D5673" t="n">
        <v>2</v>
      </c>
      <c r="E5673" t="n">
        <v>4</v>
      </c>
      <c r="F5673" t="inlineStr">
        <is>
          <t>续持</t>
        </is>
      </c>
      <c r="G5673" t="n">
        <v>13</v>
      </c>
      <c r="H5673" t="n">
        <v>2659</v>
      </c>
      <c r="I5673" t="n">
        <v>2723.79</v>
      </c>
      <c r="J5673" t="n">
        <v>1</v>
      </c>
      <c r="K5673" t="inlineStr">
        <is>
          <t>续持原仓（2026-05-20开）</t>
        </is>
      </c>
    </row>
    <row r="5674">
      <c r="A5674" t="inlineStr">
        <is>
          <t>2026-05-25</t>
        </is>
      </c>
      <c r="B5674" t="inlineStr">
        <is>
          <t>工业硅</t>
        </is>
      </c>
      <c r="C5674" t="inlineStr">
        <is>
          <t>多</t>
        </is>
      </c>
      <c r="D5674" t="n">
        <v>2</v>
      </c>
      <c r="E5674" t="n">
        <v>4</v>
      </c>
      <c r="F5674" t="inlineStr">
        <is>
          <t>影子仓</t>
        </is>
      </c>
      <c r="G5674" t="n">
        <v>3</v>
      </c>
      <c r="H5674" t="n">
        <v>8570</v>
      </c>
      <c r="I5674" t="n">
        <v>7991.43</v>
      </c>
      <c r="J5674" t="n">
        <v>1</v>
      </c>
      <c r="K5674" t="inlineStr">
        <is>
          <t>凯利≤0，开1%影子仓（只统计，不计入组合）</t>
        </is>
      </c>
    </row>
    <row r="5675">
      <c r="A5675" t="inlineStr">
        <is>
          <t>2026-05-26</t>
        </is>
      </c>
      <c r="B5675" t="inlineStr">
        <is>
          <t>纯碱</t>
        </is>
      </c>
      <c r="C5675" t="inlineStr">
        <is>
          <t>空</t>
        </is>
      </c>
      <c r="D5675" t="n">
        <v>3</v>
      </c>
      <c r="E5675" t="n">
        <v>7</v>
      </c>
      <c r="F5675" t="inlineStr">
        <is>
          <t>观望</t>
        </is>
      </c>
      <c r="G5675" t="n">
        <v>13</v>
      </c>
      <c r="H5675" t="n">
        <v>1198</v>
      </c>
      <c r="I5675" t="n">
        <v>1269.57</v>
      </c>
      <c r="J5675" t="n">
        <v>2</v>
      </c>
      <c r="K5675" t="inlineStr">
        <is>
          <t>逆5日线（收盘在5日线上，不追空）</t>
        </is>
      </c>
    </row>
    <row r="5676">
      <c r="A5676" t="inlineStr">
        <is>
          <t>2026-05-26</t>
        </is>
      </c>
      <c r="B5676" t="inlineStr">
        <is>
          <t>PVC</t>
        </is>
      </c>
      <c r="C5676" t="inlineStr">
        <is>
          <t>空</t>
        </is>
      </c>
      <c r="D5676" t="n">
        <v>2</v>
      </c>
      <c r="E5676" t="n">
        <v>5</v>
      </c>
      <c r="F5676" t="inlineStr">
        <is>
          <t>影子仓</t>
        </is>
      </c>
      <c r="G5676" t="n">
        <v>5</v>
      </c>
      <c r="H5676" t="n">
        <v>4854</v>
      </c>
      <c r="I5676" t="n">
        <v>5203.5</v>
      </c>
      <c r="J5676" t="n">
        <v>1</v>
      </c>
      <c r="K5676" t="inlineStr">
        <is>
          <t>凯利≤0，开1%影子仓（只统计，不计入组合）</t>
        </is>
      </c>
    </row>
    <row r="5677">
      <c r="A5677" t="inlineStr">
        <is>
          <t>2026-05-26</t>
        </is>
      </c>
      <c r="B5677" t="inlineStr">
        <is>
          <t>锰硅</t>
        </is>
      </c>
      <c r="C5677" t="inlineStr">
        <is>
          <t>空</t>
        </is>
      </c>
      <c r="D5677" t="n">
        <v>2</v>
      </c>
      <c r="E5677" t="n">
        <v>5</v>
      </c>
      <c r="F5677" t="inlineStr">
        <is>
          <t>观望</t>
        </is>
      </c>
      <c r="G5677" t="n">
        <v>6</v>
      </c>
      <c r="H5677" t="n">
        <v>5954</v>
      </c>
      <c r="I5677" t="n">
        <v>6257.43</v>
      </c>
      <c r="J5677" t="n">
        <v>1</v>
      </c>
      <c r="K5677" t="inlineStr">
        <is>
          <t>逆5日线（收盘在5日线上，不追空）</t>
        </is>
      </c>
    </row>
    <row r="5678">
      <c r="A5678" t="inlineStr">
        <is>
          <t>2026-05-26</t>
        </is>
      </c>
      <c r="B5678" t="inlineStr">
        <is>
          <t>棕榈油</t>
        </is>
      </c>
      <c r="C5678" t="inlineStr">
        <is>
          <t>空</t>
        </is>
      </c>
      <c r="D5678" t="n">
        <v>2</v>
      </c>
      <c r="E5678" t="n">
        <v>5</v>
      </c>
      <c r="F5678" t="inlineStr">
        <is>
          <t>影子仓</t>
        </is>
      </c>
      <c r="G5678" t="n">
        <v>1</v>
      </c>
      <c r="H5678" t="n">
        <v>9433</v>
      </c>
      <c r="I5678" t="n">
        <v>9938.709999999999</v>
      </c>
      <c r="J5678" t="n">
        <v>1</v>
      </c>
      <c r="K5678" t="inlineStr">
        <is>
          <t>凯利≤0，开1%影子仓（只统计，不计入组合）</t>
        </is>
      </c>
    </row>
    <row r="5679">
      <c r="A5679" t="inlineStr">
        <is>
          <t>2026-05-26</t>
        </is>
      </c>
      <c r="B5679" t="inlineStr">
        <is>
          <t>碳酸锂</t>
        </is>
      </c>
      <c r="C5679" t="inlineStr">
        <is>
          <t>空</t>
        </is>
      </c>
      <c r="D5679" t="n">
        <v>2</v>
      </c>
      <c r="E5679" t="n">
        <v>5</v>
      </c>
      <c r="F5679" t="inlineStr">
        <is>
          <t>不做</t>
        </is>
      </c>
      <c r="H5679" t="n">
        <v>175960</v>
      </c>
      <c r="J5679" t="n">
        <v>1</v>
      </c>
      <c r="K5679" t="inlineStr">
        <is>
          <t>1手风险27116元超过预算10000元</t>
        </is>
      </c>
    </row>
    <row r="5680">
      <c r="A5680" t="inlineStr">
        <is>
          <t>2026-05-26</t>
        </is>
      </c>
      <c r="B5680" t="inlineStr">
        <is>
          <t>鸡蛋</t>
        </is>
      </c>
      <c r="C5680" t="inlineStr">
        <is>
          <t>多</t>
        </is>
      </c>
      <c r="D5680" t="n">
        <v>2</v>
      </c>
      <c r="E5680" t="n">
        <v>5</v>
      </c>
      <c r="F5680" t="inlineStr">
        <is>
          <t>续持</t>
        </is>
      </c>
      <c r="G5680" t="n">
        <v>4</v>
      </c>
      <c r="H5680" t="n">
        <v>4538</v>
      </c>
      <c r="I5680" t="n">
        <v>4280.93</v>
      </c>
      <c r="J5680" t="n">
        <v>1</v>
      </c>
      <c r="K5680" t="inlineStr">
        <is>
          <t>续持原仓（2026-05-20开）</t>
        </is>
      </c>
    </row>
    <row r="5681">
      <c r="A5681" t="inlineStr">
        <is>
          <t>2026-05-27</t>
        </is>
      </c>
      <c r="B5681" t="inlineStr">
        <is>
          <t>鸡蛋</t>
        </is>
      </c>
      <c r="C5681" t="inlineStr">
        <is>
          <t>多</t>
        </is>
      </c>
      <c r="D5681" t="n">
        <v>2</v>
      </c>
      <c r="E5681" t="n">
        <v>4</v>
      </c>
      <c r="F5681" t="inlineStr">
        <is>
          <t>续持</t>
        </is>
      </c>
      <c r="G5681" t="n">
        <v>4</v>
      </c>
      <c r="H5681" t="n">
        <v>4658</v>
      </c>
      <c r="I5681" t="n">
        <v>4411.64</v>
      </c>
      <c r="J5681" t="n">
        <v>1</v>
      </c>
      <c r="K5681" t="inlineStr">
        <is>
          <t>续持原仓（2026-05-20开）</t>
        </is>
      </c>
    </row>
    <row r="5682">
      <c r="A5682" t="inlineStr">
        <is>
          <t>2026-05-27</t>
        </is>
      </c>
      <c r="B5682" t="inlineStr">
        <is>
          <t>碳酸锂</t>
        </is>
      </c>
      <c r="C5682" t="inlineStr">
        <is>
          <t>空</t>
        </is>
      </c>
      <c r="D5682" t="n">
        <v>2</v>
      </c>
      <c r="E5682" t="n">
        <v>4</v>
      </c>
      <c r="F5682" t="inlineStr">
        <is>
          <t>不做</t>
        </is>
      </c>
      <c r="H5682" t="n">
        <v>173000</v>
      </c>
      <c r="J5682" t="n">
        <v>1</v>
      </c>
      <c r="K5682" t="inlineStr">
        <is>
          <t>1手风险27073元超过预算10000元</t>
        </is>
      </c>
    </row>
    <row r="5683">
      <c r="A5683" t="inlineStr">
        <is>
          <t>2026-05-28</t>
        </is>
      </c>
      <c r="B5683" t="inlineStr">
        <is>
          <t>菜粕</t>
        </is>
      </c>
      <c r="C5683" t="inlineStr">
        <is>
          <t>空</t>
        </is>
      </c>
      <c r="D5683" t="n">
        <v>3</v>
      </c>
      <c r="E5683" t="n">
        <v>6</v>
      </c>
      <c r="F5683" t="inlineStr">
        <is>
          <t>开仓</t>
        </is>
      </c>
      <c r="G5683" t="n">
        <v>28</v>
      </c>
      <c r="H5683" t="n">
        <v>2304</v>
      </c>
      <c r="I5683" t="n">
        <v>2407.93</v>
      </c>
      <c r="J5683" t="n">
        <v>3</v>
      </c>
      <c r="K5683" t="inlineStr">
        <is>
          <t>¼凯利超上限，取3%</t>
        </is>
      </c>
    </row>
    <row r="5684">
      <c r="A5684" t="inlineStr">
        <is>
          <t>2026-05-29</t>
        </is>
      </c>
      <c r="B5684" t="inlineStr">
        <is>
          <t>沪锌</t>
        </is>
      </c>
      <c r="C5684" t="inlineStr">
        <is>
          <t>多</t>
        </is>
      </c>
      <c r="D5684" t="n">
        <v>3</v>
      </c>
      <c r="E5684" t="n">
        <v>7</v>
      </c>
      <c r="F5684" t="inlineStr">
        <is>
          <t>开仓</t>
        </is>
      </c>
      <c r="G5684" t="n">
        <v>5</v>
      </c>
      <c r="H5684" t="n">
        <v>24965</v>
      </c>
      <c r="I5684" t="n">
        <v>23943.93</v>
      </c>
      <c r="J5684" t="n">
        <v>3</v>
      </c>
      <c r="K5684" t="inlineStr">
        <is>
          <t>¼凯利超上限，取3%</t>
        </is>
      </c>
    </row>
    <row r="5685">
      <c r="A5685" t="inlineStr">
        <is>
          <t>2026-05-29</t>
        </is>
      </c>
      <c r="B5685" t="inlineStr">
        <is>
          <t>乙二醇</t>
        </is>
      </c>
      <c r="C5685" t="inlineStr">
        <is>
          <t>空</t>
        </is>
      </c>
      <c r="D5685" t="n">
        <v>3</v>
      </c>
      <c r="E5685" t="n">
        <v>7</v>
      </c>
      <c r="F5685" t="inlineStr">
        <is>
          <t>开仓</t>
        </is>
      </c>
      <c r="G5685" t="n">
        <v>2</v>
      </c>
      <c r="H5685" t="n">
        <v>4436</v>
      </c>
      <c r="I5685" t="n">
        <v>4834.36</v>
      </c>
      <c r="J5685" t="n">
        <v>1</v>
      </c>
      <c r="K5685" t="inlineStr">
        <is>
          <t>组合风险已近10%，预算缩小</t>
        </is>
      </c>
    </row>
    <row r="5686">
      <c r="A5686" t="inlineStr">
        <is>
          <t>2026-05-29</t>
        </is>
      </c>
      <c r="B5686" t="inlineStr">
        <is>
          <t>菜粕</t>
        </is>
      </c>
      <c r="C5686" t="inlineStr">
        <is>
          <t>空</t>
        </is>
      </c>
      <c r="D5686" t="n">
        <v>2</v>
      </c>
      <c r="E5686" t="n">
        <v>5</v>
      </c>
      <c r="F5686" t="inlineStr">
        <is>
          <t>观望</t>
        </is>
      </c>
      <c r="G5686" t="n">
        <v>9</v>
      </c>
      <c r="H5686" t="n">
        <v>2301</v>
      </c>
      <c r="I5686" t="n">
        <v>2401.71</v>
      </c>
      <c r="J5686" t="n">
        <v>1</v>
      </c>
      <c r="K5686" t="inlineStr">
        <is>
          <t>逆5日线（收盘在5日线上，不追空）</t>
        </is>
      </c>
    </row>
    <row r="5687">
      <c r="A5687" t="inlineStr">
        <is>
          <t>2026-06-01</t>
        </is>
      </c>
      <c r="B5687" t="inlineStr">
        <is>
          <t>纸浆</t>
        </is>
      </c>
      <c r="C5687" t="inlineStr">
        <is>
          <t>空</t>
        </is>
      </c>
      <c r="D5687" t="n">
        <v>3</v>
      </c>
      <c r="E5687" t="n">
        <v>7</v>
      </c>
      <c r="F5687" t="inlineStr">
        <is>
          <t>不做</t>
        </is>
      </c>
      <c r="H5687" t="n">
        <v>4886</v>
      </c>
      <c r="J5687" t="n">
        <v>0</v>
      </c>
      <c r="K5687" t="inlineStr">
        <is>
          <t>组合风险已近10%，预算缩小</t>
        </is>
      </c>
    </row>
    <row r="5688">
      <c r="A5688" t="inlineStr">
        <is>
          <t>2026-06-01</t>
        </is>
      </c>
      <c r="B5688" t="inlineStr">
        <is>
          <t>碳酸锂</t>
        </is>
      </c>
      <c r="C5688" t="inlineStr">
        <is>
          <t>空</t>
        </is>
      </c>
      <c r="D5688" t="n">
        <v>3</v>
      </c>
      <c r="E5688" t="n">
        <v>7</v>
      </c>
      <c r="F5688" t="inlineStr">
        <is>
          <t>观望</t>
        </is>
      </c>
      <c r="H5688" t="n">
        <v>178900</v>
      </c>
      <c r="J5688" t="n">
        <v>0</v>
      </c>
      <c r="K5688" t="inlineStr">
        <is>
          <t>逆5日线（收盘在5日线上，不追空）</t>
        </is>
      </c>
    </row>
    <row r="5689">
      <c r="A5689" t="inlineStr">
        <is>
          <t>2026-06-01</t>
        </is>
      </c>
      <c r="B5689" t="inlineStr">
        <is>
          <t>工业硅</t>
        </is>
      </c>
      <c r="C5689" t="inlineStr">
        <is>
          <t>多</t>
        </is>
      </c>
      <c r="D5689" t="n">
        <v>2</v>
      </c>
      <c r="E5689" t="n">
        <v>5</v>
      </c>
      <c r="F5689" t="inlineStr">
        <is>
          <t>续持</t>
        </is>
      </c>
      <c r="G5689" t="n">
        <v>3</v>
      </c>
      <c r="H5689" t="n">
        <v>8745</v>
      </c>
      <c r="I5689" t="n">
        <v>8356.07</v>
      </c>
      <c r="J5689" t="n">
        <v>1</v>
      </c>
      <c r="K5689" t="inlineStr">
        <is>
          <t>续持原仓（2026-05-25开）</t>
        </is>
      </c>
    </row>
    <row r="5690">
      <c r="A5690" t="inlineStr">
        <is>
          <t>2026-06-01</t>
        </is>
      </c>
      <c r="B5690" t="inlineStr">
        <is>
          <t>乙二醇</t>
        </is>
      </c>
      <c r="C5690" t="inlineStr">
        <is>
          <t>空</t>
        </is>
      </c>
      <c r="D5690" t="n">
        <v>2</v>
      </c>
      <c r="E5690" t="n">
        <v>4</v>
      </c>
      <c r="F5690" t="inlineStr">
        <is>
          <t>观望</t>
        </is>
      </c>
      <c r="G5690" t="n">
        <v>2</v>
      </c>
      <c r="H5690" t="n">
        <v>4515</v>
      </c>
      <c r="I5690" t="n">
        <v>4927.29</v>
      </c>
      <c r="J5690" t="n">
        <v>1</v>
      </c>
      <c r="K5690" t="inlineStr">
        <is>
          <t>逆5日线（收盘在5日线上，不追空）</t>
        </is>
      </c>
    </row>
    <row r="5691">
      <c r="A5691" t="inlineStr">
        <is>
          <t>2026-06-01</t>
        </is>
      </c>
      <c r="B5691" t="inlineStr">
        <is>
          <t>沥青</t>
        </is>
      </c>
      <c r="C5691" t="inlineStr">
        <is>
          <t>多</t>
        </is>
      </c>
      <c r="D5691" t="n">
        <v>2</v>
      </c>
      <c r="E5691" t="n">
        <v>4</v>
      </c>
      <c r="F5691" t="inlineStr">
        <is>
          <t>影子仓</t>
        </is>
      </c>
      <c r="G5691" t="n">
        <v>2</v>
      </c>
      <c r="H5691" t="n">
        <v>4336</v>
      </c>
      <c r="I5691" t="n">
        <v>4000.64</v>
      </c>
      <c r="J5691" t="n">
        <v>1</v>
      </c>
      <c r="K5691" t="inlineStr">
        <is>
          <t>凯利≤0，开1%影子仓（只统计，不计入组合）</t>
        </is>
      </c>
    </row>
    <row r="5692">
      <c r="A5692" t="inlineStr">
        <is>
          <t>2026-06-02</t>
        </is>
      </c>
      <c r="B5692" t="inlineStr">
        <is>
          <t>纸浆</t>
        </is>
      </c>
      <c r="C5692" t="inlineStr">
        <is>
          <t>空</t>
        </is>
      </c>
      <c r="D5692" t="n">
        <v>3</v>
      </c>
      <c r="E5692" t="n">
        <v>7</v>
      </c>
      <c r="F5692" t="inlineStr">
        <is>
          <t>开仓</t>
        </is>
      </c>
      <c r="G5692" t="n">
        <v>17</v>
      </c>
      <c r="H5692" t="n">
        <v>4860</v>
      </c>
      <c r="I5692" t="n">
        <v>5034</v>
      </c>
      <c r="J5692" t="n">
        <v>3</v>
      </c>
      <c r="K5692" t="inlineStr">
        <is>
          <t>¼凯利超上限，取3%</t>
        </is>
      </c>
    </row>
    <row r="5693">
      <c r="A5693" t="inlineStr">
        <is>
          <t>2026-06-02</t>
        </is>
      </c>
      <c r="B5693" t="inlineStr">
        <is>
          <t>乙二醇</t>
        </is>
      </c>
      <c r="C5693" t="inlineStr">
        <is>
          <t>空</t>
        </is>
      </c>
      <c r="D5693" t="n">
        <v>3</v>
      </c>
      <c r="E5693" t="n">
        <v>6</v>
      </c>
      <c r="F5693" t="inlineStr">
        <is>
          <t>观望</t>
        </is>
      </c>
      <c r="H5693" t="n">
        <v>4507</v>
      </c>
      <c r="J5693" t="n">
        <v>0</v>
      </c>
      <c r="K5693" t="inlineStr">
        <is>
          <t>逆5日线（收盘在5日线上，不追空）</t>
        </is>
      </c>
    </row>
    <row r="5694">
      <c r="A5694" t="inlineStr">
        <is>
          <t>2026-06-02</t>
        </is>
      </c>
      <c r="B5694" t="inlineStr">
        <is>
          <t>菜粕</t>
        </is>
      </c>
      <c r="C5694" t="inlineStr">
        <is>
          <t>空</t>
        </is>
      </c>
      <c r="D5694" t="n">
        <v>2</v>
      </c>
      <c r="E5694" t="n">
        <v>4</v>
      </c>
      <c r="F5694" t="inlineStr">
        <is>
          <t>续持</t>
        </is>
      </c>
      <c r="G5694" t="n">
        <v>28</v>
      </c>
      <c r="H5694" t="n">
        <v>2299</v>
      </c>
      <c r="I5694" t="n">
        <v>2391.29</v>
      </c>
      <c r="J5694" t="n">
        <v>3</v>
      </c>
      <c r="K5694" t="inlineStr">
        <is>
          <t>续持原仓（2026-05-28开）</t>
        </is>
      </c>
    </row>
    <row r="5695">
      <c r="A5695" t="inlineStr">
        <is>
          <t>2026-06-02</t>
        </is>
      </c>
      <c r="B5695" t="inlineStr">
        <is>
          <t>菜油</t>
        </is>
      </c>
      <c r="C5695" t="inlineStr">
        <is>
          <t>空</t>
        </is>
      </c>
      <c r="D5695" t="n">
        <v>2</v>
      </c>
      <c r="E5695" t="n">
        <v>4</v>
      </c>
      <c r="F5695" t="inlineStr">
        <is>
          <t>观望</t>
        </is>
      </c>
      <c r="G5695" t="n">
        <v>2</v>
      </c>
      <c r="H5695" t="n">
        <v>9990</v>
      </c>
      <c r="I5695" t="n">
        <v>10384.5</v>
      </c>
      <c r="J5695" t="n">
        <v>1</v>
      </c>
      <c r="K5695" t="inlineStr">
        <is>
          <t>逆5日线（收盘在5日线上，不追空）</t>
        </is>
      </c>
    </row>
    <row r="5696">
      <c r="A5696" t="inlineStr">
        <is>
          <t>2026-06-03</t>
        </is>
      </c>
      <c r="B5696" t="inlineStr">
        <is>
          <t>棕榈油</t>
        </is>
      </c>
      <c r="C5696" t="inlineStr">
        <is>
          <t>多</t>
        </is>
      </c>
      <c r="D5696" t="n">
        <v>2</v>
      </c>
      <c r="E5696" t="n">
        <v>5</v>
      </c>
      <c r="F5696" t="inlineStr">
        <is>
          <t>影子仓</t>
        </is>
      </c>
      <c r="G5696" t="n">
        <v>2</v>
      </c>
      <c r="H5696" t="n">
        <v>9766</v>
      </c>
      <c r="I5696" t="n">
        <v>9287.5</v>
      </c>
      <c r="J5696" t="n">
        <v>1</v>
      </c>
      <c r="K5696" t="inlineStr">
        <is>
          <t>凯利≤0，开1%影子仓（只统计，不计入组合）</t>
        </is>
      </c>
    </row>
    <row r="5697">
      <c r="A5697" t="inlineStr">
        <is>
          <t>2026-06-03</t>
        </is>
      </c>
      <c r="B5697" t="inlineStr">
        <is>
          <t>菜粕</t>
        </is>
      </c>
      <c r="C5697" t="inlineStr">
        <is>
          <t>空</t>
        </is>
      </c>
      <c r="D5697" t="n">
        <v>2</v>
      </c>
      <c r="E5697" t="n">
        <v>4</v>
      </c>
      <c r="F5697" t="inlineStr">
        <is>
          <t>观望</t>
        </is>
      </c>
      <c r="G5697" t="n">
        <v>10</v>
      </c>
      <c r="H5697" t="n">
        <v>2310</v>
      </c>
      <c r="I5697" t="n">
        <v>2407.93</v>
      </c>
      <c r="J5697" t="n">
        <v>1</v>
      </c>
      <c r="K5697" t="inlineStr">
        <is>
          <t>逆5日线（收盘在5日线上，不追空）</t>
        </is>
      </c>
    </row>
    <row r="5698">
      <c r="A5698" t="inlineStr">
        <is>
          <t>2026-06-03</t>
        </is>
      </c>
      <c r="B5698" t="inlineStr">
        <is>
          <t>铁矿石</t>
        </is>
      </c>
      <c r="C5698" t="inlineStr">
        <is>
          <t>空</t>
        </is>
      </c>
      <c r="D5698" t="n">
        <v>2</v>
      </c>
      <c r="E5698" t="n">
        <v>4</v>
      </c>
      <c r="F5698" t="inlineStr">
        <is>
          <t>影子仓</t>
        </is>
      </c>
      <c r="G5698" t="n">
        <v>3</v>
      </c>
      <c r="H5698" t="n">
        <v>780</v>
      </c>
      <c r="I5698" t="n">
        <v>809.25</v>
      </c>
      <c r="J5698" t="n">
        <v>1</v>
      </c>
      <c r="K5698" t="inlineStr">
        <is>
          <t>凯利≤0，开1%影子仓（只统计，不计入组合）</t>
        </is>
      </c>
    </row>
    <row r="5699">
      <c r="A5699" t="inlineStr">
        <is>
          <t>2026-06-04</t>
        </is>
      </c>
      <c r="B5699" t="inlineStr">
        <is>
          <t>乙二醇</t>
        </is>
      </c>
      <c r="C5699" t="inlineStr">
        <is>
          <t>空</t>
        </is>
      </c>
      <c r="D5699" t="n">
        <v>3</v>
      </c>
      <c r="E5699" t="n">
        <v>7</v>
      </c>
      <c r="F5699" t="inlineStr">
        <is>
          <t>续持</t>
        </is>
      </c>
      <c r="G5699" t="n">
        <v>2</v>
      </c>
      <c r="H5699" t="n">
        <v>4475</v>
      </c>
      <c r="I5699" t="n">
        <v>4793.64</v>
      </c>
      <c r="J5699" t="n">
        <v>1</v>
      </c>
      <c r="K5699" t="inlineStr">
        <is>
          <t>续持原仓（2026-05-29开）</t>
        </is>
      </c>
    </row>
    <row r="5700">
      <c r="A5700" t="inlineStr">
        <is>
          <t>2026-06-04</t>
        </is>
      </c>
      <c r="B5700" t="inlineStr">
        <is>
          <t>纸浆</t>
        </is>
      </c>
      <c r="C5700" t="inlineStr">
        <is>
          <t>空</t>
        </is>
      </c>
      <c r="D5700" t="n">
        <v>3</v>
      </c>
      <c r="E5700" t="n">
        <v>7</v>
      </c>
      <c r="F5700" t="inlineStr">
        <is>
          <t>开仓</t>
        </is>
      </c>
      <c r="G5700" t="n">
        <v>18</v>
      </c>
      <c r="H5700" t="n">
        <v>4812</v>
      </c>
      <c r="I5700" t="n">
        <v>4976.14</v>
      </c>
      <c r="J5700" t="n">
        <v>3</v>
      </c>
      <c r="K5700" t="inlineStr">
        <is>
          <t>¼凯利超上限，取3%</t>
        </is>
      </c>
    </row>
    <row r="5701">
      <c r="A5701" t="inlineStr">
        <is>
          <t>2026-06-04</t>
        </is>
      </c>
      <c r="B5701" t="inlineStr">
        <is>
          <t>尿素</t>
        </is>
      </c>
      <c r="C5701" t="inlineStr">
        <is>
          <t>空</t>
        </is>
      </c>
      <c r="D5701" t="n">
        <v>3</v>
      </c>
      <c r="E5701" t="n">
        <v>6</v>
      </c>
      <c r="F5701" t="inlineStr">
        <is>
          <t>开仓</t>
        </is>
      </c>
      <c r="G5701" t="n">
        <v>14</v>
      </c>
      <c r="H5701" t="n">
        <v>1773</v>
      </c>
      <c r="I5701" t="n">
        <v>1874.14</v>
      </c>
      <c r="J5701" t="n">
        <v>3</v>
      </c>
      <c r="K5701" t="inlineStr">
        <is>
          <t>¼凯利超上限，取3%</t>
        </is>
      </c>
    </row>
    <row r="5702">
      <c r="A5702" t="inlineStr">
        <is>
          <t>2026-06-04</t>
        </is>
      </c>
      <c r="B5702" t="inlineStr">
        <is>
          <t>热卷</t>
        </is>
      </c>
      <c r="C5702" t="inlineStr">
        <is>
          <t>空</t>
        </is>
      </c>
      <c r="D5702" t="n">
        <v>3</v>
      </c>
      <c r="E5702" t="n">
        <v>6</v>
      </c>
      <c r="F5702" t="inlineStr">
        <is>
          <t>开仓</t>
        </is>
      </c>
      <c r="G5702" t="n">
        <v>28</v>
      </c>
      <c r="H5702" t="n">
        <v>3377</v>
      </c>
      <c r="I5702" t="n">
        <v>3481.36</v>
      </c>
      <c r="J5702" t="n">
        <v>3</v>
      </c>
      <c r="K5702" t="inlineStr">
        <is>
          <t>¼凯利超上限，取3%</t>
        </is>
      </c>
    </row>
    <row r="5703">
      <c r="A5703" t="inlineStr">
        <is>
          <t>2026-06-04</t>
        </is>
      </c>
      <c r="B5703" t="inlineStr">
        <is>
          <t>豆粕</t>
        </is>
      </c>
      <c r="C5703" t="inlineStr">
        <is>
          <t>空</t>
        </is>
      </c>
      <c r="D5703" t="n">
        <v>2</v>
      </c>
      <c r="E5703" t="n">
        <v>5</v>
      </c>
      <c r="F5703" t="inlineStr">
        <is>
          <t>影子仓</t>
        </is>
      </c>
      <c r="G5703" t="n">
        <v>10</v>
      </c>
      <c r="H5703" t="n">
        <v>2943</v>
      </c>
      <c r="I5703" t="n">
        <v>3039.86</v>
      </c>
      <c r="J5703" t="n">
        <v>1</v>
      </c>
      <c r="K5703" t="inlineStr">
        <is>
          <t>凯利≤0，开1%影子仓（只统计，不计入组合）</t>
        </is>
      </c>
    </row>
    <row r="5704">
      <c r="A5704" t="inlineStr">
        <is>
          <t>2026-06-05</t>
        </is>
      </c>
      <c r="B5704" t="inlineStr">
        <is>
          <t>豆粕</t>
        </is>
      </c>
      <c r="C5704" t="inlineStr">
        <is>
          <t>空</t>
        </is>
      </c>
      <c r="D5704" t="n">
        <v>3</v>
      </c>
      <c r="E5704" t="n">
        <v>6</v>
      </c>
      <c r="F5704" t="inlineStr">
        <is>
          <t>续持</t>
        </is>
      </c>
      <c r="G5704" t="n">
        <v>10</v>
      </c>
      <c r="H5704" t="n">
        <v>2918</v>
      </c>
      <c r="I5704" t="n">
        <v>3007.14</v>
      </c>
      <c r="J5704" t="n">
        <v>1</v>
      </c>
      <c r="K5704" t="inlineStr">
        <is>
          <t>续持原仓（2026-06-04开）</t>
        </is>
      </c>
    </row>
    <row r="5705">
      <c r="A5705" t="inlineStr">
        <is>
          <t>2026-06-05</t>
        </is>
      </c>
      <c r="B5705" t="inlineStr">
        <is>
          <t>乙二醇</t>
        </is>
      </c>
      <c r="C5705" t="inlineStr">
        <is>
          <t>空</t>
        </is>
      </c>
      <c r="D5705" t="n">
        <v>3</v>
      </c>
      <c r="E5705" t="n">
        <v>6</v>
      </c>
      <c r="F5705" t="inlineStr">
        <is>
          <t>续持</t>
        </is>
      </c>
      <c r="G5705" t="n">
        <v>2</v>
      </c>
      <c r="H5705" t="n">
        <v>4505</v>
      </c>
      <c r="I5705" t="n">
        <v>4791.29</v>
      </c>
      <c r="J5705" t="n">
        <v>1</v>
      </c>
      <c r="K5705" t="inlineStr">
        <is>
          <t>续持原仓（2026-05-29开）</t>
        </is>
      </c>
    </row>
    <row r="5706">
      <c r="A5706" t="inlineStr">
        <is>
          <t>2026-06-05</t>
        </is>
      </c>
      <c r="B5706" t="inlineStr">
        <is>
          <t>沥青</t>
        </is>
      </c>
      <c r="C5706" t="inlineStr">
        <is>
          <t>多</t>
        </is>
      </c>
      <c r="D5706" t="n">
        <v>2</v>
      </c>
      <c r="E5706" t="n">
        <v>5</v>
      </c>
      <c r="F5706" t="inlineStr">
        <is>
          <t>影子仓</t>
        </is>
      </c>
      <c r="G5706" t="n">
        <v>3</v>
      </c>
      <c r="H5706" t="n">
        <v>4337</v>
      </c>
      <c r="I5706" t="n">
        <v>4005.93</v>
      </c>
      <c r="J5706" t="n">
        <v>1</v>
      </c>
      <c r="K5706" t="inlineStr">
        <is>
          <t>凯利≤0，开1%影子仓（只统计，不计入组合）</t>
        </is>
      </c>
    </row>
    <row r="5707">
      <c r="A5707" t="inlineStr">
        <is>
          <t>2026-06-05</t>
        </is>
      </c>
      <c r="B5707" t="inlineStr">
        <is>
          <t>螺纹钢</t>
        </is>
      </c>
      <c r="C5707" t="inlineStr">
        <is>
          <t>空</t>
        </is>
      </c>
      <c r="D5707" t="n">
        <v>2</v>
      </c>
      <c r="E5707" t="n">
        <v>4</v>
      </c>
      <c r="F5707" t="inlineStr">
        <is>
          <t>影子仓</t>
        </is>
      </c>
      <c r="G5707" t="n">
        <v>10</v>
      </c>
      <c r="H5707" t="n">
        <v>3165</v>
      </c>
      <c r="I5707" t="n">
        <v>3257.36</v>
      </c>
      <c r="J5707" t="n">
        <v>1</v>
      </c>
      <c r="K5707" t="inlineStr">
        <is>
          <t>凯利≤0，开1%影子仓（只统计，不计入组合）</t>
        </is>
      </c>
    </row>
    <row r="5708">
      <c r="A5708" t="inlineStr">
        <is>
          <t>2026-06-05</t>
        </is>
      </c>
      <c r="B5708" t="inlineStr">
        <is>
          <t>沪金</t>
        </is>
      </c>
      <c r="C5708" t="inlineStr">
        <is>
          <t>空</t>
        </is>
      </c>
      <c r="D5708" t="n">
        <v>2</v>
      </c>
      <c r="E5708" t="n">
        <v>4</v>
      </c>
      <c r="F5708" t="inlineStr">
        <is>
          <t>不做</t>
        </is>
      </c>
      <c r="H5708" t="n">
        <v>974.02</v>
      </c>
      <c r="J5708" t="n">
        <v>1</v>
      </c>
      <c r="K5708" t="inlineStr">
        <is>
          <t>1手风险52607元超过预算10000元</t>
        </is>
      </c>
    </row>
    <row r="5709">
      <c r="A5709" t="inlineStr">
        <is>
          <t>2026-06-05</t>
        </is>
      </c>
      <c r="B5709" t="inlineStr">
        <is>
          <t>豆油</t>
        </is>
      </c>
      <c r="C5709" t="inlineStr">
        <is>
          <t>空</t>
        </is>
      </c>
      <c r="D5709" t="n">
        <v>2</v>
      </c>
      <c r="E5709" t="n">
        <v>4</v>
      </c>
      <c r="F5709" t="inlineStr">
        <is>
          <t>影子仓</t>
        </is>
      </c>
      <c r="G5709" t="n">
        <v>3</v>
      </c>
      <c r="H5709" t="n">
        <v>8440</v>
      </c>
      <c r="I5709" t="n">
        <v>8722.860000000001</v>
      </c>
      <c r="J5709" t="n">
        <v>1</v>
      </c>
      <c r="K5709" t="inlineStr">
        <is>
          <t>凯利≤0，开1%影子仓（只统计，不计入组合）</t>
        </is>
      </c>
    </row>
    <row r="5710">
      <c r="A5710" t="inlineStr">
        <is>
          <t>2026-06-08</t>
        </is>
      </c>
      <c r="B5710" t="inlineStr">
        <is>
          <t>玻璃</t>
        </is>
      </c>
      <c r="C5710" t="inlineStr">
        <is>
          <t>空</t>
        </is>
      </c>
      <c r="D5710" t="n">
        <v>3</v>
      </c>
      <c r="E5710" t="n">
        <v>7</v>
      </c>
      <c r="F5710" t="inlineStr">
        <is>
          <t>开仓</t>
        </is>
      </c>
      <c r="G5710" t="n">
        <v>21</v>
      </c>
      <c r="H5710" t="n">
        <v>1004</v>
      </c>
      <c r="I5710" t="n">
        <v>1073.86</v>
      </c>
      <c r="J5710" t="n">
        <v>3</v>
      </c>
      <c r="K5710" t="inlineStr">
        <is>
          <t>¼凯利超上限，取3%</t>
        </is>
      </c>
    </row>
    <row r="5711">
      <c r="A5711" t="inlineStr">
        <is>
          <t>2026-06-08</t>
        </is>
      </c>
      <c r="B5711" t="inlineStr">
        <is>
          <t>铁矿石</t>
        </is>
      </c>
      <c r="C5711" t="inlineStr">
        <is>
          <t>空</t>
        </is>
      </c>
      <c r="D5711" t="n">
        <v>3</v>
      </c>
      <c r="E5711" t="n">
        <v>7</v>
      </c>
      <c r="F5711" t="inlineStr">
        <is>
          <t>开仓</t>
        </is>
      </c>
      <c r="G5711" t="n">
        <v>10</v>
      </c>
      <c r="H5711" t="n">
        <v>759</v>
      </c>
      <c r="I5711" t="n">
        <v>788.5700000000001</v>
      </c>
      <c r="J5711" t="n">
        <v>3</v>
      </c>
      <c r="K5711" t="inlineStr">
        <is>
          <t>¼凯利超上限，取3%</t>
        </is>
      </c>
    </row>
    <row r="5712">
      <c r="A5712" t="inlineStr">
        <is>
          <t>2026-06-08</t>
        </is>
      </c>
      <c r="B5712" t="inlineStr">
        <is>
          <t>沥青</t>
        </is>
      </c>
      <c r="C5712" t="inlineStr">
        <is>
          <t>多</t>
        </is>
      </c>
      <c r="D5712" t="n">
        <v>3</v>
      </c>
      <c r="E5712" t="n">
        <v>6</v>
      </c>
      <c r="F5712" t="inlineStr">
        <is>
          <t>续持</t>
        </is>
      </c>
      <c r="G5712" t="n">
        <v>3</v>
      </c>
      <c r="H5712" t="n">
        <v>4547</v>
      </c>
      <c r="I5712" t="n">
        <v>4202.07</v>
      </c>
      <c r="J5712" t="n">
        <v>1</v>
      </c>
      <c r="K5712" t="inlineStr">
        <is>
          <t>续持原仓（2026-06-05开）</t>
        </is>
      </c>
    </row>
    <row r="5713">
      <c r="A5713" t="inlineStr">
        <is>
          <t>2026-06-08</t>
        </is>
      </c>
      <c r="B5713" t="inlineStr">
        <is>
          <t>豆粕</t>
        </is>
      </c>
      <c r="C5713" t="inlineStr">
        <is>
          <t>空</t>
        </is>
      </c>
      <c r="D5713" t="n">
        <v>3</v>
      </c>
      <c r="E5713" t="n">
        <v>6</v>
      </c>
      <c r="F5713" t="inlineStr">
        <is>
          <t>续持</t>
        </is>
      </c>
      <c r="G5713" t="n">
        <v>10</v>
      </c>
      <c r="H5713" t="n">
        <v>2905</v>
      </c>
      <c r="I5713" t="n">
        <v>2987.93</v>
      </c>
      <c r="J5713" t="n">
        <v>1</v>
      </c>
      <c r="K5713" t="inlineStr">
        <is>
          <t>续持原仓（2026-06-04开）</t>
        </is>
      </c>
    </row>
    <row r="5714">
      <c r="A5714" t="inlineStr">
        <is>
          <t>2026-06-08</t>
        </is>
      </c>
      <c r="B5714" t="inlineStr">
        <is>
          <t>沪银</t>
        </is>
      </c>
      <c r="C5714" t="inlineStr">
        <is>
          <t>空</t>
        </is>
      </c>
      <c r="D5714" t="n">
        <v>3</v>
      </c>
      <c r="E5714" t="n">
        <v>6</v>
      </c>
      <c r="F5714" t="inlineStr">
        <is>
          <t>不做</t>
        </is>
      </c>
      <c r="H5714" t="n">
        <v>16204</v>
      </c>
      <c r="J5714" t="n">
        <v>0</v>
      </c>
      <c r="K5714" t="inlineStr">
        <is>
          <t>组合风险已近10%，预算缩小</t>
        </is>
      </c>
    </row>
    <row r="5715">
      <c r="A5715" t="inlineStr">
        <is>
          <t>2026-06-08</t>
        </is>
      </c>
      <c r="B5715" t="inlineStr">
        <is>
          <t>沪铜</t>
        </is>
      </c>
      <c r="C5715" t="inlineStr">
        <is>
          <t>空</t>
        </is>
      </c>
      <c r="D5715" t="n">
        <v>3</v>
      </c>
      <c r="E5715" t="n">
        <v>6</v>
      </c>
      <c r="F5715" t="inlineStr">
        <is>
          <t>不做</t>
        </is>
      </c>
      <c r="H5715" t="n">
        <v>104120</v>
      </c>
      <c r="J5715" t="n">
        <v>0</v>
      </c>
      <c r="K5715" t="inlineStr">
        <is>
          <t>组合风险已近10%，预算缩小</t>
        </is>
      </c>
    </row>
    <row r="5716">
      <c r="A5716" t="inlineStr">
        <is>
          <t>2026-06-09</t>
        </is>
      </c>
      <c r="B5716" t="inlineStr">
        <is>
          <t>尿素</t>
        </is>
      </c>
      <c r="C5716" t="inlineStr">
        <is>
          <t>空</t>
        </is>
      </c>
      <c r="D5716" t="n">
        <v>3</v>
      </c>
      <c r="E5716" t="n">
        <v>7</v>
      </c>
      <c r="F5716" t="inlineStr">
        <is>
          <t>观望</t>
        </is>
      </c>
      <c r="G5716" t="n">
        <v>12</v>
      </c>
      <c r="H5716" t="n">
        <v>1809</v>
      </c>
      <c r="I5716" t="n">
        <v>1928.14</v>
      </c>
      <c r="J5716" t="n">
        <v>3</v>
      </c>
      <c r="K5716" t="inlineStr">
        <is>
          <t>逆5日线（收盘在5日线上，不追空）</t>
        </is>
      </c>
    </row>
    <row r="5717">
      <c r="A5717" t="inlineStr">
        <is>
          <t>2026-06-09</t>
        </is>
      </c>
      <c r="B5717" t="inlineStr">
        <is>
          <t>菜粕</t>
        </is>
      </c>
      <c r="C5717" t="inlineStr">
        <is>
          <t>空</t>
        </is>
      </c>
      <c r="D5717" t="n">
        <v>3</v>
      </c>
      <c r="E5717" t="n">
        <v>6</v>
      </c>
      <c r="F5717" t="inlineStr">
        <is>
          <t>开仓</t>
        </is>
      </c>
      <c r="G5717" t="n">
        <v>31</v>
      </c>
      <c r="H5717" t="n">
        <v>2231</v>
      </c>
      <c r="I5717" t="n">
        <v>2327</v>
      </c>
      <c r="J5717" t="n">
        <v>3</v>
      </c>
      <c r="K5717" t="inlineStr">
        <is>
          <t>¼凯利超上限，取3%</t>
        </is>
      </c>
    </row>
    <row r="5718">
      <c r="A5718" t="inlineStr">
        <is>
          <t>2026-06-09</t>
        </is>
      </c>
      <c r="B5718" t="inlineStr">
        <is>
          <t>热卷</t>
        </is>
      </c>
      <c r="C5718" t="inlineStr">
        <is>
          <t>空</t>
        </is>
      </c>
      <c r="D5718" t="n">
        <v>3</v>
      </c>
      <c r="E5718" t="n">
        <v>6</v>
      </c>
      <c r="F5718" t="inlineStr">
        <is>
          <t>续持</t>
        </is>
      </c>
      <c r="G5718" t="n">
        <v>28</v>
      </c>
      <c r="H5718" t="n">
        <v>3361</v>
      </c>
      <c r="I5718" t="n">
        <v>3452</v>
      </c>
      <c r="J5718" t="n">
        <v>3</v>
      </c>
      <c r="K5718" t="inlineStr">
        <is>
          <t>续持原仓（2026-06-04开）</t>
        </is>
      </c>
    </row>
    <row r="5719">
      <c r="A5719" t="inlineStr">
        <is>
          <t>2026-06-09</t>
        </is>
      </c>
      <c r="B5719" t="inlineStr">
        <is>
          <t>乙二醇</t>
        </is>
      </c>
      <c r="C5719" t="inlineStr">
        <is>
          <t>空</t>
        </is>
      </c>
      <c r="D5719" t="n">
        <v>3</v>
      </c>
      <c r="E5719" t="n">
        <v>6</v>
      </c>
      <c r="F5719" t="inlineStr">
        <is>
          <t>续持</t>
        </is>
      </c>
      <c r="G5719" t="n">
        <v>2</v>
      </c>
      <c r="H5719" t="n">
        <v>4485</v>
      </c>
      <c r="I5719" t="n">
        <v>4791.29</v>
      </c>
      <c r="J5719" t="n">
        <v>1</v>
      </c>
      <c r="K5719" t="inlineStr">
        <is>
          <t>续持原仓（2026-05-29开）</t>
        </is>
      </c>
    </row>
    <row r="5720">
      <c r="A5720" t="inlineStr">
        <is>
          <t>2026-06-09</t>
        </is>
      </c>
      <c r="B5720" t="inlineStr">
        <is>
          <t>白糖</t>
        </is>
      </c>
      <c r="C5720" t="inlineStr">
        <is>
          <t>空</t>
        </is>
      </c>
      <c r="D5720" t="n">
        <v>2</v>
      </c>
      <c r="E5720" t="n">
        <v>5</v>
      </c>
      <c r="F5720" t="inlineStr">
        <is>
          <t>影子仓</t>
        </is>
      </c>
      <c r="G5720" t="n">
        <v>7</v>
      </c>
      <c r="H5720" t="n">
        <v>5310</v>
      </c>
      <c r="I5720" t="n">
        <v>5443.71</v>
      </c>
      <c r="J5720" t="n">
        <v>1</v>
      </c>
      <c r="K5720" t="inlineStr">
        <is>
          <t>凯利≤0，开1%影子仓（只统计，不计入组合）</t>
        </is>
      </c>
    </row>
    <row r="5721">
      <c r="A5721" t="inlineStr">
        <is>
          <t>2026-06-09</t>
        </is>
      </c>
      <c r="B5721" t="inlineStr">
        <is>
          <t>沥青</t>
        </is>
      </c>
      <c r="C5721" t="inlineStr">
        <is>
          <t>多</t>
        </is>
      </c>
      <c r="D5721" t="n">
        <v>2</v>
      </c>
      <c r="E5721" t="n">
        <v>5</v>
      </c>
      <c r="F5721" t="inlineStr">
        <is>
          <t>续持</t>
        </is>
      </c>
      <c r="G5721" t="n">
        <v>3</v>
      </c>
      <c r="H5721" t="n">
        <v>4450</v>
      </c>
      <c r="I5721" t="n">
        <v>4202.07</v>
      </c>
      <c r="J5721" t="n">
        <v>1</v>
      </c>
      <c r="K5721" t="inlineStr">
        <is>
          <t>续持原仓（2026-06-05开）</t>
        </is>
      </c>
    </row>
    <row r="5722">
      <c r="A5722" t="inlineStr">
        <is>
          <t>2026-06-10</t>
        </is>
      </c>
      <c r="B5722" t="inlineStr">
        <is>
          <t>碳酸锂</t>
        </is>
      </c>
      <c r="C5722" t="inlineStr">
        <is>
          <t>空</t>
        </is>
      </c>
      <c r="D5722" t="n">
        <v>3</v>
      </c>
      <c r="E5722" t="n">
        <v>6</v>
      </c>
      <c r="F5722" t="inlineStr">
        <is>
          <t>观望</t>
        </is>
      </c>
      <c r="H5722" t="n">
        <v>167400</v>
      </c>
      <c r="J5722" t="n">
        <v>0</v>
      </c>
      <c r="K5722" t="inlineStr">
        <is>
          <t>逆5日线（收盘在5日线上，不追空）</t>
        </is>
      </c>
    </row>
    <row r="5723">
      <c r="A5723" t="inlineStr">
        <is>
          <t>2026-06-10</t>
        </is>
      </c>
      <c r="B5723" t="inlineStr">
        <is>
          <t>棉花</t>
        </is>
      </c>
      <c r="C5723" t="inlineStr">
        <is>
          <t>空</t>
        </is>
      </c>
      <c r="D5723" t="n">
        <v>3</v>
      </c>
      <c r="E5723" t="n">
        <v>6</v>
      </c>
      <c r="F5723" t="inlineStr">
        <is>
          <t>不做</t>
        </is>
      </c>
      <c r="H5723" t="n">
        <v>15675</v>
      </c>
      <c r="J5723" t="n">
        <v>0</v>
      </c>
      <c r="K5723" t="inlineStr">
        <is>
          <t>组合风险已近10%，预算缩小</t>
        </is>
      </c>
    </row>
    <row r="5724">
      <c r="A5724" t="inlineStr">
        <is>
          <t>2026-06-10</t>
        </is>
      </c>
      <c r="B5724" t="inlineStr">
        <is>
          <t>菜粕</t>
        </is>
      </c>
      <c r="C5724" t="inlineStr">
        <is>
          <t>空</t>
        </is>
      </c>
      <c r="D5724" t="n">
        <v>3</v>
      </c>
      <c r="E5724" t="n">
        <v>6</v>
      </c>
      <c r="F5724" t="inlineStr">
        <is>
          <t>续持</t>
        </is>
      </c>
      <c r="G5724" t="n">
        <v>31</v>
      </c>
      <c r="H5724" t="n">
        <v>2239</v>
      </c>
      <c r="I5724" t="n">
        <v>2306.14</v>
      </c>
      <c r="J5724" t="n">
        <v>3</v>
      </c>
      <c r="K5724" t="inlineStr">
        <is>
          <t>续持原仓（2026-06-09开）</t>
        </is>
      </c>
    </row>
    <row r="5725">
      <c r="A5725" t="inlineStr">
        <is>
          <t>2026-06-10</t>
        </is>
      </c>
      <c r="B5725" t="inlineStr">
        <is>
          <t>尿素</t>
        </is>
      </c>
      <c r="C5725" t="inlineStr">
        <is>
          <t>空</t>
        </is>
      </c>
      <c r="D5725" t="n">
        <v>3</v>
      </c>
      <c r="E5725" t="n">
        <v>6</v>
      </c>
      <c r="F5725" t="inlineStr">
        <is>
          <t>不做</t>
        </is>
      </c>
      <c r="H5725" t="n">
        <v>1793</v>
      </c>
      <c r="J5725" t="n">
        <v>0</v>
      </c>
      <c r="K5725" t="inlineStr">
        <is>
          <t>组合风险已近10%，预算缩小</t>
        </is>
      </c>
    </row>
    <row r="5726">
      <c r="A5726" t="inlineStr">
        <is>
          <t>2026-06-10</t>
        </is>
      </c>
      <c r="B5726" t="inlineStr">
        <is>
          <t>甲醇</t>
        </is>
      </c>
      <c r="C5726" t="inlineStr">
        <is>
          <t>多</t>
        </is>
      </c>
      <c r="D5726" t="n">
        <v>3</v>
      </c>
      <c r="E5726" t="n">
        <v>6</v>
      </c>
      <c r="F5726" t="inlineStr">
        <is>
          <t>不做</t>
        </is>
      </c>
      <c r="H5726" t="n">
        <v>2972</v>
      </c>
      <c r="J5726" t="n">
        <v>0</v>
      </c>
      <c r="K5726" t="inlineStr">
        <is>
          <t>组合风险已近10%，预算缩小</t>
        </is>
      </c>
    </row>
    <row r="5727">
      <c r="A5727" t="inlineStr">
        <is>
          <t>2026-06-10</t>
        </is>
      </c>
      <c r="B5727" t="inlineStr">
        <is>
          <t>玉米淀粉</t>
        </is>
      </c>
      <c r="C5727" t="inlineStr">
        <is>
          <t>空</t>
        </is>
      </c>
      <c r="D5727" t="n">
        <v>3</v>
      </c>
      <c r="E5727" t="n">
        <v>6</v>
      </c>
      <c r="F5727" t="inlineStr">
        <is>
          <t>观望</t>
        </is>
      </c>
      <c r="H5727" t="n">
        <v>2714</v>
      </c>
      <c r="J5727" t="n">
        <v>0</v>
      </c>
      <c r="K5727" t="inlineStr">
        <is>
          <t>逆5日线（收盘在5日线上，不追空）</t>
        </is>
      </c>
    </row>
    <row r="5728">
      <c r="A5728" t="inlineStr">
        <is>
          <t>2026-06-10</t>
        </is>
      </c>
      <c r="B5728" t="inlineStr">
        <is>
          <t>硅铁</t>
        </is>
      </c>
      <c r="C5728" t="inlineStr">
        <is>
          <t>多</t>
        </is>
      </c>
      <c r="D5728" t="n">
        <v>2</v>
      </c>
      <c r="E5728" t="n">
        <v>5</v>
      </c>
      <c r="F5728" t="inlineStr">
        <is>
          <t>影子仓</t>
        </is>
      </c>
      <c r="G5728" t="n">
        <v>5</v>
      </c>
      <c r="H5728" t="n">
        <v>5880</v>
      </c>
      <c r="I5728" t="n">
        <v>5525.14</v>
      </c>
      <c r="J5728" t="n">
        <v>1</v>
      </c>
      <c r="K5728" t="inlineStr">
        <is>
          <t>凯利≤0，开1%影子仓（只统计，不计入组合）</t>
        </is>
      </c>
    </row>
    <row r="5729">
      <c r="A5729" t="inlineStr">
        <is>
          <t>2026-06-11</t>
        </is>
      </c>
      <c r="B5729" t="inlineStr">
        <is>
          <t>白糖</t>
        </is>
      </c>
      <c r="C5729" t="inlineStr">
        <is>
          <t>空</t>
        </is>
      </c>
      <c r="D5729" t="n">
        <v>3</v>
      </c>
      <c r="E5729" t="n">
        <v>6</v>
      </c>
      <c r="F5729" t="inlineStr">
        <is>
          <t>续持</t>
        </is>
      </c>
      <c r="G5729" t="n">
        <v>7</v>
      </c>
      <c r="H5729" t="n">
        <v>5291</v>
      </c>
      <c r="I5729" t="n">
        <v>5408.79</v>
      </c>
      <c r="J5729" t="n">
        <v>1</v>
      </c>
      <c r="K5729" t="inlineStr">
        <is>
          <t>续持原仓（2026-06-09开）</t>
        </is>
      </c>
    </row>
    <row r="5730">
      <c r="A5730" t="inlineStr">
        <is>
          <t>2026-06-11</t>
        </is>
      </c>
      <c r="B5730" t="inlineStr">
        <is>
          <t>PVC</t>
        </is>
      </c>
      <c r="C5730" t="inlineStr">
        <is>
          <t>空</t>
        </is>
      </c>
      <c r="D5730" t="n">
        <v>2</v>
      </c>
      <c r="E5730" t="n">
        <v>5</v>
      </c>
      <c r="F5730" t="inlineStr">
        <is>
          <t>影子仓</t>
        </is>
      </c>
      <c r="G5730" t="n">
        <v>7</v>
      </c>
      <c r="H5730" t="n">
        <v>4716</v>
      </c>
      <c r="I5730" t="n">
        <v>4999.5</v>
      </c>
      <c r="J5730" t="n">
        <v>1</v>
      </c>
      <c r="K5730" t="inlineStr">
        <is>
          <t>凯利≤0，开1%影子仓（只统计，不计入组合）</t>
        </is>
      </c>
    </row>
    <row r="5731">
      <c r="A5731" t="inlineStr">
        <is>
          <t>2026-06-11</t>
        </is>
      </c>
      <c r="B5731" t="inlineStr">
        <is>
          <t>铁矿石</t>
        </is>
      </c>
      <c r="C5731" t="inlineStr">
        <is>
          <t>空</t>
        </is>
      </c>
      <c r="D5731" t="n">
        <v>2</v>
      </c>
      <c r="E5731" t="n">
        <v>5</v>
      </c>
      <c r="F5731" t="inlineStr">
        <is>
          <t>续持</t>
        </is>
      </c>
      <c r="G5731" t="n">
        <v>10</v>
      </c>
      <c r="H5731" t="n">
        <v>764</v>
      </c>
      <c r="I5731" t="n">
        <v>785.96</v>
      </c>
      <c r="J5731" t="n">
        <v>3</v>
      </c>
      <c r="K5731" t="inlineStr">
        <is>
          <t>续持原仓（2026-06-08开）</t>
        </is>
      </c>
    </row>
    <row r="5732">
      <c r="A5732" t="inlineStr">
        <is>
          <t>2026-06-11</t>
        </is>
      </c>
      <c r="B5732" t="inlineStr">
        <is>
          <t>尿素</t>
        </is>
      </c>
      <c r="C5732" t="inlineStr">
        <is>
          <t>空</t>
        </is>
      </c>
      <c r="D5732" t="n">
        <v>2</v>
      </c>
      <c r="E5732" t="n">
        <v>5</v>
      </c>
      <c r="F5732" t="inlineStr">
        <is>
          <t>影子仓</t>
        </is>
      </c>
      <c r="G5732" t="n">
        <v>4</v>
      </c>
      <c r="H5732" t="n">
        <v>1801</v>
      </c>
      <c r="I5732" t="n">
        <v>1924.21</v>
      </c>
      <c r="J5732" t="n">
        <v>1</v>
      </c>
      <c r="K5732" t="inlineStr">
        <is>
          <t>凯利≤0，开1%影子仓（只统计，不计入组合）</t>
        </is>
      </c>
    </row>
    <row r="5733">
      <c r="A5733" t="inlineStr">
        <is>
          <t>2026-06-11</t>
        </is>
      </c>
      <c r="B5733" t="inlineStr">
        <is>
          <t>碳酸锂</t>
        </is>
      </c>
      <c r="C5733" t="inlineStr">
        <is>
          <t>空</t>
        </is>
      </c>
      <c r="D5733" t="n">
        <v>2</v>
      </c>
      <c r="E5733" t="n">
        <v>4</v>
      </c>
      <c r="F5733" t="inlineStr">
        <is>
          <t>观望</t>
        </is>
      </c>
      <c r="H5733" t="n">
        <v>174600</v>
      </c>
      <c r="J5733" t="n">
        <v>1</v>
      </c>
      <c r="K5733" t="inlineStr">
        <is>
          <t>逆5日线（收盘在5日线上，不追空）</t>
        </is>
      </c>
    </row>
    <row r="5734">
      <c r="A5734" t="inlineStr">
        <is>
          <t>2026-06-11</t>
        </is>
      </c>
      <c r="B5734" t="inlineStr">
        <is>
          <t>玉米</t>
        </is>
      </c>
      <c r="C5734" t="inlineStr">
        <is>
          <t>多</t>
        </is>
      </c>
      <c r="D5734" t="n">
        <v>2</v>
      </c>
      <c r="E5734" t="n">
        <v>4</v>
      </c>
      <c r="F5734" t="inlineStr">
        <is>
          <t>影子仓</t>
        </is>
      </c>
      <c r="G5734" t="n">
        <v>17</v>
      </c>
      <c r="H5734" t="n">
        <v>2346</v>
      </c>
      <c r="I5734" t="n">
        <v>2288.14</v>
      </c>
      <c r="J5734" t="n">
        <v>1</v>
      </c>
      <c r="K5734" t="inlineStr">
        <is>
          <t>凯利≤0，开1%影子仓（只统计，不计入组合）</t>
        </is>
      </c>
    </row>
    <row r="5735">
      <c r="A5735" t="inlineStr">
        <is>
          <t>2026-06-11</t>
        </is>
      </c>
      <c r="B5735" t="inlineStr">
        <is>
          <t>沥青</t>
        </is>
      </c>
      <c r="C5735" t="inlineStr">
        <is>
          <t>多</t>
        </is>
      </c>
      <c r="D5735" t="n">
        <v>2</v>
      </c>
      <c r="E5735" t="n">
        <v>4</v>
      </c>
      <c r="F5735" t="inlineStr">
        <is>
          <t>续持</t>
        </is>
      </c>
      <c r="G5735" t="n">
        <v>3</v>
      </c>
      <c r="H5735" t="n">
        <v>4475</v>
      </c>
      <c r="I5735" t="n">
        <v>4205.64</v>
      </c>
      <c r="J5735" t="n">
        <v>1</v>
      </c>
      <c r="K5735" t="inlineStr">
        <is>
          <t>续持原仓（2026-06-05开）</t>
        </is>
      </c>
    </row>
    <row r="5736">
      <c r="A5736" t="inlineStr">
        <is>
          <t>2026-06-12</t>
        </is>
      </c>
      <c r="B5736" t="inlineStr">
        <is>
          <t>玻璃</t>
        </is>
      </c>
      <c r="C5736" t="inlineStr">
        <is>
          <t>空</t>
        </is>
      </c>
      <c r="D5736" t="n">
        <v>3</v>
      </c>
      <c r="E5736" t="n">
        <v>7</v>
      </c>
      <c r="F5736" t="inlineStr">
        <is>
          <t>开仓</t>
        </is>
      </c>
      <c r="G5736" t="n">
        <v>25</v>
      </c>
      <c r="H5736" t="n">
        <v>987</v>
      </c>
      <c r="I5736" t="n">
        <v>1044.86</v>
      </c>
      <c r="J5736" t="n">
        <v>3</v>
      </c>
      <c r="K5736" t="inlineStr">
        <is>
          <t>¼凯利超上限，取3%</t>
        </is>
      </c>
    </row>
    <row r="5737">
      <c r="A5737" t="inlineStr">
        <is>
          <t>2026-06-12</t>
        </is>
      </c>
      <c r="B5737" t="inlineStr">
        <is>
          <t>沪银</t>
        </is>
      </c>
      <c r="C5737" t="inlineStr">
        <is>
          <t>空</t>
        </is>
      </c>
      <c r="D5737" t="n">
        <v>2</v>
      </c>
      <c r="E5737" t="n">
        <v>4</v>
      </c>
      <c r="F5737" t="inlineStr">
        <is>
          <t>观望</t>
        </is>
      </c>
      <c r="H5737" t="n">
        <v>15972</v>
      </c>
      <c r="J5737" t="n">
        <v>1</v>
      </c>
      <c r="K5737" t="inlineStr">
        <is>
          <t>逆5日线（收盘在5日线上，不追空）</t>
        </is>
      </c>
    </row>
    <row r="5738">
      <c r="A5738" t="inlineStr">
        <is>
          <t>2026-06-12</t>
        </is>
      </c>
      <c r="B5738" t="inlineStr">
        <is>
          <t>豆粕</t>
        </is>
      </c>
      <c r="C5738" t="inlineStr">
        <is>
          <t>空</t>
        </is>
      </c>
      <c r="D5738" t="n">
        <v>2</v>
      </c>
      <c r="E5738" t="n">
        <v>4</v>
      </c>
      <c r="F5738" t="inlineStr">
        <is>
          <t>观望</t>
        </is>
      </c>
      <c r="G5738" t="n">
        <v>11</v>
      </c>
      <c r="H5738" t="n">
        <v>2941</v>
      </c>
      <c r="I5738" t="n">
        <v>3030.57</v>
      </c>
      <c r="J5738" t="n">
        <v>1</v>
      </c>
      <c r="K5738" t="inlineStr">
        <is>
          <t>逆5日线（收盘在5日线上，不追空）</t>
        </is>
      </c>
    </row>
    <row r="5739">
      <c r="A5739" t="inlineStr">
        <is>
          <t>2026-06-15</t>
        </is>
      </c>
      <c r="B5739" t="inlineStr">
        <is>
          <t>棉花</t>
        </is>
      </c>
      <c r="C5739" t="inlineStr">
        <is>
          <t>空</t>
        </is>
      </c>
      <c r="D5739" t="n">
        <v>2</v>
      </c>
      <c r="E5739" t="n">
        <v>4</v>
      </c>
      <c r="F5739" t="inlineStr">
        <is>
          <t>观望</t>
        </is>
      </c>
      <c r="G5739" t="n">
        <v>3</v>
      </c>
      <c r="H5739" t="n">
        <v>15745</v>
      </c>
      <c r="I5739" t="n">
        <v>16330</v>
      </c>
      <c r="J5739" t="n">
        <v>1</v>
      </c>
      <c r="K5739" t="inlineStr">
        <is>
          <t>逆5日线（收盘在5日线上，不追空）</t>
        </is>
      </c>
    </row>
    <row r="5740">
      <c r="A5740" t="inlineStr">
        <is>
          <t>2026-06-15</t>
        </is>
      </c>
      <c r="B5740" t="inlineStr">
        <is>
          <t>豆粕</t>
        </is>
      </c>
      <c r="C5740" t="inlineStr">
        <is>
          <t>空</t>
        </is>
      </c>
      <c r="D5740" t="n">
        <v>2</v>
      </c>
      <c r="E5740" t="n">
        <v>4</v>
      </c>
      <c r="F5740" t="inlineStr">
        <is>
          <t>观望</t>
        </is>
      </c>
      <c r="G5740" t="n">
        <v>11</v>
      </c>
      <c r="H5740" t="n">
        <v>2941</v>
      </c>
      <c r="I5740" t="n">
        <v>3031.86</v>
      </c>
      <c r="J5740" t="n">
        <v>1</v>
      </c>
      <c r="K5740" t="inlineStr">
        <is>
          <t>逆5日线（收盘在5日线上，不追空）</t>
        </is>
      </c>
    </row>
    <row r="5741">
      <c r="A5741" t="inlineStr">
        <is>
          <t>2026-06-15</t>
        </is>
      </c>
      <c r="B5741" t="inlineStr">
        <is>
          <t>塑料</t>
        </is>
      </c>
      <c r="C5741" t="inlineStr">
        <is>
          <t>空</t>
        </is>
      </c>
      <c r="D5741" t="n">
        <v>2</v>
      </c>
      <c r="E5741" t="n">
        <v>4</v>
      </c>
      <c r="F5741" t="inlineStr">
        <is>
          <t>影子仓</t>
        </is>
      </c>
      <c r="G5741" t="n">
        <v>3</v>
      </c>
      <c r="H5741" t="n">
        <v>7646</v>
      </c>
      <c r="I5741" t="n">
        <v>8241.290000000001</v>
      </c>
      <c r="J5741" t="n">
        <v>1</v>
      </c>
      <c r="K5741" t="inlineStr">
        <is>
          <t>凯利≤0，开1%影子仓（只统计，不计入组合）</t>
        </is>
      </c>
    </row>
    <row r="5742">
      <c r="A5742" t="inlineStr">
        <is>
          <t>2026-06-15</t>
        </is>
      </c>
      <c r="B5742" t="inlineStr">
        <is>
          <t>菜油</t>
        </is>
      </c>
      <c r="C5742" t="inlineStr">
        <is>
          <t>空</t>
        </is>
      </c>
      <c r="D5742" t="n">
        <v>2</v>
      </c>
      <c r="E5742" t="n">
        <v>4</v>
      </c>
      <c r="F5742" t="inlineStr">
        <is>
          <t>影子仓</t>
        </is>
      </c>
      <c r="G5742" t="n">
        <v>1</v>
      </c>
      <c r="H5742" t="n">
        <v>9828</v>
      </c>
      <c r="I5742" t="n">
        <v>10362.64</v>
      </c>
      <c r="J5742" t="n">
        <v>1</v>
      </c>
      <c r="K5742" t="inlineStr">
        <is>
          <t>凯利≤0，开1%影子仓（只统计，不计入组合）</t>
        </is>
      </c>
    </row>
    <row r="5743">
      <c r="A5743" t="inlineStr">
        <is>
          <t>2026-06-16</t>
        </is>
      </c>
      <c r="B5743" t="inlineStr">
        <is>
          <t>棉花</t>
        </is>
      </c>
      <c r="C5743" t="inlineStr">
        <is>
          <t>空</t>
        </is>
      </c>
      <c r="D5743" t="n">
        <v>3</v>
      </c>
      <c r="E5743" t="n">
        <v>6</v>
      </c>
      <c r="F5743" t="inlineStr">
        <is>
          <t>观望</t>
        </is>
      </c>
      <c r="G5743" t="n">
        <v>10</v>
      </c>
      <c r="H5743" t="n">
        <v>15790</v>
      </c>
      <c r="I5743" t="n">
        <v>16379.29</v>
      </c>
      <c r="J5743" t="n">
        <v>3</v>
      </c>
      <c r="K5743" t="inlineStr">
        <is>
          <t>逆5日线（收盘在5日线上，不追空）</t>
        </is>
      </c>
    </row>
    <row r="5744">
      <c r="A5744" t="inlineStr">
        <is>
          <t>2026-06-16</t>
        </is>
      </c>
      <c r="B5744" t="inlineStr">
        <is>
          <t>尿素</t>
        </is>
      </c>
      <c r="C5744" t="inlineStr">
        <is>
          <t>空</t>
        </is>
      </c>
      <c r="D5744" t="n">
        <v>3</v>
      </c>
      <c r="E5744" t="n">
        <v>6</v>
      </c>
      <c r="F5744" t="inlineStr">
        <is>
          <t>开仓</t>
        </is>
      </c>
      <c r="G5744" t="n">
        <v>12</v>
      </c>
      <c r="H5744" t="n">
        <v>1768</v>
      </c>
      <c r="I5744" t="n">
        <v>1884.57</v>
      </c>
      <c r="J5744" t="n">
        <v>3</v>
      </c>
      <c r="K5744" t="inlineStr">
        <is>
          <t>¼凯利超上限，取3%</t>
        </is>
      </c>
    </row>
    <row r="5745">
      <c r="A5745" t="inlineStr">
        <is>
          <t>2026-06-16</t>
        </is>
      </c>
      <c r="B5745" t="inlineStr">
        <is>
          <t>苯乙烯</t>
        </is>
      </c>
      <c r="C5745" t="inlineStr">
        <is>
          <t>空</t>
        </is>
      </c>
      <c r="D5745" t="n">
        <v>2</v>
      </c>
      <c r="E5745" t="n">
        <v>4</v>
      </c>
      <c r="F5745" t="inlineStr">
        <is>
          <t>影子仓</t>
        </is>
      </c>
      <c r="G5745" t="n">
        <v>2</v>
      </c>
      <c r="H5745" t="n">
        <v>7928</v>
      </c>
      <c r="I5745" t="n">
        <v>8812.360000000001</v>
      </c>
      <c r="J5745" t="n">
        <v>1</v>
      </c>
      <c r="K5745" t="inlineStr">
        <is>
          <t>凯利≤0，开1%影子仓（只统计，不计入组合）</t>
        </is>
      </c>
    </row>
    <row r="5746">
      <c r="A5746" t="inlineStr">
        <is>
          <t>2026-06-17</t>
        </is>
      </c>
      <c r="B5746" t="inlineStr">
        <is>
          <t>铁矿石</t>
        </is>
      </c>
      <c r="C5746" t="inlineStr">
        <is>
          <t>空</t>
        </is>
      </c>
      <c r="D5746" t="n">
        <v>3</v>
      </c>
      <c r="E5746" t="n">
        <v>7</v>
      </c>
      <c r="F5746" t="inlineStr">
        <is>
          <t>续持</t>
        </is>
      </c>
      <c r="G5746" t="n">
        <v>10</v>
      </c>
      <c r="H5746" t="n">
        <v>747.5</v>
      </c>
      <c r="I5746" t="n">
        <v>778.61</v>
      </c>
      <c r="J5746" t="n">
        <v>3</v>
      </c>
      <c r="K5746" t="inlineStr">
        <is>
          <t>续持原仓（2026-06-08开）</t>
        </is>
      </c>
    </row>
    <row r="5747">
      <c r="A5747" t="inlineStr">
        <is>
          <t>2026-06-17</t>
        </is>
      </c>
      <c r="B5747" t="inlineStr">
        <is>
          <t>甲醇</t>
        </is>
      </c>
      <c r="C5747" t="inlineStr">
        <is>
          <t>空</t>
        </is>
      </c>
      <c r="D5747" t="n">
        <v>3</v>
      </c>
      <c r="E5747" t="n">
        <v>6</v>
      </c>
      <c r="F5747" t="inlineStr">
        <is>
          <t>开仓</t>
        </is>
      </c>
      <c r="G5747" t="n">
        <v>9</v>
      </c>
      <c r="H5747" t="n">
        <v>2614</v>
      </c>
      <c r="I5747" t="n">
        <v>2942.5</v>
      </c>
      <c r="J5747" t="n">
        <v>3</v>
      </c>
      <c r="K5747" t="inlineStr">
        <is>
          <t>¼凯利超上限，取3%</t>
        </is>
      </c>
    </row>
    <row r="5748">
      <c r="A5748" t="inlineStr">
        <is>
          <t>2026-06-17</t>
        </is>
      </c>
      <c r="B5748" t="inlineStr">
        <is>
          <t>白糖</t>
        </is>
      </c>
      <c r="C5748" t="inlineStr">
        <is>
          <t>空</t>
        </is>
      </c>
      <c r="D5748" t="n">
        <v>2</v>
      </c>
      <c r="E5748" t="n">
        <v>4</v>
      </c>
      <c r="F5748" t="inlineStr">
        <is>
          <t>观望</t>
        </is>
      </c>
      <c r="G5748" t="n">
        <v>7</v>
      </c>
      <c r="H5748" t="n">
        <v>5338</v>
      </c>
      <c r="I5748" t="n">
        <v>5469.57</v>
      </c>
      <c r="J5748" t="n">
        <v>1</v>
      </c>
      <c r="K5748" t="inlineStr">
        <is>
          <t>逆5日线（收盘在5日线上，不追空）</t>
        </is>
      </c>
    </row>
    <row r="5749">
      <c r="A5749" t="inlineStr">
        <is>
          <t>2026-06-17</t>
        </is>
      </c>
      <c r="B5749" t="inlineStr">
        <is>
          <t>苯乙烯</t>
        </is>
      </c>
      <c r="C5749" t="inlineStr">
        <is>
          <t>空</t>
        </is>
      </c>
      <c r="D5749" t="n">
        <v>2</v>
      </c>
      <c r="E5749" t="n">
        <v>4</v>
      </c>
      <c r="F5749" t="inlineStr">
        <is>
          <t>续持</t>
        </is>
      </c>
      <c r="G5749" t="n">
        <v>2</v>
      </c>
      <c r="H5749" t="n">
        <v>7798</v>
      </c>
      <c r="I5749" t="n">
        <v>8605.07</v>
      </c>
      <c r="J5749" t="n">
        <v>1</v>
      </c>
      <c r="K5749" t="inlineStr">
        <is>
          <t>续持原仓（2026-06-16开）</t>
        </is>
      </c>
    </row>
    <row r="5750">
      <c r="A5750" t="inlineStr">
        <is>
          <t>2026-06-18</t>
        </is>
      </c>
      <c r="B5750" t="inlineStr">
        <is>
          <t>PVC</t>
        </is>
      </c>
      <c r="C5750" t="inlineStr">
        <is>
          <t>空</t>
        </is>
      </c>
      <c r="D5750" t="n">
        <v>3</v>
      </c>
      <c r="E5750" t="n">
        <v>6</v>
      </c>
      <c r="F5750" t="inlineStr">
        <is>
          <t>续持</t>
        </is>
      </c>
      <c r="G5750" t="n">
        <v>7</v>
      </c>
      <c r="H5750" t="n">
        <v>4616</v>
      </c>
      <c r="I5750" t="n">
        <v>4850.86</v>
      </c>
      <c r="J5750" t="n">
        <v>1</v>
      </c>
      <c r="K5750" t="inlineStr">
        <is>
          <t>续持原仓（2026-06-11开）</t>
        </is>
      </c>
    </row>
    <row r="5751">
      <c r="A5751" t="inlineStr">
        <is>
          <t>2026-06-18</t>
        </is>
      </c>
      <c r="B5751" t="inlineStr">
        <is>
          <t>铁矿石</t>
        </is>
      </c>
      <c r="C5751" t="inlineStr">
        <is>
          <t>空</t>
        </is>
      </c>
      <c r="D5751" t="n">
        <v>3</v>
      </c>
      <c r="E5751" t="n">
        <v>6</v>
      </c>
      <c r="F5751" t="inlineStr">
        <is>
          <t>续持</t>
        </is>
      </c>
      <c r="G5751" t="n">
        <v>10</v>
      </c>
      <c r="H5751" t="n">
        <v>747</v>
      </c>
      <c r="I5751" t="n">
        <v>774.0700000000001</v>
      </c>
      <c r="J5751" t="n">
        <v>3</v>
      </c>
      <c r="K5751" t="inlineStr">
        <is>
          <t>续持原仓（2026-06-08开）</t>
        </is>
      </c>
    </row>
    <row r="5752">
      <c r="A5752" t="inlineStr">
        <is>
          <t>2026-06-18</t>
        </is>
      </c>
      <c r="B5752" t="inlineStr">
        <is>
          <t>甲醇</t>
        </is>
      </c>
      <c r="C5752" t="inlineStr">
        <is>
          <t>空</t>
        </is>
      </c>
      <c r="D5752" t="n">
        <v>3</v>
      </c>
      <c r="E5752" t="n">
        <v>6</v>
      </c>
      <c r="F5752" t="inlineStr">
        <is>
          <t>续持</t>
        </is>
      </c>
      <c r="G5752" t="n">
        <v>9</v>
      </c>
      <c r="H5752" t="n">
        <v>2566</v>
      </c>
      <c r="I5752" t="n">
        <v>2882.36</v>
      </c>
      <c r="J5752" t="n">
        <v>3</v>
      </c>
      <c r="K5752" t="inlineStr">
        <is>
          <t>续持原仓（2026-06-17开）</t>
        </is>
      </c>
    </row>
    <row r="5753">
      <c r="A5753" t="inlineStr">
        <is>
          <t>2026-06-18</t>
        </is>
      </c>
      <c r="B5753" t="inlineStr">
        <is>
          <t>沪金</t>
        </is>
      </c>
      <c r="C5753" t="inlineStr">
        <is>
          <t>空</t>
        </is>
      </c>
      <c r="D5753" t="n">
        <v>2</v>
      </c>
      <c r="E5753" t="n">
        <v>5</v>
      </c>
      <c r="F5753" t="inlineStr">
        <is>
          <t>观望</t>
        </is>
      </c>
      <c r="H5753" t="n">
        <v>937.96</v>
      </c>
      <c r="J5753" t="n">
        <v>1</v>
      </c>
      <c r="K5753" t="inlineStr">
        <is>
          <t>逆5日线（收盘在5日线上，不追空）</t>
        </is>
      </c>
    </row>
    <row r="5754">
      <c r="A5754" t="inlineStr">
        <is>
          <t>2026-06-18</t>
        </is>
      </c>
      <c r="B5754" t="inlineStr">
        <is>
          <t>塑料</t>
        </is>
      </c>
      <c r="C5754" t="inlineStr">
        <is>
          <t>空</t>
        </is>
      </c>
      <c r="D5754" t="n">
        <v>2</v>
      </c>
      <c r="E5754" t="n">
        <v>5</v>
      </c>
      <c r="F5754" t="inlineStr">
        <is>
          <t>续持</t>
        </is>
      </c>
      <c r="G5754" t="n">
        <v>3</v>
      </c>
      <c r="H5754" t="n">
        <v>7206</v>
      </c>
      <c r="I5754" t="n">
        <v>7822</v>
      </c>
      <c r="J5754" t="n">
        <v>1</v>
      </c>
      <c r="K5754" t="inlineStr">
        <is>
          <t>续持原仓（2026-06-15开）</t>
        </is>
      </c>
    </row>
    <row r="5755">
      <c r="A5755" t="inlineStr">
        <is>
          <t>2026-06-22</t>
        </is>
      </c>
      <c r="B5755" t="inlineStr">
        <is>
          <t>PVC</t>
        </is>
      </c>
      <c r="C5755" t="inlineStr">
        <is>
          <t>空</t>
        </is>
      </c>
      <c r="D5755" t="n">
        <v>3</v>
      </c>
      <c r="E5755" t="n">
        <v>7</v>
      </c>
      <c r="F5755" t="inlineStr">
        <is>
          <t>续持</t>
        </is>
      </c>
      <c r="G5755" t="n">
        <v>7</v>
      </c>
      <c r="H5755" t="n">
        <v>4535</v>
      </c>
      <c r="I5755" t="n">
        <v>4799</v>
      </c>
      <c r="J5755" t="n">
        <v>1</v>
      </c>
      <c r="K5755" t="inlineStr">
        <is>
          <t>续持原仓（2026-06-11开）</t>
        </is>
      </c>
    </row>
    <row r="5756">
      <c r="A5756" t="inlineStr">
        <is>
          <t>2026-06-22</t>
        </is>
      </c>
      <c r="B5756" t="inlineStr">
        <is>
          <t>铁矿石</t>
        </is>
      </c>
      <c r="C5756" t="inlineStr">
        <is>
          <t>空</t>
        </is>
      </c>
      <c r="D5756" t="n">
        <v>3</v>
      </c>
      <c r="E5756" t="n">
        <v>7</v>
      </c>
      <c r="F5756" t="inlineStr">
        <is>
          <t>续持</t>
        </is>
      </c>
      <c r="G5756" t="n">
        <v>10</v>
      </c>
      <c r="H5756" t="n">
        <v>739.5</v>
      </c>
      <c r="I5756" t="n">
        <v>770.8200000000001</v>
      </c>
      <c r="J5756" t="n">
        <v>3</v>
      </c>
      <c r="K5756" t="inlineStr">
        <is>
          <t>续持原仓（2026-06-08开）</t>
        </is>
      </c>
    </row>
    <row r="5757">
      <c r="A5757" t="inlineStr">
        <is>
          <t>2026-06-22</t>
        </is>
      </c>
      <c r="B5757" t="inlineStr">
        <is>
          <t>玻璃</t>
        </is>
      </c>
      <c r="C5757" t="inlineStr">
        <is>
          <t>空</t>
        </is>
      </c>
      <c r="D5757" t="n">
        <v>3</v>
      </c>
      <c r="E5757" t="n">
        <v>6</v>
      </c>
      <c r="F5757" t="inlineStr">
        <is>
          <t>开仓</t>
        </is>
      </c>
      <c r="G5757" t="n">
        <v>26</v>
      </c>
      <c r="H5757" t="n">
        <v>977</v>
      </c>
      <c r="I5757" t="n">
        <v>1034</v>
      </c>
      <c r="J5757" t="n">
        <v>3</v>
      </c>
      <c r="K5757" t="inlineStr">
        <is>
          <t>¼凯利超上限，取3%</t>
        </is>
      </c>
    </row>
    <row r="5758">
      <c r="A5758" t="inlineStr">
        <is>
          <t>2026-06-22</t>
        </is>
      </c>
      <c r="B5758" t="inlineStr">
        <is>
          <t>塑料</t>
        </is>
      </c>
      <c r="C5758" t="inlineStr">
        <is>
          <t>空</t>
        </is>
      </c>
      <c r="D5758" t="n">
        <v>2</v>
      </c>
      <c r="E5758" t="n">
        <v>5</v>
      </c>
      <c r="F5758" t="inlineStr">
        <is>
          <t>续持</t>
        </is>
      </c>
      <c r="G5758" t="n">
        <v>3</v>
      </c>
      <c r="H5758" t="n">
        <v>7160</v>
      </c>
      <c r="I5758" t="n">
        <v>7726.5</v>
      </c>
      <c r="J5758" t="n">
        <v>1</v>
      </c>
      <c r="K5758" t="inlineStr">
        <is>
          <t>续持原仓（2026-06-15开）</t>
        </is>
      </c>
    </row>
    <row r="5759">
      <c r="A5759" t="inlineStr">
        <is>
          <t>2026-06-22</t>
        </is>
      </c>
      <c r="B5759" t="inlineStr">
        <is>
          <t>苯乙烯</t>
        </is>
      </c>
      <c r="C5759" t="inlineStr">
        <is>
          <t>空</t>
        </is>
      </c>
      <c r="D5759" t="n">
        <v>2</v>
      </c>
      <c r="E5759" t="n">
        <v>4</v>
      </c>
      <c r="F5759" t="inlineStr">
        <is>
          <t>续持</t>
        </is>
      </c>
      <c r="G5759" t="n">
        <v>2</v>
      </c>
      <c r="H5759" t="n">
        <v>7686</v>
      </c>
      <c r="I5759" t="n">
        <v>8422.07</v>
      </c>
      <c r="J5759" t="n">
        <v>1</v>
      </c>
      <c r="K5759" t="inlineStr">
        <is>
          <t>续持原仓（2026-06-16开）</t>
        </is>
      </c>
    </row>
    <row r="5760">
      <c r="A5760" t="inlineStr">
        <is>
          <t>2026-06-23</t>
        </is>
      </c>
      <c r="B5760" t="inlineStr">
        <is>
          <t>玻璃</t>
        </is>
      </c>
      <c r="C5760" t="inlineStr">
        <is>
          <t>空</t>
        </is>
      </c>
      <c r="D5760" t="n">
        <v>3</v>
      </c>
      <c r="E5760" t="n">
        <v>7</v>
      </c>
      <c r="F5760" t="inlineStr">
        <is>
          <t>续持</t>
        </is>
      </c>
      <c r="G5760" t="n">
        <v>26</v>
      </c>
      <c r="H5760" t="n">
        <v>967</v>
      </c>
      <c r="I5760" t="n">
        <v>1017.93</v>
      </c>
      <c r="J5760" t="n">
        <v>3</v>
      </c>
      <c r="K5760" t="inlineStr">
        <is>
          <t>续持原仓（2026-06-22开）</t>
        </is>
      </c>
    </row>
    <row r="5761">
      <c r="A5761" t="inlineStr">
        <is>
          <t>2026-06-23</t>
        </is>
      </c>
      <c r="B5761" t="inlineStr">
        <is>
          <t>PVC</t>
        </is>
      </c>
      <c r="C5761" t="inlineStr">
        <is>
          <t>空</t>
        </is>
      </c>
      <c r="D5761" t="n">
        <v>3</v>
      </c>
      <c r="E5761" t="n">
        <v>7</v>
      </c>
      <c r="F5761" t="inlineStr">
        <is>
          <t>续持</t>
        </is>
      </c>
      <c r="G5761" t="n">
        <v>7</v>
      </c>
      <c r="H5761" t="n">
        <v>4444</v>
      </c>
      <c r="I5761" t="n">
        <v>4712.64</v>
      </c>
      <c r="J5761" t="n">
        <v>1</v>
      </c>
      <c r="K5761" t="inlineStr">
        <is>
          <t>续持原仓（2026-06-11开）</t>
        </is>
      </c>
    </row>
    <row r="5762">
      <c r="A5762" t="inlineStr">
        <is>
          <t>2026-06-23</t>
        </is>
      </c>
      <c r="B5762" t="inlineStr">
        <is>
          <t>沪银</t>
        </is>
      </c>
      <c r="C5762" t="inlineStr">
        <is>
          <t>空</t>
        </is>
      </c>
      <c r="D5762" t="n">
        <v>3</v>
      </c>
      <c r="E5762" t="n">
        <v>7</v>
      </c>
      <c r="F5762" t="inlineStr">
        <is>
          <t>不做</t>
        </is>
      </c>
      <c r="H5762" t="n">
        <v>14997</v>
      </c>
      <c r="J5762" t="n">
        <v>3</v>
      </c>
      <c r="K5762" t="inlineStr">
        <is>
          <t>1手风险38604元超过预算30000元</t>
        </is>
      </c>
    </row>
    <row r="5763">
      <c r="A5763" t="inlineStr">
        <is>
          <t>2026-06-23</t>
        </is>
      </c>
      <c r="B5763" t="inlineStr">
        <is>
          <t>尿素</t>
        </is>
      </c>
      <c r="C5763" t="inlineStr">
        <is>
          <t>空</t>
        </is>
      </c>
      <c r="D5763" t="n">
        <v>3</v>
      </c>
      <c r="E5763" t="n">
        <v>6</v>
      </c>
      <c r="F5763" t="inlineStr">
        <is>
          <t>开仓</t>
        </is>
      </c>
      <c r="G5763" t="n">
        <v>11</v>
      </c>
      <c r="H5763" t="n">
        <v>1785</v>
      </c>
      <c r="I5763" t="n">
        <v>1911.86</v>
      </c>
      <c r="J5763" t="n">
        <v>3</v>
      </c>
      <c r="K5763" t="inlineStr">
        <is>
          <t>¼凯利超上限，取3%</t>
        </is>
      </c>
    </row>
    <row r="5764">
      <c r="A5764" t="inlineStr">
        <is>
          <t>2026-06-23</t>
        </is>
      </c>
      <c r="B5764" t="inlineStr">
        <is>
          <t>沥青</t>
        </is>
      </c>
      <c r="C5764" t="inlineStr">
        <is>
          <t>空</t>
        </is>
      </c>
      <c r="D5764" t="n">
        <v>3</v>
      </c>
      <c r="E5764" t="n">
        <v>6</v>
      </c>
      <c r="F5764" t="inlineStr">
        <is>
          <t>开仓</t>
        </is>
      </c>
      <c r="G5764" t="n">
        <v>6</v>
      </c>
      <c r="H5764" t="n">
        <v>3766</v>
      </c>
      <c r="I5764" t="n">
        <v>4204.64</v>
      </c>
      <c r="J5764" t="n">
        <v>3</v>
      </c>
      <c r="K5764" t="inlineStr">
        <is>
          <t>¼凯利超上限，取3%</t>
        </is>
      </c>
    </row>
    <row r="5765">
      <c r="A5765" t="inlineStr">
        <is>
          <t>2026-06-24</t>
        </is>
      </c>
      <c r="B5765" t="inlineStr">
        <is>
          <t>沪镍</t>
        </is>
      </c>
      <c r="C5765" t="inlineStr">
        <is>
          <t>空</t>
        </is>
      </c>
      <c r="D5765" t="n">
        <v>3</v>
      </c>
      <c r="E5765" t="n">
        <v>7</v>
      </c>
      <c r="F5765" t="inlineStr">
        <is>
          <t>开仓</t>
        </is>
      </c>
      <c r="G5765" t="n">
        <v>3</v>
      </c>
      <c r="H5765" t="n">
        <v>130700</v>
      </c>
      <c r="I5765" t="n">
        <v>138815</v>
      </c>
      <c r="J5765" t="n">
        <v>3</v>
      </c>
      <c r="K5765" t="inlineStr">
        <is>
          <t>¼凯利超上限，取3%</t>
        </is>
      </c>
    </row>
    <row r="5766">
      <c r="A5766" t="inlineStr">
        <is>
          <t>2026-06-24</t>
        </is>
      </c>
      <c r="B5766" t="inlineStr">
        <is>
          <t>纯碱</t>
        </is>
      </c>
      <c r="C5766" t="inlineStr">
        <is>
          <t>空</t>
        </is>
      </c>
      <c r="D5766" t="n">
        <v>3</v>
      </c>
      <c r="E5766" t="n">
        <v>7</v>
      </c>
      <c r="F5766" t="inlineStr">
        <is>
          <t>开仓</t>
        </is>
      </c>
      <c r="G5766" t="n">
        <v>28</v>
      </c>
      <c r="H5766" t="n">
        <v>1118</v>
      </c>
      <c r="I5766" t="n">
        <v>1171.57</v>
      </c>
      <c r="J5766" t="n">
        <v>3</v>
      </c>
      <c r="K5766" t="inlineStr">
        <is>
          <t>¼凯利超上限，取3%</t>
        </is>
      </c>
    </row>
    <row r="5767">
      <c r="A5767" t="inlineStr">
        <is>
          <t>2026-06-24</t>
        </is>
      </c>
      <c r="B5767" t="inlineStr">
        <is>
          <t>铁矿石</t>
        </is>
      </c>
      <c r="C5767" t="inlineStr">
        <is>
          <t>空</t>
        </is>
      </c>
      <c r="D5767" t="n">
        <v>2</v>
      </c>
      <c r="E5767" t="n">
        <v>4</v>
      </c>
      <c r="F5767" t="inlineStr">
        <is>
          <t>观望</t>
        </is>
      </c>
      <c r="G5767" t="n">
        <v>3</v>
      </c>
      <c r="H5767" t="n">
        <v>744</v>
      </c>
      <c r="I5767" t="n">
        <v>777</v>
      </c>
      <c r="J5767" t="n">
        <v>1</v>
      </c>
      <c r="K5767" t="inlineStr">
        <is>
          <t>逆5日线（收盘在5日线上，不追空）</t>
        </is>
      </c>
    </row>
    <row r="5768">
      <c r="A5768" t="inlineStr">
        <is>
          <t>2026-06-24</t>
        </is>
      </c>
      <c r="B5768" t="inlineStr">
        <is>
          <t>苯乙烯</t>
        </is>
      </c>
      <c r="C5768" t="inlineStr">
        <is>
          <t>空</t>
        </is>
      </c>
      <c r="D5768" t="n">
        <v>2</v>
      </c>
      <c r="E5768" t="n">
        <v>4</v>
      </c>
      <c r="F5768" t="inlineStr">
        <is>
          <t>续持</t>
        </is>
      </c>
      <c r="G5768" t="n">
        <v>2</v>
      </c>
      <c r="H5768" t="n">
        <v>7384</v>
      </c>
      <c r="I5768" t="n">
        <v>8170.43</v>
      </c>
      <c r="J5768" t="n">
        <v>1</v>
      </c>
      <c r="K5768" t="inlineStr">
        <is>
          <t>续持原仓（2026-06-16开）</t>
        </is>
      </c>
    </row>
    <row r="5769">
      <c r="A5769" t="inlineStr">
        <is>
          <t>2026-06-25</t>
        </is>
      </c>
      <c r="B5769" t="inlineStr">
        <is>
          <t>PVC</t>
        </is>
      </c>
      <c r="C5769" t="inlineStr">
        <is>
          <t>空</t>
        </is>
      </c>
      <c r="D5769" t="n">
        <v>3</v>
      </c>
      <c r="E5769" t="n">
        <v>7</v>
      </c>
      <c r="F5769" t="inlineStr">
        <is>
          <t>开仓</t>
        </is>
      </c>
      <c r="G5769" t="n">
        <v>7</v>
      </c>
      <c r="H5769" t="n">
        <v>4469</v>
      </c>
      <c r="I5769" t="n">
        <v>4731.29</v>
      </c>
      <c r="J5769" t="n">
        <v>1</v>
      </c>
      <c r="K5769" t="inlineStr">
        <is>
          <t>组合风险已近10%，预算缩小</t>
        </is>
      </c>
    </row>
    <row r="5770">
      <c r="A5770" t="inlineStr">
        <is>
          <t>2026-06-25</t>
        </is>
      </c>
      <c r="B5770" t="inlineStr">
        <is>
          <t>螺纹钢</t>
        </is>
      </c>
      <c r="C5770" t="inlineStr">
        <is>
          <t>空</t>
        </is>
      </c>
      <c r="D5770" t="n">
        <v>3</v>
      </c>
      <c r="E5770" t="n">
        <v>7</v>
      </c>
      <c r="F5770" t="inlineStr">
        <is>
          <t>不做</t>
        </is>
      </c>
      <c r="H5770" t="n">
        <v>3098</v>
      </c>
      <c r="J5770" t="n">
        <v>0</v>
      </c>
      <c r="K5770" t="inlineStr">
        <is>
          <t>组合风险已近10%，预算缩小</t>
        </is>
      </c>
    </row>
    <row r="5771">
      <c r="A5771" t="inlineStr">
        <is>
          <t>2026-06-25</t>
        </is>
      </c>
      <c r="B5771" t="inlineStr">
        <is>
          <t>白糖</t>
        </is>
      </c>
      <c r="C5771" t="inlineStr">
        <is>
          <t>空</t>
        </is>
      </c>
      <c r="D5771" t="n">
        <v>3</v>
      </c>
      <c r="E5771" t="n">
        <v>6</v>
      </c>
      <c r="F5771" t="inlineStr">
        <is>
          <t>续持</t>
        </is>
      </c>
      <c r="G5771" t="n">
        <v>7</v>
      </c>
      <c r="H5771" t="n">
        <v>5210</v>
      </c>
      <c r="I5771" t="n">
        <v>5335.57</v>
      </c>
      <c r="J5771" t="n">
        <v>1</v>
      </c>
      <c r="K5771" t="inlineStr">
        <is>
          <t>续持原仓（2026-06-09开）</t>
        </is>
      </c>
    </row>
    <row r="5772">
      <c r="A5772" t="inlineStr">
        <is>
          <t>2026-06-25</t>
        </is>
      </c>
      <c r="B5772" t="inlineStr">
        <is>
          <t>铁矿石</t>
        </is>
      </c>
      <c r="C5772" t="inlineStr">
        <is>
          <t>空</t>
        </is>
      </c>
      <c r="D5772" t="n">
        <v>3</v>
      </c>
      <c r="E5772" t="n">
        <v>6</v>
      </c>
      <c r="F5772" t="inlineStr">
        <is>
          <t>不做</t>
        </is>
      </c>
      <c r="H5772" t="n">
        <v>735</v>
      </c>
      <c r="J5772" t="n">
        <v>0</v>
      </c>
      <c r="K5772" t="inlineStr">
        <is>
          <t>组合风险已近10%，预算缩小</t>
        </is>
      </c>
    </row>
    <row r="5773">
      <c r="A5773" t="inlineStr">
        <is>
          <t>2026-06-25</t>
        </is>
      </c>
      <c r="B5773" t="inlineStr">
        <is>
          <t>纯碱</t>
        </is>
      </c>
      <c r="C5773" t="inlineStr">
        <is>
          <t>空</t>
        </is>
      </c>
      <c r="D5773" t="n">
        <v>3</v>
      </c>
      <c r="E5773" t="n">
        <v>6</v>
      </c>
      <c r="F5773" t="inlineStr">
        <is>
          <t>续持</t>
        </is>
      </c>
      <c r="G5773" t="n">
        <v>28</v>
      </c>
      <c r="H5773" t="n">
        <v>1111</v>
      </c>
      <c r="I5773" t="n">
        <v>1156</v>
      </c>
      <c r="J5773" t="n">
        <v>3</v>
      </c>
      <c r="K5773" t="inlineStr">
        <is>
          <t>续持原仓（2026-06-24开）</t>
        </is>
      </c>
    </row>
    <row r="5774">
      <c r="A5774" t="inlineStr">
        <is>
          <t>2026-06-26</t>
        </is>
      </c>
      <c r="B5774" t="inlineStr">
        <is>
          <t>玻璃</t>
        </is>
      </c>
      <c r="C5774" t="inlineStr">
        <is>
          <t>空</t>
        </is>
      </c>
      <c r="D5774" t="n">
        <v>3</v>
      </c>
      <c r="E5774" t="n">
        <v>7</v>
      </c>
      <c r="F5774" t="inlineStr">
        <is>
          <t>不做</t>
        </is>
      </c>
      <c r="H5774" t="n">
        <v>968</v>
      </c>
      <c r="J5774" t="n">
        <v>0</v>
      </c>
      <c r="K5774" t="inlineStr">
        <is>
          <t>建材板块同方向已近6%，预算缩小</t>
        </is>
      </c>
    </row>
    <row r="5775">
      <c r="A5775" t="inlineStr">
        <is>
          <t>2026-06-26</t>
        </is>
      </c>
      <c r="B5775" t="inlineStr">
        <is>
          <t>PVC</t>
        </is>
      </c>
      <c r="C5775" t="inlineStr">
        <is>
          <t>空</t>
        </is>
      </c>
      <c r="D5775" t="n">
        <v>3</v>
      </c>
      <c r="E5775" t="n">
        <v>7</v>
      </c>
      <c r="F5775" t="inlineStr">
        <is>
          <t>续持</t>
        </is>
      </c>
      <c r="G5775" t="n">
        <v>7</v>
      </c>
      <c r="H5775" t="n">
        <v>4388</v>
      </c>
      <c r="I5775" t="n">
        <v>4655.43</v>
      </c>
      <c r="J5775" t="n">
        <v>1</v>
      </c>
      <c r="K5775" t="inlineStr">
        <is>
          <t>续持原仓（2026-06-25开）</t>
        </is>
      </c>
    </row>
    <row r="5776">
      <c r="A5776" t="inlineStr">
        <is>
          <t>2026-06-26</t>
        </is>
      </c>
      <c r="B5776" t="inlineStr">
        <is>
          <t>纯碱</t>
        </is>
      </c>
      <c r="C5776" t="inlineStr">
        <is>
          <t>空</t>
        </is>
      </c>
      <c r="D5776" t="n">
        <v>3</v>
      </c>
      <c r="E5776" t="n">
        <v>6</v>
      </c>
      <c r="F5776" t="inlineStr">
        <is>
          <t>续持</t>
        </is>
      </c>
      <c r="G5776" t="n">
        <v>28</v>
      </c>
      <c r="H5776" t="n">
        <v>1096</v>
      </c>
      <c r="I5776" t="n">
        <v>1142.93</v>
      </c>
      <c r="J5776" t="n">
        <v>3</v>
      </c>
      <c r="K5776" t="inlineStr">
        <is>
          <t>续持原仓（2026-06-24开）</t>
        </is>
      </c>
    </row>
    <row r="5777">
      <c r="A5777" t="inlineStr">
        <is>
          <t>2026-06-26</t>
        </is>
      </c>
      <c r="B5777" t="inlineStr">
        <is>
          <t>沪镍</t>
        </is>
      </c>
      <c r="C5777" t="inlineStr">
        <is>
          <t>空</t>
        </is>
      </c>
      <c r="D5777" t="n">
        <v>3</v>
      </c>
      <c r="E5777" t="n">
        <v>6</v>
      </c>
      <c r="F5777" t="inlineStr">
        <is>
          <t>续持</t>
        </is>
      </c>
      <c r="G5777" t="n">
        <v>3</v>
      </c>
      <c r="H5777" t="n">
        <v>129060</v>
      </c>
      <c r="I5777" t="n">
        <v>135357.86</v>
      </c>
      <c r="J5777" t="n">
        <v>3</v>
      </c>
      <c r="K5777" t="inlineStr">
        <is>
          <t>续持原仓（2026-06-24开）</t>
        </is>
      </c>
    </row>
    <row r="5778">
      <c r="A5778" t="inlineStr">
        <is>
          <t>2026-06-26</t>
        </is>
      </c>
      <c r="B5778" t="inlineStr">
        <is>
          <t>热卷</t>
        </is>
      </c>
      <c r="C5778" t="inlineStr">
        <is>
          <t>空</t>
        </is>
      </c>
      <c r="D5778" t="n">
        <v>3</v>
      </c>
      <c r="E5778" t="n">
        <v>6</v>
      </c>
      <c r="F5778" t="inlineStr">
        <is>
          <t>不做</t>
        </is>
      </c>
      <c r="H5778" t="n">
        <v>3316</v>
      </c>
      <c r="J5778" t="n">
        <v>0</v>
      </c>
      <c r="K5778" t="inlineStr">
        <is>
          <t>组合风险已近10%，预算缩小</t>
        </is>
      </c>
    </row>
    <row r="5779">
      <c r="A5779" t="inlineStr">
        <is>
          <t>2026-06-29</t>
        </is>
      </c>
      <c r="B5779" t="inlineStr">
        <is>
          <t>PVC</t>
        </is>
      </c>
      <c r="C5779" t="inlineStr">
        <is>
          <t>空</t>
        </is>
      </c>
      <c r="D5779" t="n">
        <v>3</v>
      </c>
      <c r="E5779" t="n">
        <v>6</v>
      </c>
      <c r="F5779" t="inlineStr">
        <is>
          <t>续持</t>
        </is>
      </c>
      <c r="G5779" t="n">
        <v>7</v>
      </c>
      <c r="H5779" t="n">
        <v>4391</v>
      </c>
      <c r="I5779" t="n">
        <v>4607.43</v>
      </c>
      <c r="J5779" t="n">
        <v>1</v>
      </c>
      <c r="K5779" t="inlineStr">
        <is>
          <t>续持原仓（2026-06-25开）</t>
        </is>
      </c>
    </row>
    <row r="5780">
      <c r="A5780" t="inlineStr">
        <is>
          <t>2026-06-29</t>
        </is>
      </c>
      <c r="B5780" t="inlineStr">
        <is>
          <t>白糖</t>
        </is>
      </c>
      <c r="C5780" t="inlineStr">
        <is>
          <t>空</t>
        </is>
      </c>
      <c r="D5780" t="n">
        <v>2</v>
      </c>
      <c r="E5780" t="n">
        <v>5</v>
      </c>
      <c r="F5780" t="inlineStr">
        <is>
          <t>观望</t>
        </is>
      </c>
      <c r="G5780" t="n">
        <v>7</v>
      </c>
      <c r="H5780" t="n">
        <v>5270</v>
      </c>
      <c r="I5780" t="n">
        <v>5407.79</v>
      </c>
      <c r="J5780" t="n">
        <v>1</v>
      </c>
      <c r="K5780" t="inlineStr">
        <is>
          <t>逆5日线（收盘在5日线上，不追空）</t>
        </is>
      </c>
    </row>
    <row r="5781">
      <c r="A5781" t="inlineStr">
        <is>
          <t>2026-06-29</t>
        </is>
      </c>
      <c r="B5781" t="inlineStr">
        <is>
          <t>沪镍</t>
        </is>
      </c>
      <c r="C5781" t="inlineStr">
        <is>
          <t>空</t>
        </is>
      </c>
      <c r="D5781" t="n">
        <v>2</v>
      </c>
      <c r="E5781" t="n">
        <v>5</v>
      </c>
      <c r="F5781" t="inlineStr">
        <is>
          <t>续持</t>
        </is>
      </c>
      <c r="G5781" t="n">
        <v>3</v>
      </c>
      <c r="H5781" t="n">
        <v>129480</v>
      </c>
      <c r="I5781" t="n">
        <v>135244.29</v>
      </c>
      <c r="J5781" t="n">
        <v>3</v>
      </c>
      <c r="K5781" t="inlineStr">
        <is>
          <t>续持原仓（2026-06-24开）</t>
        </is>
      </c>
    </row>
    <row r="5782">
      <c r="A5782" t="inlineStr">
        <is>
          <t>2026-06-29</t>
        </is>
      </c>
      <c r="B5782" t="inlineStr">
        <is>
          <t>工业硅</t>
        </is>
      </c>
      <c r="C5782" t="inlineStr">
        <is>
          <t>空</t>
        </is>
      </c>
      <c r="D5782" t="n">
        <v>2</v>
      </c>
      <c r="E5782" t="n">
        <v>5</v>
      </c>
      <c r="F5782" t="inlineStr">
        <is>
          <t>影子仓</t>
        </is>
      </c>
      <c r="G5782" t="n">
        <v>5</v>
      </c>
      <c r="H5782" t="n">
        <v>8415</v>
      </c>
      <c r="I5782" t="n">
        <v>8803.93</v>
      </c>
      <c r="J5782" t="n">
        <v>1</v>
      </c>
      <c r="K5782" t="inlineStr">
        <is>
          <t>凯利≤0，开1%影子仓（只统计，不计入组合）</t>
        </is>
      </c>
    </row>
    <row r="5783">
      <c r="A5783" t="inlineStr">
        <is>
          <t>2026-06-29</t>
        </is>
      </c>
      <c r="B5783" t="inlineStr">
        <is>
          <t>铁矿石</t>
        </is>
      </c>
      <c r="C5783" t="inlineStr">
        <is>
          <t>空</t>
        </is>
      </c>
      <c r="D5783" t="n">
        <v>2</v>
      </c>
      <c r="E5783" t="n">
        <v>5</v>
      </c>
      <c r="F5783" t="inlineStr">
        <is>
          <t>观望</t>
        </is>
      </c>
      <c r="G5783" t="n">
        <v>2</v>
      </c>
      <c r="H5783" t="n">
        <v>746</v>
      </c>
      <c r="I5783" t="n">
        <v>781.79</v>
      </c>
      <c r="J5783" t="n">
        <v>1</v>
      </c>
      <c r="K5783" t="inlineStr">
        <is>
          <t>逆5日线（收盘在5日线上，不追空）</t>
        </is>
      </c>
    </row>
    <row r="5784">
      <c r="A5784" t="inlineStr">
        <is>
          <t>2026-06-30</t>
        </is>
      </c>
      <c r="B5784" t="inlineStr">
        <is>
          <t>工业硅</t>
        </is>
      </c>
      <c r="C5784" t="inlineStr">
        <is>
          <t>空</t>
        </is>
      </c>
      <c r="D5784" t="n">
        <v>3</v>
      </c>
      <c r="E5784" t="n">
        <v>7</v>
      </c>
      <c r="F5784" t="inlineStr">
        <is>
          <t>续持</t>
        </is>
      </c>
      <c r="G5784" t="n">
        <v>5</v>
      </c>
      <c r="H5784" t="n">
        <v>8385</v>
      </c>
      <c r="I5784" t="n">
        <v>8727.139999999999</v>
      </c>
      <c r="J5784" t="n">
        <v>1</v>
      </c>
      <c r="K5784" t="inlineStr">
        <is>
          <t>续持原仓（2026-06-29开）</t>
        </is>
      </c>
    </row>
    <row r="5785">
      <c r="A5785" t="inlineStr">
        <is>
          <t>2026-06-30</t>
        </is>
      </c>
      <c r="B5785" t="inlineStr">
        <is>
          <t>沪镍</t>
        </is>
      </c>
      <c r="C5785" t="inlineStr">
        <is>
          <t>空</t>
        </is>
      </c>
      <c r="D5785" t="n">
        <v>3</v>
      </c>
      <c r="E5785" t="n">
        <v>7</v>
      </c>
      <c r="F5785" t="inlineStr">
        <is>
          <t>续持</t>
        </is>
      </c>
      <c r="G5785" t="n">
        <v>3</v>
      </c>
      <c r="H5785" t="n">
        <v>127140</v>
      </c>
      <c r="I5785" t="n">
        <v>132940.71</v>
      </c>
      <c r="J5785" t="n">
        <v>3</v>
      </c>
      <c r="K5785" t="inlineStr">
        <is>
          <t>续持原仓（2026-06-24开）</t>
        </is>
      </c>
    </row>
    <row r="5786">
      <c r="A5786" t="inlineStr">
        <is>
          <t>2026-06-30</t>
        </is>
      </c>
      <c r="B5786" t="inlineStr">
        <is>
          <t>玻璃</t>
        </is>
      </c>
      <c r="C5786" t="inlineStr">
        <is>
          <t>空</t>
        </is>
      </c>
      <c r="D5786" t="n">
        <v>2</v>
      </c>
      <c r="E5786" t="n">
        <v>5</v>
      </c>
      <c r="F5786" t="inlineStr">
        <is>
          <t>观望</t>
        </is>
      </c>
      <c r="G5786" t="n">
        <v>9</v>
      </c>
      <c r="H5786" t="n">
        <v>975</v>
      </c>
      <c r="I5786" t="n">
        <v>1027.93</v>
      </c>
      <c r="J5786" t="n">
        <v>1</v>
      </c>
      <c r="K5786" t="inlineStr">
        <is>
          <t>逆5日线（收盘在5日线上，不追空）</t>
        </is>
      </c>
    </row>
    <row r="5787">
      <c r="A5787" t="inlineStr">
        <is>
          <t>2026-06-30</t>
        </is>
      </c>
      <c r="B5787" t="inlineStr">
        <is>
          <t>白糖</t>
        </is>
      </c>
      <c r="C5787" t="inlineStr">
        <is>
          <t>空</t>
        </is>
      </c>
      <c r="D5787" t="n">
        <v>2</v>
      </c>
      <c r="E5787" t="n">
        <v>5</v>
      </c>
      <c r="F5787" t="inlineStr">
        <is>
          <t>观望</t>
        </is>
      </c>
      <c r="G5787" t="n">
        <v>7</v>
      </c>
      <c r="H5787" t="n">
        <v>5260</v>
      </c>
      <c r="I5787" t="n">
        <v>5398.43</v>
      </c>
      <c r="J5787" t="n">
        <v>1</v>
      </c>
      <c r="K5787" t="inlineStr">
        <is>
          <t>逆5日线（收盘在5日线上，不追空）</t>
        </is>
      </c>
    </row>
    <row r="5788">
      <c r="A5788" t="inlineStr">
        <is>
          <t>2026-06-30</t>
        </is>
      </c>
      <c r="B5788" t="inlineStr">
        <is>
          <t>热卷</t>
        </is>
      </c>
      <c r="C5788" t="inlineStr">
        <is>
          <t>空</t>
        </is>
      </c>
      <c r="D5788" t="n">
        <v>2</v>
      </c>
      <c r="E5788" t="n">
        <v>5</v>
      </c>
      <c r="F5788" t="inlineStr">
        <is>
          <t>影子仓</t>
        </is>
      </c>
      <c r="G5788" t="n">
        <v>12</v>
      </c>
      <c r="H5788" t="n">
        <v>3315</v>
      </c>
      <c r="I5788" t="n">
        <v>3394.93</v>
      </c>
      <c r="J5788" t="n">
        <v>1</v>
      </c>
      <c r="K5788" t="inlineStr">
        <is>
          <t>凯利≤0，开1%影子仓（只统计，不计入组合）</t>
        </is>
      </c>
    </row>
    <row r="5789">
      <c r="A5789" t="inlineStr">
        <is>
          <t>2026-07-01</t>
        </is>
      </c>
      <c r="B5789" t="inlineStr">
        <is>
          <t>玻璃</t>
        </is>
      </c>
      <c r="C5789" t="inlineStr">
        <is>
          <t>空</t>
        </is>
      </c>
      <c r="D5789" t="n">
        <v>3</v>
      </c>
      <c r="E5789" t="n">
        <v>7</v>
      </c>
      <c r="F5789" t="inlineStr">
        <is>
          <t>开仓</t>
        </is>
      </c>
      <c r="G5789" t="n">
        <v>28</v>
      </c>
      <c r="H5789" t="n">
        <v>961</v>
      </c>
      <c r="I5789" t="n">
        <v>1014.57</v>
      </c>
      <c r="J5789" t="n">
        <v>3</v>
      </c>
      <c r="K5789" t="inlineStr">
        <is>
          <t>¼凯利超上限，取3%</t>
        </is>
      </c>
    </row>
    <row r="5790">
      <c r="A5790" t="inlineStr">
        <is>
          <t>2026-07-01</t>
        </is>
      </c>
      <c r="B5790" t="inlineStr">
        <is>
          <t>锰硅</t>
        </is>
      </c>
      <c r="C5790" t="inlineStr">
        <is>
          <t>空</t>
        </is>
      </c>
      <c r="D5790" t="n">
        <v>3</v>
      </c>
      <c r="E5790" t="n">
        <v>7</v>
      </c>
      <c r="F5790" t="inlineStr">
        <is>
          <t>开仓</t>
        </is>
      </c>
      <c r="G5790" t="n">
        <v>35</v>
      </c>
      <c r="H5790" t="n">
        <v>5752</v>
      </c>
      <c r="I5790" t="n">
        <v>5921.29</v>
      </c>
      <c r="J5790" t="n">
        <v>3</v>
      </c>
      <c r="K5790" t="inlineStr">
        <is>
          <t>¼凯利超上限，取3%</t>
        </is>
      </c>
    </row>
    <row r="5791">
      <c r="A5791" t="inlineStr">
        <is>
          <t>2026-07-01</t>
        </is>
      </c>
      <c r="B5791" t="inlineStr">
        <is>
          <t>PVC</t>
        </is>
      </c>
      <c r="C5791" t="inlineStr">
        <is>
          <t>空</t>
        </is>
      </c>
      <c r="D5791" t="n">
        <v>3</v>
      </c>
      <c r="E5791" t="n">
        <v>7</v>
      </c>
      <c r="F5791" t="inlineStr">
        <is>
          <t>开仓</t>
        </is>
      </c>
      <c r="G5791" t="n">
        <v>7</v>
      </c>
      <c r="H5791" t="n">
        <v>4392</v>
      </c>
      <c r="I5791" t="n">
        <v>4674</v>
      </c>
      <c r="J5791" t="n">
        <v>1</v>
      </c>
      <c r="K5791" t="inlineStr">
        <is>
          <t>组合风险已近10%，预算缩小</t>
        </is>
      </c>
    </row>
    <row r="5792">
      <c r="A5792" t="inlineStr">
        <is>
          <t>2026-07-01</t>
        </is>
      </c>
      <c r="B5792" t="inlineStr">
        <is>
          <t>沪镍</t>
        </is>
      </c>
      <c r="C5792" t="inlineStr">
        <is>
          <t>空</t>
        </is>
      </c>
      <c r="D5792" t="n">
        <v>3</v>
      </c>
      <c r="E5792" t="n">
        <v>7</v>
      </c>
      <c r="F5792" t="inlineStr">
        <is>
          <t>续持</t>
        </is>
      </c>
      <c r="G5792" t="n">
        <v>3</v>
      </c>
      <c r="H5792" t="n">
        <v>125580</v>
      </c>
      <c r="I5792" t="n">
        <v>132805.71</v>
      </c>
      <c r="J5792" t="n">
        <v>3</v>
      </c>
      <c r="K5792" t="inlineStr">
        <is>
          <t>续持原仓（2026-06-24开）</t>
        </is>
      </c>
    </row>
    <row r="5793">
      <c r="A5793" t="inlineStr">
        <is>
          <t>2026-07-01</t>
        </is>
      </c>
      <c r="B5793" t="inlineStr">
        <is>
          <t>塑料</t>
        </is>
      </c>
      <c r="C5793" t="inlineStr">
        <is>
          <t>空</t>
        </is>
      </c>
      <c r="D5793" t="n">
        <v>3</v>
      </c>
      <c r="E5793" t="n">
        <v>7</v>
      </c>
      <c r="F5793" t="inlineStr">
        <is>
          <t>不做</t>
        </is>
      </c>
      <c r="H5793" t="n">
        <v>6813</v>
      </c>
      <c r="J5793" t="n">
        <v>0</v>
      </c>
      <c r="K5793" t="inlineStr">
        <is>
          <t>组合风险已近10%，预算缩小</t>
        </is>
      </c>
    </row>
    <row r="5794">
      <c r="A5794" t="inlineStr">
        <is>
          <t>2026-07-01</t>
        </is>
      </c>
      <c r="B5794" t="inlineStr">
        <is>
          <t>花生</t>
        </is>
      </c>
      <c r="C5794" t="inlineStr">
        <is>
          <t>多</t>
        </is>
      </c>
      <c r="D5794" t="n">
        <v>3</v>
      </c>
      <c r="E5794" t="n">
        <v>6</v>
      </c>
      <c r="F5794" t="inlineStr">
        <is>
          <t>不做</t>
        </is>
      </c>
      <c r="H5794" t="n">
        <v>8590</v>
      </c>
      <c r="J5794" t="n">
        <v>0</v>
      </c>
      <c r="K5794" t="inlineStr">
        <is>
          <t>组合风险已近10%，预算缩小</t>
        </is>
      </c>
    </row>
    <row r="5795">
      <c r="A5795" t="inlineStr">
        <is>
          <t>2026-07-01</t>
        </is>
      </c>
      <c r="B5795" t="inlineStr">
        <is>
          <t>豆粕</t>
        </is>
      </c>
      <c r="C5795" t="inlineStr">
        <is>
          <t>多</t>
        </is>
      </c>
      <c r="D5795" t="n">
        <v>2</v>
      </c>
      <c r="E5795" t="n">
        <v>4</v>
      </c>
      <c r="F5795" t="inlineStr">
        <is>
          <t>影子仓</t>
        </is>
      </c>
      <c r="G5795" t="n">
        <v>11</v>
      </c>
      <c r="H5795" t="n">
        <v>2965</v>
      </c>
      <c r="I5795" t="n">
        <v>2877.14</v>
      </c>
      <c r="J5795" t="n">
        <v>1</v>
      </c>
      <c r="K5795" t="inlineStr">
        <is>
          <t>凯利≤0，开1%影子仓（只统计，不计入组合）</t>
        </is>
      </c>
    </row>
    <row r="5796">
      <c r="A5796" t="inlineStr">
        <is>
          <t>2026-07-02</t>
        </is>
      </c>
      <c r="B5796" t="inlineStr">
        <is>
          <t>PVC</t>
        </is>
      </c>
      <c r="C5796" t="inlineStr">
        <is>
          <t>空</t>
        </is>
      </c>
      <c r="D5796" t="n">
        <v>3</v>
      </c>
      <c r="E5796" t="n">
        <v>7</v>
      </c>
      <c r="F5796" t="inlineStr">
        <is>
          <t>续持</t>
        </is>
      </c>
      <c r="G5796" t="n">
        <v>7</v>
      </c>
      <c r="H5796" t="n">
        <v>4369</v>
      </c>
      <c r="I5796" t="n">
        <v>4639.14</v>
      </c>
      <c r="J5796" t="n">
        <v>1</v>
      </c>
      <c r="K5796" t="inlineStr">
        <is>
          <t>续持原仓（2026-07-01开）</t>
        </is>
      </c>
    </row>
    <row r="5797">
      <c r="A5797" t="inlineStr">
        <is>
          <t>2026-07-02</t>
        </is>
      </c>
      <c r="B5797" t="inlineStr">
        <is>
          <t>工业硅</t>
        </is>
      </c>
      <c r="C5797" t="inlineStr">
        <is>
          <t>空</t>
        </is>
      </c>
      <c r="D5797" t="n">
        <v>3</v>
      </c>
      <c r="E5797" t="n">
        <v>7</v>
      </c>
      <c r="F5797" t="inlineStr">
        <is>
          <t>不做</t>
        </is>
      </c>
      <c r="H5797" t="n">
        <v>8330</v>
      </c>
      <c r="J5797" t="n">
        <v>0</v>
      </c>
      <c r="K5797" t="inlineStr">
        <is>
          <t>组合风险已近10%，预算缩小</t>
        </is>
      </c>
    </row>
    <row r="5798">
      <c r="A5798" t="inlineStr">
        <is>
          <t>2026-07-02</t>
        </is>
      </c>
      <c r="B5798" t="inlineStr">
        <is>
          <t>玉米淀粉</t>
        </is>
      </c>
      <c r="C5798" t="inlineStr">
        <is>
          <t>空</t>
        </is>
      </c>
      <c r="D5798" t="n">
        <v>3</v>
      </c>
      <c r="E5798" t="n">
        <v>7</v>
      </c>
      <c r="F5798" t="inlineStr">
        <is>
          <t>不做</t>
        </is>
      </c>
      <c r="H5798" t="n">
        <v>2727</v>
      </c>
      <c r="J5798" t="n">
        <v>0</v>
      </c>
      <c r="K5798" t="inlineStr">
        <is>
          <t>组合风险已近10%，预算缩小</t>
        </is>
      </c>
    </row>
    <row r="5799">
      <c r="A5799" t="inlineStr">
        <is>
          <t>2026-07-02</t>
        </is>
      </c>
      <c r="B5799" t="inlineStr">
        <is>
          <t>玻璃</t>
        </is>
      </c>
      <c r="C5799" t="inlineStr">
        <is>
          <t>空</t>
        </is>
      </c>
      <c r="D5799" t="n">
        <v>3</v>
      </c>
      <c r="E5799" t="n">
        <v>6</v>
      </c>
      <c r="F5799" t="inlineStr">
        <is>
          <t>续持</t>
        </is>
      </c>
      <c r="G5799" t="n">
        <v>28</v>
      </c>
      <c r="H5799" t="n">
        <v>966</v>
      </c>
      <c r="I5799" t="n">
        <v>1010.36</v>
      </c>
      <c r="J5799" t="n">
        <v>3</v>
      </c>
      <c r="K5799" t="inlineStr">
        <is>
          <t>续持原仓（2026-07-01开）</t>
        </is>
      </c>
    </row>
    <row r="5800">
      <c r="A5800" t="inlineStr">
        <is>
          <t>2026-07-02</t>
        </is>
      </c>
      <c r="B5800" t="inlineStr">
        <is>
          <t>乙二醇</t>
        </is>
      </c>
      <c r="C5800" t="inlineStr">
        <is>
          <t>空</t>
        </is>
      </c>
      <c r="D5800" t="n">
        <v>3</v>
      </c>
      <c r="E5800" t="n">
        <v>6</v>
      </c>
      <c r="F5800" t="inlineStr">
        <is>
          <t>不做</t>
        </is>
      </c>
      <c r="H5800" t="n">
        <v>3905</v>
      </c>
      <c r="J5800" t="n">
        <v>0</v>
      </c>
      <c r="K5800" t="inlineStr">
        <is>
          <t>组合风险已近10%，预算缩小</t>
        </is>
      </c>
    </row>
    <row r="5801">
      <c r="A5801" t="inlineStr">
        <is>
          <t>2026-07-02</t>
        </is>
      </c>
      <c r="B5801" t="inlineStr">
        <is>
          <t>豆粕</t>
        </is>
      </c>
      <c r="C5801" t="inlineStr">
        <is>
          <t>多</t>
        </is>
      </c>
      <c r="D5801" t="n">
        <v>3</v>
      </c>
      <c r="E5801" t="n">
        <v>6</v>
      </c>
      <c r="F5801" t="inlineStr">
        <is>
          <t>续持</t>
        </is>
      </c>
      <c r="G5801" t="n">
        <v>11</v>
      </c>
      <c r="H5801" t="n">
        <v>2977</v>
      </c>
      <c r="I5801" t="n">
        <v>2901.14</v>
      </c>
      <c r="J5801" t="n">
        <v>1</v>
      </c>
      <c r="K5801" t="inlineStr">
        <is>
          <t>续持原仓（2026-07-01开）</t>
        </is>
      </c>
    </row>
    <row r="5802">
      <c r="A5802" t="inlineStr">
        <is>
          <t>2026-07-03</t>
        </is>
      </c>
      <c r="B5802" t="inlineStr">
        <is>
          <t>尿素</t>
        </is>
      </c>
      <c r="C5802" t="inlineStr">
        <is>
          <t>空</t>
        </is>
      </c>
      <c r="D5802" t="n">
        <v>3</v>
      </c>
      <c r="E5802" t="n">
        <v>6</v>
      </c>
      <c r="F5802" t="inlineStr">
        <is>
          <t>开仓</t>
        </is>
      </c>
      <c r="G5802" t="n">
        <v>5</v>
      </c>
      <c r="H5802" t="n">
        <v>1726</v>
      </c>
      <c r="I5802" t="n">
        <v>1821.79</v>
      </c>
      <c r="J5802" t="n">
        <v>1</v>
      </c>
      <c r="K5802" t="inlineStr">
        <is>
          <t>组合风险已近10%，预算缩小</t>
        </is>
      </c>
    </row>
    <row r="5803">
      <c r="A5803" t="inlineStr">
        <is>
          <t>2026-07-03</t>
        </is>
      </c>
      <c r="B5803" t="inlineStr">
        <is>
          <t>工业硅</t>
        </is>
      </c>
      <c r="C5803" t="inlineStr">
        <is>
          <t>空</t>
        </is>
      </c>
      <c r="D5803" t="n">
        <v>2</v>
      </c>
      <c r="E5803" t="n">
        <v>5</v>
      </c>
      <c r="F5803" t="inlineStr">
        <is>
          <t>影子仓</t>
        </is>
      </c>
      <c r="G5803" t="n">
        <v>6</v>
      </c>
      <c r="H5803" t="n">
        <v>8360</v>
      </c>
      <c r="I5803" t="n">
        <v>8679.290000000001</v>
      </c>
      <c r="J5803" t="n">
        <v>1</v>
      </c>
      <c r="K5803" t="inlineStr">
        <is>
          <t>凯利≤0，开1%影子仓（只统计，不计入组合）</t>
        </is>
      </c>
    </row>
    <row r="5804">
      <c r="A5804" t="inlineStr">
        <is>
          <t>2026-07-03</t>
        </is>
      </c>
      <c r="B5804" t="inlineStr">
        <is>
          <t>热卷</t>
        </is>
      </c>
      <c r="C5804" t="inlineStr">
        <is>
          <t>空</t>
        </is>
      </c>
      <c r="D5804" t="n">
        <v>2</v>
      </c>
      <c r="E5804" t="n">
        <v>5</v>
      </c>
      <c r="F5804" t="inlineStr">
        <is>
          <t>续持</t>
        </is>
      </c>
      <c r="G5804" t="n">
        <v>12</v>
      </c>
      <c r="H5804" t="n">
        <v>3279</v>
      </c>
      <c r="I5804" t="n">
        <v>3342.71</v>
      </c>
      <c r="J5804" t="n">
        <v>1</v>
      </c>
      <c r="K5804" t="inlineStr">
        <is>
          <t>续持原仓（2026-06-30开）</t>
        </is>
      </c>
    </row>
    <row r="5805">
      <c r="A5805" t="inlineStr">
        <is>
          <t>2026-07-03</t>
        </is>
      </c>
      <c r="B5805" t="inlineStr">
        <is>
          <t>沪镍</t>
        </is>
      </c>
      <c r="C5805" t="inlineStr">
        <is>
          <t>空</t>
        </is>
      </c>
      <c r="D5805" t="n">
        <v>2</v>
      </c>
      <c r="E5805" t="n">
        <v>4</v>
      </c>
      <c r="F5805" t="inlineStr">
        <is>
          <t>观望</t>
        </is>
      </c>
      <c r="G5805" t="n">
        <v>1</v>
      </c>
      <c r="H5805" t="n">
        <v>127380</v>
      </c>
      <c r="I5805" t="n">
        <v>136230</v>
      </c>
      <c r="J5805" t="n">
        <v>1</v>
      </c>
      <c r="K5805" t="inlineStr">
        <is>
          <t>逆5日线（收盘在5日线上，不追空）</t>
        </is>
      </c>
    </row>
    <row r="5806">
      <c r="A5806" t="inlineStr">
        <is>
          <t>2026-07-03</t>
        </is>
      </c>
      <c r="B5806" t="inlineStr">
        <is>
          <t>沥青</t>
        </is>
      </c>
      <c r="C5806" t="inlineStr">
        <is>
          <t>空</t>
        </is>
      </c>
      <c r="D5806" t="n">
        <v>2</v>
      </c>
      <c r="E5806" t="n">
        <v>4</v>
      </c>
      <c r="F5806" t="inlineStr">
        <is>
          <t>观望</t>
        </is>
      </c>
      <c r="G5806" t="n">
        <v>2</v>
      </c>
      <c r="H5806" t="n">
        <v>3851</v>
      </c>
      <c r="I5806" t="n">
        <v>4275.5</v>
      </c>
      <c r="J5806" t="n">
        <v>1</v>
      </c>
      <c r="K5806" t="inlineStr">
        <is>
          <t>逆5日线（收盘在5日线上，不追空）</t>
        </is>
      </c>
    </row>
    <row r="5807">
      <c r="A5807" t="inlineStr">
        <is>
          <t>2026-07-03</t>
        </is>
      </c>
      <c r="B5807" t="inlineStr">
        <is>
          <t>鸡蛋</t>
        </is>
      </c>
      <c r="C5807" t="inlineStr">
        <is>
          <t>多</t>
        </is>
      </c>
      <c r="D5807" t="n">
        <v>2</v>
      </c>
      <c r="E5807" t="n">
        <v>4</v>
      </c>
      <c r="F5807" t="inlineStr">
        <is>
          <t>影子仓</t>
        </is>
      </c>
      <c r="G5807" t="n">
        <v>3</v>
      </c>
      <c r="H5807" t="n">
        <v>4555</v>
      </c>
      <c r="I5807" t="n">
        <v>4240.64</v>
      </c>
      <c r="J5807" t="n">
        <v>1</v>
      </c>
      <c r="K5807" t="inlineStr">
        <is>
          <t>凯利≤0，开1%影子仓（只统计，不计入组合）</t>
        </is>
      </c>
    </row>
    <row r="5808">
      <c r="A5808" t="inlineStr">
        <is>
          <t>2026-07-06</t>
        </is>
      </c>
      <c r="B5808" t="inlineStr">
        <is>
          <t>PVC</t>
        </is>
      </c>
      <c r="C5808" t="inlineStr">
        <is>
          <t>空</t>
        </is>
      </c>
      <c r="D5808" t="n">
        <v>3</v>
      </c>
      <c r="E5808" t="n">
        <v>6</v>
      </c>
      <c r="F5808" t="inlineStr">
        <is>
          <t>观望</t>
        </is>
      </c>
      <c r="H5808" t="n">
        <v>4450</v>
      </c>
      <c r="J5808" t="n">
        <v>0</v>
      </c>
      <c r="K5808" t="inlineStr">
        <is>
          <t>逆5日线（收盘在5日线上，不追空）</t>
        </is>
      </c>
    </row>
    <row r="5809">
      <c r="A5809" t="inlineStr">
        <is>
          <t>2026-07-06</t>
        </is>
      </c>
      <c r="B5809" t="inlineStr">
        <is>
          <t>工业硅</t>
        </is>
      </c>
      <c r="C5809" t="inlineStr">
        <is>
          <t>空</t>
        </is>
      </c>
      <c r="D5809" t="n">
        <v>3</v>
      </c>
      <c r="E5809" t="n">
        <v>6</v>
      </c>
      <c r="F5809" t="inlineStr">
        <is>
          <t>观望</t>
        </is>
      </c>
      <c r="H5809" t="n">
        <v>8390</v>
      </c>
      <c r="J5809" t="n">
        <v>0</v>
      </c>
      <c r="K5809" t="inlineStr">
        <is>
          <t>逆5日线（收盘在5日线上，不追空）</t>
        </is>
      </c>
    </row>
    <row r="5810">
      <c r="A5810" t="inlineStr">
        <is>
          <t>2026-07-06</t>
        </is>
      </c>
      <c r="B5810" t="inlineStr">
        <is>
          <t>沪镍</t>
        </is>
      </c>
      <c r="C5810" t="inlineStr">
        <is>
          <t>空</t>
        </is>
      </c>
      <c r="D5810" t="n">
        <v>3</v>
      </c>
      <c r="E5810" t="n">
        <v>6</v>
      </c>
      <c r="F5810" t="inlineStr">
        <is>
          <t>观望</t>
        </is>
      </c>
      <c r="H5810" t="n">
        <v>126890</v>
      </c>
      <c r="J5810" t="n">
        <v>0</v>
      </c>
      <c r="K5810" t="inlineStr">
        <is>
          <t>逆5日线（收盘在5日线上，不追空）</t>
        </is>
      </c>
    </row>
    <row r="5811">
      <c r="A5811" t="inlineStr">
        <is>
          <t>2026-07-06</t>
        </is>
      </c>
      <c r="B5811" t="inlineStr">
        <is>
          <t>豆油</t>
        </is>
      </c>
      <c r="C5811" t="inlineStr">
        <is>
          <t>多</t>
        </is>
      </c>
      <c r="D5811" t="n">
        <v>2</v>
      </c>
      <c r="E5811" t="n">
        <v>5</v>
      </c>
      <c r="F5811" t="inlineStr">
        <is>
          <t>影子仓</t>
        </is>
      </c>
      <c r="G5811" t="n">
        <v>3</v>
      </c>
      <c r="H5811" t="n">
        <v>8510</v>
      </c>
      <c r="I5811" t="n">
        <v>8259.07</v>
      </c>
      <c r="J5811" t="n">
        <v>1</v>
      </c>
      <c r="K5811" t="inlineStr">
        <is>
          <t>凯利≤0，开1%影子仓（只统计，不计入组合）</t>
        </is>
      </c>
    </row>
    <row r="5812">
      <c r="A5812" t="inlineStr">
        <is>
          <t>2026-07-06</t>
        </is>
      </c>
      <c r="B5812" t="inlineStr">
        <is>
          <t>热卷</t>
        </is>
      </c>
      <c r="C5812" t="inlineStr">
        <is>
          <t>空</t>
        </is>
      </c>
      <c r="D5812" t="n">
        <v>2</v>
      </c>
      <c r="E5812" t="n">
        <v>5</v>
      </c>
      <c r="F5812" t="inlineStr">
        <is>
          <t>续持</t>
        </is>
      </c>
      <c r="G5812" t="n">
        <v>12</v>
      </c>
      <c r="H5812" t="n">
        <v>3289</v>
      </c>
      <c r="I5812" t="n">
        <v>3342.29</v>
      </c>
      <c r="J5812" t="n">
        <v>1</v>
      </c>
      <c r="K5812" t="inlineStr">
        <is>
          <t>续持原仓（2026-06-30开）</t>
        </is>
      </c>
    </row>
    <row r="5813">
      <c r="A5813" t="inlineStr">
        <is>
          <t>2026-07-06</t>
        </is>
      </c>
      <c r="B5813" t="inlineStr">
        <is>
          <t>塑料</t>
        </is>
      </c>
      <c r="C5813" t="inlineStr">
        <is>
          <t>空</t>
        </is>
      </c>
      <c r="D5813" t="n">
        <v>2</v>
      </c>
      <c r="E5813" t="n">
        <v>5</v>
      </c>
      <c r="F5813" t="inlineStr">
        <is>
          <t>观望</t>
        </is>
      </c>
      <c r="G5813" t="n">
        <v>4</v>
      </c>
      <c r="H5813" t="n">
        <v>6896</v>
      </c>
      <c r="I5813" t="n">
        <v>7376</v>
      </c>
      <c r="J5813" t="n">
        <v>1</v>
      </c>
      <c r="K5813" t="inlineStr">
        <is>
          <t>逆5日线（收盘在5日线上，不追空）</t>
        </is>
      </c>
    </row>
    <row r="5814">
      <c r="A5814" t="inlineStr">
        <is>
          <t>2026-07-06</t>
        </is>
      </c>
      <c r="B5814" t="inlineStr">
        <is>
          <t>豆粕</t>
        </is>
      </c>
      <c r="C5814" t="inlineStr">
        <is>
          <t>多</t>
        </is>
      </c>
      <c r="D5814" t="n">
        <v>2</v>
      </c>
      <c r="E5814" t="n">
        <v>5</v>
      </c>
      <c r="F5814" t="inlineStr">
        <is>
          <t>续持</t>
        </is>
      </c>
      <c r="G5814" t="n">
        <v>11</v>
      </c>
      <c r="H5814" t="n">
        <v>3026</v>
      </c>
      <c r="I5814" t="n">
        <v>2928.07</v>
      </c>
      <c r="J5814" t="n">
        <v>1</v>
      </c>
      <c r="K5814" t="inlineStr">
        <is>
          <t>续持原仓（2026-07-01开）</t>
        </is>
      </c>
    </row>
    <row r="5815">
      <c r="A5815" t="inlineStr">
        <is>
          <t>2026-07-07</t>
        </is>
      </c>
      <c r="B5815" t="inlineStr">
        <is>
          <t>烧碱</t>
        </is>
      </c>
      <c r="C5815" t="inlineStr">
        <is>
          <t>空</t>
        </is>
      </c>
      <c r="D5815" t="n">
        <v>3</v>
      </c>
      <c r="E5815" t="n">
        <v>7</v>
      </c>
      <c r="F5815" t="inlineStr">
        <is>
          <t>开仓</t>
        </is>
      </c>
      <c r="G5815" t="n">
        <v>5</v>
      </c>
      <c r="H5815" t="n">
        <v>1882</v>
      </c>
      <c r="I5815" t="n">
        <v>1993.43</v>
      </c>
      <c r="J5815" t="n">
        <v>2</v>
      </c>
      <c r="K5815" t="inlineStr">
        <is>
          <t>建材板块同方向已近6%，预算缩小</t>
        </is>
      </c>
    </row>
    <row r="5816">
      <c r="A5816" t="inlineStr">
        <is>
          <t>2026-07-07</t>
        </is>
      </c>
      <c r="B5816" t="inlineStr">
        <is>
          <t>工业硅</t>
        </is>
      </c>
      <c r="C5816" t="inlineStr">
        <is>
          <t>空</t>
        </is>
      </c>
      <c r="D5816" t="n">
        <v>3</v>
      </c>
      <c r="E5816" t="n">
        <v>7</v>
      </c>
      <c r="F5816" t="inlineStr">
        <is>
          <t>续持</t>
        </is>
      </c>
      <c r="G5816" t="n">
        <v>6</v>
      </c>
      <c r="H5816" t="n">
        <v>8350</v>
      </c>
      <c r="I5816" t="n">
        <v>8621.43</v>
      </c>
      <c r="J5816" t="n">
        <v>1</v>
      </c>
      <c r="K5816" t="inlineStr">
        <is>
          <t>续持原仓（2026-07-03开）</t>
        </is>
      </c>
    </row>
    <row r="5817">
      <c r="A5817" t="inlineStr">
        <is>
          <t>2026-07-07</t>
        </is>
      </c>
      <c r="B5817" t="inlineStr">
        <is>
          <t>豆粕</t>
        </is>
      </c>
      <c r="C5817" t="inlineStr">
        <is>
          <t>多</t>
        </is>
      </c>
      <c r="D5817" t="n">
        <v>3</v>
      </c>
      <c r="E5817" t="n">
        <v>7</v>
      </c>
      <c r="F5817" t="inlineStr">
        <is>
          <t>续持</t>
        </is>
      </c>
      <c r="G5817" t="n">
        <v>11</v>
      </c>
      <c r="H5817" t="n">
        <v>3045</v>
      </c>
      <c r="I5817" t="n">
        <v>2948.07</v>
      </c>
      <c r="J5817" t="n">
        <v>1</v>
      </c>
      <c r="K5817" t="inlineStr">
        <is>
          <t>续持原仓（2026-07-01开）</t>
        </is>
      </c>
    </row>
    <row r="5818">
      <c r="A5818" t="inlineStr">
        <is>
          <t>2026-07-07</t>
        </is>
      </c>
      <c r="B5818" t="inlineStr">
        <is>
          <t>豆油</t>
        </is>
      </c>
      <c r="C5818" t="inlineStr">
        <is>
          <t>多</t>
        </is>
      </c>
      <c r="D5818" t="n">
        <v>3</v>
      </c>
      <c r="E5818" t="n">
        <v>6</v>
      </c>
      <c r="F5818" t="inlineStr">
        <is>
          <t>续持</t>
        </is>
      </c>
      <c r="G5818" t="n">
        <v>3</v>
      </c>
      <c r="H5818" t="n">
        <v>8587</v>
      </c>
      <c r="I5818" t="n">
        <v>8346.209999999999</v>
      </c>
      <c r="J5818" t="n">
        <v>1</v>
      </c>
      <c r="K5818" t="inlineStr">
        <is>
          <t>续持原仓（2026-07-06开）</t>
        </is>
      </c>
    </row>
    <row r="5819">
      <c r="A5819" t="inlineStr">
        <is>
          <t>2026-07-07</t>
        </is>
      </c>
      <c r="B5819" t="inlineStr">
        <is>
          <t>菜粕</t>
        </is>
      </c>
      <c r="C5819" t="inlineStr">
        <is>
          <t>多</t>
        </is>
      </c>
      <c r="D5819" t="n">
        <v>3</v>
      </c>
      <c r="E5819" t="n">
        <v>6</v>
      </c>
      <c r="F5819" t="inlineStr">
        <is>
          <t>开仓</t>
        </is>
      </c>
      <c r="G5819" t="n">
        <v>8</v>
      </c>
      <c r="H5819" t="n">
        <v>2318</v>
      </c>
      <c r="I5819" t="n">
        <v>2202.71</v>
      </c>
      <c r="J5819" t="n">
        <v>1</v>
      </c>
      <c r="K5819" t="inlineStr">
        <is>
          <t>组合风险已近10%，预算缩小</t>
        </is>
      </c>
    </row>
    <row r="5820">
      <c r="A5820" t="inlineStr">
        <is>
          <t>2026-07-07</t>
        </is>
      </c>
      <c r="B5820" t="inlineStr">
        <is>
          <t>PVC</t>
        </is>
      </c>
      <c r="C5820" t="inlineStr">
        <is>
          <t>空</t>
        </is>
      </c>
      <c r="D5820" t="n">
        <v>2</v>
      </c>
      <c r="E5820" t="n">
        <v>5</v>
      </c>
      <c r="F5820" t="inlineStr">
        <is>
          <t>观望</t>
        </is>
      </c>
      <c r="G5820" t="n">
        <v>7</v>
      </c>
      <c r="H5820" t="n">
        <v>4439</v>
      </c>
      <c r="I5820" t="n">
        <v>4708.14</v>
      </c>
      <c r="J5820" t="n">
        <v>1</v>
      </c>
      <c r="K5820" t="inlineStr">
        <is>
          <t>逆5日线（收盘在5日线上，不追空）</t>
        </is>
      </c>
    </row>
    <row r="5821">
      <c r="A5821" t="inlineStr">
        <is>
          <t>2026-07-07</t>
        </is>
      </c>
      <c r="B5821" t="inlineStr">
        <is>
          <t>沪镍</t>
        </is>
      </c>
      <c r="C5821" t="inlineStr">
        <is>
          <t>空</t>
        </is>
      </c>
      <c r="D5821" t="n">
        <v>2</v>
      </c>
      <c r="E5821" t="n">
        <v>5</v>
      </c>
      <c r="F5821" t="inlineStr">
        <is>
          <t>观望</t>
        </is>
      </c>
      <c r="G5821" t="n">
        <v>1</v>
      </c>
      <c r="H5821" t="n">
        <v>126700</v>
      </c>
      <c r="I5821" t="n">
        <v>135325</v>
      </c>
      <c r="J5821" t="n">
        <v>1</v>
      </c>
      <c r="K5821" t="inlineStr">
        <is>
          <t>逆5日线（收盘在5日线上，不追空）</t>
        </is>
      </c>
    </row>
    <row r="5822">
      <c r="A5822" t="inlineStr">
        <is>
          <t>2026-07-07</t>
        </is>
      </c>
      <c r="B5822" t="inlineStr">
        <is>
          <t>热卷</t>
        </is>
      </c>
      <c r="C5822" t="inlineStr">
        <is>
          <t>空</t>
        </is>
      </c>
      <c r="D5822" t="n">
        <v>2</v>
      </c>
      <c r="E5822" t="n">
        <v>4</v>
      </c>
      <c r="F5822" t="inlineStr">
        <is>
          <t>续持</t>
        </is>
      </c>
      <c r="G5822" t="n">
        <v>12</v>
      </c>
      <c r="H5822" t="n">
        <v>3283</v>
      </c>
      <c r="I5822" t="n">
        <v>3339.93</v>
      </c>
      <c r="J5822" t="n">
        <v>1</v>
      </c>
      <c r="K5822" t="inlineStr">
        <is>
          <t>续持原仓（2026-06-30开）</t>
        </is>
      </c>
    </row>
    <row r="5823">
      <c r="A5823" t="inlineStr">
        <is>
          <t>2026-07-08</t>
        </is>
      </c>
      <c r="B5823" t="inlineStr">
        <is>
          <t>沪镍</t>
        </is>
      </c>
      <c r="C5823" t="inlineStr">
        <is>
          <t>空</t>
        </is>
      </c>
      <c r="D5823" t="n">
        <v>3</v>
      </c>
      <c r="E5823" t="n">
        <v>7</v>
      </c>
      <c r="F5823" t="inlineStr">
        <is>
          <t>续持</t>
        </is>
      </c>
      <c r="G5823" t="n">
        <v>3</v>
      </c>
      <c r="H5823" t="n">
        <v>125640</v>
      </c>
      <c r="I5823" t="n">
        <v>132805.71</v>
      </c>
      <c r="J5823" t="n">
        <v>3</v>
      </c>
      <c r="K5823" t="inlineStr">
        <is>
          <t>续持原仓（2026-06-24开）</t>
        </is>
      </c>
    </row>
    <row r="5824">
      <c r="A5824" t="inlineStr">
        <is>
          <t>2026-07-08</t>
        </is>
      </c>
      <c r="B5824" t="inlineStr">
        <is>
          <t>豆油</t>
        </is>
      </c>
      <c r="C5824" t="inlineStr">
        <is>
          <t>多</t>
        </is>
      </c>
      <c r="D5824" t="n">
        <v>3</v>
      </c>
      <c r="E5824" t="n">
        <v>6</v>
      </c>
      <c r="F5824" t="inlineStr">
        <is>
          <t>续持</t>
        </is>
      </c>
      <c r="G5824" t="n">
        <v>3</v>
      </c>
      <c r="H5824" t="n">
        <v>8616</v>
      </c>
      <c r="I5824" t="n">
        <v>8398</v>
      </c>
      <c r="J5824" t="n">
        <v>1</v>
      </c>
      <c r="K5824" t="inlineStr">
        <is>
          <t>续持原仓（2026-07-06开）</t>
        </is>
      </c>
    </row>
    <row r="5825">
      <c r="A5825" t="inlineStr">
        <is>
          <t>2026-07-08</t>
        </is>
      </c>
      <c r="B5825" t="inlineStr">
        <is>
          <t>豆粕</t>
        </is>
      </c>
      <c r="C5825" t="inlineStr">
        <is>
          <t>多</t>
        </is>
      </c>
      <c r="D5825" t="n">
        <v>2</v>
      </c>
      <c r="E5825" t="n">
        <v>4</v>
      </c>
      <c r="F5825" t="inlineStr">
        <is>
          <t>续持</t>
        </is>
      </c>
      <c r="G5825" t="n">
        <v>11</v>
      </c>
      <c r="H5825" t="n">
        <v>3051</v>
      </c>
      <c r="I5825" t="n">
        <v>2960.21</v>
      </c>
      <c r="J5825" t="n">
        <v>1</v>
      </c>
      <c r="K5825" t="inlineStr">
        <is>
          <t>续持原仓（2026-07-01开）</t>
        </is>
      </c>
    </row>
    <row r="5826">
      <c r="A5826" t="inlineStr">
        <is>
          <t>2026-07-08</t>
        </is>
      </c>
      <c r="B5826" t="inlineStr">
        <is>
          <t>螺纹钢</t>
        </is>
      </c>
      <c r="C5826" t="inlineStr">
        <is>
          <t>空</t>
        </is>
      </c>
      <c r="D5826" t="n">
        <v>2</v>
      </c>
      <c r="E5826" t="n">
        <v>4</v>
      </c>
      <c r="F5826" t="inlineStr">
        <is>
          <t>观望</t>
        </is>
      </c>
      <c r="G5826" t="n">
        <v>13</v>
      </c>
      <c r="H5826" t="n">
        <v>3096</v>
      </c>
      <c r="I5826" t="n">
        <v>3168.43</v>
      </c>
      <c r="J5826" t="n">
        <v>1</v>
      </c>
      <c r="K5826" t="inlineStr">
        <is>
          <t>逆5日线（收盘在5日线上，不追空）</t>
        </is>
      </c>
    </row>
    <row r="5827">
      <c r="A5827" t="inlineStr">
        <is>
          <t>2026-07-09</t>
        </is>
      </c>
      <c r="B5827" t="inlineStr">
        <is>
          <t>豆油</t>
        </is>
      </c>
      <c r="C5827" t="inlineStr">
        <is>
          <t>多</t>
        </is>
      </c>
      <c r="D5827" t="n">
        <v>3</v>
      </c>
      <c r="E5827" t="n">
        <v>6</v>
      </c>
      <c r="F5827" t="inlineStr">
        <is>
          <t>续持</t>
        </is>
      </c>
      <c r="G5827" t="n">
        <v>3</v>
      </c>
      <c r="H5827" t="n">
        <v>8610</v>
      </c>
      <c r="I5827" t="n">
        <v>8408.639999999999</v>
      </c>
      <c r="J5827" t="n">
        <v>1</v>
      </c>
      <c r="K5827" t="inlineStr">
        <is>
          <t>续持原仓（2026-07-06开）</t>
        </is>
      </c>
    </row>
    <row r="5828">
      <c r="A5828" t="inlineStr">
        <is>
          <t>2026-07-09</t>
        </is>
      </c>
      <c r="B5828" t="inlineStr">
        <is>
          <t>工业硅</t>
        </is>
      </c>
      <c r="C5828" t="inlineStr">
        <is>
          <t>空</t>
        </is>
      </c>
      <c r="D5828" t="n">
        <v>2</v>
      </c>
      <c r="E5828" t="n">
        <v>5</v>
      </c>
      <c r="F5828" t="inlineStr">
        <is>
          <t>观望</t>
        </is>
      </c>
      <c r="G5828" t="n">
        <v>5</v>
      </c>
      <c r="H5828" t="n">
        <v>8340</v>
      </c>
      <c r="I5828" t="n">
        <v>8724.639999999999</v>
      </c>
      <c r="J5828" t="n">
        <v>1</v>
      </c>
      <c r="K5828" t="inlineStr">
        <is>
          <t>逆5日线（收盘在5日线上，不追空）</t>
        </is>
      </c>
    </row>
    <row r="5829">
      <c r="A5829" t="inlineStr">
        <is>
          <t>2026-07-09</t>
        </is>
      </c>
      <c r="B5829" t="inlineStr">
        <is>
          <t>豆粕</t>
        </is>
      </c>
      <c r="C5829" t="inlineStr">
        <is>
          <t>多</t>
        </is>
      </c>
      <c r="D5829" t="n">
        <v>2</v>
      </c>
      <c r="E5829" t="n">
        <v>5</v>
      </c>
      <c r="F5829" t="inlineStr">
        <is>
          <t>续持</t>
        </is>
      </c>
      <c r="G5829" t="n">
        <v>11</v>
      </c>
      <c r="H5829" t="n">
        <v>3052</v>
      </c>
      <c r="I5829" t="n">
        <v>2964.86</v>
      </c>
      <c r="J5829" t="n">
        <v>1</v>
      </c>
      <c r="K5829" t="inlineStr">
        <is>
          <t>续持原仓（2026-07-01开）</t>
        </is>
      </c>
    </row>
    <row r="5830">
      <c r="A5830" t="inlineStr">
        <is>
          <t>2026-07-09</t>
        </is>
      </c>
      <c r="B5830" t="inlineStr">
        <is>
          <t>热卷</t>
        </is>
      </c>
      <c r="C5830" t="inlineStr">
        <is>
          <t>空</t>
        </is>
      </c>
      <c r="D5830" t="n">
        <v>2</v>
      </c>
      <c r="E5830" t="n">
        <v>4</v>
      </c>
      <c r="F5830" t="inlineStr">
        <is>
          <t>观望</t>
        </is>
      </c>
      <c r="G5830" t="n">
        <v>14</v>
      </c>
      <c r="H5830" t="n">
        <v>3298</v>
      </c>
      <c r="I5830" t="n">
        <v>3366.79</v>
      </c>
      <c r="J5830" t="n">
        <v>1</v>
      </c>
      <c r="K5830" t="inlineStr">
        <is>
          <t>逆5日线（收盘在5日线上，不追空）</t>
        </is>
      </c>
    </row>
    <row r="5831">
      <c r="A5831" t="inlineStr">
        <is>
          <t>2026-07-10</t>
        </is>
      </c>
      <c r="B5831" t="inlineStr">
        <is>
          <t>豆油</t>
        </is>
      </c>
      <c r="C5831" t="inlineStr">
        <is>
          <t>多</t>
        </is>
      </c>
      <c r="D5831" t="n">
        <v>2</v>
      </c>
      <c r="E5831" t="n">
        <v>5</v>
      </c>
      <c r="F5831" t="inlineStr">
        <is>
          <t>观望</t>
        </is>
      </c>
      <c r="G5831" t="n">
        <v>3</v>
      </c>
      <c r="H5831" t="n">
        <v>8543</v>
      </c>
      <c r="I5831" t="n">
        <v>8290.360000000001</v>
      </c>
      <c r="J5831" t="n">
        <v>1</v>
      </c>
      <c r="K5831" t="inlineStr">
        <is>
          <t>逆5日线（收盘在5日线下，不追多）</t>
        </is>
      </c>
    </row>
    <row r="5832">
      <c r="A5832" t="inlineStr">
        <is>
          <t>2026-07-10</t>
        </is>
      </c>
      <c r="B5832" t="inlineStr">
        <is>
          <t>豆粕</t>
        </is>
      </c>
      <c r="C5832" t="inlineStr">
        <is>
          <t>多</t>
        </is>
      </c>
      <c r="D5832" t="n">
        <v>2</v>
      </c>
      <c r="E5832" t="n">
        <v>5</v>
      </c>
      <c r="F5832" t="inlineStr">
        <is>
          <t>续持</t>
        </is>
      </c>
      <c r="G5832" t="n">
        <v>11</v>
      </c>
      <c r="H5832" t="n">
        <v>3049</v>
      </c>
      <c r="I5832" t="n">
        <v>2965.07</v>
      </c>
      <c r="J5832" t="n">
        <v>1</v>
      </c>
      <c r="K5832" t="inlineStr">
        <is>
          <t>续持原仓（2026-07-01开）</t>
        </is>
      </c>
    </row>
    <row r="5833">
      <c r="A5833" t="inlineStr">
        <is>
          <t>2026-07-10</t>
        </is>
      </c>
      <c r="B5833" t="inlineStr">
        <is>
          <t>热卷</t>
        </is>
      </c>
      <c r="C5833" t="inlineStr">
        <is>
          <t>空</t>
        </is>
      </c>
      <c r="D5833" t="n">
        <v>2</v>
      </c>
      <c r="E5833" t="n">
        <v>5</v>
      </c>
      <c r="F5833" t="inlineStr">
        <is>
          <t>续持</t>
        </is>
      </c>
      <c r="G5833" t="n">
        <v>12</v>
      </c>
      <c r="H5833" t="n">
        <v>3291</v>
      </c>
      <c r="I5833" t="n">
        <v>3335.64</v>
      </c>
      <c r="J5833" t="n">
        <v>1</v>
      </c>
      <c r="K5833" t="inlineStr">
        <is>
          <t>续持原仓（2026-06-30开）</t>
        </is>
      </c>
    </row>
    <row r="5834">
      <c r="A5834" t="inlineStr">
        <is>
          <t>2026-07-10</t>
        </is>
      </c>
      <c r="B5834" t="inlineStr">
        <is>
          <t>甲醇</t>
        </is>
      </c>
      <c r="C5834" t="inlineStr">
        <is>
          <t>空</t>
        </is>
      </c>
      <c r="D5834" t="n">
        <v>2</v>
      </c>
      <c r="E5834" t="n">
        <v>5</v>
      </c>
      <c r="F5834" t="inlineStr">
        <is>
          <t>观望</t>
        </is>
      </c>
      <c r="G5834" t="n">
        <v>4</v>
      </c>
      <c r="H5834" t="n">
        <v>2480</v>
      </c>
      <c r="I5834" t="n">
        <v>2689.57</v>
      </c>
      <c r="J5834" t="n">
        <v>1</v>
      </c>
      <c r="K5834" t="inlineStr">
        <is>
          <t>逆5日线（收盘在5日线上，不追空）</t>
        </is>
      </c>
    </row>
    <row r="5835">
      <c r="A5835" t="inlineStr">
        <is>
          <t>2026-07-10</t>
        </is>
      </c>
      <c r="B5835" t="inlineStr">
        <is>
          <t>沪镍</t>
        </is>
      </c>
      <c r="C5835" t="inlineStr">
        <is>
          <t>空</t>
        </is>
      </c>
      <c r="D5835" t="n">
        <v>2</v>
      </c>
      <c r="E5835" t="n">
        <v>4</v>
      </c>
      <c r="F5835" t="inlineStr">
        <is>
          <t>观望</t>
        </is>
      </c>
      <c r="G5835" t="n">
        <v>1</v>
      </c>
      <c r="H5835" t="n">
        <v>128180</v>
      </c>
      <c r="I5835" t="n">
        <v>136764.29</v>
      </c>
      <c r="J5835" t="n">
        <v>1</v>
      </c>
      <c r="K5835" t="inlineStr">
        <is>
          <t>逆5日线（收盘在5日线上，不追空）</t>
        </is>
      </c>
    </row>
    <row r="5836">
      <c r="A5836" t="inlineStr">
        <is>
          <t>2026-07-10</t>
        </is>
      </c>
      <c r="B5836" t="inlineStr">
        <is>
          <t>硅铁</t>
        </is>
      </c>
      <c r="C5836" t="inlineStr">
        <is>
          <t>空</t>
        </is>
      </c>
      <c r="D5836" t="n">
        <v>2</v>
      </c>
      <c r="E5836" t="n">
        <v>4</v>
      </c>
      <c r="F5836" t="inlineStr">
        <is>
          <t>影子仓</t>
        </is>
      </c>
      <c r="G5836" t="n">
        <v>10</v>
      </c>
      <c r="H5836" t="n">
        <v>5792</v>
      </c>
      <c r="I5836" t="n">
        <v>5983.14</v>
      </c>
      <c r="J5836" t="n">
        <v>1</v>
      </c>
      <c r="K5836" t="inlineStr">
        <is>
          <t>凯利≤0，开1%影子仓（只统计，不计入组合）</t>
        </is>
      </c>
    </row>
    <row r="5837">
      <c r="A5837" t="inlineStr">
        <is>
          <t>2026-07-13</t>
        </is>
      </c>
      <c r="B5837" t="inlineStr">
        <is>
          <t>沪镍</t>
        </is>
      </c>
      <c r="C5837" t="inlineStr">
        <is>
          <t>空</t>
        </is>
      </c>
      <c r="D5837" t="n">
        <v>3</v>
      </c>
      <c r="E5837" t="n">
        <v>7</v>
      </c>
      <c r="F5837" t="inlineStr">
        <is>
          <t>观望</t>
        </is>
      </c>
      <c r="G5837" t="n">
        <v>3</v>
      </c>
      <c r="H5837" t="n">
        <v>127710</v>
      </c>
      <c r="I5837" t="n">
        <v>135947.14</v>
      </c>
      <c r="J5837" t="n">
        <v>3</v>
      </c>
      <c r="K5837" t="inlineStr">
        <is>
          <t>逆5日线（收盘在5日线上，不追空）</t>
        </is>
      </c>
    </row>
    <row r="5838">
      <c r="A5838" t="inlineStr">
        <is>
          <t>2026-07-13</t>
        </is>
      </c>
      <c r="B5838" t="inlineStr">
        <is>
          <t>氧化铝</t>
        </is>
      </c>
      <c r="C5838" t="inlineStr">
        <is>
          <t>空</t>
        </is>
      </c>
      <c r="D5838" t="n">
        <v>3</v>
      </c>
      <c r="E5838" t="n">
        <v>6</v>
      </c>
      <c r="F5838" t="inlineStr">
        <is>
          <t>开仓</t>
        </is>
      </c>
      <c r="G5838" t="n">
        <v>11</v>
      </c>
      <c r="H5838" t="n">
        <v>2678</v>
      </c>
      <c r="I5838" t="n">
        <v>2804.64</v>
      </c>
      <c r="J5838" t="n">
        <v>3</v>
      </c>
      <c r="K5838" t="inlineStr">
        <is>
          <t>¼凯利超上限，取3%</t>
        </is>
      </c>
    </row>
    <row r="5839">
      <c r="A5839" t="inlineStr">
        <is>
          <t>2026-07-13</t>
        </is>
      </c>
      <c r="B5839" t="inlineStr">
        <is>
          <t>螺纹钢</t>
        </is>
      </c>
      <c r="C5839" t="inlineStr">
        <is>
          <t>空</t>
        </is>
      </c>
      <c r="D5839" t="n">
        <v>3</v>
      </c>
      <c r="E5839" t="n">
        <v>6</v>
      </c>
      <c r="F5839" t="inlineStr">
        <is>
          <t>开仓</t>
        </is>
      </c>
      <c r="G5839" t="n">
        <v>42</v>
      </c>
      <c r="H5839" t="n">
        <v>3054</v>
      </c>
      <c r="I5839" t="n">
        <v>3124.29</v>
      </c>
      <c r="J5839" t="n">
        <v>3</v>
      </c>
      <c r="K5839" t="inlineStr">
        <is>
          <t>¼凯利超上限，取3%</t>
        </is>
      </c>
    </row>
    <row r="5840">
      <c r="A5840" t="inlineStr">
        <is>
          <t>2026-07-13</t>
        </is>
      </c>
      <c r="B5840" t="inlineStr">
        <is>
          <t>豆粕</t>
        </is>
      </c>
      <c r="C5840" t="inlineStr">
        <is>
          <t>多</t>
        </is>
      </c>
      <c r="D5840" t="n">
        <v>2</v>
      </c>
      <c r="E5840" t="n">
        <v>5</v>
      </c>
      <c r="F5840" t="inlineStr">
        <is>
          <t>续持</t>
        </is>
      </c>
      <c r="G5840" t="n">
        <v>11</v>
      </c>
      <c r="H5840" t="n">
        <v>3050</v>
      </c>
      <c r="I5840" t="n">
        <v>2996.71</v>
      </c>
      <c r="J5840" t="n">
        <v>1</v>
      </c>
      <c r="K5840" t="inlineStr">
        <is>
          <t>续持原仓（2026-07-01开）</t>
        </is>
      </c>
    </row>
    <row r="5841">
      <c r="A5841" t="inlineStr">
        <is>
          <t>2026-07-13</t>
        </is>
      </c>
      <c r="B5841" t="inlineStr">
        <is>
          <t>豆油</t>
        </is>
      </c>
      <c r="C5841" t="inlineStr">
        <is>
          <t>多</t>
        </is>
      </c>
      <c r="D5841" t="n">
        <v>2</v>
      </c>
      <c r="E5841" t="n">
        <v>4</v>
      </c>
      <c r="F5841" t="inlineStr">
        <is>
          <t>观望</t>
        </is>
      </c>
      <c r="G5841" t="n">
        <v>3</v>
      </c>
      <c r="H5841" t="n">
        <v>8568</v>
      </c>
      <c r="I5841" t="n">
        <v>8315.790000000001</v>
      </c>
      <c r="J5841" t="n">
        <v>1</v>
      </c>
      <c r="K5841" t="inlineStr">
        <is>
          <t>逆5日线（收盘在5日线下，不追多）</t>
        </is>
      </c>
    </row>
    <row r="5842">
      <c r="A5842" t="inlineStr">
        <is>
          <t>2026-07-13</t>
        </is>
      </c>
      <c r="B5842" t="inlineStr">
        <is>
          <t>热卷</t>
        </is>
      </c>
      <c r="C5842" t="inlineStr">
        <is>
          <t>空</t>
        </is>
      </c>
      <c r="D5842" t="n">
        <v>2</v>
      </c>
      <c r="E5842" t="n">
        <v>4</v>
      </c>
      <c r="F5842" t="inlineStr">
        <is>
          <t>续持</t>
        </is>
      </c>
      <c r="G5842" t="n">
        <v>12</v>
      </c>
      <c r="H5842" t="n">
        <v>3272</v>
      </c>
      <c r="I5842" t="n">
        <v>3335.21</v>
      </c>
      <c r="J5842" t="n">
        <v>1</v>
      </c>
      <c r="K5842" t="inlineStr">
        <is>
          <t>续持原仓（2026-06-30开）</t>
        </is>
      </c>
    </row>
    <row r="5843">
      <c r="A5843" t="inlineStr">
        <is>
          <t>2026-07-13</t>
        </is>
      </c>
      <c r="B5843" t="inlineStr">
        <is>
          <t>沪金</t>
        </is>
      </c>
      <c r="C5843" t="inlineStr">
        <is>
          <t>空</t>
        </is>
      </c>
      <c r="D5843" t="n">
        <v>2</v>
      </c>
      <c r="E5843" t="n">
        <v>4</v>
      </c>
      <c r="F5843" t="inlineStr">
        <is>
          <t>不做</t>
        </is>
      </c>
      <c r="H5843" t="n">
        <v>885.9400000000001</v>
      </c>
      <c r="J5843" t="n">
        <v>1</v>
      </c>
      <c r="K5843" t="inlineStr">
        <is>
          <t>1手风险55860元超过预算10000元</t>
        </is>
      </c>
    </row>
    <row r="5844">
      <c r="A5844" t="inlineStr">
        <is>
          <t>2026-07-14</t>
        </is>
      </c>
      <c r="B5844" t="inlineStr">
        <is>
          <t>豆油</t>
        </is>
      </c>
      <c r="C5844" t="inlineStr">
        <is>
          <t>多</t>
        </is>
      </c>
      <c r="D5844" t="n">
        <v>3</v>
      </c>
      <c r="E5844" t="n">
        <v>6</v>
      </c>
      <c r="F5844" t="inlineStr">
        <is>
          <t>续持</t>
        </is>
      </c>
      <c r="G5844" t="n">
        <v>3</v>
      </c>
      <c r="H5844" t="n">
        <v>8608</v>
      </c>
      <c r="I5844" t="n">
        <v>8408.639999999999</v>
      </c>
      <c r="J5844" t="n">
        <v>1</v>
      </c>
      <c r="K5844" t="inlineStr">
        <is>
          <t>续持原仓（2026-07-06开）</t>
        </is>
      </c>
    </row>
    <row r="5845">
      <c r="A5845" t="inlineStr">
        <is>
          <t>2026-07-14</t>
        </is>
      </c>
      <c r="B5845" t="inlineStr">
        <is>
          <t>沪镍</t>
        </is>
      </c>
      <c r="C5845" t="inlineStr">
        <is>
          <t>空</t>
        </is>
      </c>
      <c r="D5845" t="n">
        <v>2</v>
      </c>
      <c r="E5845" t="n">
        <v>5</v>
      </c>
      <c r="F5845" t="inlineStr">
        <is>
          <t>观望</t>
        </is>
      </c>
      <c r="G5845" t="n">
        <v>1</v>
      </c>
      <c r="H5845" t="n">
        <v>129550</v>
      </c>
      <c r="I5845" t="n">
        <v>137725</v>
      </c>
      <c r="J5845" t="n">
        <v>1</v>
      </c>
      <c r="K5845" t="inlineStr">
        <is>
          <t>逆5日线（收盘在5日线上，不追空）</t>
        </is>
      </c>
    </row>
    <row r="5846">
      <c r="A5846" t="inlineStr">
        <is>
          <t>2026-07-14</t>
        </is>
      </c>
      <c r="B5846" t="inlineStr">
        <is>
          <t>塑料</t>
        </is>
      </c>
      <c r="C5846" t="inlineStr">
        <is>
          <t>多</t>
        </is>
      </c>
      <c r="D5846" t="n">
        <v>2</v>
      </c>
      <c r="E5846" t="n">
        <v>5</v>
      </c>
      <c r="F5846" t="inlineStr">
        <is>
          <t>影子仓</t>
        </is>
      </c>
      <c r="G5846" t="n">
        <v>3</v>
      </c>
      <c r="H5846" t="n">
        <v>7714</v>
      </c>
      <c r="I5846" t="n">
        <v>7181.29</v>
      </c>
      <c r="J5846" t="n">
        <v>1</v>
      </c>
      <c r="K5846" t="inlineStr">
        <is>
          <t>凯利≤0，开1%影子仓（只统计，不计入组合）</t>
        </is>
      </c>
    </row>
    <row r="5847">
      <c r="A5847" t="inlineStr">
        <is>
          <t>2026-07-14</t>
        </is>
      </c>
      <c r="B5847" t="inlineStr">
        <is>
          <t>乙二醇</t>
        </is>
      </c>
      <c r="C5847" t="inlineStr">
        <is>
          <t>多</t>
        </is>
      </c>
      <c r="D5847" t="n">
        <v>2</v>
      </c>
      <c r="E5847" t="n">
        <v>5</v>
      </c>
      <c r="F5847" t="inlineStr">
        <is>
          <t>影子仓</t>
        </is>
      </c>
      <c r="G5847" t="n">
        <v>2</v>
      </c>
      <c r="H5847" t="n">
        <v>4546</v>
      </c>
      <c r="I5847" t="n">
        <v>4141.64</v>
      </c>
      <c r="J5847" t="n">
        <v>1</v>
      </c>
      <c r="K5847" t="inlineStr">
        <is>
          <t>凯利≤0，开1%影子仓（只统计，不计入组合）</t>
        </is>
      </c>
    </row>
    <row r="5848">
      <c r="A5848" t="inlineStr">
        <is>
          <t>2026-07-14</t>
        </is>
      </c>
      <c r="B5848" t="inlineStr">
        <is>
          <t>豆粕</t>
        </is>
      </c>
      <c r="C5848" t="inlineStr">
        <is>
          <t>多</t>
        </is>
      </c>
      <c r="D5848" t="n">
        <v>2</v>
      </c>
      <c r="E5848" t="n">
        <v>4</v>
      </c>
      <c r="F5848" t="inlineStr">
        <is>
          <t>观望</t>
        </is>
      </c>
      <c r="G5848" t="n">
        <v>9</v>
      </c>
      <c r="H5848" t="n">
        <v>3049</v>
      </c>
      <c r="I5848" t="n">
        <v>2942.93</v>
      </c>
      <c r="J5848" t="n">
        <v>1</v>
      </c>
      <c r="K5848" t="inlineStr">
        <is>
          <t>逆5日线（收盘在5日线下，不追多）</t>
        </is>
      </c>
    </row>
    <row r="5849">
      <c r="A5849" t="inlineStr">
        <is>
          <t>2026-07-14</t>
        </is>
      </c>
      <c r="B5849" t="inlineStr">
        <is>
          <t>热卷</t>
        </is>
      </c>
      <c r="C5849" t="inlineStr">
        <is>
          <t>空</t>
        </is>
      </c>
      <c r="D5849" t="n">
        <v>2</v>
      </c>
      <c r="E5849" t="n">
        <v>4</v>
      </c>
      <c r="F5849" t="inlineStr">
        <is>
          <t>观望</t>
        </is>
      </c>
      <c r="G5849" t="n">
        <v>14</v>
      </c>
      <c r="H5849" t="n">
        <v>3302</v>
      </c>
      <c r="I5849" t="n">
        <v>3371.86</v>
      </c>
      <c r="J5849" t="n">
        <v>1</v>
      </c>
      <c r="K5849" t="inlineStr">
        <is>
          <t>逆5日线（收盘在5日线上，不追空）</t>
        </is>
      </c>
    </row>
    <row r="5850">
      <c r="A5850" t="inlineStr">
        <is>
          <t>2026-07-14</t>
        </is>
      </c>
      <c r="B5850" t="inlineStr">
        <is>
          <t>氧化铝</t>
        </is>
      </c>
      <c r="C5850" t="inlineStr">
        <is>
          <t>空</t>
        </is>
      </c>
      <c r="D5850" t="n">
        <v>2</v>
      </c>
      <c r="E5850" t="n">
        <v>4</v>
      </c>
      <c r="F5850" t="inlineStr">
        <is>
          <t>续持</t>
        </is>
      </c>
      <c r="G5850" t="n">
        <v>11</v>
      </c>
      <c r="H5850" t="n">
        <v>2695</v>
      </c>
      <c r="I5850" t="n">
        <v>2785.14</v>
      </c>
      <c r="J5850" t="n">
        <v>3</v>
      </c>
      <c r="K5850" t="inlineStr">
        <is>
          <t>续持原仓（2026-07-13开）</t>
        </is>
      </c>
    </row>
    <row r="5851">
      <c r="A5851" t="inlineStr">
        <is>
          <t>2026-07-15</t>
        </is>
      </c>
      <c r="B5851" t="inlineStr">
        <is>
          <t>沪镍</t>
        </is>
      </c>
      <c r="C5851" t="inlineStr">
        <is>
          <t>空</t>
        </is>
      </c>
      <c r="D5851" t="n">
        <v>3</v>
      </c>
      <c r="E5851" t="n">
        <v>7</v>
      </c>
      <c r="F5851" t="inlineStr">
        <is>
          <t>开仓</t>
        </is>
      </c>
      <c r="G5851" t="n">
        <v>1</v>
      </c>
      <c r="H5851" t="n">
        <v>128120</v>
      </c>
      <c r="I5851" t="n">
        <v>136127.86</v>
      </c>
      <c r="J5851" t="n">
        <v>1</v>
      </c>
      <c r="K5851" t="inlineStr">
        <is>
          <t>组合风险已近10%，预算缩小</t>
        </is>
      </c>
    </row>
    <row r="5852">
      <c r="A5852" t="inlineStr">
        <is>
          <t>2026-07-15</t>
        </is>
      </c>
      <c r="B5852" t="inlineStr">
        <is>
          <t>菜油</t>
        </is>
      </c>
      <c r="C5852" t="inlineStr">
        <is>
          <t>多</t>
        </is>
      </c>
      <c r="D5852" t="n">
        <v>3</v>
      </c>
      <c r="E5852" t="n">
        <v>6</v>
      </c>
      <c r="F5852" t="inlineStr">
        <is>
          <t>不做</t>
        </is>
      </c>
      <c r="H5852" t="n">
        <v>9936</v>
      </c>
      <c r="J5852" t="n">
        <v>0</v>
      </c>
      <c r="K5852" t="inlineStr">
        <is>
          <t>组合风险已近10%，预算缩小</t>
        </is>
      </c>
    </row>
    <row r="5853">
      <c r="A5853" t="inlineStr">
        <is>
          <t>2026-07-15</t>
        </is>
      </c>
      <c r="B5853" t="inlineStr">
        <is>
          <t>螺纹钢</t>
        </is>
      </c>
      <c r="C5853" t="inlineStr">
        <is>
          <t>多</t>
        </is>
      </c>
      <c r="D5853" t="n">
        <v>3</v>
      </c>
      <c r="E5853" t="n">
        <v>6</v>
      </c>
      <c r="F5853" t="inlineStr">
        <is>
          <t>开仓</t>
        </is>
      </c>
      <c r="G5853" t="n">
        <v>39</v>
      </c>
      <c r="H5853" t="n">
        <v>3115</v>
      </c>
      <c r="I5853" t="n">
        <v>3038.29</v>
      </c>
      <c r="J5853" t="n">
        <v>3</v>
      </c>
      <c r="K5853" t="inlineStr">
        <is>
          <t>¼凯利超上限，取3%</t>
        </is>
      </c>
    </row>
    <row r="5854">
      <c r="A5854" t="inlineStr">
        <is>
          <t>2026-07-15</t>
        </is>
      </c>
      <c r="B5854" t="inlineStr">
        <is>
          <t>豆粕</t>
        </is>
      </c>
      <c r="C5854" t="inlineStr">
        <is>
          <t>多</t>
        </is>
      </c>
      <c r="D5854" t="n">
        <v>2</v>
      </c>
      <c r="E5854" t="n">
        <v>5</v>
      </c>
      <c r="F5854" t="inlineStr">
        <is>
          <t>续持</t>
        </is>
      </c>
      <c r="G5854" t="n">
        <v>11</v>
      </c>
      <c r="H5854" t="n">
        <v>3066</v>
      </c>
      <c r="I5854" t="n">
        <v>2996.71</v>
      </c>
      <c r="J5854" t="n">
        <v>1</v>
      </c>
      <c r="K5854" t="inlineStr">
        <is>
          <t>续持原仓（2026-07-01开）</t>
        </is>
      </c>
    </row>
    <row r="5855">
      <c r="A5855" t="inlineStr">
        <is>
          <t>2026-07-15</t>
        </is>
      </c>
      <c r="B5855" t="inlineStr">
        <is>
          <t>塑料</t>
        </is>
      </c>
      <c r="C5855" t="inlineStr">
        <is>
          <t>多</t>
        </is>
      </c>
      <c r="D5855" t="n">
        <v>2</v>
      </c>
      <c r="E5855" t="n">
        <v>5</v>
      </c>
      <c r="F5855" t="inlineStr">
        <is>
          <t>续持</t>
        </is>
      </c>
      <c r="G5855" t="n">
        <v>3</v>
      </c>
      <c r="H5855" t="n">
        <v>7748</v>
      </c>
      <c r="I5855" t="n">
        <v>7228.64</v>
      </c>
      <c r="J5855" t="n">
        <v>1</v>
      </c>
      <c r="K5855" t="inlineStr">
        <is>
          <t>续持原仓（2026-07-14开）</t>
        </is>
      </c>
    </row>
    <row r="5856">
      <c r="A5856" t="inlineStr">
        <is>
          <t>2026-07-15</t>
        </is>
      </c>
      <c r="B5856" t="inlineStr">
        <is>
          <t>豆油</t>
        </is>
      </c>
      <c r="C5856" t="inlineStr">
        <is>
          <t>多</t>
        </is>
      </c>
      <c r="D5856" t="n">
        <v>2</v>
      </c>
      <c r="E5856" t="n">
        <v>4</v>
      </c>
      <c r="F5856" t="inlineStr">
        <is>
          <t>续持</t>
        </is>
      </c>
      <c r="G5856" t="n">
        <v>3</v>
      </c>
      <c r="H5856" t="n">
        <v>8598</v>
      </c>
      <c r="I5856" t="n">
        <v>8421.290000000001</v>
      </c>
      <c r="J5856" t="n">
        <v>1</v>
      </c>
      <c r="K5856" t="inlineStr">
        <is>
          <t>续持原仓（2026-07-06开）</t>
        </is>
      </c>
    </row>
    <row r="5857">
      <c r="A5857" t="inlineStr">
        <is>
          <t>2026-07-16</t>
        </is>
      </c>
      <c r="B5857" t="inlineStr">
        <is>
          <t>菜油</t>
        </is>
      </c>
      <c r="C5857" t="inlineStr">
        <is>
          <t>多</t>
        </is>
      </c>
      <c r="D5857" t="n">
        <v>3</v>
      </c>
      <c r="E5857" t="n">
        <v>7</v>
      </c>
      <c r="F5857" t="inlineStr">
        <is>
          <t>开仓</t>
        </is>
      </c>
      <c r="G5857" t="n">
        <v>5</v>
      </c>
      <c r="H5857" t="n">
        <v>10037</v>
      </c>
      <c r="I5857" t="n">
        <v>9681.5</v>
      </c>
      <c r="J5857" t="n">
        <v>2</v>
      </c>
      <c r="K5857" t="inlineStr">
        <is>
          <t>组合风险已近10%，预算缩小</t>
        </is>
      </c>
    </row>
    <row r="5858">
      <c r="A5858" t="inlineStr">
        <is>
          <t>2026-07-16</t>
        </is>
      </c>
      <c r="B5858" t="inlineStr">
        <is>
          <t>沪镍</t>
        </is>
      </c>
      <c r="C5858" t="inlineStr">
        <is>
          <t>空</t>
        </is>
      </c>
      <c r="D5858" t="n">
        <v>2</v>
      </c>
      <c r="E5858" t="n">
        <v>4</v>
      </c>
      <c r="F5858" t="inlineStr">
        <is>
          <t>观望</t>
        </is>
      </c>
      <c r="G5858" t="n">
        <v>1</v>
      </c>
      <c r="H5858" t="n">
        <v>132940</v>
      </c>
      <c r="I5858" t="n">
        <v>141273.57</v>
      </c>
      <c r="J5858" t="n">
        <v>1</v>
      </c>
      <c r="K5858" t="inlineStr">
        <is>
          <t>逆5日线（收盘在5日线上，不追空）</t>
        </is>
      </c>
    </row>
    <row r="5859">
      <c r="A5859" t="inlineStr">
        <is>
          <t>2026-07-16</t>
        </is>
      </c>
      <c r="B5859" t="inlineStr">
        <is>
          <t>豆油</t>
        </is>
      </c>
      <c r="C5859" t="inlineStr">
        <is>
          <t>多</t>
        </is>
      </c>
      <c r="D5859" t="n">
        <v>2</v>
      </c>
      <c r="E5859" t="n">
        <v>4</v>
      </c>
      <c r="F5859" t="inlineStr">
        <is>
          <t>观望</t>
        </is>
      </c>
      <c r="G5859" t="n">
        <v>4</v>
      </c>
      <c r="H5859" t="n">
        <v>8570</v>
      </c>
      <c r="I5859" t="n">
        <v>8344.790000000001</v>
      </c>
      <c r="J5859" t="n">
        <v>1</v>
      </c>
      <c r="K5859" t="inlineStr">
        <is>
          <t>逆5日线（收盘在5日线下，不追多）</t>
        </is>
      </c>
    </row>
    <row r="5860">
      <c r="A5860" t="inlineStr">
        <is>
          <t>2026-07-16</t>
        </is>
      </c>
      <c r="B5860" t="inlineStr">
        <is>
          <t>豆粕</t>
        </is>
      </c>
      <c r="C5860" t="inlineStr">
        <is>
          <t>多</t>
        </is>
      </c>
      <c r="D5860" t="n">
        <v>2</v>
      </c>
      <c r="E5860" t="n">
        <v>4</v>
      </c>
      <c r="F5860" t="inlineStr">
        <is>
          <t>续持</t>
        </is>
      </c>
      <c r="G5860" t="n">
        <v>11</v>
      </c>
      <c r="H5860" t="n">
        <v>3067</v>
      </c>
      <c r="I5860" t="n">
        <v>2996.71</v>
      </c>
      <c r="J5860" t="n">
        <v>1</v>
      </c>
      <c r="K5860" t="inlineStr">
        <is>
          <t>续持原仓（2026-07-01开）</t>
        </is>
      </c>
    </row>
    <row r="5861">
      <c r="A5861" t="inlineStr">
        <is>
          <t>2026-07-16</t>
        </is>
      </c>
      <c r="B5861" t="inlineStr">
        <is>
          <t>螺纹钢</t>
        </is>
      </c>
      <c r="C5861" t="inlineStr">
        <is>
          <t>多</t>
        </is>
      </c>
      <c r="D5861" t="n">
        <v>2</v>
      </c>
      <c r="E5861" t="n">
        <v>4</v>
      </c>
      <c r="F5861" t="inlineStr">
        <is>
          <t>续持</t>
        </is>
      </c>
      <c r="G5861" t="n">
        <v>39</v>
      </c>
      <c r="H5861" t="n">
        <v>3115</v>
      </c>
      <c r="I5861" t="n">
        <v>3044.21</v>
      </c>
      <c r="J5861" t="n">
        <v>3</v>
      </c>
      <c r="K5861" t="inlineStr">
        <is>
          <t>续持原仓（2026-07-15开）</t>
        </is>
      </c>
    </row>
    <row r="5862">
      <c r="A5862" t="inlineStr">
        <is>
          <t>2026-07-17</t>
        </is>
      </c>
      <c r="B5862" t="inlineStr">
        <is>
          <t>沪镍</t>
        </is>
      </c>
      <c r="C5862" t="inlineStr">
        <is>
          <t>空</t>
        </is>
      </c>
      <c r="D5862" t="n">
        <v>3</v>
      </c>
      <c r="E5862" t="n">
        <v>7</v>
      </c>
      <c r="F5862" t="inlineStr">
        <is>
          <t>续持</t>
        </is>
      </c>
      <c r="G5862" t="n">
        <v>1</v>
      </c>
      <c r="H5862" t="n">
        <v>128890</v>
      </c>
      <c r="I5862" t="n">
        <v>136887.86</v>
      </c>
      <c r="J5862" t="n">
        <v>1</v>
      </c>
      <c r="K5862" t="inlineStr">
        <is>
          <t>续持原仓（2026-07-15开）</t>
        </is>
      </c>
    </row>
    <row r="5863">
      <c r="A5863" t="inlineStr">
        <is>
          <t>2026-07-17</t>
        </is>
      </c>
      <c r="B5863" t="inlineStr">
        <is>
          <t>乙二醇</t>
        </is>
      </c>
      <c r="C5863" t="inlineStr">
        <is>
          <t>多</t>
        </is>
      </c>
      <c r="D5863" t="n">
        <v>2</v>
      </c>
      <c r="E5863" t="n">
        <v>5</v>
      </c>
      <c r="F5863" t="inlineStr">
        <is>
          <t>影子仓</t>
        </is>
      </c>
      <c r="G5863" t="n">
        <v>2</v>
      </c>
      <c r="H5863" t="n">
        <v>4613</v>
      </c>
      <c r="I5863" t="n">
        <v>4221.29</v>
      </c>
      <c r="J5863" t="n">
        <v>1</v>
      </c>
      <c r="K5863" t="inlineStr">
        <is>
          <t>凯利≤0，开1%影子仓（只统计，不计入组合）</t>
        </is>
      </c>
    </row>
    <row r="5864">
      <c r="A5864" t="inlineStr">
        <is>
          <t>2026-07-17</t>
        </is>
      </c>
      <c r="B5864" t="inlineStr">
        <is>
          <t>豆粕</t>
        </is>
      </c>
      <c r="C5864" t="inlineStr">
        <is>
          <t>多</t>
        </is>
      </c>
      <c r="D5864" t="n">
        <v>2</v>
      </c>
      <c r="E5864" t="n">
        <v>5</v>
      </c>
      <c r="F5864" t="inlineStr">
        <is>
          <t>续持</t>
        </is>
      </c>
      <c r="G5864" t="n">
        <v>11</v>
      </c>
      <c r="H5864" t="n">
        <v>3061</v>
      </c>
      <c r="I5864" t="n">
        <v>2996.71</v>
      </c>
      <c r="J5864" t="n">
        <v>1</v>
      </c>
      <c r="K5864" t="inlineStr">
        <is>
          <t>续持原仓（2026-07-01开）</t>
        </is>
      </c>
    </row>
    <row r="5865">
      <c r="A5865" t="inlineStr">
        <is>
          <t>2026-07-17</t>
        </is>
      </c>
      <c r="B5865" t="inlineStr">
        <is>
          <t>氧化铝</t>
        </is>
      </c>
      <c r="C5865" t="inlineStr">
        <is>
          <t>空</t>
        </is>
      </c>
      <c r="D5865" t="n">
        <v>2</v>
      </c>
      <c r="E5865" t="n">
        <v>5</v>
      </c>
      <c r="F5865" t="inlineStr">
        <is>
          <t>续持</t>
        </is>
      </c>
      <c r="G5865" t="n">
        <v>11</v>
      </c>
      <c r="H5865" t="n">
        <v>2656</v>
      </c>
      <c r="I5865" t="n">
        <v>2774.14</v>
      </c>
      <c r="J5865" t="n">
        <v>3</v>
      </c>
      <c r="K5865" t="inlineStr">
        <is>
          <t>续持原仓（2026-07-13开）</t>
        </is>
      </c>
    </row>
    <row r="5866">
      <c r="A5866" t="inlineStr">
        <is>
          <t>2026-07-17</t>
        </is>
      </c>
      <c r="B5866" t="inlineStr">
        <is>
          <t>豆油</t>
        </is>
      </c>
      <c r="C5866" t="inlineStr">
        <is>
          <t>多</t>
        </is>
      </c>
      <c r="D5866" t="n">
        <v>2</v>
      </c>
      <c r="E5866" t="n">
        <v>4</v>
      </c>
      <c r="F5866" t="inlineStr">
        <is>
          <t>观望</t>
        </is>
      </c>
      <c r="G5866" t="n">
        <v>4</v>
      </c>
      <c r="H5866" t="n">
        <v>8535</v>
      </c>
      <c r="I5866" t="n">
        <v>8303.790000000001</v>
      </c>
      <c r="J5866" t="n">
        <v>1</v>
      </c>
      <c r="K5866" t="inlineStr">
        <is>
          <t>逆5日线（收盘在5日线下，不追多）</t>
        </is>
      </c>
    </row>
    <row r="5867">
      <c r="A5867" t="inlineStr">
        <is>
          <t>2026-07-20</t>
        </is>
      </c>
      <c r="B5867" t="inlineStr">
        <is>
          <t>豆粕</t>
        </is>
      </c>
      <c r="C5867" t="inlineStr">
        <is>
          <t>多</t>
        </is>
      </c>
      <c r="D5867" t="n">
        <v>3</v>
      </c>
      <c r="E5867" t="n">
        <v>6</v>
      </c>
      <c r="F5867" t="inlineStr">
        <is>
          <t>续持</t>
        </is>
      </c>
      <c r="G5867" t="n">
        <v>11</v>
      </c>
      <c r="H5867" t="n">
        <v>3129</v>
      </c>
      <c r="I5867" t="n">
        <v>3018.86</v>
      </c>
      <c r="J5867" t="n">
        <v>1</v>
      </c>
      <c r="K5867" t="inlineStr">
        <is>
          <t>续持原仓（2026-07-01开）</t>
        </is>
      </c>
    </row>
    <row r="5868">
      <c r="A5868" t="inlineStr">
        <is>
          <t>2026-07-20</t>
        </is>
      </c>
      <c r="B5868" t="inlineStr">
        <is>
          <t>豆油</t>
        </is>
      </c>
      <c r="C5868" t="inlineStr">
        <is>
          <t>多</t>
        </is>
      </c>
      <c r="D5868" t="n">
        <v>2</v>
      </c>
      <c r="E5868" t="n">
        <v>5</v>
      </c>
      <c r="F5868" t="inlineStr">
        <is>
          <t>续持</t>
        </is>
      </c>
      <c r="G5868" t="n">
        <v>3</v>
      </c>
      <c r="H5868" t="n">
        <v>8599</v>
      </c>
      <c r="I5868" t="n">
        <v>8431.790000000001</v>
      </c>
      <c r="J5868" t="n">
        <v>1</v>
      </c>
      <c r="K5868" t="inlineStr">
        <is>
          <t>续持原仓（2026-07-06开）</t>
        </is>
      </c>
    </row>
    <row r="5869">
      <c r="A5869" t="inlineStr">
        <is>
          <t>2026-07-20</t>
        </is>
      </c>
      <c r="B5869" t="inlineStr">
        <is>
          <t>苯乙烯</t>
        </is>
      </c>
      <c r="C5869" t="inlineStr">
        <is>
          <t>多</t>
        </is>
      </c>
      <c r="D5869" t="n">
        <v>2</v>
      </c>
      <c r="E5869" t="n">
        <v>5</v>
      </c>
      <c r="F5869" t="inlineStr">
        <is>
          <t>影子仓</t>
        </is>
      </c>
      <c r="G5869" t="n">
        <v>2</v>
      </c>
      <c r="H5869" t="n">
        <v>8966</v>
      </c>
      <c r="I5869" t="n">
        <v>8165.21</v>
      </c>
      <c r="J5869" t="n">
        <v>1</v>
      </c>
      <c r="K5869" t="inlineStr">
        <is>
          <t>凯利≤0，开1%影子仓（只统计，不计入组合）</t>
        </is>
      </c>
    </row>
    <row r="5870">
      <c r="A5870" t="inlineStr">
        <is>
          <t>2026-07-20</t>
        </is>
      </c>
      <c r="B5870" t="inlineStr">
        <is>
          <t>菜油</t>
        </is>
      </c>
      <c r="C5870" t="inlineStr">
        <is>
          <t>多</t>
        </is>
      </c>
      <c r="D5870" t="n">
        <v>2</v>
      </c>
      <c r="E5870" t="n">
        <v>5</v>
      </c>
      <c r="F5870" t="inlineStr">
        <is>
          <t>续持</t>
        </is>
      </c>
      <c r="G5870" t="n">
        <v>5</v>
      </c>
      <c r="H5870" t="n">
        <v>10050</v>
      </c>
      <c r="I5870" t="n">
        <v>9743.209999999999</v>
      </c>
      <c r="J5870" t="n">
        <v>2</v>
      </c>
      <c r="K5870" t="inlineStr">
        <is>
          <t>续持原仓（2026-07-16开）</t>
        </is>
      </c>
    </row>
    <row r="5871">
      <c r="A5871" t="inlineStr">
        <is>
          <t>2026-07-20</t>
        </is>
      </c>
      <c r="B5871" t="inlineStr">
        <is>
          <t>沪金</t>
        </is>
      </c>
      <c r="C5871" t="inlineStr">
        <is>
          <t>空</t>
        </is>
      </c>
      <c r="D5871" t="n">
        <v>2</v>
      </c>
      <c r="E5871" t="n">
        <v>4</v>
      </c>
      <c r="F5871" t="inlineStr">
        <is>
          <t>不做</t>
        </is>
      </c>
      <c r="H5871" t="n">
        <v>876.64</v>
      </c>
      <c r="J5871" t="n">
        <v>1</v>
      </c>
      <c r="K5871" t="inlineStr">
        <is>
          <t>1手风险49410元超过预算10000元</t>
        </is>
      </c>
    </row>
    <row r="5872">
      <c r="A5872" t="inlineStr">
        <is>
          <t>2026-07-21</t>
        </is>
      </c>
      <c r="B5872" t="inlineStr">
        <is>
          <t>沪铜</t>
        </is>
      </c>
      <c r="C5872" t="inlineStr">
        <is>
          <t>多</t>
        </is>
      </c>
      <c r="D5872" t="n">
        <v>3</v>
      </c>
      <c r="E5872" t="n">
        <v>7</v>
      </c>
      <c r="F5872" t="inlineStr">
        <is>
          <t>开仓</t>
        </is>
      </c>
      <c r="G5872" t="n">
        <v>1</v>
      </c>
      <c r="H5872" t="n">
        <v>105460</v>
      </c>
      <c r="I5872" t="n">
        <v>101879.29</v>
      </c>
      <c r="J5872" t="n">
        <v>3</v>
      </c>
      <c r="K5872" t="inlineStr">
        <is>
          <t>¼凯利超上限，取3%</t>
        </is>
      </c>
    </row>
    <row r="5873">
      <c r="A5873" t="inlineStr">
        <is>
          <t>2026-07-21</t>
        </is>
      </c>
      <c r="B5873" t="inlineStr">
        <is>
          <t>豆粕</t>
        </is>
      </c>
      <c r="C5873" t="inlineStr">
        <is>
          <t>多</t>
        </is>
      </c>
      <c r="D5873" t="n">
        <v>2</v>
      </c>
      <c r="E5873" t="n">
        <v>5</v>
      </c>
      <c r="F5873" t="inlineStr">
        <is>
          <t>续持</t>
        </is>
      </c>
      <c r="G5873" t="n">
        <v>11</v>
      </c>
      <c r="H5873" t="n">
        <v>3148</v>
      </c>
      <c r="I5873" t="n">
        <v>3043.07</v>
      </c>
      <c r="J5873" t="n">
        <v>1</v>
      </c>
      <c r="K5873" t="inlineStr">
        <is>
          <t>续持原仓（2026-07-01开）</t>
        </is>
      </c>
    </row>
    <row r="5874">
      <c r="A5874" t="inlineStr">
        <is>
          <t>2026-07-21</t>
        </is>
      </c>
      <c r="B5874" t="inlineStr">
        <is>
          <t>豆油</t>
        </is>
      </c>
      <c r="C5874" t="inlineStr">
        <is>
          <t>多</t>
        </is>
      </c>
      <c r="D5874" t="n">
        <v>2</v>
      </c>
      <c r="E5874" t="n">
        <v>4</v>
      </c>
      <c r="F5874" t="inlineStr">
        <is>
          <t>观望</t>
        </is>
      </c>
      <c r="G5874" t="n">
        <v>4</v>
      </c>
      <c r="H5874" t="n">
        <v>8542</v>
      </c>
      <c r="I5874" t="n">
        <v>8303.93</v>
      </c>
      <c r="J5874" t="n">
        <v>1</v>
      </c>
      <c r="K5874" t="inlineStr">
        <is>
          <t>逆5日线（收盘在5日线下，不追多）</t>
        </is>
      </c>
    </row>
    <row r="5875">
      <c r="A5875" t="inlineStr">
        <is>
          <t>2026-07-21</t>
        </is>
      </c>
      <c r="B5875" t="inlineStr">
        <is>
          <t>沥青</t>
        </is>
      </c>
      <c r="C5875" t="inlineStr">
        <is>
          <t>多</t>
        </is>
      </c>
      <c r="D5875" t="n">
        <v>2</v>
      </c>
      <c r="E5875" t="n">
        <v>4</v>
      </c>
      <c r="F5875" t="inlineStr">
        <is>
          <t>影子仓</t>
        </is>
      </c>
      <c r="G5875" t="n">
        <v>2</v>
      </c>
      <c r="H5875" t="n">
        <v>4164</v>
      </c>
      <c r="I5875" t="n">
        <v>3763.93</v>
      </c>
      <c r="J5875" t="n">
        <v>1</v>
      </c>
      <c r="K5875" t="inlineStr">
        <is>
          <t>凯利≤0，开1%影子仓（只统计，不计入组合）</t>
        </is>
      </c>
    </row>
    <row r="5876">
      <c r="A5876" t="inlineStr">
        <is>
          <t>2026-07-22</t>
        </is>
      </c>
      <c r="B5876" t="inlineStr">
        <is>
          <t>生猪</t>
        </is>
      </c>
      <c r="C5876" t="inlineStr">
        <is>
          <t>空</t>
        </is>
      </c>
      <c r="D5876" t="n">
        <v>3</v>
      </c>
      <c r="E5876" t="n">
        <v>6</v>
      </c>
      <c r="F5876" t="inlineStr">
        <is>
          <t>开仓</t>
        </is>
      </c>
      <c r="G5876" t="n">
        <v>2</v>
      </c>
      <c r="H5876" t="n">
        <v>11275</v>
      </c>
      <c r="I5876" t="n">
        <v>11955.36</v>
      </c>
      <c r="J5876" t="n">
        <v>3</v>
      </c>
      <c r="K5876" t="inlineStr">
        <is>
          <t>¼凯利超上限，取3%</t>
        </is>
      </c>
    </row>
    <row r="5877">
      <c r="A5877" t="inlineStr">
        <is>
          <t>2026-07-22</t>
        </is>
      </c>
      <c r="B5877" t="inlineStr">
        <is>
          <t>豆一</t>
        </is>
      </c>
      <c r="C5877" t="inlineStr">
        <is>
          <t>空</t>
        </is>
      </c>
      <c r="D5877" t="n">
        <v>2</v>
      </c>
      <c r="E5877" t="n">
        <v>5</v>
      </c>
      <c r="F5877" t="inlineStr">
        <is>
          <t>观望</t>
        </is>
      </c>
      <c r="G5877" t="n">
        <v>7</v>
      </c>
      <c r="H5877" t="n">
        <v>4711</v>
      </c>
      <c r="I5877" t="n">
        <v>4846.86</v>
      </c>
      <c r="J5877" t="n">
        <v>1</v>
      </c>
      <c r="K5877" t="inlineStr">
        <is>
          <t>逆5日线（收盘在5日线上，不追空）</t>
        </is>
      </c>
    </row>
    <row r="5878">
      <c r="A5878" t="inlineStr">
        <is>
          <t>2026-07-22</t>
        </is>
      </c>
      <c r="B5878" t="inlineStr">
        <is>
          <t>塑料</t>
        </is>
      </c>
      <c r="C5878" t="inlineStr">
        <is>
          <t>多</t>
        </is>
      </c>
      <c r="D5878" t="n">
        <v>2</v>
      </c>
      <c r="E5878" t="n">
        <v>5</v>
      </c>
      <c r="F5878" t="inlineStr">
        <is>
          <t>影子仓</t>
        </is>
      </c>
      <c r="G5878" t="n">
        <v>3</v>
      </c>
      <c r="H5878" t="n">
        <v>7810</v>
      </c>
      <c r="I5878" t="n">
        <v>7179.57</v>
      </c>
      <c r="J5878" t="n">
        <v>1</v>
      </c>
      <c r="K5878" t="inlineStr">
        <is>
          <t>凯利≤0，开1%影子仓（只统计，不计入组合）</t>
        </is>
      </c>
    </row>
    <row r="5879">
      <c r="A5879" t="inlineStr">
        <is>
          <t>2026-07-22</t>
        </is>
      </c>
      <c r="B5879" t="inlineStr">
        <is>
          <t>豆粕</t>
        </is>
      </c>
      <c r="C5879" t="inlineStr">
        <is>
          <t>多</t>
        </is>
      </c>
      <c r="D5879" t="n">
        <v>2</v>
      </c>
      <c r="E5879" t="n">
        <v>4</v>
      </c>
      <c r="F5879" t="inlineStr">
        <is>
          <t>续持</t>
        </is>
      </c>
      <c r="G5879" t="n">
        <v>11</v>
      </c>
      <c r="H5879" t="n">
        <v>3146</v>
      </c>
      <c r="I5879" t="n">
        <v>3052.86</v>
      </c>
      <c r="J5879" t="n">
        <v>1</v>
      </c>
      <c r="K5879" t="inlineStr">
        <is>
          <t>续持原仓（2026-07-01开）</t>
        </is>
      </c>
    </row>
    <row r="5880">
      <c r="A5880" t="inlineStr">
        <is>
          <t>2026-07-23</t>
        </is>
      </c>
      <c r="B5880" t="inlineStr">
        <is>
          <t>沥青</t>
        </is>
      </c>
      <c r="C5880" t="inlineStr">
        <is>
          <t>多</t>
        </is>
      </c>
      <c r="D5880" t="n">
        <v>3</v>
      </c>
      <c r="E5880" t="n">
        <v>7</v>
      </c>
      <c r="F5880" t="inlineStr">
        <is>
          <t>开仓</t>
        </is>
      </c>
      <c r="G5880" t="n">
        <v>7</v>
      </c>
      <c r="H5880" t="n">
        <v>4288</v>
      </c>
      <c r="I5880" t="n">
        <v>3910.21</v>
      </c>
      <c r="J5880" t="n">
        <v>3</v>
      </c>
      <c r="K5880" t="inlineStr">
        <is>
          <t>¼凯利超上限，取3%</t>
        </is>
      </c>
    </row>
    <row r="5881">
      <c r="A5881" t="inlineStr">
        <is>
          <t>2026-07-23</t>
        </is>
      </c>
      <c r="B5881" t="inlineStr">
        <is>
          <t>豆粕</t>
        </is>
      </c>
      <c r="C5881" t="inlineStr">
        <is>
          <t>多</t>
        </is>
      </c>
      <c r="D5881" t="n">
        <v>3</v>
      </c>
      <c r="E5881" t="n">
        <v>6</v>
      </c>
      <c r="F5881" t="inlineStr">
        <is>
          <t>续持</t>
        </is>
      </c>
      <c r="G5881" t="n">
        <v>11</v>
      </c>
      <c r="H5881" t="n">
        <v>3175</v>
      </c>
      <c r="I5881" t="n">
        <v>3088.57</v>
      </c>
      <c r="J5881" t="n">
        <v>1</v>
      </c>
      <c r="K5881" t="inlineStr">
        <is>
          <t>续持原仓（2026-07-01开）</t>
        </is>
      </c>
    </row>
    <row r="5882">
      <c r="A5882" t="inlineStr">
        <is>
          <t>2026-07-23</t>
        </is>
      </c>
      <c r="B5882" t="inlineStr">
        <is>
          <t>塑料</t>
        </is>
      </c>
      <c r="C5882" t="inlineStr">
        <is>
          <t>多</t>
        </is>
      </c>
      <c r="D5882" t="n">
        <v>2</v>
      </c>
      <c r="E5882" t="n">
        <v>5</v>
      </c>
      <c r="F5882" t="inlineStr">
        <is>
          <t>续持</t>
        </is>
      </c>
      <c r="G5882" t="n">
        <v>3</v>
      </c>
      <c r="H5882" t="n">
        <v>7997</v>
      </c>
      <c r="I5882" t="n">
        <v>7357.29</v>
      </c>
      <c r="J5882" t="n">
        <v>1</v>
      </c>
      <c r="K5882" t="inlineStr">
        <is>
          <t>续持原仓（2026-07-22开）</t>
        </is>
      </c>
    </row>
    <row r="5883">
      <c r="A5883" t="inlineStr">
        <is>
          <t>2026-07-23</t>
        </is>
      </c>
      <c r="B5883" t="inlineStr">
        <is>
          <t>菜粕</t>
        </is>
      </c>
      <c r="C5883" t="inlineStr">
        <is>
          <t>多</t>
        </is>
      </c>
      <c r="D5883" t="n">
        <v>2</v>
      </c>
      <c r="E5883" t="n">
        <v>5</v>
      </c>
      <c r="F5883" t="inlineStr">
        <is>
          <t>影子仓</t>
        </is>
      </c>
      <c r="G5883" t="n">
        <v>8</v>
      </c>
      <c r="H5883" t="n">
        <v>2360</v>
      </c>
      <c r="I5883" t="n">
        <v>2246</v>
      </c>
      <c r="J5883" t="n">
        <v>1</v>
      </c>
      <c r="K5883" t="inlineStr">
        <is>
          <t>凯利≤0，开1%影子仓（只统计，不计入组合）</t>
        </is>
      </c>
    </row>
    <row r="5884">
      <c r="A5884" t="inlineStr">
        <is>
          <t>2026-07-23</t>
        </is>
      </c>
      <c r="B5884" t="inlineStr">
        <is>
          <t>生猪</t>
        </is>
      </c>
      <c r="C5884" t="inlineStr">
        <is>
          <t>空</t>
        </is>
      </c>
      <c r="D5884" t="n">
        <v>2</v>
      </c>
      <c r="E5884" t="n">
        <v>4</v>
      </c>
      <c r="F5884" t="inlineStr">
        <is>
          <t>续持</t>
        </is>
      </c>
      <c r="G5884" t="n">
        <v>2</v>
      </c>
      <c r="H5884" t="n">
        <v>11330</v>
      </c>
      <c r="I5884" t="n">
        <v>11918.93</v>
      </c>
      <c r="J5884" t="n">
        <v>3</v>
      </c>
      <c r="K5884" t="inlineStr">
        <is>
          <t>续持原仓（2026-07-22开）</t>
        </is>
      </c>
    </row>
    <row r="5885">
      <c r="A5885" t="inlineStr">
        <is>
          <t>2026-07-23</t>
        </is>
      </c>
      <c r="B5885" t="inlineStr">
        <is>
          <t>PVC</t>
        </is>
      </c>
      <c r="C5885" t="inlineStr">
        <is>
          <t>多</t>
        </is>
      </c>
      <c r="D5885" t="n">
        <v>2</v>
      </c>
      <c r="E5885" t="n">
        <v>4</v>
      </c>
      <c r="F5885" t="inlineStr">
        <is>
          <t>影子仓</t>
        </is>
      </c>
      <c r="G5885" t="n">
        <v>5</v>
      </c>
      <c r="H5885" t="n">
        <v>4618</v>
      </c>
      <c r="I5885" t="n">
        <v>4277.71</v>
      </c>
      <c r="J5885" t="n">
        <v>1</v>
      </c>
      <c r="K5885" t="inlineStr">
        <is>
          <t>凯利≤0，开1%影子仓（只统计，不计入组合）</t>
        </is>
      </c>
    </row>
    <row r="5886">
      <c r="A5886" t="inlineStr">
        <is>
          <t>2026-07-24</t>
        </is>
      </c>
      <c r="B5886" t="inlineStr">
        <is>
          <t>菜油</t>
        </is>
      </c>
      <c r="C5886" t="inlineStr">
        <is>
          <t>多</t>
        </is>
      </c>
      <c r="D5886" t="n">
        <v>3</v>
      </c>
      <c r="E5886" t="n">
        <v>7</v>
      </c>
      <c r="F5886" t="inlineStr">
        <is>
          <t>不做</t>
        </is>
      </c>
      <c r="H5886" t="n">
        <v>10281</v>
      </c>
      <c r="J5886" t="n">
        <v>0</v>
      </c>
      <c r="K5886" t="inlineStr">
        <is>
          <t>组合风险已近10%，预算缩小</t>
        </is>
      </c>
    </row>
    <row r="5887">
      <c r="A5887" t="inlineStr">
        <is>
          <t>2026-07-24</t>
        </is>
      </c>
      <c r="B5887" t="inlineStr">
        <is>
          <t>豆粕</t>
        </is>
      </c>
      <c r="C5887" t="inlineStr">
        <is>
          <t>多</t>
        </is>
      </c>
      <c r="D5887" t="n">
        <v>3</v>
      </c>
      <c r="E5887" t="n">
        <v>7</v>
      </c>
      <c r="F5887" t="inlineStr">
        <is>
          <t>续持</t>
        </is>
      </c>
      <c r="G5887" t="n">
        <v>11</v>
      </c>
      <c r="H5887" t="n">
        <v>3225</v>
      </c>
      <c r="I5887" t="n">
        <v>3110</v>
      </c>
      <c r="J5887" t="n">
        <v>1</v>
      </c>
      <c r="K5887" t="inlineStr">
        <is>
          <t>续持原仓（2026-07-01开）</t>
        </is>
      </c>
    </row>
    <row r="5888">
      <c r="A5888" t="inlineStr">
        <is>
          <t>2026-07-24</t>
        </is>
      </c>
      <c r="B5888" t="inlineStr">
        <is>
          <t>生猪</t>
        </is>
      </c>
      <c r="C5888" t="inlineStr">
        <is>
          <t>空</t>
        </is>
      </c>
      <c r="D5888" t="n">
        <v>3</v>
      </c>
      <c r="E5888" t="n">
        <v>7</v>
      </c>
      <c r="F5888" t="inlineStr">
        <is>
          <t>续持</t>
        </is>
      </c>
      <c r="G5888" t="n">
        <v>2</v>
      </c>
      <c r="H5888" t="n">
        <v>11065</v>
      </c>
      <c r="I5888" t="n">
        <v>11724.64</v>
      </c>
      <c r="J5888" t="n">
        <v>3</v>
      </c>
      <c r="K5888" t="inlineStr">
        <is>
          <t>续持原仓（2026-07-22开）</t>
        </is>
      </c>
    </row>
    <row r="5889">
      <c r="A5889" t="inlineStr">
        <is>
          <t>2026-07-24</t>
        </is>
      </c>
      <c r="B5889" t="inlineStr">
        <is>
          <t>乙二醇</t>
        </is>
      </c>
      <c r="C5889" t="inlineStr">
        <is>
          <t>多</t>
        </is>
      </c>
      <c r="D5889" t="n">
        <v>3</v>
      </c>
      <c r="E5889" t="n">
        <v>7</v>
      </c>
      <c r="F5889" t="inlineStr">
        <is>
          <t>不做</t>
        </is>
      </c>
      <c r="H5889" t="n">
        <v>4956</v>
      </c>
      <c r="J5889" t="n">
        <v>0</v>
      </c>
      <c r="K5889" t="inlineStr">
        <is>
          <t>组合风险已近10%，预算缩小</t>
        </is>
      </c>
    </row>
    <row r="5890">
      <c r="A5890" t="inlineStr">
        <is>
          <t>2026-07-24</t>
        </is>
      </c>
      <c r="B5890" t="inlineStr">
        <is>
          <t>塑料</t>
        </is>
      </c>
      <c r="C5890" t="inlineStr">
        <is>
          <t>多</t>
        </is>
      </c>
      <c r="D5890" t="n">
        <v>2</v>
      </c>
      <c r="E5890" t="n">
        <v>4</v>
      </c>
      <c r="F5890" t="inlineStr">
        <is>
          <t>续持</t>
        </is>
      </c>
      <c r="G5890" t="n">
        <v>3</v>
      </c>
      <c r="H5890" t="n">
        <v>7990</v>
      </c>
      <c r="I5890" t="n">
        <v>7425.79</v>
      </c>
      <c r="J5890" t="n">
        <v>1</v>
      </c>
      <c r="K5890" t="inlineStr">
        <is>
          <t>续持原仓（2026-07-22开）</t>
        </is>
      </c>
    </row>
    <row r="5891">
      <c r="A5891" t="inlineStr">
        <is>
          <t>2026-07-27</t>
        </is>
      </c>
      <c r="B5891" t="inlineStr">
        <is>
          <t>生猪</t>
        </is>
      </c>
      <c r="C5891" t="inlineStr">
        <is>
          <t>空</t>
        </is>
      </c>
      <c r="D5891" t="n">
        <v>2</v>
      </c>
      <c r="E5891" t="n">
        <v>5</v>
      </c>
      <c r="F5891" t="inlineStr">
        <is>
          <t>续持</t>
        </is>
      </c>
      <c r="G5891" t="n">
        <v>2</v>
      </c>
      <c r="H5891" t="n">
        <v>11175</v>
      </c>
      <c r="I5891" t="n">
        <v>11707.14</v>
      </c>
      <c r="J5891" t="n">
        <v>3</v>
      </c>
      <c r="K5891" t="inlineStr">
        <is>
          <t>续持原仓（2026-07-22开）</t>
        </is>
      </c>
    </row>
    <row r="5892">
      <c r="A5892" t="inlineStr">
        <is>
          <t>2026-07-27</t>
        </is>
      </c>
      <c r="B5892" t="inlineStr">
        <is>
          <t>乙二醇</t>
        </is>
      </c>
      <c r="C5892" t="inlineStr">
        <is>
          <t>多</t>
        </is>
      </c>
      <c r="D5892" t="n">
        <v>2</v>
      </c>
      <c r="E5892" t="n">
        <v>5</v>
      </c>
      <c r="F5892" t="inlineStr">
        <is>
          <t>观望</t>
        </is>
      </c>
      <c r="G5892" t="n">
        <v>1</v>
      </c>
      <c r="H5892" t="n">
        <v>4781</v>
      </c>
      <c r="I5892" t="n">
        <v>4269.71</v>
      </c>
      <c r="J5892" t="n">
        <v>1</v>
      </c>
      <c r="K5892" t="inlineStr">
        <is>
          <t>逆5日线（收盘在5日线下，不追多）</t>
        </is>
      </c>
    </row>
    <row r="5893">
      <c r="A5893" t="inlineStr">
        <is>
          <t>2026-07-27</t>
        </is>
      </c>
      <c r="B5893" t="inlineStr">
        <is>
          <t>沪铜</t>
        </is>
      </c>
      <c r="C5893" t="inlineStr">
        <is>
          <t>多</t>
        </is>
      </c>
      <c r="D5893" t="n">
        <v>2</v>
      </c>
      <c r="E5893" t="n">
        <v>5</v>
      </c>
      <c r="F5893" t="inlineStr">
        <is>
          <t>观望</t>
        </is>
      </c>
      <c r="H5893" t="n">
        <v>105050</v>
      </c>
      <c r="J5893" t="n">
        <v>1</v>
      </c>
      <c r="K5893" t="inlineStr">
        <is>
          <t>逆5日线（收盘在5日线下，不追多）</t>
        </is>
      </c>
    </row>
    <row r="5894">
      <c r="A5894" t="inlineStr">
        <is>
          <t>2026-07-27</t>
        </is>
      </c>
      <c r="B5894" t="inlineStr">
        <is>
          <t>豆粕</t>
        </is>
      </c>
      <c r="C5894" t="inlineStr">
        <is>
          <t>多</t>
        </is>
      </c>
      <c r="D5894" t="n">
        <v>2</v>
      </c>
      <c r="E5894" t="n">
        <v>4</v>
      </c>
      <c r="F5894" t="inlineStr">
        <is>
          <t>观望</t>
        </is>
      </c>
      <c r="G5894" t="n">
        <v>7</v>
      </c>
      <c r="H5894" t="n">
        <v>3164</v>
      </c>
      <c r="I5894" t="n">
        <v>3033.29</v>
      </c>
      <c r="J5894" t="n">
        <v>1</v>
      </c>
      <c r="K5894" t="inlineStr">
        <is>
          <t>逆5日线（收盘在5日线下，不追多）</t>
        </is>
      </c>
    </row>
    <row r="5895">
      <c r="A5895" t="inlineStr">
        <is>
          <t>2026-07-28</t>
        </is>
      </c>
      <c r="B5895" t="inlineStr">
        <is>
          <t>纯碱</t>
        </is>
      </c>
      <c r="C5895" t="inlineStr">
        <is>
          <t>空</t>
        </is>
      </c>
      <c r="D5895" t="n">
        <v>3</v>
      </c>
      <c r="E5895" t="n">
        <v>7</v>
      </c>
      <c r="F5895" t="inlineStr">
        <is>
          <t>不做</t>
        </is>
      </c>
      <c r="H5895" t="n">
        <v>972</v>
      </c>
      <c r="J5895" t="n">
        <v>0</v>
      </c>
      <c r="K5895" t="inlineStr">
        <is>
          <t>组合风险已近10%，预算缩小</t>
        </is>
      </c>
    </row>
    <row r="5896">
      <c r="A5896" t="inlineStr">
        <is>
          <t>2026-07-28</t>
        </is>
      </c>
      <c r="B5896" t="inlineStr">
        <is>
          <t>生猪</t>
        </is>
      </c>
      <c r="C5896" t="inlineStr">
        <is>
          <t>空</t>
        </is>
      </c>
      <c r="D5896" t="n">
        <v>3</v>
      </c>
      <c r="E5896" t="n">
        <v>6</v>
      </c>
      <c r="F5896" t="inlineStr">
        <is>
          <t>续持</t>
        </is>
      </c>
      <c r="G5896" t="n">
        <v>2</v>
      </c>
      <c r="H5896" t="n">
        <v>10965</v>
      </c>
      <c r="I5896" t="n">
        <v>11599.64</v>
      </c>
      <c r="J5896" t="n">
        <v>3</v>
      </c>
      <c r="K5896" t="inlineStr">
        <is>
          <t>续持原仓（2026-07-22开）</t>
        </is>
      </c>
    </row>
    <row r="5897">
      <c r="A5897" t="inlineStr">
        <is>
          <t>2026-07-28</t>
        </is>
      </c>
      <c r="B5897" t="inlineStr">
        <is>
          <t>聚丙烯</t>
        </is>
      </c>
      <c r="C5897" t="inlineStr">
        <is>
          <t>多</t>
        </is>
      </c>
      <c r="D5897" t="n">
        <v>3</v>
      </c>
      <c r="E5897" t="n">
        <v>6</v>
      </c>
      <c r="F5897" t="inlineStr">
        <is>
          <t>观望</t>
        </is>
      </c>
      <c r="H5897" t="n">
        <v>8098</v>
      </c>
      <c r="J5897" t="n">
        <v>0</v>
      </c>
      <c r="K5897" t="inlineStr">
        <is>
          <t>逆5日线（收盘在5日线下，不追多）</t>
        </is>
      </c>
    </row>
    <row r="5898">
      <c r="A5898" t="inlineStr">
        <is>
          <t>2026-07-28</t>
        </is>
      </c>
      <c r="B5898" t="inlineStr">
        <is>
          <t>沪铜</t>
        </is>
      </c>
      <c r="C5898" t="inlineStr">
        <is>
          <t>多</t>
        </is>
      </c>
      <c r="D5898" t="n">
        <v>2</v>
      </c>
      <c r="E5898" t="n">
        <v>5</v>
      </c>
      <c r="F5898" t="inlineStr">
        <is>
          <t>观望</t>
        </is>
      </c>
      <c r="H5898" t="n">
        <v>104810</v>
      </c>
      <c r="J5898" t="n">
        <v>1</v>
      </c>
      <c r="K5898" t="inlineStr">
        <is>
          <t>逆5日线（收盘在5日线下，不追多）</t>
        </is>
      </c>
    </row>
    <row r="5899">
      <c r="A5899" t="inlineStr">
        <is>
          <t>2026-07-28</t>
        </is>
      </c>
      <c r="B5899" t="inlineStr">
        <is>
          <t>玻璃</t>
        </is>
      </c>
      <c r="C5899" t="inlineStr">
        <is>
          <t>空</t>
        </is>
      </c>
      <c r="D5899" t="n">
        <v>2</v>
      </c>
      <c r="E5899" t="n">
        <v>5</v>
      </c>
      <c r="F5899" t="inlineStr">
        <is>
          <t>影子仓</t>
        </is>
      </c>
      <c r="G5899" t="n">
        <v>8</v>
      </c>
      <c r="H5899" t="n">
        <v>888</v>
      </c>
      <c r="I5899" t="n">
        <v>946.5</v>
      </c>
      <c r="J5899" t="n">
        <v>1</v>
      </c>
      <c r="K5899" t="inlineStr">
        <is>
          <t>凯利≤0，开1%影子仓（只统计，不计入组合）</t>
        </is>
      </c>
    </row>
    <row r="5900">
      <c r="A5900" t="inlineStr">
        <is>
          <t>2026-07-28</t>
        </is>
      </c>
      <c r="B5900" t="inlineStr">
        <is>
          <t>豆粕</t>
        </is>
      </c>
      <c r="C5900" t="inlineStr">
        <is>
          <t>多</t>
        </is>
      </c>
      <c r="D5900" t="n">
        <v>2</v>
      </c>
      <c r="E5900" t="n">
        <v>4</v>
      </c>
      <c r="F5900" t="inlineStr">
        <is>
          <t>观望</t>
        </is>
      </c>
      <c r="G5900" t="n">
        <v>7</v>
      </c>
      <c r="H5900" t="n">
        <v>3101</v>
      </c>
      <c r="I5900" t="n">
        <v>2963</v>
      </c>
      <c r="J5900" t="n">
        <v>1</v>
      </c>
      <c r="K5900" t="inlineStr">
        <is>
          <t>逆5日线（收盘在5日线下，不追多）</t>
        </is>
      </c>
    </row>
    <row r="5901">
      <c r="A5901" t="inlineStr">
        <is>
          <t>2026-07-28</t>
        </is>
      </c>
      <c r="B5901" t="inlineStr">
        <is>
          <t>碳酸锂</t>
        </is>
      </c>
      <c r="C5901" t="inlineStr">
        <is>
          <t>空</t>
        </is>
      </c>
      <c r="D5901" t="n">
        <v>2</v>
      </c>
      <c r="E5901" t="n">
        <v>4</v>
      </c>
      <c r="F5901" t="inlineStr">
        <is>
          <t>不做</t>
        </is>
      </c>
      <c r="H5901" t="n">
        <v>143480</v>
      </c>
      <c r="J5901" t="n">
        <v>1</v>
      </c>
      <c r="K5901" t="inlineStr">
        <is>
          <t>1手风险20267元超过预算10000元</t>
        </is>
      </c>
    </row>
    <row r="5902">
      <c r="A5902" t="inlineStr">
        <is>
          <t>2026-07-28</t>
        </is>
      </c>
      <c r="B5902" t="inlineStr">
        <is>
          <t>PVC</t>
        </is>
      </c>
      <c r="C5902" t="inlineStr">
        <is>
          <t>多</t>
        </is>
      </c>
      <c r="D5902" t="n">
        <v>2</v>
      </c>
      <c r="E5902" t="n">
        <v>4</v>
      </c>
      <c r="F5902" t="inlineStr">
        <is>
          <t>观望</t>
        </is>
      </c>
      <c r="G5902" t="n">
        <v>5</v>
      </c>
      <c r="H5902" t="n">
        <v>4503</v>
      </c>
      <c r="I5902" t="n">
        <v>4145.79</v>
      </c>
      <c r="J5902" t="n">
        <v>1</v>
      </c>
      <c r="K5902" t="inlineStr">
        <is>
          <t>逆5日线（收盘在5日线下，不追多）</t>
        </is>
      </c>
    </row>
    <row r="5903">
      <c r="A5903" t="inlineStr">
        <is>
          <t>2026-07-29</t>
        </is>
      </c>
      <c r="B5903" t="inlineStr">
        <is>
          <t>玻璃</t>
        </is>
      </c>
      <c r="C5903" t="inlineStr">
        <is>
          <t>空</t>
        </is>
      </c>
      <c r="D5903" t="n">
        <v>3</v>
      </c>
      <c r="E5903" t="n">
        <v>7</v>
      </c>
      <c r="F5903" t="inlineStr">
        <is>
          <t>续持</t>
        </is>
      </c>
      <c r="G5903" t="n">
        <v>8</v>
      </c>
      <c r="H5903" t="n">
        <v>884</v>
      </c>
      <c r="I5903" t="n">
        <v>938.4299999999999</v>
      </c>
      <c r="J5903" t="n">
        <v>1</v>
      </c>
      <c r="K5903" t="inlineStr">
        <is>
          <t>续持原仓（2026-07-28开）</t>
        </is>
      </c>
    </row>
    <row r="5904">
      <c r="A5904" t="inlineStr">
        <is>
          <t>2026-07-29</t>
        </is>
      </c>
      <c r="B5904" t="inlineStr">
        <is>
          <t>聚丙烯</t>
        </is>
      </c>
      <c r="C5904" t="inlineStr">
        <is>
          <t>多</t>
        </is>
      </c>
      <c r="D5904" t="n">
        <v>3</v>
      </c>
      <c r="E5904" t="n">
        <v>7</v>
      </c>
      <c r="F5904" t="inlineStr">
        <is>
          <t>观望</t>
        </is>
      </c>
      <c r="H5904" t="n">
        <v>8214</v>
      </c>
      <c r="J5904" t="n">
        <v>0</v>
      </c>
      <c r="K5904" t="inlineStr">
        <is>
          <t>逆5日线（收盘在5日线下，不追多）</t>
        </is>
      </c>
    </row>
    <row r="5905">
      <c r="A5905" t="inlineStr">
        <is>
          <t>2026-07-29</t>
        </is>
      </c>
      <c r="B5905" t="inlineStr">
        <is>
          <t>纯碱</t>
        </is>
      </c>
      <c r="C5905" t="inlineStr">
        <is>
          <t>空</t>
        </is>
      </c>
      <c r="D5905" t="n">
        <v>3</v>
      </c>
      <c r="E5905" t="n">
        <v>6</v>
      </c>
      <c r="F5905" t="inlineStr">
        <is>
          <t>开仓</t>
        </is>
      </c>
      <c r="G5905" t="n">
        <v>24</v>
      </c>
      <c r="H5905" t="n">
        <v>960</v>
      </c>
      <c r="I5905" t="n">
        <v>1022.36</v>
      </c>
      <c r="J5905" t="n">
        <v>3</v>
      </c>
      <c r="K5905" t="inlineStr">
        <is>
          <t>¼凯利超上限，取3%</t>
        </is>
      </c>
    </row>
    <row r="5906">
      <c r="A5906" t="inlineStr">
        <is>
          <t>2026-07-29</t>
        </is>
      </c>
      <c r="B5906" t="inlineStr">
        <is>
          <t>白糖</t>
        </is>
      </c>
      <c r="C5906" t="inlineStr">
        <is>
          <t>空</t>
        </is>
      </c>
      <c r="D5906" t="n">
        <v>3</v>
      </c>
      <c r="E5906" t="n">
        <v>6</v>
      </c>
      <c r="F5906" t="inlineStr">
        <is>
          <t>不做</t>
        </is>
      </c>
      <c r="H5906" t="n">
        <v>5120</v>
      </c>
      <c r="J5906" t="n">
        <v>0</v>
      </c>
      <c r="K5906" t="inlineStr">
        <is>
          <t>组合风险已近10%，预算缩小</t>
        </is>
      </c>
    </row>
    <row r="5907">
      <c r="A5907" t="inlineStr">
        <is>
          <t>2026-07-29</t>
        </is>
      </c>
      <c r="B5907" t="inlineStr">
        <is>
          <t>豆粕</t>
        </is>
      </c>
      <c r="C5907" t="inlineStr">
        <is>
          <t>多</t>
        </is>
      </c>
      <c r="D5907" t="n">
        <v>2</v>
      </c>
      <c r="E5907" t="n">
        <v>5</v>
      </c>
      <c r="F5907" t="inlineStr">
        <is>
          <t>观望</t>
        </is>
      </c>
      <c r="G5907" t="n">
        <v>7</v>
      </c>
      <c r="H5907" t="n">
        <v>3109</v>
      </c>
      <c r="I5907" t="n">
        <v>2970.57</v>
      </c>
      <c r="J5907" t="n">
        <v>1</v>
      </c>
      <c r="K5907" t="inlineStr">
        <is>
          <t>逆5日线（收盘在5日线下，不追多）</t>
        </is>
      </c>
    </row>
    <row r="5908">
      <c r="A5908" t="inlineStr">
        <is>
          <t>2026-07-29</t>
        </is>
      </c>
      <c r="B5908" t="inlineStr">
        <is>
          <t>玉米淀粉</t>
        </is>
      </c>
      <c r="C5908" t="inlineStr">
        <is>
          <t>空</t>
        </is>
      </c>
      <c r="D5908" t="n">
        <v>2</v>
      </c>
      <c r="E5908" t="n">
        <v>5</v>
      </c>
      <c r="F5908" t="inlineStr">
        <is>
          <t>影子仓</t>
        </is>
      </c>
      <c r="G5908" t="n">
        <v>18</v>
      </c>
      <c r="H5908" t="n">
        <v>2632</v>
      </c>
      <c r="I5908" t="n">
        <v>2687.07</v>
      </c>
      <c r="J5908" t="n">
        <v>1</v>
      </c>
      <c r="K5908" t="inlineStr">
        <is>
          <t>凯利≤0，开1%影子仓（只统计，不计入组合）</t>
        </is>
      </c>
    </row>
    <row r="5909">
      <c r="A5909" t="inlineStr">
        <is>
          <t>2026-07-29</t>
        </is>
      </c>
      <c r="B5909" t="inlineStr">
        <is>
          <t>沪铜</t>
        </is>
      </c>
      <c r="C5909" t="inlineStr">
        <is>
          <t>多</t>
        </is>
      </c>
      <c r="D5909" t="n">
        <v>2</v>
      </c>
      <c r="E5909" t="n">
        <v>5</v>
      </c>
      <c r="F5909" t="inlineStr">
        <is>
          <t>观望</t>
        </is>
      </c>
      <c r="H5909" t="n">
        <v>104890</v>
      </c>
      <c r="J5909" t="n">
        <v>1</v>
      </c>
      <c r="K5909" t="inlineStr">
        <is>
          <t>逆5日线（收盘在5日线下，不追多）</t>
        </is>
      </c>
    </row>
    <row r="5910">
      <c r="A5910" t="inlineStr">
        <is>
          <t>2026-07-29</t>
        </is>
      </c>
      <c r="B5910" t="inlineStr">
        <is>
          <t>塑料</t>
        </is>
      </c>
      <c r="C5910" t="inlineStr">
        <is>
          <t>多</t>
        </is>
      </c>
      <c r="D5910" t="n">
        <v>2</v>
      </c>
      <c r="E5910" t="n">
        <v>5</v>
      </c>
      <c r="F5910" t="inlineStr">
        <is>
          <t>观望</t>
        </is>
      </c>
      <c r="G5910" t="n">
        <v>2</v>
      </c>
      <c r="H5910" t="n">
        <v>7705</v>
      </c>
      <c r="I5910" t="n">
        <v>6996.36</v>
      </c>
      <c r="J5910" t="n">
        <v>1</v>
      </c>
      <c r="K5910" t="inlineStr">
        <is>
          <t>逆5日线（收盘在5日线下，不追多）</t>
        </is>
      </c>
    </row>
    <row r="5911">
      <c r="A5911" t="inlineStr">
        <is>
          <t>2026-07-29</t>
        </is>
      </c>
      <c r="B5911" t="inlineStr">
        <is>
          <t>豆一</t>
        </is>
      </c>
      <c r="C5911" t="inlineStr">
        <is>
          <t>多</t>
        </is>
      </c>
      <c r="D5911" t="n">
        <v>2</v>
      </c>
      <c r="E5911" t="n">
        <v>4</v>
      </c>
      <c r="F5911" t="inlineStr">
        <is>
          <t>观望</t>
        </is>
      </c>
      <c r="G5911" t="n">
        <v>7</v>
      </c>
      <c r="H5911" t="n">
        <v>4713</v>
      </c>
      <c r="I5911" t="n">
        <v>4579.5</v>
      </c>
      <c r="J5911" t="n">
        <v>1</v>
      </c>
      <c r="K5911" t="inlineStr">
        <is>
          <t>逆5日线（收盘在5日线下，不追多）</t>
        </is>
      </c>
    </row>
    <row r="5912">
      <c r="A5912" t="inlineStr">
        <is>
          <t>2026-07-29</t>
        </is>
      </c>
      <c r="B5912" t="inlineStr">
        <is>
          <t>沪金</t>
        </is>
      </c>
      <c r="C5912" t="inlineStr">
        <is>
          <t>空</t>
        </is>
      </c>
      <c r="D5912" t="n">
        <v>2</v>
      </c>
      <c r="E5912" t="n">
        <v>4</v>
      </c>
      <c r="F5912" t="inlineStr">
        <is>
          <t>不做</t>
        </is>
      </c>
      <c r="H5912" t="n">
        <v>884.2</v>
      </c>
      <c r="J5912" t="n">
        <v>1</v>
      </c>
      <c r="K5912" t="inlineStr">
        <is>
          <t>1手风险43843元超过预算10000元</t>
        </is>
      </c>
    </row>
    <row r="5913">
      <c r="A5913" t="inlineStr">
        <is>
          <t>2026-07-30</t>
        </is>
      </c>
      <c r="B5913" t="inlineStr">
        <is>
          <t>白糖</t>
        </is>
      </c>
      <c r="C5913" t="inlineStr">
        <is>
          <t>空</t>
        </is>
      </c>
      <c r="D5913" t="n">
        <v>3</v>
      </c>
      <c r="E5913" t="n">
        <v>7</v>
      </c>
      <c r="F5913" t="inlineStr">
        <is>
          <t>开仓</t>
        </is>
      </c>
      <c r="G5913" t="n">
        <v>23</v>
      </c>
      <c r="H5913" t="n">
        <v>5089</v>
      </c>
      <c r="I5913" t="n">
        <v>5219.07</v>
      </c>
      <c r="J5913" t="n">
        <v>3</v>
      </c>
      <c r="K5913" t="inlineStr">
        <is>
          <t>¼凯利超上限，取3%</t>
        </is>
      </c>
    </row>
    <row r="5914">
      <c r="A5914" t="inlineStr">
        <is>
          <t>2026-07-30</t>
        </is>
      </c>
      <c r="B5914" t="inlineStr">
        <is>
          <t>聚丙烯</t>
        </is>
      </c>
      <c r="C5914" t="inlineStr">
        <is>
          <t>多</t>
        </is>
      </c>
      <c r="D5914" t="n">
        <v>3</v>
      </c>
      <c r="E5914" t="n">
        <v>7</v>
      </c>
      <c r="F5914" t="inlineStr">
        <is>
          <t>不做</t>
        </is>
      </c>
      <c r="H5914" t="n">
        <v>8364</v>
      </c>
      <c r="J5914" t="n">
        <v>0</v>
      </c>
      <c r="K5914" t="inlineStr">
        <is>
          <t>与沥青高度相关（同组≤3%），预算缩小</t>
        </is>
      </c>
    </row>
    <row r="5915">
      <c r="A5915" t="inlineStr">
        <is>
          <t>2026-07-30</t>
        </is>
      </c>
      <c r="B5915" t="inlineStr">
        <is>
          <t>玻璃</t>
        </is>
      </c>
      <c r="C5915" t="inlineStr">
        <is>
          <t>空</t>
        </is>
      </c>
      <c r="D5915" t="n">
        <v>3</v>
      </c>
      <c r="E5915" t="n">
        <v>6</v>
      </c>
      <c r="F5915" t="inlineStr">
        <is>
          <t>续持</t>
        </is>
      </c>
      <c r="G5915" t="n">
        <v>8</v>
      </c>
      <c r="H5915" t="n">
        <v>870</v>
      </c>
      <c r="I5915" t="n">
        <v>922.21</v>
      </c>
      <c r="J5915" t="n">
        <v>1</v>
      </c>
      <c r="K5915" t="inlineStr">
        <is>
          <t>续持原仓（2026-07-28开）</t>
        </is>
      </c>
    </row>
    <row r="5916">
      <c r="A5916" t="inlineStr">
        <is>
          <t>2026-07-30</t>
        </is>
      </c>
      <c r="B5916" t="inlineStr">
        <is>
          <t>乙二醇</t>
        </is>
      </c>
      <c r="C5916" t="inlineStr">
        <is>
          <t>多</t>
        </is>
      </c>
      <c r="D5916" t="n">
        <v>3</v>
      </c>
      <c r="E5916" t="n">
        <v>6</v>
      </c>
      <c r="F5916" t="inlineStr">
        <is>
          <t>不做</t>
        </is>
      </c>
      <c r="H5916" t="n">
        <v>5119</v>
      </c>
      <c r="J5916" t="n">
        <v>0</v>
      </c>
      <c r="K5916" t="inlineStr">
        <is>
          <t>组合风险已近10%，预算缩小</t>
        </is>
      </c>
    </row>
    <row r="5917">
      <c r="A5917" t="inlineStr">
        <is>
          <t>2026-07-30</t>
        </is>
      </c>
      <c r="B5917" t="inlineStr">
        <is>
          <t>沪铜</t>
        </is>
      </c>
      <c r="C5917" t="inlineStr">
        <is>
          <t>多</t>
        </is>
      </c>
      <c r="D5917" t="n">
        <v>3</v>
      </c>
      <c r="E5917" t="n">
        <v>6</v>
      </c>
      <c r="F5917" t="inlineStr">
        <is>
          <t>观望</t>
        </is>
      </c>
      <c r="H5917" t="n">
        <v>104690</v>
      </c>
      <c r="J5917" t="n">
        <v>0</v>
      </c>
      <c r="K5917" t="inlineStr">
        <is>
          <t>逆5日线（收盘在5日线下，不追多）</t>
        </is>
      </c>
    </row>
    <row r="5918">
      <c r="A5918" t="inlineStr">
        <is>
          <t>2026-07-30</t>
        </is>
      </c>
      <c r="B5918" t="inlineStr">
        <is>
          <t>甲醇</t>
        </is>
      </c>
      <c r="C5918" t="inlineStr">
        <is>
          <t>多</t>
        </is>
      </c>
      <c r="D5918" t="n">
        <v>3</v>
      </c>
      <c r="E5918" t="n">
        <v>6</v>
      </c>
      <c r="F5918" t="inlineStr">
        <is>
          <t>不做</t>
        </is>
      </c>
      <c r="H5918" t="n">
        <v>2657</v>
      </c>
      <c r="J5918" t="n">
        <v>0</v>
      </c>
      <c r="K5918" t="inlineStr">
        <is>
          <t>与沥青高度相关（同组≤3%），预算缩小</t>
        </is>
      </c>
    </row>
    <row r="5919">
      <c r="A5919" t="inlineStr">
        <is>
          <t>2026-07-30</t>
        </is>
      </c>
      <c r="B5919" t="inlineStr">
        <is>
          <t>塑料</t>
        </is>
      </c>
      <c r="C5919" t="inlineStr">
        <is>
          <t>多</t>
        </is>
      </c>
      <c r="D5919" t="n">
        <v>2</v>
      </c>
      <c r="E5919" t="n">
        <v>5</v>
      </c>
      <c r="F5919" t="inlineStr">
        <is>
          <t>续持</t>
        </is>
      </c>
      <c r="G5919" t="n">
        <v>3</v>
      </c>
      <c r="H5919" t="n">
        <v>7787</v>
      </c>
      <c r="I5919" t="n">
        <v>7425.79</v>
      </c>
      <c r="J5919" t="n">
        <v>1</v>
      </c>
      <c r="K5919" t="inlineStr">
        <is>
          <t>续持原仓（2026-07-22开）</t>
        </is>
      </c>
    </row>
    <row r="5920">
      <c r="A5920" t="inlineStr">
        <is>
          <t>2026-07-30</t>
        </is>
      </c>
      <c r="B5920" t="inlineStr">
        <is>
          <t>玉米淀粉</t>
        </is>
      </c>
      <c r="C5920" t="inlineStr">
        <is>
          <t>空</t>
        </is>
      </c>
      <c r="D5920" t="n">
        <v>2</v>
      </c>
      <c r="E5920" t="n">
        <v>4</v>
      </c>
      <c r="F5920" t="inlineStr">
        <is>
          <t>续持</t>
        </is>
      </c>
      <c r="G5920" t="n">
        <v>18</v>
      </c>
      <c r="H5920" t="n">
        <v>2627</v>
      </c>
      <c r="I5920" t="n">
        <v>2675</v>
      </c>
      <c r="J5920" t="n">
        <v>1</v>
      </c>
      <c r="K5920" t="inlineStr">
        <is>
          <t>续持原仓（2026-07-29开）</t>
        </is>
      </c>
    </row>
    <row r="5921">
      <c r="A5921" t="inlineStr">
        <is>
          <t>2026-07-30</t>
        </is>
      </c>
      <c r="B5921" t="inlineStr">
        <is>
          <t>工业硅</t>
        </is>
      </c>
      <c r="C5921" t="inlineStr">
        <is>
          <t>空</t>
        </is>
      </c>
      <c r="D5921" t="n">
        <v>2</v>
      </c>
      <c r="E5921" t="n">
        <v>4</v>
      </c>
      <c r="F5921" t="inlineStr">
        <is>
          <t>影子仓</t>
        </is>
      </c>
      <c r="G5921" t="n">
        <v>5</v>
      </c>
      <c r="H5921" t="n">
        <v>8175</v>
      </c>
      <c r="I5921" t="n">
        <v>8515.709999999999</v>
      </c>
      <c r="J5921" t="n">
        <v>1</v>
      </c>
      <c r="K5921" t="inlineStr">
        <is>
          <t>凯利≤0，开1%影子仓（只统计，不计入组合）</t>
        </is>
      </c>
    </row>
    <row r="5922">
      <c r="A5922" t="inlineStr">
        <is>
          <t>2026-07-31</t>
        </is>
      </c>
      <c r="B5922" t="inlineStr">
        <is>
          <t>纯碱</t>
        </is>
      </c>
      <c r="C5922" t="inlineStr">
        <is>
          <t>空</t>
        </is>
      </c>
      <c r="D5922" t="n">
        <v>3</v>
      </c>
      <c r="E5922" t="n">
        <v>7</v>
      </c>
      <c r="F5922" t="inlineStr">
        <is>
          <t>不做</t>
        </is>
      </c>
      <c r="H5922" t="n">
        <v>935</v>
      </c>
      <c r="J5922" t="n">
        <v>0</v>
      </c>
      <c r="K5922" t="inlineStr">
        <is>
          <t>组合风险已近10%，预算缩小</t>
        </is>
      </c>
    </row>
    <row r="5923">
      <c r="A5923" t="inlineStr">
        <is>
          <t>2026-07-31</t>
        </is>
      </c>
      <c r="B5923" t="inlineStr">
        <is>
          <t>白糖</t>
        </is>
      </c>
      <c r="C5923" t="inlineStr">
        <is>
          <t>空</t>
        </is>
      </c>
      <c r="D5923" t="n">
        <v>3</v>
      </c>
      <c r="E5923" t="n">
        <v>6</v>
      </c>
      <c r="F5923" t="inlineStr">
        <is>
          <t>续持</t>
        </is>
      </c>
      <c r="G5923" t="n">
        <v>23</v>
      </c>
      <c r="H5923" t="n">
        <v>5053</v>
      </c>
      <c r="I5923" t="n">
        <v>5182.07</v>
      </c>
      <c r="J5923" t="n">
        <v>3</v>
      </c>
      <c r="K5923" t="inlineStr">
        <is>
          <t>续持原仓（2026-07-30开）</t>
        </is>
      </c>
    </row>
    <row r="5924">
      <c r="A5924" t="inlineStr">
        <is>
          <t>2026-07-31</t>
        </is>
      </c>
      <c r="B5924" t="inlineStr">
        <is>
          <t>螺纹钢</t>
        </is>
      </c>
      <c r="C5924" t="inlineStr">
        <is>
          <t>空</t>
        </is>
      </c>
      <c r="D5924" t="n">
        <v>3</v>
      </c>
      <c r="E5924" t="n">
        <v>6</v>
      </c>
      <c r="F5924" t="inlineStr">
        <is>
          <t>不做</t>
        </is>
      </c>
      <c r="H5924" t="n">
        <v>3004</v>
      </c>
      <c r="J5924" t="n">
        <v>0</v>
      </c>
      <c r="K5924" t="inlineStr">
        <is>
          <t>组合风险已近10%，预算缩小</t>
        </is>
      </c>
    </row>
    <row r="5925">
      <c r="A5925" t="inlineStr">
        <is>
          <t>2026-07-31</t>
        </is>
      </c>
      <c r="B5925" t="inlineStr">
        <is>
          <t>生猪</t>
        </is>
      </c>
      <c r="C5925" t="inlineStr">
        <is>
          <t>空</t>
        </is>
      </c>
      <c r="D5925" t="n">
        <v>3</v>
      </c>
      <c r="E5925" t="n">
        <v>6</v>
      </c>
      <c r="F5925" t="inlineStr">
        <is>
          <t>不做</t>
        </is>
      </c>
      <c r="H5925" t="n">
        <v>10680</v>
      </c>
      <c r="J5925" t="n">
        <v>0</v>
      </c>
      <c r="K5925" t="inlineStr">
        <is>
          <t>组合风险已近10%，预算缩小</t>
        </is>
      </c>
    </row>
    <row r="5926">
      <c r="A5926" t="inlineStr">
        <is>
          <t>2026-07-31</t>
        </is>
      </c>
      <c r="B5926" t="inlineStr">
        <is>
          <t>聚丙烯</t>
        </is>
      </c>
      <c r="C5926" t="inlineStr">
        <is>
          <t>多</t>
        </is>
      </c>
      <c r="D5926" t="n">
        <v>3</v>
      </c>
      <c r="E5926" t="n">
        <v>6</v>
      </c>
      <c r="F5926" t="inlineStr">
        <is>
          <t>不做</t>
        </is>
      </c>
      <c r="H5926" t="n">
        <v>8310</v>
      </c>
      <c r="J5926" t="n">
        <v>0</v>
      </c>
      <c r="K5926" t="inlineStr">
        <is>
          <t>与沥青高度相关（同组≤3%），预算缩小</t>
        </is>
      </c>
    </row>
    <row r="5927">
      <c r="A5927" t="inlineStr">
        <is>
          <t>2026-07-31</t>
        </is>
      </c>
      <c r="B5927" t="inlineStr">
        <is>
          <t>沪铜</t>
        </is>
      </c>
      <c r="C5927" t="inlineStr">
        <is>
          <t>多</t>
        </is>
      </c>
      <c r="D5927" t="n">
        <v>2</v>
      </c>
      <c r="E5927" t="n">
        <v>5</v>
      </c>
      <c r="F5927" t="inlineStr">
        <is>
          <t>不做</t>
        </is>
      </c>
      <c r="H5927" t="n">
        <v>105460</v>
      </c>
      <c r="J5927" t="n">
        <v>1</v>
      </c>
      <c r="K5927" t="inlineStr">
        <is>
          <t>1手风险16886元超过预算10000元</t>
        </is>
      </c>
    </row>
    <row r="5928">
      <c r="A5928" t="inlineStr">
        <is>
          <t>2026-07-31</t>
        </is>
      </c>
      <c r="B5928" t="inlineStr">
        <is>
          <t>玉米淀粉</t>
        </is>
      </c>
      <c r="C5928" t="inlineStr">
        <is>
          <t>空</t>
        </is>
      </c>
      <c r="D5928" t="n">
        <v>2</v>
      </c>
      <c r="E5928" t="n">
        <v>4</v>
      </c>
      <c r="F5928" t="inlineStr">
        <is>
          <t>续持</t>
        </is>
      </c>
      <c r="G5928" t="n">
        <v>18</v>
      </c>
      <c r="H5928" t="n">
        <v>2627</v>
      </c>
      <c r="I5928" t="n">
        <v>2672.43</v>
      </c>
      <c r="J5928" t="n">
        <v>1</v>
      </c>
      <c r="K5928" t="inlineStr">
        <is>
          <t>续持原仓（2026-07-29开）</t>
        </is>
      </c>
    </row>
    <row r="5929">
      <c r="A5929" t="inlineStr">
        <is>
          <t>2026-07-31</t>
        </is>
      </c>
      <c r="B5929" t="inlineStr">
        <is>
          <t>塑料</t>
        </is>
      </c>
      <c r="C5929" t="inlineStr">
        <is>
          <t>多</t>
        </is>
      </c>
      <c r="D5929" t="n">
        <v>2</v>
      </c>
      <c r="E5929" t="n">
        <v>4</v>
      </c>
      <c r="F5929" t="inlineStr">
        <is>
          <t>续持</t>
        </is>
      </c>
      <c r="G5929" t="n">
        <v>3</v>
      </c>
      <c r="H5929" t="n">
        <v>7742</v>
      </c>
      <c r="I5929" t="n">
        <v>7425.79</v>
      </c>
      <c r="J5929" t="n">
        <v>1</v>
      </c>
      <c r="K5929" t="inlineStr">
        <is>
          <t>续持原仓（2026-07-22开）</t>
        </is>
      </c>
    </row>
    <row r="5930">
      <c r="A5930" t="inlineStr">
        <is>
          <t>2026-08-03</t>
        </is>
      </c>
      <c r="B5930" t="inlineStr">
        <is>
          <t>纯碱</t>
        </is>
      </c>
      <c r="C5930" t="inlineStr">
        <is>
          <t>空</t>
        </is>
      </c>
      <c r="D5930" t="n">
        <v>3</v>
      </c>
      <c r="E5930" t="n">
        <v>7</v>
      </c>
      <c r="F5930" t="inlineStr">
        <is>
          <t>不做</t>
        </is>
      </c>
      <c r="H5930" t="n">
        <v>919</v>
      </c>
      <c r="J5930" t="n">
        <v>0</v>
      </c>
      <c r="K5930" t="inlineStr">
        <is>
          <t>组合风险已近10%，预算缩小</t>
        </is>
      </c>
    </row>
    <row r="5931">
      <c r="A5931" t="inlineStr">
        <is>
          <t>2026-08-03</t>
        </is>
      </c>
      <c r="B5931" t="inlineStr">
        <is>
          <t>玻璃</t>
        </is>
      </c>
      <c r="C5931" t="inlineStr">
        <is>
          <t>空</t>
        </is>
      </c>
      <c r="D5931" t="n">
        <v>3</v>
      </c>
      <c r="E5931" t="n">
        <v>7</v>
      </c>
      <c r="F5931" t="inlineStr">
        <is>
          <t>不做</t>
        </is>
      </c>
      <c r="H5931" t="n">
        <v>868</v>
      </c>
      <c r="J5931" t="n">
        <v>0</v>
      </c>
      <c r="K5931" t="inlineStr">
        <is>
          <t>组合风险已近10%，预算缩小</t>
        </is>
      </c>
    </row>
    <row r="5932">
      <c r="A5932" t="inlineStr">
        <is>
          <t>2026-08-03</t>
        </is>
      </c>
      <c r="B5932" t="inlineStr">
        <is>
          <t>玉米淀粉</t>
        </is>
      </c>
      <c r="C5932" t="inlineStr">
        <is>
          <t>空</t>
        </is>
      </c>
      <c r="D5932" t="n">
        <v>3</v>
      </c>
      <c r="E5932" t="n">
        <v>6</v>
      </c>
      <c r="F5932" t="inlineStr">
        <is>
          <t>续持</t>
        </is>
      </c>
      <c r="G5932" t="n">
        <v>18</v>
      </c>
      <c r="H5932" t="n">
        <v>2606</v>
      </c>
      <c r="I5932" t="n">
        <v>2658</v>
      </c>
      <c r="J5932" t="n">
        <v>1</v>
      </c>
      <c r="K5932" t="inlineStr">
        <is>
          <t>续持原仓（2026-07-29开）</t>
        </is>
      </c>
    </row>
    <row r="5933">
      <c r="A5933" t="inlineStr">
        <is>
          <t>2026-08-03</t>
        </is>
      </c>
      <c r="B5933" t="inlineStr">
        <is>
          <t>白糖</t>
        </is>
      </c>
      <c r="C5933" t="inlineStr">
        <is>
          <t>空</t>
        </is>
      </c>
      <c r="D5933" t="n">
        <v>2</v>
      </c>
      <c r="E5933" t="n">
        <v>5</v>
      </c>
      <c r="F5933" t="inlineStr">
        <is>
          <t>续持</t>
        </is>
      </c>
      <c r="G5933" t="n">
        <v>23</v>
      </c>
      <c r="H5933" t="n">
        <v>5057</v>
      </c>
      <c r="I5933" t="n">
        <v>5178.86</v>
      </c>
      <c r="J5933" t="n">
        <v>3</v>
      </c>
      <c r="K5933" t="inlineStr">
        <is>
          <t>续持原仓（2026-07-30开）</t>
        </is>
      </c>
    </row>
    <row r="5934">
      <c r="A5934" t="inlineStr">
        <is>
          <t>2026-08-03</t>
        </is>
      </c>
      <c r="B5934" t="inlineStr">
        <is>
          <t>螺纹钢</t>
        </is>
      </c>
      <c r="C5934" t="inlineStr">
        <is>
          <t>空</t>
        </is>
      </c>
      <c r="D5934" t="n">
        <v>2</v>
      </c>
      <c r="E5934" t="n">
        <v>5</v>
      </c>
      <c r="F5934" t="inlineStr">
        <is>
          <t>影子仓</t>
        </is>
      </c>
      <c r="G5934" t="n">
        <v>11</v>
      </c>
      <c r="H5934" t="n">
        <v>2976</v>
      </c>
      <c r="I5934" t="n">
        <v>3060</v>
      </c>
      <c r="J5934" t="n">
        <v>1</v>
      </c>
      <c r="K5934" t="inlineStr">
        <is>
          <t>凯利≤0，开1%影子仓（只统计，不计入组合）</t>
        </is>
      </c>
    </row>
    <row r="5935">
      <c r="A5935" t="inlineStr">
        <is>
          <t>2026-08-03</t>
        </is>
      </c>
      <c r="B5935" t="inlineStr">
        <is>
          <t>沪铜</t>
        </is>
      </c>
      <c r="C5935" t="inlineStr">
        <is>
          <t>多</t>
        </is>
      </c>
      <c r="D5935" t="n">
        <v>2</v>
      </c>
      <c r="E5935" t="n">
        <v>5</v>
      </c>
      <c r="F5935" t="inlineStr">
        <is>
          <t>不做</t>
        </is>
      </c>
      <c r="H5935" t="n">
        <v>106120</v>
      </c>
      <c r="J5935" t="n">
        <v>1</v>
      </c>
      <c r="K5935" t="inlineStr">
        <is>
          <t>1手风险16596元超过预算10000元</t>
        </is>
      </c>
    </row>
    <row r="5936">
      <c r="A5936" t="inlineStr">
        <is>
          <t>2026-08-04</t>
        </is>
      </c>
      <c r="B5936" t="inlineStr">
        <is>
          <t>玉米</t>
        </is>
      </c>
      <c r="C5936" t="inlineStr">
        <is>
          <t>空</t>
        </is>
      </c>
      <c r="D5936" t="n">
        <v>3</v>
      </c>
      <c r="E5936" t="n">
        <v>6</v>
      </c>
      <c r="F5936" t="inlineStr">
        <is>
          <t>不做</t>
        </is>
      </c>
      <c r="H5936" t="n">
        <v>2243</v>
      </c>
      <c r="J5936" t="n">
        <v>0</v>
      </c>
      <c r="K5936" t="inlineStr">
        <is>
          <t>组合风险已近10%，预算缩小</t>
        </is>
      </c>
    </row>
    <row r="5937">
      <c r="A5937" t="inlineStr">
        <is>
          <t>2026-08-04</t>
        </is>
      </c>
      <c r="B5937" t="inlineStr">
        <is>
          <t>纯碱</t>
        </is>
      </c>
      <c r="C5937" t="inlineStr">
        <is>
          <t>空</t>
        </is>
      </c>
      <c r="D5937" t="n">
        <v>2</v>
      </c>
      <c r="E5937" t="n">
        <v>5</v>
      </c>
      <c r="F5937" t="inlineStr">
        <is>
          <t>影子仓</t>
        </is>
      </c>
      <c r="G5937" t="n">
        <v>7</v>
      </c>
      <c r="H5937" t="n">
        <v>922</v>
      </c>
      <c r="I5937" t="n">
        <v>986.71</v>
      </c>
      <c r="J5937" t="n">
        <v>1</v>
      </c>
      <c r="K5937" t="inlineStr">
        <is>
          <t>凯利≤0，开1%影子仓（只统计，不计入组合）</t>
        </is>
      </c>
    </row>
    <row r="5938">
      <c r="A5938" t="inlineStr">
        <is>
          <t>2026-08-04</t>
        </is>
      </c>
      <c r="B5938" t="inlineStr">
        <is>
          <t>螺纹钢</t>
        </is>
      </c>
      <c r="C5938" t="inlineStr">
        <is>
          <t>空</t>
        </is>
      </c>
      <c r="D5938" t="n">
        <v>2</v>
      </c>
      <c r="E5938" t="n">
        <v>5</v>
      </c>
      <c r="F5938" t="inlineStr">
        <is>
          <t>续持</t>
        </is>
      </c>
      <c r="G5938" t="n">
        <v>11</v>
      </c>
      <c r="H5938" t="n">
        <v>2983</v>
      </c>
      <c r="I5938" t="n">
        <v>3054.93</v>
      </c>
      <c r="J5938" t="n">
        <v>1</v>
      </c>
      <c r="K5938" t="inlineStr">
        <is>
          <t>续持原仓（2026-08-03开）</t>
        </is>
      </c>
    </row>
    <row r="5939">
      <c r="A5939" t="inlineStr">
        <is>
          <t>2026-08-04</t>
        </is>
      </c>
      <c r="B5939" t="inlineStr">
        <is>
          <t>热卷</t>
        </is>
      </c>
      <c r="C5939" t="inlineStr">
        <is>
          <t>空</t>
        </is>
      </c>
      <c r="D5939" t="n">
        <v>2</v>
      </c>
      <c r="E5939" t="n">
        <v>5</v>
      </c>
      <c r="F5939" t="inlineStr">
        <is>
          <t>影子仓</t>
        </is>
      </c>
      <c r="G5939" t="n">
        <v>12</v>
      </c>
      <c r="H5939" t="n">
        <v>3201</v>
      </c>
      <c r="I5939" t="n">
        <v>3282.21</v>
      </c>
      <c r="J5939" t="n">
        <v>1</v>
      </c>
      <c r="K5939" t="inlineStr">
        <is>
          <t>凯利≤0，开1%影子仓（只统计，不计入组合）</t>
        </is>
      </c>
    </row>
    <row r="5940">
      <c r="A5940" t="inlineStr">
        <is>
          <t>2026-08-04</t>
        </is>
      </c>
      <c r="B5940" t="inlineStr">
        <is>
          <t>沪铝</t>
        </is>
      </c>
      <c r="C5940" t="inlineStr">
        <is>
          <t>多</t>
        </is>
      </c>
      <c r="D5940" t="n">
        <v>2</v>
      </c>
      <c r="E5940" t="n">
        <v>5</v>
      </c>
      <c r="F5940" t="inlineStr">
        <is>
          <t>影子仓</t>
        </is>
      </c>
      <c r="G5940" t="n">
        <v>2</v>
      </c>
      <c r="H5940" t="n">
        <v>23810</v>
      </c>
      <c r="I5940" t="n">
        <v>23067.5</v>
      </c>
      <c r="J5940" t="n">
        <v>1</v>
      </c>
      <c r="K5940" t="inlineStr">
        <is>
          <t>凯利≤0，开1%影子仓（只统计，不计入组合）</t>
        </is>
      </c>
    </row>
    <row r="5941">
      <c r="A5941" t="inlineStr">
        <is>
          <t>2026-08-04</t>
        </is>
      </c>
      <c r="B5941" t="inlineStr">
        <is>
          <t>白糖</t>
        </is>
      </c>
      <c r="C5941" t="inlineStr">
        <is>
          <t>空</t>
        </is>
      </c>
      <c r="D5941" t="n">
        <v>2</v>
      </c>
      <c r="E5941" t="n">
        <v>4</v>
      </c>
      <c r="F5941" t="inlineStr">
        <is>
          <t>观望</t>
        </is>
      </c>
      <c r="G5941" t="n">
        <v>7</v>
      </c>
      <c r="H5941" t="n">
        <v>5086</v>
      </c>
      <c r="I5941" t="n">
        <v>5221.21</v>
      </c>
      <c r="J5941" t="n">
        <v>1</v>
      </c>
      <c r="K5941" t="inlineStr">
        <is>
          <t>逆5日线（收盘在5日线上，不追空）</t>
        </is>
      </c>
    </row>
    <row r="5942">
      <c r="A5942" t="inlineStr">
        <is>
          <t>2026-08-04</t>
        </is>
      </c>
      <c r="B5942" t="inlineStr">
        <is>
          <t>乙二醇</t>
        </is>
      </c>
      <c r="C5942" t="inlineStr">
        <is>
          <t>多</t>
        </is>
      </c>
      <c r="D5942" t="n">
        <v>2</v>
      </c>
      <c r="E5942" t="n">
        <v>4</v>
      </c>
      <c r="F5942" t="inlineStr">
        <is>
          <t>观望</t>
        </is>
      </c>
      <c r="G5942" t="n">
        <v>1</v>
      </c>
      <c r="H5942" t="n">
        <v>4831</v>
      </c>
      <c r="I5942" t="n">
        <v>4291.43</v>
      </c>
      <c r="J5942" t="n">
        <v>1</v>
      </c>
      <c r="K5942" t="inlineStr">
        <is>
          <t>逆5日线（收盘在5日线下，不追多）</t>
        </is>
      </c>
    </row>
    <row r="5943">
      <c r="A5943" t="inlineStr">
        <is>
          <t>2026-08-04</t>
        </is>
      </c>
      <c r="B5943" t="inlineStr">
        <is>
          <t>沥青</t>
        </is>
      </c>
      <c r="C5943" t="inlineStr">
        <is>
          <t>多</t>
        </is>
      </c>
      <c r="D5943" t="n">
        <v>2</v>
      </c>
      <c r="E5943" t="n">
        <v>4</v>
      </c>
      <c r="F5943" t="inlineStr">
        <is>
          <t>续持</t>
        </is>
      </c>
      <c r="G5943" t="n">
        <v>7</v>
      </c>
      <c r="H5943" t="n">
        <v>4138</v>
      </c>
      <c r="I5943" t="n">
        <v>4036.71</v>
      </c>
      <c r="J5943" t="n">
        <v>3</v>
      </c>
      <c r="K5943" t="inlineStr">
        <is>
          <t>续持原仓（2026-07-23开）</t>
        </is>
      </c>
    </row>
    <row r="5944">
      <c r="A5944" t="inlineStr">
        <is>
          <t>2026-08-04</t>
        </is>
      </c>
      <c r="B5944" t="inlineStr">
        <is>
          <t>苯乙烯</t>
        </is>
      </c>
      <c r="C5944" t="inlineStr">
        <is>
          <t>多</t>
        </is>
      </c>
      <c r="D5944" t="n">
        <v>2</v>
      </c>
      <c r="E5944" t="n">
        <v>4</v>
      </c>
      <c r="F5944" t="inlineStr">
        <is>
          <t>观望</t>
        </is>
      </c>
      <c r="G5944" t="n">
        <v>2</v>
      </c>
      <c r="H5944" t="n">
        <v>8448</v>
      </c>
      <c r="I5944" t="n">
        <v>7528.71</v>
      </c>
      <c r="J5944" t="n">
        <v>1</v>
      </c>
      <c r="K5944" t="inlineStr">
        <is>
          <t>逆5日线（收盘在5日线下，不追多）</t>
        </is>
      </c>
    </row>
    <row r="5945">
      <c r="A5945" t="inlineStr">
        <is>
          <t>2026-08-05</t>
        </is>
      </c>
      <c r="B5945" t="inlineStr">
        <is>
          <t>热卷</t>
        </is>
      </c>
      <c r="C5945" t="inlineStr">
        <is>
          <t>空</t>
        </is>
      </c>
      <c r="D5945" t="n">
        <v>3</v>
      </c>
      <c r="E5945" t="n">
        <v>6</v>
      </c>
      <c r="F5945" t="inlineStr">
        <is>
          <t>续持</t>
        </is>
      </c>
      <c r="G5945" t="n">
        <v>12</v>
      </c>
      <c r="H5945" t="n">
        <v>3207</v>
      </c>
      <c r="I5945" t="n">
        <v>3271.07</v>
      </c>
      <c r="J5945" t="n">
        <v>1</v>
      </c>
      <c r="K5945" t="inlineStr">
        <is>
          <t>续持原仓（2026-08-04开）</t>
        </is>
      </c>
    </row>
    <row r="5946">
      <c r="A5946" t="inlineStr">
        <is>
          <t>2026-08-05</t>
        </is>
      </c>
      <c r="B5946" t="inlineStr">
        <is>
          <t>玉米淀粉</t>
        </is>
      </c>
      <c r="C5946" t="inlineStr">
        <is>
          <t>空</t>
        </is>
      </c>
      <c r="D5946" t="n">
        <v>2</v>
      </c>
      <c r="E5946" t="n">
        <v>5</v>
      </c>
      <c r="F5946" t="inlineStr">
        <is>
          <t>影子仓</t>
        </is>
      </c>
      <c r="G5946" t="n">
        <v>18</v>
      </c>
      <c r="H5946" t="n">
        <v>2605</v>
      </c>
      <c r="I5946" t="n">
        <v>2660.29</v>
      </c>
      <c r="J5946" t="n">
        <v>1</v>
      </c>
      <c r="K5946" t="inlineStr">
        <is>
          <t>凯利≤0，开1%影子仓（只统计，不计入组合）</t>
        </is>
      </c>
    </row>
    <row r="5947">
      <c r="A5947" t="inlineStr">
        <is>
          <t>2026-08-05</t>
        </is>
      </c>
      <c r="B5947" t="inlineStr">
        <is>
          <t>玉米</t>
        </is>
      </c>
      <c r="C5947" t="inlineStr">
        <is>
          <t>空</t>
        </is>
      </c>
      <c r="D5947" t="n">
        <v>2</v>
      </c>
      <c r="E5947" t="n">
        <v>5</v>
      </c>
      <c r="F5947" t="inlineStr">
        <is>
          <t>影子仓</t>
        </is>
      </c>
      <c r="G5947" t="n">
        <v>21</v>
      </c>
      <c r="H5947" t="n">
        <v>2251</v>
      </c>
      <c r="I5947" t="n">
        <v>2297.5</v>
      </c>
      <c r="J5947" t="n">
        <v>1</v>
      </c>
      <c r="K5947" t="inlineStr">
        <is>
          <t>凯利≤0，开1%影子仓（只统计，不计入组合）</t>
        </is>
      </c>
    </row>
    <row r="5948">
      <c r="A5948" t="inlineStr">
        <is>
          <t>2026-08-05</t>
        </is>
      </c>
      <c r="B5948" t="inlineStr">
        <is>
          <t>沪铝</t>
        </is>
      </c>
      <c r="C5948" t="inlineStr">
        <is>
          <t>多</t>
        </is>
      </c>
      <c r="D5948" t="n">
        <v>2</v>
      </c>
      <c r="E5948" t="n">
        <v>5</v>
      </c>
      <c r="F5948" t="inlineStr">
        <is>
          <t>续持</t>
        </is>
      </c>
      <c r="G5948" t="n">
        <v>2</v>
      </c>
      <c r="H5948" t="n">
        <v>23785</v>
      </c>
      <c r="I5948" t="n">
        <v>23098.57</v>
      </c>
      <c r="J5948" t="n">
        <v>1</v>
      </c>
      <c r="K5948" t="inlineStr">
        <is>
          <t>续持原仓（2026-08-04开）</t>
        </is>
      </c>
    </row>
    <row r="5949">
      <c r="A5949" t="inlineStr">
        <is>
          <t>2026-08-05</t>
        </is>
      </c>
      <c r="B5949" t="inlineStr">
        <is>
          <t>豆一</t>
        </is>
      </c>
      <c r="C5949" t="inlineStr">
        <is>
          <t>多</t>
        </is>
      </c>
      <c r="D5949" t="n">
        <v>2</v>
      </c>
      <c r="E5949" t="n">
        <v>4</v>
      </c>
      <c r="F5949" t="inlineStr">
        <is>
          <t>影子仓</t>
        </is>
      </c>
      <c r="G5949" t="n">
        <v>8</v>
      </c>
      <c r="H5949" t="n">
        <v>4717</v>
      </c>
      <c r="I5949" t="n">
        <v>4592.71</v>
      </c>
      <c r="J5949" t="n">
        <v>1</v>
      </c>
      <c r="K5949" t="inlineStr">
        <is>
          <t>凯利≤0，开1%影子仓（只统计，不计入组合）</t>
        </is>
      </c>
    </row>
    <row r="5950">
      <c r="A5950" t="inlineStr">
        <is>
          <t>2026-08-05</t>
        </is>
      </c>
      <c r="B5950" t="inlineStr">
        <is>
          <t>硅铁</t>
        </is>
      </c>
      <c r="C5950" t="inlineStr">
        <is>
          <t>多</t>
        </is>
      </c>
      <c r="D5950" t="n">
        <v>2</v>
      </c>
      <c r="E5950" t="n">
        <v>4</v>
      </c>
      <c r="F5950" t="inlineStr">
        <is>
          <t>影子仓</t>
        </is>
      </c>
      <c r="G5950" t="n">
        <v>6</v>
      </c>
      <c r="H5950" t="n">
        <v>5880</v>
      </c>
      <c r="I5950" t="n">
        <v>5565</v>
      </c>
      <c r="J5950" t="n">
        <v>1</v>
      </c>
      <c r="K5950" t="inlineStr">
        <is>
          <t>凯利≤0，开1%影子仓（只统计，不计入组合）</t>
        </is>
      </c>
    </row>
    <row r="5951">
      <c r="A5951" t="inlineStr">
        <is>
          <t>2026-08-06</t>
        </is>
      </c>
      <c r="B5951" t="inlineStr">
        <is>
          <t>菜油</t>
        </is>
      </c>
      <c r="C5951" t="inlineStr">
        <is>
          <t>多</t>
        </is>
      </c>
      <c r="D5951" t="n">
        <v>3</v>
      </c>
      <c r="E5951" t="n">
        <v>6</v>
      </c>
      <c r="F5951" t="inlineStr">
        <is>
          <t>开仓</t>
        </is>
      </c>
      <c r="G5951" t="n">
        <v>6</v>
      </c>
      <c r="H5951" t="n">
        <v>10151</v>
      </c>
      <c r="I5951" t="n">
        <v>9712.57</v>
      </c>
      <c r="J5951" t="n">
        <v>3</v>
      </c>
      <c r="K5951" t="inlineStr">
        <is>
          <t>¼凯利超上限，取3%</t>
        </is>
      </c>
    </row>
    <row r="5952">
      <c r="A5952" t="inlineStr">
        <is>
          <t>2026-08-06</t>
        </is>
      </c>
      <c r="B5952" t="inlineStr">
        <is>
          <t>玉米</t>
        </is>
      </c>
      <c r="C5952" t="inlineStr">
        <is>
          <t>空</t>
        </is>
      </c>
      <c r="D5952" t="n">
        <v>3</v>
      </c>
      <c r="E5952" t="n">
        <v>6</v>
      </c>
      <c r="F5952" t="inlineStr">
        <is>
          <t>续持</t>
        </is>
      </c>
      <c r="G5952" t="n">
        <v>21</v>
      </c>
      <c r="H5952" t="n">
        <v>2240</v>
      </c>
      <c r="I5952" t="n">
        <v>2282.79</v>
      </c>
      <c r="J5952" t="n">
        <v>1</v>
      </c>
      <c r="K5952" t="inlineStr">
        <is>
          <t>续持原仓（2026-08-05开）</t>
        </is>
      </c>
    </row>
    <row r="5953">
      <c r="A5953" t="inlineStr">
        <is>
          <t>2026-08-06</t>
        </is>
      </c>
      <c r="B5953" t="inlineStr">
        <is>
          <t>白糖</t>
        </is>
      </c>
      <c r="C5953" t="inlineStr">
        <is>
          <t>空</t>
        </is>
      </c>
      <c r="D5953" t="n">
        <v>2</v>
      </c>
      <c r="E5953" t="n">
        <v>5</v>
      </c>
      <c r="F5953" t="inlineStr">
        <is>
          <t>观望</t>
        </is>
      </c>
      <c r="G5953" t="n">
        <v>8</v>
      </c>
      <c r="H5953" t="n">
        <v>5122</v>
      </c>
      <c r="I5953" t="n">
        <v>5246.5</v>
      </c>
      <c r="J5953" t="n">
        <v>1</v>
      </c>
      <c r="K5953" t="inlineStr">
        <is>
          <t>逆5日线（收盘在5日线上，不追空）</t>
        </is>
      </c>
    </row>
    <row r="5954">
      <c r="A5954" t="inlineStr">
        <is>
          <t>2026-08-06</t>
        </is>
      </c>
      <c r="B5954" t="inlineStr">
        <is>
          <t>沪铝</t>
        </is>
      </c>
      <c r="C5954" t="inlineStr">
        <is>
          <t>多</t>
        </is>
      </c>
      <c r="D5954" t="n">
        <v>2</v>
      </c>
      <c r="E5954" t="n">
        <v>5</v>
      </c>
      <c r="F5954" t="inlineStr">
        <is>
          <t>续持</t>
        </is>
      </c>
      <c r="G5954" t="n">
        <v>2</v>
      </c>
      <c r="H5954" t="n">
        <v>23810</v>
      </c>
      <c r="I5954" t="n">
        <v>23156.07</v>
      </c>
      <c r="J5954" t="n">
        <v>1</v>
      </c>
      <c r="K5954" t="inlineStr">
        <is>
          <t>续持原仓（2026-08-04开）</t>
        </is>
      </c>
    </row>
    <row r="5955">
      <c r="A5955" t="inlineStr">
        <is>
          <t>2026-08-06</t>
        </is>
      </c>
      <c r="B5955" t="inlineStr">
        <is>
          <t>沪铜</t>
        </is>
      </c>
      <c r="C5955" t="inlineStr">
        <is>
          <t>多</t>
        </is>
      </c>
      <c r="D5955" t="n">
        <v>2</v>
      </c>
      <c r="E5955" t="n">
        <v>4</v>
      </c>
      <c r="F5955" t="inlineStr">
        <is>
          <t>不做</t>
        </is>
      </c>
      <c r="H5955" t="n">
        <v>107330</v>
      </c>
      <c r="J5955" t="n">
        <v>1</v>
      </c>
      <c r="K5955" t="inlineStr">
        <is>
          <t>1手风险16425元超过预算10000元</t>
        </is>
      </c>
    </row>
    <row r="5956">
      <c r="A5956" t="inlineStr">
        <is>
          <t>2026-08-07</t>
        </is>
      </c>
      <c r="B5956" t="inlineStr">
        <is>
          <t>沪铝</t>
        </is>
      </c>
      <c r="C5956" t="inlineStr">
        <is>
          <t>多</t>
        </is>
      </c>
      <c r="D5956" t="n">
        <v>3</v>
      </c>
      <c r="E5956" t="n">
        <v>7</v>
      </c>
      <c r="F5956" t="inlineStr">
        <is>
          <t>续持</t>
        </is>
      </c>
      <c r="G5956" t="n">
        <v>2</v>
      </c>
      <c r="H5956" t="n">
        <v>24040</v>
      </c>
      <c r="I5956" t="n">
        <v>23414.29</v>
      </c>
      <c r="J5956" t="n">
        <v>1</v>
      </c>
      <c r="K5956" t="inlineStr">
        <is>
          <t>续持原仓（2026-08-04开）</t>
        </is>
      </c>
    </row>
    <row r="5957">
      <c r="A5957" t="inlineStr">
        <is>
          <t>2026-08-07</t>
        </is>
      </c>
      <c r="B5957" t="inlineStr">
        <is>
          <t>纯碱</t>
        </is>
      </c>
      <c r="C5957" t="inlineStr">
        <is>
          <t>空</t>
        </is>
      </c>
      <c r="D5957" t="n">
        <v>2</v>
      </c>
      <c r="E5957" t="n">
        <v>5</v>
      </c>
      <c r="F5957" t="inlineStr">
        <is>
          <t>观望</t>
        </is>
      </c>
      <c r="G5957" t="n">
        <v>8</v>
      </c>
      <c r="H5957" t="n">
        <v>939</v>
      </c>
      <c r="I5957" t="n">
        <v>998.79</v>
      </c>
      <c r="J5957" t="n">
        <v>1</v>
      </c>
      <c r="K5957" t="inlineStr">
        <is>
          <t>逆5日线（收盘在5日线上，不追空）</t>
        </is>
      </c>
    </row>
    <row r="5958">
      <c r="A5958" t="inlineStr">
        <is>
          <t>2026-08-07</t>
        </is>
      </c>
      <c r="B5958" t="inlineStr">
        <is>
          <t>沪铜</t>
        </is>
      </c>
      <c r="C5958" t="inlineStr">
        <is>
          <t>多</t>
        </is>
      </c>
      <c r="D5958" t="n">
        <v>2</v>
      </c>
      <c r="E5958" t="n">
        <v>5</v>
      </c>
      <c r="F5958" t="inlineStr">
        <is>
          <t>不做</t>
        </is>
      </c>
      <c r="H5958" t="n">
        <v>108400</v>
      </c>
      <c r="J5958" t="n">
        <v>1</v>
      </c>
      <c r="K5958" t="inlineStr">
        <is>
          <t>1手风险16382元超过预算10000元</t>
        </is>
      </c>
    </row>
    <row r="5959">
      <c r="A5959" t="inlineStr">
        <is>
          <t>2026-08-07</t>
        </is>
      </c>
      <c r="B5959" t="inlineStr">
        <is>
          <t>玉米</t>
        </is>
      </c>
      <c r="C5959" t="inlineStr">
        <is>
          <t>空</t>
        </is>
      </c>
      <c r="D5959" t="n">
        <v>2</v>
      </c>
      <c r="E5959" t="n">
        <v>5</v>
      </c>
      <c r="F5959" t="inlineStr">
        <is>
          <t>续持</t>
        </is>
      </c>
      <c r="G5959" t="n">
        <v>21</v>
      </c>
      <c r="H5959" t="n">
        <v>2245</v>
      </c>
      <c r="I5959" t="n">
        <v>2278.29</v>
      </c>
      <c r="J5959" t="n">
        <v>1</v>
      </c>
      <c r="K5959" t="inlineStr">
        <is>
          <t>续持原仓（2026-08-05开）</t>
        </is>
      </c>
    </row>
    <row r="5960">
      <c r="A5960" t="inlineStr">
        <is>
          <t>2026-08-07</t>
        </is>
      </c>
      <c r="B5960" t="inlineStr">
        <is>
          <t>热卷</t>
        </is>
      </c>
      <c r="C5960" t="inlineStr">
        <is>
          <t>空</t>
        </is>
      </c>
      <c r="D5960" t="n">
        <v>2</v>
      </c>
      <c r="E5960" t="n">
        <v>5</v>
      </c>
      <c r="F5960" t="inlineStr">
        <is>
          <t>观望</t>
        </is>
      </c>
      <c r="G5960" t="n">
        <v>11</v>
      </c>
      <c r="H5960" t="n">
        <v>3243</v>
      </c>
      <c r="I5960" t="n">
        <v>3331.5</v>
      </c>
      <c r="J5960" t="n">
        <v>1</v>
      </c>
      <c r="K5960" t="inlineStr">
        <is>
          <t>逆5日线（收盘在5日线上，不追空）</t>
        </is>
      </c>
    </row>
    <row r="5961">
      <c r="A5961" t="inlineStr">
        <is>
          <t>2026-08-07</t>
        </is>
      </c>
      <c r="B5961" t="inlineStr">
        <is>
          <t>沪银</t>
        </is>
      </c>
      <c r="C5961" t="inlineStr">
        <is>
          <t>多</t>
        </is>
      </c>
      <c r="D5961" t="n">
        <v>2</v>
      </c>
      <c r="E5961" t="n">
        <v>4</v>
      </c>
      <c r="F5961" t="inlineStr">
        <is>
          <t>不做</t>
        </is>
      </c>
      <c r="H5961" t="n">
        <v>15635</v>
      </c>
      <c r="J5961" t="n">
        <v>1</v>
      </c>
      <c r="K5961" t="inlineStr">
        <is>
          <t>1手风险25110元超过预算10000元</t>
        </is>
      </c>
    </row>
    <row r="5962">
      <c r="A5962" t="inlineStr">
        <is>
          <t>2026-08-07</t>
        </is>
      </c>
      <c r="B5962" t="inlineStr">
        <is>
          <t>豆一</t>
        </is>
      </c>
      <c r="C5962" t="inlineStr">
        <is>
          <t>空</t>
        </is>
      </c>
      <c r="D5962" t="n">
        <v>2</v>
      </c>
      <c r="E5962" t="n">
        <v>4</v>
      </c>
      <c r="F5962" t="inlineStr">
        <is>
          <t>观望</t>
        </is>
      </c>
      <c r="G5962" t="n">
        <v>6</v>
      </c>
      <c r="H5962" t="n">
        <v>4875</v>
      </c>
      <c r="I5962" t="n">
        <v>5024.57</v>
      </c>
      <c r="J5962" t="n">
        <v>1</v>
      </c>
      <c r="K5962" t="inlineStr">
        <is>
          <t>逆5日线（收盘在5日线上，不追空）</t>
        </is>
      </c>
    </row>
    <row r="5963">
      <c r="A5963" t="inlineStr">
        <is>
          <t>2026-08-07</t>
        </is>
      </c>
      <c r="B5963" t="inlineStr">
        <is>
          <t>纸浆</t>
        </is>
      </c>
      <c r="C5963" t="inlineStr">
        <is>
          <t>空</t>
        </is>
      </c>
      <c r="D5963" t="n">
        <v>2</v>
      </c>
      <c r="E5963" t="n">
        <v>4</v>
      </c>
      <c r="F5963" t="inlineStr">
        <is>
          <t>影子仓</t>
        </is>
      </c>
      <c r="G5963" t="n">
        <v>5</v>
      </c>
      <c r="H5963" t="n">
        <v>4658</v>
      </c>
      <c r="I5963" t="n">
        <v>4831.57</v>
      </c>
      <c r="J5963" t="n">
        <v>1</v>
      </c>
      <c r="K5963" t="inlineStr">
        <is>
          <t>凯利≤0，开1%影子仓（只统计，不计入组合）</t>
        </is>
      </c>
    </row>
    <row r="5964">
      <c r="A5964" t="inlineStr">
        <is>
          <t>2026-08-10</t>
        </is>
      </c>
      <c r="B5964" t="inlineStr">
        <is>
          <t>沪金</t>
        </is>
      </c>
      <c r="C5964" t="inlineStr">
        <is>
          <t>多</t>
        </is>
      </c>
      <c r="D5964" t="n">
        <v>3</v>
      </c>
      <c r="E5964" t="n">
        <v>7</v>
      </c>
      <c r="F5964" t="inlineStr">
        <is>
          <t>不做</t>
        </is>
      </c>
      <c r="H5964" t="n">
        <v>948.2</v>
      </c>
      <c r="J5964" t="n">
        <v>3</v>
      </c>
      <c r="K5964" t="inlineStr">
        <is>
          <t>1手风险49736元超过预算30000元</t>
        </is>
      </c>
    </row>
    <row r="5965">
      <c r="A5965" t="inlineStr">
        <is>
          <t>2026-08-10</t>
        </is>
      </c>
      <c r="B5965" t="inlineStr">
        <is>
          <t>纸浆</t>
        </is>
      </c>
      <c r="C5965" t="inlineStr">
        <is>
          <t>空</t>
        </is>
      </c>
      <c r="D5965" t="n">
        <v>3</v>
      </c>
      <c r="E5965" t="n">
        <v>7</v>
      </c>
      <c r="F5965" t="inlineStr">
        <is>
          <t>续持</t>
        </is>
      </c>
      <c r="G5965" t="n">
        <v>5</v>
      </c>
      <c r="H5965" t="n">
        <v>4642</v>
      </c>
      <c r="I5965" t="n">
        <v>4806.86</v>
      </c>
      <c r="J5965" t="n">
        <v>1</v>
      </c>
      <c r="K5965" t="inlineStr">
        <is>
          <t>续持原仓（2026-08-07开）</t>
        </is>
      </c>
    </row>
    <row r="5966">
      <c r="A5966" t="inlineStr">
        <is>
          <t>2026-08-10</t>
        </is>
      </c>
      <c r="B5966" t="inlineStr">
        <is>
          <t>沪银</t>
        </is>
      </c>
      <c r="C5966" t="inlineStr">
        <is>
          <t>多</t>
        </is>
      </c>
      <c r="D5966" t="n">
        <v>3</v>
      </c>
      <c r="E5966" t="n">
        <v>7</v>
      </c>
      <c r="F5966" t="inlineStr">
        <is>
          <t>开仓</t>
        </is>
      </c>
      <c r="G5966" t="n">
        <v>1</v>
      </c>
      <c r="H5966" t="n">
        <v>15705</v>
      </c>
      <c r="I5966" t="n">
        <v>14077.07</v>
      </c>
      <c r="J5966" t="n">
        <v>3</v>
      </c>
      <c r="K5966" t="inlineStr">
        <is>
          <t>¼凯利超上限，取3%</t>
        </is>
      </c>
    </row>
    <row r="5967">
      <c r="A5967" t="inlineStr">
        <is>
          <t>2026-08-10</t>
        </is>
      </c>
      <c r="B5967" t="inlineStr">
        <is>
          <t>沪铝</t>
        </is>
      </c>
      <c r="C5967" t="inlineStr">
        <is>
          <t>多</t>
        </is>
      </c>
      <c r="D5967" t="n">
        <v>3</v>
      </c>
      <c r="E5967" t="n">
        <v>7</v>
      </c>
      <c r="F5967" t="inlineStr">
        <is>
          <t>续持</t>
        </is>
      </c>
      <c r="G5967" t="n">
        <v>2</v>
      </c>
      <c r="H5967" t="n">
        <v>24165</v>
      </c>
      <c r="I5967" t="n">
        <v>23467.5</v>
      </c>
      <c r="J5967" t="n">
        <v>1</v>
      </c>
      <c r="K5967" t="inlineStr">
        <is>
          <t>续持原仓（2026-08-04开）</t>
        </is>
      </c>
    </row>
    <row r="5968">
      <c r="A5968" t="inlineStr">
        <is>
          <t>2026-08-10</t>
        </is>
      </c>
      <c r="B5968" t="inlineStr">
        <is>
          <t>沪铜</t>
        </is>
      </c>
      <c r="C5968" t="inlineStr">
        <is>
          <t>多</t>
        </is>
      </c>
      <c r="D5968" t="n">
        <v>2</v>
      </c>
      <c r="E5968" t="n">
        <v>5</v>
      </c>
      <c r="F5968" t="inlineStr">
        <is>
          <t>不做</t>
        </is>
      </c>
      <c r="H5968" t="n">
        <v>107850</v>
      </c>
      <c r="J5968" t="n">
        <v>1</v>
      </c>
      <c r="K5968" t="inlineStr">
        <is>
          <t>1手风险15771元超过预算10000元</t>
        </is>
      </c>
    </row>
    <row r="5969">
      <c r="A5969" t="inlineStr">
        <is>
          <t>2026-08-10</t>
        </is>
      </c>
      <c r="B5969" t="inlineStr">
        <is>
          <t>铁矿石</t>
        </is>
      </c>
      <c r="C5969" t="inlineStr">
        <is>
          <t>空</t>
        </is>
      </c>
      <c r="D5969" t="n">
        <v>2</v>
      </c>
      <c r="E5969" t="n">
        <v>5</v>
      </c>
      <c r="F5969" t="inlineStr">
        <is>
          <t>观望</t>
        </is>
      </c>
      <c r="G5969" t="n">
        <v>2</v>
      </c>
      <c r="H5969" t="n">
        <v>701.5</v>
      </c>
      <c r="I5969" t="n">
        <v>741.14</v>
      </c>
      <c r="J5969" t="n">
        <v>1</v>
      </c>
      <c r="K5969" t="inlineStr">
        <is>
          <t>逆5日线（收盘在5日线上，不追空）</t>
        </is>
      </c>
    </row>
    <row r="5970">
      <c r="A5970" t="inlineStr">
        <is>
          <t>2026-08-10</t>
        </is>
      </c>
      <c r="B5970" t="inlineStr">
        <is>
          <t>玉米</t>
        </is>
      </c>
      <c r="C5970" t="inlineStr">
        <is>
          <t>空</t>
        </is>
      </c>
      <c r="D5970" t="n">
        <v>2</v>
      </c>
      <c r="E5970" t="n">
        <v>5</v>
      </c>
      <c r="F5970" t="inlineStr">
        <is>
          <t>观望</t>
        </is>
      </c>
      <c r="G5970" t="n">
        <v>21</v>
      </c>
      <c r="H5970" t="n">
        <v>2266</v>
      </c>
      <c r="I5970" t="n">
        <v>2312.07</v>
      </c>
      <c r="J5970" t="n">
        <v>1</v>
      </c>
      <c r="K5970" t="inlineStr">
        <is>
          <t>逆5日线（收盘在5日线上，不追空）</t>
        </is>
      </c>
    </row>
    <row r="5971">
      <c r="A5971" t="inlineStr">
        <is>
          <t>2026-08-10</t>
        </is>
      </c>
      <c r="B5971" t="inlineStr">
        <is>
          <t>沥青</t>
        </is>
      </c>
      <c r="C5971" t="inlineStr">
        <is>
          <t>多</t>
        </is>
      </c>
      <c r="D5971" t="n">
        <v>2</v>
      </c>
      <c r="E5971" t="n">
        <v>4</v>
      </c>
      <c r="F5971" t="inlineStr">
        <is>
          <t>影子仓</t>
        </is>
      </c>
      <c r="G5971" t="n">
        <v>3</v>
      </c>
      <c r="H5971" t="n">
        <v>4020</v>
      </c>
      <c r="I5971" t="n">
        <v>3718.71</v>
      </c>
      <c r="J5971" t="n">
        <v>1</v>
      </c>
      <c r="K5971" t="inlineStr">
        <is>
          <t>凯利≤0，开1%影子仓（只统计，不计入组合）</t>
        </is>
      </c>
    </row>
    <row r="5972">
      <c r="A5972" t="inlineStr">
        <is>
          <t>2026-08-10</t>
        </is>
      </c>
      <c r="B5972" t="inlineStr">
        <is>
          <t>硅铁</t>
        </is>
      </c>
      <c r="C5972" t="inlineStr">
        <is>
          <t>空</t>
        </is>
      </c>
      <c r="D5972" t="n">
        <v>2</v>
      </c>
      <c r="E5972" t="n">
        <v>4</v>
      </c>
      <c r="F5972" t="inlineStr">
        <is>
          <t>影子仓</t>
        </is>
      </c>
      <c r="G5972" t="n">
        <v>6</v>
      </c>
      <c r="H5972" t="n">
        <v>5882</v>
      </c>
      <c r="I5972" t="n">
        <v>6187.14</v>
      </c>
      <c r="J5972" t="n">
        <v>1</v>
      </c>
      <c r="K5972" t="inlineStr">
        <is>
          <t>凯利≤0，开1%影子仓（只统计，不计入组合）</t>
        </is>
      </c>
    </row>
    <row r="5973">
      <c r="A5973" t="inlineStr">
        <is>
          <t>2026-08-11</t>
        </is>
      </c>
      <c r="B5973" t="inlineStr">
        <is>
          <t>纸浆</t>
        </is>
      </c>
      <c r="C5973" t="inlineStr">
        <is>
          <t>空</t>
        </is>
      </c>
      <c r="D5973" t="n">
        <v>3</v>
      </c>
      <c r="E5973" t="n">
        <v>7</v>
      </c>
      <c r="F5973" t="inlineStr">
        <is>
          <t>续持</t>
        </is>
      </c>
      <c r="G5973" t="n">
        <v>5</v>
      </c>
      <c r="H5973" t="n">
        <v>4572</v>
      </c>
      <c r="I5973" t="n">
        <v>4740.14</v>
      </c>
      <c r="J5973" t="n">
        <v>1</v>
      </c>
      <c r="K5973" t="inlineStr">
        <is>
          <t>续持原仓（2026-08-07开）</t>
        </is>
      </c>
    </row>
    <row r="5974">
      <c r="A5974" t="inlineStr">
        <is>
          <t>2026-08-11</t>
        </is>
      </c>
      <c r="B5974" t="inlineStr">
        <is>
          <t>乙二醇</t>
        </is>
      </c>
      <c r="C5974" t="inlineStr">
        <is>
          <t>多</t>
        </is>
      </c>
      <c r="D5974" t="n">
        <v>3</v>
      </c>
      <c r="E5974" t="n">
        <v>7</v>
      </c>
      <c r="F5974" t="inlineStr">
        <is>
          <t>开仓</t>
        </is>
      </c>
      <c r="G5974" t="n">
        <v>5</v>
      </c>
      <c r="H5974" t="n">
        <v>4905</v>
      </c>
      <c r="I5974" t="n">
        <v>4333.07</v>
      </c>
      <c r="J5974" t="n">
        <v>3</v>
      </c>
      <c r="K5974" t="inlineStr">
        <is>
          <t>¼凯利超上限，取3%</t>
        </is>
      </c>
    </row>
    <row r="5975">
      <c r="A5975" t="inlineStr">
        <is>
          <t>2026-08-11</t>
        </is>
      </c>
      <c r="B5975" t="inlineStr">
        <is>
          <t>沪铜</t>
        </is>
      </c>
      <c r="C5975" t="inlineStr">
        <is>
          <t>多</t>
        </is>
      </c>
      <c r="D5975" t="n">
        <v>3</v>
      </c>
      <c r="E5975" t="n">
        <v>6</v>
      </c>
      <c r="F5975" t="inlineStr">
        <is>
          <t>不做</t>
        </is>
      </c>
      <c r="H5975" t="n">
        <v>107950</v>
      </c>
      <c r="J5975" t="n">
        <v>0</v>
      </c>
      <c r="K5975" t="inlineStr">
        <is>
          <t>组合风险已近10%，预算缩小</t>
        </is>
      </c>
    </row>
    <row r="5976">
      <c r="A5976" t="inlineStr">
        <is>
          <t>2026-08-11</t>
        </is>
      </c>
      <c r="B5976" t="inlineStr">
        <is>
          <t>沪铝</t>
        </is>
      </c>
      <c r="C5976" t="inlineStr">
        <is>
          <t>多</t>
        </is>
      </c>
      <c r="D5976" t="n">
        <v>3</v>
      </c>
      <c r="E5976" t="n">
        <v>6</v>
      </c>
      <c r="F5976" t="inlineStr">
        <is>
          <t>续持</t>
        </is>
      </c>
      <c r="G5976" t="n">
        <v>2</v>
      </c>
      <c r="H5976" t="n">
        <v>24250</v>
      </c>
      <c r="I5976" t="n">
        <v>23559.29</v>
      </c>
      <c r="J5976" t="n">
        <v>1</v>
      </c>
      <c r="K5976" t="inlineStr">
        <is>
          <t>续持原仓（2026-08-04开）</t>
        </is>
      </c>
    </row>
    <row r="5977">
      <c r="A5977" t="inlineStr">
        <is>
          <t>2026-08-11</t>
        </is>
      </c>
      <c r="B5977" t="inlineStr">
        <is>
          <t>沪金</t>
        </is>
      </c>
      <c r="C5977" t="inlineStr">
        <is>
          <t>多</t>
        </is>
      </c>
      <c r="D5977" t="n">
        <v>2</v>
      </c>
      <c r="E5977" t="n">
        <v>5</v>
      </c>
      <c r="F5977" t="inlineStr">
        <is>
          <t>不做</t>
        </is>
      </c>
      <c r="H5977" t="n">
        <v>949.9400000000001</v>
      </c>
      <c r="J5977" t="n">
        <v>1</v>
      </c>
      <c r="K5977" t="inlineStr">
        <is>
          <t>1手风险50413元超过预算10000元</t>
        </is>
      </c>
    </row>
    <row r="5978">
      <c r="A5978" t="inlineStr">
        <is>
          <t>2026-08-11</t>
        </is>
      </c>
      <c r="B5978" t="inlineStr">
        <is>
          <t>螺纹钢</t>
        </is>
      </c>
      <c r="C5978" t="inlineStr">
        <is>
          <t>空</t>
        </is>
      </c>
      <c r="D5978" t="n">
        <v>2</v>
      </c>
      <c r="E5978" t="n">
        <v>5</v>
      </c>
      <c r="F5978" t="inlineStr">
        <is>
          <t>观望</t>
        </is>
      </c>
      <c r="G5978" t="n">
        <v>11</v>
      </c>
      <c r="H5978" t="n">
        <v>3016</v>
      </c>
      <c r="I5978" t="n">
        <v>3102.57</v>
      </c>
      <c r="J5978" t="n">
        <v>1</v>
      </c>
      <c r="K5978" t="inlineStr">
        <is>
          <t>逆5日线（收盘在5日线上，不追空）</t>
        </is>
      </c>
    </row>
    <row r="5979">
      <c r="A5979" t="inlineStr">
        <is>
          <t>2026-08-11</t>
        </is>
      </c>
      <c r="B5979" t="inlineStr">
        <is>
          <t>玉米淀粉</t>
        </is>
      </c>
      <c r="C5979" t="inlineStr">
        <is>
          <t>空</t>
        </is>
      </c>
      <c r="D5979" t="n">
        <v>2</v>
      </c>
      <c r="E5979" t="n">
        <v>5</v>
      </c>
      <c r="F5979" t="inlineStr">
        <is>
          <t>影子仓</t>
        </is>
      </c>
      <c r="G5979" t="n">
        <v>17</v>
      </c>
      <c r="H5979" t="n">
        <v>2587</v>
      </c>
      <c r="I5979" t="n">
        <v>2644.43</v>
      </c>
      <c r="J5979" t="n">
        <v>1</v>
      </c>
      <c r="K5979" t="inlineStr">
        <is>
          <t>凯利≤0，开1%影子仓（只统计，不计入组合）</t>
        </is>
      </c>
    </row>
    <row r="5980">
      <c r="A5980" t="inlineStr">
        <is>
          <t>2026-08-11</t>
        </is>
      </c>
      <c r="B5980" t="inlineStr">
        <is>
          <t>玉米</t>
        </is>
      </c>
      <c r="C5980" t="inlineStr">
        <is>
          <t>空</t>
        </is>
      </c>
      <c r="D5980" t="n">
        <v>2</v>
      </c>
      <c r="E5980" t="n">
        <v>5</v>
      </c>
      <c r="F5980" t="inlineStr">
        <is>
          <t>观望</t>
        </is>
      </c>
      <c r="G5980" t="n">
        <v>21</v>
      </c>
      <c r="H5980" t="n">
        <v>2267</v>
      </c>
      <c r="I5980" t="n">
        <v>2313.71</v>
      </c>
      <c r="J5980" t="n">
        <v>1</v>
      </c>
      <c r="K5980" t="inlineStr">
        <is>
          <t>逆5日线（收盘在5日线上，不追空）</t>
        </is>
      </c>
    </row>
    <row r="5981">
      <c r="A5981" t="inlineStr">
        <is>
          <t>2026-08-11</t>
        </is>
      </c>
      <c r="B5981" t="inlineStr">
        <is>
          <t>硅铁</t>
        </is>
      </c>
      <c r="C5981" t="inlineStr">
        <is>
          <t>多</t>
        </is>
      </c>
      <c r="D5981" t="n">
        <v>2</v>
      </c>
      <c r="E5981" t="n">
        <v>5</v>
      </c>
      <c r="F5981" t="inlineStr">
        <is>
          <t>影子仓</t>
        </is>
      </c>
      <c r="G5981" t="n">
        <v>6</v>
      </c>
      <c r="H5981" t="n">
        <v>5906</v>
      </c>
      <c r="I5981" t="n">
        <v>5603.86</v>
      </c>
      <c r="J5981" t="n">
        <v>1</v>
      </c>
      <c r="K5981" t="inlineStr">
        <is>
          <t>凯利≤0，开1%影子仓（只统计，不计入组合）</t>
        </is>
      </c>
    </row>
    <row r="5982">
      <c r="A5982" t="inlineStr">
        <is>
          <t>2026-08-12</t>
        </is>
      </c>
      <c r="B5982" t="inlineStr">
        <is>
          <t>沪金</t>
        </is>
      </c>
      <c r="C5982" t="inlineStr">
        <is>
          <t>多</t>
        </is>
      </c>
      <c r="D5982" t="n">
        <v>3</v>
      </c>
      <c r="E5982" t="n">
        <v>6</v>
      </c>
      <c r="F5982" t="inlineStr">
        <is>
          <t>不做</t>
        </is>
      </c>
      <c r="H5982" t="n">
        <v>958.54</v>
      </c>
      <c r="J5982" t="n">
        <v>3</v>
      </c>
      <c r="K5982" t="inlineStr">
        <is>
          <t>1手风险50164元超过预算30000元</t>
        </is>
      </c>
    </row>
    <row r="5983">
      <c r="A5983" t="inlineStr">
        <is>
          <t>2026-08-12</t>
        </is>
      </c>
      <c r="B5983" t="inlineStr">
        <is>
          <t>豆油</t>
        </is>
      </c>
      <c r="C5983" t="inlineStr">
        <is>
          <t>空</t>
        </is>
      </c>
      <c r="D5983" t="n">
        <v>3</v>
      </c>
      <c r="E5983" t="n">
        <v>6</v>
      </c>
      <c r="F5983" t="inlineStr">
        <is>
          <t>开仓</t>
        </is>
      </c>
      <c r="G5983" t="n">
        <v>14</v>
      </c>
      <c r="H5983" t="n">
        <v>8442</v>
      </c>
      <c r="I5983" t="n">
        <v>8644.290000000001</v>
      </c>
      <c r="J5983" t="n">
        <v>3</v>
      </c>
      <c r="K5983" t="inlineStr">
        <is>
          <t>¼凯利超上限，取3%</t>
        </is>
      </c>
    </row>
    <row r="5984">
      <c r="A5984" t="inlineStr">
        <is>
          <t>2026-08-12</t>
        </is>
      </c>
      <c r="B5984" t="inlineStr">
        <is>
          <t>沪铜</t>
        </is>
      </c>
      <c r="C5984" t="inlineStr">
        <is>
          <t>多</t>
        </is>
      </c>
      <c r="D5984" t="n">
        <v>3</v>
      </c>
      <c r="E5984" t="n">
        <v>6</v>
      </c>
      <c r="F5984" t="inlineStr">
        <is>
          <t>不做</t>
        </is>
      </c>
      <c r="H5984" t="n">
        <v>108390</v>
      </c>
      <c r="J5984" t="n">
        <v>0</v>
      </c>
      <c r="K5984" t="inlineStr">
        <is>
          <t>组合风险已近10%，预算缩小</t>
        </is>
      </c>
    </row>
    <row r="5985">
      <c r="A5985" t="inlineStr">
        <is>
          <t>2026-08-12</t>
        </is>
      </c>
      <c r="B5985" t="inlineStr">
        <is>
          <t>沪银</t>
        </is>
      </c>
      <c r="C5985" t="inlineStr">
        <is>
          <t>多</t>
        </is>
      </c>
      <c r="D5985" t="n">
        <v>3</v>
      </c>
      <c r="E5985" t="n">
        <v>6</v>
      </c>
      <c r="F5985" t="inlineStr">
        <is>
          <t>不做</t>
        </is>
      </c>
      <c r="H5985" t="n">
        <v>16154</v>
      </c>
      <c r="J5985" t="n">
        <v>0</v>
      </c>
      <c r="K5985" t="inlineStr">
        <is>
          <t>组合风险已近10%，预算缩小</t>
        </is>
      </c>
    </row>
    <row r="5986">
      <c r="A5986" t="inlineStr">
        <is>
          <t>2026-08-12</t>
        </is>
      </c>
      <c r="B5986" t="inlineStr">
        <is>
          <t>豆一</t>
        </is>
      </c>
      <c r="C5986" t="inlineStr">
        <is>
          <t>空</t>
        </is>
      </c>
      <c r="D5986" t="n">
        <v>3</v>
      </c>
      <c r="E5986" t="n">
        <v>6</v>
      </c>
      <c r="F5986" t="inlineStr">
        <is>
          <t>观望</t>
        </is>
      </c>
      <c r="H5986" t="n">
        <v>4896</v>
      </c>
      <c r="J5986" t="n">
        <v>0</v>
      </c>
      <c r="K5986" t="inlineStr">
        <is>
          <t>逆5日线（收盘在5日线上，不追空）</t>
        </is>
      </c>
    </row>
    <row r="5987">
      <c r="A5987" t="inlineStr">
        <is>
          <t>2026-08-12</t>
        </is>
      </c>
      <c r="B5987" t="inlineStr">
        <is>
          <t>玉米淀粉</t>
        </is>
      </c>
      <c r="C5987" t="inlineStr">
        <is>
          <t>空</t>
        </is>
      </c>
      <c r="D5987" t="n">
        <v>2</v>
      </c>
      <c r="E5987" t="n">
        <v>5</v>
      </c>
      <c r="F5987" t="inlineStr">
        <is>
          <t>观望</t>
        </is>
      </c>
      <c r="G5987" t="n">
        <v>17</v>
      </c>
      <c r="H5987" t="n">
        <v>2589</v>
      </c>
      <c r="I5987" t="n">
        <v>2647.07</v>
      </c>
      <c r="J5987" t="n">
        <v>1</v>
      </c>
      <c r="K5987" t="inlineStr">
        <is>
          <t>逆5日线（收盘在5日线上，不追空）</t>
        </is>
      </c>
    </row>
    <row r="5988">
      <c r="A5988" t="inlineStr">
        <is>
          <t>2026-08-12</t>
        </is>
      </c>
      <c r="B5988" t="inlineStr">
        <is>
          <t>螺纹钢</t>
        </is>
      </c>
      <c r="C5988" t="inlineStr">
        <is>
          <t>空</t>
        </is>
      </c>
      <c r="D5988" t="n">
        <v>2</v>
      </c>
      <c r="E5988" t="n">
        <v>5</v>
      </c>
      <c r="F5988" t="inlineStr">
        <is>
          <t>观望</t>
        </is>
      </c>
      <c r="G5988" t="n">
        <v>11</v>
      </c>
      <c r="H5988" t="n">
        <v>3010</v>
      </c>
      <c r="I5988" t="n">
        <v>3093.57</v>
      </c>
      <c r="J5988" t="n">
        <v>1</v>
      </c>
      <c r="K5988" t="inlineStr">
        <is>
          <t>逆5日线（收盘在5日线上，不追空）</t>
        </is>
      </c>
    </row>
    <row r="5989">
      <c r="A5989" t="inlineStr">
        <is>
          <t>2026-08-12</t>
        </is>
      </c>
      <c r="B5989" t="inlineStr">
        <is>
          <t>沪铝</t>
        </is>
      </c>
      <c r="C5989" t="inlineStr">
        <is>
          <t>多</t>
        </is>
      </c>
      <c r="D5989" t="n">
        <v>2</v>
      </c>
      <c r="E5989" t="n">
        <v>5</v>
      </c>
      <c r="F5989" t="inlineStr">
        <is>
          <t>续持</t>
        </is>
      </c>
      <c r="G5989" t="n">
        <v>2</v>
      </c>
      <c r="H5989" t="n">
        <v>24285</v>
      </c>
      <c r="I5989" t="n">
        <v>23753.21</v>
      </c>
      <c r="J5989" t="n">
        <v>1</v>
      </c>
      <c r="K5989" t="inlineStr">
        <is>
          <t>续持原仓（2026-08-04开）</t>
        </is>
      </c>
    </row>
    <row r="5990">
      <c r="A5990" t="inlineStr">
        <is>
          <t>2026-08-12</t>
        </is>
      </c>
      <c r="B5990" t="inlineStr">
        <is>
          <t>硅铁</t>
        </is>
      </c>
      <c r="C5990" t="inlineStr">
        <is>
          <t>多</t>
        </is>
      </c>
      <c r="D5990" t="n">
        <v>2</v>
      </c>
      <c r="E5990" t="n">
        <v>5</v>
      </c>
      <c r="F5990" t="inlineStr">
        <is>
          <t>续持</t>
        </is>
      </c>
      <c r="G5990" t="n">
        <v>6</v>
      </c>
      <c r="H5990" t="n">
        <v>5924</v>
      </c>
      <c r="I5990" t="n">
        <v>5670.14</v>
      </c>
      <c r="J5990" t="n">
        <v>1</v>
      </c>
      <c r="K5990" t="inlineStr">
        <is>
          <t>续持原仓（2026-08-11开）</t>
        </is>
      </c>
    </row>
    <row r="5991">
      <c r="A5991" t="inlineStr">
        <is>
          <t>2026-08-13</t>
        </is>
      </c>
      <c r="B5991" t="inlineStr">
        <is>
          <t>沪金</t>
        </is>
      </c>
      <c r="C5991" t="inlineStr">
        <is>
          <t>多</t>
        </is>
      </c>
      <c r="D5991" t="n">
        <v>2</v>
      </c>
      <c r="E5991" t="n">
        <v>5</v>
      </c>
      <c r="F5991" t="inlineStr">
        <is>
          <t>不做</t>
        </is>
      </c>
      <c r="H5991" t="n">
        <v>952.96</v>
      </c>
      <c r="J5991" t="n">
        <v>1</v>
      </c>
      <c r="K5991" t="inlineStr">
        <is>
          <t>1手风险49050元超过预算10000元</t>
        </is>
      </c>
    </row>
    <row r="5992">
      <c r="A5992" t="inlineStr">
        <is>
          <t>2026-08-13</t>
        </is>
      </c>
      <c r="B5992" t="inlineStr">
        <is>
          <t>沪铜</t>
        </is>
      </c>
      <c r="C5992" t="inlineStr">
        <is>
          <t>多</t>
        </is>
      </c>
      <c r="D5992" t="n">
        <v>2</v>
      </c>
      <c r="E5992" t="n">
        <v>5</v>
      </c>
      <c r="F5992" t="inlineStr">
        <is>
          <t>观望</t>
        </is>
      </c>
      <c r="H5992" t="n">
        <v>107410</v>
      </c>
      <c r="J5992" t="n">
        <v>1</v>
      </c>
      <c r="K5992" t="inlineStr">
        <is>
          <t>逆5日线（收盘在5日线下，不追多）</t>
        </is>
      </c>
    </row>
    <row r="5993">
      <c r="A5993" t="inlineStr">
        <is>
          <t>2026-08-13</t>
        </is>
      </c>
      <c r="B5993" t="inlineStr">
        <is>
          <t>螺纹钢</t>
        </is>
      </c>
      <c r="C5993" t="inlineStr">
        <is>
          <t>空</t>
        </is>
      </c>
      <c r="D5993" t="n">
        <v>2</v>
      </c>
      <c r="E5993" t="n">
        <v>5</v>
      </c>
      <c r="F5993" t="inlineStr">
        <is>
          <t>影子仓</t>
        </is>
      </c>
      <c r="G5993" t="n">
        <v>11</v>
      </c>
      <c r="H5993" t="n">
        <v>3002</v>
      </c>
      <c r="I5993" t="n">
        <v>3086.43</v>
      </c>
      <c r="J5993" t="n">
        <v>1</v>
      </c>
      <c r="K5993" t="inlineStr">
        <is>
          <t>凯利≤0，开1%影子仓（只统计，不计入组合）</t>
        </is>
      </c>
    </row>
    <row r="5994">
      <c r="A5994" t="inlineStr">
        <is>
          <t>2026-08-13</t>
        </is>
      </c>
      <c r="B5994" t="inlineStr">
        <is>
          <t>热卷</t>
        </is>
      </c>
      <c r="C5994" t="inlineStr">
        <is>
          <t>空</t>
        </is>
      </c>
      <c r="D5994" t="n">
        <v>2</v>
      </c>
      <c r="E5994" t="n">
        <v>4</v>
      </c>
      <c r="F5994" t="inlineStr">
        <is>
          <t>影子仓</t>
        </is>
      </c>
      <c r="G5994" t="n">
        <v>11</v>
      </c>
      <c r="H5994" t="n">
        <v>3233</v>
      </c>
      <c r="I5994" t="n">
        <v>3317</v>
      </c>
      <c r="J5994" t="n">
        <v>1</v>
      </c>
      <c r="K5994" t="inlineStr">
        <is>
          <t>凯利≤0，开1%影子仓（只统计，不计入组合）</t>
        </is>
      </c>
    </row>
    <row r="5995">
      <c r="A5995" t="inlineStr">
        <is>
          <t>2026-08-13</t>
        </is>
      </c>
      <c r="B5995" t="inlineStr">
        <is>
          <t>沪银</t>
        </is>
      </c>
      <c r="C5995" t="inlineStr">
        <is>
          <t>多</t>
        </is>
      </c>
      <c r="D5995" t="n">
        <v>2</v>
      </c>
      <c r="E5995" t="n">
        <v>4</v>
      </c>
      <c r="F5995" t="inlineStr">
        <is>
          <t>不做</t>
        </is>
      </c>
      <c r="H5995" t="n">
        <v>15823</v>
      </c>
      <c r="J5995" t="n">
        <v>1</v>
      </c>
      <c r="K5995" t="inlineStr">
        <is>
          <t>1手风险24901元超过预算10000元</t>
        </is>
      </c>
    </row>
    <row r="5996">
      <c r="A5996" t="inlineStr">
        <is>
          <t>2026-08-14</t>
        </is>
      </c>
      <c r="B5996" t="inlineStr">
        <is>
          <t>菜油</t>
        </is>
      </c>
      <c r="C5996" t="inlineStr">
        <is>
          <t>多</t>
        </is>
      </c>
      <c r="D5996" t="n">
        <v>3</v>
      </c>
      <c r="E5996" t="n">
        <v>7</v>
      </c>
      <c r="F5996" t="inlineStr">
        <is>
          <t>续持</t>
        </is>
      </c>
      <c r="G5996" t="n">
        <v>6</v>
      </c>
      <c r="H5996" t="n">
        <v>10431</v>
      </c>
      <c r="I5996" t="n">
        <v>10091.57</v>
      </c>
      <c r="J5996" t="n">
        <v>3</v>
      </c>
      <c r="K5996" t="inlineStr">
        <is>
          <t>续持原仓（2026-08-06开）</t>
        </is>
      </c>
    </row>
    <row r="5997">
      <c r="A5997" t="inlineStr">
        <is>
          <t>2026-08-14</t>
        </is>
      </c>
      <c r="B5997" t="inlineStr">
        <is>
          <t>塑料</t>
        </is>
      </c>
      <c r="C5997" t="inlineStr">
        <is>
          <t>多</t>
        </is>
      </c>
      <c r="D5997" t="n">
        <v>3</v>
      </c>
      <c r="E5997" t="n">
        <v>7</v>
      </c>
      <c r="F5997" t="inlineStr">
        <is>
          <t>开仓</t>
        </is>
      </c>
      <c r="G5997" t="n">
        <v>4</v>
      </c>
      <c r="H5997" t="n">
        <v>7932</v>
      </c>
      <c r="I5997" t="n">
        <v>7447.07</v>
      </c>
      <c r="J5997" t="n">
        <v>1</v>
      </c>
      <c r="K5997" t="inlineStr">
        <is>
          <t>组合风险已近10%，预算缩小</t>
        </is>
      </c>
    </row>
    <row r="5998">
      <c r="A5998" t="inlineStr">
        <is>
          <t>2026-08-14</t>
        </is>
      </c>
      <c r="B5998" t="inlineStr">
        <is>
          <t>沪铝</t>
        </is>
      </c>
      <c r="C5998" t="inlineStr">
        <is>
          <t>多</t>
        </is>
      </c>
      <c r="D5998" t="n">
        <v>3</v>
      </c>
      <c r="E5998" t="n">
        <v>6</v>
      </c>
      <c r="F5998" t="inlineStr">
        <is>
          <t>观望</t>
        </is>
      </c>
      <c r="H5998" t="n">
        <v>23885</v>
      </c>
      <c r="J5998" t="n">
        <v>0</v>
      </c>
      <c r="K5998" t="inlineStr">
        <is>
          <t>逆5日线（收盘在5日线下，不追多）</t>
        </is>
      </c>
    </row>
    <row r="5999">
      <c r="A5999" t="inlineStr">
        <is>
          <t>2026-08-14</t>
        </is>
      </c>
      <c r="B5999" t="inlineStr">
        <is>
          <t>乙二醇</t>
        </is>
      </c>
      <c r="C5999" t="inlineStr">
        <is>
          <t>多</t>
        </is>
      </c>
      <c r="D5999" t="n">
        <v>3</v>
      </c>
      <c r="E5999" t="n">
        <v>6</v>
      </c>
      <c r="F5999" t="inlineStr">
        <is>
          <t>续持</t>
        </is>
      </c>
      <c r="G5999" t="n">
        <v>5</v>
      </c>
      <c r="H5999" t="n">
        <v>4950</v>
      </c>
      <c r="I5999" t="n">
        <v>4431.21</v>
      </c>
      <c r="J5999" t="n">
        <v>3</v>
      </c>
      <c r="K5999" t="inlineStr">
        <is>
          <t>续持原仓（2026-08-11开）</t>
        </is>
      </c>
    </row>
    <row r="6000">
      <c r="A6000" t="inlineStr">
        <is>
          <t>2026-08-14</t>
        </is>
      </c>
      <c r="B6000" t="inlineStr">
        <is>
          <t>沪铜</t>
        </is>
      </c>
      <c r="C6000" t="inlineStr">
        <is>
          <t>多</t>
        </is>
      </c>
      <c r="D6000" t="n">
        <v>2</v>
      </c>
      <c r="E6000" t="n">
        <v>5</v>
      </c>
      <c r="F6000" t="inlineStr">
        <is>
          <t>观望</t>
        </is>
      </c>
      <c r="H6000" t="n">
        <v>107690</v>
      </c>
      <c r="J6000" t="n">
        <v>1</v>
      </c>
      <c r="K6000" t="inlineStr">
        <is>
          <t>逆5日线（收盘在5日线下，不追多）</t>
        </is>
      </c>
    </row>
    <row r="6001">
      <c r="A6001" t="inlineStr">
        <is>
          <t>2026-08-14</t>
        </is>
      </c>
      <c r="B6001" t="inlineStr">
        <is>
          <t>螺纹钢</t>
        </is>
      </c>
      <c r="C6001" t="inlineStr">
        <is>
          <t>空</t>
        </is>
      </c>
      <c r="D6001" t="n">
        <v>2</v>
      </c>
      <c r="E6001" t="n">
        <v>5</v>
      </c>
      <c r="F6001" t="inlineStr">
        <is>
          <t>观望</t>
        </is>
      </c>
      <c r="G6001" t="n">
        <v>11</v>
      </c>
      <c r="H6001" t="n">
        <v>3015</v>
      </c>
      <c r="I6001" t="n">
        <v>3103.93</v>
      </c>
      <c r="J6001" t="n">
        <v>1</v>
      </c>
      <c r="K6001" t="inlineStr">
        <is>
          <t>逆5日线（收盘在5日线上，不追空）</t>
        </is>
      </c>
    </row>
    <row r="6002">
      <c r="A6002" t="inlineStr">
        <is>
          <t>2026-08-14</t>
        </is>
      </c>
      <c r="B6002" t="inlineStr">
        <is>
          <t>纸浆</t>
        </is>
      </c>
      <c r="C6002" t="inlineStr">
        <is>
          <t>空</t>
        </is>
      </c>
      <c r="D6002" t="n">
        <v>2</v>
      </c>
      <c r="E6002" t="n">
        <v>4</v>
      </c>
      <c r="F6002" t="inlineStr">
        <is>
          <t>观望</t>
        </is>
      </c>
      <c r="G6002" t="n">
        <v>5</v>
      </c>
      <c r="H6002" t="n">
        <v>4680</v>
      </c>
      <c r="I6002" t="n">
        <v>4862.57</v>
      </c>
      <c r="J6002" t="n">
        <v>1</v>
      </c>
      <c r="K6002" t="inlineStr">
        <is>
          <t>逆5日线（收盘在5日线上，不追空）</t>
        </is>
      </c>
    </row>
    <row r="6003">
      <c r="A6003" t="inlineStr">
        <is>
          <t>2026-08-14</t>
        </is>
      </c>
      <c r="B6003" t="inlineStr">
        <is>
          <t>热卷</t>
        </is>
      </c>
      <c r="C6003" t="inlineStr">
        <is>
          <t>空</t>
        </is>
      </c>
      <c r="D6003" t="n">
        <v>2</v>
      </c>
      <c r="E6003" t="n">
        <v>4</v>
      </c>
      <c r="F6003" t="inlineStr">
        <is>
          <t>观望</t>
        </is>
      </c>
      <c r="G6003" t="n">
        <v>11</v>
      </c>
      <c r="H6003" t="n">
        <v>3260</v>
      </c>
      <c r="I6003" t="n">
        <v>3349.14</v>
      </c>
      <c r="J6003" t="n">
        <v>1</v>
      </c>
      <c r="K6003" t="inlineStr">
        <is>
          <t>逆5日线（收盘在5日线上，不追空）</t>
        </is>
      </c>
    </row>
    <row r="6004">
      <c r="A6004" t="inlineStr">
        <is>
          <t>2026-08-14</t>
        </is>
      </c>
      <c r="B6004" t="inlineStr">
        <is>
          <t>玻璃</t>
        </is>
      </c>
      <c r="C6004" t="inlineStr">
        <is>
          <t>空</t>
        </is>
      </c>
      <c r="D6004" t="n">
        <v>2</v>
      </c>
      <c r="E6004" t="n">
        <v>4</v>
      </c>
      <c r="F6004" t="inlineStr">
        <is>
          <t>影子仓</t>
        </is>
      </c>
      <c r="G6004" t="n">
        <v>8</v>
      </c>
      <c r="H6004" t="n">
        <v>867</v>
      </c>
      <c r="I6004" t="n">
        <v>924.4299999999999</v>
      </c>
      <c r="J6004" t="n">
        <v>1</v>
      </c>
      <c r="K6004" t="inlineStr">
        <is>
          <t>凯利≤0，开1%影子仓（只统计，不计入组合）</t>
        </is>
      </c>
    </row>
    <row r="6005">
      <c r="A6005" t="inlineStr">
        <is>
          <t>2026-08-17</t>
        </is>
      </c>
      <c r="B6005" t="inlineStr">
        <is>
          <t>玻璃</t>
        </is>
      </c>
      <c r="C6005" t="inlineStr">
        <is>
          <t>空</t>
        </is>
      </c>
      <c r="D6005" t="n">
        <v>3</v>
      </c>
      <c r="E6005" t="n">
        <v>7</v>
      </c>
      <c r="F6005" t="inlineStr">
        <is>
          <t>续持</t>
        </is>
      </c>
      <c r="G6005" t="n">
        <v>8</v>
      </c>
      <c r="H6005" t="n">
        <v>923</v>
      </c>
      <c r="I6005" t="n">
        <v>978.36</v>
      </c>
      <c r="J6005" t="n">
        <v>1</v>
      </c>
      <c r="K6005" t="inlineStr">
        <is>
          <t>续持原仓（2026-08-14开）</t>
        </is>
      </c>
    </row>
    <row r="6006">
      <c r="A6006" t="inlineStr">
        <is>
          <t>2026-08-17</t>
        </is>
      </c>
      <c r="B6006" t="inlineStr">
        <is>
          <t>乙二醇</t>
        </is>
      </c>
      <c r="C6006" t="inlineStr">
        <is>
          <t>多</t>
        </is>
      </c>
      <c r="D6006" t="n">
        <v>3</v>
      </c>
      <c r="E6006" t="n">
        <v>7</v>
      </c>
      <c r="F6006" t="inlineStr">
        <is>
          <t>续持</t>
        </is>
      </c>
      <c r="G6006" t="n">
        <v>5</v>
      </c>
      <c r="H6006" t="n">
        <v>5171</v>
      </c>
      <c r="I6006" t="n">
        <v>4627.36</v>
      </c>
      <c r="J6006" t="n">
        <v>3</v>
      </c>
      <c r="K6006" t="inlineStr">
        <is>
          <t>续持原仓（2026-08-11开）</t>
        </is>
      </c>
    </row>
    <row r="6007">
      <c r="A6007" t="inlineStr">
        <is>
          <t>2026-08-17</t>
        </is>
      </c>
      <c r="B6007" t="inlineStr">
        <is>
          <t>沪锌</t>
        </is>
      </c>
      <c r="C6007" t="inlineStr">
        <is>
          <t>多</t>
        </is>
      </c>
      <c r="D6007" t="n">
        <v>3</v>
      </c>
      <c r="E6007" t="n">
        <v>6</v>
      </c>
      <c r="F6007" t="inlineStr">
        <is>
          <t>不做</t>
        </is>
      </c>
      <c r="H6007" t="n">
        <v>25865</v>
      </c>
      <c r="J6007" t="n">
        <v>0</v>
      </c>
      <c r="K6007" t="inlineStr">
        <is>
          <t>组合风险已近10%，预算缩小</t>
        </is>
      </c>
    </row>
    <row r="6008">
      <c r="A6008" t="inlineStr">
        <is>
          <t>2026-08-17</t>
        </is>
      </c>
      <c r="B6008" t="inlineStr">
        <is>
          <t>玉米淀粉</t>
        </is>
      </c>
      <c r="C6008" t="inlineStr">
        <is>
          <t>空</t>
        </is>
      </c>
      <c r="D6008" t="n">
        <v>3</v>
      </c>
      <c r="E6008" t="n">
        <v>6</v>
      </c>
      <c r="F6008" t="inlineStr">
        <is>
          <t>续持</t>
        </is>
      </c>
      <c r="G6008" t="n">
        <v>17</v>
      </c>
      <c r="H6008" t="n">
        <v>2505</v>
      </c>
      <c r="I6008" t="n">
        <v>2555.07</v>
      </c>
      <c r="J6008" t="n">
        <v>1</v>
      </c>
      <c r="K6008" t="inlineStr">
        <is>
          <t>续持原仓（2026-08-11开）</t>
        </is>
      </c>
    </row>
    <row r="6009">
      <c r="A6009" t="inlineStr">
        <is>
          <t>2026-08-17</t>
        </is>
      </c>
      <c r="B6009" t="inlineStr">
        <is>
          <t>塑料</t>
        </is>
      </c>
      <c r="C6009" t="inlineStr">
        <is>
          <t>多</t>
        </is>
      </c>
      <c r="D6009" t="n">
        <v>3</v>
      </c>
      <c r="E6009" t="n">
        <v>6</v>
      </c>
      <c r="F6009" t="inlineStr">
        <is>
          <t>续持</t>
        </is>
      </c>
      <c r="G6009" t="n">
        <v>4</v>
      </c>
      <c r="H6009" t="n">
        <v>8091</v>
      </c>
      <c r="I6009" t="n">
        <v>7646.71</v>
      </c>
      <c r="J6009" t="n">
        <v>1</v>
      </c>
      <c r="K6009" t="inlineStr">
        <is>
          <t>续持原仓（2026-08-14开）</t>
        </is>
      </c>
    </row>
    <row r="6010">
      <c r="A6010" t="inlineStr">
        <is>
          <t>2026-08-17</t>
        </is>
      </c>
      <c r="B6010" t="inlineStr">
        <is>
          <t>沪铝</t>
        </is>
      </c>
      <c r="C6010" t="inlineStr">
        <is>
          <t>多</t>
        </is>
      </c>
      <c r="D6010" t="n">
        <v>3</v>
      </c>
      <c r="E6010" t="n">
        <v>6</v>
      </c>
      <c r="F6010" t="inlineStr">
        <is>
          <t>观望</t>
        </is>
      </c>
      <c r="H6010" t="n">
        <v>24035</v>
      </c>
      <c r="J6010" t="n">
        <v>0</v>
      </c>
      <c r="K6010" t="inlineStr">
        <is>
          <t>逆5日线（收盘在5日线下，不追多）</t>
        </is>
      </c>
    </row>
    <row r="6011">
      <c r="A6011" t="inlineStr">
        <is>
          <t>2026-08-17</t>
        </is>
      </c>
      <c r="B6011" t="inlineStr">
        <is>
          <t>燃料油</t>
        </is>
      </c>
      <c r="C6011" t="inlineStr">
        <is>
          <t>多</t>
        </is>
      </c>
      <c r="D6011" t="n">
        <v>3</v>
      </c>
      <c r="E6011" t="n">
        <v>6</v>
      </c>
      <c r="F6011" t="inlineStr">
        <is>
          <t>不做</t>
        </is>
      </c>
      <c r="H6011" t="n">
        <v>3604</v>
      </c>
      <c r="J6011" t="n">
        <v>0</v>
      </c>
      <c r="K6011" t="inlineStr">
        <is>
          <t>组合风险已近10%，预算缩小</t>
        </is>
      </c>
    </row>
    <row r="6012">
      <c r="A6012" t="inlineStr">
        <is>
          <t>2026-08-17</t>
        </is>
      </c>
      <c r="B6012" t="inlineStr">
        <is>
          <t>玉米</t>
        </is>
      </c>
      <c r="C6012" t="inlineStr">
        <is>
          <t>空</t>
        </is>
      </c>
      <c r="D6012" t="n">
        <v>2</v>
      </c>
      <c r="E6012" t="n">
        <v>4</v>
      </c>
      <c r="F6012" t="inlineStr">
        <is>
          <t>影子仓</t>
        </is>
      </c>
      <c r="G6012" t="n">
        <v>20</v>
      </c>
      <c r="H6012" t="n">
        <v>2200</v>
      </c>
      <c r="I6012" t="n">
        <v>2248.86</v>
      </c>
      <c r="J6012" t="n">
        <v>1</v>
      </c>
      <c r="K6012" t="inlineStr">
        <is>
          <t>凯利≤0，开1%影子仓（只统计，不计入组合）</t>
        </is>
      </c>
    </row>
    <row r="6013">
      <c r="A6013" t="inlineStr">
        <is>
          <t>2026-08-18</t>
        </is>
      </c>
      <c r="B6013" t="inlineStr">
        <is>
          <t>豆一</t>
        </is>
      </c>
      <c r="C6013" t="inlineStr">
        <is>
          <t>多</t>
        </is>
      </c>
      <c r="D6013" t="n">
        <v>3</v>
      </c>
      <c r="E6013" t="n">
        <v>7</v>
      </c>
      <c r="F6013" t="inlineStr">
        <is>
          <t>开仓</t>
        </is>
      </c>
      <c r="G6013" t="n">
        <v>14</v>
      </c>
      <c r="H6013" t="n">
        <v>5079</v>
      </c>
      <c r="I6013" t="n">
        <v>4865.79</v>
      </c>
      <c r="J6013" t="n">
        <v>3</v>
      </c>
      <c r="K6013" t="inlineStr">
        <is>
          <t>¼凯利超上限，取3%</t>
        </is>
      </c>
    </row>
    <row r="6014">
      <c r="A6014" t="inlineStr">
        <is>
          <t>2026-08-18</t>
        </is>
      </c>
      <c r="B6014" t="inlineStr">
        <is>
          <t>玻璃</t>
        </is>
      </c>
      <c r="C6014" t="inlineStr">
        <is>
          <t>空</t>
        </is>
      </c>
      <c r="D6014" t="n">
        <v>3</v>
      </c>
      <c r="E6014" t="n">
        <v>6</v>
      </c>
      <c r="F6014" t="inlineStr">
        <is>
          <t>续持</t>
        </is>
      </c>
      <c r="G6014" t="n">
        <v>8</v>
      </c>
      <c r="H6014" t="n">
        <v>917</v>
      </c>
      <c r="I6014" t="n">
        <v>967.4299999999999</v>
      </c>
      <c r="J6014" t="n">
        <v>1</v>
      </c>
      <c r="K6014" t="inlineStr">
        <is>
          <t>续持原仓（2026-08-14开）</t>
        </is>
      </c>
    </row>
    <row r="6015">
      <c r="A6015" t="inlineStr">
        <is>
          <t>2026-08-18</t>
        </is>
      </c>
      <c r="B6015" t="inlineStr">
        <is>
          <t>尿素</t>
        </is>
      </c>
      <c r="C6015" t="inlineStr">
        <is>
          <t>空</t>
        </is>
      </c>
      <c r="D6015" t="n">
        <v>3</v>
      </c>
      <c r="E6015" t="n">
        <v>6</v>
      </c>
      <c r="F6015" t="inlineStr">
        <is>
          <t>观望</t>
        </is>
      </c>
      <c r="G6015" t="n">
        <v>16</v>
      </c>
      <c r="H6015" t="n">
        <v>1734</v>
      </c>
      <c r="I6015" t="n">
        <v>1825.5</v>
      </c>
      <c r="J6015" t="n">
        <v>3</v>
      </c>
      <c r="K6015" t="inlineStr">
        <is>
          <t>逆5日线（收盘在5日线上，不追空）</t>
        </is>
      </c>
    </row>
    <row r="6016">
      <c r="A6016" t="inlineStr">
        <is>
          <t>2026-08-18</t>
        </is>
      </c>
      <c r="B6016" t="inlineStr">
        <is>
          <t>菜油</t>
        </is>
      </c>
      <c r="C6016" t="inlineStr">
        <is>
          <t>多</t>
        </is>
      </c>
      <c r="D6016" t="n">
        <v>2</v>
      </c>
      <c r="E6016" t="n">
        <v>5</v>
      </c>
      <c r="F6016" t="inlineStr">
        <is>
          <t>续持</t>
        </is>
      </c>
      <c r="G6016" t="n">
        <v>6</v>
      </c>
      <c r="H6016" t="n">
        <v>10417</v>
      </c>
      <c r="I6016" t="n">
        <v>10188.79</v>
      </c>
      <c r="J6016" t="n">
        <v>3</v>
      </c>
      <c r="K6016" t="inlineStr">
        <is>
          <t>续持原仓（2026-08-06开）</t>
        </is>
      </c>
    </row>
    <row r="6017">
      <c r="A6017" t="inlineStr">
        <is>
          <t>2026-08-18</t>
        </is>
      </c>
      <c r="B6017" t="inlineStr">
        <is>
          <t>锰硅</t>
        </is>
      </c>
      <c r="C6017" t="inlineStr">
        <is>
          <t>多</t>
        </is>
      </c>
      <c r="D6017" t="n">
        <v>2</v>
      </c>
      <c r="E6017" t="n">
        <v>5</v>
      </c>
      <c r="F6017" t="inlineStr">
        <is>
          <t>影子仓</t>
        </is>
      </c>
      <c r="G6017" t="n">
        <v>10</v>
      </c>
      <c r="H6017" t="n">
        <v>5898</v>
      </c>
      <c r="I6017" t="n">
        <v>5700</v>
      </c>
      <c r="J6017" t="n">
        <v>1</v>
      </c>
      <c r="K6017" t="inlineStr">
        <is>
          <t>凯利≤0，开1%影子仓（只统计，不计入组合）</t>
        </is>
      </c>
    </row>
    <row r="6018">
      <c r="A6018" t="inlineStr">
        <is>
          <t>2026-08-18</t>
        </is>
      </c>
      <c r="B6018" t="inlineStr">
        <is>
          <t>燃料油</t>
        </is>
      </c>
      <c r="C6018" t="inlineStr">
        <is>
          <t>多</t>
        </is>
      </c>
      <c r="D6018" t="n">
        <v>2</v>
      </c>
      <c r="E6018" t="n">
        <v>5</v>
      </c>
      <c r="F6018" t="inlineStr">
        <is>
          <t>影子仓</t>
        </is>
      </c>
      <c r="G6018" t="n">
        <v>2</v>
      </c>
      <c r="H6018" t="n">
        <v>3749</v>
      </c>
      <c r="I6018" t="n">
        <v>3312.71</v>
      </c>
      <c r="J6018" t="n">
        <v>1</v>
      </c>
      <c r="K6018" t="inlineStr">
        <is>
          <t>凯利≤0，开1%影子仓（只统计，不计入组合）</t>
        </is>
      </c>
    </row>
    <row r="6019">
      <c r="A6019" t="inlineStr">
        <is>
          <t>2026-08-18</t>
        </is>
      </c>
      <c r="B6019" t="inlineStr">
        <is>
          <t>豆粕</t>
        </is>
      </c>
      <c r="C6019" t="inlineStr">
        <is>
          <t>多</t>
        </is>
      </c>
      <c r="D6019" t="n">
        <v>2</v>
      </c>
      <c r="E6019" t="n">
        <v>5</v>
      </c>
      <c r="F6019" t="inlineStr">
        <is>
          <t>影子仓</t>
        </is>
      </c>
      <c r="G6019" t="n">
        <v>9</v>
      </c>
      <c r="H6019" t="n">
        <v>3241</v>
      </c>
      <c r="I6019" t="n">
        <v>3140.93</v>
      </c>
      <c r="J6019" t="n">
        <v>1</v>
      </c>
      <c r="K6019" t="inlineStr">
        <is>
          <t>凯利≤0，开1%影子仓（只统计，不计入组合）</t>
        </is>
      </c>
    </row>
    <row r="6020">
      <c r="A6020" t="inlineStr">
        <is>
          <t>2026-08-19</t>
        </is>
      </c>
      <c r="B6020" t="inlineStr">
        <is>
          <t>玻璃</t>
        </is>
      </c>
      <c r="C6020" t="inlineStr">
        <is>
          <t>空</t>
        </is>
      </c>
      <c r="D6020" t="n">
        <v>3</v>
      </c>
      <c r="E6020" t="n">
        <v>7</v>
      </c>
      <c r="F6020" t="inlineStr">
        <is>
          <t>续持</t>
        </is>
      </c>
      <c r="G6020" t="n">
        <v>8</v>
      </c>
      <c r="H6020" t="n">
        <v>902</v>
      </c>
      <c r="I6020" t="n">
        <v>958.5</v>
      </c>
      <c r="J6020" t="n">
        <v>1</v>
      </c>
      <c r="K6020" t="inlineStr">
        <is>
          <t>续持原仓（2026-08-14开）</t>
        </is>
      </c>
    </row>
    <row r="6021">
      <c r="A6021" t="inlineStr">
        <is>
          <t>2026-08-19</t>
        </is>
      </c>
      <c r="B6021" t="inlineStr">
        <is>
          <t>沪镍</t>
        </is>
      </c>
      <c r="C6021" t="inlineStr">
        <is>
          <t>空</t>
        </is>
      </c>
      <c r="D6021" t="n">
        <v>3</v>
      </c>
      <c r="E6021" t="n">
        <v>7</v>
      </c>
      <c r="F6021" t="inlineStr">
        <is>
          <t>开仓</t>
        </is>
      </c>
      <c r="G6021" t="n">
        <v>4</v>
      </c>
      <c r="H6021" t="n">
        <v>127850</v>
      </c>
      <c r="I6021" t="n">
        <v>135328.57</v>
      </c>
      <c r="J6021" t="n">
        <v>3</v>
      </c>
      <c r="K6021" t="inlineStr">
        <is>
          <t>¼凯利超上限，取3%</t>
        </is>
      </c>
    </row>
    <row r="6022">
      <c r="A6022" t="inlineStr">
        <is>
          <t>2026-08-19</t>
        </is>
      </c>
      <c r="B6022" t="inlineStr">
        <is>
          <t>焦煤</t>
        </is>
      </c>
      <c r="C6022" t="inlineStr">
        <is>
          <t>多</t>
        </is>
      </c>
      <c r="D6022" t="n">
        <v>3</v>
      </c>
      <c r="E6022" t="n">
        <v>7</v>
      </c>
      <c r="F6022" t="inlineStr">
        <is>
          <t>开仓</t>
        </is>
      </c>
      <c r="G6022" t="n">
        <v>4</v>
      </c>
      <c r="H6022" t="n">
        <v>1586.5</v>
      </c>
      <c r="I6022" t="n">
        <v>1467.36</v>
      </c>
      <c r="J6022" t="n">
        <v>3</v>
      </c>
      <c r="K6022" t="inlineStr">
        <is>
          <t>¼凯利超上限，取3%</t>
        </is>
      </c>
    </row>
    <row r="6023">
      <c r="A6023" t="inlineStr">
        <is>
          <t>2026-08-19</t>
        </is>
      </c>
      <c r="B6023" t="inlineStr">
        <is>
          <t>聚丙烯</t>
        </is>
      </c>
      <c r="C6023" t="inlineStr">
        <is>
          <t>多</t>
        </is>
      </c>
      <c r="D6023" t="n">
        <v>3</v>
      </c>
      <c r="E6023" t="n">
        <v>7</v>
      </c>
      <c r="F6023" t="inlineStr">
        <is>
          <t>开仓</t>
        </is>
      </c>
      <c r="G6023" t="n">
        <v>3</v>
      </c>
      <c r="H6023" t="n">
        <v>8010</v>
      </c>
      <c r="I6023" t="n">
        <v>7418.36</v>
      </c>
      <c r="J6023" t="n">
        <v>1</v>
      </c>
      <c r="K6023" t="inlineStr">
        <is>
          <t>组合风险已近10%，预算缩小</t>
        </is>
      </c>
    </row>
    <row r="6024">
      <c r="A6024" t="inlineStr">
        <is>
          <t>2026-08-19</t>
        </is>
      </c>
      <c r="B6024" t="inlineStr">
        <is>
          <t>沥青</t>
        </is>
      </c>
      <c r="C6024" t="inlineStr">
        <is>
          <t>多</t>
        </is>
      </c>
      <c r="D6024" t="n">
        <v>3</v>
      </c>
      <c r="E6024" t="n">
        <v>7</v>
      </c>
      <c r="F6024" t="inlineStr">
        <is>
          <t>不做</t>
        </is>
      </c>
      <c r="H6024" t="n">
        <v>4394</v>
      </c>
      <c r="J6024" t="n">
        <v>0</v>
      </c>
      <c r="K6024" t="inlineStr">
        <is>
          <t>组合风险已近10%，预算缩小</t>
        </is>
      </c>
    </row>
    <row r="6025">
      <c r="A6025" t="inlineStr">
        <is>
          <t>2026-08-19</t>
        </is>
      </c>
      <c r="B6025" t="inlineStr">
        <is>
          <t>菜油</t>
        </is>
      </c>
      <c r="C6025" t="inlineStr">
        <is>
          <t>多</t>
        </is>
      </c>
      <c r="D6025" t="n">
        <v>3</v>
      </c>
      <c r="E6025" t="n">
        <v>6</v>
      </c>
      <c r="F6025" t="inlineStr">
        <is>
          <t>续持</t>
        </is>
      </c>
      <c r="G6025" t="n">
        <v>6</v>
      </c>
      <c r="H6025" t="n">
        <v>10568</v>
      </c>
      <c r="I6025" t="n">
        <v>10229.36</v>
      </c>
      <c r="J6025" t="n">
        <v>3</v>
      </c>
      <c r="K6025" t="inlineStr">
        <is>
          <t>续持原仓（2026-08-06开）</t>
        </is>
      </c>
    </row>
    <row r="6026">
      <c r="A6026" t="inlineStr">
        <is>
          <t>2026-08-19</t>
        </is>
      </c>
      <c r="B6026" t="inlineStr">
        <is>
          <t>塑料</t>
        </is>
      </c>
      <c r="C6026" t="inlineStr">
        <is>
          <t>多</t>
        </is>
      </c>
      <c r="D6026" t="n">
        <v>3</v>
      </c>
      <c r="E6026" t="n">
        <v>6</v>
      </c>
      <c r="F6026" t="inlineStr">
        <is>
          <t>不做</t>
        </is>
      </c>
      <c r="H6026" t="n">
        <v>7842</v>
      </c>
      <c r="J6026" t="n">
        <v>0</v>
      </c>
      <c r="K6026" t="inlineStr">
        <is>
          <t>组合风险已近10%，预算缩小</t>
        </is>
      </c>
    </row>
    <row r="6027">
      <c r="A6027" t="inlineStr">
        <is>
          <t>2026-08-20</t>
        </is>
      </c>
      <c r="B6027" t="inlineStr">
        <is>
          <t>焦煤</t>
        </is>
      </c>
      <c r="C6027" t="inlineStr">
        <is>
          <t>多</t>
        </is>
      </c>
      <c r="D6027" t="n">
        <v>3</v>
      </c>
      <c r="E6027" t="n">
        <v>7</v>
      </c>
      <c r="F6027" t="inlineStr">
        <is>
          <t>续持</t>
        </is>
      </c>
      <c r="G6027" t="n">
        <v>4</v>
      </c>
      <c r="H6027" t="n">
        <v>1591.5</v>
      </c>
      <c r="I6027" t="n">
        <v>1485.75</v>
      </c>
      <c r="J6027" t="n">
        <v>3</v>
      </c>
      <c r="K6027" t="inlineStr">
        <is>
          <t>续持原仓（2026-08-19开）</t>
        </is>
      </c>
    </row>
    <row r="6028">
      <c r="A6028" t="inlineStr">
        <is>
          <t>2026-08-20</t>
        </is>
      </c>
      <c r="B6028" t="inlineStr">
        <is>
          <t>沥青</t>
        </is>
      </c>
      <c r="C6028" t="inlineStr">
        <is>
          <t>多</t>
        </is>
      </c>
      <c r="D6028" t="n">
        <v>3</v>
      </c>
      <c r="E6028" t="n">
        <v>7</v>
      </c>
      <c r="F6028" t="inlineStr">
        <is>
          <t>开仓</t>
        </is>
      </c>
      <c r="G6028" t="n">
        <v>6</v>
      </c>
      <c r="H6028" t="n">
        <v>4485</v>
      </c>
      <c r="I6028" t="n">
        <v>4194.21</v>
      </c>
      <c r="J6028" t="n">
        <v>2</v>
      </c>
      <c r="K6028" t="inlineStr">
        <is>
          <t>与聚丙烯高度相关（同组≤3%），预算缩小</t>
        </is>
      </c>
    </row>
    <row r="6029">
      <c r="A6029" t="inlineStr">
        <is>
          <t>2026-08-20</t>
        </is>
      </c>
      <c r="B6029" t="inlineStr">
        <is>
          <t>棉花</t>
        </is>
      </c>
      <c r="C6029" t="inlineStr">
        <is>
          <t>多</t>
        </is>
      </c>
      <c r="D6029" t="n">
        <v>3</v>
      </c>
      <c r="E6029" t="n">
        <v>7</v>
      </c>
      <c r="F6029" t="inlineStr">
        <is>
          <t>开仓</t>
        </is>
      </c>
      <c r="G6029" t="n">
        <v>3</v>
      </c>
      <c r="H6029" t="n">
        <v>17035</v>
      </c>
      <c r="I6029" t="n">
        <v>16490.71</v>
      </c>
      <c r="J6029" t="n">
        <v>1</v>
      </c>
      <c r="K6029" t="inlineStr">
        <is>
          <t>组合风险已近10%，预算缩小</t>
        </is>
      </c>
    </row>
    <row r="6030">
      <c r="A6030" t="inlineStr">
        <is>
          <t>2026-08-20</t>
        </is>
      </c>
      <c r="B6030" t="inlineStr">
        <is>
          <t>聚丙烯</t>
        </is>
      </c>
      <c r="C6030" t="inlineStr">
        <is>
          <t>多</t>
        </is>
      </c>
      <c r="D6030" t="n">
        <v>3</v>
      </c>
      <c r="E6030" t="n">
        <v>6</v>
      </c>
      <c r="F6030" t="inlineStr">
        <is>
          <t>续持</t>
        </is>
      </c>
      <c r="G6030" t="n">
        <v>3</v>
      </c>
      <c r="H6030" t="n">
        <v>7994</v>
      </c>
      <c r="I6030" t="n">
        <v>7473.86</v>
      </c>
      <c r="J6030" t="n">
        <v>1</v>
      </c>
      <c r="K6030" t="inlineStr">
        <is>
          <t>续持原仓（2026-08-19开）</t>
        </is>
      </c>
    </row>
    <row r="6031">
      <c r="A6031" t="inlineStr">
        <is>
          <t>2026-08-20</t>
        </is>
      </c>
      <c r="B6031" t="inlineStr">
        <is>
          <t>塑料</t>
        </is>
      </c>
      <c r="C6031" t="inlineStr">
        <is>
          <t>多</t>
        </is>
      </c>
      <c r="D6031" t="n">
        <v>3</v>
      </c>
      <c r="E6031" t="n">
        <v>6</v>
      </c>
      <c r="F6031" t="inlineStr">
        <is>
          <t>不做</t>
        </is>
      </c>
      <c r="H6031" t="n">
        <v>7794</v>
      </c>
      <c r="J6031" t="n">
        <v>0</v>
      </c>
      <c r="K6031" t="inlineStr">
        <is>
          <t>组合风险已近10%，预算缩小</t>
        </is>
      </c>
    </row>
    <row r="6032">
      <c r="A6032" t="inlineStr">
        <is>
          <t>2026-08-21</t>
        </is>
      </c>
      <c r="B6032" t="inlineStr">
        <is>
          <t>玻璃</t>
        </is>
      </c>
      <c r="C6032" t="inlineStr">
        <is>
          <t>空</t>
        </is>
      </c>
      <c r="D6032" t="n">
        <v>3</v>
      </c>
      <c r="E6032" t="n">
        <v>7</v>
      </c>
      <c r="F6032" t="inlineStr">
        <is>
          <t>开仓</t>
        </is>
      </c>
      <c r="G6032" t="n">
        <v>24</v>
      </c>
      <c r="H6032" t="n">
        <v>907</v>
      </c>
      <c r="I6032" t="n">
        <v>967.4299999999999</v>
      </c>
      <c r="J6032" t="n">
        <v>3</v>
      </c>
      <c r="K6032" t="inlineStr">
        <is>
          <t>¼凯利超上限，取3%</t>
        </is>
      </c>
    </row>
    <row r="6033">
      <c r="A6033" t="inlineStr">
        <is>
          <t>2026-08-21</t>
        </is>
      </c>
      <c r="B6033" t="inlineStr">
        <is>
          <t>聚丙烯</t>
        </is>
      </c>
      <c r="C6033" t="inlineStr">
        <is>
          <t>多</t>
        </is>
      </c>
      <c r="D6033" t="n">
        <v>3</v>
      </c>
      <c r="E6033" t="n">
        <v>7</v>
      </c>
      <c r="F6033" t="inlineStr">
        <is>
          <t>续持</t>
        </is>
      </c>
      <c r="G6033" t="n">
        <v>3</v>
      </c>
      <c r="H6033" t="n">
        <v>8121</v>
      </c>
      <c r="I6033" t="n">
        <v>7574.36</v>
      </c>
      <c r="J6033" t="n">
        <v>1</v>
      </c>
      <c r="K6033" t="inlineStr">
        <is>
          <t>续持原仓（2026-08-19开）</t>
        </is>
      </c>
    </row>
    <row r="6034">
      <c r="A6034" t="inlineStr">
        <is>
          <t>2026-08-21</t>
        </is>
      </c>
      <c r="B6034" t="inlineStr">
        <is>
          <t>沪金</t>
        </is>
      </c>
      <c r="C6034" t="inlineStr">
        <is>
          <t>多</t>
        </is>
      </c>
      <c r="D6034" t="n">
        <v>3</v>
      </c>
      <c r="E6034" t="n">
        <v>6</v>
      </c>
      <c r="F6034" t="inlineStr">
        <is>
          <t>不做</t>
        </is>
      </c>
      <c r="H6034" t="n">
        <v>987.4400000000001</v>
      </c>
      <c r="J6034" t="n">
        <v>2</v>
      </c>
      <c r="K6034" t="inlineStr">
        <is>
          <t>1手风险56014元超过预算20000元</t>
        </is>
      </c>
    </row>
    <row r="6035">
      <c r="A6035" t="inlineStr">
        <is>
          <t>2026-08-21</t>
        </is>
      </c>
      <c r="B6035" t="inlineStr">
        <is>
          <t>豆油</t>
        </is>
      </c>
      <c r="C6035" t="inlineStr">
        <is>
          <t>多</t>
        </is>
      </c>
      <c r="D6035" t="n">
        <v>3</v>
      </c>
      <c r="E6035" t="n">
        <v>6</v>
      </c>
      <c r="F6035" t="inlineStr">
        <is>
          <t>开仓</t>
        </is>
      </c>
      <c r="G6035" t="n">
        <v>8</v>
      </c>
      <c r="H6035" t="n">
        <v>8824</v>
      </c>
      <c r="I6035" t="n">
        <v>8593.639999999999</v>
      </c>
      <c r="J6035" t="n">
        <v>2</v>
      </c>
      <c r="K6035" t="inlineStr">
        <is>
          <t>组合风险已近10%，预算缩小</t>
        </is>
      </c>
    </row>
    <row r="6036">
      <c r="A6036" t="inlineStr">
        <is>
          <t>2026-08-21</t>
        </is>
      </c>
      <c r="B6036" t="inlineStr">
        <is>
          <t>甲醇</t>
        </is>
      </c>
      <c r="C6036" t="inlineStr">
        <is>
          <t>多</t>
        </is>
      </c>
      <c r="D6036" t="n">
        <v>3</v>
      </c>
      <c r="E6036" t="n">
        <v>6</v>
      </c>
      <c r="F6036" t="inlineStr">
        <is>
          <t>不做</t>
        </is>
      </c>
      <c r="H6036" t="n">
        <v>2909</v>
      </c>
      <c r="J6036" t="n">
        <v>0</v>
      </c>
      <c r="K6036" t="inlineStr">
        <is>
          <t>组合风险已近10%，预算缩小</t>
        </is>
      </c>
    </row>
    <row r="6037">
      <c r="A6037" t="inlineStr">
        <is>
          <t>2026-08-21</t>
        </is>
      </c>
      <c r="B6037" t="inlineStr">
        <is>
          <t>棉花</t>
        </is>
      </c>
      <c r="C6037" t="inlineStr">
        <is>
          <t>多</t>
        </is>
      </c>
      <c r="D6037" t="n">
        <v>3</v>
      </c>
      <c r="E6037" t="n">
        <v>6</v>
      </c>
      <c r="F6037" t="inlineStr">
        <is>
          <t>续持</t>
        </is>
      </c>
      <c r="G6037" t="n">
        <v>3</v>
      </c>
      <c r="H6037" t="n">
        <v>17065</v>
      </c>
      <c r="I6037" t="n">
        <v>16590</v>
      </c>
      <c r="J6037" t="n">
        <v>1</v>
      </c>
      <c r="K6037" t="inlineStr">
        <is>
          <t>续持原仓（2026-08-20开）</t>
        </is>
      </c>
    </row>
    <row r="6038">
      <c r="A6038" t="inlineStr">
        <is>
          <t>2026-08-24</t>
        </is>
      </c>
      <c r="B6038" t="inlineStr">
        <is>
          <t>沪金</t>
        </is>
      </c>
      <c r="C6038" t="inlineStr">
        <is>
          <t>多</t>
        </is>
      </c>
      <c r="D6038" t="n">
        <v>3</v>
      </c>
      <c r="E6038" t="n">
        <v>7</v>
      </c>
      <c r="F6038" t="inlineStr">
        <is>
          <t>不做</t>
        </is>
      </c>
      <c r="H6038" t="n">
        <v>1006.82</v>
      </c>
      <c r="J6038" t="n">
        <v>3</v>
      </c>
      <c r="K6038" t="inlineStr">
        <is>
          <t>1手风险58581元超过预算30000元</t>
        </is>
      </c>
    </row>
    <row r="6039">
      <c r="A6039" t="inlineStr">
        <is>
          <t>2026-08-24</t>
        </is>
      </c>
      <c r="B6039" t="inlineStr">
        <is>
          <t>PVC</t>
        </is>
      </c>
      <c r="C6039" t="inlineStr">
        <is>
          <t>空</t>
        </is>
      </c>
      <c r="D6039" t="n">
        <v>3</v>
      </c>
      <c r="E6039" t="n">
        <v>7</v>
      </c>
      <c r="F6039" t="inlineStr">
        <is>
          <t>开仓</t>
        </is>
      </c>
      <c r="G6039" t="n">
        <v>30</v>
      </c>
      <c r="H6039" t="n">
        <v>4644</v>
      </c>
      <c r="I6039" t="n">
        <v>4843.29</v>
      </c>
      <c r="J6039" t="n">
        <v>3</v>
      </c>
      <c r="K6039" t="inlineStr">
        <is>
          <t>¼凯利超上限，取3%</t>
        </is>
      </c>
    </row>
    <row r="6040">
      <c r="A6040" t="inlineStr">
        <is>
          <t>2026-08-24</t>
        </is>
      </c>
      <c r="B6040" t="inlineStr">
        <is>
          <t>沪锌</t>
        </is>
      </c>
      <c r="C6040" t="inlineStr">
        <is>
          <t>多</t>
        </is>
      </c>
      <c r="D6040" t="n">
        <v>3</v>
      </c>
      <c r="E6040" t="n">
        <v>6</v>
      </c>
      <c r="F6040" t="inlineStr">
        <is>
          <t>不做</t>
        </is>
      </c>
      <c r="H6040" t="n">
        <v>25905</v>
      </c>
      <c r="J6040" t="n">
        <v>0</v>
      </c>
      <c r="K6040" t="inlineStr">
        <is>
          <t>组合风险已近10%，预算缩小</t>
        </is>
      </c>
    </row>
    <row r="6041">
      <c r="A6041" t="inlineStr">
        <is>
          <t>2026-08-24</t>
        </is>
      </c>
      <c r="B6041" t="inlineStr">
        <is>
          <t>棉花</t>
        </is>
      </c>
      <c r="C6041" t="inlineStr">
        <is>
          <t>多</t>
        </is>
      </c>
      <c r="D6041" t="n">
        <v>3</v>
      </c>
      <c r="E6041" t="n">
        <v>6</v>
      </c>
      <c r="F6041" t="inlineStr">
        <is>
          <t>续持</t>
        </is>
      </c>
      <c r="G6041" t="n">
        <v>3</v>
      </c>
      <c r="H6041" t="n">
        <v>17035</v>
      </c>
      <c r="I6041" t="n">
        <v>16625</v>
      </c>
      <c r="J6041" t="n">
        <v>1</v>
      </c>
      <c r="K6041" t="inlineStr">
        <is>
          <t>续持原仓（2026-08-20开）</t>
        </is>
      </c>
    </row>
    <row r="6042">
      <c r="A6042" t="inlineStr">
        <is>
          <t>2026-08-24</t>
        </is>
      </c>
      <c r="B6042" t="inlineStr">
        <is>
          <t>乙二醇</t>
        </is>
      </c>
      <c r="C6042" t="inlineStr">
        <is>
          <t>多</t>
        </is>
      </c>
      <c r="D6042" t="n">
        <v>3</v>
      </c>
      <c r="E6042" t="n">
        <v>6</v>
      </c>
      <c r="F6042" t="inlineStr">
        <is>
          <t>不做</t>
        </is>
      </c>
      <c r="H6042" t="n">
        <v>5404</v>
      </c>
      <c r="J6042" t="n">
        <v>0</v>
      </c>
      <c r="K6042" t="inlineStr">
        <is>
          <t>组合风险已近10%，预算缩小</t>
        </is>
      </c>
    </row>
    <row r="6043">
      <c r="A6043" t="inlineStr">
        <is>
          <t>2026-08-24</t>
        </is>
      </c>
      <c r="B6043" t="inlineStr">
        <is>
          <t>白糖</t>
        </is>
      </c>
      <c r="C6043" t="inlineStr">
        <is>
          <t>多</t>
        </is>
      </c>
      <c r="D6043" t="n">
        <v>3</v>
      </c>
      <c r="E6043" t="n">
        <v>6</v>
      </c>
      <c r="F6043" t="inlineStr">
        <is>
          <t>不做</t>
        </is>
      </c>
      <c r="H6043" t="n">
        <v>5375</v>
      </c>
      <c r="J6043" t="n">
        <v>0</v>
      </c>
      <c r="K6043" t="inlineStr">
        <is>
          <t>组合风险已近10%，预算缩小</t>
        </is>
      </c>
    </row>
    <row r="6044">
      <c r="A6044" t="inlineStr">
        <is>
          <t>2026-08-25</t>
        </is>
      </c>
      <c r="B6044" t="inlineStr">
        <is>
          <t>沪锌</t>
        </is>
      </c>
      <c r="C6044" t="inlineStr">
        <is>
          <t>多</t>
        </is>
      </c>
      <c r="D6044" t="n">
        <v>3</v>
      </c>
      <c r="E6044" t="n">
        <v>7</v>
      </c>
      <c r="F6044" t="inlineStr">
        <is>
          <t>不做</t>
        </is>
      </c>
      <c r="H6044" t="n">
        <v>26070</v>
      </c>
      <c r="J6044" t="n">
        <v>0</v>
      </c>
      <c r="K6044" t="inlineStr">
        <is>
          <t>组合风险已近10%，预算缩小</t>
        </is>
      </c>
    </row>
    <row r="6045">
      <c r="A6045" t="inlineStr">
        <is>
          <t>2026-08-25</t>
        </is>
      </c>
      <c r="B6045" t="inlineStr">
        <is>
          <t>PVC</t>
        </is>
      </c>
      <c r="C6045" t="inlineStr">
        <is>
          <t>空</t>
        </is>
      </c>
      <c r="D6045" t="n">
        <v>3</v>
      </c>
      <c r="E6045" t="n">
        <v>7</v>
      </c>
      <c r="F6045" t="inlineStr">
        <is>
          <t>续持</t>
        </is>
      </c>
      <c r="G6045" t="n">
        <v>30</v>
      </c>
      <c r="H6045" t="n">
        <v>4539</v>
      </c>
      <c r="I6045" t="n">
        <v>4744.14</v>
      </c>
      <c r="J6045" t="n">
        <v>3</v>
      </c>
      <c r="K6045" t="inlineStr">
        <is>
          <t>续持原仓（2026-08-24开）</t>
        </is>
      </c>
    </row>
    <row r="6046">
      <c r="A6046" t="inlineStr">
        <is>
          <t>2026-08-25</t>
        </is>
      </c>
      <c r="B6046" t="inlineStr">
        <is>
          <t>苯乙烯</t>
        </is>
      </c>
      <c r="C6046" t="inlineStr">
        <is>
          <t>多</t>
        </is>
      </c>
      <c r="D6046" t="n">
        <v>3</v>
      </c>
      <c r="E6046" t="n">
        <v>7</v>
      </c>
      <c r="F6046" t="inlineStr">
        <is>
          <t>不做</t>
        </is>
      </c>
      <c r="H6046" t="n">
        <v>8888</v>
      </c>
      <c r="J6046" t="n">
        <v>0</v>
      </c>
      <c r="K6046" t="inlineStr">
        <is>
          <t>组合风险已近10%，预算缩小</t>
        </is>
      </c>
    </row>
    <row r="6047">
      <c r="A6047" t="inlineStr">
        <is>
          <t>2026-08-25</t>
        </is>
      </c>
      <c r="B6047" t="inlineStr">
        <is>
          <t>豆油</t>
        </is>
      </c>
      <c r="C6047" t="inlineStr">
        <is>
          <t>多</t>
        </is>
      </c>
      <c r="D6047" t="n">
        <v>3</v>
      </c>
      <c r="E6047" t="n">
        <v>6</v>
      </c>
      <c r="F6047" t="inlineStr">
        <is>
          <t>观望</t>
        </is>
      </c>
      <c r="H6047" t="n">
        <v>8764</v>
      </c>
      <c r="J6047" t="n">
        <v>0</v>
      </c>
      <c r="K6047" t="inlineStr">
        <is>
          <t>逆5日线（收盘在5日线下，不追多）</t>
        </is>
      </c>
    </row>
    <row r="6048">
      <c r="A6048" t="inlineStr">
        <is>
          <t>2026-08-25</t>
        </is>
      </c>
      <c r="B6048" t="inlineStr">
        <is>
          <t>棉花</t>
        </is>
      </c>
      <c r="C6048" t="inlineStr">
        <is>
          <t>多</t>
        </is>
      </c>
      <c r="D6048" t="n">
        <v>3</v>
      </c>
      <c r="E6048" t="n">
        <v>6</v>
      </c>
      <c r="F6048" t="inlineStr">
        <is>
          <t>观望</t>
        </is>
      </c>
      <c r="H6048" t="n">
        <v>16885</v>
      </c>
      <c r="J6048" t="n">
        <v>0</v>
      </c>
      <c r="K6048" t="inlineStr">
        <is>
          <t>逆5日线（收盘在5日线下，不追多）</t>
        </is>
      </c>
    </row>
    <row r="6049">
      <c r="A6049" t="inlineStr">
        <is>
          <t>2026-08-25</t>
        </is>
      </c>
      <c r="B6049" t="inlineStr">
        <is>
          <t>棕榈油</t>
        </is>
      </c>
      <c r="C6049" t="inlineStr">
        <is>
          <t>多</t>
        </is>
      </c>
      <c r="D6049" t="n">
        <v>3</v>
      </c>
      <c r="E6049" t="n">
        <v>6</v>
      </c>
      <c r="F6049" t="inlineStr">
        <is>
          <t>观望</t>
        </is>
      </c>
      <c r="H6049" t="n">
        <v>10079</v>
      </c>
      <c r="J6049" t="n">
        <v>0</v>
      </c>
      <c r="K6049" t="inlineStr">
        <is>
          <t>逆5日线（收盘在5日线下，不追多）</t>
        </is>
      </c>
    </row>
    <row r="6050">
      <c r="A6050" t="inlineStr">
        <is>
          <t>2026-08-26</t>
        </is>
      </c>
      <c r="B6050" t="inlineStr">
        <is>
          <t>沪锌</t>
        </is>
      </c>
      <c r="C6050" t="inlineStr">
        <is>
          <t>多</t>
        </is>
      </c>
      <c r="D6050" t="n">
        <v>3</v>
      </c>
      <c r="E6050" t="n">
        <v>7</v>
      </c>
      <c r="F6050" t="inlineStr">
        <is>
          <t>开仓</t>
        </is>
      </c>
      <c r="G6050" t="n">
        <v>1</v>
      </c>
      <c r="H6050" t="n">
        <v>26240</v>
      </c>
      <c r="I6050" t="n">
        <v>25209.29</v>
      </c>
      <c r="J6050" t="n">
        <v>1</v>
      </c>
      <c r="K6050" t="inlineStr">
        <is>
          <t>组合风险已近10%，预算缩小</t>
        </is>
      </c>
    </row>
    <row r="6051">
      <c r="A6051" t="inlineStr">
        <is>
          <t>2026-08-26</t>
        </is>
      </c>
      <c r="B6051" t="inlineStr">
        <is>
          <t>玻璃</t>
        </is>
      </c>
      <c r="C6051" t="inlineStr">
        <is>
          <t>空</t>
        </is>
      </c>
      <c r="D6051" t="n">
        <v>3</v>
      </c>
      <c r="E6051" t="n">
        <v>7</v>
      </c>
      <c r="F6051" t="inlineStr">
        <is>
          <t>不做</t>
        </is>
      </c>
      <c r="H6051" t="n">
        <v>898</v>
      </c>
      <c r="J6051" t="n">
        <v>0</v>
      </c>
      <c r="K6051" t="inlineStr">
        <is>
          <t>组合风险已近10%，预算缩小</t>
        </is>
      </c>
    </row>
    <row r="6052">
      <c r="A6052" t="inlineStr">
        <is>
          <t>2026-08-26</t>
        </is>
      </c>
      <c r="B6052" t="inlineStr">
        <is>
          <t>豆粕</t>
        </is>
      </c>
      <c r="C6052" t="inlineStr">
        <is>
          <t>多</t>
        </is>
      </c>
      <c r="D6052" t="n">
        <v>3</v>
      </c>
      <c r="E6052" t="n">
        <v>7</v>
      </c>
      <c r="F6052" t="inlineStr">
        <is>
          <t>续持</t>
        </is>
      </c>
      <c r="G6052" t="n">
        <v>9</v>
      </c>
      <c r="H6052" t="n">
        <v>3297</v>
      </c>
      <c r="I6052" t="n">
        <v>3187.5</v>
      </c>
      <c r="J6052" t="n">
        <v>1</v>
      </c>
      <c r="K6052" t="inlineStr">
        <is>
          <t>续持原仓（2026-08-18开）</t>
        </is>
      </c>
    </row>
    <row r="6053">
      <c r="A6053" t="inlineStr">
        <is>
          <t>2026-08-26</t>
        </is>
      </c>
      <c r="B6053" t="inlineStr">
        <is>
          <t>碳酸锂</t>
        </is>
      </c>
      <c r="C6053" t="inlineStr">
        <is>
          <t>多</t>
        </is>
      </c>
      <c r="D6053" t="n">
        <v>3</v>
      </c>
      <c r="E6053" t="n">
        <v>7</v>
      </c>
      <c r="F6053" t="inlineStr">
        <is>
          <t>观望</t>
        </is>
      </c>
      <c r="H6053" t="n">
        <v>152160</v>
      </c>
      <c r="J6053" t="n">
        <v>0</v>
      </c>
      <c r="K6053" t="inlineStr">
        <is>
          <t>逆5日线（收盘在5日线下，不追多）</t>
        </is>
      </c>
    </row>
    <row r="6054">
      <c r="A6054" t="inlineStr">
        <is>
          <t>2026-08-26</t>
        </is>
      </c>
      <c r="B6054" t="inlineStr">
        <is>
          <t>沪镍</t>
        </is>
      </c>
      <c r="C6054" t="inlineStr">
        <is>
          <t>空</t>
        </is>
      </c>
      <c r="D6054" t="n">
        <v>3</v>
      </c>
      <c r="E6054" t="n">
        <v>6</v>
      </c>
      <c r="F6054" t="inlineStr">
        <is>
          <t>续持</t>
        </is>
      </c>
      <c r="G6054" t="n">
        <v>4</v>
      </c>
      <c r="H6054" t="n">
        <v>129310</v>
      </c>
      <c r="I6054" t="n">
        <v>133941.43</v>
      </c>
      <c r="J6054" t="n">
        <v>3</v>
      </c>
      <c r="K6054" t="inlineStr">
        <is>
          <t>续持原仓（2026-08-19开）</t>
        </is>
      </c>
    </row>
    <row r="6055">
      <c r="A6055" t="inlineStr">
        <is>
          <t>2026-08-26</t>
        </is>
      </c>
      <c r="B6055" t="inlineStr">
        <is>
          <t>PVC</t>
        </is>
      </c>
      <c r="C6055" t="inlineStr">
        <is>
          <t>空</t>
        </is>
      </c>
      <c r="D6055" t="n">
        <v>3</v>
      </c>
      <c r="E6055" t="n">
        <v>6</v>
      </c>
      <c r="F6055" t="inlineStr">
        <is>
          <t>续持</t>
        </is>
      </c>
      <c r="G6055" t="n">
        <v>30</v>
      </c>
      <c r="H6055" t="n">
        <v>4466</v>
      </c>
      <c r="I6055" t="n">
        <v>4677.43</v>
      </c>
      <c r="J6055" t="n">
        <v>3</v>
      </c>
      <c r="K6055" t="inlineStr">
        <is>
          <t>续持原仓（2026-08-24开）</t>
        </is>
      </c>
    </row>
    <row r="6056">
      <c r="A6056" t="inlineStr">
        <is>
          <t>2026-08-26</t>
        </is>
      </c>
      <c r="B6056" t="inlineStr">
        <is>
          <t>沪铜</t>
        </is>
      </c>
      <c r="C6056" t="inlineStr">
        <is>
          <t>多</t>
        </is>
      </c>
      <c r="D6056" t="n">
        <v>3</v>
      </c>
      <c r="E6056" t="n">
        <v>6</v>
      </c>
      <c r="F6056" t="inlineStr">
        <is>
          <t>不做</t>
        </is>
      </c>
      <c r="H6056" t="n">
        <v>108750</v>
      </c>
      <c r="J6056" t="n">
        <v>0</v>
      </c>
      <c r="K6056" t="inlineStr">
        <is>
          <t>组合风险已近10%，预算缩小</t>
        </is>
      </c>
    </row>
    <row r="6057">
      <c r="A6057" t="inlineStr">
        <is>
          <t>2026-08-26</t>
        </is>
      </c>
      <c r="B6057" t="inlineStr">
        <is>
          <t>白糖</t>
        </is>
      </c>
      <c r="C6057" t="inlineStr">
        <is>
          <t>多</t>
        </is>
      </c>
      <c r="D6057" t="n">
        <v>3</v>
      </c>
      <c r="E6057" t="n">
        <v>6</v>
      </c>
      <c r="F6057" t="inlineStr">
        <is>
          <t>观望</t>
        </is>
      </c>
      <c r="H6057" t="n">
        <v>5340</v>
      </c>
      <c r="J6057" t="n">
        <v>0</v>
      </c>
      <c r="K6057" t="inlineStr">
        <is>
          <t>逆5日线（收盘在5日线下，不追多）</t>
        </is>
      </c>
    </row>
    <row r="6058">
      <c r="A6058" t="inlineStr">
        <is>
          <t>2026-08-27</t>
        </is>
      </c>
      <c r="B6058" t="inlineStr">
        <is>
          <t>焦煤</t>
        </is>
      </c>
      <c r="C6058" t="inlineStr">
        <is>
          <t>多</t>
        </is>
      </c>
      <c r="D6058" t="n">
        <v>3</v>
      </c>
      <c r="E6058" t="n">
        <v>7</v>
      </c>
      <c r="F6058" t="inlineStr">
        <is>
          <t>开仓</t>
        </is>
      </c>
      <c r="G6058" t="n">
        <v>1</v>
      </c>
      <c r="H6058" t="n">
        <v>1609</v>
      </c>
      <c r="I6058" t="n">
        <v>1469.29</v>
      </c>
      <c r="J6058" t="n">
        <v>1</v>
      </c>
      <c r="K6058" t="inlineStr">
        <is>
          <t>组合风险已近10%，预算缩小</t>
        </is>
      </c>
    </row>
    <row r="6059">
      <c r="A6059" t="inlineStr">
        <is>
          <t>2026-08-27</t>
        </is>
      </c>
      <c r="B6059" t="inlineStr">
        <is>
          <t>聚丙烯</t>
        </is>
      </c>
      <c r="C6059" t="inlineStr">
        <is>
          <t>多</t>
        </is>
      </c>
      <c r="D6059" t="n">
        <v>3</v>
      </c>
      <c r="E6059" t="n">
        <v>7</v>
      </c>
      <c r="F6059" t="inlineStr">
        <is>
          <t>观望</t>
        </is>
      </c>
      <c r="H6059" t="n">
        <v>7851</v>
      </c>
      <c r="J6059" t="n">
        <v>0</v>
      </c>
      <c r="K6059" t="inlineStr">
        <is>
          <t>逆5日线（收盘在5日线下，不追多）</t>
        </is>
      </c>
    </row>
    <row r="6060">
      <c r="A6060" t="inlineStr">
        <is>
          <t>2026-08-27</t>
        </is>
      </c>
      <c r="B6060" t="inlineStr">
        <is>
          <t>甲醇</t>
        </is>
      </c>
      <c r="C6060" t="inlineStr">
        <is>
          <t>多</t>
        </is>
      </c>
      <c r="D6060" t="n">
        <v>3</v>
      </c>
      <c r="E6060" t="n">
        <v>7</v>
      </c>
      <c r="F6060" t="inlineStr">
        <is>
          <t>观望</t>
        </is>
      </c>
      <c r="H6060" t="n">
        <v>2778</v>
      </c>
      <c r="J6060" t="n">
        <v>0</v>
      </c>
      <c r="K6060" t="inlineStr">
        <is>
          <t>逆5日线（收盘在5日线下，不追多）</t>
        </is>
      </c>
    </row>
    <row r="6061">
      <c r="A6061" t="inlineStr">
        <is>
          <t>2026-08-27</t>
        </is>
      </c>
      <c r="B6061" t="inlineStr">
        <is>
          <t>白糖</t>
        </is>
      </c>
      <c r="C6061" t="inlineStr">
        <is>
          <t>多</t>
        </is>
      </c>
      <c r="D6061" t="n">
        <v>3</v>
      </c>
      <c r="E6061" t="n">
        <v>7</v>
      </c>
      <c r="F6061" t="inlineStr">
        <is>
          <t>观望</t>
        </is>
      </c>
      <c r="H6061" t="n">
        <v>5361</v>
      </c>
      <c r="J6061" t="n">
        <v>0</v>
      </c>
      <c r="K6061" t="inlineStr">
        <is>
          <t>逆5日线（收盘在5日线下，不追多）</t>
        </is>
      </c>
    </row>
    <row r="6062">
      <c r="A6062" t="inlineStr">
        <is>
          <t>2026-08-27</t>
        </is>
      </c>
      <c r="B6062" t="inlineStr">
        <is>
          <t>塑料</t>
        </is>
      </c>
      <c r="C6062" t="inlineStr">
        <is>
          <t>多</t>
        </is>
      </c>
      <c r="D6062" t="n">
        <v>3</v>
      </c>
      <c r="E6062" t="n">
        <v>7</v>
      </c>
      <c r="F6062" t="inlineStr">
        <is>
          <t>观望</t>
        </is>
      </c>
      <c r="H6062" t="n">
        <v>7595</v>
      </c>
      <c r="J6062" t="n">
        <v>0</v>
      </c>
      <c r="K6062" t="inlineStr">
        <is>
          <t>逆5日线（收盘在5日线下，不追多）</t>
        </is>
      </c>
    </row>
    <row r="6063">
      <c r="A6063" t="inlineStr">
        <is>
          <t>2026-08-27</t>
        </is>
      </c>
      <c r="B6063" t="inlineStr">
        <is>
          <t>沪镍</t>
        </is>
      </c>
      <c r="C6063" t="inlineStr">
        <is>
          <t>空</t>
        </is>
      </c>
      <c r="D6063" t="n">
        <v>3</v>
      </c>
      <c r="E6063" t="n">
        <v>6</v>
      </c>
      <c r="F6063" t="inlineStr">
        <is>
          <t>续持</t>
        </is>
      </c>
      <c r="G6063" t="n">
        <v>4</v>
      </c>
      <c r="H6063" t="n">
        <v>128680</v>
      </c>
      <c r="I6063" t="n">
        <v>133464.29</v>
      </c>
      <c r="J6063" t="n">
        <v>3</v>
      </c>
      <c r="K6063" t="inlineStr">
        <is>
          <t>续持原仓（2026-08-19开）</t>
        </is>
      </c>
    </row>
    <row r="6064">
      <c r="A6064" t="inlineStr">
        <is>
          <t>2026-08-27</t>
        </is>
      </c>
      <c r="B6064" t="inlineStr">
        <is>
          <t>PVC</t>
        </is>
      </c>
      <c r="C6064" t="inlineStr">
        <is>
          <t>空</t>
        </is>
      </c>
      <c r="D6064" t="n">
        <v>2</v>
      </c>
      <c r="E6064" t="n">
        <v>5</v>
      </c>
      <c r="F6064" t="inlineStr">
        <is>
          <t>续持</t>
        </is>
      </c>
      <c r="G6064" t="n">
        <v>30</v>
      </c>
      <c r="H6064" t="n">
        <v>4473</v>
      </c>
      <c r="I6064" t="n">
        <v>4655.14</v>
      </c>
      <c r="J6064" t="n">
        <v>3</v>
      </c>
      <c r="K6064" t="inlineStr">
        <is>
          <t>续持原仓（2026-08-24开）</t>
        </is>
      </c>
    </row>
    <row r="6065">
      <c r="A6065" t="inlineStr">
        <is>
          <t>2026-08-28</t>
        </is>
      </c>
      <c r="B6065" t="inlineStr">
        <is>
          <t>沪锌</t>
        </is>
      </c>
      <c r="C6065" t="inlineStr">
        <is>
          <t>多</t>
        </is>
      </c>
      <c r="D6065" t="n">
        <v>3</v>
      </c>
      <c r="E6065" t="n">
        <v>7</v>
      </c>
      <c r="F6065" t="inlineStr">
        <is>
          <t>开仓</t>
        </is>
      </c>
      <c r="G6065" t="n">
        <v>5</v>
      </c>
      <c r="H6065" t="n">
        <v>26485</v>
      </c>
      <c r="I6065" t="n">
        <v>25432.86</v>
      </c>
      <c r="J6065" t="n">
        <v>3</v>
      </c>
      <c r="K6065" t="inlineStr">
        <is>
          <t>¼凯利超上限，取3%</t>
        </is>
      </c>
    </row>
    <row r="6066">
      <c r="A6066" t="inlineStr">
        <is>
          <t>2026-08-28</t>
        </is>
      </c>
      <c r="B6066" t="inlineStr">
        <is>
          <t>沥青</t>
        </is>
      </c>
      <c r="C6066" t="inlineStr">
        <is>
          <t>多</t>
        </is>
      </c>
      <c r="D6066" t="n">
        <v>3</v>
      </c>
      <c r="E6066" t="n">
        <v>7</v>
      </c>
      <c r="F6066" t="inlineStr">
        <is>
          <t>开仓</t>
        </is>
      </c>
      <c r="G6066" t="n">
        <v>9</v>
      </c>
      <c r="H6066" t="n">
        <v>4651</v>
      </c>
      <c r="I6066" t="n">
        <v>4330.86</v>
      </c>
      <c r="J6066" t="n">
        <v>3</v>
      </c>
      <c r="K6066" t="inlineStr">
        <is>
          <t>¼凯利超上限，取3%</t>
        </is>
      </c>
    </row>
    <row r="6067">
      <c r="A6067" t="inlineStr">
        <is>
          <t>2026-08-28</t>
        </is>
      </c>
      <c r="B6067" t="inlineStr">
        <is>
          <t>豆油</t>
        </is>
      </c>
      <c r="C6067" t="inlineStr">
        <is>
          <t>多</t>
        </is>
      </c>
      <c r="D6067" t="n">
        <v>3</v>
      </c>
      <c r="E6067" t="n">
        <v>7</v>
      </c>
      <c r="F6067" t="inlineStr">
        <is>
          <t>续持</t>
        </is>
      </c>
      <c r="G6067" t="n">
        <v>8</v>
      </c>
      <c r="H6067" t="n">
        <v>8965</v>
      </c>
      <c r="I6067" t="n">
        <v>8697.93</v>
      </c>
      <c r="J6067" t="n">
        <v>2</v>
      </c>
      <c r="K6067" t="inlineStr">
        <is>
          <t>续持原仓（2026-08-21开）</t>
        </is>
      </c>
    </row>
    <row r="6068">
      <c r="A6068" t="inlineStr">
        <is>
          <t>2026-08-28</t>
        </is>
      </c>
      <c r="B6068" t="inlineStr">
        <is>
          <t>甲醇</t>
        </is>
      </c>
      <c r="C6068" t="inlineStr">
        <is>
          <t>多</t>
        </is>
      </c>
      <c r="D6068" t="n">
        <v>3</v>
      </c>
      <c r="E6068" t="n">
        <v>7</v>
      </c>
      <c r="F6068" t="inlineStr">
        <is>
          <t>观望</t>
        </is>
      </c>
      <c r="H6068" t="n">
        <v>2840</v>
      </c>
      <c r="J6068" t="n">
        <v>0</v>
      </c>
      <c r="K6068" t="inlineStr">
        <is>
          <t>逆5日线（收盘在5日线下，不追多）</t>
        </is>
      </c>
    </row>
    <row r="6069">
      <c r="A6069" t="inlineStr">
        <is>
          <t>2026-08-28</t>
        </is>
      </c>
      <c r="B6069" t="inlineStr">
        <is>
          <t>聚丙烯</t>
        </is>
      </c>
      <c r="C6069" t="inlineStr">
        <is>
          <t>多</t>
        </is>
      </c>
      <c r="D6069" t="n">
        <v>3</v>
      </c>
      <c r="E6069" t="n">
        <v>7</v>
      </c>
      <c r="F6069" t="inlineStr">
        <is>
          <t>不做</t>
        </is>
      </c>
      <c r="H6069" t="n">
        <v>7988</v>
      </c>
      <c r="J6069" t="n">
        <v>0</v>
      </c>
      <c r="K6069" t="inlineStr">
        <is>
          <t>组合风险已近10%，预算缩小</t>
        </is>
      </c>
    </row>
    <row r="6070">
      <c r="A6070" t="inlineStr">
        <is>
          <t>2026-08-31</t>
        </is>
      </c>
      <c r="B6070" t="inlineStr">
        <is>
          <t>沪锌</t>
        </is>
      </c>
      <c r="C6070" t="inlineStr">
        <is>
          <t>多</t>
        </is>
      </c>
      <c r="D6070" t="n">
        <v>3</v>
      </c>
      <c r="E6070" t="n">
        <v>7</v>
      </c>
      <c r="F6070" t="inlineStr">
        <is>
          <t>续持</t>
        </is>
      </c>
      <c r="G6070" t="n">
        <v>5</v>
      </c>
      <c r="H6070" t="n">
        <v>26710</v>
      </c>
      <c r="I6070" t="n">
        <v>25645</v>
      </c>
      <c r="J6070" t="n">
        <v>3</v>
      </c>
      <c r="K6070" t="inlineStr">
        <is>
          <t>续持原仓（2026-08-28开）</t>
        </is>
      </c>
    </row>
    <row r="6071">
      <c r="A6071" t="inlineStr">
        <is>
          <t>2026-08-31</t>
        </is>
      </c>
      <c r="B6071" t="inlineStr">
        <is>
          <t>苯乙烯</t>
        </is>
      </c>
      <c r="C6071" t="inlineStr">
        <is>
          <t>多</t>
        </is>
      </c>
      <c r="D6071" t="n">
        <v>3</v>
      </c>
      <c r="E6071" t="n">
        <v>7</v>
      </c>
      <c r="F6071" t="inlineStr">
        <is>
          <t>开仓</t>
        </is>
      </c>
      <c r="G6071" t="n">
        <v>7</v>
      </c>
      <c r="H6071" t="n">
        <v>9120</v>
      </c>
      <c r="I6071" t="n">
        <v>8367.209999999999</v>
      </c>
      <c r="J6071" t="n">
        <v>3</v>
      </c>
      <c r="K6071" t="inlineStr">
        <is>
          <t>¼凯利超上限，取3%</t>
        </is>
      </c>
    </row>
    <row r="6072">
      <c r="A6072" t="inlineStr">
        <is>
          <t>2026-08-31</t>
        </is>
      </c>
      <c r="B6072" t="inlineStr">
        <is>
          <t>聚丙烯</t>
        </is>
      </c>
      <c r="C6072" t="inlineStr">
        <is>
          <t>多</t>
        </is>
      </c>
      <c r="D6072" t="n">
        <v>3</v>
      </c>
      <c r="E6072" t="n">
        <v>6</v>
      </c>
      <c r="F6072" t="inlineStr">
        <is>
          <t>不做</t>
        </is>
      </c>
      <c r="H6072" t="n">
        <v>8366</v>
      </c>
      <c r="J6072" t="n">
        <v>0</v>
      </c>
      <c r="K6072" t="inlineStr">
        <is>
          <t>与苯乙烯高度相关（同组≤3%），预算缩小</t>
        </is>
      </c>
    </row>
    <row r="6073">
      <c r="A6073" t="inlineStr">
        <is>
          <t>2026-08-31</t>
        </is>
      </c>
      <c r="B6073" t="inlineStr">
        <is>
          <t>豆粕</t>
        </is>
      </c>
      <c r="C6073" t="inlineStr">
        <is>
          <t>多</t>
        </is>
      </c>
      <c r="D6073" t="n">
        <v>3</v>
      </c>
      <c r="E6073" t="n">
        <v>6</v>
      </c>
      <c r="F6073" t="inlineStr">
        <is>
          <t>续持</t>
        </is>
      </c>
      <c r="G6073" t="n">
        <v>9</v>
      </c>
      <c r="H6073" t="n">
        <v>3350</v>
      </c>
      <c r="I6073" t="n">
        <v>3239</v>
      </c>
      <c r="J6073" t="n">
        <v>1</v>
      </c>
      <c r="K6073" t="inlineStr">
        <is>
          <t>续持原仓（2026-08-18开）</t>
        </is>
      </c>
    </row>
    <row r="6074">
      <c r="A6074" t="inlineStr">
        <is>
          <t>2026-08-31</t>
        </is>
      </c>
      <c r="B6074" t="inlineStr">
        <is>
          <t>螺纹钢</t>
        </is>
      </c>
      <c r="C6074" t="inlineStr">
        <is>
          <t>多</t>
        </is>
      </c>
      <c r="D6074" t="n">
        <v>3</v>
      </c>
      <c r="E6074" t="n">
        <v>6</v>
      </c>
      <c r="F6074" t="inlineStr">
        <is>
          <t>开仓</t>
        </is>
      </c>
      <c r="G6074" t="n">
        <v>24</v>
      </c>
      <c r="H6074" t="n">
        <v>3197</v>
      </c>
      <c r="I6074" t="n">
        <v>3114.07</v>
      </c>
      <c r="J6074" t="n">
        <v>2</v>
      </c>
      <c r="K6074" t="inlineStr">
        <is>
          <t>组合风险已近10%，预算缩小</t>
        </is>
      </c>
    </row>
    <row r="6075">
      <c r="A6075" t="inlineStr">
        <is>
          <t>2026-09-01</t>
        </is>
      </c>
      <c r="B6075" t="inlineStr">
        <is>
          <t>沥青</t>
        </is>
      </c>
      <c r="C6075" t="inlineStr">
        <is>
          <t>多</t>
        </is>
      </c>
      <c r="D6075" t="n">
        <v>3</v>
      </c>
      <c r="E6075" t="n">
        <v>7</v>
      </c>
      <c r="F6075" t="inlineStr">
        <is>
          <t>开仓</t>
        </is>
      </c>
      <c r="G6075" t="n">
        <v>8</v>
      </c>
      <c r="H6075" t="n">
        <v>4934</v>
      </c>
      <c r="I6075" t="n">
        <v>4563.93</v>
      </c>
      <c r="J6075" t="n">
        <v>3</v>
      </c>
      <c r="K6075" t="inlineStr">
        <is>
          <t>¼凯利超上限，取3%</t>
        </is>
      </c>
    </row>
    <row r="6076">
      <c r="A6076" t="inlineStr">
        <is>
          <t>2026-09-01</t>
        </is>
      </c>
      <c r="B6076" t="inlineStr">
        <is>
          <t>沪锌</t>
        </is>
      </c>
      <c r="C6076" t="inlineStr">
        <is>
          <t>多</t>
        </is>
      </c>
      <c r="D6076" t="n">
        <v>3</v>
      </c>
      <c r="E6076" t="n">
        <v>7</v>
      </c>
      <c r="F6076" t="inlineStr">
        <is>
          <t>续持</t>
        </is>
      </c>
      <c r="G6076" t="n">
        <v>5</v>
      </c>
      <c r="H6076" t="n">
        <v>27070</v>
      </c>
      <c r="I6076" t="n">
        <v>25990.71</v>
      </c>
      <c r="J6076" t="n">
        <v>3</v>
      </c>
      <c r="K6076" t="inlineStr">
        <is>
          <t>续持原仓（2026-08-28开）</t>
        </is>
      </c>
    </row>
    <row r="6077">
      <c r="A6077" t="inlineStr">
        <is>
          <t>2026-09-01</t>
        </is>
      </c>
      <c r="B6077" t="inlineStr">
        <is>
          <t>豆油</t>
        </is>
      </c>
      <c r="C6077" t="inlineStr">
        <is>
          <t>多</t>
        </is>
      </c>
      <c r="D6077" t="n">
        <v>3</v>
      </c>
      <c r="E6077" t="n">
        <v>7</v>
      </c>
      <c r="F6077" t="inlineStr">
        <is>
          <t>开仓</t>
        </is>
      </c>
      <c r="G6077" t="n">
        <v>2</v>
      </c>
      <c r="H6077" t="n">
        <v>9098</v>
      </c>
      <c r="I6077" t="n">
        <v>8726.209999999999</v>
      </c>
      <c r="J6077" t="n">
        <v>1</v>
      </c>
      <c r="K6077" t="inlineStr">
        <is>
          <t>组合风险已近10%，预算缩小</t>
        </is>
      </c>
    </row>
    <row r="6078">
      <c r="A6078" t="inlineStr">
        <is>
          <t>2026-09-01</t>
        </is>
      </c>
      <c r="B6078" t="inlineStr">
        <is>
          <t>豆粕</t>
        </is>
      </c>
      <c r="C6078" t="inlineStr">
        <is>
          <t>多</t>
        </is>
      </c>
      <c r="D6078" t="n">
        <v>3</v>
      </c>
      <c r="E6078" t="n">
        <v>7</v>
      </c>
      <c r="F6078" t="inlineStr">
        <is>
          <t>续持</t>
        </is>
      </c>
      <c r="G6078" t="n">
        <v>9</v>
      </c>
      <c r="H6078" t="n">
        <v>3377</v>
      </c>
      <c r="I6078" t="n">
        <v>3248.43</v>
      </c>
      <c r="J6078" t="n">
        <v>1</v>
      </c>
      <c r="K6078" t="inlineStr">
        <is>
          <t>续持原仓（2026-08-18开）</t>
        </is>
      </c>
    </row>
    <row r="6079">
      <c r="A6079" t="inlineStr">
        <is>
          <t>2026-09-01</t>
        </is>
      </c>
      <c r="B6079" t="inlineStr">
        <is>
          <t>乙二醇</t>
        </is>
      </c>
      <c r="C6079" t="inlineStr">
        <is>
          <t>多</t>
        </is>
      </c>
      <c r="D6079" t="n">
        <v>3</v>
      </c>
      <c r="E6079" t="n">
        <v>7</v>
      </c>
      <c r="F6079" t="inlineStr">
        <is>
          <t>不做</t>
        </is>
      </c>
      <c r="H6079" t="n">
        <v>5525</v>
      </c>
      <c r="J6079" t="n">
        <v>0</v>
      </c>
      <c r="K6079" t="inlineStr">
        <is>
          <t>组合风险已近10%，预算缩小</t>
        </is>
      </c>
    </row>
    <row r="6080">
      <c r="A6080" t="inlineStr">
        <is>
          <t>2026-09-02</t>
        </is>
      </c>
      <c r="B6080" t="inlineStr">
        <is>
          <t>沪镍</t>
        </is>
      </c>
      <c r="C6080" t="inlineStr">
        <is>
          <t>空</t>
        </is>
      </c>
      <c r="D6080" t="n">
        <v>3</v>
      </c>
      <c r="E6080" t="n">
        <v>6</v>
      </c>
      <c r="F6080" t="inlineStr">
        <is>
          <t>开仓</t>
        </is>
      </c>
      <c r="G6080" t="n">
        <v>4</v>
      </c>
      <c r="H6080" t="n">
        <v>126910</v>
      </c>
      <c r="I6080" t="n">
        <v>133027.86</v>
      </c>
      <c r="J6080" t="n">
        <v>3</v>
      </c>
      <c r="K6080" t="inlineStr">
        <is>
          <t>¼凯利超上限，取3%</t>
        </is>
      </c>
    </row>
    <row r="6081">
      <c r="A6081" t="inlineStr">
        <is>
          <t>2026-09-02</t>
        </is>
      </c>
      <c r="B6081" t="inlineStr">
        <is>
          <t>豆油</t>
        </is>
      </c>
      <c r="C6081" t="inlineStr">
        <is>
          <t>多</t>
        </is>
      </c>
      <c r="D6081" t="n">
        <v>3</v>
      </c>
      <c r="E6081" t="n">
        <v>6</v>
      </c>
      <c r="F6081" t="inlineStr">
        <is>
          <t>续持</t>
        </is>
      </c>
      <c r="G6081" t="n">
        <v>2</v>
      </c>
      <c r="H6081" t="n">
        <v>9113</v>
      </c>
      <c r="I6081" t="n">
        <v>8851.209999999999</v>
      </c>
      <c r="J6081" t="n">
        <v>1</v>
      </c>
      <c r="K6081" t="inlineStr">
        <is>
          <t>续持原仓（2026-09-01开）</t>
        </is>
      </c>
    </row>
    <row r="6082">
      <c r="A6082" t="inlineStr">
        <is>
          <t>2026-09-02</t>
        </is>
      </c>
      <c r="B6082" t="inlineStr">
        <is>
          <t>玉米</t>
        </is>
      </c>
      <c r="C6082" t="inlineStr">
        <is>
          <t>多</t>
        </is>
      </c>
      <c r="D6082" t="n">
        <v>2</v>
      </c>
      <c r="E6082" t="n">
        <v>5</v>
      </c>
      <c r="F6082" t="inlineStr">
        <is>
          <t>观望</t>
        </is>
      </c>
      <c r="G6082" t="n">
        <v>16</v>
      </c>
      <c r="H6082" t="n">
        <v>2289</v>
      </c>
      <c r="I6082" t="n">
        <v>2227.71</v>
      </c>
      <c r="J6082" t="n">
        <v>1</v>
      </c>
      <c r="K6082" t="inlineStr">
        <is>
          <t>逆5日线（收盘在5日线下，不追多）</t>
        </is>
      </c>
    </row>
    <row r="6083">
      <c r="A6083" t="inlineStr">
        <is>
          <t>2026-09-02</t>
        </is>
      </c>
      <c r="B6083" t="inlineStr">
        <is>
          <t>锰硅</t>
        </is>
      </c>
      <c r="C6083" t="inlineStr">
        <is>
          <t>多</t>
        </is>
      </c>
      <c r="D6083" t="n">
        <v>2</v>
      </c>
      <c r="E6083" t="n">
        <v>5</v>
      </c>
      <c r="F6083" t="inlineStr">
        <is>
          <t>影子仓</t>
        </is>
      </c>
      <c r="G6083" t="n">
        <v>9</v>
      </c>
      <c r="H6083" t="n">
        <v>6062</v>
      </c>
      <c r="I6083" t="n">
        <v>5858.86</v>
      </c>
      <c r="J6083" t="n">
        <v>1</v>
      </c>
      <c r="K6083" t="inlineStr">
        <is>
          <t>凯利≤0，开1%影子仓（只统计，不计入组合）</t>
        </is>
      </c>
    </row>
    <row r="6084">
      <c r="A6084" t="inlineStr">
        <is>
          <t>2026-09-02</t>
        </is>
      </c>
      <c r="B6084" t="inlineStr">
        <is>
          <t>菜粕</t>
        </is>
      </c>
      <c r="C6084" t="inlineStr">
        <is>
          <t>多</t>
        </is>
      </c>
      <c r="D6084" t="n">
        <v>2</v>
      </c>
      <c r="E6084" t="n">
        <v>5</v>
      </c>
      <c r="F6084" t="inlineStr">
        <is>
          <t>观望</t>
        </is>
      </c>
      <c r="G6084" t="n">
        <v>7</v>
      </c>
      <c r="H6084" t="n">
        <v>2317</v>
      </c>
      <c r="I6084" t="n">
        <v>2178.14</v>
      </c>
      <c r="J6084" t="n">
        <v>1</v>
      </c>
      <c r="K6084" t="inlineStr">
        <is>
          <t>逆5日线（收盘在5日线下，不追多）</t>
        </is>
      </c>
    </row>
    <row r="6085">
      <c r="A6085" t="inlineStr">
        <is>
          <t>2026-09-02</t>
        </is>
      </c>
      <c r="B6085" t="inlineStr">
        <is>
          <t>热卷</t>
        </is>
      </c>
      <c r="C6085" t="inlineStr">
        <is>
          <t>多</t>
        </is>
      </c>
      <c r="D6085" t="n">
        <v>2</v>
      </c>
      <c r="E6085" t="n">
        <v>4</v>
      </c>
      <c r="F6085" t="inlineStr">
        <is>
          <t>观望</t>
        </is>
      </c>
      <c r="G6085" t="n">
        <v>11</v>
      </c>
      <c r="H6085" t="n">
        <v>3365</v>
      </c>
      <c r="I6085" t="n">
        <v>3274.14</v>
      </c>
      <c r="J6085" t="n">
        <v>1</v>
      </c>
      <c r="K6085" t="inlineStr">
        <is>
          <t>逆5日线（收盘在5日线下，不追多）</t>
        </is>
      </c>
    </row>
    <row r="6086">
      <c r="A6086" t="inlineStr">
        <is>
          <t>2026-09-03</t>
        </is>
      </c>
      <c r="B6086" t="inlineStr">
        <is>
          <t>苯乙烯</t>
        </is>
      </c>
      <c r="C6086" t="inlineStr">
        <is>
          <t>多</t>
        </is>
      </c>
      <c r="D6086" t="n">
        <v>3</v>
      </c>
      <c r="E6086" t="n">
        <v>7</v>
      </c>
      <c r="F6086" t="inlineStr">
        <is>
          <t>开仓</t>
        </is>
      </c>
      <c r="G6086" t="n">
        <v>6</v>
      </c>
      <c r="H6086" t="n">
        <v>9565</v>
      </c>
      <c r="I6086" t="n">
        <v>8682.57</v>
      </c>
      <c r="J6086" t="n">
        <v>3</v>
      </c>
      <c r="K6086" t="inlineStr">
        <is>
          <t>¼凯利超上限，取3%</t>
        </is>
      </c>
    </row>
    <row r="6087">
      <c r="A6087" t="inlineStr">
        <is>
          <t>2026-09-03</t>
        </is>
      </c>
      <c r="B6087" t="inlineStr">
        <is>
          <t>豆二</t>
        </is>
      </c>
      <c r="C6087" t="inlineStr">
        <is>
          <t>多</t>
        </is>
      </c>
      <c r="D6087" t="n">
        <v>3</v>
      </c>
      <c r="E6087" t="n">
        <v>7</v>
      </c>
      <c r="F6087" t="inlineStr">
        <is>
          <t>不做</t>
        </is>
      </c>
      <c r="H6087" t="n">
        <v>4137</v>
      </c>
      <c r="J6087" t="n">
        <v>0</v>
      </c>
      <c r="K6087" t="inlineStr">
        <is>
          <t>组合风险已近10%，预算缩小</t>
        </is>
      </c>
    </row>
    <row r="6088">
      <c r="A6088" t="inlineStr">
        <is>
          <t>2026-09-03</t>
        </is>
      </c>
      <c r="B6088" t="inlineStr">
        <is>
          <t>白糖</t>
        </is>
      </c>
      <c r="C6088" t="inlineStr">
        <is>
          <t>多</t>
        </is>
      </c>
      <c r="D6088" t="n">
        <v>3</v>
      </c>
      <c r="E6088" t="n">
        <v>7</v>
      </c>
      <c r="F6088" t="inlineStr">
        <is>
          <t>不做</t>
        </is>
      </c>
      <c r="H6088" t="n">
        <v>5433</v>
      </c>
      <c r="J6088" t="n">
        <v>0</v>
      </c>
      <c r="K6088" t="inlineStr">
        <is>
          <t>组合风险已近10%，预算缩小</t>
        </is>
      </c>
    </row>
    <row r="6089">
      <c r="A6089" t="inlineStr">
        <is>
          <t>2026-09-03</t>
        </is>
      </c>
      <c r="B6089" t="inlineStr">
        <is>
          <t>豆粕</t>
        </is>
      </c>
      <c r="C6089" t="inlineStr">
        <is>
          <t>多</t>
        </is>
      </c>
      <c r="D6089" t="n">
        <v>3</v>
      </c>
      <c r="E6089" t="n">
        <v>6</v>
      </c>
      <c r="F6089" t="inlineStr">
        <is>
          <t>不做</t>
        </is>
      </c>
      <c r="H6089" t="n">
        <v>3382</v>
      </c>
      <c r="J6089" t="n">
        <v>0</v>
      </c>
      <c r="K6089" t="inlineStr">
        <is>
          <t>组合风险已近10%，预算缩小</t>
        </is>
      </c>
    </row>
    <row r="6090">
      <c r="A6090" t="inlineStr">
        <is>
          <t>2026-09-03</t>
        </is>
      </c>
      <c r="B6090" t="inlineStr">
        <is>
          <t>豆油</t>
        </is>
      </c>
      <c r="C6090" t="inlineStr">
        <is>
          <t>多</t>
        </is>
      </c>
      <c r="D6090" t="n">
        <v>3</v>
      </c>
      <c r="E6090" t="n">
        <v>6</v>
      </c>
      <c r="F6090" t="inlineStr">
        <is>
          <t>续持</t>
        </is>
      </c>
      <c r="G6090" t="n">
        <v>2</v>
      </c>
      <c r="H6090" t="n">
        <v>9123</v>
      </c>
      <c r="I6090" t="n">
        <v>8851.209999999999</v>
      </c>
      <c r="J6090" t="n">
        <v>1</v>
      </c>
      <c r="K6090" t="inlineStr">
        <is>
          <t>续持原仓（2026-09-01开）</t>
        </is>
      </c>
    </row>
    <row r="6091">
      <c r="A6091" t="inlineStr">
        <is>
          <t>2026-09-04</t>
        </is>
      </c>
      <c r="B6091" t="inlineStr">
        <is>
          <t>豆油</t>
        </is>
      </c>
      <c r="C6091" t="inlineStr">
        <is>
          <t>多</t>
        </is>
      </c>
      <c r="D6091" t="n">
        <v>3</v>
      </c>
      <c r="E6091" t="n">
        <v>7</v>
      </c>
      <c r="F6091" t="inlineStr">
        <is>
          <t>续持</t>
        </is>
      </c>
      <c r="G6091" t="n">
        <v>2</v>
      </c>
      <c r="H6091" t="n">
        <v>9165</v>
      </c>
      <c r="I6091" t="n">
        <v>8851.209999999999</v>
      </c>
      <c r="J6091" t="n">
        <v>1</v>
      </c>
      <c r="K6091" t="inlineStr">
        <is>
          <t>续持原仓（2026-09-01开）</t>
        </is>
      </c>
    </row>
    <row r="6092">
      <c r="A6092" t="inlineStr">
        <is>
          <t>2026-09-04</t>
        </is>
      </c>
      <c r="B6092" t="inlineStr">
        <is>
          <t>聚丙烯</t>
        </is>
      </c>
      <c r="C6092" t="inlineStr">
        <is>
          <t>多</t>
        </is>
      </c>
      <c r="D6092" t="n">
        <v>3</v>
      </c>
      <c r="E6092" t="n">
        <v>7</v>
      </c>
      <c r="F6092" t="inlineStr">
        <is>
          <t>开仓</t>
        </is>
      </c>
      <c r="G6092" t="n">
        <v>9</v>
      </c>
      <c r="H6092" t="n">
        <v>8567</v>
      </c>
      <c r="I6092" t="n">
        <v>7922.86</v>
      </c>
      <c r="J6092" t="n">
        <v>3</v>
      </c>
      <c r="K6092" t="inlineStr">
        <is>
          <t>¼凯利超上限，取3%</t>
        </is>
      </c>
    </row>
    <row r="6093">
      <c r="A6093" t="inlineStr">
        <is>
          <t>2026-09-04</t>
        </is>
      </c>
      <c r="B6093" t="inlineStr">
        <is>
          <t>沥青</t>
        </is>
      </c>
      <c r="C6093" t="inlineStr">
        <is>
          <t>多</t>
        </is>
      </c>
      <c r="D6093" t="n">
        <v>3</v>
      </c>
      <c r="E6093" t="n">
        <v>7</v>
      </c>
      <c r="F6093" t="inlineStr">
        <is>
          <t>不做</t>
        </is>
      </c>
      <c r="H6093" t="n">
        <v>4769</v>
      </c>
      <c r="J6093" t="n">
        <v>0</v>
      </c>
      <c r="K6093" t="inlineStr">
        <is>
          <t>与聚丙烯高度相关（同组≤3%），预算缩小</t>
        </is>
      </c>
    </row>
    <row r="6094">
      <c r="A6094" t="inlineStr">
        <is>
          <t>2026-09-04</t>
        </is>
      </c>
      <c r="B6094" t="inlineStr">
        <is>
          <t>乙二醇</t>
        </is>
      </c>
      <c r="C6094" t="inlineStr">
        <is>
          <t>多</t>
        </is>
      </c>
      <c r="D6094" t="n">
        <v>3</v>
      </c>
      <c r="E6094" t="n">
        <v>7</v>
      </c>
      <c r="F6094" t="inlineStr">
        <is>
          <t>开仓</t>
        </is>
      </c>
      <c r="G6094" t="n">
        <v>4</v>
      </c>
      <c r="H6094" t="n">
        <v>5898</v>
      </c>
      <c r="I6094" t="n">
        <v>5211</v>
      </c>
      <c r="J6094" t="n">
        <v>3</v>
      </c>
      <c r="K6094" t="inlineStr">
        <is>
          <t>¼凯利超上限，取3%</t>
        </is>
      </c>
    </row>
    <row r="6095">
      <c r="A6095" t="inlineStr">
        <is>
          <t>2026-09-04</t>
        </is>
      </c>
      <c r="B6095" t="inlineStr">
        <is>
          <t>豆二</t>
        </is>
      </c>
      <c r="C6095" t="inlineStr">
        <is>
          <t>多</t>
        </is>
      </c>
      <c r="D6095" t="n">
        <v>3</v>
      </c>
      <c r="E6095" t="n">
        <v>7</v>
      </c>
      <c r="F6095" t="inlineStr">
        <is>
          <t>开仓</t>
        </is>
      </c>
      <c r="G6095" t="n">
        <v>12</v>
      </c>
      <c r="H6095" t="n">
        <v>4198</v>
      </c>
      <c r="I6095" t="n">
        <v>3966.14</v>
      </c>
      <c r="J6095" t="n">
        <v>3</v>
      </c>
      <c r="K6095" t="inlineStr">
        <is>
          <t>¼凯利超上限，取3%</t>
        </is>
      </c>
    </row>
    <row r="6096">
      <c r="A6096" t="inlineStr">
        <is>
          <t>2026-09-07</t>
        </is>
      </c>
      <c r="B6096" t="inlineStr">
        <is>
          <t>沪锌</t>
        </is>
      </c>
      <c r="C6096" t="inlineStr">
        <is>
          <t>多</t>
        </is>
      </c>
      <c r="D6096" t="n">
        <v>3</v>
      </c>
      <c r="E6096" t="n">
        <v>7</v>
      </c>
      <c r="F6096" t="inlineStr">
        <is>
          <t>开仓</t>
        </is>
      </c>
      <c r="G6096" t="n">
        <v>4</v>
      </c>
      <c r="H6096" t="n">
        <v>27095</v>
      </c>
      <c r="I6096" t="n">
        <v>25750.36</v>
      </c>
      <c r="J6096" t="n">
        <v>3</v>
      </c>
      <c r="K6096" t="inlineStr">
        <is>
          <t>¼凯利超上限，取3%</t>
        </is>
      </c>
    </row>
    <row r="6097">
      <c r="A6097" t="inlineStr">
        <is>
          <t>2026-09-07</t>
        </is>
      </c>
      <c r="B6097" t="inlineStr">
        <is>
          <t>甲醇</t>
        </is>
      </c>
      <c r="C6097" t="inlineStr">
        <is>
          <t>多</t>
        </is>
      </c>
      <c r="D6097" t="n">
        <v>3</v>
      </c>
      <c r="E6097" t="n">
        <v>6</v>
      </c>
      <c r="F6097" t="inlineStr">
        <is>
          <t>不做</t>
        </is>
      </c>
      <c r="H6097" t="n">
        <v>3212</v>
      </c>
      <c r="J6097" t="n">
        <v>0</v>
      </c>
      <c r="K6097" t="inlineStr">
        <is>
          <t>与聚丙烯高度相关（同组≤3%），预算缩小</t>
        </is>
      </c>
    </row>
    <row r="6098">
      <c r="A6098" t="inlineStr">
        <is>
          <t>2026-09-07</t>
        </is>
      </c>
      <c r="B6098" t="inlineStr">
        <is>
          <t>白糖</t>
        </is>
      </c>
      <c r="C6098" t="inlineStr">
        <is>
          <t>多</t>
        </is>
      </c>
      <c r="D6098" t="n">
        <v>3</v>
      </c>
      <c r="E6098" t="n">
        <v>6</v>
      </c>
      <c r="F6098" t="inlineStr">
        <is>
          <t>不做</t>
        </is>
      </c>
      <c r="H6098" t="n">
        <v>5456</v>
      </c>
      <c r="J6098" t="n">
        <v>0</v>
      </c>
      <c r="K6098" t="inlineStr">
        <is>
          <t>组合风险已近10%，预算缩小</t>
        </is>
      </c>
    </row>
    <row r="6099">
      <c r="A6099" t="inlineStr">
        <is>
          <t>2026-09-07</t>
        </is>
      </c>
      <c r="B6099" t="inlineStr">
        <is>
          <t>豆油</t>
        </is>
      </c>
      <c r="C6099" t="inlineStr">
        <is>
          <t>多</t>
        </is>
      </c>
      <c r="D6099" t="n">
        <v>2</v>
      </c>
      <c r="E6099" t="n">
        <v>5</v>
      </c>
      <c r="F6099" t="inlineStr">
        <is>
          <t>续持</t>
        </is>
      </c>
      <c r="G6099" t="n">
        <v>2</v>
      </c>
      <c r="H6099" t="n">
        <v>9172</v>
      </c>
      <c r="I6099" t="n">
        <v>8851.209999999999</v>
      </c>
      <c r="J6099" t="n">
        <v>1</v>
      </c>
      <c r="K6099" t="inlineStr">
        <is>
          <t>续持原仓（2026-09-01开）</t>
        </is>
      </c>
    </row>
    <row r="6100">
      <c r="A6100" t="inlineStr">
        <is>
          <t>2026-09-07</t>
        </is>
      </c>
      <c r="B6100" t="inlineStr">
        <is>
          <t>豆粕</t>
        </is>
      </c>
      <c r="C6100" t="inlineStr">
        <is>
          <t>多</t>
        </is>
      </c>
      <c r="D6100" t="n">
        <v>2</v>
      </c>
      <c r="E6100" t="n">
        <v>5</v>
      </c>
      <c r="F6100" t="inlineStr">
        <is>
          <t>影子仓</t>
        </is>
      </c>
      <c r="G6100" t="n">
        <v>5</v>
      </c>
      <c r="H6100" t="n">
        <v>3408</v>
      </c>
      <c r="I6100" t="n">
        <v>3240.64</v>
      </c>
      <c r="J6100" t="n">
        <v>1</v>
      </c>
      <c r="K6100" t="inlineStr">
        <is>
          <t>凯利≤0，开1%影子仓（只统计，不计入组合）</t>
        </is>
      </c>
    </row>
    <row r="6101">
      <c r="A6101" t="inlineStr">
        <is>
          <t>2026-09-08</t>
        </is>
      </c>
      <c r="B6101" t="inlineStr">
        <is>
          <t>甲醇</t>
        </is>
      </c>
      <c r="C6101" t="inlineStr">
        <is>
          <t>多</t>
        </is>
      </c>
      <c r="D6101" t="n">
        <v>3</v>
      </c>
      <c r="E6101" t="n">
        <v>7</v>
      </c>
      <c r="F6101" t="inlineStr">
        <is>
          <t>不做</t>
        </is>
      </c>
      <c r="H6101" t="n">
        <v>3359</v>
      </c>
      <c r="J6101" t="n">
        <v>0</v>
      </c>
      <c r="K6101" t="inlineStr">
        <is>
          <t>与聚丙烯高度相关（同组≤3%），预算缩小</t>
        </is>
      </c>
    </row>
    <row r="6102">
      <c r="A6102" t="inlineStr">
        <is>
          <t>2026-09-08</t>
        </is>
      </c>
      <c r="B6102" t="inlineStr">
        <is>
          <t>聚丙烯</t>
        </is>
      </c>
      <c r="C6102" t="inlineStr">
        <is>
          <t>多</t>
        </is>
      </c>
      <c r="D6102" t="n">
        <v>3</v>
      </c>
      <c r="E6102" t="n">
        <v>7</v>
      </c>
      <c r="F6102" t="inlineStr">
        <is>
          <t>续持</t>
        </is>
      </c>
      <c r="G6102" t="n">
        <v>9</v>
      </c>
      <c r="H6102" t="n">
        <v>8785</v>
      </c>
      <c r="I6102" t="n">
        <v>8130.29</v>
      </c>
      <c r="J6102" t="n">
        <v>3</v>
      </c>
      <c r="K6102" t="inlineStr">
        <is>
          <t>续持原仓（2026-09-04开）</t>
        </is>
      </c>
    </row>
    <row r="6103">
      <c r="A6103" t="inlineStr">
        <is>
          <t>2026-09-08</t>
        </is>
      </c>
      <c r="B6103" t="inlineStr">
        <is>
          <t>塑料</t>
        </is>
      </c>
      <c r="C6103" t="inlineStr">
        <is>
          <t>多</t>
        </is>
      </c>
      <c r="D6103" t="n">
        <v>3</v>
      </c>
      <c r="E6103" t="n">
        <v>7</v>
      </c>
      <c r="F6103" t="inlineStr">
        <is>
          <t>不做</t>
        </is>
      </c>
      <c r="H6103" t="n">
        <v>8494</v>
      </c>
      <c r="J6103" t="n">
        <v>0</v>
      </c>
      <c r="K6103" t="inlineStr">
        <is>
          <t>与聚丙烯高度相关（同组≤3%），预算缩小</t>
        </is>
      </c>
    </row>
    <row r="6104">
      <c r="A6104" t="inlineStr">
        <is>
          <t>2026-09-08</t>
        </is>
      </c>
      <c r="B6104" t="inlineStr">
        <is>
          <t>沪铜</t>
        </is>
      </c>
      <c r="C6104" t="inlineStr">
        <is>
          <t>多</t>
        </is>
      </c>
      <c r="D6104" t="n">
        <v>3</v>
      </c>
      <c r="E6104" t="n">
        <v>7</v>
      </c>
      <c r="F6104" t="inlineStr">
        <is>
          <t>开仓</t>
        </is>
      </c>
      <c r="G6104" t="n">
        <v>1</v>
      </c>
      <c r="H6104" t="n">
        <v>110620</v>
      </c>
      <c r="I6104" t="n">
        <v>107407.86</v>
      </c>
      <c r="J6104" t="n">
        <v>3</v>
      </c>
      <c r="K6104" t="inlineStr">
        <is>
          <t>¼凯利超上限，取3%</t>
        </is>
      </c>
    </row>
    <row r="6105">
      <c r="A6105" t="inlineStr">
        <is>
          <t>2026-09-08</t>
        </is>
      </c>
      <c r="B6105" t="inlineStr">
        <is>
          <t>乙二醇</t>
        </is>
      </c>
      <c r="C6105" t="inlineStr">
        <is>
          <t>多</t>
        </is>
      </c>
      <c r="D6105" t="n">
        <v>3</v>
      </c>
      <c r="E6105" t="n">
        <v>7</v>
      </c>
      <c r="F6105" t="inlineStr">
        <is>
          <t>不做</t>
        </is>
      </c>
      <c r="H6105" t="n">
        <v>5925</v>
      </c>
      <c r="J6105" t="n">
        <v>0</v>
      </c>
      <c r="K6105" t="inlineStr">
        <is>
          <t>组合风险已近10%，预算缩小</t>
        </is>
      </c>
    </row>
    <row r="6106">
      <c r="A6106" t="inlineStr">
        <is>
          <t>2026-09-09</t>
        </is>
      </c>
      <c r="B6106" t="inlineStr">
        <is>
          <t>沥青</t>
        </is>
      </c>
      <c r="C6106" t="inlineStr">
        <is>
          <t>多</t>
        </is>
      </c>
      <c r="D6106" t="n">
        <v>3</v>
      </c>
      <c r="E6106" t="n">
        <v>7</v>
      </c>
      <c r="F6106" t="inlineStr">
        <is>
          <t>不做</t>
        </is>
      </c>
      <c r="H6106" t="n">
        <v>5029</v>
      </c>
      <c r="J6106" t="n">
        <v>0</v>
      </c>
      <c r="K6106" t="inlineStr">
        <is>
          <t>与聚丙烯高度相关（同组≤3%），预算缩小</t>
        </is>
      </c>
    </row>
    <row r="6107">
      <c r="A6107" t="inlineStr">
        <is>
          <t>2026-09-09</t>
        </is>
      </c>
      <c r="B6107" t="inlineStr">
        <is>
          <t>苯乙烯</t>
        </is>
      </c>
      <c r="C6107" t="inlineStr">
        <is>
          <t>多</t>
        </is>
      </c>
      <c r="D6107" t="n">
        <v>3</v>
      </c>
      <c r="E6107" t="n">
        <v>7</v>
      </c>
      <c r="F6107" t="inlineStr">
        <is>
          <t>不做</t>
        </is>
      </c>
      <c r="H6107" t="n">
        <v>9928</v>
      </c>
      <c r="J6107" t="n">
        <v>0</v>
      </c>
      <c r="K6107" t="inlineStr">
        <is>
          <t>与聚丙烯高度相关（同组≤3%），预算缩小</t>
        </is>
      </c>
    </row>
    <row r="6108">
      <c r="A6108" t="inlineStr">
        <is>
          <t>2026-09-09</t>
        </is>
      </c>
      <c r="B6108" t="inlineStr">
        <is>
          <t>豆二</t>
        </is>
      </c>
      <c r="C6108" t="inlineStr">
        <is>
          <t>多</t>
        </is>
      </c>
      <c r="D6108" t="n">
        <v>3</v>
      </c>
      <c r="E6108" t="n">
        <v>7</v>
      </c>
      <c r="F6108" t="inlineStr">
        <is>
          <t>开仓</t>
        </is>
      </c>
      <c r="G6108" t="n">
        <v>13</v>
      </c>
      <c r="H6108" t="n">
        <v>4184</v>
      </c>
      <c r="I6108" t="n">
        <v>3955.14</v>
      </c>
      <c r="J6108" t="n">
        <v>3</v>
      </c>
      <c r="K6108" t="inlineStr">
        <is>
          <t>¼凯利超上限，取3%</t>
        </is>
      </c>
    </row>
    <row r="6109">
      <c r="A6109" t="inlineStr">
        <is>
          <t>2026-09-09</t>
        </is>
      </c>
      <c r="B6109" t="inlineStr">
        <is>
          <t>沪铜</t>
        </is>
      </c>
      <c r="C6109" t="inlineStr">
        <is>
          <t>多</t>
        </is>
      </c>
      <c r="D6109" t="n">
        <v>3</v>
      </c>
      <c r="E6109" t="n">
        <v>6</v>
      </c>
      <c r="F6109" t="inlineStr">
        <is>
          <t>续持</t>
        </is>
      </c>
      <c r="G6109" t="n">
        <v>1</v>
      </c>
      <c r="H6109" t="n">
        <v>111080</v>
      </c>
      <c r="I6109" t="n">
        <v>108340.71</v>
      </c>
      <c r="J6109" t="n">
        <v>3</v>
      </c>
      <c r="K6109" t="inlineStr">
        <is>
          <t>续持原仓（2026-09-08开）</t>
        </is>
      </c>
    </row>
    <row r="6110">
      <c r="A6110" t="inlineStr">
        <is>
          <t>2026-09-09</t>
        </is>
      </c>
      <c r="B6110" t="inlineStr">
        <is>
          <t>棕榈油</t>
        </is>
      </c>
      <c r="C6110" t="inlineStr">
        <is>
          <t>多</t>
        </is>
      </c>
      <c r="D6110" t="n">
        <v>3</v>
      </c>
      <c r="E6110" t="n">
        <v>6</v>
      </c>
      <c r="F6110" t="inlineStr">
        <is>
          <t>不做</t>
        </is>
      </c>
      <c r="H6110" t="n">
        <v>10307</v>
      </c>
      <c r="J6110" t="n">
        <v>0</v>
      </c>
      <c r="K6110" t="inlineStr">
        <is>
          <t>组合风险已近10%，预算缩小</t>
        </is>
      </c>
    </row>
    <row r="6111">
      <c r="A6111" t="inlineStr">
        <is>
          <t>2026-09-09</t>
        </is>
      </c>
      <c r="B6111" t="inlineStr">
        <is>
          <t>玻璃</t>
        </is>
      </c>
      <c r="C6111" t="inlineStr">
        <is>
          <t>空</t>
        </is>
      </c>
      <c r="D6111" t="n">
        <v>2</v>
      </c>
      <c r="E6111" t="n">
        <v>4</v>
      </c>
      <c r="F6111" t="inlineStr">
        <is>
          <t>影子仓</t>
        </is>
      </c>
      <c r="G6111" t="n">
        <v>7</v>
      </c>
      <c r="H6111" t="n">
        <v>969</v>
      </c>
      <c r="I6111" t="n">
        <v>1038</v>
      </c>
      <c r="J6111" t="n">
        <v>1</v>
      </c>
      <c r="K6111" t="inlineStr">
        <is>
          <t>凯利≤0，开1%影子仓（只统计，不计入组合）</t>
        </is>
      </c>
    </row>
    <row r="6112">
      <c r="A6112" t="inlineStr">
        <is>
          <t>2026-09-09</t>
        </is>
      </c>
      <c r="B6112" t="inlineStr">
        <is>
          <t>PTA</t>
        </is>
      </c>
      <c r="C6112" t="inlineStr">
        <is>
          <t>空</t>
        </is>
      </c>
      <c r="D6112" t="n">
        <v>2</v>
      </c>
      <c r="E6112" t="n">
        <v>4</v>
      </c>
      <c r="F6112" t="inlineStr">
        <is>
          <t>观望</t>
        </is>
      </c>
      <c r="G6112" t="n">
        <v>3</v>
      </c>
      <c r="H6112" t="n">
        <v>6188</v>
      </c>
      <c r="I6112" t="n">
        <v>6744.29</v>
      </c>
      <c r="J6112" t="n">
        <v>1</v>
      </c>
      <c r="K6112" t="inlineStr">
        <is>
          <t>逆5日线（收盘在5日线上，不追空）</t>
        </is>
      </c>
    </row>
    <row r="6113">
      <c r="A6113" t="inlineStr">
        <is>
          <t>2026-09-10</t>
        </is>
      </c>
      <c r="B6113" t="inlineStr">
        <is>
          <t>沪铜</t>
        </is>
      </c>
      <c r="C6113" t="inlineStr">
        <is>
          <t>多</t>
        </is>
      </c>
      <c r="D6113" t="n">
        <v>3</v>
      </c>
      <c r="E6113" t="n">
        <v>7</v>
      </c>
      <c r="F6113" t="inlineStr">
        <is>
          <t>续持</t>
        </is>
      </c>
      <c r="G6113" t="n">
        <v>1</v>
      </c>
      <c r="H6113" t="n">
        <v>112200</v>
      </c>
      <c r="I6113" t="n">
        <v>109008.57</v>
      </c>
      <c r="J6113" t="n">
        <v>3</v>
      </c>
      <c r="K6113" t="inlineStr">
        <is>
          <t>续持原仓（2026-09-08开）</t>
        </is>
      </c>
    </row>
    <row r="6114">
      <c r="A6114" t="inlineStr">
        <is>
          <t>2026-09-10</t>
        </is>
      </c>
      <c r="B6114" t="inlineStr">
        <is>
          <t>沥青</t>
        </is>
      </c>
      <c r="C6114" t="inlineStr">
        <is>
          <t>多</t>
        </is>
      </c>
      <c r="D6114" t="n">
        <v>3</v>
      </c>
      <c r="E6114" t="n">
        <v>6</v>
      </c>
      <c r="F6114" t="inlineStr">
        <is>
          <t>开仓</t>
        </is>
      </c>
      <c r="G6114" t="n">
        <v>5</v>
      </c>
      <c r="H6114" t="n">
        <v>5084</v>
      </c>
      <c r="I6114" t="n">
        <v>4570.79</v>
      </c>
      <c r="J6114" t="n">
        <v>3</v>
      </c>
      <c r="K6114" t="inlineStr">
        <is>
          <t>¼凯利超上限，取3%</t>
        </is>
      </c>
    </row>
    <row r="6115">
      <c r="A6115" t="inlineStr">
        <is>
          <t>2026-09-10</t>
        </is>
      </c>
      <c r="B6115" t="inlineStr">
        <is>
          <t>塑料</t>
        </is>
      </c>
      <c r="C6115" t="inlineStr">
        <is>
          <t>多</t>
        </is>
      </c>
      <c r="D6115" t="n">
        <v>3</v>
      </c>
      <c r="E6115" t="n">
        <v>6</v>
      </c>
      <c r="F6115" t="inlineStr">
        <is>
          <t>不做</t>
        </is>
      </c>
      <c r="H6115" t="n">
        <v>8583</v>
      </c>
      <c r="J6115" t="n">
        <v>0</v>
      </c>
      <c r="K6115" t="inlineStr">
        <is>
          <t>与沥青高度相关（同组≤3%），预算缩小</t>
        </is>
      </c>
    </row>
    <row r="6116">
      <c r="A6116" t="inlineStr">
        <is>
          <t>2026-09-10</t>
        </is>
      </c>
      <c r="B6116" t="inlineStr">
        <is>
          <t>苯乙烯</t>
        </is>
      </c>
      <c r="C6116" t="inlineStr">
        <is>
          <t>多</t>
        </is>
      </c>
      <c r="D6116" t="n">
        <v>2</v>
      </c>
      <c r="E6116" t="n">
        <v>5</v>
      </c>
      <c r="F6116" t="inlineStr">
        <is>
          <t>影子仓</t>
        </is>
      </c>
      <c r="G6116" t="n">
        <v>1</v>
      </c>
      <c r="H6116" t="n">
        <v>10307</v>
      </c>
      <c r="I6116" t="n">
        <v>9270.709999999999</v>
      </c>
      <c r="J6116" t="n">
        <v>1</v>
      </c>
      <c r="K6116" t="inlineStr">
        <is>
          <t>凯利≤0，开1%影子仓（只统计，不计入组合）</t>
        </is>
      </c>
    </row>
    <row r="6117">
      <c r="A6117" t="inlineStr">
        <is>
          <t>2026-09-10</t>
        </is>
      </c>
      <c r="B6117" t="inlineStr">
        <is>
          <t>乙二醇</t>
        </is>
      </c>
      <c r="C6117" t="inlineStr">
        <is>
          <t>多</t>
        </is>
      </c>
      <c r="D6117" t="n">
        <v>2</v>
      </c>
      <c r="E6117" t="n">
        <v>5</v>
      </c>
      <c r="F6117" t="inlineStr">
        <is>
          <t>影子仓</t>
        </is>
      </c>
      <c r="G6117" t="n">
        <v>1</v>
      </c>
      <c r="H6117" t="n">
        <v>5917</v>
      </c>
      <c r="I6117" t="n">
        <v>5131.64</v>
      </c>
      <c r="J6117" t="n">
        <v>1</v>
      </c>
      <c r="K6117" t="inlineStr">
        <is>
          <t>凯利≤0，开1%影子仓（只统计，不计入组合）</t>
        </is>
      </c>
    </row>
    <row r="6118">
      <c r="A6118" t="inlineStr">
        <is>
          <t>2026-09-10</t>
        </is>
      </c>
      <c r="B6118" t="inlineStr">
        <is>
          <t>玻璃</t>
        </is>
      </c>
      <c r="C6118" t="inlineStr">
        <is>
          <t>空</t>
        </is>
      </c>
      <c r="D6118" t="n">
        <v>2</v>
      </c>
      <c r="E6118" t="n">
        <v>4</v>
      </c>
      <c r="F6118" t="inlineStr">
        <is>
          <t>续持</t>
        </is>
      </c>
      <c r="G6118" t="n">
        <v>7</v>
      </c>
      <c r="H6118" t="n">
        <v>964</v>
      </c>
      <c r="I6118" t="n">
        <v>1020.64</v>
      </c>
      <c r="J6118" t="n">
        <v>1</v>
      </c>
      <c r="K6118" t="inlineStr">
        <is>
          <t>续持原仓（2026-09-09开）</t>
        </is>
      </c>
    </row>
    <row r="6119">
      <c r="A6119" t="inlineStr">
        <is>
          <t>2026-09-11</t>
        </is>
      </c>
      <c r="B6119" t="inlineStr">
        <is>
          <t>生猪</t>
        </is>
      </c>
      <c r="C6119" t="inlineStr">
        <is>
          <t>空</t>
        </is>
      </c>
      <c r="D6119" t="n">
        <v>3</v>
      </c>
      <c r="E6119" t="n">
        <v>6</v>
      </c>
      <c r="F6119" t="inlineStr">
        <is>
          <t>开仓</t>
        </is>
      </c>
      <c r="G6119" t="n">
        <v>3</v>
      </c>
      <c r="H6119" t="n">
        <v>11415</v>
      </c>
      <c r="I6119" t="n">
        <v>12008.57</v>
      </c>
      <c r="J6119" t="n">
        <v>3</v>
      </c>
      <c r="K6119" t="inlineStr">
        <is>
          <t>¼凯利超上限，取3%</t>
        </is>
      </c>
    </row>
    <row r="6120">
      <c r="A6120" t="inlineStr">
        <is>
          <t>2026-09-11</t>
        </is>
      </c>
      <c r="B6120" t="inlineStr">
        <is>
          <t>甲醇</t>
        </is>
      </c>
      <c r="C6120" t="inlineStr">
        <is>
          <t>多</t>
        </is>
      </c>
      <c r="D6120" t="n">
        <v>3</v>
      </c>
      <c r="E6120" t="n">
        <v>6</v>
      </c>
      <c r="F6120" t="inlineStr">
        <is>
          <t>开仓</t>
        </is>
      </c>
      <c r="G6120" t="n">
        <v>7</v>
      </c>
      <c r="H6120" t="n">
        <v>3016</v>
      </c>
      <c r="I6120" t="n">
        <v>2610.79</v>
      </c>
      <c r="J6120" t="n">
        <v>3</v>
      </c>
      <c r="K6120" t="inlineStr">
        <is>
          <t>¼凯利超上限，取3%</t>
        </is>
      </c>
    </row>
    <row r="6121">
      <c r="A6121" t="inlineStr">
        <is>
          <t>2026-09-11</t>
        </is>
      </c>
      <c r="B6121" t="inlineStr">
        <is>
          <t>燃料油</t>
        </is>
      </c>
      <c r="C6121" t="inlineStr">
        <is>
          <t>多</t>
        </is>
      </c>
      <c r="D6121" t="n">
        <v>3</v>
      </c>
      <c r="E6121" t="n">
        <v>6</v>
      </c>
      <c r="F6121" t="inlineStr">
        <is>
          <t>开仓</t>
        </is>
      </c>
      <c r="G6121" t="n">
        <v>1</v>
      </c>
      <c r="H6121" t="n">
        <v>4289</v>
      </c>
      <c r="I6121" t="n">
        <v>3659</v>
      </c>
      <c r="J6121" t="n">
        <v>1</v>
      </c>
      <c r="K6121" t="inlineStr">
        <is>
          <t>组合风险已近10%，预算缩小</t>
        </is>
      </c>
    </row>
    <row r="6122">
      <c r="A6122" t="inlineStr">
        <is>
          <t>2026-09-11</t>
        </is>
      </c>
      <c r="B6122" t="inlineStr">
        <is>
          <t>塑料</t>
        </is>
      </c>
      <c r="C6122" t="inlineStr">
        <is>
          <t>多</t>
        </is>
      </c>
      <c r="D6122" t="n">
        <v>2</v>
      </c>
      <c r="E6122" t="n">
        <v>5</v>
      </c>
      <c r="F6122" t="inlineStr">
        <is>
          <t>影子仓</t>
        </is>
      </c>
      <c r="G6122" t="n">
        <v>2</v>
      </c>
      <c r="H6122" t="n">
        <v>8598</v>
      </c>
      <c r="I6122" t="n">
        <v>7884.86</v>
      </c>
      <c r="J6122" t="n">
        <v>1</v>
      </c>
      <c r="K6122" t="inlineStr">
        <is>
          <t>凯利≤0，开1%影子仓（只统计，不计入组合）</t>
        </is>
      </c>
    </row>
    <row r="6123">
      <c r="A6123" t="inlineStr">
        <is>
          <t>2026-09-11</t>
        </is>
      </c>
      <c r="B6123" t="inlineStr">
        <is>
          <t>沪铜</t>
        </is>
      </c>
      <c r="C6123" t="inlineStr">
        <is>
          <t>多</t>
        </is>
      </c>
      <c r="D6123" t="n">
        <v>2</v>
      </c>
      <c r="E6123" t="n">
        <v>5</v>
      </c>
      <c r="F6123" t="inlineStr">
        <is>
          <t>观望</t>
        </is>
      </c>
      <c r="H6123" t="n">
        <v>108990</v>
      </c>
      <c r="J6123" t="n">
        <v>1</v>
      </c>
      <c r="K6123" t="inlineStr">
        <is>
          <t>逆5日线（收盘在5日线下，不追多）</t>
        </is>
      </c>
    </row>
    <row r="6124">
      <c r="A6124" t="inlineStr">
        <is>
          <t>2026-09-11</t>
        </is>
      </c>
      <c r="B6124" t="inlineStr">
        <is>
          <t>PTA</t>
        </is>
      </c>
      <c r="C6124" t="inlineStr">
        <is>
          <t>空</t>
        </is>
      </c>
      <c r="D6124" t="n">
        <v>2</v>
      </c>
      <c r="E6124" t="n">
        <v>4</v>
      </c>
      <c r="F6124" t="inlineStr">
        <is>
          <t>观望</t>
        </is>
      </c>
      <c r="G6124" t="n">
        <v>3</v>
      </c>
      <c r="H6124" t="n">
        <v>6250</v>
      </c>
      <c r="I6124" t="n">
        <v>6821.71</v>
      </c>
      <c r="J6124" t="n">
        <v>1</v>
      </c>
      <c r="K6124" t="inlineStr">
        <is>
          <t>逆5日线（收盘在5日线上，不追空）</t>
        </is>
      </c>
    </row>
    <row r="6125">
      <c r="A6125" t="inlineStr">
        <is>
          <t>2026-09-11</t>
        </is>
      </c>
      <c r="B6125" t="inlineStr">
        <is>
          <t>尿素</t>
        </is>
      </c>
      <c r="C6125" t="inlineStr">
        <is>
          <t>空</t>
        </is>
      </c>
      <c r="D6125" t="n">
        <v>2</v>
      </c>
      <c r="E6125" t="n">
        <v>4</v>
      </c>
      <c r="F6125" t="inlineStr">
        <is>
          <t>影子仓</t>
        </is>
      </c>
      <c r="G6125" t="n">
        <v>5</v>
      </c>
      <c r="H6125" t="n">
        <v>1795</v>
      </c>
      <c r="I6125" t="n">
        <v>1884.14</v>
      </c>
      <c r="J6125" t="n">
        <v>1</v>
      </c>
      <c r="K6125" t="inlineStr">
        <is>
          <t>凯利≤0，开1%影子仓（只统计，不计入组合）</t>
        </is>
      </c>
    </row>
    <row r="6126">
      <c r="A6126" t="inlineStr">
        <is>
          <t>2026-09-14</t>
        </is>
      </c>
      <c r="B6126" t="inlineStr">
        <is>
          <t>甲醇</t>
        </is>
      </c>
      <c r="C6126" t="inlineStr">
        <is>
          <t>多</t>
        </is>
      </c>
      <c r="D6126" t="n">
        <v>3</v>
      </c>
      <c r="E6126" t="n">
        <v>6</v>
      </c>
      <c r="F6126" t="inlineStr">
        <is>
          <t>续持</t>
        </is>
      </c>
      <c r="G6126" t="n">
        <v>7</v>
      </c>
      <c r="H6126" t="n">
        <v>3016</v>
      </c>
      <c r="I6126" t="n">
        <v>2702.79</v>
      </c>
      <c r="J6126" t="n">
        <v>3</v>
      </c>
      <c r="K6126" t="inlineStr">
        <is>
          <t>续持原仓（2026-09-11开）</t>
        </is>
      </c>
    </row>
    <row r="6127">
      <c r="A6127" t="inlineStr">
        <is>
          <t>2026-09-14</t>
        </is>
      </c>
      <c r="B6127" t="inlineStr">
        <is>
          <t>PVC</t>
        </is>
      </c>
      <c r="C6127" t="inlineStr">
        <is>
          <t>空</t>
        </is>
      </c>
      <c r="D6127" t="n">
        <v>3</v>
      </c>
      <c r="E6127" t="n">
        <v>6</v>
      </c>
      <c r="F6127" t="inlineStr">
        <is>
          <t>不做</t>
        </is>
      </c>
      <c r="H6127" t="n">
        <v>4952</v>
      </c>
      <c r="J6127" t="n">
        <v>0</v>
      </c>
      <c r="K6127" t="inlineStr">
        <is>
          <t>组合风险已近10%，预算缩小</t>
        </is>
      </c>
    </row>
    <row r="6128">
      <c r="A6128" t="inlineStr">
        <is>
          <t>2026-09-14</t>
        </is>
      </c>
      <c r="B6128" t="inlineStr">
        <is>
          <t>塑料</t>
        </is>
      </c>
      <c r="C6128" t="inlineStr">
        <is>
          <t>多</t>
        </is>
      </c>
      <c r="D6128" t="n">
        <v>2</v>
      </c>
      <c r="E6128" t="n">
        <v>5</v>
      </c>
      <c r="F6128" t="inlineStr">
        <is>
          <t>续持</t>
        </is>
      </c>
      <c r="G6128" t="n">
        <v>2</v>
      </c>
      <c r="H6128" t="n">
        <v>8579</v>
      </c>
      <c r="I6128" t="n">
        <v>8039.21</v>
      </c>
      <c r="J6128" t="n">
        <v>1</v>
      </c>
      <c r="K6128" t="inlineStr">
        <is>
          <t>续持原仓（2026-09-11开）</t>
        </is>
      </c>
    </row>
    <row r="6129">
      <c r="A6129" t="inlineStr">
        <is>
          <t>2026-09-14</t>
        </is>
      </c>
      <c r="B6129" t="inlineStr">
        <is>
          <t>燃料油</t>
        </is>
      </c>
      <c r="C6129" t="inlineStr">
        <is>
          <t>多</t>
        </is>
      </c>
      <c r="D6129" t="n">
        <v>2</v>
      </c>
      <c r="E6129" t="n">
        <v>5</v>
      </c>
      <c r="F6129" t="inlineStr">
        <is>
          <t>续持</t>
        </is>
      </c>
      <c r="G6129" t="n">
        <v>1</v>
      </c>
      <c r="H6129" t="n">
        <v>4392</v>
      </c>
      <c r="I6129" t="n">
        <v>3875</v>
      </c>
      <c r="J6129" t="n">
        <v>1</v>
      </c>
      <c r="K6129" t="inlineStr">
        <is>
          <t>续持原仓（2026-09-11开）</t>
        </is>
      </c>
    </row>
    <row r="6130">
      <c r="A6130" t="inlineStr">
        <is>
          <t>2026-09-14</t>
        </is>
      </c>
      <c r="B6130" t="inlineStr">
        <is>
          <t>棉花</t>
        </is>
      </c>
      <c r="C6130" t="inlineStr">
        <is>
          <t>空</t>
        </is>
      </c>
      <c r="D6130" t="n">
        <v>2</v>
      </c>
      <c r="E6130" t="n">
        <v>5</v>
      </c>
      <c r="F6130" t="inlineStr">
        <is>
          <t>影子仓</t>
        </is>
      </c>
      <c r="G6130" t="n">
        <v>2</v>
      </c>
      <c r="H6130" t="n">
        <v>16230</v>
      </c>
      <c r="I6130" t="n">
        <v>16900.71</v>
      </c>
      <c r="J6130" t="n">
        <v>1</v>
      </c>
      <c r="K6130" t="inlineStr">
        <is>
          <t>凯利≤0，开1%影子仓（只统计，不计入组合）</t>
        </is>
      </c>
    </row>
    <row r="6131">
      <c r="A6131" t="inlineStr">
        <is>
          <t>2026-09-14</t>
        </is>
      </c>
      <c r="B6131" t="inlineStr">
        <is>
          <t>沪铜</t>
        </is>
      </c>
      <c r="C6131" t="inlineStr">
        <is>
          <t>多</t>
        </is>
      </c>
      <c r="D6131" t="n">
        <v>2</v>
      </c>
      <c r="E6131" t="n">
        <v>4</v>
      </c>
      <c r="F6131" t="inlineStr">
        <is>
          <t>观望</t>
        </is>
      </c>
      <c r="H6131" t="n">
        <v>107840</v>
      </c>
      <c r="J6131" t="n">
        <v>1</v>
      </c>
      <c r="K6131" t="inlineStr">
        <is>
          <t>逆5日线（收盘在5日线下，不追多）</t>
        </is>
      </c>
    </row>
    <row r="6132">
      <c r="A6132" t="inlineStr">
        <is>
          <t>2026-09-14</t>
        </is>
      </c>
      <c r="B6132" t="inlineStr">
        <is>
          <t>玉米</t>
        </is>
      </c>
      <c r="C6132" t="inlineStr">
        <is>
          <t>空</t>
        </is>
      </c>
      <c r="D6132" t="n">
        <v>2</v>
      </c>
      <c r="E6132" t="n">
        <v>4</v>
      </c>
      <c r="F6132" t="inlineStr">
        <is>
          <t>影子仓</t>
        </is>
      </c>
      <c r="G6132" t="n">
        <v>15</v>
      </c>
      <c r="H6132" t="n">
        <v>2221</v>
      </c>
      <c r="I6132" t="n">
        <v>2283.79</v>
      </c>
      <c r="J6132" t="n">
        <v>1</v>
      </c>
      <c r="K6132" t="inlineStr">
        <is>
          <t>凯利≤0，开1%影子仓（只统计，不计入组合）</t>
        </is>
      </c>
    </row>
    <row r="6133">
      <c r="A6133" t="inlineStr">
        <is>
          <t>2026-09-15</t>
        </is>
      </c>
      <c r="B6133" t="inlineStr">
        <is>
          <t>沥青</t>
        </is>
      </c>
      <c r="C6133" t="inlineStr">
        <is>
          <t>多</t>
        </is>
      </c>
      <c r="D6133" t="n">
        <v>3</v>
      </c>
      <c r="E6133" t="n">
        <v>7</v>
      </c>
      <c r="F6133" t="inlineStr">
        <is>
          <t>不做</t>
        </is>
      </c>
      <c r="H6133" t="n">
        <v>5294</v>
      </c>
      <c r="J6133" t="n">
        <v>0</v>
      </c>
      <c r="K6133" t="inlineStr">
        <is>
          <t>组合风险已近10%，预算缩小</t>
        </is>
      </c>
    </row>
    <row r="6134">
      <c r="A6134" t="inlineStr">
        <is>
          <t>2026-09-15</t>
        </is>
      </c>
      <c r="B6134" t="inlineStr">
        <is>
          <t>沪铝</t>
        </is>
      </c>
      <c r="C6134" t="inlineStr">
        <is>
          <t>多</t>
        </is>
      </c>
      <c r="D6134" t="n">
        <v>3</v>
      </c>
      <c r="E6134" t="n">
        <v>7</v>
      </c>
      <c r="F6134" t="inlineStr">
        <is>
          <t>观望</t>
        </is>
      </c>
      <c r="H6134" t="n">
        <v>24105</v>
      </c>
      <c r="J6134" t="n">
        <v>0</v>
      </c>
      <c r="K6134" t="inlineStr">
        <is>
          <t>逆5日线（收盘在5日线下，不追多）</t>
        </is>
      </c>
    </row>
    <row r="6135">
      <c r="A6135" t="inlineStr">
        <is>
          <t>2026-09-15</t>
        </is>
      </c>
      <c r="B6135" t="inlineStr">
        <is>
          <t>PTA</t>
        </is>
      </c>
      <c r="C6135" t="inlineStr">
        <is>
          <t>多</t>
        </is>
      </c>
      <c r="D6135" t="n">
        <v>3</v>
      </c>
      <c r="E6135" t="n">
        <v>7</v>
      </c>
      <c r="F6135" t="inlineStr">
        <is>
          <t>不做</t>
        </is>
      </c>
      <c r="H6135" t="n">
        <v>6460</v>
      </c>
      <c r="J6135" t="n">
        <v>0</v>
      </c>
      <c r="K6135" t="inlineStr">
        <is>
          <t>组合风险已近10%，预算缩小</t>
        </is>
      </c>
    </row>
    <row r="6136">
      <c r="A6136" t="inlineStr">
        <is>
          <t>2026-09-15</t>
        </is>
      </c>
      <c r="B6136" t="inlineStr">
        <is>
          <t>燃料油</t>
        </is>
      </c>
      <c r="C6136" t="inlineStr">
        <is>
          <t>多</t>
        </is>
      </c>
      <c r="D6136" t="n">
        <v>3</v>
      </c>
      <c r="E6136" t="n">
        <v>7</v>
      </c>
      <c r="F6136" t="inlineStr">
        <is>
          <t>续持</t>
        </is>
      </c>
      <c r="G6136" t="n">
        <v>1</v>
      </c>
      <c r="H6136" t="n">
        <v>4476</v>
      </c>
      <c r="I6136" t="n">
        <v>3921.36</v>
      </c>
      <c r="J6136" t="n">
        <v>1</v>
      </c>
      <c r="K6136" t="inlineStr">
        <is>
          <t>续持原仓（2026-09-11开）</t>
        </is>
      </c>
    </row>
    <row r="6137">
      <c r="A6137" t="inlineStr">
        <is>
          <t>2026-09-15</t>
        </is>
      </c>
      <c r="B6137" t="inlineStr">
        <is>
          <t>沪锌</t>
        </is>
      </c>
      <c r="C6137" t="inlineStr">
        <is>
          <t>多</t>
        </is>
      </c>
      <c r="D6137" t="n">
        <v>3</v>
      </c>
      <c r="E6137" t="n">
        <v>6</v>
      </c>
      <c r="F6137" t="inlineStr">
        <is>
          <t>观望</t>
        </is>
      </c>
      <c r="H6137" t="n">
        <v>26145</v>
      </c>
      <c r="J6137" t="n">
        <v>0</v>
      </c>
      <c r="K6137" t="inlineStr">
        <is>
          <t>逆5日线（收盘在5日线下，不追多）</t>
        </is>
      </c>
    </row>
    <row r="6138">
      <c r="A6138" t="inlineStr">
        <is>
          <t>2026-09-15</t>
        </is>
      </c>
      <c r="B6138" t="inlineStr">
        <is>
          <t>沪镍</t>
        </is>
      </c>
      <c r="C6138" t="inlineStr">
        <is>
          <t>空</t>
        </is>
      </c>
      <c r="D6138" t="n">
        <v>3</v>
      </c>
      <c r="E6138" t="n">
        <v>6</v>
      </c>
      <c r="F6138" t="inlineStr">
        <is>
          <t>不做</t>
        </is>
      </c>
      <c r="H6138" t="n">
        <v>123950</v>
      </c>
      <c r="J6138" t="n">
        <v>0</v>
      </c>
      <c r="K6138" t="inlineStr">
        <is>
          <t>组合风险已近10%，预算缩小</t>
        </is>
      </c>
    </row>
    <row r="6139">
      <c r="A6139" t="inlineStr">
        <is>
          <t>2026-09-15</t>
        </is>
      </c>
      <c r="B6139" t="inlineStr">
        <is>
          <t>玉米淀粉</t>
        </is>
      </c>
      <c r="C6139" t="inlineStr">
        <is>
          <t>空</t>
        </is>
      </c>
      <c r="D6139" t="n">
        <v>3</v>
      </c>
      <c r="E6139" t="n">
        <v>6</v>
      </c>
      <c r="F6139" t="inlineStr">
        <is>
          <t>不做</t>
        </is>
      </c>
      <c r="H6139" t="n">
        <v>2449</v>
      </c>
      <c r="J6139" t="n">
        <v>0</v>
      </c>
      <c r="K6139" t="inlineStr">
        <is>
          <t>组合风险已近10%，预算缩小</t>
        </is>
      </c>
    </row>
    <row r="6140">
      <c r="A6140" t="inlineStr">
        <is>
          <t>2026-09-15</t>
        </is>
      </c>
      <c r="B6140" t="inlineStr">
        <is>
          <t>碳酸锂</t>
        </is>
      </c>
      <c r="C6140" t="inlineStr">
        <is>
          <t>空</t>
        </is>
      </c>
      <c r="D6140" t="n">
        <v>3</v>
      </c>
      <c r="E6140" t="n">
        <v>6</v>
      </c>
      <c r="F6140" t="inlineStr">
        <is>
          <t>不做</t>
        </is>
      </c>
      <c r="H6140" t="n">
        <v>129120</v>
      </c>
      <c r="J6140" t="n">
        <v>0</v>
      </c>
      <c r="K6140" t="inlineStr">
        <is>
          <t>组合风险已近10%，预算缩小</t>
        </is>
      </c>
    </row>
    <row r="6141">
      <c r="A6141" t="inlineStr">
        <is>
          <t>2026-09-15</t>
        </is>
      </c>
      <c r="B6141" t="inlineStr">
        <is>
          <t>玉米</t>
        </is>
      </c>
      <c r="C6141" t="inlineStr">
        <is>
          <t>空</t>
        </is>
      </c>
      <c r="D6141" t="n">
        <v>2</v>
      </c>
      <c r="E6141" t="n">
        <v>4</v>
      </c>
      <c r="F6141" t="inlineStr">
        <is>
          <t>续持</t>
        </is>
      </c>
      <c r="G6141" t="n">
        <v>15</v>
      </c>
      <c r="H6141" t="n">
        <v>2208</v>
      </c>
      <c r="I6141" t="n">
        <v>2267.43</v>
      </c>
      <c r="J6141" t="n">
        <v>1</v>
      </c>
      <c r="K6141" t="inlineStr">
        <is>
          <t>续持原仓（2026-09-14开）</t>
        </is>
      </c>
    </row>
    <row r="6142">
      <c r="A6142" t="inlineStr">
        <is>
          <t>2026-09-15</t>
        </is>
      </c>
      <c r="B6142" t="inlineStr">
        <is>
          <t>纯碱</t>
        </is>
      </c>
      <c r="C6142" t="inlineStr">
        <is>
          <t>空</t>
        </is>
      </c>
      <c r="D6142" t="n">
        <v>2</v>
      </c>
      <c r="E6142" t="n">
        <v>4</v>
      </c>
      <c r="F6142" t="inlineStr">
        <is>
          <t>影子仓</t>
        </is>
      </c>
      <c r="G6142" t="n">
        <v>4</v>
      </c>
      <c r="H6142" t="n">
        <v>1009</v>
      </c>
      <c r="I6142" t="n">
        <v>1113.79</v>
      </c>
      <c r="J6142" t="n">
        <v>1</v>
      </c>
      <c r="K6142" t="inlineStr">
        <is>
          <t>凯利≤0，开1%影子仓（只统计，不计入组合）</t>
        </is>
      </c>
    </row>
    <row r="6143">
      <c r="A6143" t="inlineStr">
        <is>
          <t>2026-09-16</t>
        </is>
      </c>
      <c r="B6143" t="inlineStr">
        <is>
          <t>沪镍</t>
        </is>
      </c>
      <c r="C6143" t="inlineStr">
        <is>
          <t>空</t>
        </is>
      </c>
      <c r="D6143" t="n">
        <v>3</v>
      </c>
      <c r="E6143" t="n">
        <v>7</v>
      </c>
      <c r="F6143" t="inlineStr">
        <is>
          <t>开仓</t>
        </is>
      </c>
      <c r="G6143" t="n">
        <v>1</v>
      </c>
      <c r="H6143" t="n">
        <v>122040</v>
      </c>
      <c r="I6143" t="n">
        <v>128265</v>
      </c>
      <c r="J6143" t="n">
        <v>1</v>
      </c>
      <c r="K6143" t="inlineStr">
        <is>
          <t>组合风险已近10%，预算缩小</t>
        </is>
      </c>
    </row>
    <row r="6144">
      <c r="A6144" t="inlineStr">
        <is>
          <t>2026-09-16</t>
        </is>
      </c>
      <c r="B6144" t="inlineStr">
        <is>
          <t>甲醇</t>
        </is>
      </c>
      <c r="C6144" t="inlineStr">
        <is>
          <t>多</t>
        </is>
      </c>
      <c r="D6144" t="n">
        <v>3</v>
      </c>
      <c r="E6144" t="n">
        <v>7</v>
      </c>
      <c r="F6144" t="inlineStr">
        <is>
          <t>续持</t>
        </is>
      </c>
      <c r="G6144" t="n">
        <v>7</v>
      </c>
      <c r="H6144" t="n">
        <v>3052</v>
      </c>
      <c r="I6144" t="n">
        <v>2718.21</v>
      </c>
      <c r="J6144" t="n">
        <v>3</v>
      </c>
      <c r="K6144" t="inlineStr">
        <is>
          <t>续持原仓（2026-09-11开）</t>
        </is>
      </c>
    </row>
    <row r="6145">
      <c r="A6145" t="inlineStr">
        <is>
          <t>2026-09-16</t>
        </is>
      </c>
      <c r="B6145" t="inlineStr">
        <is>
          <t>生猪</t>
        </is>
      </c>
      <c r="C6145" t="inlineStr">
        <is>
          <t>空</t>
        </is>
      </c>
      <c r="D6145" t="n">
        <v>3</v>
      </c>
      <c r="E6145" t="n">
        <v>7</v>
      </c>
      <c r="F6145" t="inlineStr">
        <is>
          <t>续持</t>
        </is>
      </c>
      <c r="G6145" t="n">
        <v>3</v>
      </c>
      <c r="H6145" t="n">
        <v>11130</v>
      </c>
      <c r="I6145" t="n">
        <v>11751.43</v>
      </c>
      <c r="J6145" t="n">
        <v>3</v>
      </c>
      <c r="K6145" t="inlineStr">
        <is>
          <t>续持原仓（2026-09-11开）</t>
        </is>
      </c>
    </row>
    <row r="6146">
      <c r="A6146" t="inlineStr">
        <is>
          <t>2026-09-16</t>
        </is>
      </c>
      <c r="B6146" t="inlineStr">
        <is>
          <t>沪铝</t>
        </is>
      </c>
      <c r="C6146" t="inlineStr">
        <is>
          <t>多</t>
        </is>
      </c>
      <c r="D6146" t="n">
        <v>3</v>
      </c>
      <c r="E6146" t="n">
        <v>7</v>
      </c>
      <c r="F6146" t="inlineStr">
        <is>
          <t>观望</t>
        </is>
      </c>
      <c r="H6146" t="n">
        <v>24185</v>
      </c>
      <c r="J6146" t="n">
        <v>0</v>
      </c>
      <c r="K6146" t="inlineStr">
        <is>
          <t>逆5日线（收盘在5日线下，不追多）</t>
        </is>
      </c>
    </row>
    <row r="6147">
      <c r="A6147" t="inlineStr">
        <is>
          <t>2026-09-16</t>
        </is>
      </c>
      <c r="B6147" t="inlineStr">
        <is>
          <t>PTA</t>
        </is>
      </c>
      <c r="C6147" t="inlineStr">
        <is>
          <t>多</t>
        </is>
      </c>
      <c r="D6147" t="n">
        <v>3</v>
      </c>
      <c r="E6147" t="n">
        <v>7</v>
      </c>
      <c r="F6147" t="inlineStr">
        <is>
          <t>不做</t>
        </is>
      </c>
      <c r="H6147" t="n">
        <v>6556</v>
      </c>
      <c r="J6147" t="n">
        <v>0</v>
      </c>
      <c r="K6147" t="inlineStr">
        <is>
          <t>组合风险已近10%，预算缩小</t>
        </is>
      </c>
    </row>
    <row r="6148">
      <c r="A6148" t="inlineStr">
        <is>
          <t>2026-09-16</t>
        </is>
      </c>
      <c r="B6148" t="inlineStr">
        <is>
          <t>聚丙烯</t>
        </is>
      </c>
      <c r="C6148" t="inlineStr">
        <is>
          <t>多</t>
        </is>
      </c>
      <c r="D6148" t="n">
        <v>3</v>
      </c>
      <c r="E6148" t="n">
        <v>7</v>
      </c>
      <c r="F6148" t="inlineStr">
        <is>
          <t>不做</t>
        </is>
      </c>
      <c r="H6148" t="n">
        <v>8989</v>
      </c>
      <c r="J6148" t="n">
        <v>0</v>
      </c>
      <c r="K6148" t="inlineStr">
        <is>
          <t>与甲醇高度相关（同组≤3%），预算缩小</t>
        </is>
      </c>
    </row>
    <row r="6149">
      <c r="A6149" t="inlineStr">
        <is>
          <t>2026-09-16</t>
        </is>
      </c>
      <c r="B6149" t="inlineStr">
        <is>
          <t>碳酸锂</t>
        </is>
      </c>
      <c r="C6149" t="inlineStr">
        <is>
          <t>空</t>
        </is>
      </c>
      <c r="D6149" t="n">
        <v>3</v>
      </c>
      <c r="E6149" t="n">
        <v>6</v>
      </c>
      <c r="F6149" t="inlineStr">
        <is>
          <t>不做</t>
        </is>
      </c>
      <c r="H6149" t="n">
        <v>125820</v>
      </c>
      <c r="J6149" t="n">
        <v>0</v>
      </c>
      <c r="K6149" t="inlineStr">
        <is>
          <t>组合风险已近10%，预算缩小</t>
        </is>
      </c>
    </row>
    <row r="6150">
      <c r="A6150" t="inlineStr">
        <is>
          <t>2026-09-16</t>
        </is>
      </c>
      <c r="B6150" t="inlineStr">
        <is>
          <t>乙二醇</t>
        </is>
      </c>
      <c r="C6150" t="inlineStr">
        <is>
          <t>多</t>
        </is>
      </c>
      <c r="D6150" t="n">
        <v>3</v>
      </c>
      <c r="E6150" t="n">
        <v>6</v>
      </c>
      <c r="F6150" t="inlineStr">
        <is>
          <t>不做</t>
        </is>
      </c>
      <c r="H6150" t="n">
        <v>6147</v>
      </c>
      <c r="J6150" t="n">
        <v>0</v>
      </c>
      <c r="K6150" t="inlineStr">
        <is>
          <t>组合风险已近10%，预算缩小</t>
        </is>
      </c>
    </row>
    <row r="6151">
      <c r="A6151" t="inlineStr">
        <is>
          <t>2026-09-16</t>
        </is>
      </c>
      <c r="B6151" t="inlineStr">
        <is>
          <t>纯碱</t>
        </is>
      </c>
      <c r="C6151" t="inlineStr">
        <is>
          <t>空</t>
        </is>
      </c>
      <c r="D6151" t="n">
        <v>2</v>
      </c>
      <c r="E6151" t="n">
        <v>4</v>
      </c>
      <c r="F6151" t="inlineStr">
        <is>
          <t>续持</t>
        </is>
      </c>
      <c r="G6151" t="n">
        <v>4</v>
      </c>
      <c r="H6151" t="n">
        <v>1011</v>
      </c>
      <c r="I6151" t="n">
        <v>1108.14</v>
      </c>
      <c r="J6151" t="n">
        <v>1</v>
      </c>
      <c r="K6151" t="inlineStr">
        <is>
          <t>续持原仓（2026-09-15开）</t>
        </is>
      </c>
    </row>
    <row r="6152">
      <c r="A6152" t="inlineStr">
        <is>
          <t>2026-09-17</t>
        </is>
      </c>
      <c r="B6152" t="inlineStr">
        <is>
          <t>棉花</t>
        </is>
      </c>
      <c r="C6152" t="inlineStr">
        <is>
          <t>空</t>
        </is>
      </c>
      <c r="D6152" t="n">
        <v>3</v>
      </c>
      <c r="E6152" t="n">
        <v>7</v>
      </c>
      <c r="F6152" t="inlineStr">
        <is>
          <t>开仓</t>
        </is>
      </c>
      <c r="G6152" t="n">
        <v>9</v>
      </c>
      <c r="H6152" t="n">
        <v>15830</v>
      </c>
      <c r="I6152" t="n">
        <v>16495.36</v>
      </c>
      <c r="J6152" t="n">
        <v>3</v>
      </c>
      <c r="K6152" t="inlineStr">
        <is>
          <t>¼凯利超上限，取3%</t>
        </is>
      </c>
    </row>
    <row r="6153">
      <c r="A6153" t="inlineStr">
        <is>
          <t>2026-09-17</t>
        </is>
      </c>
      <c r="B6153" t="inlineStr">
        <is>
          <t>纯碱</t>
        </is>
      </c>
      <c r="C6153" t="inlineStr">
        <is>
          <t>空</t>
        </is>
      </c>
      <c r="D6153" t="n">
        <v>3</v>
      </c>
      <c r="E6153" t="n">
        <v>6</v>
      </c>
      <c r="F6153" t="inlineStr">
        <is>
          <t>续持</t>
        </is>
      </c>
      <c r="G6153" t="n">
        <v>4</v>
      </c>
      <c r="H6153" t="n">
        <v>1006</v>
      </c>
      <c r="I6153" t="n">
        <v>1093.07</v>
      </c>
      <c r="J6153" t="n">
        <v>1</v>
      </c>
      <c r="K6153" t="inlineStr">
        <is>
          <t>续持原仓（2026-09-15开）</t>
        </is>
      </c>
    </row>
    <row r="6154">
      <c r="A6154" t="inlineStr">
        <is>
          <t>2026-09-17</t>
        </is>
      </c>
      <c r="B6154" t="inlineStr">
        <is>
          <t>塑料</t>
        </is>
      </c>
      <c r="C6154" t="inlineStr">
        <is>
          <t>多</t>
        </is>
      </c>
      <c r="D6154" t="n">
        <v>2</v>
      </c>
      <c r="E6154" t="n">
        <v>5</v>
      </c>
      <c r="F6154" t="inlineStr">
        <is>
          <t>观望</t>
        </is>
      </c>
      <c r="G6154" t="n">
        <v>2</v>
      </c>
      <c r="H6154" t="n">
        <v>8407</v>
      </c>
      <c r="I6154" t="n">
        <v>7641.36</v>
      </c>
      <c r="J6154" t="n">
        <v>1</v>
      </c>
      <c r="K6154" t="inlineStr">
        <is>
          <t>逆5日线（收盘在5日线下，不追多）</t>
        </is>
      </c>
    </row>
    <row r="6155">
      <c r="A6155" t="inlineStr">
        <is>
          <t>2026-09-17</t>
        </is>
      </c>
      <c r="B6155" t="inlineStr">
        <is>
          <t>沪铝</t>
        </is>
      </c>
      <c r="C6155" t="inlineStr">
        <is>
          <t>多</t>
        </is>
      </c>
      <c r="D6155" t="n">
        <v>2</v>
      </c>
      <c r="E6155" t="n">
        <v>5</v>
      </c>
      <c r="F6155" t="inlineStr">
        <is>
          <t>影子仓</t>
        </is>
      </c>
      <c r="G6155" t="n">
        <v>2</v>
      </c>
      <c r="H6155" t="n">
        <v>24225</v>
      </c>
      <c r="I6155" t="n">
        <v>23485.71</v>
      </c>
      <c r="J6155" t="n">
        <v>1</v>
      </c>
      <c r="K6155" t="inlineStr">
        <is>
          <t>凯利≤0，开1%影子仓（只统计，不计入组合）</t>
        </is>
      </c>
    </row>
    <row r="6156">
      <c r="A6156" t="inlineStr">
        <is>
          <t>2026-09-17</t>
        </is>
      </c>
      <c r="B6156" t="inlineStr">
        <is>
          <t>聚丙烯</t>
        </is>
      </c>
      <c r="C6156" t="inlineStr">
        <is>
          <t>多</t>
        </is>
      </c>
      <c r="D6156" t="n">
        <v>2</v>
      </c>
      <c r="E6156" t="n">
        <v>5</v>
      </c>
      <c r="F6156" t="inlineStr">
        <is>
          <t>观望</t>
        </is>
      </c>
      <c r="G6156" t="n">
        <v>2</v>
      </c>
      <c r="H6156" t="n">
        <v>8766</v>
      </c>
      <c r="I6156" t="n">
        <v>7925.14</v>
      </c>
      <c r="J6156" t="n">
        <v>1</v>
      </c>
      <c r="K6156" t="inlineStr">
        <is>
          <t>逆5日线（收盘在5日线下，不追多）</t>
        </is>
      </c>
    </row>
    <row r="6157">
      <c r="A6157" t="inlineStr">
        <is>
          <t>2026-09-17</t>
        </is>
      </c>
      <c r="B6157" t="inlineStr">
        <is>
          <t>沪铜</t>
        </is>
      </c>
      <c r="C6157" t="inlineStr">
        <is>
          <t>多</t>
        </is>
      </c>
      <c r="D6157" t="n">
        <v>2</v>
      </c>
      <c r="E6157" t="n">
        <v>5</v>
      </c>
      <c r="F6157" t="inlineStr">
        <is>
          <t>不做</t>
        </is>
      </c>
      <c r="H6157" t="n">
        <v>108500</v>
      </c>
      <c r="J6157" t="n">
        <v>1</v>
      </c>
      <c r="K6157" t="inlineStr">
        <is>
          <t>1手风险20957元超过预算10000元</t>
        </is>
      </c>
    </row>
    <row r="6158">
      <c r="A6158" t="inlineStr">
        <is>
          <t>2026-09-17</t>
        </is>
      </c>
      <c r="B6158" t="inlineStr">
        <is>
          <t>棕榈油</t>
        </is>
      </c>
      <c r="C6158" t="inlineStr">
        <is>
          <t>空</t>
        </is>
      </c>
      <c r="D6158" t="n">
        <v>2</v>
      </c>
      <c r="E6158" t="n">
        <v>5</v>
      </c>
      <c r="F6158" t="inlineStr">
        <is>
          <t>影子仓</t>
        </is>
      </c>
      <c r="G6158" t="n">
        <v>1</v>
      </c>
      <c r="H6158" t="n">
        <v>9959</v>
      </c>
      <c r="I6158" t="n">
        <v>10556.86</v>
      </c>
      <c r="J6158" t="n">
        <v>1</v>
      </c>
      <c r="K6158" t="inlineStr">
        <is>
          <t>凯利≤0，开1%影子仓（只统计，不计入组合）</t>
        </is>
      </c>
    </row>
    <row r="6159">
      <c r="A6159" t="inlineStr">
        <is>
          <t>2026-09-17</t>
        </is>
      </c>
      <c r="B6159" t="inlineStr">
        <is>
          <t>沥青</t>
        </is>
      </c>
      <c r="C6159" t="inlineStr">
        <is>
          <t>多</t>
        </is>
      </c>
      <c r="D6159" t="n">
        <v>2</v>
      </c>
      <c r="E6159" t="n">
        <v>4</v>
      </c>
      <c r="F6159" t="inlineStr">
        <is>
          <t>影子仓</t>
        </is>
      </c>
      <c r="G6159" t="n">
        <v>1</v>
      </c>
      <c r="H6159" t="n">
        <v>5383</v>
      </c>
      <c r="I6159" t="n">
        <v>4772.29</v>
      </c>
      <c r="J6159" t="n">
        <v>1</v>
      </c>
      <c r="K6159" t="inlineStr">
        <is>
          <t>凯利≤0，开1%影子仓（只统计，不计入组合）</t>
        </is>
      </c>
    </row>
    <row r="6160">
      <c r="A6160" t="inlineStr">
        <is>
          <t>2026-09-17</t>
        </is>
      </c>
      <c r="B6160" t="inlineStr">
        <is>
          <t>碳酸锂</t>
        </is>
      </c>
      <c r="C6160" t="inlineStr">
        <is>
          <t>空</t>
        </is>
      </c>
      <c r="D6160" t="n">
        <v>2</v>
      </c>
      <c r="E6160" t="n">
        <v>4</v>
      </c>
      <c r="F6160" t="inlineStr">
        <is>
          <t>观望</t>
        </is>
      </c>
      <c r="H6160" t="n">
        <v>131180</v>
      </c>
      <c r="J6160" t="n">
        <v>1</v>
      </c>
      <c r="K6160" t="inlineStr">
        <is>
          <t>逆5日线（收盘在5日线上，不追空）</t>
        </is>
      </c>
    </row>
    <row r="6161">
      <c r="A6161" t="inlineStr">
        <is>
          <t>2026-09-18</t>
        </is>
      </c>
      <c r="B6161" t="inlineStr">
        <is>
          <t>碳酸锂</t>
        </is>
      </c>
      <c r="C6161" t="inlineStr">
        <is>
          <t>空</t>
        </is>
      </c>
      <c r="D6161" t="n">
        <v>3</v>
      </c>
      <c r="E6161" t="n">
        <v>6</v>
      </c>
      <c r="F6161" t="inlineStr">
        <is>
          <t>不做</t>
        </is>
      </c>
      <c r="H6161" t="n">
        <v>127160</v>
      </c>
      <c r="J6161" t="n">
        <v>1</v>
      </c>
      <c r="K6161" t="inlineStr">
        <is>
          <t>1手风险18317元超过预算10000元</t>
        </is>
      </c>
    </row>
    <row r="6162">
      <c r="A6162" t="inlineStr">
        <is>
          <t>2026-09-18</t>
        </is>
      </c>
      <c r="B6162" t="inlineStr">
        <is>
          <t>棉花</t>
        </is>
      </c>
      <c r="C6162" t="inlineStr">
        <is>
          <t>空</t>
        </is>
      </c>
      <c r="D6162" t="n">
        <v>3</v>
      </c>
      <c r="E6162" t="n">
        <v>6</v>
      </c>
      <c r="F6162" t="inlineStr">
        <is>
          <t>续持</t>
        </is>
      </c>
      <c r="G6162" t="n">
        <v>9</v>
      </c>
      <c r="H6162" t="n">
        <v>15750</v>
      </c>
      <c r="I6162" t="n">
        <v>16348.21</v>
      </c>
      <c r="J6162" t="n">
        <v>3</v>
      </c>
      <c r="K6162" t="inlineStr">
        <is>
          <t>续持原仓（2026-09-17开）</t>
        </is>
      </c>
    </row>
    <row r="6163">
      <c r="A6163" t="inlineStr">
        <is>
          <t>2026-09-18</t>
        </is>
      </c>
      <c r="B6163" t="inlineStr">
        <is>
          <t>沪铝</t>
        </is>
      </c>
      <c r="C6163" t="inlineStr">
        <is>
          <t>多</t>
        </is>
      </c>
      <c r="D6163" t="n">
        <v>3</v>
      </c>
      <c r="E6163" t="n">
        <v>6</v>
      </c>
      <c r="F6163" t="inlineStr">
        <is>
          <t>续持</t>
        </is>
      </c>
      <c r="G6163" t="n">
        <v>2</v>
      </c>
      <c r="H6163" t="n">
        <v>24400</v>
      </c>
      <c r="I6163" t="n">
        <v>23715</v>
      </c>
      <c r="J6163" t="n">
        <v>1</v>
      </c>
      <c r="K6163" t="inlineStr">
        <is>
          <t>续持原仓（2026-09-17开）</t>
        </is>
      </c>
    </row>
    <row r="6164">
      <c r="A6164" t="inlineStr">
        <is>
          <t>2026-09-18</t>
        </is>
      </c>
      <c r="B6164" t="inlineStr">
        <is>
          <t>沪铜</t>
        </is>
      </c>
      <c r="C6164" t="inlineStr">
        <is>
          <t>多</t>
        </is>
      </c>
      <c r="D6164" t="n">
        <v>3</v>
      </c>
      <c r="E6164" t="n">
        <v>6</v>
      </c>
      <c r="F6164" t="inlineStr">
        <is>
          <t>不做</t>
        </is>
      </c>
      <c r="H6164" t="n">
        <v>109620</v>
      </c>
      <c r="J6164" t="n">
        <v>1</v>
      </c>
      <c r="K6164" t="inlineStr">
        <is>
          <t>1手风险20925元超过预算10000元</t>
        </is>
      </c>
    </row>
    <row r="6165">
      <c r="A6165" t="inlineStr">
        <is>
          <t>2026-09-18</t>
        </is>
      </c>
      <c r="B6165" t="inlineStr">
        <is>
          <t>鸡蛋</t>
        </is>
      </c>
      <c r="C6165" t="inlineStr">
        <is>
          <t>多</t>
        </is>
      </c>
      <c r="D6165" t="n">
        <v>3</v>
      </c>
      <c r="E6165" t="n">
        <v>6</v>
      </c>
      <c r="F6165" t="inlineStr">
        <is>
          <t>开仓</t>
        </is>
      </c>
      <c r="G6165" t="n">
        <v>5</v>
      </c>
      <c r="H6165" t="n">
        <v>3861</v>
      </c>
      <c r="I6165" t="n">
        <v>3673.71</v>
      </c>
      <c r="J6165" t="n">
        <v>1</v>
      </c>
      <c r="K6165" t="inlineStr">
        <is>
          <t>组合风险已近10%，预算缩小</t>
        </is>
      </c>
    </row>
    <row r="6166">
      <c r="A6166" t="inlineStr">
        <is>
          <t>2026-09-18</t>
        </is>
      </c>
      <c r="B6166" t="inlineStr">
        <is>
          <t>沥青</t>
        </is>
      </c>
      <c r="C6166" t="inlineStr">
        <is>
          <t>多</t>
        </is>
      </c>
      <c r="D6166" t="n">
        <v>2</v>
      </c>
      <c r="E6166" t="n">
        <v>5</v>
      </c>
      <c r="F6166" t="inlineStr">
        <is>
          <t>观望</t>
        </is>
      </c>
      <c r="G6166" t="n">
        <v>1</v>
      </c>
      <c r="H6166" t="n">
        <v>5291</v>
      </c>
      <c r="I6166" t="n">
        <v>4709.64</v>
      </c>
      <c r="J6166" t="n">
        <v>1</v>
      </c>
      <c r="K6166" t="inlineStr">
        <is>
          <t>逆5日线（收盘在5日线下，不追多）</t>
        </is>
      </c>
    </row>
    <row r="6167">
      <c r="A6167" t="inlineStr">
        <is>
          <t>2026-09-18</t>
        </is>
      </c>
      <c r="B6167" t="inlineStr">
        <is>
          <t>棕榈油</t>
        </is>
      </c>
      <c r="C6167" t="inlineStr">
        <is>
          <t>空</t>
        </is>
      </c>
      <c r="D6167" t="n">
        <v>2</v>
      </c>
      <c r="E6167" t="n">
        <v>5</v>
      </c>
      <c r="F6167" t="inlineStr">
        <is>
          <t>续持</t>
        </is>
      </c>
      <c r="G6167" t="n">
        <v>1</v>
      </c>
      <c r="H6167" t="n">
        <v>9855</v>
      </c>
      <c r="I6167" t="n">
        <v>10427.86</v>
      </c>
      <c r="J6167" t="n">
        <v>1</v>
      </c>
      <c r="K6167" t="inlineStr">
        <is>
          <t>续持原仓（2026-09-17开）</t>
        </is>
      </c>
    </row>
    <row r="6168">
      <c r="A6168" t="inlineStr">
        <is>
          <t>2026-09-18</t>
        </is>
      </c>
      <c r="B6168" t="inlineStr">
        <is>
          <t>PVC</t>
        </is>
      </c>
      <c r="C6168" t="inlineStr">
        <is>
          <t>空</t>
        </is>
      </c>
      <c r="D6168" t="n">
        <v>2</v>
      </c>
      <c r="E6168" t="n">
        <v>4</v>
      </c>
      <c r="F6168" t="inlineStr">
        <is>
          <t>影子仓</t>
        </is>
      </c>
      <c r="G6168" t="n">
        <v>4</v>
      </c>
      <c r="H6168" t="n">
        <v>4703</v>
      </c>
      <c r="I6168" t="n">
        <v>5172.5</v>
      </c>
      <c r="J6168" t="n">
        <v>1</v>
      </c>
      <c r="K6168" t="inlineStr">
        <is>
          <t>凯利≤0，开1%影子仓（只统计，不计入组合）</t>
        </is>
      </c>
    </row>
    <row r="6169">
      <c r="A6169" t="inlineStr">
        <is>
          <t>2026-09-18</t>
        </is>
      </c>
      <c r="B6169" t="inlineStr">
        <is>
          <t>纯碱</t>
        </is>
      </c>
      <c r="C6169" t="inlineStr">
        <is>
          <t>空</t>
        </is>
      </c>
      <c r="D6169" t="n">
        <v>2</v>
      </c>
      <c r="E6169" t="n">
        <v>4</v>
      </c>
      <c r="F6169" t="inlineStr">
        <is>
          <t>续持</t>
        </is>
      </c>
      <c r="G6169" t="n">
        <v>4</v>
      </c>
      <c r="H6169" t="n">
        <v>1007</v>
      </c>
      <c r="I6169" t="n">
        <v>1090.71</v>
      </c>
      <c r="J6169" t="n">
        <v>1</v>
      </c>
      <c r="K6169" t="inlineStr">
        <is>
          <t>续持原仓（2026-09-15开）</t>
        </is>
      </c>
    </row>
    <row r="6170">
      <c r="A6170" t="inlineStr">
        <is>
          <t>2026-09-18</t>
        </is>
      </c>
      <c r="B6170" t="inlineStr">
        <is>
          <t>苯乙烯</t>
        </is>
      </c>
      <c r="C6170" t="inlineStr">
        <is>
          <t>多</t>
        </is>
      </c>
      <c r="D6170" t="n">
        <v>2</v>
      </c>
      <c r="E6170" t="n">
        <v>4</v>
      </c>
      <c r="F6170" t="inlineStr">
        <is>
          <t>观望</t>
        </is>
      </c>
      <c r="G6170" t="n">
        <v>1</v>
      </c>
      <c r="H6170" t="n">
        <v>9470</v>
      </c>
      <c r="I6170" t="n">
        <v>8291</v>
      </c>
      <c r="J6170" t="n">
        <v>1</v>
      </c>
      <c r="K6170" t="inlineStr">
        <is>
          <t>逆5日线（收盘在5日线下，不追多）</t>
        </is>
      </c>
    </row>
    <row r="6171">
      <c r="A6171" t="inlineStr">
        <is>
          <t>2026-09-21</t>
        </is>
      </c>
      <c r="B6171" t="inlineStr">
        <is>
          <t>PTA</t>
        </is>
      </c>
      <c r="C6171" t="inlineStr">
        <is>
          <t>多</t>
        </is>
      </c>
      <c r="D6171" t="n">
        <v>3</v>
      </c>
      <c r="E6171" t="n">
        <v>7</v>
      </c>
      <c r="F6171" t="inlineStr">
        <is>
          <t>观望</t>
        </is>
      </c>
      <c r="H6171" t="n">
        <v>6282</v>
      </c>
      <c r="J6171" t="n">
        <v>0</v>
      </c>
      <c r="K6171" t="inlineStr">
        <is>
          <t>逆5日线（收盘在5日线下，不追多）</t>
        </is>
      </c>
    </row>
    <row r="6172">
      <c r="A6172" t="inlineStr">
        <is>
          <t>2026-09-21</t>
        </is>
      </c>
      <c r="B6172" t="inlineStr">
        <is>
          <t>生猪</t>
        </is>
      </c>
      <c r="C6172" t="inlineStr">
        <is>
          <t>空</t>
        </is>
      </c>
      <c r="D6172" t="n">
        <v>3</v>
      </c>
      <c r="E6172" t="n">
        <v>6</v>
      </c>
      <c r="F6172" t="inlineStr">
        <is>
          <t>续持</t>
        </is>
      </c>
      <c r="G6172" t="n">
        <v>3</v>
      </c>
      <c r="H6172" t="n">
        <v>10940</v>
      </c>
      <c r="I6172" t="n">
        <v>11501.43</v>
      </c>
      <c r="J6172" t="n">
        <v>3</v>
      </c>
      <c r="K6172" t="inlineStr">
        <is>
          <t>续持原仓（2026-09-11开）</t>
        </is>
      </c>
    </row>
    <row r="6173">
      <c r="A6173" t="inlineStr">
        <is>
          <t>2026-09-21</t>
        </is>
      </c>
      <c r="B6173" t="inlineStr">
        <is>
          <t>聚丙烯</t>
        </is>
      </c>
      <c r="C6173" t="inlineStr">
        <is>
          <t>多</t>
        </is>
      </c>
      <c r="D6173" t="n">
        <v>3</v>
      </c>
      <c r="E6173" t="n">
        <v>6</v>
      </c>
      <c r="F6173" t="inlineStr">
        <is>
          <t>观望</t>
        </is>
      </c>
      <c r="H6173" t="n">
        <v>8571</v>
      </c>
      <c r="J6173" t="n">
        <v>0</v>
      </c>
      <c r="K6173" t="inlineStr">
        <is>
          <t>逆5日线（收盘在5日线下，不追多）</t>
        </is>
      </c>
    </row>
    <row r="6174">
      <c r="A6174" t="inlineStr">
        <is>
          <t>2026-09-21</t>
        </is>
      </c>
      <c r="B6174" t="inlineStr">
        <is>
          <t>玉米</t>
        </is>
      </c>
      <c r="C6174" t="inlineStr">
        <is>
          <t>空</t>
        </is>
      </c>
      <c r="D6174" t="n">
        <v>3</v>
      </c>
      <c r="E6174" t="n">
        <v>6</v>
      </c>
      <c r="F6174" t="inlineStr">
        <is>
          <t>不做</t>
        </is>
      </c>
      <c r="H6174" t="n">
        <v>2170</v>
      </c>
      <c r="J6174" t="n">
        <v>0</v>
      </c>
      <c r="K6174" t="inlineStr">
        <is>
          <t>组合风险已近10%，预算缩小</t>
        </is>
      </c>
    </row>
    <row r="6175">
      <c r="A6175" t="inlineStr">
        <is>
          <t>2026-09-21</t>
        </is>
      </c>
      <c r="B6175" t="inlineStr">
        <is>
          <t>乙二醇</t>
        </is>
      </c>
      <c r="C6175" t="inlineStr">
        <is>
          <t>多</t>
        </is>
      </c>
      <c r="D6175" t="n">
        <v>3</v>
      </c>
      <c r="E6175" t="n">
        <v>6</v>
      </c>
      <c r="F6175" t="inlineStr">
        <is>
          <t>观望</t>
        </is>
      </c>
      <c r="H6175" t="n">
        <v>6027</v>
      </c>
      <c r="J6175" t="n">
        <v>0</v>
      </c>
      <c r="K6175" t="inlineStr">
        <is>
          <t>逆5日线（收盘在5日线下，不追多）</t>
        </is>
      </c>
    </row>
    <row r="6176">
      <c r="A6176" t="inlineStr">
        <is>
          <t>2026-09-21</t>
        </is>
      </c>
      <c r="B6176" t="inlineStr">
        <is>
          <t>沪铜</t>
        </is>
      </c>
      <c r="C6176" t="inlineStr">
        <is>
          <t>多</t>
        </is>
      </c>
      <c r="D6176" t="n">
        <v>3</v>
      </c>
      <c r="E6176" t="n">
        <v>6</v>
      </c>
      <c r="F6176" t="inlineStr">
        <is>
          <t>不做</t>
        </is>
      </c>
      <c r="H6176" t="n">
        <v>110180</v>
      </c>
      <c r="J6176" t="n">
        <v>0</v>
      </c>
      <c r="K6176" t="inlineStr">
        <is>
          <t>组合风险已近10%，预算缩小</t>
        </is>
      </c>
    </row>
    <row r="6177">
      <c r="A6177" t="inlineStr">
        <is>
          <t>2026-09-21</t>
        </is>
      </c>
      <c r="B6177" t="inlineStr">
        <is>
          <t>沥青</t>
        </is>
      </c>
      <c r="C6177" t="inlineStr">
        <is>
          <t>多</t>
        </is>
      </c>
      <c r="D6177" t="n">
        <v>2</v>
      </c>
      <c r="E6177" t="n">
        <v>5</v>
      </c>
      <c r="F6177" t="inlineStr">
        <is>
          <t>观望</t>
        </is>
      </c>
      <c r="G6177" t="n">
        <v>1</v>
      </c>
      <c r="H6177" t="n">
        <v>5305</v>
      </c>
      <c r="I6177" t="n">
        <v>4707.14</v>
      </c>
      <c r="J6177" t="n">
        <v>1</v>
      </c>
      <c r="K6177" t="inlineStr">
        <is>
          <t>逆5日线（收盘在5日线下，不追多）</t>
        </is>
      </c>
    </row>
    <row r="6178">
      <c r="A6178" t="inlineStr">
        <is>
          <t>2026-09-21</t>
        </is>
      </c>
      <c r="B6178" t="inlineStr">
        <is>
          <t>棉花</t>
        </is>
      </c>
      <c r="C6178" t="inlineStr">
        <is>
          <t>空</t>
        </is>
      </c>
      <c r="D6178" t="n">
        <v>2</v>
      </c>
      <c r="E6178" t="n">
        <v>5</v>
      </c>
      <c r="F6178" t="inlineStr">
        <is>
          <t>续持</t>
        </is>
      </c>
      <c r="G6178" t="n">
        <v>9</v>
      </c>
      <c r="H6178" t="n">
        <v>15870</v>
      </c>
      <c r="I6178" t="n">
        <v>16348.21</v>
      </c>
      <c r="J6178" t="n">
        <v>3</v>
      </c>
      <c r="K6178" t="inlineStr">
        <is>
          <t>续持原仓（2026-09-17开）</t>
        </is>
      </c>
    </row>
    <row r="6179">
      <c r="A6179" t="inlineStr">
        <is>
          <t>2026-09-21</t>
        </is>
      </c>
      <c r="B6179" t="inlineStr">
        <is>
          <t>沪镍</t>
        </is>
      </c>
      <c r="C6179" t="inlineStr">
        <is>
          <t>空</t>
        </is>
      </c>
      <c r="D6179" t="n">
        <v>2</v>
      </c>
      <c r="E6179" t="n">
        <v>5</v>
      </c>
      <c r="F6179" t="inlineStr">
        <is>
          <t>观望</t>
        </is>
      </c>
      <c r="G6179" t="n">
        <v>1</v>
      </c>
      <c r="H6179" t="n">
        <v>123890</v>
      </c>
      <c r="I6179" t="n">
        <v>129684.29</v>
      </c>
      <c r="J6179" t="n">
        <v>1</v>
      </c>
      <c r="K6179" t="inlineStr">
        <is>
          <t>逆5日线（收盘在5日线上，不追空）</t>
        </is>
      </c>
    </row>
    <row r="6180">
      <c r="A6180" t="inlineStr">
        <is>
          <t>2026-09-21</t>
        </is>
      </c>
      <c r="B6180" t="inlineStr">
        <is>
          <t>棕榈油</t>
        </is>
      </c>
      <c r="C6180" t="inlineStr">
        <is>
          <t>空</t>
        </is>
      </c>
      <c r="D6180" t="n">
        <v>2</v>
      </c>
      <c r="E6180" t="n">
        <v>5</v>
      </c>
      <c r="F6180" t="inlineStr">
        <is>
          <t>续持</t>
        </is>
      </c>
      <c r="G6180" t="n">
        <v>1</v>
      </c>
      <c r="H6180" t="n">
        <v>9816</v>
      </c>
      <c r="I6180" t="n">
        <v>10388.43</v>
      </c>
      <c r="J6180" t="n">
        <v>1</v>
      </c>
      <c r="K6180" t="inlineStr">
        <is>
          <t>续持原仓（2026-09-17开）</t>
        </is>
      </c>
    </row>
    <row r="6181">
      <c r="A6181" t="inlineStr">
        <is>
          <t>2026-09-22</t>
        </is>
      </c>
      <c r="B6181" t="inlineStr">
        <is>
          <t>玉米淀粉</t>
        </is>
      </c>
      <c r="C6181" t="inlineStr">
        <is>
          <t>空</t>
        </is>
      </c>
      <c r="D6181" t="n">
        <v>3</v>
      </c>
      <c r="E6181" t="n">
        <v>6</v>
      </c>
      <c r="F6181" t="inlineStr">
        <is>
          <t>开仓</t>
        </is>
      </c>
      <c r="G6181" t="n">
        <v>12</v>
      </c>
      <c r="H6181" t="n">
        <v>2437</v>
      </c>
      <c r="I6181" t="n">
        <v>2516.29</v>
      </c>
      <c r="J6181" t="n">
        <v>1</v>
      </c>
      <c r="K6181" t="inlineStr">
        <is>
          <t>组合风险已近10%，预算缩小</t>
        </is>
      </c>
    </row>
    <row r="6182">
      <c r="A6182" t="inlineStr">
        <is>
          <t>2026-09-22</t>
        </is>
      </c>
      <c r="B6182" t="inlineStr">
        <is>
          <t>生猪</t>
        </is>
      </c>
      <c r="C6182" t="inlineStr">
        <is>
          <t>空</t>
        </is>
      </c>
      <c r="D6182" t="n">
        <v>3</v>
      </c>
      <c r="E6182" t="n">
        <v>6</v>
      </c>
      <c r="F6182" t="inlineStr">
        <is>
          <t>续持</t>
        </is>
      </c>
      <c r="G6182" t="n">
        <v>3</v>
      </c>
      <c r="H6182" t="n">
        <v>10935</v>
      </c>
      <c r="I6182" t="n">
        <v>11445.71</v>
      </c>
      <c r="J6182" t="n">
        <v>3</v>
      </c>
      <c r="K6182" t="inlineStr">
        <is>
          <t>续持原仓（2026-09-11开）</t>
        </is>
      </c>
    </row>
    <row r="6183">
      <c r="A6183" t="inlineStr">
        <is>
          <t>2026-09-22</t>
        </is>
      </c>
      <c r="B6183" t="inlineStr">
        <is>
          <t>甲醇</t>
        </is>
      </c>
      <c r="C6183" t="inlineStr">
        <is>
          <t>多</t>
        </is>
      </c>
      <c r="D6183" t="n">
        <v>3</v>
      </c>
      <c r="E6183" t="n">
        <v>6</v>
      </c>
      <c r="F6183" t="inlineStr">
        <is>
          <t>观望</t>
        </is>
      </c>
      <c r="H6183" t="n">
        <v>2944</v>
      </c>
      <c r="J6183" t="n">
        <v>0</v>
      </c>
      <c r="K6183" t="inlineStr">
        <is>
          <t>逆5日线（收盘在5日线下，不追多）</t>
        </is>
      </c>
    </row>
    <row r="6184">
      <c r="A6184" t="inlineStr">
        <is>
          <t>2026-09-22</t>
        </is>
      </c>
      <c r="B6184" t="inlineStr">
        <is>
          <t>棉花</t>
        </is>
      </c>
      <c r="C6184" t="inlineStr">
        <is>
          <t>空</t>
        </is>
      </c>
      <c r="D6184" t="n">
        <v>3</v>
      </c>
      <c r="E6184" t="n">
        <v>6</v>
      </c>
      <c r="F6184" t="inlineStr">
        <is>
          <t>续持</t>
        </is>
      </c>
      <c r="G6184" t="n">
        <v>9</v>
      </c>
      <c r="H6184" t="n">
        <v>15790</v>
      </c>
      <c r="I6184" t="n">
        <v>16316.79</v>
      </c>
      <c r="J6184" t="n">
        <v>3</v>
      </c>
      <c r="K6184" t="inlineStr">
        <is>
          <t>续持原仓（2026-09-17开）</t>
        </is>
      </c>
    </row>
    <row r="6185">
      <c r="A6185" t="inlineStr">
        <is>
          <t>2026-09-22</t>
        </is>
      </c>
      <c r="B6185" t="inlineStr">
        <is>
          <t>PTA</t>
        </is>
      </c>
      <c r="C6185" t="inlineStr">
        <is>
          <t>多</t>
        </is>
      </c>
      <c r="D6185" t="n">
        <v>2</v>
      </c>
      <c r="E6185" t="n">
        <v>5</v>
      </c>
      <c r="F6185" t="inlineStr">
        <is>
          <t>观望</t>
        </is>
      </c>
      <c r="G6185" t="n">
        <v>3</v>
      </c>
      <c r="H6185" t="n">
        <v>6274</v>
      </c>
      <c r="I6185" t="n">
        <v>5660.71</v>
      </c>
      <c r="J6185" t="n">
        <v>1</v>
      </c>
      <c r="K6185" t="inlineStr">
        <is>
          <t>逆5日线（收盘在5日线下，不追多）</t>
        </is>
      </c>
    </row>
    <row r="6186">
      <c r="A6186" t="inlineStr">
        <is>
          <t>2026-09-22</t>
        </is>
      </c>
      <c r="B6186" t="inlineStr">
        <is>
          <t>沪铝</t>
        </is>
      </c>
      <c r="C6186" t="inlineStr">
        <is>
          <t>多</t>
        </is>
      </c>
      <c r="D6186" t="n">
        <v>2</v>
      </c>
      <c r="E6186" t="n">
        <v>5</v>
      </c>
      <c r="F6186" t="inlineStr">
        <is>
          <t>观望</t>
        </is>
      </c>
      <c r="G6186" t="n">
        <v>2</v>
      </c>
      <c r="H6186" t="n">
        <v>24240</v>
      </c>
      <c r="I6186" t="n">
        <v>23497.5</v>
      </c>
      <c r="J6186" t="n">
        <v>1</v>
      </c>
      <c r="K6186" t="inlineStr">
        <is>
          <t>逆5日线（收盘在5日线下，不追多）</t>
        </is>
      </c>
    </row>
    <row r="6187">
      <c r="A6187" t="inlineStr">
        <is>
          <t>2026-09-22</t>
        </is>
      </c>
      <c r="B6187" t="inlineStr">
        <is>
          <t>苯乙烯</t>
        </is>
      </c>
      <c r="C6187" t="inlineStr">
        <is>
          <t>多</t>
        </is>
      </c>
      <c r="D6187" t="n">
        <v>2</v>
      </c>
      <c r="E6187" t="n">
        <v>5</v>
      </c>
      <c r="F6187" t="inlineStr">
        <is>
          <t>观望</t>
        </is>
      </c>
      <c r="G6187" t="n">
        <v>1</v>
      </c>
      <c r="H6187" t="n">
        <v>9522</v>
      </c>
      <c r="I6187" t="n">
        <v>8370.43</v>
      </c>
      <c r="J6187" t="n">
        <v>1</v>
      </c>
      <c r="K6187" t="inlineStr">
        <is>
          <t>逆5日线（收盘在5日线下，不追多）</t>
        </is>
      </c>
    </row>
    <row r="6188">
      <c r="A6188" t="inlineStr">
        <is>
          <t>2026-09-22</t>
        </is>
      </c>
      <c r="B6188" t="inlineStr">
        <is>
          <t>棕榈油</t>
        </is>
      </c>
      <c r="C6188" t="inlineStr">
        <is>
          <t>空</t>
        </is>
      </c>
      <c r="D6188" t="n">
        <v>2</v>
      </c>
      <c r="E6188" t="n">
        <v>5</v>
      </c>
      <c r="F6188" t="inlineStr">
        <is>
          <t>续持</t>
        </is>
      </c>
      <c r="G6188" t="n">
        <v>1</v>
      </c>
      <c r="H6188" t="n">
        <v>9828</v>
      </c>
      <c r="I6188" t="n">
        <v>10358</v>
      </c>
      <c r="J6188" t="n">
        <v>1</v>
      </c>
      <c r="K6188" t="inlineStr">
        <is>
          <t>续持原仓（2026-09-17开）</t>
        </is>
      </c>
    </row>
    <row r="6189">
      <c r="A6189" t="inlineStr">
        <is>
          <t>2026-09-22</t>
        </is>
      </c>
      <c r="B6189" t="inlineStr">
        <is>
          <t>乙二醇</t>
        </is>
      </c>
      <c r="C6189" t="inlineStr">
        <is>
          <t>多</t>
        </is>
      </c>
      <c r="D6189" t="n">
        <v>2</v>
      </c>
      <c r="E6189" t="n">
        <v>4</v>
      </c>
      <c r="F6189" t="inlineStr">
        <is>
          <t>观望</t>
        </is>
      </c>
      <c r="G6189" t="n">
        <v>1</v>
      </c>
      <c r="H6189" t="n">
        <v>5352</v>
      </c>
      <c r="I6189" t="n">
        <v>4473.64</v>
      </c>
      <c r="J6189" t="n">
        <v>1</v>
      </c>
      <c r="K6189" t="inlineStr">
        <is>
          <t>逆5日线（收盘在5日线下，不追多）</t>
        </is>
      </c>
    </row>
    <row r="6190">
      <c r="A6190" t="inlineStr">
        <is>
          <t>2026-09-22</t>
        </is>
      </c>
      <c r="B6190" t="inlineStr">
        <is>
          <t>玉米</t>
        </is>
      </c>
      <c r="C6190" t="inlineStr">
        <is>
          <t>空</t>
        </is>
      </c>
      <c r="D6190" t="n">
        <v>2</v>
      </c>
      <c r="E6190" t="n">
        <v>4</v>
      </c>
      <c r="F6190" t="inlineStr">
        <is>
          <t>影子仓</t>
        </is>
      </c>
      <c r="G6190" t="n">
        <v>14</v>
      </c>
      <c r="H6190" t="n">
        <v>2180</v>
      </c>
      <c r="I6190" t="n">
        <v>2247.29</v>
      </c>
      <c r="J6190" t="n">
        <v>1</v>
      </c>
      <c r="K6190" t="inlineStr">
        <is>
          <t>凯利≤0，开1%影子仓（只统计，不计入组合）</t>
        </is>
      </c>
    </row>
    <row r="6191">
      <c r="A6191" t="inlineStr">
        <is>
          <t>2026-09-23</t>
        </is>
      </c>
      <c r="B6191" t="inlineStr">
        <is>
          <t>棕榈油</t>
        </is>
      </c>
      <c r="C6191" t="inlineStr">
        <is>
          <t>空</t>
        </is>
      </c>
      <c r="D6191" t="n">
        <v>3</v>
      </c>
      <c r="E6191" t="n">
        <v>7</v>
      </c>
      <c r="F6191" t="inlineStr">
        <is>
          <t>续持</t>
        </is>
      </c>
      <c r="G6191" t="n">
        <v>1</v>
      </c>
      <c r="H6191" t="n">
        <v>9718</v>
      </c>
      <c r="I6191" t="n">
        <v>10184.57</v>
      </c>
      <c r="J6191" t="n">
        <v>1</v>
      </c>
      <c r="K6191" t="inlineStr">
        <is>
          <t>续持原仓（2026-09-17开）</t>
        </is>
      </c>
    </row>
    <row r="6192">
      <c r="A6192" t="inlineStr">
        <is>
          <t>2026-09-23</t>
        </is>
      </c>
      <c r="B6192" t="inlineStr">
        <is>
          <t>豆一</t>
        </is>
      </c>
      <c r="C6192" t="inlineStr">
        <is>
          <t>多</t>
        </is>
      </c>
      <c r="D6192" t="n">
        <v>3</v>
      </c>
      <c r="E6192" t="n">
        <v>7</v>
      </c>
      <c r="F6192" t="inlineStr">
        <is>
          <t>不做</t>
        </is>
      </c>
      <c r="H6192" t="n">
        <v>5007</v>
      </c>
      <c r="J6192" t="n">
        <v>0</v>
      </c>
      <c r="K6192" t="inlineStr">
        <is>
          <t>组合风险已近10%，预算缩小</t>
        </is>
      </c>
    </row>
    <row r="6193">
      <c r="A6193" t="inlineStr">
        <is>
          <t>2026-09-23</t>
        </is>
      </c>
      <c r="B6193" t="inlineStr">
        <is>
          <t>生猪</t>
        </is>
      </c>
      <c r="C6193" t="inlineStr">
        <is>
          <t>空</t>
        </is>
      </c>
      <c r="D6193" t="n">
        <v>3</v>
      </c>
      <c r="E6193" t="n">
        <v>6</v>
      </c>
      <c r="F6193" t="inlineStr">
        <is>
          <t>续持</t>
        </is>
      </c>
      <c r="G6193" t="n">
        <v>3</v>
      </c>
      <c r="H6193" t="n">
        <v>10820</v>
      </c>
      <c r="I6193" t="n">
        <v>11399.29</v>
      </c>
      <c r="J6193" t="n">
        <v>3</v>
      </c>
      <c r="K6193" t="inlineStr">
        <is>
          <t>续持原仓（2026-09-11开）</t>
        </is>
      </c>
    </row>
    <row r="6194">
      <c r="A6194" t="inlineStr">
        <is>
          <t>2026-09-23</t>
        </is>
      </c>
      <c r="B6194" t="inlineStr">
        <is>
          <t>碳酸锂</t>
        </is>
      </c>
      <c r="C6194" t="inlineStr">
        <is>
          <t>空</t>
        </is>
      </c>
      <c r="D6194" t="n">
        <v>3</v>
      </c>
      <c r="E6194" t="n">
        <v>6</v>
      </c>
      <c r="F6194" t="inlineStr">
        <is>
          <t>不做</t>
        </is>
      </c>
      <c r="H6194" t="n">
        <v>128900</v>
      </c>
      <c r="J6194" t="n">
        <v>0</v>
      </c>
      <c r="K6194" t="inlineStr">
        <is>
          <t>组合风险已近10%，预算缩小</t>
        </is>
      </c>
    </row>
    <row r="6195">
      <c r="A6195" t="inlineStr">
        <is>
          <t>2026-09-23</t>
        </is>
      </c>
      <c r="B6195" t="inlineStr">
        <is>
          <t>棉花</t>
        </is>
      </c>
      <c r="C6195" t="inlineStr">
        <is>
          <t>空</t>
        </is>
      </c>
      <c r="D6195" t="n">
        <v>3</v>
      </c>
      <c r="E6195" t="n">
        <v>6</v>
      </c>
      <c r="F6195" t="inlineStr">
        <is>
          <t>观望</t>
        </is>
      </c>
      <c r="H6195" t="n">
        <v>15820</v>
      </c>
      <c r="J6195" t="n">
        <v>0</v>
      </c>
      <c r="K6195" t="inlineStr">
        <is>
          <t>逆5日线（收盘在5日线上，不追空）</t>
        </is>
      </c>
    </row>
    <row r="6196">
      <c r="A6196" t="inlineStr">
        <is>
          <t>2026-09-23</t>
        </is>
      </c>
      <c r="B6196" t="inlineStr">
        <is>
          <t>沪铜</t>
        </is>
      </c>
      <c r="C6196" t="inlineStr">
        <is>
          <t>多</t>
        </is>
      </c>
      <c r="D6196" t="n">
        <v>3</v>
      </c>
      <c r="E6196" t="n">
        <v>6</v>
      </c>
      <c r="F6196" t="inlineStr">
        <is>
          <t>不做</t>
        </is>
      </c>
      <c r="H6196" t="n">
        <v>110330</v>
      </c>
      <c r="J6196" t="n">
        <v>0</v>
      </c>
      <c r="K6196" t="inlineStr">
        <is>
          <t>组合风险已近10%，预算缩小</t>
        </is>
      </c>
    </row>
    <row r="6197">
      <c r="A6197" t="inlineStr">
        <is>
          <t>2026-09-23</t>
        </is>
      </c>
      <c r="B6197" t="inlineStr">
        <is>
          <t>玉米淀粉</t>
        </is>
      </c>
      <c r="C6197" t="inlineStr">
        <is>
          <t>空</t>
        </is>
      </c>
      <c r="D6197" t="n">
        <v>2</v>
      </c>
      <c r="E6197" t="n">
        <v>5</v>
      </c>
      <c r="F6197" t="inlineStr">
        <is>
          <t>观望</t>
        </is>
      </c>
      <c r="G6197" t="n">
        <v>13</v>
      </c>
      <c r="H6197" t="n">
        <v>2441</v>
      </c>
      <c r="I6197" t="n">
        <v>2517.71</v>
      </c>
      <c r="J6197" t="n">
        <v>1</v>
      </c>
      <c r="K6197" t="inlineStr">
        <is>
          <t>逆5日线（收盘在5日线上，不追空）</t>
        </is>
      </c>
    </row>
    <row r="6198">
      <c r="A6198" t="inlineStr">
        <is>
          <t>2026-09-24</t>
        </is>
      </c>
      <c r="B6198" t="inlineStr">
        <is>
          <t>玉米淀粉</t>
        </is>
      </c>
      <c r="C6198" t="inlineStr">
        <is>
          <t>空</t>
        </is>
      </c>
      <c r="D6198" t="n">
        <v>3</v>
      </c>
      <c r="E6198" t="n">
        <v>7</v>
      </c>
      <c r="F6198" t="inlineStr">
        <is>
          <t>续持</t>
        </is>
      </c>
      <c r="G6198" t="n">
        <v>12</v>
      </c>
      <c r="H6198" t="n">
        <v>2427</v>
      </c>
      <c r="I6198" t="n">
        <v>2496.14</v>
      </c>
      <c r="J6198" t="n">
        <v>1</v>
      </c>
      <c r="K6198" t="inlineStr">
        <is>
          <t>续持原仓（2026-09-22开）</t>
        </is>
      </c>
    </row>
    <row r="6199">
      <c r="A6199" t="inlineStr">
        <is>
          <t>2026-09-24</t>
        </is>
      </c>
      <c r="B6199" t="inlineStr">
        <is>
          <t>生猪</t>
        </is>
      </c>
      <c r="C6199" t="inlineStr">
        <is>
          <t>空</t>
        </is>
      </c>
      <c r="D6199" t="n">
        <v>3</v>
      </c>
      <c r="E6199" t="n">
        <v>6</v>
      </c>
      <c r="F6199" t="inlineStr">
        <is>
          <t>续持</t>
        </is>
      </c>
      <c r="G6199" t="n">
        <v>3</v>
      </c>
      <c r="H6199" t="n">
        <v>10655</v>
      </c>
      <c r="I6199" t="n">
        <v>11232.86</v>
      </c>
      <c r="J6199" t="n">
        <v>3</v>
      </c>
      <c r="K6199" t="inlineStr">
        <is>
          <t>续持原仓（2026-09-11开）</t>
        </is>
      </c>
    </row>
    <row r="6200">
      <c r="A6200" t="inlineStr">
        <is>
          <t>2026-09-24</t>
        </is>
      </c>
      <c r="B6200" t="inlineStr">
        <is>
          <t>碳酸锂</t>
        </is>
      </c>
      <c r="C6200" t="inlineStr">
        <is>
          <t>空</t>
        </is>
      </c>
      <c r="D6200" t="n">
        <v>3</v>
      </c>
      <c r="E6200" t="n">
        <v>6</v>
      </c>
      <c r="F6200" t="inlineStr">
        <is>
          <t>不做</t>
        </is>
      </c>
      <c r="H6200" t="n">
        <v>124420</v>
      </c>
      <c r="J6200" t="n">
        <v>0</v>
      </c>
      <c r="K6200" t="inlineStr">
        <is>
          <t>组合风险已近10%，预算缩小</t>
        </is>
      </c>
    </row>
    <row r="6201">
      <c r="A6201" t="inlineStr">
        <is>
          <t>2026-09-24</t>
        </is>
      </c>
      <c r="B6201" t="inlineStr">
        <is>
          <t>纯碱</t>
        </is>
      </c>
      <c r="C6201" t="inlineStr">
        <is>
          <t>空</t>
        </is>
      </c>
      <c r="D6201" t="n">
        <v>3</v>
      </c>
      <c r="E6201" t="n">
        <v>6</v>
      </c>
      <c r="F6201" t="inlineStr">
        <is>
          <t>续持</t>
        </is>
      </c>
      <c r="G6201" t="n">
        <v>4</v>
      </c>
      <c r="H6201" t="n">
        <v>1004</v>
      </c>
      <c r="I6201" t="n">
        <v>1073.5</v>
      </c>
      <c r="J6201" t="n">
        <v>1</v>
      </c>
      <c r="K6201" t="inlineStr">
        <is>
          <t>续持原仓（2026-09-15开）</t>
        </is>
      </c>
    </row>
    <row r="6202">
      <c r="A6202" t="inlineStr">
        <is>
          <t>2026-09-24</t>
        </is>
      </c>
      <c r="B6202" t="inlineStr">
        <is>
          <t>豆一</t>
        </is>
      </c>
      <c r="C6202" t="inlineStr">
        <is>
          <t>多</t>
        </is>
      </c>
      <c r="D6202" t="n">
        <v>3</v>
      </c>
      <c r="E6202" t="n">
        <v>6</v>
      </c>
      <c r="F6202" t="inlineStr">
        <is>
          <t>不做</t>
        </is>
      </c>
      <c r="H6202" t="n">
        <v>5068</v>
      </c>
      <c r="J6202" t="n">
        <v>0</v>
      </c>
      <c r="K6202" t="inlineStr">
        <is>
          <t>组合风险已近10%，预算缩小</t>
        </is>
      </c>
    </row>
    <row r="6203">
      <c r="A6203" t="inlineStr">
        <is>
          <t>2026-09-24</t>
        </is>
      </c>
      <c r="B6203" t="inlineStr">
        <is>
          <t>沪铜</t>
        </is>
      </c>
      <c r="C6203" t="inlineStr">
        <is>
          <t>多</t>
        </is>
      </c>
      <c r="D6203" t="n">
        <v>2</v>
      </c>
      <c r="E6203" t="n">
        <v>5</v>
      </c>
      <c r="F6203" t="inlineStr">
        <is>
          <t>不做</t>
        </is>
      </c>
      <c r="H6203" t="n">
        <v>110130</v>
      </c>
      <c r="J6203" t="n">
        <v>1</v>
      </c>
      <c r="K6203" t="inlineStr">
        <is>
          <t>1手风险20207元超过预算10000元</t>
        </is>
      </c>
    </row>
    <row r="6204">
      <c r="A6204" t="inlineStr">
        <is>
          <t>2026-09-24</t>
        </is>
      </c>
      <c r="B6204" t="inlineStr">
        <is>
          <t>尿素</t>
        </is>
      </c>
      <c r="C6204" t="inlineStr">
        <is>
          <t>空</t>
        </is>
      </c>
      <c r="D6204" t="n">
        <v>2</v>
      </c>
      <c r="E6204" t="n">
        <v>5</v>
      </c>
      <c r="F6204" t="inlineStr">
        <is>
          <t>影子仓</t>
        </is>
      </c>
      <c r="G6204" t="n">
        <v>6</v>
      </c>
      <c r="H6204" t="n">
        <v>1758</v>
      </c>
      <c r="I6204" t="n">
        <v>1830.43</v>
      </c>
      <c r="J6204" t="n">
        <v>1</v>
      </c>
      <c r="K6204" t="inlineStr">
        <is>
          <t>凯利≤0，开1%影子仓（只统计，不计入组合）</t>
        </is>
      </c>
    </row>
    <row r="6205">
      <c r="A6205" t="inlineStr">
        <is>
          <t>2026-09-24</t>
        </is>
      </c>
      <c r="B6205" t="inlineStr">
        <is>
          <t>鸡蛋</t>
        </is>
      </c>
      <c r="C6205" t="inlineStr">
        <is>
          <t>多</t>
        </is>
      </c>
      <c r="D6205" t="n">
        <v>2</v>
      </c>
      <c r="E6205" t="n">
        <v>4</v>
      </c>
      <c r="F6205" t="inlineStr">
        <is>
          <t>影子仓</t>
        </is>
      </c>
      <c r="G6205" t="n">
        <v>5</v>
      </c>
      <c r="H6205" t="n">
        <v>3865</v>
      </c>
      <c r="I6205" t="n">
        <v>3676.64</v>
      </c>
      <c r="J6205" t="n">
        <v>1</v>
      </c>
      <c r="K6205" t="inlineStr">
        <is>
          <t>凯利≤0，开1%影子仓（只统计，不计入组合）</t>
        </is>
      </c>
    </row>
    <row r="6206">
      <c r="A6206" t="inlineStr">
        <is>
          <t>2026-09-28</t>
        </is>
      </c>
      <c r="B6206" t="inlineStr">
        <is>
          <t>玉米淀粉</t>
        </is>
      </c>
      <c r="C6206" t="inlineStr">
        <is>
          <t>空</t>
        </is>
      </c>
      <c r="D6206" t="n">
        <v>3</v>
      </c>
      <c r="E6206" t="n">
        <v>6</v>
      </c>
      <c r="F6206" t="inlineStr">
        <is>
          <t>续持</t>
        </is>
      </c>
      <c r="G6206" t="n">
        <v>12</v>
      </c>
      <c r="H6206" t="n">
        <v>2429</v>
      </c>
      <c r="I6206" t="n">
        <v>2481.36</v>
      </c>
      <c r="J6206" t="n">
        <v>1</v>
      </c>
      <c r="K6206" t="inlineStr">
        <is>
          <t>续持原仓（2026-09-22开）</t>
        </is>
      </c>
    </row>
    <row r="6207">
      <c r="A6207" t="inlineStr">
        <is>
          <t>2026-09-28</t>
        </is>
      </c>
      <c r="B6207" t="inlineStr">
        <is>
          <t>生猪</t>
        </is>
      </c>
      <c r="C6207" t="inlineStr">
        <is>
          <t>空</t>
        </is>
      </c>
      <c r="D6207" t="n">
        <v>3</v>
      </c>
      <c r="E6207" t="n">
        <v>6</v>
      </c>
      <c r="F6207" t="inlineStr">
        <is>
          <t>续持</t>
        </is>
      </c>
      <c r="G6207" t="n">
        <v>3</v>
      </c>
      <c r="H6207" t="n">
        <v>10295</v>
      </c>
      <c r="I6207" t="n">
        <v>10902.14</v>
      </c>
      <c r="J6207" t="n">
        <v>3</v>
      </c>
      <c r="K6207" t="inlineStr">
        <is>
          <t>续持原仓（2026-09-11开）</t>
        </is>
      </c>
    </row>
    <row r="6208">
      <c r="A6208" t="inlineStr">
        <is>
          <t>2026-09-28</t>
        </is>
      </c>
      <c r="B6208" t="inlineStr">
        <is>
          <t>碳酸锂</t>
        </is>
      </c>
      <c r="C6208" t="inlineStr">
        <is>
          <t>空</t>
        </is>
      </c>
      <c r="D6208" t="n">
        <v>3</v>
      </c>
      <c r="E6208" t="n">
        <v>6</v>
      </c>
      <c r="F6208" t="inlineStr">
        <is>
          <t>不做</t>
        </is>
      </c>
      <c r="H6208" t="n">
        <v>119040</v>
      </c>
      <c r="J6208" t="n">
        <v>0</v>
      </c>
      <c r="K6208" t="inlineStr">
        <is>
          <t>组合风险已近10%，预算缩小</t>
        </is>
      </c>
    </row>
    <row r="6209">
      <c r="A6209" t="inlineStr">
        <is>
          <t>2026-09-28</t>
        </is>
      </c>
      <c r="B6209" t="inlineStr">
        <is>
          <t>棉花</t>
        </is>
      </c>
      <c r="C6209" t="inlineStr">
        <is>
          <t>空</t>
        </is>
      </c>
      <c r="D6209" t="n">
        <v>2</v>
      </c>
      <c r="E6209" t="n">
        <v>5</v>
      </c>
      <c r="F6209" t="inlineStr">
        <is>
          <t>观望</t>
        </is>
      </c>
      <c r="G6209" t="n">
        <v>3</v>
      </c>
      <c r="H6209" t="n">
        <v>16000</v>
      </c>
      <c r="I6209" t="n">
        <v>16616.07</v>
      </c>
      <c r="J6209" t="n">
        <v>1</v>
      </c>
      <c r="K6209" t="inlineStr">
        <is>
          <t>逆5日线（收盘在5日线上，不追空）</t>
        </is>
      </c>
    </row>
    <row r="6210">
      <c r="A6210" t="inlineStr">
        <is>
          <t>2026-09-28</t>
        </is>
      </c>
      <c r="B6210" t="inlineStr">
        <is>
          <t>棕榈油</t>
        </is>
      </c>
      <c r="C6210" t="inlineStr">
        <is>
          <t>空</t>
        </is>
      </c>
      <c r="D6210" t="n">
        <v>2</v>
      </c>
      <c r="E6210" t="n">
        <v>4</v>
      </c>
      <c r="F6210" t="inlineStr">
        <is>
          <t>续持</t>
        </is>
      </c>
      <c r="G6210" t="n">
        <v>1</v>
      </c>
      <c r="H6210" t="n">
        <v>9630</v>
      </c>
      <c r="I6210" t="n">
        <v>10118.64</v>
      </c>
      <c r="J6210" t="n">
        <v>1</v>
      </c>
      <c r="K6210" t="inlineStr">
        <is>
          <t>续持原仓（2026-09-17开）</t>
        </is>
      </c>
    </row>
    <row r="6211">
      <c r="A6211" t="inlineStr">
        <is>
          <t>2026-09-29</t>
        </is>
      </c>
      <c r="B6211" t="inlineStr">
        <is>
          <t>沥青</t>
        </is>
      </c>
      <c r="C6211" t="inlineStr">
        <is>
          <t>多</t>
        </is>
      </c>
      <c r="D6211" t="n">
        <v>3</v>
      </c>
      <c r="E6211" t="n">
        <v>7</v>
      </c>
      <c r="F6211" t="inlineStr">
        <is>
          <t>开仓</t>
        </is>
      </c>
      <c r="G6211" t="n">
        <v>4</v>
      </c>
      <c r="H6211" t="n">
        <v>5246</v>
      </c>
      <c r="I6211" t="n">
        <v>4562.43</v>
      </c>
      <c r="J6211" t="n">
        <v>3</v>
      </c>
      <c r="K6211" t="inlineStr">
        <is>
          <t>¼凯利超上限，取3%</t>
        </is>
      </c>
    </row>
    <row r="6212">
      <c r="A6212" t="inlineStr">
        <is>
          <t>2026-09-29</t>
        </is>
      </c>
      <c r="B6212" t="inlineStr">
        <is>
          <t>苯乙烯</t>
        </is>
      </c>
      <c r="C6212" t="inlineStr">
        <is>
          <t>多</t>
        </is>
      </c>
      <c r="D6212" t="n">
        <v>3</v>
      </c>
      <c r="E6212" t="n">
        <v>7</v>
      </c>
      <c r="F6212" t="inlineStr">
        <is>
          <t>开仓</t>
        </is>
      </c>
      <c r="G6212" t="n">
        <v>5</v>
      </c>
      <c r="H6212" t="n">
        <v>9917</v>
      </c>
      <c r="I6212" t="n">
        <v>8769.290000000001</v>
      </c>
      <c r="J6212" t="n">
        <v>3</v>
      </c>
      <c r="K6212" t="inlineStr">
        <is>
          <t>¼凯利超上限，取3%</t>
        </is>
      </c>
    </row>
    <row r="6213">
      <c r="A6213" t="inlineStr">
        <is>
          <t>2026-09-29</t>
        </is>
      </c>
      <c r="B6213" t="inlineStr">
        <is>
          <t>纯碱</t>
        </is>
      </c>
      <c r="C6213" t="inlineStr">
        <is>
          <t>空</t>
        </is>
      </c>
      <c r="D6213" t="n">
        <v>3</v>
      </c>
      <c r="E6213" t="n">
        <v>6</v>
      </c>
      <c r="F6213" t="inlineStr">
        <is>
          <t>观望</t>
        </is>
      </c>
      <c r="G6213" t="n">
        <v>20</v>
      </c>
      <c r="H6213" t="n">
        <v>1012</v>
      </c>
      <c r="I6213" t="n">
        <v>1083.57</v>
      </c>
      <c r="J6213" t="n">
        <v>3</v>
      </c>
      <c r="K6213" t="inlineStr">
        <is>
          <t>逆5日线（收盘在5日线上，不追空）</t>
        </is>
      </c>
    </row>
    <row r="6214">
      <c r="A6214" t="inlineStr">
        <is>
          <t>2026-09-29</t>
        </is>
      </c>
      <c r="B6214" t="inlineStr">
        <is>
          <t>棕榈油</t>
        </is>
      </c>
      <c r="C6214" t="inlineStr">
        <is>
          <t>空</t>
        </is>
      </c>
      <c r="D6214" t="n">
        <v>3</v>
      </c>
      <c r="E6214" t="n">
        <v>6</v>
      </c>
      <c r="F6214" t="inlineStr">
        <is>
          <t>续持</t>
        </is>
      </c>
      <c r="G6214" t="n">
        <v>1</v>
      </c>
      <c r="H6214" t="n">
        <v>9565</v>
      </c>
      <c r="I6214" t="n">
        <v>10010.71</v>
      </c>
      <c r="J6214" t="n">
        <v>1</v>
      </c>
      <c r="K6214" t="inlineStr">
        <is>
          <t>续持原仓（2026-09-17开）</t>
        </is>
      </c>
    </row>
    <row r="6215">
      <c r="A6215" t="inlineStr">
        <is>
          <t>2026-09-29</t>
        </is>
      </c>
      <c r="B6215" t="inlineStr">
        <is>
          <t>玉米淀粉</t>
        </is>
      </c>
      <c r="C6215" t="inlineStr">
        <is>
          <t>空</t>
        </is>
      </c>
      <c r="D6215" t="n">
        <v>2</v>
      </c>
      <c r="E6215" t="n">
        <v>5</v>
      </c>
      <c r="F6215" t="inlineStr">
        <is>
          <t>观望</t>
        </is>
      </c>
      <c r="G6215" t="n">
        <v>13</v>
      </c>
      <c r="H6215" t="n">
        <v>2435</v>
      </c>
      <c r="I6215" t="n">
        <v>2508.71</v>
      </c>
      <c r="J6215" t="n">
        <v>1</v>
      </c>
      <c r="K6215" t="inlineStr">
        <is>
          <t>逆5日线（收盘在5日线上，不追空）</t>
        </is>
      </c>
    </row>
    <row r="6216">
      <c r="A6216" t="inlineStr">
        <is>
          <t>2026-09-29</t>
        </is>
      </c>
      <c r="B6216" t="inlineStr">
        <is>
          <t>热卷</t>
        </is>
      </c>
      <c r="C6216" t="inlineStr">
        <is>
          <t>空</t>
        </is>
      </c>
      <c r="D6216" t="n">
        <v>2</v>
      </c>
      <c r="E6216" t="n">
        <v>5</v>
      </c>
      <c r="F6216" t="inlineStr">
        <is>
          <t>影子仓</t>
        </is>
      </c>
      <c r="G6216" t="n">
        <v>12</v>
      </c>
      <c r="H6216" t="n">
        <v>3276</v>
      </c>
      <c r="I6216" t="n">
        <v>3353.57</v>
      </c>
      <c r="J6216" t="n">
        <v>1</v>
      </c>
      <c r="K6216" t="inlineStr">
        <is>
          <t>凯利≤0，开1%影子仓（只统计，不计入组合）</t>
        </is>
      </c>
    </row>
    <row r="6217">
      <c r="A6217" t="inlineStr">
        <is>
          <t>2026-09-29</t>
        </is>
      </c>
      <c r="B6217" t="inlineStr">
        <is>
          <t>沪铜</t>
        </is>
      </c>
      <c r="C6217" t="inlineStr">
        <is>
          <t>多</t>
        </is>
      </c>
      <c r="D6217" t="n">
        <v>2</v>
      </c>
      <c r="E6217" t="n">
        <v>5</v>
      </c>
      <c r="F6217" t="inlineStr">
        <is>
          <t>观望</t>
        </is>
      </c>
      <c r="H6217" t="n">
        <v>109570</v>
      </c>
      <c r="J6217" t="n">
        <v>1</v>
      </c>
      <c r="K6217" t="inlineStr">
        <is>
          <t>逆5日线（收盘在5日线下，不追多）</t>
        </is>
      </c>
    </row>
    <row r="6218">
      <c r="A6218" t="inlineStr">
        <is>
          <t>2026-09-29</t>
        </is>
      </c>
      <c r="B6218" t="inlineStr">
        <is>
          <t>PTA</t>
        </is>
      </c>
      <c r="C6218" t="inlineStr">
        <is>
          <t>多</t>
        </is>
      </c>
      <c r="D6218" t="n">
        <v>2</v>
      </c>
      <c r="E6218" t="n">
        <v>4</v>
      </c>
      <c r="F6218" t="inlineStr">
        <is>
          <t>影子仓</t>
        </is>
      </c>
      <c r="G6218" t="n">
        <v>3</v>
      </c>
      <c r="H6218" t="n">
        <v>6350</v>
      </c>
      <c r="I6218" t="n">
        <v>5747.43</v>
      </c>
      <c r="J6218" t="n">
        <v>1</v>
      </c>
      <c r="K6218" t="inlineStr">
        <is>
          <t>凯利≤0，开1%影子仓（只统计，不计入组合）</t>
        </is>
      </c>
    </row>
    <row r="6219">
      <c r="A6219" t="inlineStr">
        <is>
          <t>2026-09-29</t>
        </is>
      </c>
      <c r="B6219" t="inlineStr">
        <is>
          <t>硅铁</t>
        </is>
      </c>
      <c r="C6219" t="inlineStr">
        <is>
          <t>空</t>
        </is>
      </c>
      <c r="D6219" t="n">
        <v>2</v>
      </c>
      <c r="E6219" t="n">
        <v>4</v>
      </c>
      <c r="F6219" t="inlineStr">
        <is>
          <t>影子仓</t>
        </is>
      </c>
      <c r="G6219" t="n">
        <v>5</v>
      </c>
      <c r="H6219" t="n">
        <v>5948</v>
      </c>
      <c r="I6219" t="n">
        <v>6285.29</v>
      </c>
      <c r="J6219" t="n">
        <v>1</v>
      </c>
      <c r="K6219" t="inlineStr">
        <is>
          <t>凯利≤0，开1%影子仓（只统计，不计入组合）</t>
        </is>
      </c>
    </row>
    <row r="6220">
      <c r="A6220" t="inlineStr">
        <is>
          <t>2026-09-30</t>
        </is>
      </c>
      <c r="B6220" t="inlineStr">
        <is>
          <t>纯碱</t>
        </is>
      </c>
      <c r="C6220" t="inlineStr">
        <is>
          <t>空</t>
        </is>
      </c>
      <c r="D6220" t="n">
        <v>3</v>
      </c>
      <c r="E6220" t="n">
        <v>6</v>
      </c>
      <c r="F6220" t="inlineStr">
        <is>
          <t>开仓</t>
        </is>
      </c>
      <c r="G6220" t="n">
        <v>21</v>
      </c>
      <c r="H6220" t="n">
        <v>1006</v>
      </c>
      <c r="I6220" t="n">
        <v>1076.29</v>
      </c>
      <c r="J6220" t="n">
        <v>3</v>
      </c>
      <c r="K6220" t="inlineStr">
        <is>
          <t>¼凯利超上限，取3%</t>
        </is>
      </c>
    </row>
    <row r="6221">
      <c r="A6221" t="inlineStr">
        <is>
          <t>2026-09-30</t>
        </is>
      </c>
      <c r="B6221" t="inlineStr">
        <is>
          <t>沪镍</t>
        </is>
      </c>
      <c r="C6221" t="inlineStr">
        <is>
          <t>空</t>
        </is>
      </c>
      <c r="D6221" t="n">
        <v>3</v>
      </c>
      <c r="E6221" t="n">
        <v>6</v>
      </c>
      <c r="F6221" t="inlineStr">
        <is>
          <t>开仓</t>
        </is>
      </c>
      <c r="G6221" t="n">
        <v>5</v>
      </c>
      <c r="H6221" t="n">
        <v>122040</v>
      </c>
      <c r="I6221" t="n">
        <v>127842.86</v>
      </c>
      <c r="J6221" t="n">
        <v>3</v>
      </c>
      <c r="K6221" t="inlineStr">
        <is>
          <t>¼凯利超上限，取3%</t>
        </is>
      </c>
    </row>
    <row r="6222">
      <c r="A6222" t="inlineStr">
        <is>
          <t>2026-09-30</t>
        </is>
      </c>
      <c r="B6222" t="inlineStr">
        <is>
          <t>玉米淀粉</t>
        </is>
      </c>
      <c r="C6222" t="inlineStr">
        <is>
          <t>空</t>
        </is>
      </c>
      <c r="D6222" t="n">
        <v>2</v>
      </c>
      <c r="E6222" t="n">
        <v>5</v>
      </c>
      <c r="F6222" t="inlineStr">
        <is>
          <t>观望</t>
        </is>
      </c>
      <c r="G6222" t="n">
        <v>13</v>
      </c>
      <c r="H6222" t="n">
        <v>2434</v>
      </c>
      <c r="I6222" t="n">
        <v>2507.5</v>
      </c>
      <c r="J6222" t="n">
        <v>1</v>
      </c>
      <c r="K6222" t="inlineStr">
        <is>
          <t>逆5日线（收盘在5日线上，不追空）</t>
        </is>
      </c>
    </row>
    <row r="6223">
      <c r="A6223" t="inlineStr">
        <is>
          <t>2026-09-30</t>
        </is>
      </c>
      <c r="B6223" t="inlineStr">
        <is>
          <t>棕榈油</t>
        </is>
      </c>
      <c r="C6223" t="inlineStr">
        <is>
          <t>空</t>
        </is>
      </c>
      <c r="D6223" t="n">
        <v>2</v>
      </c>
      <c r="E6223" t="n">
        <v>5</v>
      </c>
      <c r="F6223" t="inlineStr">
        <is>
          <t>续持</t>
        </is>
      </c>
      <c r="G6223" t="n">
        <v>1</v>
      </c>
      <c r="H6223" t="n">
        <v>9581</v>
      </c>
      <c r="I6223" t="n">
        <v>9994.639999999999</v>
      </c>
      <c r="J6223" t="n">
        <v>1</v>
      </c>
      <c r="K6223" t="inlineStr">
        <is>
          <t>续持原仓（2026-09-17开）</t>
        </is>
      </c>
    </row>
    <row r="6224">
      <c r="A6224" t="inlineStr">
        <is>
          <t>2026-09-30</t>
        </is>
      </c>
      <c r="B6224" t="inlineStr">
        <is>
          <t>热卷</t>
        </is>
      </c>
      <c r="C6224" t="inlineStr">
        <is>
          <t>空</t>
        </is>
      </c>
      <c r="D6224" t="n">
        <v>2</v>
      </c>
      <c r="E6224" t="n">
        <v>5</v>
      </c>
      <c r="F6224" t="inlineStr">
        <is>
          <t>续持</t>
        </is>
      </c>
      <c r="G6224" t="n">
        <v>12</v>
      </c>
      <c r="H6224" t="n">
        <v>3274</v>
      </c>
      <c r="I6224" t="n">
        <v>3350.14</v>
      </c>
      <c r="J6224" t="n">
        <v>1</v>
      </c>
      <c r="K6224" t="inlineStr">
        <is>
          <t>续持原仓（2026-09-29开）</t>
        </is>
      </c>
    </row>
    <row r="6225">
      <c r="A6225" t="inlineStr">
        <is>
          <t>2026-09-30</t>
        </is>
      </c>
      <c r="B6225" t="inlineStr">
        <is>
          <t>乙二醇</t>
        </is>
      </c>
      <c r="C6225" t="inlineStr">
        <is>
          <t>多</t>
        </is>
      </c>
      <c r="D6225" t="n">
        <v>2</v>
      </c>
      <c r="E6225" t="n">
        <v>5</v>
      </c>
      <c r="F6225" t="inlineStr">
        <is>
          <t>影子仓</t>
        </is>
      </c>
      <c r="G6225" t="n">
        <v>1</v>
      </c>
      <c r="H6225" t="n">
        <v>5284</v>
      </c>
      <c r="I6225" t="n">
        <v>4443.36</v>
      </c>
      <c r="J6225" t="n">
        <v>1</v>
      </c>
      <c r="K6225" t="inlineStr">
        <is>
          <t>凯利≤0，开1%影子仓（只统计，不计入组合）</t>
        </is>
      </c>
    </row>
    <row r="6226">
      <c r="A6226" t="inlineStr">
        <is>
          <t>2026-09-30</t>
        </is>
      </c>
      <c r="B6226" t="inlineStr">
        <is>
          <t>沥青</t>
        </is>
      </c>
      <c r="C6226" t="inlineStr">
        <is>
          <t>多</t>
        </is>
      </c>
      <c r="D6226" t="n">
        <v>2</v>
      </c>
      <c r="E6226" t="n">
        <v>4</v>
      </c>
      <c r="F6226" t="inlineStr">
        <is>
          <t>观望</t>
        </is>
      </c>
      <c r="G6226" t="n">
        <v>1</v>
      </c>
      <c r="H6226" t="n">
        <v>5013</v>
      </c>
      <c r="I6226" t="n">
        <v>4309.07</v>
      </c>
      <c r="J6226" t="n">
        <v>1</v>
      </c>
      <c r="K6226" t="inlineStr">
        <is>
          <t>逆5日线（收盘在5日线下，不追多）</t>
        </is>
      </c>
    </row>
    <row r="6227">
      <c r="A6227" t="inlineStr">
        <is>
          <t>2026-09-30</t>
        </is>
      </c>
      <c r="B6227" t="inlineStr">
        <is>
          <t>沪铜</t>
        </is>
      </c>
      <c r="C6227" t="inlineStr">
        <is>
          <t>多</t>
        </is>
      </c>
      <c r="D6227" t="n">
        <v>2</v>
      </c>
      <c r="E6227" t="n">
        <v>4</v>
      </c>
      <c r="F6227" t="inlineStr">
        <is>
          <t>观望</t>
        </is>
      </c>
      <c r="H6227" t="n">
        <v>109680</v>
      </c>
      <c r="J6227" t="n">
        <v>1</v>
      </c>
      <c r="K6227" t="inlineStr">
        <is>
          <t>逆5日线（收盘在5日线下，不追多）</t>
        </is>
      </c>
    </row>
    <row r="6228">
      <c r="A6228" t="inlineStr">
        <is>
          <t>2026-09-30</t>
        </is>
      </c>
      <c r="B6228" t="inlineStr">
        <is>
          <t>甲醇</t>
        </is>
      </c>
      <c r="C6228" t="inlineStr">
        <is>
          <t>多</t>
        </is>
      </c>
      <c r="D6228" t="n">
        <v>2</v>
      </c>
      <c r="E6228" t="n">
        <v>4</v>
      </c>
      <c r="F6228" t="inlineStr">
        <is>
          <t>影子仓</t>
        </is>
      </c>
      <c r="G6228" t="n">
        <v>3</v>
      </c>
      <c r="H6228" t="n">
        <v>2972</v>
      </c>
      <c r="I6228" t="n">
        <v>2673.71</v>
      </c>
      <c r="J6228" t="n">
        <v>1</v>
      </c>
      <c r="K6228" t="inlineStr">
        <is>
          <t>凯利≤0，开1%影子仓（只统计，不计入组合）</t>
        </is>
      </c>
    </row>
    <row r="6229">
      <c r="A6229" t="inlineStr">
        <is>
          <t>2026-09-30</t>
        </is>
      </c>
      <c r="B6229" t="inlineStr">
        <is>
          <t>锰硅</t>
        </is>
      </c>
      <c r="C6229" t="inlineStr">
        <is>
          <t>多</t>
        </is>
      </c>
      <c r="D6229" t="n">
        <v>2</v>
      </c>
      <c r="E6229" t="n">
        <v>4</v>
      </c>
      <c r="F6229" t="inlineStr">
        <is>
          <t>观望</t>
        </is>
      </c>
      <c r="G6229" t="n">
        <v>10</v>
      </c>
      <c r="H6229" t="n">
        <v>5796</v>
      </c>
      <c r="I6229" t="n">
        <v>5613</v>
      </c>
      <c r="J6229" t="n">
        <v>1</v>
      </c>
      <c r="K6229" t="inlineStr">
        <is>
          <t>逆5日线（收盘在5日线下，不追多）</t>
        </is>
      </c>
    </row>
    <row r="6230">
      <c r="A6230" t="inlineStr">
        <is>
          <t>2026-10-08</t>
        </is>
      </c>
      <c r="B6230" t="inlineStr">
        <is>
          <t>玻璃</t>
        </is>
      </c>
      <c r="C6230" t="inlineStr">
        <is>
          <t>空</t>
        </is>
      </c>
      <c r="D6230" t="n">
        <v>3</v>
      </c>
      <c r="E6230" t="n">
        <v>7</v>
      </c>
      <c r="F6230" t="inlineStr">
        <is>
          <t>开仓</t>
        </is>
      </c>
      <c r="G6230" t="n">
        <v>22</v>
      </c>
      <c r="H6230" t="n">
        <v>868</v>
      </c>
      <c r="I6230" t="n">
        <v>933.36</v>
      </c>
      <c r="J6230" t="n">
        <v>3</v>
      </c>
      <c r="K6230" t="inlineStr">
        <is>
          <t>¼凯利超上限，取3%</t>
        </is>
      </c>
    </row>
    <row r="6231">
      <c r="A6231" t="inlineStr">
        <is>
          <t>2026-10-08</t>
        </is>
      </c>
      <c r="B6231" t="inlineStr">
        <is>
          <t>棕榈油</t>
        </is>
      </c>
      <c r="C6231" t="inlineStr">
        <is>
          <t>空</t>
        </is>
      </c>
      <c r="D6231" t="n">
        <v>3</v>
      </c>
      <c r="E6231" t="n">
        <v>7</v>
      </c>
      <c r="F6231" t="inlineStr">
        <is>
          <t>续持</t>
        </is>
      </c>
      <c r="G6231" t="n">
        <v>1</v>
      </c>
      <c r="H6231" t="n">
        <v>9509</v>
      </c>
      <c r="I6231" t="n">
        <v>9936.139999999999</v>
      </c>
      <c r="J6231" t="n">
        <v>1</v>
      </c>
      <c r="K6231" t="inlineStr">
        <is>
          <t>续持原仓（2026-09-17开）</t>
        </is>
      </c>
    </row>
    <row r="6232">
      <c r="A6232" t="inlineStr">
        <is>
          <t>2026-10-08</t>
        </is>
      </c>
      <c r="B6232" t="inlineStr">
        <is>
          <t>沪镍</t>
        </is>
      </c>
      <c r="C6232" t="inlineStr">
        <is>
          <t>空</t>
        </is>
      </c>
      <c r="D6232" t="n">
        <v>3</v>
      </c>
      <c r="E6232" t="n">
        <v>6</v>
      </c>
      <c r="F6232" t="inlineStr">
        <is>
          <t>续持</t>
        </is>
      </c>
      <c r="G6232" t="n">
        <v>5</v>
      </c>
      <c r="H6232" t="n">
        <v>118750</v>
      </c>
      <c r="I6232" t="n">
        <v>124435</v>
      </c>
      <c r="J6232" t="n">
        <v>3</v>
      </c>
      <c r="K6232" t="inlineStr">
        <is>
          <t>续持原仓（2026-09-30开）</t>
        </is>
      </c>
    </row>
    <row r="6233">
      <c r="A6233" t="inlineStr">
        <is>
          <t>2026-10-08</t>
        </is>
      </c>
      <c r="B6233" t="inlineStr">
        <is>
          <t>棉花</t>
        </is>
      </c>
      <c r="C6233" t="inlineStr">
        <is>
          <t>空</t>
        </is>
      </c>
      <c r="D6233" t="n">
        <v>3</v>
      </c>
      <c r="E6233" t="n">
        <v>6</v>
      </c>
      <c r="F6233" t="inlineStr">
        <is>
          <t>开仓</t>
        </is>
      </c>
      <c r="G6233" t="n">
        <v>8</v>
      </c>
      <c r="H6233" t="n">
        <v>15710</v>
      </c>
      <c r="I6233" t="n">
        <v>16391.43</v>
      </c>
      <c r="J6233" t="n">
        <v>3</v>
      </c>
      <c r="K6233" t="inlineStr">
        <is>
          <t>¼凯利超上限，取3%</t>
        </is>
      </c>
    </row>
    <row r="6234">
      <c r="A6234" t="inlineStr">
        <is>
          <t>2026-10-08</t>
        </is>
      </c>
      <c r="B6234" t="inlineStr">
        <is>
          <t>碳酸锂</t>
        </is>
      </c>
      <c r="C6234" t="inlineStr">
        <is>
          <t>空</t>
        </is>
      </c>
      <c r="D6234" t="n">
        <v>3</v>
      </c>
      <c r="E6234" t="n">
        <v>6</v>
      </c>
      <c r="F6234" t="inlineStr">
        <is>
          <t>不做</t>
        </is>
      </c>
      <c r="H6234" t="n">
        <v>117300</v>
      </c>
      <c r="J6234" t="n">
        <v>1</v>
      </c>
      <c r="K6234" t="inlineStr">
        <is>
          <t>1手风险19230元超过预算10000元</t>
        </is>
      </c>
    </row>
    <row r="6235">
      <c r="A6235" t="inlineStr">
        <is>
          <t>2026-10-08</t>
        </is>
      </c>
      <c r="B6235" t="inlineStr">
        <is>
          <t>沪铜</t>
        </is>
      </c>
      <c r="C6235" t="inlineStr">
        <is>
          <t>多</t>
        </is>
      </c>
      <c r="D6235" t="n">
        <v>3</v>
      </c>
      <c r="E6235" t="n">
        <v>6</v>
      </c>
      <c r="F6235" t="inlineStr">
        <is>
          <t>不做</t>
        </is>
      </c>
      <c r="H6235" t="n">
        <v>110260</v>
      </c>
      <c r="J6235" t="n">
        <v>1</v>
      </c>
      <c r="K6235" t="inlineStr">
        <is>
          <t>1手风险19104元超过预算10000元</t>
        </is>
      </c>
    </row>
    <row r="6236">
      <c r="A6236" t="inlineStr">
        <is>
          <t>2026-10-08</t>
        </is>
      </c>
      <c r="B6236" t="inlineStr">
        <is>
          <t>甲醇</t>
        </is>
      </c>
      <c r="C6236" t="inlineStr">
        <is>
          <t>多</t>
        </is>
      </c>
      <c r="D6236" t="n">
        <v>2</v>
      </c>
      <c r="E6236" t="n">
        <v>5</v>
      </c>
      <c r="F6236" t="inlineStr">
        <is>
          <t>续持</t>
        </is>
      </c>
      <c r="G6236" t="n">
        <v>3</v>
      </c>
      <c r="H6236" t="n">
        <v>3200</v>
      </c>
      <c r="I6236" t="n">
        <v>2888.21</v>
      </c>
      <c r="J6236" t="n">
        <v>1</v>
      </c>
      <c r="K6236" t="inlineStr">
        <is>
          <t>续持原仓（2026-09-30开）</t>
        </is>
      </c>
    </row>
    <row r="6237">
      <c r="A6237" t="inlineStr">
        <is>
          <t>2026-10-08</t>
        </is>
      </c>
      <c r="B6237" t="inlineStr">
        <is>
          <t>白糖</t>
        </is>
      </c>
      <c r="C6237" t="inlineStr">
        <is>
          <t>多</t>
        </is>
      </c>
      <c r="D6237" t="n">
        <v>2</v>
      </c>
      <c r="E6237" t="n">
        <v>4</v>
      </c>
      <c r="F6237" t="inlineStr">
        <is>
          <t>影子仓</t>
        </is>
      </c>
      <c r="G6237" t="n">
        <v>6</v>
      </c>
      <c r="H6237" t="n">
        <v>5475</v>
      </c>
      <c r="I6237" t="n">
        <v>5312.79</v>
      </c>
      <c r="J6237" t="n">
        <v>1</v>
      </c>
      <c r="K6237" t="inlineStr">
        <is>
          <t>凯利≤0，开1%影子仓（只统计，不计入组合）</t>
        </is>
      </c>
    </row>
    <row r="6238">
      <c r="A6238" t="inlineStr">
        <is>
          <t>2026-10-08</t>
        </is>
      </c>
      <c r="B6238" t="inlineStr">
        <is>
          <t>乙二醇</t>
        </is>
      </c>
      <c r="C6238" t="inlineStr">
        <is>
          <t>多</t>
        </is>
      </c>
      <c r="D6238" t="n">
        <v>2</v>
      </c>
      <c r="E6238" t="n">
        <v>4</v>
      </c>
      <c r="F6238" t="inlineStr">
        <is>
          <t>续持</t>
        </is>
      </c>
      <c r="G6238" t="n">
        <v>1</v>
      </c>
      <c r="H6238" t="n">
        <v>5419</v>
      </c>
      <c r="I6238" t="n">
        <v>4714.43</v>
      </c>
      <c r="J6238" t="n">
        <v>1</v>
      </c>
      <c r="K6238" t="inlineStr">
        <is>
          <t>续持原仓（2026-09-30开）</t>
        </is>
      </c>
    </row>
    <row r="6239">
      <c r="A6239" t="inlineStr">
        <is>
          <t>2026-10-08</t>
        </is>
      </c>
      <c r="B6239" t="inlineStr">
        <is>
          <t>焦煤</t>
        </is>
      </c>
      <c r="C6239" t="inlineStr">
        <is>
          <t>多</t>
        </is>
      </c>
      <c r="D6239" t="n">
        <v>2</v>
      </c>
      <c r="E6239" t="n">
        <v>4</v>
      </c>
      <c r="F6239" t="inlineStr">
        <is>
          <t>影子仓</t>
        </is>
      </c>
      <c r="G6239" t="n">
        <v>1</v>
      </c>
      <c r="H6239" t="n">
        <v>1476</v>
      </c>
      <c r="I6239" t="n">
        <v>1318.39</v>
      </c>
      <c r="J6239" t="n">
        <v>1</v>
      </c>
      <c r="K6239" t="inlineStr">
        <is>
          <t>凯利≤0，开1%影子仓（只统计，不计入组合）</t>
        </is>
      </c>
    </row>
    <row r="6240">
      <c r="A6240" t="inlineStr">
        <is>
          <t>2026-10-09</t>
        </is>
      </c>
      <c r="B6240" t="inlineStr">
        <is>
          <t>尿素</t>
        </is>
      </c>
      <c r="C6240" t="inlineStr">
        <is>
          <t>空</t>
        </is>
      </c>
      <c r="D6240" t="n">
        <v>3</v>
      </c>
      <c r="E6240" t="n">
        <v>7</v>
      </c>
      <c r="F6240" t="inlineStr">
        <is>
          <t>开仓</t>
        </is>
      </c>
      <c r="G6240" t="n">
        <v>7</v>
      </c>
      <c r="H6240" t="n">
        <v>1733</v>
      </c>
      <c r="I6240" t="n">
        <v>1798.57</v>
      </c>
      <c r="J6240" t="n">
        <v>1</v>
      </c>
      <c r="K6240" t="inlineStr">
        <is>
          <t>组合风险已近10%，预算缩小</t>
        </is>
      </c>
    </row>
    <row r="6241">
      <c r="A6241" t="inlineStr">
        <is>
          <t>2026-10-09</t>
        </is>
      </c>
      <c r="B6241" t="inlineStr">
        <is>
          <t>豆一</t>
        </is>
      </c>
      <c r="C6241" t="inlineStr">
        <is>
          <t>多</t>
        </is>
      </c>
      <c r="D6241" t="n">
        <v>3</v>
      </c>
      <c r="E6241" t="n">
        <v>7</v>
      </c>
      <c r="F6241" t="inlineStr">
        <is>
          <t>不做</t>
        </is>
      </c>
      <c r="H6241" t="n">
        <v>5396</v>
      </c>
      <c r="J6241" t="n">
        <v>0</v>
      </c>
      <c r="K6241" t="inlineStr">
        <is>
          <t>组合风险已近10%，预算缩小</t>
        </is>
      </c>
    </row>
    <row r="6242">
      <c r="A6242" t="inlineStr">
        <is>
          <t>2026-10-09</t>
        </is>
      </c>
      <c r="B6242" t="inlineStr">
        <is>
          <t>玉米淀粉</t>
        </is>
      </c>
      <c r="C6242" t="inlineStr">
        <is>
          <t>空</t>
        </is>
      </c>
      <c r="D6242" t="n">
        <v>3</v>
      </c>
      <c r="E6242" t="n">
        <v>6</v>
      </c>
      <c r="F6242" t="inlineStr">
        <is>
          <t>不做</t>
        </is>
      </c>
      <c r="H6242" t="n">
        <v>2407</v>
      </c>
      <c r="J6242" t="n">
        <v>0</v>
      </c>
      <c r="K6242" t="inlineStr">
        <is>
          <t>组合风险已近10%，预算缩小</t>
        </is>
      </c>
    </row>
    <row r="6243">
      <c r="A6243" t="inlineStr">
        <is>
          <t>2026-10-09</t>
        </is>
      </c>
      <c r="B6243" t="inlineStr">
        <is>
          <t>棉花</t>
        </is>
      </c>
      <c r="C6243" t="inlineStr">
        <is>
          <t>空</t>
        </is>
      </c>
      <c r="D6243" t="n">
        <v>3</v>
      </c>
      <c r="E6243" t="n">
        <v>6</v>
      </c>
      <c r="F6243" t="inlineStr">
        <is>
          <t>观望</t>
        </is>
      </c>
      <c r="H6243" t="n">
        <v>15790</v>
      </c>
      <c r="J6243" t="n">
        <v>0</v>
      </c>
      <c r="K6243" t="inlineStr">
        <is>
          <t>逆5日线（收盘在5日线上，不追空）</t>
        </is>
      </c>
    </row>
    <row r="6244">
      <c r="A6244" t="inlineStr">
        <is>
          <t>2026-10-09</t>
        </is>
      </c>
      <c r="B6244" t="inlineStr">
        <is>
          <t>沪镍</t>
        </is>
      </c>
      <c r="C6244" t="inlineStr">
        <is>
          <t>空</t>
        </is>
      </c>
      <c r="D6244" t="n">
        <v>2</v>
      </c>
      <c r="E6244" t="n">
        <v>5</v>
      </c>
      <c r="F6244" t="inlineStr">
        <is>
          <t>续持</t>
        </is>
      </c>
      <c r="G6244" t="n">
        <v>5</v>
      </c>
      <c r="H6244" t="n">
        <v>119100</v>
      </c>
      <c r="I6244" t="n">
        <v>124053.57</v>
      </c>
      <c r="J6244" t="n">
        <v>3</v>
      </c>
      <c r="K6244" t="inlineStr">
        <is>
          <t>续持原仓（2026-09-30开）</t>
        </is>
      </c>
    </row>
    <row r="6245">
      <c r="A6245" t="inlineStr">
        <is>
          <t>2026-10-09</t>
        </is>
      </c>
      <c r="B6245" t="inlineStr">
        <is>
          <t>铁矿石</t>
        </is>
      </c>
      <c r="C6245" t="inlineStr">
        <is>
          <t>空</t>
        </is>
      </c>
      <c r="D6245" t="n">
        <v>2</v>
      </c>
      <c r="E6245" t="n">
        <v>5</v>
      </c>
      <c r="F6245" t="inlineStr">
        <is>
          <t>影子仓</t>
        </is>
      </c>
      <c r="G6245" t="n">
        <v>3</v>
      </c>
      <c r="H6245" t="n">
        <v>682.5</v>
      </c>
      <c r="I6245" t="n">
        <v>714</v>
      </c>
      <c r="J6245" t="n">
        <v>1</v>
      </c>
      <c r="K6245" t="inlineStr">
        <is>
          <t>凯利≤0，开1%影子仓（只统计，不计入组合）</t>
        </is>
      </c>
    </row>
    <row r="6246">
      <c r="A6246" t="inlineStr">
        <is>
          <t>2026-10-09</t>
        </is>
      </c>
      <c r="B6246" t="inlineStr">
        <is>
          <t>甲醇</t>
        </is>
      </c>
      <c r="C6246" t="inlineStr">
        <is>
          <t>多</t>
        </is>
      </c>
      <c r="D6246" t="n">
        <v>2</v>
      </c>
      <c r="E6246" t="n">
        <v>5</v>
      </c>
      <c r="F6246" t="inlineStr">
        <is>
          <t>续持</t>
        </is>
      </c>
      <c r="G6246" t="n">
        <v>3</v>
      </c>
      <c r="H6246" t="n">
        <v>3338</v>
      </c>
      <c r="I6246" t="n">
        <v>3084.64</v>
      </c>
      <c r="J6246" t="n">
        <v>1</v>
      </c>
      <c r="K6246" t="inlineStr">
        <is>
          <t>续持原仓（2026-09-30开）</t>
        </is>
      </c>
    </row>
    <row r="6247">
      <c r="A6247" t="inlineStr">
        <is>
          <t>2026-10-09</t>
        </is>
      </c>
      <c r="B6247" t="inlineStr">
        <is>
          <t>螺纹钢</t>
        </is>
      </c>
      <c r="C6247" t="inlineStr">
        <is>
          <t>多</t>
        </is>
      </c>
      <c r="D6247" t="n">
        <v>2</v>
      </c>
      <c r="E6247" t="n">
        <v>4</v>
      </c>
      <c r="F6247" t="inlineStr">
        <is>
          <t>观望</t>
        </is>
      </c>
      <c r="G6247" t="n">
        <v>11</v>
      </c>
      <c r="H6247" t="n">
        <v>3080</v>
      </c>
      <c r="I6247" t="n">
        <v>2995.14</v>
      </c>
      <c r="J6247" t="n">
        <v>1</v>
      </c>
      <c r="K6247" t="inlineStr">
        <is>
          <t>逆5日线（收盘在5日线下，不追多）</t>
        </is>
      </c>
    </row>
    <row r="6248">
      <c r="A6248" t="inlineStr">
        <is>
          <t>2026-10-12</t>
        </is>
      </c>
      <c r="B6248" t="inlineStr">
        <is>
          <t>纯碱</t>
        </is>
      </c>
      <c r="C6248" t="inlineStr">
        <is>
          <t>空</t>
        </is>
      </c>
      <c r="D6248" t="n">
        <v>3</v>
      </c>
      <c r="E6248" t="n">
        <v>7</v>
      </c>
      <c r="F6248" t="inlineStr">
        <is>
          <t>开仓</t>
        </is>
      </c>
      <c r="G6248" t="n">
        <v>22</v>
      </c>
      <c r="H6248" t="n">
        <v>985</v>
      </c>
      <c r="I6248" t="n">
        <v>1051.21</v>
      </c>
      <c r="J6248" t="n">
        <v>3</v>
      </c>
      <c r="K6248" t="inlineStr">
        <is>
          <t>¼凯利超上限，取3%</t>
        </is>
      </c>
    </row>
    <row r="6249">
      <c r="A6249" t="inlineStr">
        <is>
          <t>2026-10-12</t>
        </is>
      </c>
      <c r="B6249" t="inlineStr">
        <is>
          <t>棉花</t>
        </is>
      </c>
      <c r="C6249" t="inlineStr">
        <is>
          <t>空</t>
        </is>
      </c>
      <c r="D6249" t="n">
        <v>3</v>
      </c>
      <c r="E6249" t="n">
        <v>6</v>
      </c>
      <c r="F6249" t="inlineStr">
        <is>
          <t>观望</t>
        </is>
      </c>
      <c r="H6249" t="n">
        <v>15850</v>
      </c>
      <c r="J6249" t="n">
        <v>0</v>
      </c>
      <c r="K6249" t="inlineStr">
        <is>
          <t>逆5日线（收盘在5日线上，不追空）</t>
        </is>
      </c>
    </row>
    <row r="6250">
      <c r="A6250" t="inlineStr">
        <is>
          <t>2026-10-12</t>
        </is>
      </c>
      <c r="B6250" t="inlineStr">
        <is>
          <t>碳酸锂</t>
        </is>
      </c>
      <c r="C6250" t="inlineStr">
        <is>
          <t>空</t>
        </is>
      </c>
      <c r="D6250" t="n">
        <v>3</v>
      </c>
      <c r="E6250" t="n">
        <v>6</v>
      </c>
      <c r="F6250" t="inlineStr">
        <is>
          <t>不做</t>
        </is>
      </c>
      <c r="H6250" t="n">
        <v>104740</v>
      </c>
      <c r="J6250" t="n">
        <v>1</v>
      </c>
      <c r="K6250" t="inlineStr">
        <is>
          <t>1手风险19706元超过预算10000元</t>
        </is>
      </c>
    </row>
    <row r="6251">
      <c r="A6251" t="inlineStr">
        <is>
          <t>2026-10-12</t>
        </is>
      </c>
      <c r="B6251" t="inlineStr">
        <is>
          <t>玉米淀粉</t>
        </is>
      </c>
      <c r="C6251" t="inlineStr">
        <is>
          <t>空</t>
        </is>
      </c>
      <c r="D6251" t="n">
        <v>2</v>
      </c>
      <c r="E6251" t="n">
        <v>5</v>
      </c>
      <c r="F6251" t="inlineStr">
        <is>
          <t>观望</t>
        </is>
      </c>
      <c r="G6251" t="n">
        <v>14</v>
      </c>
      <c r="H6251" t="n">
        <v>2441</v>
      </c>
      <c r="I6251" t="n">
        <v>2512.14</v>
      </c>
      <c r="J6251" t="n">
        <v>1</v>
      </c>
      <c r="K6251" t="inlineStr">
        <is>
          <t>逆5日线（收盘在5日线上，不追空）</t>
        </is>
      </c>
    </row>
    <row r="6252">
      <c r="A6252" t="inlineStr">
        <is>
          <t>2026-10-12</t>
        </is>
      </c>
      <c r="B6252" t="inlineStr">
        <is>
          <t>铁矿石</t>
        </is>
      </c>
      <c r="C6252" t="inlineStr">
        <is>
          <t>空</t>
        </is>
      </c>
      <c r="D6252" t="n">
        <v>2</v>
      </c>
      <c r="E6252" t="n">
        <v>5</v>
      </c>
      <c r="F6252" t="inlineStr">
        <is>
          <t>续持</t>
        </is>
      </c>
      <c r="G6252" t="n">
        <v>3</v>
      </c>
      <c r="H6252" t="n">
        <v>683</v>
      </c>
      <c r="I6252" t="n">
        <v>711.3200000000001</v>
      </c>
      <c r="J6252" t="n">
        <v>1</v>
      </c>
      <c r="K6252" t="inlineStr">
        <is>
          <t>续持原仓（2026-10-09开）</t>
        </is>
      </c>
    </row>
    <row r="6253">
      <c r="A6253" t="inlineStr">
        <is>
          <t>2026-10-12</t>
        </is>
      </c>
      <c r="B6253" t="inlineStr">
        <is>
          <t>螺纹钢</t>
        </is>
      </c>
      <c r="C6253" t="inlineStr">
        <is>
          <t>多</t>
        </is>
      </c>
      <c r="D6253" t="n">
        <v>2</v>
      </c>
      <c r="E6253" t="n">
        <v>4</v>
      </c>
      <c r="F6253" t="inlineStr">
        <is>
          <t>影子仓</t>
        </is>
      </c>
      <c r="G6253" t="n">
        <v>11</v>
      </c>
      <c r="H6253" t="n">
        <v>3090</v>
      </c>
      <c r="I6253" t="n">
        <v>3004.5</v>
      </c>
      <c r="J6253" t="n">
        <v>1</v>
      </c>
      <c r="K6253" t="inlineStr">
        <is>
          <t>凯利≤0，开1%影子仓（只统计，不计入组合）</t>
        </is>
      </c>
    </row>
    <row r="6254">
      <c r="A6254" t="inlineStr">
        <is>
          <t>2026-10-12</t>
        </is>
      </c>
      <c r="B6254" t="inlineStr">
        <is>
          <t>锰硅</t>
        </is>
      </c>
      <c r="C6254" t="inlineStr">
        <is>
          <t>多</t>
        </is>
      </c>
      <c r="D6254" t="n">
        <v>2</v>
      </c>
      <c r="E6254" t="n">
        <v>4</v>
      </c>
      <c r="F6254" t="inlineStr">
        <is>
          <t>影子仓</t>
        </is>
      </c>
      <c r="G6254" t="n">
        <v>11</v>
      </c>
      <c r="H6254" t="n">
        <v>5862</v>
      </c>
      <c r="I6254" t="n">
        <v>5684.57</v>
      </c>
      <c r="J6254" t="n">
        <v>1</v>
      </c>
      <c r="K6254" t="inlineStr">
        <is>
          <t>凯利≤0，开1%影子仓（只统计，不计入组合）</t>
        </is>
      </c>
    </row>
    <row r="6255">
      <c r="A6255" t="inlineStr">
        <is>
          <t>2026-10-12</t>
        </is>
      </c>
      <c r="B6255" t="inlineStr">
        <is>
          <t>焦煤</t>
        </is>
      </c>
      <c r="C6255" t="inlineStr">
        <is>
          <t>多</t>
        </is>
      </c>
      <c r="D6255" t="n">
        <v>2</v>
      </c>
      <c r="E6255" t="n">
        <v>4</v>
      </c>
      <c r="F6255" t="inlineStr">
        <is>
          <t>续持</t>
        </is>
      </c>
      <c r="G6255" t="n">
        <v>1</v>
      </c>
      <c r="H6255" t="n">
        <v>1546</v>
      </c>
      <c r="I6255" t="n">
        <v>1413.96</v>
      </c>
      <c r="J6255" t="n">
        <v>1</v>
      </c>
      <c r="K6255" t="inlineStr">
        <is>
          <t>续持原仓（2026-10-08开）</t>
        </is>
      </c>
    </row>
    <row r="6256">
      <c r="A6256" t="inlineStr">
        <is>
          <t>2026-10-13</t>
        </is>
      </c>
      <c r="B6256" t="inlineStr">
        <is>
          <t>纯碱</t>
        </is>
      </c>
      <c r="C6256" t="inlineStr">
        <is>
          <t>空</t>
        </is>
      </c>
      <c r="D6256" t="n">
        <v>3</v>
      </c>
      <c r="E6256" t="n">
        <v>7</v>
      </c>
      <c r="F6256" t="inlineStr">
        <is>
          <t>续持</t>
        </is>
      </c>
      <c r="G6256" t="n">
        <v>22</v>
      </c>
      <c r="H6256" t="n">
        <v>961</v>
      </c>
      <c r="I6256" t="n">
        <v>1027.79</v>
      </c>
      <c r="J6256" t="n">
        <v>3</v>
      </c>
      <c r="K6256" t="inlineStr">
        <is>
          <t>续持原仓（2026-10-12开）</t>
        </is>
      </c>
    </row>
    <row r="6257">
      <c r="A6257" t="inlineStr">
        <is>
          <t>2026-10-13</t>
        </is>
      </c>
      <c r="B6257" t="inlineStr">
        <is>
          <t>棕榈油</t>
        </is>
      </c>
      <c r="C6257" t="inlineStr">
        <is>
          <t>空</t>
        </is>
      </c>
      <c r="D6257" t="n">
        <v>3</v>
      </c>
      <c r="E6257" t="n">
        <v>6</v>
      </c>
      <c r="F6257" t="inlineStr">
        <is>
          <t>观望</t>
        </is>
      </c>
      <c r="G6257" t="n">
        <v>2</v>
      </c>
      <c r="H6257" t="n">
        <v>9625</v>
      </c>
      <c r="I6257" t="n">
        <v>10117.43</v>
      </c>
      <c r="J6257" t="n">
        <v>1</v>
      </c>
      <c r="K6257" t="inlineStr">
        <is>
          <t>逆5日线（收盘在5日线上，不追空）</t>
        </is>
      </c>
    </row>
    <row r="6258">
      <c r="A6258" t="inlineStr">
        <is>
          <t>2026-10-13</t>
        </is>
      </c>
      <c r="B6258" t="inlineStr">
        <is>
          <t>铁矿石</t>
        </is>
      </c>
      <c r="C6258" t="inlineStr">
        <is>
          <t>空</t>
        </is>
      </c>
      <c r="D6258" t="n">
        <v>3</v>
      </c>
      <c r="E6258" t="n">
        <v>6</v>
      </c>
      <c r="F6258" t="inlineStr">
        <is>
          <t>续持</t>
        </is>
      </c>
      <c r="G6258" t="n">
        <v>3</v>
      </c>
      <c r="H6258" t="n">
        <v>677</v>
      </c>
      <c r="I6258" t="n">
        <v>705.39</v>
      </c>
      <c r="J6258" t="n">
        <v>1</v>
      </c>
      <c r="K6258" t="inlineStr">
        <is>
          <t>续持原仓（2026-10-09开）</t>
        </is>
      </c>
    </row>
    <row r="6259">
      <c r="A6259" t="inlineStr">
        <is>
          <t>2026-10-13</t>
        </is>
      </c>
      <c r="B6259" t="inlineStr">
        <is>
          <t>沪铜</t>
        </is>
      </c>
      <c r="C6259" t="inlineStr">
        <is>
          <t>多</t>
        </is>
      </c>
      <c r="D6259" t="n">
        <v>2</v>
      </c>
      <c r="E6259" t="n">
        <v>4</v>
      </c>
      <c r="F6259" t="inlineStr">
        <is>
          <t>不做</t>
        </is>
      </c>
      <c r="H6259" t="n">
        <v>110990</v>
      </c>
      <c r="J6259" t="n">
        <v>1</v>
      </c>
      <c r="K6259" t="inlineStr">
        <is>
          <t>1手风险15729元超过预算10000元</t>
        </is>
      </c>
    </row>
    <row r="6260">
      <c r="A6260" t="inlineStr">
        <is>
          <t>2026-10-13</t>
        </is>
      </c>
      <c r="B6260" t="inlineStr">
        <is>
          <t>硅铁</t>
        </is>
      </c>
      <c r="C6260" t="inlineStr">
        <is>
          <t>多</t>
        </is>
      </c>
      <c r="D6260" t="n">
        <v>2</v>
      </c>
      <c r="E6260" t="n">
        <v>4</v>
      </c>
      <c r="F6260" t="inlineStr">
        <is>
          <t>影子仓</t>
        </is>
      </c>
      <c r="G6260" t="n">
        <v>7</v>
      </c>
      <c r="H6260" t="n">
        <v>6048</v>
      </c>
      <c r="I6260" t="n">
        <v>5778.43</v>
      </c>
      <c r="J6260" t="n">
        <v>1</v>
      </c>
      <c r="K6260" t="inlineStr">
        <is>
          <t>凯利≤0，开1%影子仓（只统计，不计入组合）</t>
        </is>
      </c>
    </row>
    <row r="6261">
      <c r="A6261" t="inlineStr">
        <is>
          <t>2026-10-14</t>
        </is>
      </c>
      <c r="B6261" t="inlineStr">
        <is>
          <t>沪银</t>
        </is>
      </c>
      <c r="C6261" t="inlineStr">
        <is>
          <t>空</t>
        </is>
      </c>
      <c r="D6261" t="n">
        <v>3</v>
      </c>
      <c r="E6261" t="n">
        <v>7</v>
      </c>
      <c r="F6261" t="inlineStr">
        <is>
          <t>开仓</t>
        </is>
      </c>
      <c r="G6261" t="n">
        <v>1</v>
      </c>
      <c r="H6261" t="n">
        <v>14289</v>
      </c>
      <c r="I6261" t="n">
        <v>15675.86</v>
      </c>
      <c r="J6261" t="n">
        <v>3</v>
      </c>
      <c r="K6261" t="inlineStr">
        <is>
          <t>¼凯利超上限，取3%</t>
        </is>
      </c>
    </row>
    <row r="6262">
      <c r="A6262" t="inlineStr">
        <is>
          <t>2026-10-14</t>
        </is>
      </c>
      <c r="B6262" t="inlineStr">
        <is>
          <t>尿素</t>
        </is>
      </c>
      <c r="C6262" t="inlineStr">
        <is>
          <t>空</t>
        </is>
      </c>
      <c r="D6262" t="n">
        <v>3</v>
      </c>
      <c r="E6262" t="n">
        <v>6</v>
      </c>
      <c r="F6262" t="inlineStr">
        <is>
          <t>开仓</t>
        </is>
      </c>
      <c r="G6262" t="n">
        <v>7</v>
      </c>
      <c r="H6262" t="n">
        <v>1667</v>
      </c>
      <c r="I6262" t="n">
        <v>1735.57</v>
      </c>
      <c r="J6262" t="n">
        <v>1</v>
      </c>
      <c r="K6262" t="inlineStr">
        <is>
          <t>组合风险已近10%，预算缩小</t>
        </is>
      </c>
    </row>
    <row r="6263">
      <c r="A6263" t="inlineStr">
        <is>
          <t>2026-10-14</t>
        </is>
      </c>
      <c r="B6263" t="inlineStr">
        <is>
          <t>碳酸锂</t>
        </is>
      </c>
      <c r="C6263" t="inlineStr">
        <is>
          <t>空</t>
        </is>
      </c>
      <c r="D6263" t="n">
        <v>3</v>
      </c>
      <c r="E6263" t="n">
        <v>6</v>
      </c>
      <c r="F6263" t="inlineStr">
        <is>
          <t>不做</t>
        </is>
      </c>
      <c r="H6263" t="n">
        <v>100900</v>
      </c>
      <c r="J6263" t="n">
        <v>0</v>
      </c>
      <c r="K6263" t="inlineStr">
        <is>
          <t>组合风险已近10%，预算缩小</t>
        </is>
      </c>
    </row>
    <row r="6264">
      <c r="A6264" t="inlineStr">
        <is>
          <t>2026-10-14</t>
        </is>
      </c>
      <c r="B6264" t="inlineStr">
        <is>
          <t>铁矿石</t>
        </is>
      </c>
      <c r="C6264" t="inlineStr">
        <is>
          <t>空</t>
        </is>
      </c>
      <c r="D6264" t="n">
        <v>3</v>
      </c>
      <c r="E6264" t="n">
        <v>6</v>
      </c>
      <c r="F6264" t="inlineStr">
        <is>
          <t>续持</t>
        </is>
      </c>
      <c r="G6264" t="n">
        <v>3</v>
      </c>
      <c r="H6264" t="n">
        <v>674</v>
      </c>
      <c r="I6264" t="n">
        <v>702.61</v>
      </c>
      <c r="J6264" t="n">
        <v>1</v>
      </c>
      <c r="K6264" t="inlineStr">
        <is>
          <t>续持原仓（2026-10-09开）</t>
        </is>
      </c>
    </row>
    <row r="6265">
      <c r="A6265" t="inlineStr">
        <is>
          <t>2026-10-14</t>
        </is>
      </c>
      <c r="B6265" t="inlineStr">
        <is>
          <t>豆一</t>
        </is>
      </c>
      <c r="C6265" t="inlineStr">
        <is>
          <t>多</t>
        </is>
      </c>
      <c r="D6265" t="n">
        <v>3</v>
      </c>
      <c r="E6265" t="n">
        <v>6</v>
      </c>
      <c r="F6265" t="inlineStr">
        <is>
          <t>不做</t>
        </is>
      </c>
      <c r="H6265" t="n">
        <v>5481</v>
      </c>
      <c r="J6265" t="n">
        <v>0</v>
      </c>
      <c r="K6265" t="inlineStr">
        <is>
          <t>组合风险已近10%，预算缩小</t>
        </is>
      </c>
    </row>
    <row r="6266">
      <c r="A6266" t="inlineStr">
        <is>
          <t>2026-10-14</t>
        </is>
      </c>
      <c r="B6266" t="inlineStr">
        <is>
          <t>沪金</t>
        </is>
      </c>
      <c r="C6266" t="inlineStr">
        <is>
          <t>空</t>
        </is>
      </c>
      <c r="D6266" t="n">
        <v>2</v>
      </c>
      <c r="E6266" t="n">
        <v>5</v>
      </c>
      <c r="F6266" t="inlineStr">
        <is>
          <t>不做</t>
        </is>
      </c>
      <c r="H6266" t="n">
        <v>896.64</v>
      </c>
      <c r="J6266" t="n">
        <v>1</v>
      </c>
      <c r="K6266" t="inlineStr">
        <is>
          <t>1手风险43106元超过预算10000元</t>
        </is>
      </c>
    </row>
    <row r="6267">
      <c r="A6267" t="inlineStr">
        <is>
          <t>2026-10-14</t>
        </is>
      </c>
      <c r="B6267" t="inlineStr">
        <is>
          <t>锰硅</t>
        </is>
      </c>
      <c r="C6267" t="inlineStr">
        <is>
          <t>多</t>
        </is>
      </c>
      <c r="D6267" t="n">
        <v>2</v>
      </c>
      <c r="E6267" t="n">
        <v>4</v>
      </c>
      <c r="F6267" t="inlineStr">
        <is>
          <t>影子仓</t>
        </is>
      </c>
      <c r="G6267" t="n">
        <v>11</v>
      </c>
      <c r="H6267" t="n">
        <v>5854</v>
      </c>
      <c r="I6267" t="n">
        <v>5683.43</v>
      </c>
      <c r="J6267" t="n">
        <v>1</v>
      </c>
      <c r="K6267" t="inlineStr">
        <is>
          <t>凯利≤0，开1%影子仓（只统计，不计入组合）</t>
        </is>
      </c>
    </row>
    <row r="6268">
      <c r="A6268" t="inlineStr">
        <is>
          <t>2026-10-15</t>
        </is>
      </c>
      <c r="B6268" t="inlineStr">
        <is>
          <t>沪银</t>
        </is>
      </c>
      <c r="C6268" t="inlineStr">
        <is>
          <t>空</t>
        </is>
      </c>
      <c r="D6268" t="n">
        <v>3</v>
      </c>
      <c r="E6268" t="n">
        <v>7</v>
      </c>
      <c r="F6268" t="inlineStr">
        <is>
          <t>续持</t>
        </is>
      </c>
      <c r="G6268" t="n">
        <v>1</v>
      </c>
      <c r="H6268" t="n">
        <v>13660</v>
      </c>
      <c r="I6268" t="n">
        <v>14937.36</v>
      </c>
      <c r="J6268" t="n">
        <v>3</v>
      </c>
      <c r="K6268" t="inlineStr">
        <is>
          <t>续持原仓（2026-10-14开）</t>
        </is>
      </c>
    </row>
    <row r="6269">
      <c r="A6269" t="inlineStr">
        <is>
          <t>2026-10-15</t>
        </is>
      </c>
      <c r="B6269" t="inlineStr">
        <is>
          <t>沪镍</t>
        </is>
      </c>
      <c r="C6269" t="inlineStr">
        <is>
          <t>空</t>
        </is>
      </c>
      <c r="D6269" t="n">
        <v>3</v>
      </c>
      <c r="E6269" t="n">
        <v>7</v>
      </c>
      <c r="F6269" t="inlineStr">
        <is>
          <t>不做</t>
        </is>
      </c>
      <c r="H6269" t="n">
        <v>116060</v>
      </c>
      <c r="J6269" t="n">
        <v>0</v>
      </c>
      <c r="K6269" t="inlineStr">
        <is>
          <t>组合风险已近10%，预算缩小</t>
        </is>
      </c>
    </row>
    <row r="6270">
      <c r="A6270" t="inlineStr">
        <is>
          <t>2026-10-15</t>
        </is>
      </c>
      <c r="B6270" t="inlineStr">
        <is>
          <t>尿素</t>
        </is>
      </c>
      <c r="C6270" t="inlineStr">
        <is>
          <t>空</t>
        </is>
      </c>
      <c r="D6270" t="n">
        <v>3</v>
      </c>
      <c r="E6270" t="n">
        <v>7</v>
      </c>
      <c r="F6270" t="inlineStr">
        <is>
          <t>续持</t>
        </is>
      </c>
      <c r="G6270" t="n">
        <v>7</v>
      </c>
      <c r="H6270" t="n">
        <v>1658</v>
      </c>
      <c r="I6270" t="n">
        <v>1713.71</v>
      </c>
      <c r="J6270" t="n">
        <v>1</v>
      </c>
      <c r="K6270" t="inlineStr">
        <is>
          <t>续持原仓（2026-10-14开）</t>
        </is>
      </c>
    </row>
    <row r="6271">
      <c r="A6271" t="inlineStr">
        <is>
          <t>2026-10-15</t>
        </is>
      </c>
      <c r="B6271" t="inlineStr">
        <is>
          <t>燃料油</t>
        </is>
      </c>
      <c r="C6271" t="inlineStr">
        <is>
          <t>多</t>
        </is>
      </c>
      <c r="D6271" t="n">
        <v>3</v>
      </c>
      <c r="E6271" t="n">
        <v>7</v>
      </c>
      <c r="F6271" t="inlineStr">
        <is>
          <t>不做</t>
        </is>
      </c>
      <c r="H6271" t="n">
        <v>4827</v>
      </c>
      <c r="J6271" t="n">
        <v>0</v>
      </c>
      <c r="K6271" t="inlineStr">
        <is>
          <t>组合风险已近10%，预算缩小</t>
        </is>
      </c>
    </row>
    <row r="6272">
      <c r="A6272" t="inlineStr">
        <is>
          <t>2026-10-15</t>
        </is>
      </c>
      <c r="B6272" t="inlineStr">
        <is>
          <t>碳酸锂</t>
        </is>
      </c>
      <c r="C6272" t="inlineStr">
        <is>
          <t>空</t>
        </is>
      </c>
      <c r="D6272" t="n">
        <v>3</v>
      </c>
      <c r="E6272" t="n">
        <v>6</v>
      </c>
      <c r="F6272" t="inlineStr">
        <is>
          <t>不做</t>
        </is>
      </c>
      <c r="H6272" t="n">
        <v>98820</v>
      </c>
      <c r="J6272" t="n">
        <v>0</v>
      </c>
      <c r="K6272" t="inlineStr">
        <is>
          <t>组合风险已近10%，预算缩小</t>
        </is>
      </c>
    </row>
    <row r="6273">
      <c r="A6273" t="inlineStr">
        <is>
          <t>2026-10-15</t>
        </is>
      </c>
      <c r="B6273" t="inlineStr">
        <is>
          <t>铁矿石</t>
        </is>
      </c>
      <c r="C6273" t="inlineStr">
        <is>
          <t>空</t>
        </is>
      </c>
      <c r="D6273" t="n">
        <v>3</v>
      </c>
      <c r="E6273" t="n">
        <v>6</v>
      </c>
      <c r="F6273" t="inlineStr">
        <is>
          <t>续持</t>
        </is>
      </c>
      <c r="G6273" t="n">
        <v>3</v>
      </c>
      <c r="H6273" t="n">
        <v>671.5</v>
      </c>
      <c r="I6273" t="n">
        <v>699.36</v>
      </c>
      <c r="J6273" t="n">
        <v>1</v>
      </c>
      <c r="K6273" t="inlineStr">
        <is>
          <t>续持原仓（2026-10-09开）</t>
        </is>
      </c>
    </row>
    <row r="6274">
      <c r="A6274" t="inlineStr">
        <is>
          <t>2026-10-15</t>
        </is>
      </c>
      <c r="B6274" t="inlineStr">
        <is>
          <t>豆一</t>
        </is>
      </c>
      <c r="C6274" t="inlineStr">
        <is>
          <t>多</t>
        </is>
      </c>
      <c r="D6274" t="n">
        <v>2</v>
      </c>
      <c r="E6274" t="n">
        <v>5</v>
      </c>
      <c r="F6274" t="inlineStr">
        <is>
          <t>观望</t>
        </is>
      </c>
      <c r="G6274" t="n">
        <v>3</v>
      </c>
      <c r="H6274" t="n">
        <v>5409</v>
      </c>
      <c r="I6274" t="n">
        <v>5107.71</v>
      </c>
      <c r="J6274" t="n">
        <v>1</v>
      </c>
      <c r="K6274" t="inlineStr">
        <is>
          <t>逆5日线（收盘在5日线下，不追多）</t>
        </is>
      </c>
    </row>
    <row r="6275">
      <c r="A6275" t="inlineStr">
        <is>
          <t>2026-10-16</t>
        </is>
      </c>
      <c r="B6275" t="inlineStr">
        <is>
          <t>碳酸锂</t>
        </is>
      </c>
      <c r="C6275" t="inlineStr">
        <is>
          <t>空</t>
        </is>
      </c>
      <c r="D6275" t="n">
        <v>3</v>
      </c>
      <c r="E6275" t="n">
        <v>7</v>
      </c>
      <c r="F6275" t="inlineStr">
        <is>
          <t>不做</t>
        </is>
      </c>
      <c r="H6275" t="n">
        <v>96320</v>
      </c>
      <c r="J6275" t="n">
        <v>1</v>
      </c>
      <c r="K6275" t="inlineStr">
        <is>
          <t>1手风险19149元超过预算10000元</t>
        </is>
      </c>
    </row>
    <row r="6276">
      <c r="A6276" t="inlineStr">
        <is>
          <t>2026-10-16</t>
        </is>
      </c>
      <c r="B6276" t="inlineStr">
        <is>
          <t>沪镍</t>
        </is>
      </c>
      <c r="C6276" t="inlineStr">
        <is>
          <t>空</t>
        </is>
      </c>
      <c r="D6276" t="n">
        <v>3</v>
      </c>
      <c r="E6276" t="n">
        <v>6</v>
      </c>
      <c r="F6276" t="inlineStr">
        <is>
          <t>开仓</t>
        </is>
      </c>
      <c r="G6276" t="n">
        <v>1</v>
      </c>
      <c r="H6276" t="n">
        <v>115240</v>
      </c>
      <c r="I6276" t="n">
        <v>120899.29</v>
      </c>
      <c r="J6276" t="n">
        <v>1</v>
      </c>
      <c r="K6276" t="inlineStr">
        <is>
          <t>组合风险已近10%，预算缩小</t>
        </is>
      </c>
    </row>
    <row r="6277">
      <c r="A6277" t="inlineStr">
        <is>
          <t>2026-10-16</t>
        </is>
      </c>
      <c r="B6277" t="inlineStr">
        <is>
          <t>铁矿石</t>
        </is>
      </c>
      <c r="C6277" t="inlineStr">
        <is>
          <t>空</t>
        </is>
      </c>
      <c r="D6277" t="n">
        <v>2</v>
      </c>
      <c r="E6277" t="n">
        <v>5</v>
      </c>
      <c r="F6277" t="inlineStr">
        <is>
          <t>续持</t>
        </is>
      </c>
      <c r="G6277" t="n">
        <v>3</v>
      </c>
      <c r="H6277" t="n">
        <v>672.5</v>
      </c>
      <c r="I6277" t="n">
        <v>699.14</v>
      </c>
      <c r="J6277" t="n">
        <v>1</v>
      </c>
      <c r="K6277" t="inlineStr">
        <is>
          <t>续持原仓（2026-10-09开）</t>
        </is>
      </c>
    </row>
    <row r="6278">
      <c r="A6278" t="inlineStr">
        <is>
          <t>2026-10-16</t>
        </is>
      </c>
      <c r="B6278" t="inlineStr">
        <is>
          <t>锰硅</t>
        </is>
      </c>
      <c r="C6278" t="inlineStr">
        <is>
          <t>多</t>
        </is>
      </c>
      <c r="D6278" t="n">
        <v>2</v>
      </c>
      <c r="E6278" t="n">
        <v>5</v>
      </c>
      <c r="F6278" t="inlineStr">
        <is>
          <t>观望</t>
        </is>
      </c>
      <c r="G6278" t="n">
        <v>10</v>
      </c>
      <c r="H6278" t="n">
        <v>5816</v>
      </c>
      <c r="I6278" t="n">
        <v>5617.57</v>
      </c>
      <c r="J6278" t="n">
        <v>1</v>
      </c>
      <c r="K6278" t="inlineStr">
        <is>
          <t>逆5日线（收盘在5日线下，不追多）</t>
        </is>
      </c>
    </row>
    <row r="6279">
      <c r="A6279" t="inlineStr">
        <is>
          <t>2026-10-16</t>
        </is>
      </c>
      <c r="B6279" t="inlineStr">
        <is>
          <t>沪铜</t>
        </is>
      </c>
      <c r="C6279" t="inlineStr">
        <is>
          <t>多</t>
        </is>
      </c>
      <c r="D6279" t="n">
        <v>2</v>
      </c>
      <c r="E6279" t="n">
        <v>5</v>
      </c>
      <c r="F6279" t="inlineStr">
        <is>
          <t>观望</t>
        </is>
      </c>
      <c r="H6279" t="n">
        <v>109860</v>
      </c>
      <c r="J6279" t="n">
        <v>1</v>
      </c>
      <c r="K6279" t="inlineStr">
        <is>
          <t>逆5日线（收盘在5日线下，不追多）</t>
        </is>
      </c>
    </row>
    <row r="6280">
      <c r="A6280" t="inlineStr">
        <is>
          <t>2026-10-16</t>
        </is>
      </c>
      <c r="B6280" t="inlineStr">
        <is>
          <t>燃料油</t>
        </is>
      </c>
      <c r="C6280" t="inlineStr">
        <is>
          <t>多</t>
        </is>
      </c>
      <c r="D6280" t="n">
        <v>2</v>
      </c>
      <c r="E6280" t="n">
        <v>5</v>
      </c>
      <c r="F6280" t="inlineStr">
        <is>
          <t>影子仓</t>
        </is>
      </c>
      <c r="G6280" t="n">
        <v>1</v>
      </c>
      <c r="H6280" t="n">
        <v>4819</v>
      </c>
      <c r="I6280" t="n">
        <v>4133.71</v>
      </c>
      <c r="J6280" t="n">
        <v>1</v>
      </c>
      <c r="K6280" t="inlineStr">
        <is>
          <t>凯利≤0，开1%影子仓（只统计，不计入组合）</t>
        </is>
      </c>
    </row>
    <row r="6281">
      <c r="A6281" t="inlineStr">
        <is>
          <t>2026-10-16</t>
        </is>
      </c>
      <c r="B6281" t="inlineStr">
        <is>
          <t>硅铁</t>
        </is>
      </c>
      <c r="C6281" t="inlineStr">
        <is>
          <t>空</t>
        </is>
      </c>
      <c r="D6281" t="n">
        <v>2</v>
      </c>
      <c r="E6281" t="n">
        <v>4</v>
      </c>
      <c r="F6281" t="inlineStr">
        <is>
          <t>影子仓</t>
        </is>
      </c>
      <c r="G6281" t="n">
        <v>7</v>
      </c>
      <c r="H6281" t="n">
        <v>5848</v>
      </c>
      <c r="I6281" t="n">
        <v>6127.86</v>
      </c>
      <c r="J6281" t="n">
        <v>1</v>
      </c>
      <c r="K6281" t="inlineStr">
        <is>
          <t>凯利≤0，开1%影子仓（只统计，不计入组合）</t>
        </is>
      </c>
    </row>
    <row r="6282">
      <c r="A6282" t="inlineStr">
        <is>
          <t>2026-10-16</t>
        </is>
      </c>
      <c r="B6282" t="inlineStr">
        <is>
          <t>白糖</t>
        </is>
      </c>
      <c r="C6282" t="inlineStr">
        <is>
          <t>多</t>
        </is>
      </c>
      <c r="D6282" t="n">
        <v>2</v>
      </c>
      <c r="E6282" t="n">
        <v>4</v>
      </c>
      <c r="F6282" t="inlineStr">
        <is>
          <t>观望</t>
        </is>
      </c>
      <c r="G6282" t="n">
        <v>5</v>
      </c>
      <c r="H6282" t="n">
        <v>5408</v>
      </c>
      <c r="I6282" t="n">
        <v>5227.79</v>
      </c>
      <c r="J6282" t="n">
        <v>1</v>
      </c>
      <c r="K6282" t="inlineStr">
        <is>
          <t>逆5日线（收盘在5日线下，不追多）</t>
        </is>
      </c>
    </row>
    <row r="6283">
      <c r="A6283" t="inlineStr">
        <is>
          <t>2026-10-19</t>
        </is>
      </c>
      <c r="B6283" t="inlineStr">
        <is>
          <t>生猪</t>
        </is>
      </c>
      <c r="C6283" t="inlineStr">
        <is>
          <t>空</t>
        </is>
      </c>
      <c r="D6283" t="n">
        <v>3</v>
      </c>
      <c r="E6283" t="n">
        <v>7</v>
      </c>
      <c r="F6283" t="inlineStr">
        <is>
          <t>不做</t>
        </is>
      </c>
      <c r="H6283" t="n">
        <v>10215</v>
      </c>
      <c r="J6283" t="n">
        <v>0</v>
      </c>
      <c r="K6283" t="inlineStr">
        <is>
          <t>组合风险已近10%，预算缩小</t>
        </is>
      </c>
    </row>
    <row r="6284">
      <c r="A6284" t="inlineStr">
        <is>
          <t>2026-10-19</t>
        </is>
      </c>
      <c r="B6284" t="inlineStr">
        <is>
          <t>燃料油</t>
        </is>
      </c>
      <c r="C6284" t="inlineStr">
        <is>
          <t>多</t>
        </is>
      </c>
      <c r="D6284" t="n">
        <v>3</v>
      </c>
      <c r="E6284" t="n">
        <v>6</v>
      </c>
      <c r="F6284" t="inlineStr">
        <is>
          <t>续持</t>
        </is>
      </c>
      <c r="G6284" t="n">
        <v>1</v>
      </c>
      <c r="H6284" t="n">
        <v>4917</v>
      </c>
      <c r="I6284" t="n">
        <v>4399.5</v>
      </c>
      <c r="J6284" t="n">
        <v>1</v>
      </c>
      <c r="K6284" t="inlineStr">
        <is>
          <t>续持原仓（2026-10-16开）</t>
        </is>
      </c>
    </row>
    <row r="6285">
      <c r="A6285" t="inlineStr">
        <is>
          <t>2026-10-19</t>
        </is>
      </c>
      <c r="B6285" t="inlineStr">
        <is>
          <t>沥青</t>
        </is>
      </c>
      <c r="C6285" t="inlineStr">
        <is>
          <t>空</t>
        </is>
      </c>
      <c r="D6285" t="n">
        <v>2</v>
      </c>
      <c r="E6285" t="n">
        <v>5</v>
      </c>
      <c r="F6285" t="inlineStr">
        <is>
          <t>影子仓</t>
        </is>
      </c>
      <c r="G6285" t="n">
        <v>1</v>
      </c>
      <c r="H6285" t="n">
        <v>4397</v>
      </c>
      <c r="I6285" t="n">
        <v>5183.43</v>
      </c>
      <c r="J6285" t="n">
        <v>1</v>
      </c>
      <c r="K6285" t="inlineStr">
        <is>
          <t>凯利≤0，开1%影子仓（只统计，不计入组合）</t>
        </is>
      </c>
    </row>
    <row r="6286">
      <c r="A6286" t="inlineStr">
        <is>
          <t>2026-10-19</t>
        </is>
      </c>
      <c r="B6286" t="inlineStr">
        <is>
          <t>沪铜</t>
        </is>
      </c>
      <c r="C6286" t="inlineStr">
        <is>
          <t>多</t>
        </is>
      </c>
      <c r="D6286" t="n">
        <v>2</v>
      </c>
      <c r="E6286" t="n">
        <v>4</v>
      </c>
      <c r="F6286" t="inlineStr">
        <is>
          <t>观望</t>
        </is>
      </c>
      <c r="H6286" t="n">
        <v>109770</v>
      </c>
      <c r="J6286" t="n">
        <v>1</v>
      </c>
      <c r="K6286" t="inlineStr">
        <is>
          <t>逆5日线（收盘在5日线下，不追多）</t>
        </is>
      </c>
    </row>
    <row r="6287">
      <c r="A6287" t="inlineStr">
        <is>
          <t>2026-10-19</t>
        </is>
      </c>
      <c r="B6287" t="inlineStr">
        <is>
          <t>碳酸锂</t>
        </is>
      </c>
      <c r="C6287" t="inlineStr">
        <is>
          <t>空</t>
        </is>
      </c>
      <c r="D6287" t="n">
        <v>2</v>
      </c>
      <c r="E6287" t="n">
        <v>4</v>
      </c>
      <c r="F6287" t="inlineStr">
        <is>
          <t>不做</t>
        </is>
      </c>
      <c r="H6287" t="n">
        <v>100560</v>
      </c>
      <c r="J6287" t="n">
        <v>1</v>
      </c>
      <c r="K6287" t="inlineStr">
        <is>
          <t>1手风险18896元超过预算10000元</t>
        </is>
      </c>
    </row>
    <row r="6288">
      <c r="A6288" t="inlineStr">
        <is>
          <t>2026-10-19</t>
        </is>
      </c>
      <c r="B6288" t="inlineStr">
        <is>
          <t>豆一</t>
        </is>
      </c>
      <c r="C6288" t="inlineStr">
        <is>
          <t>多</t>
        </is>
      </c>
      <c r="D6288" t="n">
        <v>2</v>
      </c>
      <c r="E6288" t="n">
        <v>4</v>
      </c>
      <c r="F6288" t="inlineStr">
        <is>
          <t>观望</t>
        </is>
      </c>
      <c r="G6288" t="n">
        <v>3</v>
      </c>
      <c r="H6288" t="n">
        <v>5378</v>
      </c>
      <c r="I6288" t="n">
        <v>5084</v>
      </c>
      <c r="J6288" t="n">
        <v>1</v>
      </c>
      <c r="K6288" t="inlineStr">
        <is>
          <t>逆5日线（收盘在5日线下，不追多）</t>
        </is>
      </c>
    </row>
    <row r="6289">
      <c r="A6289" t="inlineStr">
        <is>
          <t>2026-10-20</t>
        </is>
      </c>
      <c r="B6289" t="inlineStr">
        <is>
          <t>生猪</t>
        </is>
      </c>
      <c r="C6289" t="inlineStr">
        <is>
          <t>空</t>
        </is>
      </c>
      <c r="D6289" t="n">
        <v>3</v>
      </c>
      <c r="E6289" t="n">
        <v>7</v>
      </c>
      <c r="F6289" t="inlineStr">
        <is>
          <t>不做</t>
        </is>
      </c>
      <c r="H6289" t="n">
        <v>9995</v>
      </c>
      <c r="J6289" t="n">
        <v>0</v>
      </c>
      <c r="K6289" t="inlineStr">
        <is>
          <t>组合风险已近10%，预算缩小</t>
        </is>
      </c>
    </row>
    <row r="6290">
      <c r="A6290" t="inlineStr">
        <is>
          <t>2026-10-20</t>
        </is>
      </c>
      <c r="B6290" t="inlineStr">
        <is>
          <t>纯碱</t>
        </is>
      </c>
      <c r="C6290" t="inlineStr">
        <is>
          <t>空</t>
        </is>
      </c>
      <c r="D6290" t="n">
        <v>3</v>
      </c>
      <c r="E6290" t="n">
        <v>6</v>
      </c>
      <c r="F6290" t="inlineStr">
        <is>
          <t>不做</t>
        </is>
      </c>
      <c r="H6290" t="n">
        <v>938</v>
      </c>
      <c r="J6290" t="n">
        <v>0</v>
      </c>
      <c r="K6290" t="inlineStr">
        <is>
          <t>组合风险已近10%，预算缩小</t>
        </is>
      </c>
    </row>
    <row r="6291">
      <c r="A6291" t="inlineStr">
        <is>
          <t>2026-10-20</t>
        </is>
      </c>
      <c r="B6291" t="inlineStr">
        <is>
          <t>碳酸锂</t>
        </is>
      </c>
      <c r="C6291" t="inlineStr">
        <is>
          <t>空</t>
        </is>
      </c>
      <c r="D6291" t="n">
        <v>2</v>
      </c>
      <c r="E6291" t="n">
        <v>5</v>
      </c>
      <c r="F6291" t="inlineStr">
        <is>
          <t>观望</t>
        </is>
      </c>
      <c r="H6291" t="n">
        <v>100520</v>
      </c>
      <c r="J6291" t="n">
        <v>1</v>
      </c>
      <c r="K6291" t="inlineStr">
        <is>
          <t>逆5日线（收盘在5日线上，不追空）</t>
        </is>
      </c>
    </row>
    <row r="6292">
      <c r="A6292" t="inlineStr">
        <is>
          <t>2026-10-20</t>
        </is>
      </c>
      <c r="B6292" t="inlineStr">
        <is>
          <t>沪铜</t>
        </is>
      </c>
      <c r="C6292" t="inlineStr">
        <is>
          <t>多</t>
        </is>
      </c>
      <c r="D6292" t="n">
        <v>2</v>
      </c>
      <c r="E6292" t="n">
        <v>5</v>
      </c>
      <c r="F6292" t="inlineStr">
        <is>
          <t>观望</t>
        </is>
      </c>
      <c r="H6292" t="n">
        <v>109550</v>
      </c>
      <c r="J6292" t="n">
        <v>1</v>
      </c>
      <c r="K6292" t="inlineStr">
        <is>
          <t>逆5日线（收盘在5日线下，不追多）</t>
        </is>
      </c>
    </row>
    <row r="6293">
      <c r="A6293" t="inlineStr">
        <is>
          <t>2026-10-20</t>
        </is>
      </c>
      <c r="B6293" t="inlineStr">
        <is>
          <t>热卷</t>
        </is>
      </c>
      <c r="C6293" t="inlineStr">
        <is>
          <t>空</t>
        </is>
      </c>
      <c r="D6293" t="n">
        <v>2</v>
      </c>
      <c r="E6293" t="n">
        <v>5</v>
      </c>
      <c r="F6293" t="inlineStr">
        <is>
          <t>观望</t>
        </is>
      </c>
      <c r="G6293" t="n">
        <v>13</v>
      </c>
      <c r="H6293" t="n">
        <v>3240</v>
      </c>
      <c r="I6293" t="n">
        <v>3314.14</v>
      </c>
      <c r="J6293" t="n">
        <v>1</v>
      </c>
      <c r="K6293" t="inlineStr">
        <is>
          <t>逆5日线（收盘在5日线上，不追空）</t>
        </is>
      </c>
    </row>
    <row r="6294">
      <c r="A6294" t="inlineStr">
        <is>
          <t>2026-10-20</t>
        </is>
      </c>
      <c r="B6294" t="inlineStr">
        <is>
          <t>沥青</t>
        </is>
      </c>
      <c r="C6294" t="inlineStr">
        <is>
          <t>空</t>
        </is>
      </c>
      <c r="D6294" t="n">
        <v>2</v>
      </c>
      <c r="E6294" t="n">
        <v>4</v>
      </c>
      <c r="F6294" t="inlineStr">
        <is>
          <t>观望</t>
        </is>
      </c>
      <c r="G6294" t="n">
        <v>1</v>
      </c>
      <c r="H6294" t="n">
        <v>4499</v>
      </c>
      <c r="I6294" t="n">
        <v>5246.43</v>
      </c>
      <c r="J6294" t="n">
        <v>1</v>
      </c>
      <c r="K6294" t="inlineStr">
        <is>
          <t>逆5日线（收盘在5日线上，不追空）</t>
        </is>
      </c>
    </row>
    <row r="6295">
      <c r="A6295" t="inlineStr">
        <is>
          <t>2026-10-21</t>
        </is>
      </c>
      <c r="B6295" t="inlineStr">
        <is>
          <t>纸浆</t>
        </is>
      </c>
      <c r="C6295" t="inlineStr">
        <is>
          <t>空</t>
        </is>
      </c>
      <c r="D6295" t="n">
        <v>3</v>
      </c>
      <c r="E6295" t="n">
        <v>7</v>
      </c>
      <c r="F6295" t="inlineStr">
        <is>
          <t>开仓</t>
        </is>
      </c>
      <c r="G6295" t="n">
        <v>14</v>
      </c>
      <c r="H6295" t="n">
        <v>4668</v>
      </c>
      <c r="I6295" t="n">
        <v>4872</v>
      </c>
      <c r="J6295" t="n">
        <v>3</v>
      </c>
      <c r="K6295" t="inlineStr">
        <is>
          <t>¼凯利超上限，取3%</t>
        </is>
      </c>
    </row>
    <row r="6296">
      <c r="A6296" t="inlineStr">
        <is>
          <t>2026-10-21</t>
        </is>
      </c>
      <c r="B6296" t="inlineStr">
        <is>
          <t>碳酸锂</t>
        </is>
      </c>
      <c r="C6296" t="inlineStr">
        <is>
          <t>空</t>
        </is>
      </c>
      <c r="D6296" t="n">
        <v>3</v>
      </c>
      <c r="E6296" t="n">
        <v>7</v>
      </c>
      <c r="F6296" t="inlineStr">
        <is>
          <t>不做</t>
        </is>
      </c>
      <c r="H6296" t="n">
        <v>95040</v>
      </c>
      <c r="J6296" t="n">
        <v>1</v>
      </c>
      <c r="K6296" t="inlineStr">
        <is>
          <t>1手风险18866元超过预算10000元</t>
        </is>
      </c>
    </row>
    <row r="6297">
      <c r="A6297" t="inlineStr">
        <is>
          <t>2026-10-21</t>
        </is>
      </c>
      <c r="B6297" t="inlineStr">
        <is>
          <t>烧碱</t>
        </is>
      </c>
      <c r="C6297" t="inlineStr">
        <is>
          <t>空</t>
        </is>
      </c>
      <c r="D6297" t="n">
        <v>3</v>
      </c>
      <c r="E6297" t="n">
        <v>7</v>
      </c>
      <c r="F6297" t="inlineStr">
        <is>
          <t>开仓</t>
        </is>
      </c>
      <c r="G6297" t="n">
        <v>3</v>
      </c>
      <c r="H6297" t="n">
        <v>1682</v>
      </c>
      <c r="I6297" t="n">
        <v>1784.64</v>
      </c>
      <c r="J6297" t="n">
        <v>1</v>
      </c>
      <c r="K6297" t="inlineStr">
        <is>
          <t>组合风险已近10%，预算缩小</t>
        </is>
      </c>
    </row>
    <row r="6298">
      <c r="A6298" t="inlineStr">
        <is>
          <t>2026-10-21</t>
        </is>
      </c>
      <c r="B6298" t="inlineStr">
        <is>
          <t>沪铜</t>
        </is>
      </c>
      <c r="C6298" t="inlineStr">
        <is>
          <t>多</t>
        </is>
      </c>
      <c r="D6298" t="n">
        <v>3</v>
      </c>
      <c r="E6298" t="n">
        <v>6</v>
      </c>
      <c r="F6298" t="inlineStr">
        <is>
          <t>观望</t>
        </is>
      </c>
      <c r="H6298" t="n">
        <v>108780</v>
      </c>
      <c r="J6298" t="n">
        <v>0</v>
      </c>
      <c r="K6298" t="inlineStr">
        <is>
          <t>逆5日线（收盘在5日线下，不追多）</t>
        </is>
      </c>
    </row>
    <row r="6299">
      <c r="A6299" t="inlineStr">
        <is>
          <t>2026-10-21</t>
        </is>
      </c>
      <c r="B6299" t="inlineStr">
        <is>
          <t>热卷</t>
        </is>
      </c>
      <c r="C6299" t="inlineStr">
        <is>
          <t>空</t>
        </is>
      </c>
      <c r="D6299" t="n">
        <v>2</v>
      </c>
      <c r="E6299" t="n">
        <v>5</v>
      </c>
      <c r="F6299" t="inlineStr">
        <is>
          <t>观望</t>
        </is>
      </c>
      <c r="G6299" t="n">
        <v>13</v>
      </c>
      <c r="H6299" t="n">
        <v>3242</v>
      </c>
      <c r="I6299" t="n">
        <v>3315.93</v>
      </c>
      <c r="J6299" t="n">
        <v>1</v>
      </c>
      <c r="K6299" t="inlineStr">
        <is>
          <t>逆5日线（收盘在5日线上，不追空）</t>
        </is>
      </c>
    </row>
    <row r="6300">
      <c r="A6300" t="inlineStr">
        <is>
          <t>2026-10-21</t>
        </is>
      </c>
      <c r="B6300" t="inlineStr">
        <is>
          <t>沥青</t>
        </is>
      </c>
      <c r="C6300" t="inlineStr">
        <is>
          <t>空</t>
        </is>
      </c>
      <c r="D6300" t="n">
        <v>2</v>
      </c>
      <c r="E6300" t="n">
        <v>4</v>
      </c>
      <c r="F6300" t="inlineStr">
        <is>
          <t>观望</t>
        </is>
      </c>
      <c r="G6300" t="n">
        <v>1</v>
      </c>
      <c r="H6300" t="n">
        <v>4546</v>
      </c>
      <c r="I6300" t="n">
        <v>5284.21</v>
      </c>
      <c r="J6300" t="n">
        <v>1</v>
      </c>
      <c r="K6300" t="inlineStr">
        <is>
          <t>逆5日线（收盘在5日线上，不追空）</t>
        </is>
      </c>
    </row>
    <row r="6301">
      <c r="A6301" t="inlineStr">
        <is>
          <t>2026-10-21</t>
        </is>
      </c>
      <c r="B6301" t="inlineStr">
        <is>
          <t>棕榈油</t>
        </is>
      </c>
      <c r="C6301" t="inlineStr">
        <is>
          <t>多</t>
        </is>
      </c>
      <c r="D6301" t="n">
        <v>2</v>
      </c>
      <c r="E6301" t="n">
        <v>4</v>
      </c>
      <c r="F6301" t="inlineStr">
        <is>
          <t>影子仓</t>
        </is>
      </c>
      <c r="G6301" t="n">
        <v>1</v>
      </c>
      <c r="H6301" t="n">
        <v>9648</v>
      </c>
      <c r="I6301" t="n">
        <v>9118.93</v>
      </c>
      <c r="J6301" t="n">
        <v>1</v>
      </c>
      <c r="K6301" t="inlineStr">
        <is>
          <t>凯利≤0，开1%影子仓（只统计，不计入组合）</t>
        </is>
      </c>
    </row>
    <row r="6302">
      <c r="A6302" t="inlineStr">
        <is>
          <t>2026-10-22</t>
        </is>
      </c>
      <c r="B6302" t="inlineStr">
        <is>
          <t>纸浆</t>
        </is>
      </c>
      <c r="C6302" t="inlineStr">
        <is>
          <t>空</t>
        </is>
      </c>
      <c r="D6302" t="n">
        <v>3</v>
      </c>
      <c r="E6302" t="n">
        <v>7</v>
      </c>
      <c r="F6302" t="inlineStr">
        <is>
          <t>续持</t>
        </is>
      </c>
      <c r="G6302" t="n">
        <v>14</v>
      </c>
      <c r="H6302" t="n">
        <v>4632</v>
      </c>
      <c r="I6302" t="n">
        <v>4834.14</v>
      </c>
      <c r="J6302" t="n">
        <v>3</v>
      </c>
      <c r="K6302" t="inlineStr">
        <is>
          <t>续持原仓（2026-10-21开）</t>
        </is>
      </c>
    </row>
    <row r="6303">
      <c r="A6303" t="inlineStr">
        <is>
          <t>2026-10-22</t>
        </is>
      </c>
      <c r="B6303" t="inlineStr">
        <is>
          <t>碳酸锂</t>
        </is>
      </c>
      <c r="C6303" t="inlineStr">
        <is>
          <t>空</t>
        </is>
      </c>
      <c r="D6303" t="n">
        <v>3</v>
      </c>
      <c r="E6303" t="n">
        <v>7</v>
      </c>
      <c r="F6303" t="inlineStr">
        <is>
          <t>不做</t>
        </is>
      </c>
      <c r="H6303" t="n">
        <v>94180</v>
      </c>
      <c r="J6303" t="n">
        <v>1</v>
      </c>
      <c r="K6303" t="inlineStr">
        <is>
          <t>1手风险18146元超过预算10000元</t>
        </is>
      </c>
    </row>
    <row r="6304">
      <c r="A6304" t="inlineStr">
        <is>
          <t>2026-10-22</t>
        </is>
      </c>
      <c r="B6304" t="inlineStr">
        <is>
          <t>燃料油</t>
        </is>
      </c>
      <c r="C6304" t="inlineStr">
        <is>
          <t>多</t>
        </is>
      </c>
      <c r="D6304" t="n">
        <v>3</v>
      </c>
      <c r="E6304" t="n">
        <v>7</v>
      </c>
      <c r="F6304" t="inlineStr">
        <is>
          <t>开仓</t>
        </is>
      </c>
      <c r="G6304" t="n">
        <v>1</v>
      </c>
      <c r="H6304" t="n">
        <v>4911</v>
      </c>
      <c r="I6304" t="n">
        <v>4134</v>
      </c>
      <c r="J6304" t="n">
        <v>1</v>
      </c>
      <c r="K6304" t="inlineStr">
        <is>
          <t>组合风险已近10%，预算缩小</t>
        </is>
      </c>
    </row>
    <row r="6305">
      <c r="A6305" t="inlineStr">
        <is>
          <t>2026-10-22</t>
        </is>
      </c>
      <c r="B6305" t="inlineStr">
        <is>
          <t>沪银</t>
        </is>
      </c>
      <c r="C6305" t="inlineStr">
        <is>
          <t>空</t>
        </is>
      </c>
      <c r="D6305" t="n">
        <v>3</v>
      </c>
      <c r="E6305" t="n">
        <v>6</v>
      </c>
      <c r="F6305" t="inlineStr">
        <is>
          <t>续持</t>
        </is>
      </c>
      <c r="G6305" t="n">
        <v>1</v>
      </c>
      <c r="H6305" t="n">
        <v>13608</v>
      </c>
      <c r="I6305" t="n">
        <v>14827</v>
      </c>
      <c r="J6305" t="n">
        <v>3</v>
      </c>
      <c r="K6305" t="inlineStr">
        <is>
          <t>续持原仓（2026-10-14开）</t>
        </is>
      </c>
    </row>
    <row r="6306">
      <c r="A6306" t="inlineStr">
        <is>
          <t>2026-10-22</t>
        </is>
      </c>
      <c r="B6306" t="inlineStr">
        <is>
          <t>铁矿石</t>
        </is>
      </c>
      <c r="C6306" t="inlineStr">
        <is>
          <t>空</t>
        </is>
      </c>
      <c r="D6306" t="n">
        <v>3</v>
      </c>
      <c r="E6306" t="n">
        <v>6</v>
      </c>
      <c r="F6306" t="inlineStr">
        <is>
          <t>不做</t>
        </is>
      </c>
      <c r="H6306" t="n">
        <v>669</v>
      </c>
      <c r="J6306" t="n">
        <v>0</v>
      </c>
      <c r="K6306" t="inlineStr">
        <is>
          <t>组合风险已近10%，预算缩小</t>
        </is>
      </c>
    </row>
    <row r="6307">
      <c r="A6307" t="inlineStr">
        <is>
          <t>2026-10-22</t>
        </is>
      </c>
      <c r="B6307" t="inlineStr">
        <is>
          <t>鸡蛋</t>
        </is>
      </c>
      <c r="C6307" t="inlineStr">
        <is>
          <t>空</t>
        </is>
      </c>
      <c r="D6307" t="n">
        <v>2</v>
      </c>
      <c r="E6307" t="n">
        <v>5</v>
      </c>
      <c r="F6307" t="inlineStr">
        <is>
          <t>影子仓</t>
        </is>
      </c>
      <c r="G6307" t="n">
        <v>3</v>
      </c>
      <c r="H6307" t="n">
        <v>3247</v>
      </c>
      <c r="I6307" t="n">
        <v>3563.5</v>
      </c>
      <c r="J6307" t="n">
        <v>1</v>
      </c>
      <c r="K6307" t="inlineStr">
        <is>
          <t>凯利≤0，开1%影子仓（只统计，不计入组合）</t>
        </is>
      </c>
    </row>
    <row r="6308">
      <c r="A6308" t="inlineStr">
        <is>
          <t>2026-10-22</t>
        </is>
      </c>
      <c r="B6308" t="inlineStr">
        <is>
          <t>豆一</t>
        </is>
      </c>
      <c r="C6308" t="inlineStr">
        <is>
          <t>多</t>
        </is>
      </c>
      <c r="D6308" t="n">
        <v>2</v>
      </c>
      <c r="E6308" t="n">
        <v>4</v>
      </c>
      <c r="F6308" t="inlineStr">
        <is>
          <t>影子仓</t>
        </is>
      </c>
      <c r="G6308" t="n">
        <v>3</v>
      </c>
      <c r="H6308" t="n">
        <v>5456</v>
      </c>
      <c r="I6308" t="n">
        <v>5141.21</v>
      </c>
      <c r="J6308" t="n">
        <v>1</v>
      </c>
      <c r="K6308" t="inlineStr">
        <is>
          <t>凯利≤0，开1%影子仓（只统计，不计入组合）</t>
        </is>
      </c>
    </row>
    <row r="6309">
      <c r="A6309" t="inlineStr">
        <is>
          <t>2026-10-23</t>
        </is>
      </c>
      <c r="B6309" t="inlineStr">
        <is>
          <t>沪银</t>
        </is>
      </c>
      <c r="C6309" t="inlineStr">
        <is>
          <t>空</t>
        </is>
      </c>
      <c r="D6309" t="n">
        <v>3</v>
      </c>
      <c r="E6309" t="n">
        <v>7</v>
      </c>
      <c r="F6309" t="inlineStr">
        <is>
          <t>续持</t>
        </is>
      </c>
      <c r="G6309" t="n">
        <v>1</v>
      </c>
      <c r="H6309" t="n">
        <v>13108</v>
      </c>
      <c r="I6309" t="n">
        <v>14281.57</v>
      </c>
      <c r="J6309" t="n">
        <v>3</v>
      </c>
      <c r="K6309" t="inlineStr">
        <is>
          <t>续持原仓（2026-10-14开）</t>
        </is>
      </c>
    </row>
    <row r="6310">
      <c r="A6310" t="inlineStr">
        <is>
          <t>2026-10-23</t>
        </is>
      </c>
      <c r="B6310" t="inlineStr">
        <is>
          <t>燃料油</t>
        </is>
      </c>
      <c r="C6310" t="inlineStr">
        <is>
          <t>多</t>
        </is>
      </c>
      <c r="D6310" t="n">
        <v>3</v>
      </c>
      <c r="E6310" t="n">
        <v>7</v>
      </c>
      <c r="F6310" t="inlineStr">
        <is>
          <t>续持</t>
        </is>
      </c>
      <c r="G6310" t="n">
        <v>1</v>
      </c>
      <c r="H6310" t="n">
        <v>5139</v>
      </c>
      <c r="I6310" t="n">
        <v>4363.29</v>
      </c>
      <c r="J6310" t="n">
        <v>1</v>
      </c>
      <c r="K6310" t="inlineStr">
        <is>
          <t>续持原仓（2026-10-22开）</t>
        </is>
      </c>
    </row>
    <row r="6311">
      <c r="A6311" t="inlineStr">
        <is>
          <t>2026-10-23</t>
        </is>
      </c>
      <c r="B6311" t="inlineStr">
        <is>
          <t>豆一</t>
        </is>
      </c>
      <c r="C6311" t="inlineStr">
        <is>
          <t>多</t>
        </is>
      </c>
      <c r="D6311" t="n">
        <v>3</v>
      </c>
      <c r="E6311" t="n">
        <v>7</v>
      </c>
      <c r="F6311" t="inlineStr">
        <is>
          <t>续持</t>
        </is>
      </c>
      <c r="G6311" t="n">
        <v>3</v>
      </c>
      <c r="H6311" t="n">
        <v>5482</v>
      </c>
      <c r="I6311" t="n">
        <v>5231</v>
      </c>
      <c r="J6311" t="n">
        <v>1</v>
      </c>
      <c r="K6311" t="inlineStr">
        <is>
          <t>续持原仓（2026-10-22开）</t>
        </is>
      </c>
    </row>
    <row r="6312">
      <c r="A6312" t="inlineStr">
        <is>
          <t>2026-10-23</t>
        </is>
      </c>
      <c r="B6312" t="inlineStr">
        <is>
          <t>甲醇</t>
        </is>
      </c>
      <c r="C6312" t="inlineStr">
        <is>
          <t>多</t>
        </is>
      </c>
      <c r="D6312" t="n">
        <v>3</v>
      </c>
      <c r="E6312" t="n">
        <v>6</v>
      </c>
      <c r="F6312" t="inlineStr">
        <is>
          <t>不做</t>
        </is>
      </c>
      <c r="H6312" t="n">
        <v>3219</v>
      </c>
      <c r="J6312" t="n">
        <v>0</v>
      </c>
      <c r="K6312" t="inlineStr">
        <is>
          <t>组合风险已近10%，预算缩小</t>
        </is>
      </c>
    </row>
    <row r="6313">
      <c r="A6313" t="inlineStr">
        <is>
          <t>2026-10-23</t>
        </is>
      </c>
      <c r="B6313" t="inlineStr">
        <is>
          <t>尿素</t>
        </is>
      </c>
      <c r="C6313" t="inlineStr">
        <is>
          <t>空</t>
        </is>
      </c>
      <c r="D6313" t="n">
        <v>3</v>
      </c>
      <c r="E6313" t="n">
        <v>6</v>
      </c>
      <c r="F6313" t="inlineStr">
        <is>
          <t>不做</t>
        </is>
      </c>
      <c r="H6313" t="n">
        <v>1679</v>
      </c>
      <c r="J6313" t="n">
        <v>0</v>
      </c>
      <c r="K6313" t="inlineStr">
        <is>
          <t>组合风险已近10%，预算缩小</t>
        </is>
      </c>
    </row>
    <row r="6314">
      <c r="A6314" t="inlineStr">
        <is>
          <t>2026-10-23</t>
        </is>
      </c>
      <c r="B6314" t="inlineStr">
        <is>
          <t>纸浆</t>
        </is>
      </c>
      <c r="C6314" t="inlineStr">
        <is>
          <t>空</t>
        </is>
      </c>
      <c r="D6314" t="n">
        <v>2</v>
      </c>
      <c r="E6314" t="n">
        <v>5</v>
      </c>
      <c r="F6314" t="inlineStr">
        <is>
          <t>续持</t>
        </is>
      </c>
      <c r="G6314" t="n">
        <v>14</v>
      </c>
      <c r="H6314" t="n">
        <v>4648</v>
      </c>
      <c r="I6314" t="n">
        <v>4796</v>
      </c>
      <c r="J6314" t="n">
        <v>3</v>
      </c>
      <c r="K6314" t="inlineStr">
        <is>
          <t>续持原仓（2026-10-21开）</t>
        </is>
      </c>
    </row>
    <row r="6315">
      <c r="A6315" t="inlineStr">
        <is>
          <t>2026-10-23</t>
        </is>
      </c>
      <c r="B6315" t="inlineStr">
        <is>
          <t>沪镍</t>
        </is>
      </c>
      <c r="C6315" t="inlineStr">
        <is>
          <t>空</t>
        </is>
      </c>
      <c r="D6315" t="n">
        <v>2</v>
      </c>
      <c r="E6315" t="n">
        <v>5</v>
      </c>
      <c r="F6315" t="inlineStr">
        <is>
          <t>观望</t>
        </is>
      </c>
      <c r="G6315" t="n">
        <v>1</v>
      </c>
      <c r="H6315" t="n">
        <v>120580</v>
      </c>
      <c r="I6315" t="n">
        <v>127360</v>
      </c>
      <c r="J6315" t="n">
        <v>1</v>
      </c>
      <c r="K6315" t="inlineStr">
        <is>
          <t>逆5日线（收盘在5日线上，不追空）</t>
        </is>
      </c>
    </row>
    <row r="6316">
      <c r="A6316" t="inlineStr">
        <is>
          <t>2026-10-23</t>
        </is>
      </c>
      <c r="B6316" t="inlineStr">
        <is>
          <t>碳酸锂</t>
        </is>
      </c>
      <c r="C6316" t="inlineStr">
        <is>
          <t>空</t>
        </is>
      </c>
      <c r="D6316" t="n">
        <v>2</v>
      </c>
      <c r="E6316" t="n">
        <v>4</v>
      </c>
      <c r="F6316" t="inlineStr">
        <is>
          <t>不做</t>
        </is>
      </c>
      <c r="H6316" t="n">
        <v>97280</v>
      </c>
      <c r="J6316" t="n">
        <v>1</v>
      </c>
      <c r="K6316" t="inlineStr">
        <is>
          <t>1手风险18356元超过预算10000元</t>
        </is>
      </c>
    </row>
    <row r="6317">
      <c r="A6317" t="inlineStr">
        <is>
          <t>2026-10-23</t>
        </is>
      </c>
      <c r="B6317" t="inlineStr">
        <is>
          <t>玉米</t>
        </is>
      </c>
      <c r="C6317" t="inlineStr">
        <is>
          <t>多</t>
        </is>
      </c>
      <c r="D6317" t="n">
        <v>2</v>
      </c>
      <c r="E6317" t="n">
        <v>4</v>
      </c>
      <c r="F6317" t="inlineStr">
        <is>
          <t>影子仓</t>
        </is>
      </c>
      <c r="G6317" t="n">
        <v>15</v>
      </c>
      <c r="H6317" t="n">
        <v>2212</v>
      </c>
      <c r="I6317" t="n">
        <v>2146</v>
      </c>
      <c r="J6317" t="n">
        <v>1</v>
      </c>
      <c r="K6317" t="inlineStr">
        <is>
          <t>凯利≤0，开1%影子仓（只统计，不计入组合）</t>
        </is>
      </c>
    </row>
    <row r="6318">
      <c r="A6318" t="inlineStr">
        <is>
          <t>2026-10-26</t>
        </is>
      </c>
      <c r="B6318" t="inlineStr">
        <is>
          <t>纸浆</t>
        </is>
      </c>
      <c r="C6318" t="inlineStr">
        <is>
          <t>空</t>
        </is>
      </c>
      <c r="D6318" t="n">
        <v>3</v>
      </c>
      <c r="E6318" t="n">
        <v>7</v>
      </c>
      <c r="F6318" t="inlineStr">
        <is>
          <t>续持</t>
        </is>
      </c>
      <c r="G6318" t="n">
        <v>14</v>
      </c>
      <c r="H6318" t="n">
        <v>4618</v>
      </c>
      <c r="I6318" t="n">
        <v>4784.57</v>
      </c>
      <c r="J6318" t="n">
        <v>3</v>
      </c>
      <c r="K6318" t="inlineStr">
        <is>
          <t>续持原仓（2026-10-21开）</t>
        </is>
      </c>
    </row>
    <row r="6319">
      <c r="A6319" t="inlineStr">
        <is>
          <t>2026-10-26</t>
        </is>
      </c>
      <c r="B6319" t="inlineStr">
        <is>
          <t>碳酸锂</t>
        </is>
      </c>
      <c r="C6319" t="inlineStr">
        <is>
          <t>空</t>
        </is>
      </c>
      <c r="D6319" t="n">
        <v>3</v>
      </c>
      <c r="E6319" t="n">
        <v>7</v>
      </c>
      <c r="F6319" t="inlineStr">
        <is>
          <t>开仓</t>
        </is>
      </c>
      <c r="G6319" t="n">
        <v>1</v>
      </c>
      <c r="H6319" t="n">
        <v>95280</v>
      </c>
      <c r="I6319" t="n">
        <v>113447.14</v>
      </c>
      <c r="J6319" t="n">
        <v>3</v>
      </c>
      <c r="K6319" t="inlineStr">
        <is>
          <t>¼凯利超上限，取3%</t>
        </is>
      </c>
    </row>
    <row r="6320">
      <c r="A6320" t="inlineStr">
        <is>
          <t>2026-10-26</t>
        </is>
      </c>
      <c r="B6320" t="inlineStr">
        <is>
          <t>螺纹钢</t>
        </is>
      </c>
      <c r="C6320" t="inlineStr">
        <is>
          <t>空</t>
        </is>
      </c>
      <c r="D6320" t="n">
        <v>3</v>
      </c>
      <c r="E6320" t="n">
        <v>6</v>
      </c>
      <c r="F6320" t="inlineStr">
        <is>
          <t>开仓</t>
        </is>
      </c>
      <c r="G6320" t="n">
        <v>12</v>
      </c>
      <c r="H6320" t="n">
        <v>3037</v>
      </c>
      <c r="I6320" t="n">
        <v>3117.36</v>
      </c>
      <c r="J6320" t="n">
        <v>1</v>
      </c>
      <c r="K6320" t="inlineStr">
        <is>
          <t>组合风险已近10%，预算缩小</t>
        </is>
      </c>
    </row>
    <row r="6321">
      <c r="A6321" t="inlineStr">
        <is>
          <t>2026-10-26</t>
        </is>
      </c>
      <c r="B6321" t="inlineStr">
        <is>
          <t>铁矿石</t>
        </is>
      </c>
      <c r="C6321" t="inlineStr">
        <is>
          <t>空</t>
        </is>
      </c>
      <c r="D6321" t="n">
        <v>3</v>
      </c>
      <c r="E6321" t="n">
        <v>6</v>
      </c>
      <c r="F6321" t="inlineStr">
        <is>
          <t>不做</t>
        </is>
      </c>
      <c r="H6321" t="n">
        <v>671.5</v>
      </c>
      <c r="J6321" t="n">
        <v>0</v>
      </c>
      <c r="K6321" t="inlineStr">
        <is>
          <t>组合风险已近10%，预算缩小</t>
        </is>
      </c>
    </row>
    <row r="6322">
      <c r="A6322" t="inlineStr">
        <is>
          <t>2026-10-26</t>
        </is>
      </c>
      <c r="B6322" t="inlineStr">
        <is>
          <t>热卷</t>
        </is>
      </c>
      <c r="C6322" t="inlineStr">
        <is>
          <t>空</t>
        </is>
      </c>
      <c r="D6322" t="n">
        <v>3</v>
      </c>
      <c r="E6322" t="n">
        <v>6</v>
      </c>
      <c r="F6322" t="inlineStr">
        <is>
          <t>不做</t>
        </is>
      </c>
      <c r="H6322" t="n">
        <v>3193</v>
      </c>
      <c r="J6322" t="n">
        <v>0</v>
      </c>
      <c r="K6322" t="inlineStr">
        <is>
          <t>组合风险已近10%，预算缩小</t>
        </is>
      </c>
    </row>
    <row r="6323">
      <c r="A6323" t="inlineStr">
        <is>
          <t>2026-10-26</t>
        </is>
      </c>
      <c r="B6323" t="inlineStr">
        <is>
          <t>玉米</t>
        </is>
      </c>
      <c r="C6323" t="inlineStr">
        <is>
          <t>多</t>
        </is>
      </c>
      <c r="D6323" t="n">
        <v>2</v>
      </c>
      <c r="E6323" t="n">
        <v>5</v>
      </c>
      <c r="F6323" t="inlineStr">
        <is>
          <t>续持</t>
        </is>
      </c>
      <c r="G6323" t="n">
        <v>15</v>
      </c>
      <c r="H6323" t="n">
        <v>2214</v>
      </c>
      <c r="I6323" t="n">
        <v>2151.14</v>
      </c>
      <c r="J6323" t="n">
        <v>1</v>
      </c>
      <c r="K6323" t="inlineStr">
        <is>
          <t>续持原仓（2026-10-23开）</t>
        </is>
      </c>
    </row>
    <row r="6324">
      <c r="A6324" t="inlineStr">
        <is>
          <t>2026-10-26</t>
        </is>
      </c>
      <c r="B6324" t="inlineStr">
        <is>
          <t>PVC</t>
        </is>
      </c>
      <c r="C6324" t="inlineStr">
        <is>
          <t>多</t>
        </is>
      </c>
      <c r="D6324" t="n">
        <v>2</v>
      </c>
      <c r="E6324" t="n">
        <v>5</v>
      </c>
      <c r="F6324" t="inlineStr">
        <is>
          <t>影子仓</t>
        </is>
      </c>
      <c r="G6324" t="n">
        <v>5</v>
      </c>
      <c r="H6324" t="n">
        <v>5134</v>
      </c>
      <c r="I6324" t="n">
        <v>4746.57</v>
      </c>
      <c r="J6324" t="n">
        <v>1</v>
      </c>
      <c r="K6324" t="inlineStr">
        <is>
          <t>凯利≤0，开1%影子仓（只统计，不计入组合）</t>
        </is>
      </c>
    </row>
    <row r="6325">
      <c r="A6325" t="inlineStr">
        <is>
          <t>2026-10-27</t>
        </is>
      </c>
      <c r="B6325" t="inlineStr">
        <is>
          <t>纸浆</t>
        </is>
      </c>
      <c r="C6325" t="inlineStr">
        <is>
          <t>空</t>
        </is>
      </c>
      <c r="D6325" t="n">
        <v>3</v>
      </c>
      <c r="E6325" t="n">
        <v>7</v>
      </c>
      <c r="F6325" t="inlineStr">
        <is>
          <t>续持</t>
        </is>
      </c>
      <c r="G6325" t="n">
        <v>14</v>
      </c>
      <c r="H6325" t="n">
        <v>4532</v>
      </c>
      <c r="I6325" t="n">
        <v>4737.86</v>
      </c>
      <c r="J6325" t="n">
        <v>3</v>
      </c>
      <c r="K6325" t="inlineStr">
        <is>
          <t>续持原仓（2026-10-21开）</t>
        </is>
      </c>
    </row>
    <row r="6326">
      <c r="A6326" t="inlineStr">
        <is>
          <t>2026-10-27</t>
        </is>
      </c>
      <c r="B6326" t="inlineStr">
        <is>
          <t>热卷</t>
        </is>
      </c>
      <c r="C6326" t="inlineStr">
        <is>
          <t>空</t>
        </is>
      </c>
      <c r="D6326" t="n">
        <v>3</v>
      </c>
      <c r="E6326" t="n">
        <v>6</v>
      </c>
      <c r="F6326" t="inlineStr">
        <is>
          <t>开仓</t>
        </is>
      </c>
      <c r="G6326" t="n">
        <v>11</v>
      </c>
      <c r="H6326" t="n">
        <v>3177</v>
      </c>
      <c r="I6326" t="n">
        <v>3265.5</v>
      </c>
      <c r="J6326" t="n">
        <v>1</v>
      </c>
      <c r="K6326" t="inlineStr">
        <is>
          <t>组合风险已近10%，预算缩小</t>
        </is>
      </c>
    </row>
    <row r="6327">
      <c r="A6327" t="inlineStr">
        <is>
          <t>2026-10-27</t>
        </is>
      </c>
      <c r="B6327" t="inlineStr">
        <is>
          <t>塑料</t>
        </is>
      </c>
      <c r="C6327" t="inlineStr">
        <is>
          <t>多</t>
        </is>
      </c>
      <c r="D6327" t="n">
        <v>3</v>
      </c>
      <c r="E6327" t="n">
        <v>6</v>
      </c>
      <c r="F6327" t="inlineStr">
        <is>
          <t>不做</t>
        </is>
      </c>
      <c r="H6327" t="n">
        <v>9256</v>
      </c>
      <c r="J6327" t="n">
        <v>0</v>
      </c>
      <c r="K6327" t="inlineStr">
        <is>
          <t>组合风险已近10%，预算缩小</t>
        </is>
      </c>
    </row>
    <row r="6328">
      <c r="A6328" t="inlineStr">
        <is>
          <t>2026-10-27</t>
        </is>
      </c>
      <c r="B6328" t="inlineStr">
        <is>
          <t>沪镍</t>
        </is>
      </c>
      <c r="C6328" t="inlineStr">
        <is>
          <t>空</t>
        </is>
      </c>
      <c r="D6328" t="n">
        <v>2</v>
      </c>
      <c r="E6328" t="n">
        <v>5</v>
      </c>
      <c r="F6328" t="inlineStr">
        <is>
          <t>影子仓</t>
        </is>
      </c>
      <c r="G6328" t="n">
        <v>1</v>
      </c>
      <c r="H6328" t="n">
        <v>117970</v>
      </c>
      <c r="I6328" t="n">
        <v>124947.14</v>
      </c>
      <c r="J6328" t="n">
        <v>1</v>
      </c>
      <c r="K6328" t="inlineStr">
        <is>
          <t>凯利≤0，开1%影子仓（只统计，不计入组合）</t>
        </is>
      </c>
    </row>
    <row r="6329">
      <c r="A6329" t="inlineStr">
        <is>
          <t>2026-10-27</t>
        </is>
      </c>
      <c r="B6329" t="inlineStr">
        <is>
          <t>氧化铝</t>
        </is>
      </c>
      <c r="C6329" t="inlineStr">
        <is>
          <t>空</t>
        </is>
      </c>
      <c r="D6329" t="n">
        <v>2</v>
      </c>
      <c r="E6329" t="n">
        <v>5</v>
      </c>
      <c r="F6329" t="inlineStr">
        <is>
          <t>影子仓</t>
        </is>
      </c>
      <c r="G6329" t="n">
        <v>3</v>
      </c>
      <c r="H6329" t="n">
        <v>2560</v>
      </c>
      <c r="I6329" t="n">
        <v>2689</v>
      </c>
      <c r="J6329" t="n">
        <v>1</v>
      </c>
      <c r="K6329" t="inlineStr">
        <is>
          <t>凯利≤0，开1%影子仓（只统计，不计入组合）</t>
        </is>
      </c>
    </row>
    <row r="6330">
      <c r="A6330" t="inlineStr">
        <is>
          <t>2026-10-27</t>
        </is>
      </c>
      <c r="B6330" t="inlineStr">
        <is>
          <t>碳酸锂</t>
        </is>
      </c>
      <c r="C6330" t="inlineStr">
        <is>
          <t>空</t>
        </is>
      </c>
      <c r="D6330" t="n">
        <v>2</v>
      </c>
      <c r="E6330" t="n">
        <v>5</v>
      </c>
      <c r="F6330" t="inlineStr">
        <is>
          <t>观望</t>
        </is>
      </c>
      <c r="H6330" t="n">
        <v>98500</v>
      </c>
      <c r="J6330" t="n">
        <v>1</v>
      </c>
      <c r="K6330" t="inlineStr">
        <is>
          <t>逆5日线（收盘在5日线上，不追空）</t>
        </is>
      </c>
    </row>
    <row r="6331">
      <c r="A6331" t="inlineStr">
        <is>
          <t>2026-10-27</t>
        </is>
      </c>
      <c r="B6331" t="inlineStr">
        <is>
          <t>玉米</t>
        </is>
      </c>
      <c r="C6331" t="inlineStr">
        <is>
          <t>多</t>
        </is>
      </c>
      <c r="D6331" t="n">
        <v>2</v>
      </c>
      <c r="E6331" t="n">
        <v>5</v>
      </c>
      <c r="F6331" t="inlineStr">
        <is>
          <t>续持</t>
        </is>
      </c>
      <c r="G6331" t="n">
        <v>15</v>
      </c>
      <c r="H6331" t="n">
        <v>2217</v>
      </c>
      <c r="I6331" t="n">
        <v>2157</v>
      </c>
      <c r="J6331" t="n">
        <v>1</v>
      </c>
      <c r="K6331" t="inlineStr">
        <is>
          <t>续持原仓（2026-10-23开）</t>
        </is>
      </c>
    </row>
    <row r="6332">
      <c r="A6332" t="inlineStr">
        <is>
          <t>2026-10-27</t>
        </is>
      </c>
      <c r="B6332" t="inlineStr">
        <is>
          <t>PVC</t>
        </is>
      </c>
      <c r="C6332" t="inlineStr">
        <is>
          <t>多</t>
        </is>
      </c>
      <c r="D6332" t="n">
        <v>2</v>
      </c>
      <c r="E6332" t="n">
        <v>4</v>
      </c>
      <c r="F6332" t="inlineStr">
        <is>
          <t>续持</t>
        </is>
      </c>
      <c r="G6332" t="n">
        <v>5</v>
      </c>
      <c r="H6332" t="n">
        <v>5132</v>
      </c>
      <c r="I6332" t="n">
        <v>4787.71</v>
      </c>
      <c r="J6332" t="n">
        <v>1</v>
      </c>
      <c r="K6332" t="inlineStr">
        <is>
          <t>续持原仓（2026-10-26开）</t>
        </is>
      </c>
    </row>
    <row r="6333">
      <c r="A6333" t="inlineStr">
        <is>
          <t>2026-10-27</t>
        </is>
      </c>
      <c r="B6333" t="inlineStr">
        <is>
          <t>沪铝</t>
        </is>
      </c>
      <c r="C6333" t="inlineStr">
        <is>
          <t>多</t>
        </is>
      </c>
      <c r="D6333" t="n">
        <v>2</v>
      </c>
      <c r="E6333" t="n">
        <v>4</v>
      </c>
      <c r="F6333" t="inlineStr">
        <is>
          <t>影子仓</t>
        </is>
      </c>
      <c r="G6333" t="n">
        <v>2</v>
      </c>
      <c r="H6333" t="n">
        <v>23405</v>
      </c>
      <c r="I6333" t="n">
        <v>22436.43</v>
      </c>
      <c r="J6333" t="n">
        <v>1</v>
      </c>
      <c r="K6333" t="inlineStr">
        <is>
          <t>凯利≤0，开1%影子仓（只统计，不计入组合）</t>
        </is>
      </c>
    </row>
    <row r="6334">
      <c r="A6334" t="inlineStr">
        <is>
          <t>2026-10-28</t>
        </is>
      </c>
      <c r="B6334" t="inlineStr">
        <is>
          <t>烧碱</t>
        </is>
      </c>
      <c r="C6334" t="inlineStr">
        <is>
          <t>空</t>
        </is>
      </c>
      <c r="D6334" t="n">
        <v>3</v>
      </c>
      <c r="E6334" t="n">
        <v>7</v>
      </c>
      <c r="F6334" t="inlineStr">
        <is>
          <t>不做</t>
        </is>
      </c>
      <c r="H6334" t="n">
        <v>1448</v>
      </c>
      <c r="J6334" t="n">
        <v>0</v>
      </c>
      <c r="K6334" t="inlineStr">
        <is>
          <t>组合风险已近10%，预算缩小</t>
        </is>
      </c>
    </row>
    <row r="6335">
      <c r="A6335" t="inlineStr">
        <is>
          <t>2026-10-28</t>
        </is>
      </c>
      <c r="B6335" t="inlineStr">
        <is>
          <t>甲醇</t>
        </is>
      </c>
      <c r="C6335" t="inlineStr">
        <is>
          <t>多</t>
        </is>
      </c>
      <c r="D6335" t="n">
        <v>3</v>
      </c>
      <c r="E6335" t="n">
        <v>7</v>
      </c>
      <c r="F6335" t="inlineStr">
        <is>
          <t>不做</t>
        </is>
      </c>
      <c r="H6335" t="n">
        <v>3464</v>
      </c>
      <c r="J6335" t="n">
        <v>0</v>
      </c>
      <c r="K6335" t="inlineStr">
        <is>
          <t>组合风险已近10%，预算缩小</t>
        </is>
      </c>
    </row>
    <row r="6336">
      <c r="A6336" t="inlineStr">
        <is>
          <t>2026-10-28</t>
        </is>
      </c>
      <c r="B6336" t="inlineStr">
        <is>
          <t>纸浆</t>
        </is>
      </c>
      <c r="C6336" t="inlineStr">
        <is>
          <t>空</t>
        </is>
      </c>
      <c r="D6336" t="n">
        <v>3</v>
      </c>
      <c r="E6336" t="n">
        <v>6</v>
      </c>
      <c r="F6336" t="inlineStr">
        <is>
          <t>续持</t>
        </is>
      </c>
      <c r="G6336" t="n">
        <v>14</v>
      </c>
      <c r="H6336" t="n">
        <v>4522</v>
      </c>
      <c r="I6336" t="n">
        <v>4715.43</v>
      </c>
      <c r="J6336" t="n">
        <v>3</v>
      </c>
      <c r="K6336" t="inlineStr">
        <is>
          <t>续持原仓（2026-10-21开）</t>
        </is>
      </c>
    </row>
    <row r="6337">
      <c r="A6337" t="inlineStr">
        <is>
          <t>2026-10-28</t>
        </is>
      </c>
      <c r="B6337" t="inlineStr">
        <is>
          <t>碳酸锂</t>
        </is>
      </c>
      <c r="C6337" t="inlineStr">
        <is>
          <t>空</t>
        </is>
      </c>
      <c r="D6337" t="n">
        <v>3</v>
      </c>
      <c r="E6337" t="n">
        <v>6</v>
      </c>
      <c r="F6337" t="inlineStr">
        <is>
          <t>续持</t>
        </is>
      </c>
      <c r="G6337" t="n">
        <v>1</v>
      </c>
      <c r="H6337" t="n">
        <v>93300</v>
      </c>
      <c r="I6337" t="n">
        <v>110958.57</v>
      </c>
      <c r="J6337" t="n">
        <v>3</v>
      </c>
      <c r="K6337" t="inlineStr">
        <is>
          <t>续持原仓（2026-10-26开）</t>
        </is>
      </c>
    </row>
    <row r="6338">
      <c r="A6338" t="inlineStr">
        <is>
          <t>2026-10-28</t>
        </is>
      </c>
      <c r="B6338" t="inlineStr">
        <is>
          <t>塑料</t>
        </is>
      </c>
      <c r="C6338" t="inlineStr">
        <is>
          <t>多</t>
        </is>
      </c>
      <c r="D6338" t="n">
        <v>3</v>
      </c>
      <c r="E6338" t="n">
        <v>6</v>
      </c>
      <c r="F6338" t="inlineStr">
        <is>
          <t>不做</t>
        </is>
      </c>
      <c r="H6338" t="n">
        <v>9353</v>
      </c>
      <c r="J6338" t="n">
        <v>0</v>
      </c>
      <c r="K6338" t="inlineStr">
        <is>
          <t>组合风险已近10%，预算缩小</t>
        </is>
      </c>
    </row>
    <row r="6339">
      <c r="A6339" t="inlineStr">
        <is>
          <t>2026-10-28</t>
        </is>
      </c>
      <c r="B6339" t="inlineStr">
        <is>
          <t>热卷</t>
        </is>
      </c>
      <c r="C6339" t="inlineStr">
        <is>
          <t>空</t>
        </is>
      </c>
      <c r="D6339" t="n">
        <v>2</v>
      </c>
      <c r="E6339" t="n">
        <v>5</v>
      </c>
      <c r="F6339" t="inlineStr">
        <is>
          <t>续持</t>
        </is>
      </c>
      <c r="G6339" t="n">
        <v>11</v>
      </c>
      <c r="H6339" t="n">
        <v>3177</v>
      </c>
      <c r="I6339" t="n">
        <v>3247.71</v>
      </c>
      <c r="J6339" t="n">
        <v>1</v>
      </c>
      <c r="K6339" t="inlineStr">
        <is>
          <t>续持原仓（2026-10-27开）</t>
        </is>
      </c>
    </row>
    <row r="6340">
      <c r="A6340" t="inlineStr">
        <is>
          <t>2026-10-28</t>
        </is>
      </c>
      <c r="B6340" t="inlineStr">
        <is>
          <t>沪镍</t>
        </is>
      </c>
      <c r="C6340" t="inlineStr">
        <is>
          <t>空</t>
        </is>
      </c>
      <c r="D6340" t="n">
        <v>2</v>
      </c>
      <c r="E6340" t="n">
        <v>5</v>
      </c>
      <c r="F6340" t="inlineStr">
        <is>
          <t>续持</t>
        </is>
      </c>
      <c r="G6340" t="n">
        <v>1</v>
      </c>
      <c r="H6340" t="n">
        <v>118330</v>
      </c>
      <c r="I6340" t="n">
        <v>123498.57</v>
      </c>
      <c r="J6340" t="n">
        <v>1</v>
      </c>
      <c r="K6340" t="inlineStr">
        <is>
          <t>续持原仓（2026-10-27开）</t>
        </is>
      </c>
    </row>
    <row r="6341">
      <c r="A6341" t="inlineStr">
        <is>
          <t>2026-10-28</t>
        </is>
      </c>
      <c r="B6341" t="inlineStr">
        <is>
          <t>沥青</t>
        </is>
      </c>
      <c r="C6341" t="inlineStr">
        <is>
          <t>多</t>
        </is>
      </c>
      <c r="D6341" t="n">
        <v>2</v>
      </c>
      <c r="E6341" t="n">
        <v>5</v>
      </c>
      <c r="F6341" t="inlineStr">
        <is>
          <t>影子仓</t>
        </is>
      </c>
      <c r="G6341" t="n">
        <v>1</v>
      </c>
      <c r="H6341" t="n">
        <v>5054</v>
      </c>
      <c r="I6341" t="n">
        <v>4496.21</v>
      </c>
      <c r="J6341" t="n">
        <v>1</v>
      </c>
      <c r="K6341" t="inlineStr">
        <is>
          <t>凯利≤0，开1%影子仓（只统计，不计入组合）</t>
        </is>
      </c>
    </row>
    <row r="6342">
      <c r="A6342" t="inlineStr">
        <is>
          <t>2026-10-29</t>
        </is>
      </c>
      <c r="B6342" t="inlineStr">
        <is>
          <t>沪银</t>
        </is>
      </c>
      <c r="C6342" t="inlineStr">
        <is>
          <t>空</t>
        </is>
      </c>
      <c r="D6342" t="n">
        <v>3</v>
      </c>
      <c r="E6342" t="n">
        <v>7</v>
      </c>
      <c r="F6342" t="inlineStr">
        <is>
          <t>不做</t>
        </is>
      </c>
      <c r="H6342" t="n">
        <v>12682</v>
      </c>
      <c r="J6342" t="n">
        <v>0</v>
      </c>
      <c r="K6342" t="inlineStr">
        <is>
          <t>组合风险已近10%，预算缩小</t>
        </is>
      </c>
    </row>
    <row r="6343">
      <c r="A6343" t="inlineStr">
        <is>
          <t>2026-10-29</t>
        </is>
      </c>
      <c r="B6343" t="inlineStr">
        <is>
          <t>碳酸锂</t>
        </is>
      </c>
      <c r="C6343" t="inlineStr">
        <is>
          <t>空</t>
        </is>
      </c>
      <c r="D6343" t="n">
        <v>3</v>
      </c>
      <c r="E6343" t="n">
        <v>7</v>
      </c>
      <c r="F6343" t="inlineStr">
        <is>
          <t>续持</t>
        </is>
      </c>
      <c r="G6343" t="n">
        <v>1</v>
      </c>
      <c r="H6343" t="n">
        <v>88360</v>
      </c>
      <c r="I6343" t="n">
        <v>106727.14</v>
      </c>
      <c r="J6343" t="n">
        <v>3</v>
      </c>
      <c r="K6343" t="inlineStr">
        <is>
          <t>续持原仓（2026-10-26开）</t>
        </is>
      </c>
    </row>
    <row r="6344">
      <c r="A6344" t="inlineStr">
        <is>
          <t>2026-10-29</t>
        </is>
      </c>
      <c r="B6344" t="inlineStr">
        <is>
          <t>豆粕</t>
        </is>
      </c>
      <c r="C6344" t="inlineStr">
        <is>
          <t>空</t>
        </is>
      </c>
      <c r="D6344" t="n">
        <v>3</v>
      </c>
      <c r="E6344" t="n">
        <v>6</v>
      </c>
      <c r="F6344" t="inlineStr">
        <is>
          <t>不做</t>
        </is>
      </c>
      <c r="H6344" t="n">
        <v>3161</v>
      </c>
      <c r="J6344" t="n">
        <v>0</v>
      </c>
      <c r="K6344" t="inlineStr">
        <is>
          <t>组合风险已近10%，预算缩小</t>
        </is>
      </c>
    </row>
    <row r="6345">
      <c r="A6345" t="inlineStr">
        <is>
          <t>2026-10-29</t>
        </is>
      </c>
      <c r="B6345" t="inlineStr">
        <is>
          <t>PVC</t>
        </is>
      </c>
      <c r="C6345" t="inlineStr">
        <is>
          <t>多</t>
        </is>
      </c>
      <c r="D6345" t="n">
        <v>3</v>
      </c>
      <c r="E6345" t="n">
        <v>6</v>
      </c>
      <c r="F6345" t="inlineStr">
        <is>
          <t>不做</t>
        </is>
      </c>
      <c r="H6345" t="n">
        <v>5299</v>
      </c>
      <c r="J6345" t="n">
        <v>0</v>
      </c>
      <c r="K6345" t="inlineStr">
        <is>
          <t>组合风险已近10%，预算缩小</t>
        </is>
      </c>
    </row>
    <row r="6346">
      <c r="A6346" t="inlineStr">
        <is>
          <t>2026-10-29</t>
        </is>
      </c>
      <c r="B6346" t="inlineStr">
        <is>
          <t>热卷</t>
        </is>
      </c>
      <c r="C6346" t="inlineStr">
        <is>
          <t>空</t>
        </is>
      </c>
      <c r="D6346" t="n">
        <v>2</v>
      </c>
      <c r="E6346" t="n">
        <v>5</v>
      </c>
      <c r="F6346" t="inlineStr">
        <is>
          <t>观望</t>
        </is>
      </c>
      <c r="G6346" t="n">
        <v>12</v>
      </c>
      <c r="H6346" t="n">
        <v>3192</v>
      </c>
      <c r="I6346" t="n">
        <v>3275.14</v>
      </c>
      <c r="J6346" t="n">
        <v>1</v>
      </c>
      <c r="K6346" t="inlineStr">
        <is>
          <t>逆5日线（收盘在5日线上，不追空）</t>
        </is>
      </c>
    </row>
    <row r="6347">
      <c r="A6347" t="inlineStr">
        <is>
          <t>2026-10-29</t>
        </is>
      </c>
      <c r="B6347" t="inlineStr">
        <is>
          <t>尿素</t>
        </is>
      </c>
      <c r="C6347" t="inlineStr">
        <is>
          <t>多</t>
        </is>
      </c>
      <c r="D6347" t="n">
        <v>2</v>
      </c>
      <c r="E6347" t="n">
        <v>5</v>
      </c>
      <c r="F6347" t="inlineStr">
        <is>
          <t>影子仓</t>
        </is>
      </c>
      <c r="G6347" t="n">
        <v>7</v>
      </c>
      <c r="H6347" t="n">
        <v>1716</v>
      </c>
      <c r="I6347" t="n">
        <v>1647</v>
      </c>
      <c r="J6347" t="n">
        <v>1</v>
      </c>
      <c r="K6347" t="inlineStr">
        <is>
          <t>凯利≤0，开1%影子仓（只统计，不计入组合）</t>
        </is>
      </c>
    </row>
    <row r="6348">
      <c r="A6348" t="inlineStr">
        <is>
          <t>2026-10-29</t>
        </is>
      </c>
      <c r="B6348" t="inlineStr">
        <is>
          <t>纸浆</t>
        </is>
      </c>
      <c r="C6348" t="inlineStr">
        <is>
          <t>空</t>
        </is>
      </c>
      <c r="D6348" t="n">
        <v>2</v>
      </c>
      <c r="E6348" t="n">
        <v>4</v>
      </c>
      <c r="F6348" t="inlineStr">
        <is>
          <t>观望</t>
        </is>
      </c>
      <c r="G6348" t="n">
        <v>4</v>
      </c>
      <c r="H6348" t="n">
        <v>4604</v>
      </c>
      <c r="I6348" t="n">
        <v>4844.86</v>
      </c>
      <c r="J6348" t="n">
        <v>1</v>
      </c>
      <c r="K6348" t="inlineStr">
        <is>
          <t>逆5日线（收盘在5日线上，不追空）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2026-10-30T05:56:35Z</dcterms:created>
  <dcterms:modified xmlns:dcterms="http://purl.org/dc/terms/" xmlns:xsi="http://www.w3.org/2001/XMLSchema-instance" xsi:type="dcterms:W3CDTF">2026-10-30T05:56:37Z</dcterms:modified>
</cp:coreProperties>
</file>