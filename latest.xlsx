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" sheetId="1" state="visible" r:id="rId1"/>
    <sheet xmlns:r="http://schemas.openxmlformats.org/officeDocument/2006/relationships" name="今日建议" sheetId="2" state="visible" r:id="rId2"/>
    <sheet xmlns:r="http://schemas.openxmlformats.org/officeDocument/2006/relationships" name="当前持仓" sheetId="3" state="visible" r:id="rId3"/>
    <sheet xmlns:r="http://schemas.openxmlformats.org/officeDocument/2006/relationships" name="当日平仓" sheetId="4" state="visible" r:id="rId4"/>
    <sheet xmlns:r="http://schemas.openxmlformats.org/officeDocument/2006/relationships" name="已平记录" sheetId="5" state="visible" r:id="rId5"/>
    <sheet xmlns:r="http://schemas.openxmlformats.org/officeDocument/2006/relationships" name="凯利统计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"/>
    <numFmt numFmtId="165" formatCode="0.0&quot;x&quot;"/>
    <numFmt numFmtId="166" formatCode="0.0%"/>
  </numFmts>
  <fonts count="12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color rgb="000000FF"/>
    </font>
    <font>
      <name val="Arial"/>
      <color rgb="005E6966"/>
    </font>
    <font>
      <name val="Arial"/>
      <b val="1"/>
    </font>
    <font>
      <name val="Arial"/>
      <b val="1"/>
      <color rgb="00FFFFFF"/>
    </font>
    <font>
      <name val="Arial"/>
      <b val="1"/>
      <color rgb="00C23A2B"/>
    </font>
    <font>
      <name val="Arial"/>
      <b val="1"/>
      <color rgb="001D7A4C"/>
    </font>
    <font>
      <name val="Arial"/>
      <color rgb="008A9490"/>
    </font>
    <font>
      <name val="Arial"/>
      <color rgb="0000800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F3A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3" fillId="0" borderId="0" pivotButton="0" quotePrefix="0" xfId="0"/>
    <xf numFmtId="0" fontId="4" fillId="0" borderId="0" pivotButton="0" quotePrefix="0" xfId="0"/>
    <xf numFmtId="9" fontId="3" fillId="0" borderId="0" pivotButton="0" quotePrefix="0" xfId="0"/>
    <xf numFmtId="1" fontId="3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3" fillId="0" borderId="0" pivotButton="0" quotePrefix="0" xfId="0"/>
    <xf numFmtId="4" fontId="3" fillId="0" borderId="0" pivotButton="0" quotePrefix="0" xfId="0"/>
    <xf numFmtId="3" fontId="2" fillId="0" borderId="0" pivotButton="0" quotePrefix="0" xfId="0"/>
    <xf numFmtId="10" fontId="2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4" fontId="9" fillId="0" borderId="0" pivotButton="0" quotePrefix="0" xfId="0"/>
    <xf numFmtId="9" fontId="9" fillId="0" borderId="0" pivotButton="0" quotePrefix="0" xfId="0"/>
    <xf numFmtId="3" fontId="9" fillId="0" borderId="0" pivotButton="0" quotePrefix="0" xfId="0"/>
    <xf numFmtId="10" fontId="9" fillId="0" borderId="0" pivotButton="0" quotePrefix="0" xfId="0"/>
    <xf numFmtId="9" fontId="5" fillId="0" borderId="0" pivotButton="0" quotePrefix="0" xfId="0"/>
    <xf numFmtId="3" fontId="5" fillId="0" borderId="0" pivotButton="0" quotePrefix="0" xfId="0"/>
    <xf numFmtId="10" fontId="5" fillId="0" borderId="0" pivotButton="0" quotePrefix="0" xfId="0"/>
    <xf numFmtId="164" fontId="2" fillId="0" borderId="0" pivotButton="0" quotePrefix="0" xfId="0"/>
    <xf numFmtId="2" fontId="2" fillId="0" borderId="0" pivotButton="0" quotePrefix="0" xfId="0"/>
    <xf numFmtId="164" fontId="9" fillId="0" borderId="0" pivotButton="0" quotePrefix="0" xfId="0"/>
    <xf numFmtId="2" fontId="9" fillId="0" borderId="0" pivotButton="0" quotePrefix="0" xfId="0"/>
    <xf numFmtId="164" fontId="5" fillId="0" borderId="0" pivotButton="0" quotePrefix="0" xfId="0"/>
    <xf numFmtId="9" fontId="10" fillId="0" borderId="0" pivotButton="0" quotePrefix="0" xfId="0"/>
    <xf numFmtId="9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11" fillId="0" borderId="0" pivotButton="0" quotePrefix="0" xfId="0"/>
    <xf numFmtId="2" fontId="3" fillId="0" borderId="0" pivotButton="0" quotePrefix="0" xfId="0"/>
    <xf numFmtId="1" fontId="2" fillId="0" borderId="0" pivotButton="0" quotePrefix="0" xfId="0"/>
    <xf numFmtId="166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60" customWidth="1" min="3" max="3"/>
  </cols>
  <sheetData>
    <row r="1">
      <c r="A1" s="1" t="inlineStr">
        <is>
          <t>期货信号跟踪台 · 2026-10-30 （2026-11-01 早盘）</t>
        </is>
      </c>
    </row>
    <row r="3">
      <c r="A3" s="2" t="inlineStr">
        <is>
          <t>账户资金（元）</t>
        </is>
      </c>
      <c r="B3" s="3" t="n">
        <v>1000000</v>
      </c>
      <c r="C3" s="4" t="inlineStr">
        <is>
          <t>纸面账户规模</t>
        </is>
      </c>
    </row>
    <row r="4">
      <c r="A4" s="2" t="inlineStr">
        <is>
          <t>组合计划风险上限</t>
        </is>
      </c>
      <c r="B4" s="5" t="n">
        <v>0.1</v>
      </c>
      <c r="C4" s="4" t="inlineStr">
        <is>
          <t>所有实盘持仓风险预算占比合计上限</t>
        </is>
      </c>
    </row>
    <row r="5">
      <c r="A5" s="2" t="inlineStr">
        <is>
          <t>单品种风险上限</t>
        </is>
      </c>
      <c r="B5" s="5" t="n">
        <v>0.03</v>
      </c>
      <c r="C5" s="4" t="inlineStr">
        <is>
          <t>单品种最大亏损不超过总资金 3%（硬止损）</t>
        </is>
      </c>
    </row>
    <row r="6">
      <c r="A6" s="2" t="inlineStr">
        <is>
          <t>同板块同方向上限</t>
        </is>
      </c>
      <c r="B6" s="5" t="n">
        <v>0.06</v>
      </c>
      <c r="C6" s="4" t="inlineStr">
        <is>
          <t>同一板块同一方向风险预算合计上限</t>
        </is>
      </c>
    </row>
    <row r="7">
      <c r="A7" s="2" t="inlineStr">
        <is>
          <t>技术止损倍数（ATR）</t>
        </is>
      </c>
      <c r="B7" s="6" t="n">
        <v>3</v>
      </c>
      <c r="C7" s="4" t="inlineStr">
        <is>
          <t>入场价 ∓ 3×ATR(14)，之后按 3×ATR 移动</t>
        </is>
      </c>
    </row>
    <row r="8">
      <c r="A8" s="2" t="inlineStr">
        <is>
          <t>保证金比例（估算）</t>
        </is>
      </c>
      <c r="B8" s="5" t="n">
        <v>0.12</v>
      </c>
      <c r="C8" s="4" t="inlineStr">
        <is>
          <t>假设值，按实际开户比例修改</t>
        </is>
      </c>
    </row>
    <row r="9">
      <c r="A9" s="2" t="inlineStr">
        <is>
          <t>相关同组上限</t>
        </is>
      </c>
      <c r="B9" s="5" t="n">
        <v>0.03</v>
      </c>
      <c r="C9" s="4" t="inlineStr">
        <is>
          <t>同方向、40 日相关 ≥0.8 的品种合计上限</t>
        </is>
      </c>
    </row>
    <row r="12">
      <c r="A12" s="7" t="inlineStr">
        <is>
          <t>规则（跟踪台 v2.5）</t>
        </is>
      </c>
    </row>
    <row r="13">
      <c r="A13" s="2" t="inlineStr">
        <is>
          <t>手数 = 向下取整(风险预算 ÷ (3×ATR×合约乘数))；计划风险 = |入场−止损|×手数×乘数。</t>
        </is>
      </c>
    </row>
    <row r="14">
      <c r="A14" s="2" t="inlineStr">
        <is>
          <t>风险预算% = min(¼凯利, 样本分档上限, 星级上限)：已平&lt;10笔固定1%；10–29笔≤2%；≥30笔≤3%；3星≤3%、2星≤2%、1星只开观察仓。</t>
        </is>
      </c>
    </row>
    <row r="15">
      <c r="A15" s="2" t="inlineStr">
        <is>
          <t>组合 ≤10%；同板块同方向 ≤6%；高相关同组 ≤3%；一级宏观事件前单方向 ≤7%。</t>
        </is>
      </c>
    </row>
    <row r="16">
      <c r="A16" s="2" t="inlineStr">
        <is>
          <t>入场：收盘信号次日开盘（夜盘第一笔）成交记账；“待成交”的入场价暂为信号日收盘价。</t>
        </is>
      </c>
    </row>
    <row r="17">
      <c r="A17" s="2" t="inlineStr">
        <is>
          <t>入场须顺 5 日线（逆势观望）；止损按 3×ATR 移动，不限持有天数（最长 60 日）；同向信号=续持；反向先平后开；将军撤退/大将军转向当天收盘平。</t>
        </is>
      </c>
    </row>
    <row r="18">
      <c r="A18" s="2" t="inlineStr">
        <is>
          <t>蓝色=输入值可改；黑色=公式；绿色=引用参数页。仅供参考，不构成投资建议。</t>
        </is>
      </c>
    </row>
    <row r="20">
      <c r="A20" s="2" t="inlineStr">
        <is>
          <t>宏观：美债10Y 4.93%（+2bp）｜2Y 4.59%（+2bp）｜10Y−2Y 34bp，熊陡｜美元 101.97（+0.08%）｜金 3884.28（-3.65%）｜银 49.12（-6.23%）｜铜 650.48（-1.48%）｜WTI 102.91（+0.89%）｜布油 113.50（+2.44%）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6" customWidth="1" min="3" max="3"/>
    <col width="8" customWidth="1" min="4" max="4"/>
    <col width="8" customWidth="1" min="5" max="5"/>
    <col width="7" customWidth="1" min="6" max="6"/>
    <col width="11" customWidth="1" min="7" max="7"/>
    <col width="11" customWidth="1" min="8" max="8"/>
    <col width="9" customWidth="1" min="9" max="9"/>
    <col width="11" customWidth="1" min="10" max="10"/>
    <col width="12" customWidth="1" min="11" max="11"/>
    <col width="9" customWidth="1" min="12" max="12"/>
    <col width="14" customWidth="1" min="13" max="13"/>
    <col width="34" customWidth="1" min="14" max="14"/>
    <col width="60" customWidth="1" min="15" max="15"/>
  </cols>
  <sheetData>
    <row r="1">
      <c r="A1" s="8" t="inlineStr">
        <is>
          <t>品种</t>
        </is>
      </c>
      <c r="B1" s="8" t="inlineStr">
        <is>
          <t>代码</t>
        </is>
      </c>
      <c r="C1" s="8" t="inlineStr">
        <is>
          <t>方向</t>
        </is>
      </c>
      <c r="D1" s="8" t="inlineStr">
        <is>
          <t>星级</t>
        </is>
      </c>
      <c r="E1" s="8" t="inlineStr">
        <is>
          <t>动作</t>
        </is>
      </c>
      <c r="F1" s="8" t="inlineStr">
        <is>
          <t>手数</t>
        </is>
      </c>
      <c r="G1" s="8" t="inlineStr">
        <is>
          <t>入场价</t>
        </is>
      </c>
      <c r="H1" s="8" t="inlineStr">
        <is>
          <t>技术止损</t>
        </is>
      </c>
      <c r="I1" s="8" t="inlineStr">
        <is>
          <t>合约乘数</t>
        </is>
      </c>
      <c r="J1" s="8" t="inlineStr">
        <is>
          <t>风险预算占比</t>
        </is>
      </c>
      <c r="K1" s="8" t="inlineStr">
        <is>
          <t>计划风险（元）</t>
        </is>
      </c>
      <c r="L1" s="8" t="inlineStr">
        <is>
          <t>占资金</t>
        </is>
      </c>
      <c r="M1" s="8" t="inlineStr">
        <is>
          <t>合约货值（元）</t>
        </is>
      </c>
      <c r="N1" s="8" t="inlineStr">
        <is>
          <t>仓位依据 / 不做原因</t>
        </is>
      </c>
      <c r="O1" s="8" t="inlineStr">
        <is>
          <t>理由</t>
        </is>
      </c>
    </row>
    <row r="2">
      <c r="A2" s="2" t="inlineStr">
        <is>
          <t>玻璃</t>
        </is>
      </c>
      <c r="B2" s="2" t="inlineStr">
        <is>
          <t>FG</t>
        </is>
      </c>
      <c r="C2" s="9" t="inlineStr">
        <is>
          <t>多</t>
        </is>
      </c>
      <c r="D2" s="2" t="inlineStr">
        <is>
          <t>★★</t>
        </is>
      </c>
      <c r="E2" s="2" t="inlineStr">
        <is>
          <t>开仓</t>
        </is>
      </c>
      <c r="F2" s="10" t="n">
        <v>20</v>
      </c>
      <c r="G2" s="11" t="n">
        <v>865</v>
      </c>
      <c r="H2" s="11" t="n">
        <v>815.5</v>
      </c>
      <c r="I2" s="10" t="n">
        <v>20</v>
      </c>
      <c r="J2" s="5" t="n">
        <v>0.02</v>
      </c>
      <c r="K2" s="12">
        <f>IF(F2="","",ABS(G2-H2)*F2*I2)</f>
        <v/>
      </c>
      <c r="L2" s="13">
        <f>IF(K2="","",K2/参数!$B$3)</f>
        <v/>
      </c>
      <c r="M2" s="12">
        <f>IF(F2="","",G2*F2*I2)</f>
        <v/>
      </c>
      <c r="N2" s="2" t="inlineStr">
        <is>
          <t>¼凯利超上限，取2%</t>
        </is>
      </c>
      <c r="O2" s="2" t="inlineStr">
        <is>
          <t>将军净3.6%，2个将军</t>
        </is>
      </c>
    </row>
    <row r="3">
      <c r="A3" s="2" t="inlineStr">
        <is>
          <t>碳酸锂</t>
        </is>
      </c>
      <c r="B3" s="2" t="inlineStr">
        <is>
          <t>LC</t>
        </is>
      </c>
      <c r="C3" s="14" t="inlineStr">
        <is>
          <t>空</t>
        </is>
      </c>
      <c r="D3" s="2" t="inlineStr">
        <is>
          <t>★★★</t>
        </is>
      </c>
      <c r="E3" s="2" t="inlineStr">
        <is>
          <t>续持</t>
        </is>
      </c>
      <c r="F3" s="10" t="n">
        <v>1</v>
      </c>
      <c r="G3" s="11" t="n">
        <v>88400</v>
      </c>
      <c r="H3" s="11" t="n">
        <v>100671.43</v>
      </c>
      <c r="I3" s="10" t="n">
        <v>1</v>
      </c>
      <c r="J3" s="5" t="n">
        <v>0.02</v>
      </c>
      <c r="K3" s="12">
        <f>IF(F3="","",ABS(G3-H3)*F3*I3)</f>
        <v/>
      </c>
      <c r="L3" s="13">
        <f>IF(K3="","",K3/参数!$B$3)</f>
        <v/>
      </c>
      <c r="M3" s="12">
        <f>IF(F3="","",G3*F3*I3)</f>
        <v/>
      </c>
      <c r="N3" s="2" t="inlineStr">
        <is>
          <t>续持原仓（2026-10-29开）</t>
        </is>
      </c>
      <c r="O3" s="2" t="inlineStr">
        <is>
          <t>将军净-13.7%，4个将军；研报同向（多0/空5）</t>
        </is>
      </c>
    </row>
    <row r="4">
      <c r="A4" s="2" t="inlineStr">
        <is>
          <t>热轧卷板</t>
        </is>
      </c>
      <c r="B4" s="2" t="inlineStr">
        <is>
          <t>HC</t>
        </is>
      </c>
      <c r="C4" s="14" t="inlineStr">
        <is>
          <t>空</t>
        </is>
      </c>
      <c r="D4" s="2" t="inlineStr">
        <is>
          <t>★★★</t>
        </is>
      </c>
      <c r="E4" s="2" t="inlineStr">
        <is>
          <t>续持</t>
        </is>
      </c>
      <c r="F4" s="10" t="n">
        <v>17</v>
      </c>
      <c r="G4" s="11" t="n">
        <v>3193</v>
      </c>
      <c r="H4" s="11" t="n">
        <v>3248.57</v>
      </c>
      <c r="I4" s="10" t="n">
        <v>10</v>
      </c>
      <c r="J4" s="5" t="n">
        <v>0.01</v>
      </c>
      <c r="K4" s="12">
        <f>IF(F4="","",ABS(G4-H4)*F4*I4)</f>
        <v/>
      </c>
      <c r="L4" s="13">
        <f>IF(K4="","",K4/参数!$B$3)</f>
        <v/>
      </c>
      <c r="M4" s="12">
        <f>IF(F4="","",G4*F4*I4)</f>
        <v/>
      </c>
      <c r="N4" s="2" t="inlineStr">
        <is>
          <t>续持原仓（2026-10-26开）</t>
        </is>
      </c>
      <c r="O4" s="2" t="inlineStr">
        <is>
          <t>将军净-7.9%，4个将军</t>
        </is>
      </c>
    </row>
    <row r="5">
      <c r="A5" s="2" t="inlineStr">
        <is>
          <t>尿素</t>
        </is>
      </c>
      <c r="B5" s="2" t="inlineStr">
        <is>
          <t>UR</t>
        </is>
      </c>
      <c r="C5" s="9" t="inlineStr">
        <is>
          <t>多</t>
        </is>
      </c>
      <c r="D5" s="2" t="inlineStr">
        <is>
          <t>★★</t>
        </is>
      </c>
      <c r="E5" s="2" t="inlineStr">
        <is>
          <t>续持</t>
        </is>
      </c>
      <c r="F5" s="10" t="n">
        <v>10</v>
      </c>
      <c r="G5" s="11" t="n">
        <v>1725</v>
      </c>
      <c r="H5" s="11" t="n">
        <v>1679</v>
      </c>
      <c r="I5" s="10" t="n">
        <v>20</v>
      </c>
      <c r="J5" s="5" t="n">
        <v>0.01</v>
      </c>
      <c r="K5" s="12">
        <f>IF(F5="","",ABS(G5-H5)*F5*I5)</f>
        <v/>
      </c>
      <c r="L5" s="13">
        <f>IF(K5="","",K5/参数!$B$3)</f>
        <v/>
      </c>
      <c r="M5" s="12">
        <f>IF(F5="","",G5*F5*I5)</f>
        <v/>
      </c>
      <c r="N5" s="2" t="inlineStr">
        <is>
          <t>续持原仓（2026-10-29开）</t>
        </is>
      </c>
      <c r="O5" s="2" t="inlineStr">
        <is>
          <t>将军净4.1%，4个将军</t>
        </is>
      </c>
    </row>
    <row r="6">
      <c r="A6" s="2" t="inlineStr">
        <is>
          <t>PVC</t>
        </is>
      </c>
      <c r="B6" s="2" t="inlineStr">
        <is>
          <t>V</t>
        </is>
      </c>
      <c r="C6" s="9" t="inlineStr">
        <is>
          <t>多</t>
        </is>
      </c>
      <c r="D6" s="2" t="inlineStr">
        <is>
          <t>★★</t>
        </is>
      </c>
      <c r="E6" s="2" t="inlineStr">
        <is>
          <t>续持</t>
        </is>
      </c>
      <c r="F6" s="10" t="n">
        <v>16</v>
      </c>
      <c r="G6" s="11" t="n">
        <v>5280</v>
      </c>
      <c r="H6" s="11" t="n">
        <v>5031</v>
      </c>
      <c r="I6" s="10" t="n">
        <v>5</v>
      </c>
      <c r="J6" s="5" t="n">
        <v>0.02</v>
      </c>
      <c r="K6" s="12">
        <f>IF(F6="","",ABS(G6-H6)*F6*I6)</f>
        <v/>
      </c>
      <c r="L6" s="13">
        <f>IF(K6="","",K6/参数!$B$3)</f>
        <v/>
      </c>
      <c r="M6" s="12">
        <f>IF(F6="","",G6*F6*I6)</f>
        <v/>
      </c>
      <c r="N6" s="2" t="inlineStr">
        <is>
          <t>续持原仓（2026-10-29开）</t>
        </is>
      </c>
      <c r="O6" s="2" t="inlineStr">
        <is>
          <t>将军净4.8%，4个将军；研报同向（多2/空0）</t>
        </is>
      </c>
    </row>
    <row r="7">
      <c r="A7" s="15" t="inlineStr">
        <is>
          <t>纸浆</t>
        </is>
      </c>
      <c r="B7" s="15" t="inlineStr">
        <is>
          <t>SP</t>
        </is>
      </c>
      <c r="C7" s="15" t="inlineStr">
        <is>
          <t>空</t>
        </is>
      </c>
      <c r="D7" s="15" t="inlineStr">
        <is>
          <t>★★★</t>
        </is>
      </c>
      <c r="E7" s="15" t="inlineStr">
        <is>
          <t>观望</t>
        </is>
      </c>
      <c r="F7" s="15" t="n"/>
      <c r="G7" s="16" t="n">
        <v>4614</v>
      </c>
      <c r="H7" s="16" t="n"/>
      <c r="I7" s="15" t="n">
        <v>10</v>
      </c>
      <c r="J7" s="17" t="n"/>
      <c r="K7" s="18">
        <f>IF(F7="","",ABS(G7-H7)*F7*I7)</f>
        <v/>
      </c>
      <c r="L7" s="19">
        <f>IF(K7="","",K7/参数!$B$3)</f>
        <v/>
      </c>
      <c r="M7" s="18">
        <f>IF(F7="","",G7*F7*I7)</f>
        <v/>
      </c>
      <c r="N7" s="15" t="inlineStr">
        <is>
          <t>逆5日线（收盘在5日线上，不追空）</t>
        </is>
      </c>
      <c r="O7" s="15" t="inlineStr">
        <is>
          <t>将军净-23.1%，4个将军；研报同向（多0/空2）</t>
        </is>
      </c>
    </row>
    <row r="8">
      <c r="A8" s="15" t="inlineStr">
        <is>
          <t>生猪</t>
        </is>
      </c>
      <c r="B8" s="15" t="inlineStr">
        <is>
          <t>LH</t>
        </is>
      </c>
      <c r="C8" s="15" t="inlineStr">
        <is>
          <t>空</t>
        </is>
      </c>
      <c r="D8" s="15" t="inlineStr">
        <is>
          <t>★★★</t>
        </is>
      </c>
      <c r="E8" s="15" t="inlineStr">
        <is>
          <t>不做</t>
        </is>
      </c>
      <c r="F8" s="15" t="n"/>
      <c r="G8" s="16" t="n">
        <v>9510</v>
      </c>
      <c r="H8" s="16" t="n"/>
      <c r="I8" s="15" t="n">
        <v>16</v>
      </c>
      <c r="J8" s="17" t="n"/>
      <c r="K8" s="18">
        <f>IF(F8="","",ABS(G8-H8)*F8*I8)</f>
        <v/>
      </c>
      <c r="L8" s="19">
        <f>IF(K8="","",K8/参数!$B$3)</f>
        <v/>
      </c>
      <c r="M8" s="18">
        <f>IF(F8="","",G8*F8*I8)</f>
        <v/>
      </c>
      <c r="N8" s="15" t="inlineStr">
        <is>
          <t>1手风险14091元超过预算10000元</t>
        </is>
      </c>
      <c r="O8" s="15" t="inlineStr">
        <is>
          <t>小品种独立额度；将军净-12.2%，4个将军</t>
        </is>
      </c>
    </row>
    <row r="9">
      <c r="A9" s="15" t="inlineStr">
        <is>
          <t>黄金</t>
        </is>
      </c>
      <c r="B9" s="15" t="inlineStr">
        <is>
          <t>AU</t>
        </is>
      </c>
      <c r="C9" s="15" t="inlineStr">
        <is>
          <t>空</t>
        </is>
      </c>
      <c r="D9" s="15" t="inlineStr">
        <is>
          <t>★★</t>
        </is>
      </c>
      <c r="E9" s="15" t="inlineStr">
        <is>
          <t>不做</t>
        </is>
      </c>
      <c r="F9" s="15" t="n"/>
      <c r="G9" s="16" t="n">
        <v>855.1799999999999</v>
      </c>
      <c r="H9" s="16" t="n"/>
      <c r="I9" s="15" t="n">
        <v>1000</v>
      </c>
      <c r="J9" s="17" t="n"/>
      <c r="K9" s="18">
        <f>IF(F9="","",ABS(G9-H9)*F9*I9)</f>
        <v/>
      </c>
      <c r="L9" s="19">
        <f>IF(K9="","",K9/参数!$B$3)</f>
        <v/>
      </c>
      <c r="M9" s="18">
        <f>IF(F9="","",G9*F9*I9)</f>
        <v/>
      </c>
      <c r="N9" s="15" t="inlineStr">
        <is>
          <t>1手风险39129元超过预算20000元</t>
        </is>
      </c>
      <c r="O9" s="15" t="inlineStr">
        <is>
          <t>将军净-4.1%，4个将军</t>
        </is>
      </c>
    </row>
    <row r="10">
      <c r="A10" s="15" t="inlineStr">
        <is>
          <t>锰硅</t>
        </is>
      </c>
      <c r="B10" s="15" t="inlineStr">
        <is>
          <t>SM</t>
        </is>
      </c>
      <c r="C10" s="15" t="inlineStr">
        <is>
          <t>多</t>
        </is>
      </c>
      <c r="D10" s="15" t="inlineStr">
        <is>
          <t>★★</t>
        </is>
      </c>
      <c r="E10" s="15" t="inlineStr">
        <is>
          <t>不做</t>
        </is>
      </c>
      <c r="F10" s="15" t="n"/>
      <c r="G10" s="16" t="n">
        <v>5890</v>
      </c>
      <c r="H10" s="16" t="n"/>
      <c r="I10" s="15" t="n">
        <v>5</v>
      </c>
      <c r="J10" s="17" t="n"/>
      <c r="K10" s="18">
        <f>IF(F10="","",ABS(G10-H10)*F10*I10)</f>
        <v/>
      </c>
      <c r="L10" s="19">
        <f>IF(K10="","",K10/参数!$B$3)</f>
        <v/>
      </c>
      <c r="M10" s="18">
        <f>IF(F10="","",G10*F10*I10)</f>
        <v/>
      </c>
      <c r="N10" s="15" t="inlineStr">
        <is>
          <t>组合风险已近10%，预算缩小</t>
        </is>
      </c>
      <c r="O10" s="15" t="inlineStr">
        <is>
          <t>将军净1.8%，2个将军；研报同向（多2/空0）</t>
        </is>
      </c>
    </row>
    <row r="11">
      <c r="A11" s="15" t="inlineStr">
        <is>
          <t>铁矿石</t>
        </is>
      </c>
      <c r="B11" s="15" t="inlineStr">
        <is>
          <t>I</t>
        </is>
      </c>
      <c r="C11" s="15" t="inlineStr">
        <is>
          <t>空</t>
        </is>
      </c>
      <c r="D11" s="15" t="inlineStr">
        <is>
          <t>★★</t>
        </is>
      </c>
      <c r="E11" s="15" t="inlineStr">
        <is>
          <t>不做</t>
        </is>
      </c>
      <c r="F11" s="15" t="n"/>
      <c r="G11" s="16" t="n">
        <v>672</v>
      </c>
      <c r="H11" s="16" t="n"/>
      <c r="I11" s="15" t="n">
        <v>100</v>
      </c>
      <c r="J11" s="17" t="n"/>
      <c r="K11" s="18">
        <f>IF(F11="","",ABS(G11-H11)*F11*I11)</f>
        <v/>
      </c>
      <c r="L11" s="19">
        <f>IF(K11="","",K11/参数!$B$3)</f>
        <v/>
      </c>
      <c r="M11" s="18">
        <f>IF(F11="","",G11*F11*I11)</f>
        <v/>
      </c>
      <c r="N11" s="15" t="inlineStr">
        <is>
          <t>组合风险已近10%，预算缩小</t>
        </is>
      </c>
      <c r="O11" s="15" t="inlineStr">
        <is>
          <t>将军净-1.1%，2个将军；研报同向（多1/空5）</t>
        </is>
      </c>
    </row>
    <row r="12">
      <c r="I12" s="7" t="inlineStr">
        <is>
          <t>合计（不含观察仓）</t>
        </is>
      </c>
      <c r="J12" s="20">
        <f>SUMIFS(J2:J11,$E$2:$E$11,"&lt;&gt;观察仓",$E$2:$E$11,"&lt;&gt;不做")</f>
        <v/>
      </c>
      <c r="K12" s="21">
        <f>SUMIFS(K2:K11,$E$2:$E$11,"&lt;&gt;观察仓",$E$2:$E$11,"&lt;&gt;不做")</f>
        <v/>
      </c>
      <c r="L12" s="22">
        <f>SUMIFS(L2:L11,$E$2:$E$11,"&lt;&gt;观察仓",$E$2:$E$11,"&lt;&gt;不做")</f>
        <v/>
      </c>
      <c r="M12" s="21">
        <f>SUMIFS(M2:M11,$E$2:$E$11,"&lt;&gt;观察仓",$E$2:$E$11,"&lt;&gt;不做")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6" customWidth="1" min="3" max="3"/>
    <col width="6" customWidth="1" min="4" max="4"/>
    <col width="7" customWidth="1" min="5" max="5"/>
    <col width="8" customWidth="1" min="6" max="6"/>
    <col width="8" customWidth="1" min="7" max="7"/>
    <col width="6" customWidth="1" min="8" max="8"/>
    <col width="11" customWidth="1" min="9" max="9"/>
    <col width="11" customWidth="1" min="10" max="10"/>
    <col width="9" customWidth="1" min="11" max="11"/>
    <col width="11" customWidth="1" min="12" max="12"/>
    <col width="11" customWidth="1" min="13" max="13"/>
    <col width="12" customWidth="1" min="14" max="14"/>
    <col width="13" customWidth="1" min="15" max="15"/>
    <col width="8" customWidth="1" min="16" max="16"/>
    <col width="14" customWidth="1" min="17" max="17"/>
    <col width="14" customWidth="1" min="18" max="18"/>
    <col width="8" customWidth="1" min="19" max="19"/>
    <col width="7" customWidth="1" min="20" max="20"/>
  </cols>
  <sheetData>
    <row r="1">
      <c r="A1" s="8" t="inlineStr">
        <is>
          <t>开仓日</t>
        </is>
      </c>
      <c r="B1" s="8" t="inlineStr">
        <is>
          <t>品种</t>
        </is>
      </c>
      <c r="C1" s="8" t="inlineStr">
        <is>
          <t>代码</t>
        </is>
      </c>
      <c r="D1" s="8" t="inlineStr">
        <is>
          <t>方向</t>
        </is>
      </c>
      <c r="E1" s="8" t="inlineStr">
        <is>
          <t>星级</t>
        </is>
      </c>
      <c r="F1" s="8" t="inlineStr">
        <is>
          <t>板块</t>
        </is>
      </c>
      <c r="G1" s="8" t="inlineStr">
        <is>
          <t>状态</t>
        </is>
      </c>
      <c r="H1" s="8" t="inlineStr">
        <is>
          <t>手数</t>
        </is>
      </c>
      <c r="I1" s="8" t="inlineStr">
        <is>
          <t>入场价</t>
        </is>
      </c>
      <c r="J1" s="8" t="inlineStr">
        <is>
          <t>技术止损</t>
        </is>
      </c>
      <c r="K1" s="8" t="inlineStr">
        <is>
          <t>合约乘数</t>
        </is>
      </c>
      <c r="L1" s="8" t="inlineStr">
        <is>
          <t>最新收盘</t>
        </is>
      </c>
      <c r="M1" s="8" t="inlineStr">
        <is>
          <t>风险预算占比</t>
        </is>
      </c>
      <c r="N1" s="8" t="inlineStr">
        <is>
          <t>计划风险（元）</t>
        </is>
      </c>
      <c r="O1" s="8" t="inlineStr">
        <is>
          <t>浮动盈亏（元）</t>
        </is>
      </c>
      <c r="P1" s="8" t="inlineStr">
        <is>
          <t>R倍数</t>
        </is>
      </c>
      <c r="Q1" s="8" t="inlineStr">
        <is>
          <t>合约货值（元）</t>
        </is>
      </c>
      <c r="R1" s="8" t="inlineStr">
        <is>
          <t>保证金估算（元）</t>
        </is>
      </c>
      <c r="S1" s="8" t="inlineStr">
        <is>
          <t>已持天数</t>
        </is>
      </c>
      <c r="T1" s="8" t="inlineStr">
        <is>
          <t>观察仓</t>
        </is>
      </c>
    </row>
    <row r="2">
      <c r="A2" s="2" t="inlineStr">
        <is>
          <t>2026-10-26</t>
        </is>
      </c>
      <c r="B2" s="2" t="inlineStr">
        <is>
          <t>热卷</t>
        </is>
      </c>
      <c r="C2" s="2" t="inlineStr">
        <is>
          <t>HC</t>
        </is>
      </c>
      <c r="D2" s="14" t="inlineStr">
        <is>
          <t>空</t>
        </is>
      </c>
      <c r="E2" s="2" t="inlineStr">
        <is>
          <t>★★★</t>
        </is>
      </c>
      <c r="F2" s="2" t="inlineStr">
        <is>
          <t>黑色</t>
        </is>
      </c>
      <c r="G2" s="2" t="inlineStr">
        <is>
          <t>持有</t>
        </is>
      </c>
      <c r="H2" s="10" t="n">
        <v>17</v>
      </c>
      <c r="I2" s="11" t="n">
        <v>3193</v>
      </c>
      <c r="J2" s="11" t="n">
        <v>3248.57</v>
      </c>
      <c r="K2" s="10" t="n">
        <v>10</v>
      </c>
      <c r="L2" s="11" t="n">
        <v>3170</v>
      </c>
      <c r="M2" s="5" t="n">
        <v>0.01</v>
      </c>
      <c r="N2" s="12">
        <f>ABS(I2-J2)*H2*K2</f>
        <v/>
      </c>
      <c r="O2" s="23">
        <f>IF(D2="多",1,-1)*(L2-I2)*H2*K2</f>
        <v/>
      </c>
      <c r="P2" s="24">
        <f>O2/(M2*参数!$B$3)</f>
        <v/>
      </c>
      <c r="Q2" s="12">
        <f>L2*H2*K2</f>
        <v/>
      </c>
      <c r="R2" s="12">
        <f>Q2*参数!$B$8</f>
        <v/>
      </c>
      <c r="S2" s="10" t="n">
        <v>0</v>
      </c>
      <c r="T2" s="2" t="inlineStr">
        <is>
          <t>否</t>
        </is>
      </c>
    </row>
    <row r="3">
      <c r="A3" s="2" t="inlineStr">
        <is>
          <t>2026-10-26</t>
        </is>
      </c>
      <c r="B3" s="2" t="inlineStr">
        <is>
          <t>纸浆</t>
        </is>
      </c>
      <c r="C3" s="2" t="inlineStr">
        <is>
          <t>SP</t>
        </is>
      </c>
      <c r="D3" s="14" t="inlineStr">
        <is>
          <t>空</t>
        </is>
      </c>
      <c r="E3" s="2" t="inlineStr">
        <is>
          <t>★★★</t>
        </is>
      </c>
      <c r="F3" s="2" t="inlineStr">
        <is>
          <t>软商品</t>
        </is>
      </c>
      <c r="G3" s="2" t="inlineStr">
        <is>
          <t>持有</t>
        </is>
      </c>
      <c r="H3" s="10" t="n">
        <v>14</v>
      </c>
      <c r="I3" s="11" t="n">
        <v>4618</v>
      </c>
      <c r="J3" s="11" t="n">
        <v>4759.71</v>
      </c>
      <c r="K3" s="10" t="n">
        <v>10</v>
      </c>
      <c r="L3" s="11" t="n">
        <v>4614</v>
      </c>
      <c r="M3" s="5" t="n">
        <v>0.02</v>
      </c>
      <c r="N3" s="12">
        <f>ABS(I3-J3)*H3*K3</f>
        <v/>
      </c>
      <c r="O3" s="23">
        <f>IF(D3="多",1,-1)*(L3-I3)*H3*K3</f>
        <v/>
      </c>
      <c r="P3" s="24">
        <f>O3/(M3*参数!$B$3)</f>
        <v/>
      </c>
      <c r="Q3" s="12">
        <f>L3*H3*K3</f>
        <v/>
      </c>
      <c r="R3" s="12">
        <f>Q3*参数!$B$8</f>
        <v/>
      </c>
      <c r="S3" s="10" t="n">
        <v>1</v>
      </c>
      <c r="T3" s="2" t="inlineStr">
        <is>
          <t>否</t>
        </is>
      </c>
    </row>
    <row r="4">
      <c r="A4" s="2" t="inlineStr">
        <is>
          <t>2026-10-29</t>
        </is>
      </c>
      <c r="B4" s="2" t="inlineStr">
        <is>
          <t>碳酸锂</t>
        </is>
      </c>
      <c r="C4" s="2" t="inlineStr">
        <is>
          <t>LC</t>
        </is>
      </c>
      <c r="D4" s="14" t="inlineStr">
        <is>
          <t>空</t>
        </is>
      </c>
      <c r="E4" s="2" t="inlineStr">
        <is>
          <t>★★★</t>
        </is>
      </c>
      <c r="F4" s="2" t="inlineStr">
        <is>
          <t>有色</t>
        </is>
      </c>
      <c r="G4" s="2" t="inlineStr">
        <is>
          <t>持有</t>
        </is>
      </c>
      <c r="H4" s="10" t="n">
        <v>1</v>
      </c>
      <c r="I4" s="11" t="n">
        <v>88400</v>
      </c>
      <c r="J4" s="11" t="n">
        <v>100671.43</v>
      </c>
      <c r="K4" s="10" t="n">
        <v>1</v>
      </c>
      <c r="L4" s="11" t="n">
        <v>88500</v>
      </c>
      <c r="M4" s="5" t="n">
        <v>0.02</v>
      </c>
      <c r="N4" s="12">
        <f>ABS(I4-J4)*H4*K4</f>
        <v/>
      </c>
      <c r="O4" s="23">
        <f>IF(D4="多",1,-1)*(L4-I4)*H4*K4</f>
        <v/>
      </c>
      <c r="P4" s="24">
        <f>O4/(M4*参数!$B$3)</f>
        <v/>
      </c>
      <c r="Q4" s="12">
        <f>L4*H4*K4</f>
        <v/>
      </c>
      <c r="R4" s="12">
        <f>Q4*参数!$B$8</f>
        <v/>
      </c>
      <c r="S4" s="10" t="n">
        <v>0</v>
      </c>
      <c r="T4" s="2" t="inlineStr">
        <is>
          <t>否</t>
        </is>
      </c>
    </row>
    <row r="5">
      <c r="A5" s="2" t="inlineStr">
        <is>
          <t>2026-10-29</t>
        </is>
      </c>
      <c r="B5" s="2" t="inlineStr">
        <is>
          <t>尿素</t>
        </is>
      </c>
      <c r="C5" s="2" t="inlineStr">
        <is>
          <t>UR</t>
        </is>
      </c>
      <c r="D5" s="9" t="inlineStr">
        <is>
          <t>多</t>
        </is>
      </c>
      <c r="E5" s="2" t="inlineStr">
        <is>
          <t>★★★</t>
        </is>
      </c>
      <c r="F5" s="2" t="inlineStr">
        <is>
          <t>建材</t>
        </is>
      </c>
      <c r="G5" s="2" t="inlineStr">
        <is>
          <t>持有</t>
        </is>
      </c>
      <c r="H5" s="10" t="n">
        <v>10</v>
      </c>
      <c r="I5" s="11" t="n">
        <v>1725</v>
      </c>
      <c r="J5" s="11" t="n">
        <v>1679</v>
      </c>
      <c r="K5" s="10" t="n">
        <v>20</v>
      </c>
      <c r="L5" s="11" t="n">
        <v>1736</v>
      </c>
      <c r="M5" s="5" t="n">
        <v>0.01</v>
      </c>
      <c r="N5" s="12">
        <f>ABS(I5-J5)*H5*K5</f>
        <v/>
      </c>
      <c r="O5" s="23">
        <f>IF(D5="多",1,-1)*(L5-I5)*H5*K5</f>
        <v/>
      </c>
      <c r="P5" s="24">
        <f>O5/(M5*参数!$B$3)</f>
        <v/>
      </c>
      <c r="Q5" s="12">
        <f>L5*H5*K5</f>
        <v/>
      </c>
      <c r="R5" s="12">
        <f>Q5*参数!$B$8</f>
        <v/>
      </c>
      <c r="S5" s="10" t="n">
        <v>0</v>
      </c>
      <c r="T5" s="2" t="inlineStr">
        <is>
          <t>否</t>
        </is>
      </c>
    </row>
    <row r="6">
      <c r="A6" s="2" t="inlineStr">
        <is>
          <t>2026-10-29</t>
        </is>
      </c>
      <c r="B6" s="2" t="inlineStr">
        <is>
          <t>PVC</t>
        </is>
      </c>
      <c r="C6" s="2" t="inlineStr">
        <is>
          <t>V</t>
        </is>
      </c>
      <c r="D6" s="9" t="inlineStr">
        <is>
          <t>多</t>
        </is>
      </c>
      <c r="E6" s="2" t="inlineStr">
        <is>
          <t>★★★</t>
        </is>
      </c>
      <c r="F6" s="2" t="inlineStr">
        <is>
          <t>化工</t>
        </is>
      </c>
      <c r="G6" s="2" t="inlineStr">
        <is>
          <t>持有</t>
        </is>
      </c>
      <c r="H6" s="10" t="n">
        <v>16</v>
      </c>
      <c r="I6" s="11" t="n">
        <v>5280</v>
      </c>
      <c r="J6" s="11" t="n">
        <v>5031</v>
      </c>
      <c r="K6" s="10" t="n">
        <v>5</v>
      </c>
      <c r="L6" s="11" t="n">
        <v>5290</v>
      </c>
      <c r="M6" s="5" t="n">
        <v>0.02</v>
      </c>
      <c r="N6" s="12">
        <f>ABS(I6-J6)*H6*K6</f>
        <v/>
      </c>
      <c r="O6" s="23">
        <f>IF(D6="多",1,-1)*(L6-I6)*H6*K6</f>
        <v/>
      </c>
      <c r="P6" s="24">
        <f>O6/(M6*参数!$B$3)</f>
        <v/>
      </c>
      <c r="Q6" s="12">
        <f>L6*H6*K6</f>
        <v/>
      </c>
      <c r="R6" s="12">
        <f>Q6*参数!$B$8</f>
        <v/>
      </c>
      <c r="S6" s="10" t="n">
        <v>0</v>
      </c>
      <c r="T6" s="2" t="inlineStr">
        <is>
          <t>否</t>
        </is>
      </c>
    </row>
    <row r="7">
      <c r="A7" s="2" t="inlineStr">
        <is>
          <t>2026-10-30</t>
        </is>
      </c>
      <c r="B7" s="2" t="inlineStr">
        <is>
          <t>玻璃</t>
        </is>
      </c>
      <c r="C7" s="2" t="inlineStr">
        <is>
          <t>FG</t>
        </is>
      </c>
      <c r="D7" s="9" t="inlineStr">
        <is>
          <t>多</t>
        </is>
      </c>
      <c r="E7" s="2" t="inlineStr">
        <is>
          <t>★★</t>
        </is>
      </c>
      <c r="F7" s="2" t="inlineStr">
        <is>
          <t>建材</t>
        </is>
      </c>
      <c r="G7" s="2" t="inlineStr">
        <is>
          <t>待成交</t>
        </is>
      </c>
      <c r="H7" s="10" t="n">
        <v>20</v>
      </c>
      <c r="I7" s="11" t="n">
        <v>865</v>
      </c>
      <c r="J7" s="11" t="n">
        <v>815.5</v>
      </c>
      <c r="K7" s="10" t="n">
        <v>20</v>
      </c>
      <c r="L7" s="11" t="n">
        <v>865</v>
      </c>
      <c r="M7" s="5" t="n">
        <v>0.02</v>
      </c>
      <c r="N7" s="12">
        <f>ABS(I7-J7)*H7*K7</f>
        <v/>
      </c>
      <c r="O7" s="23">
        <f>IF(D7="多",1,-1)*(L7-I7)*H7*K7</f>
        <v/>
      </c>
      <c r="P7" s="24">
        <f>O7/(M7*参数!$B$3)</f>
        <v/>
      </c>
      <c r="Q7" s="12">
        <f>L7*H7*K7</f>
        <v/>
      </c>
      <c r="R7" s="12">
        <f>Q7*参数!$B$8</f>
        <v/>
      </c>
      <c r="S7" s="10" t="n">
        <v>0</v>
      </c>
      <c r="T7" s="2" t="inlineStr">
        <is>
          <t>否</t>
        </is>
      </c>
    </row>
    <row r="8">
      <c r="A8" s="15" t="inlineStr">
        <is>
          <t>2026-10-27</t>
        </is>
      </c>
      <c r="B8" s="15" t="inlineStr">
        <is>
          <t>氧化铝</t>
        </is>
      </c>
      <c r="C8" s="15" t="inlineStr">
        <is>
          <t>AO</t>
        </is>
      </c>
      <c r="D8" s="15" t="inlineStr">
        <is>
          <t>空</t>
        </is>
      </c>
      <c r="E8" s="15" t="inlineStr">
        <is>
          <t>★</t>
        </is>
      </c>
      <c r="F8" s="15" t="inlineStr">
        <is>
          <t>有色</t>
        </is>
      </c>
      <c r="G8" s="15" t="inlineStr">
        <is>
          <t>观察仓</t>
        </is>
      </c>
      <c r="H8" s="15" t="n">
        <v>5</v>
      </c>
      <c r="I8" s="16" t="n">
        <v>2563</v>
      </c>
      <c r="J8" s="16" t="n">
        <v>2649</v>
      </c>
      <c r="K8" s="15" t="n">
        <v>20</v>
      </c>
      <c r="L8" s="16" t="n">
        <v>2607</v>
      </c>
      <c r="M8" s="17" t="n">
        <v>0.01</v>
      </c>
      <c r="N8" s="18">
        <f>ABS(I8-J8)*H8*K8</f>
        <v/>
      </c>
      <c r="O8" s="25">
        <f>IF(D8="多",1,-1)*(L8-I8)*H8*K8</f>
        <v/>
      </c>
      <c r="P8" s="26">
        <f>O8/(M8*参数!$B$3)</f>
        <v/>
      </c>
      <c r="Q8" s="18">
        <f>L8*H8*K8</f>
        <v/>
      </c>
      <c r="R8" s="18">
        <f>Q8*参数!$B$8</f>
        <v/>
      </c>
      <c r="S8" s="15" t="n">
        <v>3</v>
      </c>
      <c r="T8" s="15" t="inlineStr">
        <is>
          <t>是</t>
        </is>
      </c>
    </row>
    <row r="9">
      <c r="A9" s="15" t="inlineStr">
        <is>
          <t>2026-10-27</t>
        </is>
      </c>
      <c r="B9" s="15" t="inlineStr">
        <is>
          <t>菜油</t>
        </is>
      </c>
      <c r="C9" s="15" t="inlineStr">
        <is>
          <t>OI</t>
        </is>
      </c>
      <c r="D9" s="15" t="inlineStr">
        <is>
          <t>空</t>
        </is>
      </c>
      <c r="E9" s="15" t="inlineStr">
        <is>
          <t>★</t>
        </is>
      </c>
      <c r="F9" s="15" t="inlineStr">
        <is>
          <t>农产品</t>
        </is>
      </c>
      <c r="G9" s="15" t="inlineStr">
        <is>
          <t>观察仓</t>
        </is>
      </c>
      <c r="H9" s="15" t="n">
        <v>3</v>
      </c>
      <c r="I9" s="16" t="n">
        <v>10202</v>
      </c>
      <c r="J9" s="16" t="n">
        <v>10529.71</v>
      </c>
      <c r="K9" s="15" t="n">
        <v>10</v>
      </c>
      <c r="L9" s="16" t="n">
        <v>10340</v>
      </c>
      <c r="M9" s="17" t="n">
        <v>0.01</v>
      </c>
      <c r="N9" s="18">
        <f>ABS(I9-J9)*H9*K9</f>
        <v/>
      </c>
      <c r="O9" s="25">
        <f>IF(D9="多",1,-1)*(L9-I9)*H9*K9</f>
        <v/>
      </c>
      <c r="P9" s="26">
        <f>O9/(M9*参数!$B$3)</f>
        <v/>
      </c>
      <c r="Q9" s="18">
        <f>L9*H9*K9</f>
        <v/>
      </c>
      <c r="R9" s="18">
        <f>Q9*参数!$B$8</f>
        <v/>
      </c>
      <c r="S9" s="15" t="n">
        <v>3</v>
      </c>
      <c r="T9" s="15" t="inlineStr">
        <is>
          <t>是</t>
        </is>
      </c>
    </row>
    <row r="10">
      <c r="L10" s="7" t="inlineStr">
        <is>
          <t>合计（实盘）</t>
        </is>
      </c>
      <c r="M10" s="20">
        <f>SUMIF($T$2:$T$9,"否",M2:M9)</f>
        <v/>
      </c>
      <c r="N10" s="21">
        <f>SUMIF($T$2:$T$9,"否",N2:N9)</f>
        <v/>
      </c>
      <c r="O10" s="27">
        <f>SUMIF($T$2:$T$9,"否",O2:O9)</f>
        <v/>
      </c>
      <c r="Q10" s="21">
        <f>SUMIF($T$2:$T$9,"否",Q2:Q9)</f>
        <v/>
      </c>
      <c r="R10" s="21">
        <f>SUMIF($T$2:$T$9,"否",R2:R9)</f>
        <v/>
      </c>
    </row>
    <row r="11">
      <c r="L11" s="2" t="inlineStr">
        <is>
          <t>组合上限</t>
        </is>
      </c>
      <c r="M11" s="28">
        <f>参数!$B$4</f>
        <v/>
      </c>
    </row>
    <row r="12">
      <c r="L12" s="2" t="inlineStr">
        <is>
          <t>剩余空间</t>
        </is>
      </c>
      <c r="M12" s="29">
        <f>M11-M10</f>
        <v/>
      </c>
    </row>
    <row r="13">
      <c r="L13" s="2" t="inlineStr">
        <is>
          <t>空单风险预算</t>
        </is>
      </c>
      <c r="M13" s="29">
        <f>SUMIFS(M2:M9,D2:D9,"空",T2:T9,"否")</f>
        <v/>
      </c>
    </row>
    <row r="14">
      <c r="L14" s="2" t="inlineStr">
        <is>
          <t>多单风险预算</t>
        </is>
      </c>
      <c r="M14" s="29">
        <f>SUMIFS(M2:M9,D2:D9,"多",T2:T9,"否")</f>
        <v/>
      </c>
    </row>
    <row r="15">
      <c r="L15" s="2" t="inlineStr">
        <is>
          <t>货值杠杆（倍）</t>
        </is>
      </c>
      <c r="Q15" s="30">
        <f>Q10/参数!$B$3</f>
        <v/>
      </c>
    </row>
    <row r="16">
      <c r="L16" s="2" t="inlineStr">
        <is>
          <t>保证金占资金</t>
        </is>
      </c>
      <c r="R16" s="31">
        <f>R10/参数!$B$3</f>
        <v/>
      </c>
    </row>
    <row r="19">
      <c r="A19" s="7" t="inlineStr">
        <is>
          <t>板块风险（实盘，按方向）</t>
        </is>
      </c>
    </row>
    <row r="20">
      <c r="A20" s="8" t="inlineStr">
        <is>
          <t>板块</t>
        </is>
      </c>
      <c r="B20" s="8" t="inlineStr">
        <is>
          <t>方向</t>
        </is>
      </c>
      <c r="C20" s="8" t="inlineStr">
        <is>
          <t>风险预算占比</t>
        </is>
      </c>
      <c r="D20" s="8" t="inlineStr">
        <is>
          <t>计划风险（元）</t>
        </is>
      </c>
    </row>
    <row r="21">
      <c r="A21" s="2" t="inlineStr">
        <is>
          <t>化工</t>
        </is>
      </c>
      <c r="B21" s="9" t="inlineStr">
        <is>
          <t>多</t>
        </is>
      </c>
      <c r="C21" s="29">
        <f>SUMIFS($M$2:$M$9,$F$2:$F$9,A21,$D$2:$D$9,B21,$T$2:$T$9,"否")</f>
        <v/>
      </c>
      <c r="D21" s="12">
        <f>SUMIFS($N$2:$N$9,$F$2:$F$9,A21,$D$2:$D$9,B21,$T$2:$T$9,"否")</f>
        <v/>
      </c>
    </row>
    <row r="22">
      <c r="A22" s="2" t="inlineStr">
        <is>
          <t>建材</t>
        </is>
      </c>
      <c r="B22" s="9" t="inlineStr">
        <is>
          <t>多</t>
        </is>
      </c>
      <c r="C22" s="29">
        <f>SUMIFS($M$2:$M$9,$F$2:$F$9,A22,$D$2:$D$9,B22,$T$2:$T$9,"否")</f>
        <v/>
      </c>
      <c r="D22" s="12">
        <f>SUMIFS($N$2:$N$9,$F$2:$F$9,A22,$D$2:$D$9,B22,$T$2:$T$9,"否")</f>
        <v/>
      </c>
    </row>
    <row r="23">
      <c r="A23" s="2" t="inlineStr">
        <is>
          <t>有色</t>
        </is>
      </c>
      <c r="B23" s="14" t="inlineStr">
        <is>
          <t>空</t>
        </is>
      </c>
      <c r="C23" s="29">
        <f>SUMIFS($M$2:$M$9,$F$2:$F$9,A23,$D$2:$D$9,B23,$T$2:$T$9,"否")</f>
        <v/>
      </c>
      <c r="D23" s="12">
        <f>SUMIFS($N$2:$N$9,$F$2:$F$9,A23,$D$2:$D$9,B23,$T$2:$T$9,"否")</f>
        <v/>
      </c>
    </row>
    <row r="24">
      <c r="A24" s="2" t="inlineStr">
        <is>
          <t>软商品</t>
        </is>
      </c>
      <c r="B24" s="14" t="inlineStr">
        <is>
          <t>空</t>
        </is>
      </c>
      <c r="C24" s="29">
        <f>SUMIFS($M$2:$M$9,$F$2:$F$9,A24,$D$2:$D$9,B24,$T$2:$T$9,"否")</f>
        <v/>
      </c>
      <c r="D24" s="12">
        <f>SUMIFS($N$2:$N$9,$F$2:$F$9,A24,$D$2:$D$9,B24,$T$2:$T$9,"否")</f>
        <v/>
      </c>
    </row>
    <row r="25">
      <c r="A25" s="2" t="inlineStr">
        <is>
          <t>黑色</t>
        </is>
      </c>
      <c r="B25" s="14" t="inlineStr">
        <is>
          <t>空</t>
        </is>
      </c>
      <c r="C25" s="29">
        <f>SUMIFS($M$2:$M$9,$F$2:$F$9,A25,$D$2:$D$9,B25,$T$2:$T$9,"否")</f>
        <v/>
      </c>
      <c r="D25" s="12">
        <f>SUMIFS($N$2:$N$9,$F$2:$F$9,A25,$D$2:$D$9,B25,$T$2:$T$9,"否")</f>
        <v/>
      </c>
    </row>
    <row r="27">
      <c r="A27" s="4" t="inlineStr">
        <is>
          <t>R倍数 = 浮动盈亏 ÷ 风险预算。“待成交”行的入场价是信号日收盘价，次日按开盘价成交后更新。保证金按参数页比例粗估。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6" customWidth="1" min="4" max="4"/>
    <col width="6" customWidth="1" min="5" max="5"/>
    <col width="7" customWidth="1" min="6" max="6"/>
    <col width="6" customWidth="1" min="7" max="7"/>
    <col width="11" customWidth="1" min="8" max="8"/>
    <col width="11" customWidth="1" min="9" max="9"/>
    <col width="9" customWidth="1" min="10" max="10"/>
    <col width="12" customWidth="1" min="11" max="11"/>
    <col width="12" customWidth="1" min="12" max="12"/>
    <col width="8" customWidth="1" min="13" max="13"/>
    <col width="22" customWidth="1" min="14" max="14"/>
    <col width="7" customWidth="1" min="15" max="15"/>
  </cols>
  <sheetData>
    <row r="1">
      <c r="A1" s="8" t="inlineStr">
        <is>
          <t>开仓日</t>
        </is>
      </c>
      <c r="B1" s="8" t="inlineStr">
        <is>
          <t>平仓日</t>
        </is>
      </c>
      <c r="C1" s="8" t="inlineStr">
        <is>
          <t>品种</t>
        </is>
      </c>
      <c r="D1" s="8" t="inlineStr">
        <is>
          <t>代码</t>
        </is>
      </c>
      <c r="E1" s="8" t="inlineStr">
        <is>
          <t>方向</t>
        </is>
      </c>
      <c r="F1" s="8" t="inlineStr">
        <is>
          <t>星级</t>
        </is>
      </c>
      <c r="G1" s="8" t="inlineStr">
        <is>
          <t>手数</t>
        </is>
      </c>
      <c r="H1" s="8" t="inlineStr">
        <is>
          <t>入场价</t>
        </is>
      </c>
      <c r="I1" s="8" t="inlineStr">
        <is>
          <t>平仓价</t>
        </is>
      </c>
      <c r="J1" s="8" t="inlineStr">
        <is>
          <t>合约乘数</t>
        </is>
      </c>
      <c r="K1" s="8" t="inlineStr">
        <is>
          <t>风险预算（元）</t>
        </is>
      </c>
      <c r="L1" s="8" t="inlineStr">
        <is>
          <t>盈亏（元）</t>
        </is>
      </c>
      <c r="M1" s="8" t="inlineStr">
        <is>
          <t>R倍数</t>
        </is>
      </c>
      <c r="N1" s="8" t="inlineStr">
        <is>
          <t>平仓原因</t>
        </is>
      </c>
      <c r="O1" s="8" t="inlineStr">
        <is>
          <t>观察仓</t>
        </is>
      </c>
    </row>
    <row r="2">
      <c r="A2" s="2" t="inlineStr">
        <is>
          <t>2026-10-27</t>
        </is>
      </c>
      <c r="B2" s="2" t="inlineStr">
        <is>
          <t>2026-10-30</t>
        </is>
      </c>
      <c r="C2" s="2" t="inlineStr">
        <is>
          <t>沪镍</t>
        </is>
      </c>
      <c r="D2" s="2" t="inlineStr">
        <is>
          <t>NI</t>
        </is>
      </c>
      <c r="E2" s="14" t="inlineStr">
        <is>
          <t>空</t>
        </is>
      </c>
      <c r="F2" s="2" t="inlineStr">
        <is>
          <t>★★</t>
        </is>
      </c>
      <c r="G2" s="10" t="n">
        <v>4</v>
      </c>
      <c r="H2" s="11" t="n">
        <v>118130</v>
      </c>
      <c r="I2" s="11" t="n">
        <v>117190</v>
      </c>
      <c r="J2" s="10" t="n">
        <v>1</v>
      </c>
      <c r="K2" s="10" t="n">
        <v>20000</v>
      </c>
      <c r="L2" s="23">
        <f>IF(E2="多",1,-1)*(I2-H2)*G2*J2</f>
        <v/>
      </c>
      <c r="M2" s="24">
        <f>L2/K2</f>
        <v/>
      </c>
      <c r="N2" s="2" t="inlineStr">
        <is>
          <t>将军撤退</t>
        </is>
      </c>
      <c r="O2" s="2" t="inlineStr">
        <is>
          <t>否</t>
        </is>
      </c>
    </row>
    <row r="3">
      <c r="K3" s="7" t="inlineStr">
        <is>
          <t>合计（实盘）</t>
        </is>
      </c>
      <c r="L3" s="27">
        <f>SUMIF(O2:O2,"否",L2:L2)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6" customWidth="1" min="4" max="4"/>
    <col width="6" customWidth="1" min="5" max="5"/>
    <col width="7" customWidth="1" min="6" max="6"/>
    <col width="6" customWidth="1" min="7" max="7"/>
    <col width="11" customWidth="1" min="8" max="8"/>
    <col width="11" customWidth="1" min="9" max="9"/>
    <col width="9" customWidth="1" min="10" max="10"/>
    <col width="12" customWidth="1" min="11" max="11"/>
    <col width="12" customWidth="1" min="12" max="12"/>
    <col width="8" customWidth="1" min="13" max="13"/>
    <col width="22" customWidth="1" min="14" max="14"/>
    <col width="7" customWidth="1" min="15" max="15"/>
  </cols>
  <sheetData>
    <row r="1">
      <c r="A1" s="8" t="inlineStr">
        <is>
          <t>开仓日</t>
        </is>
      </c>
      <c r="B1" s="8" t="inlineStr">
        <is>
          <t>平仓日</t>
        </is>
      </c>
      <c r="C1" s="8" t="inlineStr">
        <is>
          <t>品种</t>
        </is>
      </c>
      <c r="D1" s="8" t="inlineStr">
        <is>
          <t>代码</t>
        </is>
      </c>
      <c r="E1" s="8" t="inlineStr">
        <is>
          <t>方向</t>
        </is>
      </c>
      <c r="F1" s="8" t="inlineStr">
        <is>
          <t>星级</t>
        </is>
      </c>
      <c r="G1" s="8" t="inlineStr">
        <is>
          <t>手数</t>
        </is>
      </c>
      <c r="H1" s="8" t="inlineStr">
        <is>
          <t>入场价</t>
        </is>
      </c>
      <c r="I1" s="8" t="inlineStr">
        <is>
          <t>平仓价</t>
        </is>
      </c>
      <c r="J1" s="8" t="inlineStr">
        <is>
          <t>合约乘数</t>
        </is>
      </c>
      <c r="K1" s="8" t="inlineStr">
        <is>
          <t>风险预算（元）</t>
        </is>
      </c>
      <c r="L1" s="8" t="inlineStr">
        <is>
          <t>盈亏（元）</t>
        </is>
      </c>
      <c r="M1" s="8" t="inlineStr">
        <is>
          <t>R倍数</t>
        </is>
      </c>
      <c r="N1" s="8" t="inlineStr">
        <is>
          <t>平仓原因</t>
        </is>
      </c>
      <c r="O1" s="8" t="inlineStr">
        <is>
          <t>观察仓</t>
        </is>
      </c>
    </row>
    <row r="2">
      <c r="A2" s="2" t="inlineStr">
        <is>
          <t>2026-10-27</t>
        </is>
      </c>
      <c r="B2" s="2" t="inlineStr">
        <is>
          <t>2026-10-30</t>
        </is>
      </c>
      <c r="C2" s="2" t="inlineStr">
        <is>
          <t>沪镍</t>
        </is>
      </c>
      <c r="D2" s="2" t="inlineStr">
        <is>
          <t>NI</t>
        </is>
      </c>
      <c r="E2" s="14" t="inlineStr">
        <is>
          <t>空</t>
        </is>
      </c>
      <c r="F2" s="2" t="inlineStr">
        <is>
          <t>★★</t>
        </is>
      </c>
      <c r="G2" s="10" t="n">
        <v>4</v>
      </c>
      <c r="H2" s="11" t="n">
        <v>118130</v>
      </c>
      <c r="I2" s="11" t="n">
        <v>117190</v>
      </c>
      <c r="J2" s="10" t="n">
        <v>1</v>
      </c>
      <c r="K2" s="10" t="n">
        <v>20000</v>
      </c>
      <c r="L2" s="23">
        <f>IF(E2="多",1,-1)*(I2-H2)*G2*J2</f>
        <v/>
      </c>
      <c r="M2" s="24">
        <f>L2/K2</f>
        <v/>
      </c>
      <c r="N2" s="2" t="inlineStr">
        <is>
          <t>将军撤退</t>
        </is>
      </c>
      <c r="O2" s="2" t="inlineStr">
        <is>
          <t>否</t>
        </is>
      </c>
    </row>
    <row r="3">
      <c r="A3" s="2" t="inlineStr">
        <is>
          <t>2026-10-26</t>
        </is>
      </c>
      <c r="B3" s="2" t="inlineStr">
        <is>
          <t>2026-10-29</t>
        </is>
      </c>
      <c r="C3" s="2" t="inlineStr">
        <is>
          <t>塑料</t>
        </is>
      </c>
      <c r="D3" s="2" t="inlineStr">
        <is>
          <t>L</t>
        </is>
      </c>
      <c r="E3" s="9" t="inlineStr">
        <is>
          <t>多</t>
        </is>
      </c>
      <c r="F3" s="2" t="inlineStr">
        <is>
          <t>★★★</t>
        </is>
      </c>
      <c r="G3" s="10" t="n">
        <v>7</v>
      </c>
      <c r="H3" s="11" t="n">
        <v>9149</v>
      </c>
      <c r="I3" s="11" t="n">
        <v>9363</v>
      </c>
      <c r="J3" s="10" t="n">
        <v>5</v>
      </c>
      <c r="K3" s="10" t="n">
        <v>20000</v>
      </c>
      <c r="L3" s="23">
        <f>IF(E3="多",1,-1)*(I3-H3)*G3*J3</f>
        <v/>
      </c>
      <c r="M3" s="24">
        <f>L3/K3</f>
        <v/>
      </c>
      <c r="N3" s="2" t="inlineStr">
        <is>
          <t>将军撤退</t>
        </is>
      </c>
      <c r="O3" s="2" t="inlineStr">
        <is>
          <t>否</t>
        </is>
      </c>
    </row>
    <row r="4">
      <c r="A4" s="2" t="inlineStr">
        <is>
          <t>2026-10-22</t>
        </is>
      </c>
      <c r="B4" s="2" t="inlineStr">
        <is>
          <t>2026-10-29</t>
        </is>
      </c>
      <c r="C4" s="2" t="inlineStr">
        <is>
          <t>碳酸锂</t>
        </is>
      </c>
      <c r="D4" s="2" t="inlineStr">
        <is>
          <t>LC</t>
        </is>
      </c>
      <c r="E4" s="14" t="inlineStr">
        <is>
          <t>空</t>
        </is>
      </c>
      <c r="F4" s="2" t="inlineStr">
        <is>
          <t>★★★</t>
        </is>
      </c>
      <c r="G4" s="10" t="n">
        <v>1</v>
      </c>
      <c r="H4" s="11" t="n">
        <v>94180</v>
      </c>
      <c r="I4" s="11" t="n">
        <v>88360</v>
      </c>
      <c r="J4" s="10" t="n">
        <v>1</v>
      </c>
      <c r="K4" s="10" t="n">
        <v>20000</v>
      </c>
      <c r="L4" s="23">
        <f>IF(E4="多",1,-1)*(I4-H4)*G4*J4</f>
        <v/>
      </c>
      <c r="M4" s="24">
        <f>L4/K4</f>
        <v/>
      </c>
      <c r="N4" s="2" t="inlineStr">
        <is>
          <t>满3日</t>
        </is>
      </c>
      <c r="O4" s="2" t="inlineStr">
        <is>
          <t>否</t>
        </is>
      </c>
    </row>
    <row r="5">
      <c r="A5" s="2" t="inlineStr">
        <is>
          <t>2026-10-26</t>
        </is>
      </c>
      <c r="B5" s="2" t="inlineStr">
        <is>
          <t>2026-10-27</t>
        </is>
      </c>
      <c r="C5" s="2" t="inlineStr">
        <is>
          <t>螺纹</t>
        </is>
      </c>
      <c r="D5" s="2" t="inlineStr">
        <is>
          <t>RB</t>
        </is>
      </c>
      <c r="E5" s="14" t="inlineStr">
        <is>
          <t>空</t>
        </is>
      </c>
      <c r="F5" s="2" t="inlineStr">
        <is>
          <t>★★★</t>
        </is>
      </c>
      <c r="G5" s="10" t="n">
        <v>37</v>
      </c>
      <c r="H5" s="11" t="n">
        <v>3037</v>
      </c>
      <c r="I5" s="11" t="n">
        <v>3040</v>
      </c>
      <c r="J5" s="10" t="n">
        <v>10</v>
      </c>
      <c r="K5" s="10" t="n">
        <v>20000</v>
      </c>
      <c r="L5" s="23">
        <f>IF(E5="多",1,-1)*(I5-H5)*G5*J5</f>
        <v/>
      </c>
      <c r="M5" s="24">
        <f>L5/K5</f>
        <v/>
      </c>
      <c r="N5" s="2" t="inlineStr">
        <is>
          <t>将军撤退+大将军转向</t>
        </is>
      </c>
      <c r="O5" s="2" t="inlineStr">
        <is>
          <t>否</t>
        </is>
      </c>
    </row>
    <row r="6">
      <c r="A6" s="2" t="inlineStr">
        <is>
          <t>2026-10-22</t>
        </is>
      </c>
      <c r="B6" s="2" t="inlineStr">
        <is>
          <t>2026-10-27</t>
        </is>
      </c>
      <c r="C6" s="2" t="inlineStr">
        <is>
          <t>铁矿</t>
        </is>
      </c>
      <c r="D6" s="2" t="inlineStr">
        <is>
          <t>I</t>
        </is>
      </c>
      <c r="E6" s="14" t="inlineStr">
        <is>
          <t>空</t>
        </is>
      </c>
      <c r="F6" s="2" t="inlineStr">
        <is>
          <t>★★★</t>
        </is>
      </c>
      <c r="G6" s="10" t="n">
        <v>4</v>
      </c>
      <c r="H6" s="11" t="n">
        <v>669</v>
      </c>
      <c r="I6" s="11" t="n">
        <v>664</v>
      </c>
      <c r="J6" s="10" t="n">
        <v>100</v>
      </c>
      <c r="K6" s="10" t="n">
        <v>10000</v>
      </c>
      <c r="L6" s="23">
        <f>IF(E6="多",1,-1)*(I6-H6)*G6*J6</f>
        <v/>
      </c>
      <c r="M6" s="24">
        <f>L6/K6</f>
        <v/>
      </c>
      <c r="N6" s="2" t="inlineStr">
        <is>
          <t>大将军转向</t>
        </is>
      </c>
      <c r="O6" s="2" t="inlineStr">
        <is>
          <t>否</t>
        </is>
      </c>
    </row>
    <row r="7">
      <c r="A7" s="2" t="inlineStr">
        <is>
          <t>2026-10-23</t>
        </is>
      </c>
      <c r="B7" s="2" t="inlineStr">
        <is>
          <t>2026-10-26</t>
        </is>
      </c>
      <c r="C7" s="2" t="inlineStr">
        <is>
          <t>燃料油</t>
        </is>
      </c>
      <c r="D7" s="2" t="inlineStr">
        <is>
          <t>FU</t>
        </is>
      </c>
      <c r="E7" s="9" t="inlineStr">
        <is>
          <t>多</t>
        </is>
      </c>
      <c r="F7" s="2" t="inlineStr">
        <is>
          <t>★★★</t>
        </is>
      </c>
      <c r="G7" s="10" t="n">
        <v>3</v>
      </c>
      <c r="H7" s="11" t="n">
        <v>5139</v>
      </c>
      <c r="I7" s="11" t="n">
        <v>5295</v>
      </c>
      <c r="J7" s="10" t="n">
        <v>10</v>
      </c>
      <c r="K7" s="10" t="n">
        <v>20000</v>
      </c>
      <c r="L7" s="23">
        <f>IF(E7="多",1,-1)*(I7-H7)*G7*J7</f>
        <v/>
      </c>
      <c r="M7" s="24">
        <f>L7/K7</f>
        <v/>
      </c>
      <c r="N7" s="2" t="inlineStr">
        <is>
          <t>将军撤退</t>
        </is>
      </c>
      <c r="O7" s="2" t="inlineStr">
        <is>
          <t>否</t>
        </is>
      </c>
    </row>
    <row r="8">
      <c r="A8" s="2" t="inlineStr">
        <is>
          <t>2026-10-22</t>
        </is>
      </c>
      <c r="B8" s="2" t="inlineStr">
        <is>
          <t>2026-10-26</t>
        </is>
      </c>
      <c r="C8" s="2" t="inlineStr">
        <is>
          <t>沪银</t>
        </is>
      </c>
      <c r="D8" s="2" t="inlineStr">
        <is>
          <t>AG</t>
        </is>
      </c>
      <c r="E8" s="14" t="inlineStr">
        <is>
          <t>空</t>
        </is>
      </c>
      <c r="F8" s="2" t="inlineStr">
        <is>
          <t>★★★</t>
        </is>
      </c>
      <c r="G8" s="10" t="n">
        <v>1</v>
      </c>
      <c r="H8" s="11" t="n">
        <v>13608</v>
      </c>
      <c r="I8" s="11" t="n">
        <v>13040</v>
      </c>
      <c r="J8" s="10" t="n">
        <v>15</v>
      </c>
      <c r="K8" s="10" t="n">
        <v>20000</v>
      </c>
      <c r="L8" s="23">
        <f>IF(E8="多",1,-1)*(I8-H8)*G8*J8</f>
        <v/>
      </c>
      <c r="M8" s="24">
        <f>L8/K8</f>
        <v/>
      </c>
      <c r="N8" s="2" t="inlineStr">
        <is>
          <t>将军撤退+大将军转向</t>
        </is>
      </c>
      <c r="O8" s="2" t="inlineStr">
        <is>
          <t>否</t>
        </is>
      </c>
    </row>
    <row r="9">
      <c r="A9" s="2" t="inlineStr">
        <is>
          <t>2026-10-21</t>
        </is>
      </c>
      <c r="B9" s="2" t="inlineStr">
        <is>
          <t>2026-10-26</t>
        </is>
      </c>
      <c r="C9" s="2" t="inlineStr">
        <is>
          <t>烧碱</t>
        </is>
      </c>
      <c r="D9" s="2" t="inlineStr">
        <is>
          <t>SH</t>
        </is>
      </c>
      <c r="E9" s="14" t="inlineStr">
        <is>
          <t>空</t>
        </is>
      </c>
      <c r="F9" s="2" t="inlineStr">
        <is>
          <t>★★★</t>
        </is>
      </c>
      <c r="G9" s="10" t="n">
        <v>4</v>
      </c>
      <c r="H9" s="11" t="n">
        <v>1682</v>
      </c>
      <c r="I9" s="11" t="n">
        <v>1512</v>
      </c>
      <c r="J9" s="10" t="n">
        <v>30</v>
      </c>
      <c r="K9" s="10" t="n">
        <v>10000</v>
      </c>
      <c r="L9" s="23">
        <f>IF(E9="多",1,-1)*(I9-H9)*G9*J9</f>
        <v/>
      </c>
      <c r="M9" s="24">
        <f>L9/K9</f>
        <v/>
      </c>
      <c r="N9" s="2" t="inlineStr">
        <is>
          <t>大将军转向</t>
        </is>
      </c>
      <c r="O9" s="2" t="inlineStr">
        <is>
          <t>否</t>
        </is>
      </c>
    </row>
    <row r="10">
      <c r="A10" s="2" t="inlineStr">
        <is>
          <t>2026-10-20</t>
        </is>
      </c>
      <c r="B10" s="2" t="inlineStr">
        <is>
          <t>2026-10-26</t>
        </is>
      </c>
      <c r="C10" s="2" t="inlineStr">
        <is>
          <t>硅铁</t>
        </is>
      </c>
      <c r="D10" s="2" t="inlineStr">
        <is>
          <t>SF</t>
        </is>
      </c>
      <c r="E10" s="14" t="inlineStr">
        <is>
          <t>空</t>
        </is>
      </c>
      <c r="F10" s="2" t="inlineStr">
        <is>
          <t>★★★</t>
        </is>
      </c>
      <c r="G10" s="10" t="n">
        <v>11</v>
      </c>
      <c r="H10" s="11" t="n">
        <v>5812</v>
      </c>
      <c r="I10" s="11" t="n">
        <v>5828</v>
      </c>
      <c r="J10" s="10" t="n">
        <v>5</v>
      </c>
      <c r="K10" s="10" t="n">
        <v>10000</v>
      </c>
      <c r="L10" s="23">
        <f>IF(E10="多",1,-1)*(I10-H10)*G10*J10</f>
        <v/>
      </c>
      <c r="M10" s="24">
        <f>L10/K10</f>
        <v/>
      </c>
      <c r="N10" s="2" t="inlineStr">
        <is>
          <t>满3日</t>
        </is>
      </c>
      <c r="O10" s="2" t="inlineStr">
        <is>
          <t>否</t>
        </is>
      </c>
    </row>
    <row r="11">
      <c r="A11" s="2" t="inlineStr">
        <is>
          <t>2026-10-12</t>
        </is>
      </c>
      <c r="B11" s="2" t="inlineStr">
        <is>
          <t>2026-10-26</t>
        </is>
      </c>
      <c r="C11" s="2" t="inlineStr">
        <is>
          <t>玻璃</t>
        </is>
      </c>
      <c r="D11" s="2" t="inlineStr">
        <is>
          <t>FG</t>
        </is>
      </c>
      <c r="E11" s="14" t="inlineStr">
        <is>
          <t>空</t>
        </is>
      </c>
      <c r="F11" s="2" t="inlineStr">
        <is>
          <t>★★★</t>
        </is>
      </c>
      <c r="G11" s="10" t="n">
        <v>14</v>
      </c>
      <c r="H11" s="11" t="n">
        <v>863</v>
      </c>
      <c r="I11" s="11" t="n">
        <v>838</v>
      </c>
      <c r="J11" s="10" t="n">
        <v>20</v>
      </c>
      <c r="K11" s="10" t="n">
        <v>10000</v>
      </c>
      <c r="L11" s="23">
        <f>IF(E11="多",1,-1)*(I11-H11)*G11*J11</f>
        <v/>
      </c>
      <c r="M11" s="24">
        <f>L11/K11</f>
        <v/>
      </c>
      <c r="N11" s="2" t="inlineStr">
        <is>
          <t>满3日</t>
        </is>
      </c>
      <c r="O11" s="2" t="inlineStr">
        <is>
          <t>否</t>
        </is>
      </c>
    </row>
    <row r="12">
      <c r="A12" s="2" t="inlineStr">
        <is>
          <t>2026-10-20</t>
        </is>
      </c>
      <c r="B12" s="2" t="inlineStr">
        <is>
          <t>2026-10-23</t>
        </is>
      </c>
      <c r="C12" s="2" t="inlineStr">
        <is>
          <t>纯碱</t>
        </is>
      </c>
      <c r="D12" s="2" t="inlineStr">
        <is>
          <t>SA</t>
        </is>
      </c>
      <c r="E12" s="14" t="inlineStr">
        <is>
          <t>空</t>
        </is>
      </c>
      <c r="F12" s="2" t="inlineStr">
        <is>
          <t>★★★</t>
        </is>
      </c>
      <c r="G12" s="10" t="n">
        <v>10</v>
      </c>
      <c r="H12" s="11" t="n">
        <v>938</v>
      </c>
      <c r="I12" s="11" t="n">
        <v>963</v>
      </c>
      <c r="J12" s="10" t="n">
        <v>20</v>
      </c>
      <c r="K12" s="10" t="n">
        <v>10000</v>
      </c>
      <c r="L12" s="23">
        <f>IF(E12="多",1,-1)*(I12-H12)*G12*J12</f>
        <v/>
      </c>
      <c r="M12" s="24">
        <f>L12/K12</f>
        <v/>
      </c>
      <c r="N12" s="2" t="inlineStr">
        <is>
          <t>满3日</t>
        </is>
      </c>
      <c r="O12" s="2" t="inlineStr">
        <is>
          <t>否</t>
        </is>
      </c>
    </row>
    <row r="13">
      <c r="A13" s="2" t="inlineStr">
        <is>
          <t>2026-10-19</t>
        </is>
      </c>
      <c r="B13" s="2" t="inlineStr">
        <is>
          <t>2026-10-23</t>
        </is>
      </c>
      <c r="C13" s="2" t="inlineStr">
        <is>
          <t>纸浆</t>
        </is>
      </c>
      <c r="D13" s="2" t="inlineStr">
        <is>
          <t>SP</t>
        </is>
      </c>
      <c r="E13" s="14" t="inlineStr">
        <is>
          <t>空</t>
        </is>
      </c>
      <c r="F13" s="2" t="inlineStr">
        <is>
          <t>★★</t>
        </is>
      </c>
      <c r="G13" s="10" t="n">
        <v>6</v>
      </c>
      <c r="H13" s="11" t="n">
        <v>4728</v>
      </c>
      <c r="I13" s="11" t="n">
        <v>4648</v>
      </c>
      <c r="J13" s="10" t="n">
        <v>10</v>
      </c>
      <c r="K13" s="10" t="n">
        <v>10000</v>
      </c>
      <c r="L13" s="23">
        <f>IF(E13="多",1,-1)*(I13-H13)*G13*J13</f>
        <v/>
      </c>
      <c r="M13" s="24">
        <f>L13/K13</f>
        <v/>
      </c>
      <c r="N13" s="2" t="inlineStr">
        <is>
          <t>满3日</t>
        </is>
      </c>
      <c r="O13" s="2" t="inlineStr">
        <is>
          <t>否</t>
        </is>
      </c>
    </row>
    <row r="14">
      <c r="A14" s="15" t="inlineStr">
        <is>
          <t>2026-10-19</t>
        </is>
      </c>
      <c r="B14" s="15" t="inlineStr">
        <is>
          <t>2026-10-22</t>
        </is>
      </c>
      <c r="C14" s="15" t="inlineStr">
        <is>
          <t>沪锌</t>
        </is>
      </c>
      <c r="D14" s="15" t="inlineStr">
        <is>
          <t>ZN</t>
        </is>
      </c>
      <c r="E14" s="15" t="inlineStr">
        <is>
          <t>多</t>
        </is>
      </c>
      <c r="F14" s="15" t="inlineStr">
        <is>
          <t>★</t>
        </is>
      </c>
      <c r="G14" s="15" t="n">
        <v>2</v>
      </c>
      <c r="H14" s="16" t="n">
        <v>25495</v>
      </c>
      <c r="I14" s="16" t="n">
        <v>25425</v>
      </c>
      <c r="J14" s="15" t="n">
        <v>5</v>
      </c>
      <c r="K14" s="15" t="n">
        <v>10000</v>
      </c>
      <c r="L14" s="25">
        <f>IF(E14="多",1,-1)*(I14-H14)*G14*J14</f>
        <v/>
      </c>
      <c r="M14" s="26">
        <f>L14/K14</f>
        <v/>
      </c>
      <c r="N14" s="15" t="inlineStr">
        <is>
          <t>满3日</t>
        </is>
      </c>
      <c r="O14" s="15" t="inlineStr">
        <is>
          <t>是</t>
        </is>
      </c>
    </row>
    <row r="15">
      <c r="A15" s="15" t="inlineStr">
        <is>
          <t>2026-10-19</t>
        </is>
      </c>
      <c r="B15" s="15" t="inlineStr">
        <is>
          <t>2026-10-22</t>
        </is>
      </c>
      <c r="C15" s="15" t="inlineStr">
        <is>
          <t>尿素</t>
        </is>
      </c>
      <c r="D15" s="15" t="inlineStr">
        <is>
          <t>UR</t>
        </is>
      </c>
      <c r="E15" s="15" t="inlineStr">
        <is>
          <t>空</t>
        </is>
      </c>
      <c r="F15" s="15" t="inlineStr">
        <is>
          <t>★</t>
        </is>
      </c>
      <c r="G15" s="15" t="n">
        <v>10</v>
      </c>
      <c r="H15" s="16" t="n">
        <v>1694</v>
      </c>
      <c r="I15" s="16" t="n">
        <v>1682</v>
      </c>
      <c r="J15" s="15" t="n">
        <v>20</v>
      </c>
      <c r="K15" s="15" t="n">
        <v>10000</v>
      </c>
      <c r="L15" s="25">
        <f>IF(E15="多",1,-1)*(I15-H15)*G15*J15</f>
        <v/>
      </c>
      <c r="M15" s="26">
        <f>L15/K15</f>
        <v/>
      </c>
      <c r="N15" s="15" t="inlineStr">
        <is>
          <t>满3日</t>
        </is>
      </c>
      <c r="O15" s="15" t="inlineStr">
        <is>
          <t>是</t>
        </is>
      </c>
    </row>
    <row r="16">
      <c r="A16" s="15" t="inlineStr">
        <is>
          <t>2026-10-19</t>
        </is>
      </c>
      <c r="B16" s="15" t="inlineStr">
        <is>
          <t>2026-10-22</t>
        </is>
      </c>
      <c r="C16" s="15" t="inlineStr">
        <is>
          <t>白糖</t>
        </is>
      </c>
      <c r="D16" s="15" t="inlineStr">
        <is>
          <t>SR</t>
        </is>
      </c>
      <c r="E16" s="15" t="inlineStr">
        <is>
          <t>空</t>
        </is>
      </c>
      <c r="F16" s="15" t="inlineStr">
        <is>
          <t>★</t>
        </is>
      </c>
      <c r="G16" s="15" t="n">
        <v>8</v>
      </c>
      <c r="H16" s="16" t="n">
        <v>5379</v>
      </c>
      <c r="I16" s="16" t="n">
        <v>5383</v>
      </c>
      <c r="J16" s="15" t="n">
        <v>10</v>
      </c>
      <c r="K16" s="15" t="n">
        <v>10000</v>
      </c>
      <c r="L16" s="25">
        <f>IF(E16="多",1,-1)*(I16-H16)*G16*J16</f>
        <v/>
      </c>
      <c r="M16" s="26">
        <f>L16/K16</f>
        <v/>
      </c>
      <c r="N16" s="15" t="inlineStr">
        <is>
          <t>满3日</t>
        </is>
      </c>
      <c r="O16" s="15" t="inlineStr">
        <is>
          <t>是</t>
        </is>
      </c>
    </row>
    <row r="17">
      <c r="A17" s="2" t="inlineStr">
        <is>
          <t>2026-10-19</t>
        </is>
      </c>
      <c r="B17" s="2" t="inlineStr">
        <is>
          <t>2026-10-22</t>
        </is>
      </c>
      <c r="C17" s="2" t="inlineStr">
        <is>
          <t>生猪</t>
        </is>
      </c>
      <c r="D17" s="2" t="inlineStr">
        <is>
          <t>LH</t>
        </is>
      </c>
      <c r="E17" s="14" t="inlineStr">
        <is>
          <t>空</t>
        </is>
      </c>
      <c r="F17" s="2" t="inlineStr">
        <is>
          <t>★★</t>
        </is>
      </c>
      <c r="G17" s="10" t="n">
        <v>1</v>
      </c>
      <c r="H17" s="11" t="n">
        <v>10215</v>
      </c>
      <c r="I17" s="11" t="n">
        <v>9860</v>
      </c>
      <c r="J17" s="10" t="n">
        <v>16</v>
      </c>
      <c r="K17" s="10" t="n">
        <v>10000</v>
      </c>
      <c r="L17" s="23">
        <f>IF(E17="多",1,-1)*(I17-H17)*G17*J17</f>
        <v/>
      </c>
      <c r="M17" s="24">
        <f>L17/K17</f>
        <v/>
      </c>
      <c r="N17" s="2" t="inlineStr">
        <is>
          <t>满3日</t>
        </is>
      </c>
      <c r="O17" s="2" t="inlineStr">
        <is>
          <t>否</t>
        </is>
      </c>
    </row>
    <row r="18">
      <c r="A18" s="2" t="inlineStr">
        <is>
          <t>2026-10-19</t>
        </is>
      </c>
      <c r="B18" s="2" t="inlineStr">
        <is>
          <t>2026-10-22</t>
        </is>
      </c>
      <c r="C18" s="2" t="inlineStr">
        <is>
          <t>鸡蛋</t>
        </is>
      </c>
      <c r="D18" s="2" t="inlineStr">
        <is>
          <t>JD</t>
        </is>
      </c>
      <c r="E18" s="14" t="inlineStr">
        <is>
          <t>空</t>
        </is>
      </c>
      <c r="F18" s="2" t="inlineStr">
        <is>
          <t>★★</t>
        </is>
      </c>
      <c r="G18" s="10" t="n">
        <v>5</v>
      </c>
      <c r="H18" s="11" t="n">
        <v>3302</v>
      </c>
      <c r="I18" s="11" t="n">
        <v>3247</v>
      </c>
      <c r="J18" s="10" t="n">
        <v>10</v>
      </c>
      <c r="K18" s="10" t="n">
        <v>10000</v>
      </c>
      <c r="L18" s="23">
        <f>IF(E18="多",1,-1)*(I18-H18)*G18*J18</f>
        <v/>
      </c>
      <c r="M18" s="24">
        <f>L18/K18</f>
        <v/>
      </c>
      <c r="N18" s="2" t="inlineStr">
        <is>
          <t>满3日</t>
        </is>
      </c>
      <c r="O18" s="2" t="inlineStr">
        <is>
          <t>否</t>
        </is>
      </c>
    </row>
    <row r="19">
      <c r="A19" s="2" t="inlineStr">
        <is>
          <t>2026-10-19</t>
        </is>
      </c>
      <c r="B19" s="2" t="inlineStr">
        <is>
          <t>2026-10-22</t>
        </is>
      </c>
      <c r="C19" s="2" t="inlineStr">
        <is>
          <t>苯乙烯</t>
        </is>
      </c>
      <c r="D19" s="2" t="inlineStr">
        <is>
          <t>EB</t>
        </is>
      </c>
      <c r="E19" s="9" t="inlineStr">
        <is>
          <t>多</t>
        </is>
      </c>
      <c r="F19" s="2" t="inlineStr">
        <is>
          <t>★★★</t>
        </is>
      </c>
      <c r="G19" s="10" t="n">
        <v>2</v>
      </c>
      <c r="H19" s="11" t="n">
        <v>10235</v>
      </c>
      <c r="I19" s="11" t="n">
        <v>10672</v>
      </c>
      <c r="J19" s="10" t="n">
        <v>5</v>
      </c>
      <c r="K19" s="10" t="n">
        <v>10000</v>
      </c>
      <c r="L19" s="23">
        <f>IF(E19="多",1,-1)*(I19-H19)*G19*J19</f>
        <v/>
      </c>
      <c r="M19" s="24">
        <f>L19/K19</f>
        <v/>
      </c>
      <c r="N19" s="2" t="inlineStr">
        <is>
          <t>满3日</t>
        </is>
      </c>
      <c r="O19" s="2" t="inlineStr">
        <is>
          <t>否</t>
        </is>
      </c>
    </row>
    <row r="20">
      <c r="A20" s="2" t="inlineStr">
        <is>
          <t>2026-10-19</t>
        </is>
      </c>
      <c r="B20" s="2" t="inlineStr">
        <is>
          <t>2026-10-22</t>
        </is>
      </c>
      <c r="C20" s="2" t="inlineStr">
        <is>
          <t>沥青</t>
        </is>
      </c>
      <c r="D20" s="2" t="inlineStr">
        <is>
          <t>BU</t>
        </is>
      </c>
      <c r="E20" s="14" t="inlineStr">
        <is>
          <t>空</t>
        </is>
      </c>
      <c r="F20" s="2" t="inlineStr">
        <is>
          <t>★★</t>
        </is>
      </c>
      <c r="G20" s="10" t="n">
        <v>1</v>
      </c>
      <c r="H20" s="11" t="n">
        <v>4397</v>
      </c>
      <c r="I20" s="11" t="n">
        <v>4533</v>
      </c>
      <c r="J20" s="10" t="n">
        <v>10</v>
      </c>
      <c r="K20" s="10" t="n">
        <v>10000</v>
      </c>
      <c r="L20" s="23">
        <f>IF(E20="多",1,-1)*(I20-H20)*G20*J20</f>
        <v/>
      </c>
      <c r="M20" s="24">
        <f>L20/K20</f>
        <v/>
      </c>
      <c r="N20" s="2" t="inlineStr">
        <is>
          <t>满3日</t>
        </is>
      </c>
      <c r="O20" s="2" t="inlineStr">
        <is>
          <t>否</t>
        </is>
      </c>
    </row>
    <row r="21">
      <c r="A21" s="15" t="inlineStr">
        <is>
          <t>2026-10-19</t>
        </is>
      </c>
      <c r="B21" s="15" t="inlineStr">
        <is>
          <t>2026-10-22</t>
        </is>
      </c>
      <c r="C21" s="15" t="inlineStr">
        <is>
          <t>沪铝</t>
        </is>
      </c>
      <c r="D21" s="15" t="inlineStr">
        <is>
          <t>AL</t>
        </is>
      </c>
      <c r="E21" s="15" t="inlineStr">
        <is>
          <t>空</t>
        </is>
      </c>
      <c r="F21" s="15" t="inlineStr">
        <is>
          <t>★</t>
        </is>
      </c>
      <c r="G21" s="15" t="n">
        <v>3</v>
      </c>
      <c r="H21" s="16" t="n">
        <v>22970</v>
      </c>
      <c r="I21" s="16" t="n">
        <v>23175</v>
      </c>
      <c r="J21" s="15" t="n">
        <v>5</v>
      </c>
      <c r="K21" s="15" t="n">
        <v>10000</v>
      </c>
      <c r="L21" s="25">
        <f>IF(E21="多",1,-1)*(I21-H21)*G21*J21</f>
        <v/>
      </c>
      <c r="M21" s="26">
        <f>L21/K21</f>
        <v/>
      </c>
      <c r="N21" s="15" t="inlineStr">
        <is>
          <t>满3日</t>
        </is>
      </c>
      <c r="O21" s="15" t="inlineStr">
        <is>
          <t>是</t>
        </is>
      </c>
    </row>
    <row r="22">
      <c r="A22" s="2" t="inlineStr">
        <is>
          <t>2026-10-12</t>
        </is>
      </c>
      <c r="B22" s="2" t="inlineStr">
        <is>
          <t>2026-10-22</t>
        </is>
      </c>
      <c r="C22" s="2" t="inlineStr">
        <is>
          <t>燃料油</t>
        </is>
      </c>
      <c r="D22" s="2" t="inlineStr">
        <is>
          <t>FU</t>
        </is>
      </c>
      <c r="E22" s="9" t="inlineStr">
        <is>
          <t>多</t>
        </is>
      </c>
      <c r="F22" s="2" t="inlineStr">
        <is>
          <t>★★</t>
        </is>
      </c>
      <c r="G22" s="10" t="n">
        <v>1</v>
      </c>
      <c r="H22" s="11" t="n">
        <v>4516</v>
      </c>
      <c r="I22" s="11" t="n">
        <v>4911</v>
      </c>
      <c r="J22" s="10" t="n">
        <v>10</v>
      </c>
      <c r="K22" s="10" t="n">
        <v>10000</v>
      </c>
      <c r="L22" s="23">
        <f>IF(E22="多",1,-1)*(I22-H22)*G22*J22</f>
        <v/>
      </c>
      <c r="M22" s="24">
        <f>L22/K22</f>
        <v/>
      </c>
      <c r="N22" s="2" t="inlineStr">
        <is>
          <t>满3日</t>
        </is>
      </c>
      <c r="O22" s="2" t="inlineStr">
        <is>
          <t>否</t>
        </is>
      </c>
    </row>
    <row r="23">
      <c r="A23" s="15" t="inlineStr">
        <is>
          <t>2026-10-19</t>
        </is>
      </c>
      <c r="B23" s="15" t="inlineStr">
        <is>
          <t>2026-10-20</t>
        </is>
      </c>
      <c r="C23" s="15" t="inlineStr">
        <is>
          <t>菜粕</t>
        </is>
      </c>
      <c r="D23" s="15" t="inlineStr">
        <is>
          <t>RM</t>
        </is>
      </c>
      <c r="E23" s="15" t="inlineStr">
        <is>
          <t>多</t>
        </is>
      </c>
      <c r="F23" s="15" t="inlineStr">
        <is>
          <t>★</t>
        </is>
      </c>
      <c r="G23" s="15" t="n">
        <v>11</v>
      </c>
      <c r="H23" s="16" t="n">
        <v>2345</v>
      </c>
      <c r="I23" s="16" t="n">
        <v>2261</v>
      </c>
      <c r="J23" s="15" t="n">
        <v>10</v>
      </c>
      <c r="K23" s="15" t="n">
        <v>10000</v>
      </c>
      <c r="L23" s="25">
        <f>IF(E23="多",1,-1)*(I23-H23)*G23*J23</f>
        <v/>
      </c>
      <c r="M23" s="26">
        <f>L23/K23</f>
        <v/>
      </c>
      <c r="N23" s="15" t="inlineStr">
        <is>
          <t>止损</t>
        </is>
      </c>
      <c r="O23" s="15" t="inlineStr">
        <is>
          <t>是</t>
        </is>
      </c>
    </row>
    <row r="24">
      <c r="A24" s="2" t="inlineStr">
        <is>
          <t>2026-10-12</t>
        </is>
      </c>
      <c r="B24" s="2" t="inlineStr">
        <is>
          <t>2026-10-20</t>
        </is>
      </c>
      <c r="C24" s="2" t="inlineStr">
        <is>
          <t>纯碱</t>
        </is>
      </c>
      <c r="D24" s="2" t="inlineStr">
        <is>
          <t>SA</t>
        </is>
      </c>
      <c r="E24" s="14" t="inlineStr">
        <is>
          <t>空</t>
        </is>
      </c>
      <c r="F24" s="2" t="inlineStr">
        <is>
          <t>★★★</t>
        </is>
      </c>
      <c r="G24" s="10" t="n">
        <v>11</v>
      </c>
      <c r="H24" s="11" t="n">
        <v>985</v>
      </c>
      <c r="I24" s="11" t="n">
        <v>938</v>
      </c>
      <c r="J24" s="10" t="n">
        <v>20</v>
      </c>
      <c r="K24" s="10" t="n">
        <v>10000</v>
      </c>
      <c r="L24" s="23">
        <f>IF(E24="多",1,-1)*(I24-H24)*G24*J24</f>
        <v/>
      </c>
      <c r="M24" s="24">
        <f>L24/K24</f>
        <v/>
      </c>
      <c r="N24" s="2" t="inlineStr">
        <is>
          <t>满3日</t>
        </is>
      </c>
      <c r="O24" s="2" t="inlineStr">
        <is>
          <t>否</t>
        </is>
      </c>
    </row>
    <row r="25">
      <c r="A25" s="2" t="inlineStr">
        <is>
          <t>2026-10-15</t>
        </is>
      </c>
      <c r="B25" s="2" t="inlineStr">
        <is>
          <t>2026-10-19</t>
        </is>
      </c>
      <c r="C25" s="2" t="inlineStr">
        <is>
          <t>沥青</t>
        </is>
      </c>
      <c r="D25" s="2" t="inlineStr">
        <is>
          <t>BU</t>
        </is>
      </c>
      <c r="E25" s="9" t="inlineStr">
        <is>
          <t>多</t>
        </is>
      </c>
      <c r="F25" s="2" t="inlineStr">
        <is>
          <t>★★</t>
        </is>
      </c>
      <c r="G25" s="10" t="n">
        <v>1</v>
      </c>
      <c r="H25" s="11" t="n">
        <v>4510</v>
      </c>
      <c r="I25" s="11" t="n">
        <v>4397</v>
      </c>
      <c r="J25" s="10" t="n">
        <v>10</v>
      </c>
      <c r="K25" s="10" t="n">
        <v>10000</v>
      </c>
      <c r="L25" s="23">
        <f>IF(E25="多",1,-1)*(I25-H25)*G25*J25</f>
        <v/>
      </c>
      <c r="M25" s="24">
        <f>L25/K25</f>
        <v/>
      </c>
      <c r="N25" s="2" t="inlineStr">
        <is>
          <t>反向信号</t>
        </is>
      </c>
      <c r="O25" s="2" t="inlineStr">
        <is>
          <t>否</t>
        </is>
      </c>
    </row>
    <row r="26">
      <c r="A26" s="2" t="inlineStr">
        <is>
          <t>2026-10-12</t>
        </is>
      </c>
      <c r="B26" s="2" t="inlineStr">
        <is>
          <t>2026-10-19</t>
        </is>
      </c>
      <c r="C26" s="2" t="inlineStr">
        <is>
          <t>聚丙烯</t>
        </is>
      </c>
      <c r="D26" s="2" t="inlineStr">
        <is>
          <t>PP</t>
        </is>
      </c>
      <c r="E26" s="9" t="inlineStr">
        <is>
          <t>多</t>
        </is>
      </c>
      <c r="F26" s="2" t="inlineStr">
        <is>
          <t>★★</t>
        </is>
      </c>
      <c r="G26" s="10" t="n">
        <v>3</v>
      </c>
      <c r="H26" s="11" t="n">
        <v>9382</v>
      </c>
      <c r="I26" s="11" t="n">
        <v>9320</v>
      </c>
      <c r="J26" s="10" t="n">
        <v>5</v>
      </c>
      <c r="K26" s="10" t="n">
        <v>10000</v>
      </c>
      <c r="L26" s="23">
        <f>IF(E26="多",1,-1)*(I26-H26)*G26*J26</f>
        <v/>
      </c>
      <c r="M26" s="24">
        <f>L26/K26</f>
        <v/>
      </c>
      <c r="N26" s="2" t="inlineStr">
        <is>
          <t>满3日</t>
        </is>
      </c>
      <c r="O26" s="2" t="inlineStr">
        <is>
          <t>否</t>
        </is>
      </c>
    </row>
    <row r="27">
      <c r="A27" s="2" t="inlineStr">
        <is>
          <t>2026-10-12</t>
        </is>
      </c>
      <c r="B27" s="2" t="inlineStr">
        <is>
          <t>2026-10-19</t>
        </is>
      </c>
      <c r="C27" s="2" t="inlineStr">
        <is>
          <t>生猪</t>
        </is>
      </c>
      <c r="D27" s="2" t="inlineStr">
        <is>
          <t>LH</t>
        </is>
      </c>
      <c r="E27" s="14" t="inlineStr">
        <is>
          <t>空</t>
        </is>
      </c>
      <c r="F27" s="2" t="inlineStr">
        <is>
          <t>★★</t>
        </is>
      </c>
      <c r="G27" s="10" t="n">
        <v>1</v>
      </c>
      <c r="H27" s="11" t="n">
        <v>10885</v>
      </c>
      <c r="I27" s="11" t="n">
        <v>10215</v>
      </c>
      <c r="J27" s="10" t="n">
        <v>16</v>
      </c>
      <c r="K27" s="10" t="n">
        <v>10000</v>
      </c>
      <c r="L27" s="23">
        <f>IF(E27="多",1,-1)*(I27-H27)*G27*J27</f>
        <v/>
      </c>
      <c r="M27" s="24">
        <f>L27/K27</f>
        <v/>
      </c>
      <c r="N27" s="2" t="inlineStr">
        <is>
          <t>满3日</t>
        </is>
      </c>
      <c r="O27" s="2" t="inlineStr">
        <is>
          <t>否</t>
        </is>
      </c>
    </row>
    <row r="28">
      <c r="A28" s="2" t="inlineStr">
        <is>
          <t>2026-10-12</t>
        </is>
      </c>
      <c r="B28" s="2" t="inlineStr">
        <is>
          <t>2026-10-15</t>
        </is>
      </c>
      <c r="C28" s="2" t="inlineStr">
        <is>
          <t>PVC</t>
        </is>
      </c>
      <c r="D28" s="2" t="inlineStr">
        <is>
          <t>V</t>
        </is>
      </c>
      <c r="E28" s="14" t="inlineStr">
        <is>
          <t>空</t>
        </is>
      </c>
      <c r="F28" s="2" t="inlineStr">
        <is>
          <t>★★</t>
        </is>
      </c>
      <c r="G28" s="10" t="n">
        <v>8</v>
      </c>
      <c r="H28" s="11" t="n">
        <v>4904</v>
      </c>
      <c r="I28" s="11" t="n">
        <v>4808</v>
      </c>
      <c r="J28" s="10" t="n">
        <v>5</v>
      </c>
      <c r="K28" s="10" t="n">
        <v>10000</v>
      </c>
      <c r="L28" s="23">
        <f>IF(E28="多",1,-1)*(I28-H28)*G28*J28</f>
        <v/>
      </c>
      <c r="M28" s="24">
        <f>L28/K28</f>
        <v/>
      </c>
      <c r="N28" s="2" t="inlineStr">
        <is>
          <t>满3日</t>
        </is>
      </c>
      <c r="O28" s="2" t="inlineStr">
        <is>
          <t>否</t>
        </is>
      </c>
    </row>
    <row r="29">
      <c r="A29" s="15" t="inlineStr">
        <is>
          <t>2026-10-12</t>
        </is>
      </c>
      <c r="B29" s="15" t="inlineStr">
        <is>
          <t>2026-10-15</t>
        </is>
      </c>
      <c r="C29" s="15" t="inlineStr">
        <is>
          <t>沥青</t>
        </is>
      </c>
      <c r="D29" s="15" t="inlineStr">
        <is>
          <t>BU</t>
        </is>
      </c>
      <c r="E29" s="15" t="inlineStr">
        <is>
          <t>多</t>
        </is>
      </c>
      <c r="F29" s="15" t="inlineStr">
        <is>
          <t>★</t>
        </is>
      </c>
      <c r="G29" s="15" t="n">
        <v>1</v>
      </c>
      <c r="H29" s="16" t="n">
        <v>4532</v>
      </c>
      <c r="I29" s="16" t="n">
        <v>4510</v>
      </c>
      <c r="J29" s="15" t="n">
        <v>10</v>
      </c>
      <c r="K29" s="15" t="n">
        <v>10000</v>
      </c>
      <c r="L29" s="25">
        <f>IF(E29="多",1,-1)*(I29-H29)*G29*J29</f>
        <v/>
      </c>
      <c r="M29" s="26">
        <f>L29/K29</f>
        <v/>
      </c>
      <c r="N29" s="15" t="inlineStr">
        <is>
          <t>满3日（更正：原记“跳空止损 −11.9%”是 10/14 主力由 BU2611 换到 BU2701 造成的假跌；入场价按换月价差 −579 由 5111 调为 4532）</t>
        </is>
      </c>
      <c r="O29" s="15" t="inlineStr">
        <is>
          <t>是</t>
        </is>
      </c>
    </row>
    <row r="30">
      <c r="K30" s="7" t="inlineStr">
        <is>
          <t>合计（实盘）</t>
        </is>
      </c>
      <c r="L30" s="27">
        <f>SUMIF(O2:O29,"否",L2:L29)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6" customWidth="1" min="3" max="3"/>
    <col width="8" customWidth="1" min="4" max="4"/>
    <col width="3" customWidth="1" min="5" max="5"/>
    <col width="24" customWidth="1" min="6" max="6"/>
    <col width="10" customWidth="1" min="7" max="7"/>
  </cols>
  <sheetData>
    <row r="1">
      <c r="A1" s="32" t="inlineStr">
        <is>
          <t>¼ 凯利仓位计算（2 星及以上已平仓，按 R 倍数）</t>
        </is>
      </c>
    </row>
    <row r="2">
      <c r="A2" s="8" t="inlineStr">
        <is>
          <t>#</t>
        </is>
      </c>
      <c r="B2" s="8" t="inlineStr">
        <is>
          <t>交易</t>
        </is>
      </c>
      <c r="C2" s="8" t="inlineStr">
        <is>
          <t>星级</t>
        </is>
      </c>
      <c r="D2" s="8" t="inlineStr">
        <is>
          <t>R倍数</t>
        </is>
      </c>
    </row>
    <row r="3">
      <c r="A3" s="2" t="n">
        <v>1</v>
      </c>
      <c r="B3" s="2" t="inlineStr">
        <is>
          <t>PVC空 10-12</t>
        </is>
      </c>
      <c r="C3" s="10" t="n">
        <v>2</v>
      </c>
      <c r="D3" s="33" t="n">
        <v>0.38</v>
      </c>
      <c r="F3" s="2" t="inlineStr">
        <is>
          <t>已平笔数 n</t>
        </is>
      </c>
      <c r="G3" s="34">
        <f>COUNT(D3:D24)</f>
        <v/>
      </c>
    </row>
    <row r="4">
      <c r="A4" s="2" t="n">
        <v>2</v>
      </c>
      <c r="B4" s="2" t="inlineStr">
        <is>
          <t>生猪空 10-12</t>
        </is>
      </c>
      <c r="C4" s="10" t="n">
        <v>2</v>
      </c>
      <c r="D4" s="33" t="n">
        <v>1.07</v>
      </c>
      <c r="F4" s="2" t="inlineStr">
        <is>
          <t>盈利笔数</t>
        </is>
      </c>
      <c r="G4" s="34">
        <f>COUNTIF(D3:D24,"&gt;0")</f>
        <v/>
      </c>
    </row>
    <row r="5">
      <c r="A5" s="2" t="n">
        <v>3</v>
      </c>
      <c r="B5" s="2" t="inlineStr">
        <is>
          <t>聚丙烯多 10-12</t>
        </is>
      </c>
      <c r="C5" s="10" t="n">
        <v>2</v>
      </c>
      <c r="D5" s="33" t="n">
        <v>-0.09</v>
      </c>
      <c r="F5" s="2" t="inlineStr">
        <is>
          <t>胜率 p</t>
        </is>
      </c>
      <c r="G5" s="31">
        <f>IF(G3=0,0,G4/G3)</f>
        <v/>
      </c>
    </row>
    <row r="6">
      <c r="A6" s="2" t="n">
        <v>4</v>
      </c>
      <c r="B6" s="2" t="inlineStr">
        <is>
          <t>沥青多 10-15</t>
        </is>
      </c>
      <c r="C6" s="10" t="n">
        <v>2</v>
      </c>
      <c r="D6" s="33" t="n">
        <v>-0.11</v>
      </c>
      <c r="F6" s="2" t="inlineStr">
        <is>
          <t>平均盈利 R</t>
        </is>
      </c>
      <c r="G6" s="24">
        <f>IFERROR(AVERAGEIF(D3:D24,"&gt;0"),0)</f>
        <v/>
      </c>
    </row>
    <row r="7">
      <c r="A7" s="2" t="n">
        <v>5</v>
      </c>
      <c r="B7" s="2" t="inlineStr">
        <is>
          <t>纯碱空 10-12</t>
        </is>
      </c>
      <c r="C7" s="10" t="n">
        <v>3</v>
      </c>
      <c r="D7" s="33" t="n">
        <v>1.03</v>
      </c>
      <c r="F7" s="2" t="inlineStr">
        <is>
          <t>平均亏损 R</t>
        </is>
      </c>
      <c r="G7" s="24">
        <f>IFERROR(-AVERAGEIF(D3:D24,"&lt;=0"),0)</f>
        <v/>
      </c>
    </row>
    <row r="8">
      <c r="A8" s="2" t="n">
        <v>6</v>
      </c>
      <c r="B8" s="2" t="inlineStr">
        <is>
          <t>燃料油多 10-12</t>
        </is>
      </c>
      <c r="C8" s="10" t="n">
        <v>2</v>
      </c>
      <c r="D8" s="33" t="n">
        <v>0.4</v>
      </c>
      <c r="F8" s="2" t="inlineStr">
        <is>
          <t>盈亏比 b</t>
        </is>
      </c>
      <c r="G8" s="24">
        <f>IF(G7=0,0,G6/G7)</f>
        <v/>
      </c>
    </row>
    <row r="9">
      <c r="A9" s="2" t="n">
        <v>7</v>
      </c>
      <c r="B9" s="2" t="inlineStr">
        <is>
          <t>沥青空 10-19</t>
        </is>
      </c>
      <c r="C9" s="10" t="n">
        <v>2</v>
      </c>
      <c r="D9" s="33" t="n">
        <v>-0.14</v>
      </c>
      <c r="F9" s="2" t="inlineStr">
        <is>
          <t>凯利 f* = p−(1−p)/b</t>
        </is>
      </c>
      <c r="G9" s="31">
        <f>IF(G8=0,G5,G5-(1-G5)/G8)</f>
        <v/>
      </c>
    </row>
    <row r="10">
      <c r="A10" s="2" t="n">
        <v>8</v>
      </c>
      <c r="B10" s="2" t="inlineStr">
        <is>
          <t>苯乙烯多 10-19</t>
        </is>
      </c>
      <c r="C10" s="10" t="n">
        <v>3</v>
      </c>
      <c r="D10" s="33" t="n">
        <v>0.44</v>
      </c>
      <c r="F10" s="2" t="inlineStr">
        <is>
          <t>¼ 凯利</t>
        </is>
      </c>
      <c r="G10" s="31">
        <f>G9/4</f>
        <v/>
      </c>
    </row>
    <row r="11">
      <c r="A11" s="2" t="n">
        <v>9</v>
      </c>
      <c r="B11" s="2" t="inlineStr">
        <is>
          <t>鸡蛋空 10-19</t>
        </is>
      </c>
      <c r="C11" s="10" t="n">
        <v>2</v>
      </c>
      <c r="D11" s="33" t="n">
        <v>0.28</v>
      </c>
      <c r="F11" s="2" t="inlineStr">
        <is>
          <t>样本分档上限</t>
        </is>
      </c>
      <c r="G11" s="29">
        <f>IF(G3&lt;10,0.01,IF(G3&lt;30,0.02,参数!$B$5))</f>
        <v/>
      </c>
    </row>
    <row r="12">
      <c r="A12" s="2" t="n">
        <v>10</v>
      </c>
      <c r="B12" s="2" t="inlineStr">
        <is>
          <t>生猪空 10-19</t>
        </is>
      </c>
      <c r="C12" s="10" t="n">
        <v>2</v>
      </c>
      <c r="D12" s="33" t="n">
        <v>0.57</v>
      </c>
      <c r="F12" s="2" t="inlineStr">
        <is>
          <t>3 星上限</t>
        </is>
      </c>
      <c r="G12" s="5" t="n">
        <v>0.03</v>
      </c>
    </row>
    <row r="13">
      <c r="A13" s="2" t="n">
        <v>11</v>
      </c>
      <c r="B13" s="2" t="inlineStr">
        <is>
          <t>纸浆空 10-19</t>
        </is>
      </c>
      <c r="C13" s="10" t="n">
        <v>2</v>
      </c>
      <c r="D13" s="33" t="n">
        <v>0.48</v>
      </c>
      <c r="F13" s="2" t="inlineStr">
        <is>
          <t>2 星上限</t>
        </is>
      </c>
      <c r="G13" s="5" t="n">
        <v>0.02</v>
      </c>
    </row>
    <row r="14">
      <c r="A14" s="2" t="n">
        <v>12</v>
      </c>
      <c r="B14" s="2" t="inlineStr">
        <is>
          <t>纯碱空 10-20</t>
        </is>
      </c>
      <c r="C14" s="10" t="n">
        <v>3</v>
      </c>
      <c r="D14" s="33" t="n">
        <v>-0.5</v>
      </c>
      <c r="F14" s="2" t="inlineStr">
        <is>
          <t>3 星建议风险</t>
        </is>
      </c>
      <c r="G14" s="35">
        <f>IF(G3&lt;10,0.01,IF(G9&lt;=0,0,MIN(G10,G11,G12)))</f>
        <v/>
      </c>
    </row>
    <row r="15">
      <c r="A15" s="2" t="n">
        <v>13</v>
      </c>
      <c r="B15" s="2" t="inlineStr">
        <is>
          <t>玻璃空 10-12</t>
        </is>
      </c>
      <c r="C15" s="10" t="n">
        <v>3</v>
      </c>
      <c r="D15" s="33" t="n">
        <v>0.7</v>
      </c>
      <c r="F15" s="2" t="inlineStr">
        <is>
          <t>2 星建议风险</t>
        </is>
      </c>
      <c r="G15" s="35">
        <f>IF(G3&lt;10,0.01,IF(G9&lt;=0,0,MIN(G10,G11,G13)))</f>
        <v/>
      </c>
    </row>
    <row r="16">
      <c r="A16" s="2" t="n">
        <v>14</v>
      </c>
      <c r="B16" s="2" t="inlineStr">
        <is>
          <t>硅铁空 10-20</t>
        </is>
      </c>
      <c r="C16" s="10" t="n">
        <v>3</v>
      </c>
      <c r="D16" s="33" t="n">
        <v>-0.09</v>
      </c>
    </row>
    <row r="17">
      <c r="A17" s="2" t="n">
        <v>15</v>
      </c>
      <c r="B17" s="2" t="inlineStr">
        <is>
          <t>烧碱空 10-21</t>
        </is>
      </c>
      <c r="C17" s="10" t="n">
        <v>3</v>
      </c>
      <c r="D17" s="33" t="n">
        <v>2.04</v>
      </c>
      <c r="F17" s="4" t="inlineStr">
        <is>
          <t>不含 1 星观察仓（含凯利≤0 时的影子仓）。星级分组不足 10 笔时，跟踪台借用 2 星及以上合并统计。</t>
        </is>
      </c>
    </row>
    <row r="18">
      <c r="A18" s="2" t="n">
        <v>16</v>
      </c>
      <c r="B18" s="2" t="inlineStr">
        <is>
          <t>沪银空 10-22</t>
        </is>
      </c>
      <c r="C18" s="10" t="n">
        <v>3</v>
      </c>
      <c r="D18" s="33" t="n">
        <v>0.43</v>
      </c>
    </row>
    <row r="19">
      <c r="A19" s="2" t="n">
        <v>17</v>
      </c>
      <c r="B19" s="2" t="inlineStr">
        <is>
          <t>燃料油多 10-23</t>
        </is>
      </c>
      <c r="C19" s="10" t="n">
        <v>3</v>
      </c>
      <c r="D19" s="33" t="n">
        <v>0.23</v>
      </c>
    </row>
    <row r="20">
      <c r="A20" s="2" t="n">
        <v>18</v>
      </c>
      <c r="B20" s="2" t="inlineStr">
        <is>
          <t>铁矿空 10-22</t>
        </is>
      </c>
      <c r="C20" s="10" t="n">
        <v>3</v>
      </c>
      <c r="D20" s="33" t="n">
        <v>0.2</v>
      </c>
    </row>
    <row r="21">
      <c r="A21" s="2" t="n">
        <v>19</v>
      </c>
      <c r="B21" s="2" t="inlineStr">
        <is>
          <t>螺纹空 10-26</t>
        </is>
      </c>
      <c r="C21" s="10" t="n">
        <v>3</v>
      </c>
      <c r="D21" s="33" t="n">
        <v>-0.06</v>
      </c>
    </row>
    <row r="22">
      <c r="A22" s="2" t="n">
        <v>20</v>
      </c>
      <c r="B22" s="2" t="inlineStr">
        <is>
          <t>碳酸锂空 10-22</t>
        </is>
      </c>
      <c r="C22" s="10" t="n">
        <v>3</v>
      </c>
      <c r="D22" s="33" t="n">
        <v>0.29</v>
      </c>
    </row>
    <row r="23">
      <c r="A23" s="2" t="n">
        <v>21</v>
      </c>
      <c r="B23" s="2" t="inlineStr">
        <is>
          <t>塑料多 10-26</t>
        </is>
      </c>
      <c r="C23" s="10" t="n">
        <v>3</v>
      </c>
      <c r="D23" s="33" t="n">
        <v>0.37</v>
      </c>
    </row>
    <row r="24">
      <c r="A24" s="2" t="n">
        <v>22</v>
      </c>
      <c r="B24" s="2" t="inlineStr">
        <is>
          <t>沪镍空 10-27</t>
        </is>
      </c>
      <c r="C24" s="10" t="n">
        <v>2</v>
      </c>
      <c r="D24" s="33" t="n">
        <v>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2026-11-01T00:15:30Z</dcterms:created>
  <dcterms:modified xmlns:dcterms="http://purl.org/dc/terms/" xmlns:xsi="http://www.w3.org/2001/XMLSchema-instance" xsi:type="dcterms:W3CDTF">2026-11-01T00:15:31Z</dcterms:modified>
</cp:coreProperties>
</file>